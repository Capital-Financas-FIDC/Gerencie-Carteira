
<file path=[Content_Types].xml><?xml version="1.0" encoding="utf-8"?>
<Types xmlns="http://schemas.openxmlformats.org/package/2006/content-types">
  <Default Extension="bin" ContentType="application/vnd.ms-office.vbaProject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timelines/timeline1.xml" ContentType="application/vnd.ms-excel.timeline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A:\PUBLICA\GERENCIE CARTEIRA PÚBLICA\"/>
    </mc:Choice>
  </mc:AlternateContent>
  <xr:revisionPtr revIDLastSave="0" documentId="13_ncr:1_{68644434-67D3-4DDE-834C-49D6AA61269F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Tabela Dinâmica" sheetId="7" r:id="rId1"/>
    <sheet name="E-Mail BD" sheetId="2" r:id="rId2"/>
    <sheet name="PROCV GERENTES BD" sheetId="4" r:id="rId3"/>
  </sheets>
  <definedNames>
    <definedName name="_xlnm._FilterDatabase" localSheetId="1" hidden="1">'E-Mail BD'!$A$1:$I$5525</definedName>
    <definedName name="_xlnm._FilterDatabase" localSheetId="2" hidden="1">'PROCV GERENTES BD'!$A$1:$G$360</definedName>
    <definedName name="_xlcn.WorksheetConnection_GerencieCarteira_2025_11_25.xlsmtblDados" hidden="1">tblDados[]</definedName>
    <definedName name="NativeTimeline_Data_do_recebimento_do_e_mail">#N/A</definedName>
    <definedName name="SegmentaçãodeDados_Gerente">#N/A</definedName>
  </definedNames>
  <calcPr calcId="191029"/>
  <pivotCaches>
    <pivotCache cacheId="52" r:id="rId4"/>
  </pivotCaches>
  <extLst>
    <ext xmlns:x14="http://schemas.microsoft.com/office/spreadsheetml/2009/9/main" uri="{BBE1A952-AA13-448e-AADC-164F8A28A991}">
      <x14:slicerCaches>
        <x14:slicerCache r:id="rId5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6"/>
      </x15:timelineCacheRefs>
    </ext>
    <ext xmlns:x15="http://schemas.microsoft.com/office/spreadsheetml/2010/11/main" uri="{FCE2AD5D-F65C-4FA6-A056-5C36A1767C68}">
      <x15:dataModel>
        <x15:modelTables>
          <x15:modelTable id="tblDados" name="tblDados" connection="WorksheetConnection_Gerencie Carteira_2025_11_25.xlsm!tblDados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5475" i="2" l="1"/>
  <c r="E5476" i="2"/>
  <c r="E5477" i="2"/>
  <c r="E5478" i="2"/>
  <c r="E5479" i="2"/>
  <c r="E5480" i="2"/>
  <c r="E5481" i="2"/>
  <c r="E5482" i="2"/>
  <c r="E5483" i="2"/>
  <c r="E5484" i="2"/>
  <c r="E5485" i="2"/>
  <c r="E5486" i="2"/>
  <c r="E5487" i="2"/>
  <c r="E5488" i="2"/>
  <c r="E5489" i="2"/>
  <c r="E5490" i="2"/>
  <c r="E5491" i="2"/>
  <c r="E5492" i="2"/>
  <c r="E5493" i="2"/>
  <c r="E5494" i="2"/>
  <c r="E5495" i="2"/>
  <c r="E5496" i="2"/>
  <c r="E5497" i="2"/>
  <c r="E5498" i="2"/>
  <c r="E5499" i="2"/>
  <c r="E5500" i="2"/>
  <c r="E5501" i="2"/>
  <c r="E5502" i="2"/>
  <c r="E5503" i="2"/>
  <c r="E5504" i="2"/>
  <c r="E5505" i="2"/>
  <c r="E5506" i="2"/>
  <c r="E5507" i="2"/>
  <c r="E5508" i="2"/>
  <c r="E5509" i="2"/>
  <c r="E5510" i="2"/>
  <c r="E5511" i="2"/>
  <c r="E5512" i="2"/>
  <c r="E5513" i="2"/>
  <c r="E5514" i="2"/>
  <c r="E5515" i="2"/>
  <c r="E5516" i="2"/>
  <c r="E5517" i="2"/>
  <c r="E5518" i="2"/>
  <c r="E5519" i="2"/>
  <c r="E5520" i="2"/>
  <c r="E5521" i="2"/>
  <c r="E5522" i="2"/>
  <c r="E5523" i="2"/>
  <c r="E5524" i="2"/>
  <c r="E5525" i="2"/>
  <c r="F5475" i="2"/>
  <c r="F5476" i="2"/>
  <c r="F5477" i="2"/>
  <c r="F5478" i="2"/>
  <c r="F5479" i="2"/>
  <c r="F5480" i="2"/>
  <c r="F5481" i="2"/>
  <c r="F5482" i="2"/>
  <c r="F5483" i="2"/>
  <c r="F5484" i="2"/>
  <c r="F5485" i="2"/>
  <c r="F5486" i="2"/>
  <c r="F5487" i="2"/>
  <c r="F5488" i="2"/>
  <c r="F5489" i="2"/>
  <c r="F5490" i="2"/>
  <c r="F5491" i="2"/>
  <c r="F5492" i="2"/>
  <c r="F5493" i="2"/>
  <c r="F5494" i="2"/>
  <c r="F5495" i="2"/>
  <c r="F5496" i="2"/>
  <c r="F5497" i="2"/>
  <c r="F5498" i="2"/>
  <c r="F5499" i="2"/>
  <c r="F5500" i="2"/>
  <c r="F5501" i="2"/>
  <c r="F5502" i="2"/>
  <c r="F5503" i="2"/>
  <c r="F5504" i="2"/>
  <c r="F5505" i="2"/>
  <c r="F5506" i="2"/>
  <c r="F5507" i="2"/>
  <c r="F5508" i="2"/>
  <c r="F5509" i="2"/>
  <c r="F5510" i="2"/>
  <c r="F5511" i="2"/>
  <c r="F5512" i="2"/>
  <c r="F5513" i="2"/>
  <c r="F5514" i="2"/>
  <c r="F5515" i="2"/>
  <c r="F5516" i="2"/>
  <c r="F5517" i="2"/>
  <c r="F5518" i="2"/>
  <c r="F5519" i="2"/>
  <c r="F5520" i="2"/>
  <c r="F5521" i="2"/>
  <c r="F5522" i="2"/>
  <c r="F5523" i="2"/>
  <c r="F5524" i="2"/>
  <c r="F5525" i="2"/>
  <c r="G5475" i="2"/>
  <c r="G5476" i="2"/>
  <c r="G5477" i="2"/>
  <c r="G5478" i="2"/>
  <c r="G5479" i="2"/>
  <c r="G5480" i="2"/>
  <c r="G5481" i="2"/>
  <c r="G5482" i="2"/>
  <c r="G5483" i="2"/>
  <c r="G5484" i="2"/>
  <c r="G5485" i="2"/>
  <c r="G5486" i="2"/>
  <c r="G5487" i="2"/>
  <c r="G5488" i="2"/>
  <c r="G5489" i="2"/>
  <c r="G5490" i="2"/>
  <c r="G5491" i="2"/>
  <c r="G5492" i="2"/>
  <c r="G5493" i="2"/>
  <c r="G5494" i="2"/>
  <c r="G5495" i="2"/>
  <c r="G5496" i="2"/>
  <c r="G5497" i="2"/>
  <c r="G5498" i="2"/>
  <c r="G5499" i="2"/>
  <c r="G5500" i="2"/>
  <c r="G5501" i="2"/>
  <c r="G5502" i="2"/>
  <c r="G5503" i="2"/>
  <c r="G5504" i="2"/>
  <c r="G5505" i="2"/>
  <c r="G5506" i="2"/>
  <c r="G5507" i="2"/>
  <c r="G5508" i="2"/>
  <c r="G5509" i="2"/>
  <c r="G5510" i="2"/>
  <c r="G5511" i="2"/>
  <c r="G5512" i="2"/>
  <c r="G5513" i="2"/>
  <c r="G5514" i="2"/>
  <c r="G5515" i="2"/>
  <c r="G5516" i="2"/>
  <c r="G5517" i="2"/>
  <c r="G5518" i="2"/>
  <c r="G5519" i="2"/>
  <c r="G5520" i="2"/>
  <c r="G5521" i="2"/>
  <c r="G5522" i="2"/>
  <c r="G5523" i="2"/>
  <c r="G5524" i="2"/>
  <c r="G5525" i="2"/>
  <c r="H5475" i="2"/>
  <c r="H5476" i="2"/>
  <c r="H5477" i="2"/>
  <c r="H5478" i="2"/>
  <c r="H5479" i="2"/>
  <c r="H5480" i="2"/>
  <c r="H5481" i="2"/>
  <c r="H5482" i="2"/>
  <c r="H5483" i="2"/>
  <c r="H5484" i="2"/>
  <c r="H5485" i="2"/>
  <c r="H5486" i="2"/>
  <c r="H5487" i="2"/>
  <c r="H5488" i="2"/>
  <c r="H5489" i="2"/>
  <c r="H5490" i="2"/>
  <c r="H5491" i="2"/>
  <c r="H5492" i="2"/>
  <c r="H5493" i="2"/>
  <c r="H5494" i="2"/>
  <c r="H5495" i="2"/>
  <c r="H5496" i="2"/>
  <c r="H5497" i="2"/>
  <c r="H5498" i="2"/>
  <c r="H5499" i="2"/>
  <c r="H5500" i="2"/>
  <c r="H5501" i="2"/>
  <c r="H5502" i="2"/>
  <c r="H5503" i="2"/>
  <c r="H5504" i="2"/>
  <c r="H5505" i="2"/>
  <c r="H5506" i="2"/>
  <c r="H5507" i="2"/>
  <c r="H5508" i="2"/>
  <c r="H5509" i="2"/>
  <c r="H5510" i="2"/>
  <c r="H5511" i="2"/>
  <c r="H5512" i="2"/>
  <c r="H5513" i="2"/>
  <c r="H5514" i="2"/>
  <c r="H5515" i="2"/>
  <c r="H5516" i="2"/>
  <c r="H5517" i="2"/>
  <c r="H5518" i="2"/>
  <c r="H5519" i="2"/>
  <c r="H5520" i="2"/>
  <c r="H5521" i="2"/>
  <c r="H5522" i="2"/>
  <c r="H5523" i="2"/>
  <c r="H5524" i="2"/>
  <c r="H5525" i="2"/>
  <c r="I5475" i="2"/>
  <c r="I5476" i="2"/>
  <c r="I5477" i="2"/>
  <c r="I5478" i="2"/>
  <c r="I5479" i="2"/>
  <c r="I5480" i="2"/>
  <c r="I5481" i="2"/>
  <c r="I5482" i="2"/>
  <c r="I5483" i="2"/>
  <c r="I5484" i="2"/>
  <c r="I5485" i="2"/>
  <c r="I5486" i="2"/>
  <c r="I5487" i="2"/>
  <c r="I5488" i="2"/>
  <c r="I5489" i="2"/>
  <c r="I5490" i="2"/>
  <c r="I5491" i="2"/>
  <c r="I5492" i="2"/>
  <c r="I5493" i="2"/>
  <c r="I5494" i="2"/>
  <c r="I5495" i="2"/>
  <c r="I5496" i="2"/>
  <c r="I5497" i="2"/>
  <c r="I5498" i="2"/>
  <c r="I5499" i="2"/>
  <c r="I5500" i="2"/>
  <c r="I5501" i="2"/>
  <c r="I5502" i="2"/>
  <c r="I5503" i="2"/>
  <c r="I5504" i="2"/>
  <c r="I5505" i="2"/>
  <c r="I5506" i="2"/>
  <c r="I5507" i="2"/>
  <c r="I5508" i="2"/>
  <c r="I5509" i="2"/>
  <c r="I5510" i="2"/>
  <c r="I5511" i="2"/>
  <c r="I5512" i="2"/>
  <c r="I5513" i="2"/>
  <c r="I5514" i="2"/>
  <c r="I5515" i="2"/>
  <c r="I5516" i="2"/>
  <c r="I5517" i="2"/>
  <c r="I5518" i="2"/>
  <c r="I5519" i="2"/>
  <c r="I5520" i="2"/>
  <c r="I5521" i="2"/>
  <c r="I5522" i="2"/>
  <c r="I5523" i="2"/>
  <c r="I5524" i="2"/>
  <c r="I5525" i="2"/>
  <c r="J5475" i="2"/>
  <c r="J5476" i="2"/>
  <c r="J5477" i="2"/>
  <c r="J5478" i="2"/>
  <c r="J5479" i="2"/>
  <c r="J5480" i="2"/>
  <c r="J5481" i="2"/>
  <c r="J5482" i="2"/>
  <c r="J5483" i="2"/>
  <c r="J5484" i="2"/>
  <c r="J5485" i="2"/>
  <c r="J5486" i="2"/>
  <c r="J5487" i="2"/>
  <c r="J5488" i="2"/>
  <c r="J5489" i="2"/>
  <c r="J5490" i="2"/>
  <c r="J5491" i="2"/>
  <c r="J5492" i="2"/>
  <c r="J5493" i="2"/>
  <c r="J5494" i="2"/>
  <c r="J5495" i="2"/>
  <c r="J5496" i="2"/>
  <c r="J5497" i="2"/>
  <c r="J5498" i="2"/>
  <c r="J5499" i="2"/>
  <c r="J5500" i="2"/>
  <c r="J5501" i="2"/>
  <c r="J5502" i="2"/>
  <c r="J5503" i="2"/>
  <c r="J5504" i="2"/>
  <c r="J5505" i="2"/>
  <c r="J5506" i="2"/>
  <c r="J5507" i="2"/>
  <c r="J5508" i="2"/>
  <c r="J5509" i="2"/>
  <c r="J5510" i="2"/>
  <c r="J5511" i="2"/>
  <c r="J5512" i="2"/>
  <c r="J5513" i="2"/>
  <c r="J5514" i="2"/>
  <c r="J5515" i="2"/>
  <c r="J5516" i="2"/>
  <c r="J5517" i="2"/>
  <c r="J5518" i="2"/>
  <c r="J5519" i="2"/>
  <c r="J5520" i="2"/>
  <c r="J5521" i="2"/>
  <c r="J5522" i="2"/>
  <c r="J5523" i="2"/>
  <c r="J5524" i="2"/>
  <c r="J5525" i="2"/>
  <c r="K5475" i="2"/>
  <c r="K5476" i="2"/>
  <c r="K5477" i="2"/>
  <c r="K5478" i="2"/>
  <c r="K5479" i="2"/>
  <c r="K5480" i="2"/>
  <c r="K5481" i="2"/>
  <c r="K5482" i="2"/>
  <c r="K5483" i="2"/>
  <c r="K5484" i="2"/>
  <c r="K5485" i="2"/>
  <c r="K5486" i="2"/>
  <c r="K5487" i="2"/>
  <c r="K5488" i="2"/>
  <c r="K5489" i="2"/>
  <c r="K5490" i="2"/>
  <c r="K5491" i="2"/>
  <c r="K5492" i="2"/>
  <c r="K5493" i="2"/>
  <c r="K5494" i="2"/>
  <c r="K5495" i="2"/>
  <c r="K5496" i="2"/>
  <c r="K5497" i="2"/>
  <c r="K5498" i="2"/>
  <c r="K5499" i="2"/>
  <c r="K5500" i="2"/>
  <c r="K5501" i="2"/>
  <c r="K5502" i="2"/>
  <c r="K5503" i="2"/>
  <c r="K5504" i="2"/>
  <c r="K5505" i="2"/>
  <c r="K5506" i="2"/>
  <c r="K5507" i="2"/>
  <c r="K5508" i="2"/>
  <c r="K5509" i="2"/>
  <c r="K5510" i="2"/>
  <c r="K5511" i="2"/>
  <c r="K5512" i="2"/>
  <c r="K5513" i="2"/>
  <c r="K5514" i="2"/>
  <c r="K5515" i="2"/>
  <c r="K5516" i="2"/>
  <c r="K5517" i="2"/>
  <c r="K5518" i="2"/>
  <c r="K5519" i="2"/>
  <c r="K5520" i="2"/>
  <c r="K5521" i="2"/>
  <c r="K5522" i="2"/>
  <c r="K5523" i="2"/>
  <c r="K5524" i="2"/>
  <c r="K5525" i="2"/>
  <c r="E5443" i="2"/>
  <c r="E5444" i="2"/>
  <c r="E5445" i="2"/>
  <c r="E5446" i="2"/>
  <c r="E5447" i="2"/>
  <c r="E5448" i="2"/>
  <c r="E5449" i="2"/>
  <c r="E5450" i="2"/>
  <c r="E5451" i="2"/>
  <c r="E5452" i="2"/>
  <c r="E5453" i="2"/>
  <c r="E5454" i="2"/>
  <c r="E5455" i="2"/>
  <c r="E5456" i="2"/>
  <c r="E5457" i="2"/>
  <c r="E5458" i="2"/>
  <c r="E5459" i="2"/>
  <c r="E5460" i="2"/>
  <c r="E5461" i="2"/>
  <c r="E5462" i="2"/>
  <c r="E5463" i="2"/>
  <c r="E5464" i="2"/>
  <c r="E5465" i="2"/>
  <c r="E5466" i="2"/>
  <c r="E5467" i="2"/>
  <c r="E5468" i="2"/>
  <c r="E5469" i="2"/>
  <c r="E5470" i="2"/>
  <c r="E5471" i="2"/>
  <c r="E5472" i="2"/>
  <c r="E5473" i="2"/>
  <c r="E5474" i="2"/>
  <c r="F5443" i="2"/>
  <c r="F5444" i="2"/>
  <c r="F5445" i="2"/>
  <c r="F5446" i="2"/>
  <c r="F5447" i="2"/>
  <c r="F5448" i="2"/>
  <c r="F5449" i="2"/>
  <c r="F5450" i="2"/>
  <c r="F5451" i="2"/>
  <c r="F5452" i="2"/>
  <c r="F5453" i="2"/>
  <c r="F5454" i="2"/>
  <c r="F5455" i="2"/>
  <c r="F5456" i="2"/>
  <c r="F5457" i="2"/>
  <c r="F5458" i="2"/>
  <c r="F5459" i="2"/>
  <c r="F5460" i="2"/>
  <c r="F5461" i="2"/>
  <c r="F5462" i="2"/>
  <c r="F5463" i="2"/>
  <c r="F5464" i="2"/>
  <c r="F5465" i="2"/>
  <c r="F5466" i="2"/>
  <c r="F5467" i="2"/>
  <c r="F5468" i="2"/>
  <c r="F5469" i="2"/>
  <c r="F5470" i="2"/>
  <c r="F5471" i="2"/>
  <c r="F5472" i="2"/>
  <c r="F5473" i="2"/>
  <c r="F5474" i="2"/>
  <c r="G5443" i="2"/>
  <c r="G5444" i="2"/>
  <c r="G5445" i="2"/>
  <c r="G5446" i="2"/>
  <c r="G5447" i="2"/>
  <c r="G5448" i="2"/>
  <c r="G5449" i="2"/>
  <c r="G5450" i="2"/>
  <c r="G5451" i="2"/>
  <c r="G5452" i="2"/>
  <c r="G5453" i="2"/>
  <c r="G5454" i="2"/>
  <c r="G5455" i="2"/>
  <c r="G5456" i="2"/>
  <c r="G5457" i="2"/>
  <c r="G5458" i="2"/>
  <c r="G5459" i="2"/>
  <c r="G5460" i="2"/>
  <c r="G5461" i="2"/>
  <c r="G5462" i="2"/>
  <c r="G5463" i="2"/>
  <c r="G5464" i="2"/>
  <c r="G5465" i="2"/>
  <c r="G5466" i="2"/>
  <c r="G5467" i="2"/>
  <c r="G5468" i="2"/>
  <c r="G5469" i="2"/>
  <c r="G5470" i="2"/>
  <c r="G5471" i="2"/>
  <c r="G5472" i="2"/>
  <c r="G5473" i="2"/>
  <c r="G5474" i="2"/>
  <c r="H5443" i="2"/>
  <c r="H5444" i="2"/>
  <c r="H5445" i="2"/>
  <c r="H5446" i="2"/>
  <c r="H5447" i="2"/>
  <c r="H5448" i="2"/>
  <c r="H5449" i="2"/>
  <c r="H5450" i="2"/>
  <c r="H5451" i="2"/>
  <c r="H5452" i="2"/>
  <c r="H5453" i="2"/>
  <c r="H5454" i="2"/>
  <c r="H5455" i="2"/>
  <c r="H5456" i="2"/>
  <c r="H5457" i="2"/>
  <c r="H5458" i="2"/>
  <c r="H5459" i="2"/>
  <c r="H5460" i="2"/>
  <c r="H5461" i="2"/>
  <c r="H5462" i="2"/>
  <c r="H5463" i="2"/>
  <c r="H5464" i="2"/>
  <c r="H5465" i="2"/>
  <c r="H5466" i="2"/>
  <c r="H5467" i="2"/>
  <c r="H5468" i="2"/>
  <c r="H5469" i="2"/>
  <c r="H5470" i="2"/>
  <c r="H5471" i="2"/>
  <c r="H5472" i="2"/>
  <c r="H5473" i="2"/>
  <c r="H5474" i="2"/>
  <c r="I5443" i="2"/>
  <c r="I5444" i="2"/>
  <c r="I5445" i="2"/>
  <c r="I5446" i="2"/>
  <c r="I5447" i="2"/>
  <c r="I5448" i="2"/>
  <c r="I5449" i="2"/>
  <c r="I5450" i="2"/>
  <c r="I5451" i="2"/>
  <c r="I5452" i="2"/>
  <c r="I5453" i="2"/>
  <c r="I5454" i="2"/>
  <c r="I5455" i="2"/>
  <c r="I5456" i="2"/>
  <c r="I5457" i="2"/>
  <c r="I5458" i="2"/>
  <c r="I5459" i="2"/>
  <c r="I5460" i="2"/>
  <c r="I5461" i="2"/>
  <c r="I5462" i="2"/>
  <c r="I5463" i="2"/>
  <c r="I5464" i="2"/>
  <c r="I5465" i="2"/>
  <c r="I5466" i="2"/>
  <c r="I5467" i="2"/>
  <c r="I5468" i="2"/>
  <c r="I5469" i="2"/>
  <c r="I5470" i="2"/>
  <c r="I5471" i="2"/>
  <c r="I5472" i="2"/>
  <c r="I5473" i="2"/>
  <c r="I5474" i="2"/>
  <c r="J5443" i="2"/>
  <c r="J5444" i="2"/>
  <c r="J5445" i="2"/>
  <c r="J5446" i="2"/>
  <c r="J5447" i="2"/>
  <c r="J5448" i="2"/>
  <c r="J5449" i="2"/>
  <c r="J5450" i="2"/>
  <c r="J5451" i="2"/>
  <c r="J5452" i="2"/>
  <c r="J5453" i="2"/>
  <c r="J5454" i="2"/>
  <c r="J5455" i="2"/>
  <c r="J5456" i="2"/>
  <c r="J5457" i="2"/>
  <c r="J5458" i="2"/>
  <c r="J5459" i="2"/>
  <c r="J5460" i="2"/>
  <c r="J5461" i="2"/>
  <c r="J5462" i="2"/>
  <c r="J5463" i="2"/>
  <c r="J5464" i="2"/>
  <c r="J5465" i="2"/>
  <c r="J5466" i="2"/>
  <c r="J5467" i="2"/>
  <c r="J5468" i="2"/>
  <c r="J5469" i="2"/>
  <c r="J5470" i="2"/>
  <c r="J5471" i="2"/>
  <c r="J5472" i="2"/>
  <c r="J5473" i="2"/>
  <c r="J5474" i="2"/>
  <c r="K5443" i="2"/>
  <c r="K5444" i="2"/>
  <c r="K5445" i="2"/>
  <c r="K5446" i="2"/>
  <c r="K5447" i="2"/>
  <c r="K5448" i="2"/>
  <c r="K5449" i="2"/>
  <c r="K5450" i="2"/>
  <c r="K5451" i="2"/>
  <c r="K5452" i="2"/>
  <c r="K5453" i="2"/>
  <c r="K5454" i="2"/>
  <c r="K5455" i="2"/>
  <c r="K5456" i="2"/>
  <c r="K5457" i="2"/>
  <c r="K5458" i="2"/>
  <c r="K5459" i="2"/>
  <c r="K5460" i="2"/>
  <c r="K5461" i="2"/>
  <c r="K5462" i="2"/>
  <c r="K5463" i="2"/>
  <c r="K5464" i="2"/>
  <c r="K5465" i="2"/>
  <c r="K5466" i="2"/>
  <c r="K5467" i="2"/>
  <c r="K5468" i="2"/>
  <c r="K5469" i="2"/>
  <c r="K5470" i="2"/>
  <c r="K5471" i="2"/>
  <c r="K5472" i="2"/>
  <c r="K5473" i="2"/>
  <c r="K5474" i="2"/>
  <c r="C360" i="4"/>
  <c r="D360" i="4" s="1"/>
  <c r="E360" i="4" s="1"/>
  <c r="F360" i="4"/>
  <c r="G360" i="4"/>
  <c r="E5383" i="2"/>
  <c r="E5384" i="2"/>
  <c r="E5385" i="2"/>
  <c r="E5386" i="2"/>
  <c r="E5387" i="2"/>
  <c r="E5388" i="2"/>
  <c r="E5389" i="2"/>
  <c r="E5390" i="2"/>
  <c r="E5391" i="2"/>
  <c r="E5392" i="2"/>
  <c r="E5393" i="2"/>
  <c r="E5394" i="2"/>
  <c r="E5395" i="2"/>
  <c r="E5396" i="2"/>
  <c r="E5397" i="2"/>
  <c r="E5398" i="2"/>
  <c r="E5399" i="2"/>
  <c r="E5400" i="2"/>
  <c r="E5401" i="2"/>
  <c r="E5402" i="2"/>
  <c r="E5403" i="2"/>
  <c r="E5404" i="2"/>
  <c r="E5405" i="2"/>
  <c r="E5406" i="2"/>
  <c r="E5407" i="2"/>
  <c r="E5408" i="2"/>
  <c r="E5409" i="2"/>
  <c r="E5410" i="2"/>
  <c r="E5411" i="2"/>
  <c r="E5412" i="2"/>
  <c r="E5413" i="2"/>
  <c r="E5414" i="2"/>
  <c r="E5415" i="2"/>
  <c r="E5416" i="2"/>
  <c r="E5417" i="2"/>
  <c r="E5418" i="2"/>
  <c r="E5419" i="2"/>
  <c r="E5420" i="2"/>
  <c r="E5421" i="2"/>
  <c r="E5422" i="2"/>
  <c r="E5423" i="2"/>
  <c r="E5424" i="2"/>
  <c r="E5425" i="2"/>
  <c r="E5426" i="2"/>
  <c r="E5427" i="2"/>
  <c r="E5428" i="2"/>
  <c r="E5429" i="2"/>
  <c r="E5430" i="2"/>
  <c r="E5431" i="2"/>
  <c r="E5432" i="2"/>
  <c r="E5433" i="2"/>
  <c r="E5434" i="2"/>
  <c r="E5435" i="2"/>
  <c r="E5436" i="2"/>
  <c r="E5437" i="2"/>
  <c r="E5438" i="2"/>
  <c r="E5439" i="2"/>
  <c r="E5440" i="2"/>
  <c r="E5441" i="2"/>
  <c r="E5442" i="2"/>
  <c r="F5383" i="2"/>
  <c r="F5384" i="2"/>
  <c r="F5385" i="2"/>
  <c r="F5386" i="2"/>
  <c r="F5387" i="2"/>
  <c r="F5388" i="2"/>
  <c r="F5389" i="2"/>
  <c r="F5390" i="2"/>
  <c r="F5391" i="2"/>
  <c r="F5392" i="2"/>
  <c r="F5393" i="2"/>
  <c r="F5394" i="2"/>
  <c r="F5395" i="2"/>
  <c r="F5396" i="2"/>
  <c r="F5397" i="2"/>
  <c r="F5398" i="2"/>
  <c r="F5399" i="2"/>
  <c r="F5400" i="2"/>
  <c r="F5401" i="2"/>
  <c r="F5402" i="2"/>
  <c r="F5403" i="2"/>
  <c r="F5404" i="2"/>
  <c r="F5405" i="2"/>
  <c r="F5406" i="2"/>
  <c r="F5407" i="2"/>
  <c r="F5408" i="2"/>
  <c r="F5409" i="2"/>
  <c r="F5410" i="2"/>
  <c r="F5411" i="2"/>
  <c r="F5412" i="2"/>
  <c r="F5413" i="2"/>
  <c r="F5414" i="2"/>
  <c r="F5415" i="2"/>
  <c r="F5416" i="2"/>
  <c r="F5417" i="2"/>
  <c r="F5418" i="2"/>
  <c r="F5419" i="2"/>
  <c r="F5420" i="2"/>
  <c r="F5421" i="2"/>
  <c r="F5422" i="2"/>
  <c r="F5423" i="2"/>
  <c r="F5424" i="2"/>
  <c r="F5425" i="2"/>
  <c r="F5426" i="2"/>
  <c r="F5427" i="2"/>
  <c r="F5428" i="2"/>
  <c r="F5429" i="2"/>
  <c r="F5430" i="2"/>
  <c r="F5431" i="2"/>
  <c r="F5432" i="2"/>
  <c r="F5433" i="2"/>
  <c r="F5434" i="2"/>
  <c r="F5435" i="2"/>
  <c r="F5436" i="2"/>
  <c r="F5437" i="2"/>
  <c r="F5438" i="2"/>
  <c r="F5439" i="2"/>
  <c r="F5440" i="2"/>
  <c r="F5441" i="2"/>
  <c r="F5442" i="2"/>
  <c r="G5383" i="2"/>
  <c r="G5384" i="2"/>
  <c r="G5385" i="2"/>
  <c r="G5386" i="2"/>
  <c r="G5387" i="2"/>
  <c r="G5388" i="2"/>
  <c r="G5389" i="2"/>
  <c r="G5390" i="2"/>
  <c r="G5391" i="2"/>
  <c r="G5392" i="2"/>
  <c r="G5393" i="2"/>
  <c r="G5394" i="2"/>
  <c r="G5395" i="2"/>
  <c r="G5396" i="2"/>
  <c r="G5397" i="2"/>
  <c r="G5398" i="2"/>
  <c r="G5399" i="2"/>
  <c r="G5400" i="2"/>
  <c r="G5401" i="2"/>
  <c r="G5402" i="2"/>
  <c r="G5403" i="2"/>
  <c r="G5404" i="2"/>
  <c r="G5405" i="2"/>
  <c r="G5406" i="2"/>
  <c r="G5407" i="2"/>
  <c r="G5408" i="2"/>
  <c r="G5409" i="2"/>
  <c r="G5410" i="2"/>
  <c r="G5411" i="2"/>
  <c r="G5412" i="2"/>
  <c r="G5413" i="2"/>
  <c r="G5414" i="2"/>
  <c r="G5415" i="2"/>
  <c r="G5416" i="2"/>
  <c r="G5417" i="2"/>
  <c r="G5418" i="2"/>
  <c r="G5419" i="2"/>
  <c r="G5420" i="2"/>
  <c r="G5421" i="2"/>
  <c r="G5422" i="2"/>
  <c r="G5423" i="2"/>
  <c r="G5424" i="2"/>
  <c r="G5425" i="2"/>
  <c r="G5426" i="2"/>
  <c r="G5427" i="2"/>
  <c r="G5428" i="2"/>
  <c r="G5429" i="2"/>
  <c r="G5430" i="2"/>
  <c r="G5431" i="2"/>
  <c r="G5432" i="2"/>
  <c r="G5433" i="2"/>
  <c r="G5434" i="2"/>
  <c r="G5435" i="2"/>
  <c r="G5436" i="2"/>
  <c r="G5437" i="2"/>
  <c r="G5438" i="2"/>
  <c r="G5439" i="2"/>
  <c r="G5440" i="2"/>
  <c r="G5441" i="2"/>
  <c r="G5442" i="2"/>
  <c r="H5383" i="2"/>
  <c r="H5384" i="2"/>
  <c r="H5385" i="2"/>
  <c r="H5386" i="2"/>
  <c r="H5387" i="2"/>
  <c r="H5388" i="2"/>
  <c r="H5389" i="2"/>
  <c r="H5390" i="2"/>
  <c r="H5391" i="2"/>
  <c r="H5392" i="2"/>
  <c r="H5393" i="2"/>
  <c r="H5394" i="2"/>
  <c r="H5395" i="2"/>
  <c r="H5396" i="2"/>
  <c r="H5397" i="2"/>
  <c r="H5398" i="2"/>
  <c r="H5399" i="2"/>
  <c r="H5400" i="2"/>
  <c r="H5401" i="2"/>
  <c r="H5402" i="2"/>
  <c r="H5403" i="2"/>
  <c r="H5404" i="2"/>
  <c r="H5405" i="2"/>
  <c r="H5406" i="2"/>
  <c r="H5407" i="2"/>
  <c r="H5408" i="2"/>
  <c r="H5409" i="2"/>
  <c r="H5410" i="2"/>
  <c r="H5411" i="2"/>
  <c r="H5412" i="2"/>
  <c r="H5413" i="2"/>
  <c r="H5414" i="2"/>
  <c r="H5415" i="2"/>
  <c r="H5416" i="2"/>
  <c r="H5417" i="2"/>
  <c r="H5418" i="2"/>
  <c r="H5419" i="2"/>
  <c r="H5420" i="2"/>
  <c r="H5421" i="2"/>
  <c r="H5422" i="2"/>
  <c r="H5423" i="2"/>
  <c r="H5424" i="2"/>
  <c r="H5425" i="2"/>
  <c r="H5426" i="2"/>
  <c r="H5427" i="2"/>
  <c r="H5428" i="2"/>
  <c r="H5429" i="2"/>
  <c r="H5430" i="2"/>
  <c r="H5431" i="2"/>
  <c r="H5432" i="2"/>
  <c r="H5433" i="2"/>
  <c r="H5434" i="2"/>
  <c r="H5435" i="2"/>
  <c r="H5436" i="2"/>
  <c r="H5437" i="2"/>
  <c r="H5438" i="2"/>
  <c r="H5439" i="2"/>
  <c r="H5440" i="2"/>
  <c r="H5441" i="2"/>
  <c r="H5442" i="2"/>
  <c r="I5383" i="2"/>
  <c r="I5384" i="2"/>
  <c r="I5385" i="2"/>
  <c r="I5386" i="2"/>
  <c r="I5387" i="2"/>
  <c r="I5388" i="2"/>
  <c r="I5389" i="2"/>
  <c r="I5390" i="2"/>
  <c r="I5391" i="2"/>
  <c r="I5392" i="2"/>
  <c r="I5393" i="2"/>
  <c r="I5394" i="2"/>
  <c r="I5395" i="2"/>
  <c r="I5396" i="2"/>
  <c r="I5397" i="2"/>
  <c r="I5398" i="2"/>
  <c r="I5399" i="2"/>
  <c r="I5400" i="2"/>
  <c r="I5401" i="2"/>
  <c r="I5402" i="2"/>
  <c r="I5403" i="2"/>
  <c r="I5404" i="2"/>
  <c r="I5405" i="2"/>
  <c r="I5406" i="2"/>
  <c r="I5407" i="2"/>
  <c r="I5408" i="2"/>
  <c r="I5409" i="2"/>
  <c r="I5410" i="2"/>
  <c r="I5411" i="2"/>
  <c r="I5412" i="2"/>
  <c r="I5413" i="2"/>
  <c r="I5414" i="2"/>
  <c r="I5415" i="2"/>
  <c r="I5416" i="2"/>
  <c r="I5417" i="2"/>
  <c r="I5418" i="2"/>
  <c r="I5419" i="2"/>
  <c r="I5420" i="2"/>
  <c r="I5421" i="2"/>
  <c r="I5422" i="2"/>
  <c r="I5423" i="2"/>
  <c r="I5424" i="2"/>
  <c r="I5425" i="2"/>
  <c r="I5426" i="2"/>
  <c r="I5427" i="2"/>
  <c r="I5428" i="2"/>
  <c r="I5429" i="2"/>
  <c r="I5430" i="2"/>
  <c r="I5431" i="2"/>
  <c r="I5432" i="2"/>
  <c r="I5433" i="2"/>
  <c r="I5434" i="2"/>
  <c r="I5435" i="2"/>
  <c r="I5436" i="2"/>
  <c r="I5437" i="2"/>
  <c r="I5438" i="2"/>
  <c r="I5439" i="2"/>
  <c r="I5440" i="2"/>
  <c r="I5441" i="2"/>
  <c r="I5442" i="2"/>
  <c r="J5383" i="2"/>
  <c r="J5384" i="2"/>
  <c r="J5385" i="2"/>
  <c r="J5386" i="2"/>
  <c r="J5387" i="2"/>
  <c r="J5388" i="2"/>
  <c r="J5389" i="2"/>
  <c r="J5390" i="2"/>
  <c r="J5391" i="2"/>
  <c r="J5392" i="2"/>
  <c r="J5393" i="2"/>
  <c r="J5394" i="2"/>
  <c r="J5395" i="2"/>
  <c r="J5396" i="2"/>
  <c r="J5397" i="2"/>
  <c r="J5398" i="2"/>
  <c r="J5399" i="2"/>
  <c r="J5400" i="2"/>
  <c r="J5401" i="2"/>
  <c r="J5402" i="2"/>
  <c r="J5403" i="2"/>
  <c r="J5404" i="2"/>
  <c r="J5405" i="2"/>
  <c r="J5406" i="2"/>
  <c r="J5407" i="2"/>
  <c r="J5408" i="2"/>
  <c r="J5409" i="2"/>
  <c r="J5410" i="2"/>
  <c r="J5411" i="2"/>
  <c r="J5412" i="2"/>
  <c r="J5413" i="2"/>
  <c r="J5414" i="2"/>
  <c r="J5415" i="2"/>
  <c r="J5416" i="2"/>
  <c r="J5417" i="2"/>
  <c r="J5418" i="2"/>
  <c r="J5419" i="2"/>
  <c r="J5420" i="2"/>
  <c r="J5421" i="2"/>
  <c r="J5422" i="2"/>
  <c r="J5423" i="2"/>
  <c r="J5424" i="2"/>
  <c r="J5425" i="2"/>
  <c r="J5426" i="2"/>
  <c r="J5427" i="2"/>
  <c r="J5428" i="2"/>
  <c r="J5429" i="2"/>
  <c r="J5430" i="2"/>
  <c r="J5431" i="2"/>
  <c r="J5432" i="2"/>
  <c r="J5433" i="2"/>
  <c r="J5434" i="2"/>
  <c r="J5435" i="2"/>
  <c r="J5436" i="2"/>
  <c r="J5437" i="2"/>
  <c r="J5438" i="2"/>
  <c r="J5439" i="2"/>
  <c r="J5440" i="2"/>
  <c r="J5441" i="2"/>
  <c r="J5442" i="2"/>
  <c r="K5383" i="2"/>
  <c r="K5384" i="2"/>
  <c r="K5385" i="2"/>
  <c r="K5386" i="2"/>
  <c r="K5387" i="2"/>
  <c r="K5388" i="2"/>
  <c r="K5389" i="2"/>
  <c r="K5390" i="2"/>
  <c r="K5391" i="2"/>
  <c r="K5392" i="2"/>
  <c r="K5393" i="2"/>
  <c r="K5394" i="2"/>
  <c r="K5395" i="2"/>
  <c r="K5396" i="2"/>
  <c r="K5397" i="2"/>
  <c r="K5398" i="2"/>
  <c r="K5399" i="2"/>
  <c r="K5400" i="2"/>
  <c r="K5401" i="2"/>
  <c r="K5402" i="2"/>
  <c r="K5403" i="2"/>
  <c r="K5404" i="2"/>
  <c r="K5405" i="2"/>
  <c r="K5406" i="2"/>
  <c r="K5407" i="2"/>
  <c r="K5408" i="2"/>
  <c r="K5409" i="2"/>
  <c r="K5410" i="2"/>
  <c r="K5411" i="2"/>
  <c r="K5412" i="2"/>
  <c r="K5413" i="2"/>
  <c r="K5414" i="2"/>
  <c r="K5415" i="2"/>
  <c r="K5416" i="2"/>
  <c r="K5417" i="2"/>
  <c r="K5418" i="2"/>
  <c r="K5419" i="2"/>
  <c r="K5420" i="2"/>
  <c r="K5421" i="2"/>
  <c r="K5422" i="2"/>
  <c r="K5423" i="2"/>
  <c r="K5424" i="2"/>
  <c r="K5425" i="2"/>
  <c r="K5426" i="2"/>
  <c r="K5427" i="2"/>
  <c r="K5428" i="2"/>
  <c r="K5429" i="2"/>
  <c r="K5430" i="2"/>
  <c r="K5431" i="2"/>
  <c r="K5432" i="2"/>
  <c r="K5433" i="2"/>
  <c r="K5434" i="2"/>
  <c r="K5435" i="2"/>
  <c r="K5436" i="2"/>
  <c r="K5437" i="2"/>
  <c r="K5438" i="2"/>
  <c r="K5439" i="2"/>
  <c r="K5440" i="2"/>
  <c r="K5441" i="2"/>
  <c r="K5442" i="2"/>
  <c r="E5371" i="2"/>
  <c r="E5372" i="2"/>
  <c r="E5373" i="2"/>
  <c r="E5374" i="2"/>
  <c r="E5375" i="2"/>
  <c r="E5376" i="2"/>
  <c r="E5377" i="2"/>
  <c r="E5378" i="2"/>
  <c r="E5379" i="2"/>
  <c r="E5380" i="2"/>
  <c r="E5381" i="2"/>
  <c r="E5382" i="2"/>
  <c r="F5371" i="2"/>
  <c r="F5372" i="2"/>
  <c r="F5373" i="2"/>
  <c r="F5374" i="2"/>
  <c r="F5375" i="2"/>
  <c r="F5376" i="2"/>
  <c r="F5377" i="2"/>
  <c r="F5378" i="2"/>
  <c r="F5379" i="2"/>
  <c r="F5380" i="2"/>
  <c r="F5381" i="2"/>
  <c r="F5382" i="2"/>
  <c r="G5371" i="2"/>
  <c r="G5372" i="2"/>
  <c r="G5373" i="2"/>
  <c r="G5374" i="2"/>
  <c r="G5375" i="2"/>
  <c r="G5376" i="2"/>
  <c r="G5377" i="2"/>
  <c r="G5378" i="2"/>
  <c r="G5379" i="2"/>
  <c r="G5380" i="2"/>
  <c r="G5381" i="2"/>
  <c r="G5382" i="2"/>
  <c r="H5371" i="2"/>
  <c r="H5372" i="2"/>
  <c r="H5373" i="2"/>
  <c r="H5374" i="2"/>
  <c r="H5375" i="2"/>
  <c r="H5376" i="2"/>
  <c r="H5377" i="2"/>
  <c r="H5378" i="2"/>
  <c r="H5379" i="2"/>
  <c r="H5380" i="2"/>
  <c r="H5381" i="2"/>
  <c r="H5382" i="2"/>
  <c r="I5371" i="2"/>
  <c r="I5372" i="2"/>
  <c r="I5373" i="2"/>
  <c r="I5374" i="2"/>
  <c r="I5375" i="2"/>
  <c r="I5376" i="2"/>
  <c r="I5377" i="2"/>
  <c r="I5378" i="2"/>
  <c r="I5379" i="2"/>
  <c r="I5380" i="2"/>
  <c r="I5381" i="2"/>
  <c r="I5382" i="2"/>
  <c r="J5371" i="2"/>
  <c r="J5372" i="2"/>
  <c r="J5373" i="2"/>
  <c r="J5374" i="2"/>
  <c r="J5375" i="2"/>
  <c r="J5376" i="2"/>
  <c r="J5377" i="2"/>
  <c r="J5378" i="2"/>
  <c r="J5379" i="2"/>
  <c r="J5380" i="2"/>
  <c r="J5381" i="2"/>
  <c r="J5382" i="2"/>
  <c r="K5371" i="2"/>
  <c r="K5372" i="2"/>
  <c r="K5373" i="2"/>
  <c r="K5374" i="2"/>
  <c r="K5375" i="2"/>
  <c r="K5376" i="2"/>
  <c r="K5377" i="2"/>
  <c r="K5378" i="2"/>
  <c r="K5379" i="2"/>
  <c r="K5380" i="2"/>
  <c r="K5381" i="2"/>
  <c r="K5382" i="2"/>
  <c r="E5336" i="2"/>
  <c r="H5336" i="2" s="1"/>
  <c r="E5337" i="2"/>
  <c r="E5338" i="2"/>
  <c r="H5338" i="2" s="1"/>
  <c r="E5339" i="2"/>
  <c r="H5339" i="2" s="1"/>
  <c r="E5340" i="2"/>
  <c r="E5341" i="2"/>
  <c r="H5341" i="2" s="1"/>
  <c r="E5342" i="2"/>
  <c r="H5342" i="2" s="1"/>
  <c r="E5343" i="2"/>
  <c r="H5343" i="2" s="1"/>
  <c r="E5344" i="2"/>
  <c r="E5345" i="2"/>
  <c r="H5345" i="2" s="1"/>
  <c r="E5346" i="2"/>
  <c r="H5346" i="2" s="1"/>
  <c r="E5347" i="2"/>
  <c r="H5347" i="2" s="1"/>
  <c r="E5348" i="2"/>
  <c r="H5348" i="2" s="1"/>
  <c r="E5349" i="2"/>
  <c r="H5349" i="2" s="1"/>
  <c r="E5350" i="2"/>
  <c r="H5350" i="2" s="1"/>
  <c r="E5351" i="2"/>
  <c r="H5351" i="2" s="1"/>
  <c r="E5352" i="2"/>
  <c r="E5353" i="2"/>
  <c r="H5353" i="2" s="1"/>
  <c r="E5354" i="2"/>
  <c r="H5354" i="2" s="1"/>
  <c r="E5355" i="2"/>
  <c r="H5355" i="2" s="1"/>
  <c r="E5356" i="2"/>
  <c r="H5356" i="2" s="1"/>
  <c r="E5357" i="2"/>
  <c r="H5357" i="2" s="1"/>
  <c r="E5358" i="2"/>
  <c r="H5358" i="2" s="1"/>
  <c r="E5359" i="2"/>
  <c r="H5359" i="2" s="1"/>
  <c r="E5360" i="2"/>
  <c r="H5360" i="2" s="1"/>
  <c r="E5361" i="2"/>
  <c r="H5361" i="2" s="1"/>
  <c r="E5362" i="2"/>
  <c r="H5362" i="2" s="1"/>
  <c r="E5363" i="2"/>
  <c r="H5363" i="2" s="1"/>
  <c r="E5364" i="2"/>
  <c r="H5364" i="2" s="1"/>
  <c r="E5365" i="2"/>
  <c r="E5366" i="2"/>
  <c r="H5366" i="2" s="1"/>
  <c r="E5367" i="2"/>
  <c r="H5367" i="2" s="1"/>
  <c r="E5368" i="2"/>
  <c r="E5369" i="2"/>
  <c r="H5369" i="2" s="1"/>
  <c r="E5370" i="2"/>
  <c r="H5370" i="2" s="1"/>
  <c r="F5336" i="2"/>
  <c r="F5337" i="2"/>
  <c r="F5338" i="2"/>
  <c r="F5339" i="2"/>
  <c r="F5340" i="2"/>
  <c r="F5341" i="2"/>
  <c r="F5342" i="2"/>
  <c r="F5343" i="2"/>
  <c r="F5344" i="2"/>
  <c r="F5345" i="2"/>
  <c r="F5346" i="2"/>
  <c r="F5347" i="2"/>
  <c r="F5348" i="2"/>
  <c r="F5349" i="2"/>
  <c r="F5350" i="2"/>
  <c r="F5351" i="2"/>
  <c r="F5352" i="2"/>
  <c r="F5353" i="2"/>
  <c r="F5354" i="2"/>
  <c r="F5355" i="2"/>
  <c r="F5356" i="2"/>
  <c r="F5357" i="2"/>
  <c r="F5358" i="2"/>
  <c r="F5359" i="2"/>
  <c r="F5360" i="2"/>
  <c r="F5361" i="2"/>
  <c r="F5362" i="2"/>
  <c r="F5363" i="2"/>
  <c r="F5364" i="2"/>
  <c r="F5365" i="2"/>
  <c r="F5366" i="2"/>
  <c r="F5367" i="2"/>
  <c r="F5368" i="2"/>
  <c r="F5369" i="2"/>
  <c r="F5370" i="2"/>
  <c r="G5336" i="2"/>
  <c r="G5337" i="2"/>
  <c r="G5338" i="2"/>
  <c r="G5339" i="2"/>
  <c r="G5340" i="2"/>
  <c r="G5341" i="2"/>
  <c r="G5342" i="2"/>
  <c r="G5343" i="2"/>
  <c r="G5344" i="2"/>
  <c r="G5345" i="2"/>
  <c r="G5346" i="2"/>
  <c r="G5347" i="2"/>
  <c r="G5348" i="2"/>
  <c r="G5349" i="2"/>
  <c r="G5350" i="2"/>
  <c r="G5351" i="2"/>
  <c r="G5352" i="2"/>
  <c r="G5353" i="2"/>
  <c r="G5354" i="2"/>
  <c r="G5355" i="2"/>
  <c r="G5356" i="2"/>
  <c r="G5357" i="2"/>
  <c r="G5358" i="2"/>
  <c r="G5359" i="2"/>
  <c r="G5360" i="2"/>
  <c r="G5361" i="2"/>
  <c r="G5362" i="2"/>
  <c r="G5363" i="2"/>
  <c r="G5364" i="2"/>
  <c r="G5365" i="2"/>
  <c r="G5366" i="2"/>
  <c r="G5367" i="2"/>
  <c r="G5368" i="2"/>
  <c r="G5369" i="2"/>
  <c r="G5370" i="2"/>
  <c r="H5337" i="2"/>
  <c r="H5340" i="2"/>
  <c r="H5344" i="2"/>
  <c r="H5352" i="2"/>
  <c r="H5365" i="2"/>
  <c r="H5368" i="2"/>
  <c r="I5336" i="2"/>
  <c r="I5337" i="2"/>
  <c r="I5338" i="2"/>
  <c r="I5339" i="2"/>
  <c r="I5340" i="2"/>
  <c r="I5341" i="2"/>
  <c r="I5342" i="2"/>
  <c r="I5343" i="2"/>
  <c r="I5344" i="2"/>
  <c r="I5345" i="2"/>
  <c r="I5346" i="2"/>
  <c r="I5347" i="2"/>
  <c r="I5348" i="2"/>
  <c r="I5349" i="2"/>
  <c r="I5350" i="2"/>
  <c r="I5351" i="2"/>
  <c r="I5352" i="2"/>
  <c r="I5353" i="2"/>
  <c r="I5354" i="2"/>
  <c r="I5355" i="2"/>
  <c r="I5356" i="2"/>
  <c r="I5357" i="2"/>
  <c r="I5358" i="2"/>
  <c r="I5359" i="2"/>
  <c r="I5360" i="2"/>
  <c r="I5361" i="2"/>
  <c r="I5362" i="2"/>
  <c r="I5363" i="2"/>
  <c r="I5364" i="2"/>
  <c r="I5365" i="2"/>
  <c r="I5366" i="2"/>
  <c r="I5367" i="2"/>
  <c r="I5368" i="2"/>
  <c r="I5369" i="2"/>
  <c r="I5370" i="2"/>
  <c r="J5336" i="2"/>
  <c r="J5337" i="2"/>
  <c r="J5338" i="2"/>
  <c r="J5339" i="2"/>
  <c r="J5340" i="2"/>
  <c r="J5341" i="2"/>
  <c r="J5342" i="2"/>
  <c r="J5343" i="2"/>
  <c r="J5344" i="2"/>
  <c r="J5345" i="2"/>
  <c r="J5346" i="2"/>
  <c r="J5347" i="2"/>
  <c r="J5348" i="2"/>
  <c r="J5349" i="2"/>
  <c r="J5350" i="2"/>
  <c r="J5351" i="2"/>
  <c r="J5352" i="2"/>
  <c r="J5353" i="2"/>
  <c r="J5354" i="2"/>
  <c r="J5355" i="2"/>
  <c r="J5356" i="2"/>
  <c r="J5357" i="2"/>
  <c r="J5358" i="2"/>
  <c r="J5359" i="2"/>
  <c r="J5360" i="2"/>
  <c r="J5361" i="2"/>
  <c r="J5362" i="2"/>
  <c r="J5363" i="2"/>
  <c r="J5364" i="2"/>
  <c r="J5365" i="2"/>
  <c r="J5366" i="2"/>
  <c r="J5367" i="2"/>
  <c r="J5368" i="2"/>
  <c r="J5369" i="2"/>
  <c r="J5370" i="2"/>
  <c r="K5336" i="2"/>
  <c r="K5337" i="2"/>
  <c r="K5338" i="2"/>
  <c r="K5339" i="2"/>
  <c r="K5340" i="2"/>
  <c r="K5341" i="2"/>
  <c r="K5342" i="2"/>
  <c r="K5343" i="2"/>
  <c r="K5344" i="2"/>
  <c r="K5345" i="2"/>
  <c r="K5346" i="2"/>
  <c r="K5347" i="2"/>
  <c r="K5348" i="2"/>
  <c r="K5349" i="2"/>
  <c r="K5350" i="2"/>
  <c r="K5351" i="2"/>
  <c r="K5352" i="2"/>
  <c r="K5353" i="2"/>
  <c r="K5354" i="2"/>
  <c r="K5355" i="2"/>
  <c r="K5356" i="2"/>
  <c r="K5357" i="2"/>
  <c r="K5358" i="2"/>
  <c r="K5359" i="2"/>
  <c r="K5360" i="2"/>
  <c r="K5361" i="2"/>
  <c r="K5362" i="2"/>
  <c r="K5363" i="2"/>
  <c r="K5364" i="2"/>
  <c r="K5365" i="2"/>
  <c r="K5366" i="2"/>
  <c r="K5367" i="2"/>
  <c r="K5368" i="2"/>
  <c r="K5369" i="2"/>
  <c r="K5370" i="2"/>
  <c r="E5311" i="2"/>
  <c r="H5311" i="2" s="1"/>
  <c r="E5312" i="2"/>
  <c r="H5312" i="2" s="1"/>
  <c r="E5313" i="2"/>
  <c r="H5313" i="2" s="1"/>
  <c r="E5314" i="2"/>
  <c r="H5314" i="2" s="1"/>
  <c r="E5315" i="2"/>
  <c r="E5316" i="2"/>
  <c r="H5316" i="2" s="1"/>
  <c r="E5317" i="2"/>
  <c r="H5317" i="2" s="1"/>
  <c r="E5318" i="2"/>
  <c r="H5318" i="2" s="1"/>
  <c r="E5319" i="2"/>
  <c r="E5320" i="2"/>
  <c r="H5320" i="2" s="1"/>
  <c r="E5321" i="2"/>
  <c r="H5321" i="2" s="1"/>
  <c r="E5322" i="2"/>
  <c r="H5322" i="2" s="1"/>
  <c r="E5323" i="2"/>
  <c r="H5323" i="2" s="1"/>
  <c r="E5324" i="2"/>
  <c r="H5324" i="2" s="1"/>
  <c r="E5325" i="2"/>
  <c r="H5325" i="2" s="1"/>
  <c r="E5326" i="2"/>
  <c r="H5326" i="2" s="1"/>
  <c r="E5327" i="2"/>
  <c r="H5327" i="2" s="1"/>
  <c r="E5328" i="2"/>
  <c r="H5328" i="2" s="1"/>
  <c r="E5329" i="2"/>
  <c r="H5329" i="2" s="1"/>
  <c r="E5330" i="2"/>
  <c r="H5330" i="2" s="1"/>
  <c r="E5331" i="2"/>
  <c r="H5331" i="2" s="1"/>
  <c r="E5332" i="2"/>
  <c r="H5332" i="2" s="1"/>
  <c r="E5333" i="2"/>
  <c r="H5333" i="2" s="1"/>
  <c r="E5334" i="2"/>
  <c r="H5334" i="2" s="1"/>
  <c r="E5335" i="2"/>
  <c r="H5335" i="2" s="1"/>
  <c r="F5311" i="2"/>
  <c r="F5312" i="2"/>
  <c r="F5313" i="2"/>
  <c r="F5314" i="2"/>
  <c r="F5315" i="2"/>
  <c r="F5316" i="2"/>
  <c r="F5317" i="2"/>
  <c r="F5318" i="2"/>
  <c r="F5319" i="2"/>
  <c r="F5320" i="2"/>
  <c r="F5321" i="2"/>
  <c r="F5322" i="2"/>
  <c r="F5323" i="2"/>
  <c r="F5324" i="2"/>
  <c r="F5325" i="2"/>
  <c r="F5326" i="2"/>
  <c r="F5327" i="2"/>
  <c r="F5328" i="2"/>
  <c r="F5329" i="2"/>
  <c r="F5330" i="2"/>
  <c r="F5331" i="2"/>
  <c r="F5332" i="2"/>
  <c r="F5333" i="2"/>
  <c r="F5334" i="2"/>
  <c r="F5335" i="2"/>
  <c r="G5311" i="2"/>
  <c r="G5312" i="2"/>
  <c r="G5313" i="2"/>
  <c r="G5314" i="2"/>
  <c r="G5315" i="2"/>
  <c r="G5316" i="2"/>
  <c r="G5317" i="2"/>
  <c r="G5318" i="2"/>
  <c r="G5319" i="2"/>
  <c r="G5320" i="2"/>
  <c r="G5321" i="2"/>
  <c r="G5322" i="2"/>
  <c r="G5323" i="2"/>
  <c r="G5324" i="2"/>
  <c r="G5325" i="2"/>
  <c r="G5326" i="2"/>
  <c r="G5327" i="2"/>
  <c r="G5328" i="2"/>
  <c r="G5329" i="2"/>
  <c r="G5330" i="2"/>
  <c r="G5331" i="2"/>
  <c r="G5332" i="2"/>
  <c r="G5333" i="2"/>
  <c r="G5334" i="2"/>
  <c r="G5335" i="2"/>
  <c r="H5315" i="2"/>
  <c r="H5319" i="2"/>
  <c r="I5311" i="2"/>
  <c r="I5312" i="2"/>
  <c r="I5313" i="2"/>
  <c r="I5314" i="2"/>
  <c r="I5315" i="2"/>
  <c r="I5316" i="2"/>
  <c r="I5317" i="2"/>
  <c r="I5318" i="2"/>
  <c r="I5319" i="2"/>
  <c r="I5320" i="2"/>
  <c r="I5321" i="2"/>
  <c r="I5322" i="2"/>
  <c r="I5323" i="2"/>
  <c r="I5324" i="2"/>
  <c r="I5325" i="2"/>
  <c r="I5326" i="2"/>
  <c r="I5327" i="2"/>
  <c r="I5328" i="2"/>
  <c r="I5329" i="2"/>
  <c r="I5330" i="2"/>
  <c r="I5331" i="2"/>
  <c r="I5332" i="2"/>
  <c r="I5333" i="2"/>
  <c r="I5334" i="2"/>
  <c r="I5335" i="2"/>
  <c r="J5311" i="2"/>
  <c r="J5312" i="2"/>
  <c r="J5313" i="2"/>
  <c r="J5314" i="2"/>
  <c r="J5315" i="2"/>
  <c r="J5316" i="2"/>
  <c r="J5317" i="2"/>
  <c r="J5318" i="2"/>
  <c r="J5319" i="2"/>
  <c r="J5320" i="2"/>
  <c r="J5321" i="2"/>
  <c r="J5322" i="2"/>
  <c r="J5323" i="2"/>
  <c r="J5324" i="2"/>
  <c r="J5325" i="2"/>
  <c r="J5326" i="2"/>
  <c r="J5327" i="2"/>
  <c r="J5328" i="2"/>
  <c r="J5329" i="2"/>
  <c r="J5330" i="2"/>
  <c r="J5331" i="2"/>
  <c r="J5332" i="2"/>
  <c r="J5333" i="2"/>
  <c r="J5334" i="2"/>
  <c r="J5335" i="2"/>
  <c r="K5311" i="2"/>
  <c r="K5312" i="2"/>
  <c r="K5313" i="2"/>
  <c r="K5314" i="2"/>
  <c r="K5315" i="2"/>
  <c r="K5316" i="2"/>
  <c r="K5317" i="2"/>
  <c r="K5318" i="2"/>
  <c r="K5319" i="2"/>
  <c r="K5320" i="2"/>
  <c r="K5321" i="2"/>
  <c r="K5322" i="2"/>
  <c r="K5323" i="2"/>
  <c r="K5324" i="2"/>
  <c r="K5325" i="2"/>
  <c r="K5326" i="2"/>
  <c r="K5327" i="2"/>
  <c r="K5328" i="2"/>
  <c r="K5329" i="2"/>
  <c r="K5330" i="2"/>
  <c r="K5331" i="2"/>
  <c r="K5332" i="2"/>
  <c r="K5333" i="2"/>
  <c r="K5334" i="2"/>
  <c r="K5335" i="2"/>
  <c r="E5298" i="2"/>
  <c r="H5298" i="2" s="1"/>
  <c r="E5299" i="2"/>
  <c r="H5299" i="2" s="1"/>
  <c r="E5300" i="2"/>
  <c r="H5300" i="2" s="1"/>
  <c r="E5301" i="2"/>
  <c r="H5301" i="2" s="1"/>
  <c r="E5302" i="2"/>
  <c r="H5302" i="2" s="1"/>
  <c r="E5303" i="2"/>
  <c r="H5303" i="2" s="1"/>
  <c r="E5304" i="2"/>
  <c r="H5304" i="2" s="1"/>
  <c r="E5305" i="2"/>
  <c r="H5305" i="2" s="1"/>
  <c r="E5306" i="2"/>
  <c r="H5306" i="2" s="1"/>
  <c r="E5307" i="2"/>
  <c r="H5307" i="2" s="1"/>
  <c r="E5308" i="2"/>
  <c r="H5308" i="2" s="1"/>
  <c r="E5309" i="2"/>
  <c r="H5309" i="2" s="1"/>
  <c r="E5310" i="2"/>
  <c r="H5310" i="2" s="1"/>
  <c r="F5298" i="2"/>
  <c r="F5299" i="2"/>
  <c r="F5300" i="2"/>
  <c r="F5301" i="2"/>
  <c r="F5302" i="2"/>
  <c r="F5303" i="2"/>
  <c r="F5304" i="2"/>
  <c r="F5305" i="2"/>
  <c r="F5306" i="2"/>
  <c r="F5307" i="2"/>
  <c r="F5308" i="2"/>
  <c r="F5309" i="2"/>
  <c r="F5310" i="2"/>
  <c r="G5298" i="2"/>
  <c r="G5299" i="2"/>
  <c r="G5300" i="2"/>
  <c r="G5301" i="2"/>
  <c r="G5302" i="2"/>
  <c r="G5303" i="2"/>
  <c r="G5304" i="2"/>
  <c r="G5305" i="2"/>
  <c r="G5306" i="2"/>
  <c r="G5307" i="2"/>
  <c r="G5308" i="2"/>
  <c r="G5309" i="2"/>
  <c r="G5310" i="2"/>
  <c r="I5298" i="2"/>
  <c r="I5299" i="2"/>
  <c r="I5300" i="2"/>
  <c r="I5301" i="2"/>
  <c r="I5302" i="2"/>
  <c r="I5303" i="2"/>
  <c r="I5304" i="2"/>
  <c r="I5305" i="2"/>
  <c r="I5306" i="2"/>
  <c r="I5307" i="2"/>
  <c r="I5308" i="2"/>
  <c r="I5309" i="2"/>
  <c r="I5310" i="2"/>
  <c r="J5298" i="2"/>
  <c r="J5299" i="2"/>
  <c r="J5300" i="2"/>
  <c r="J5301" i="2"/>
  <c r="J5302" i="2"/>
  <c r="J5303" i="2"/>
  <c r="J5304" i="2"/>
  <c r="J5305" i="2"/>
  <c r="J5306" i="2"/>
  <c r="J5307" i="2"/>
  <c r="J5308" i="2"/>
  <c r="J5309" i="2"/>
  <c r="J5310" i="2"/>
  <c r="K5298" i="2"/>
  <c r="K5299" i="2"/>
  <c r="K5300" i="2"/>
  <c r="K5301" i="2"/>
  <c r="K5302" i="2"/>
  <c r="K5303" i="2"/>
  <c r="K5304" i="2"/>
  <c r="K5305" i="2"/>
  <c r="K5306" i="2"/>
  <c r="K5307" i="2"/>
  <c r="K5308" i="2"/>
  <c r="K5309" i="2"/>
  <c r="K5310" i="2"/>
  <c r="C359" i="4"/>
  <c r="D359" i="4" s="1"/>
  <c r="E359" i="4" s="1"/>
  <c r="F359" i="4"/>
  <c r="G359" i="4"/>
  <c r="E5283" i="2"/>
  <c r="H5283" i="2" s="1"/>
  <c r="E5284" i="2"/>
  <c r="E5285" i="2"/>
  <c r="H5285" i="2" s="1"/>
  <c r="E5286" i="2"/>
  <c r="H5286" i="2" s="1"/>
  <c r="E5287" i="2"/>
  <c r="H5287" i="2" s="1"/>
  <c r="E5288" i="2"/>
  <c r="H5288" i="2" s="1"/>
  <c r="E5289" i="2"/>
  <c r="H5289" i="2" s="1"/>
  <c r="E5290" i="2"/>
  <c r="H5290" i="2" s="1"/>
  <c r="E5291" i="2"/>
  <c r="H5291" i="2" s="1"/>
  <c r="E5292" i="2"/>
  <c r="H5292" i="2" s="1"/>
  <c r="E5293" i="2"/>
  <c r="H5293" i="2" s="1"/>
  <c r="E5294" i="2"/>
  <c r="H5294" i="2" s="1"/>
  <c r="E5295" i="2"/>
  <c r="H5295" i="2" s="1"/>
  <c r="E5296" i="2"/>
  <c r="H5296" i="2" s="1"/>
  <c r="E5297" i="2"/>
  <c r="H5297" i="2" s="1"/>
  <c r="F5283" i="2"/>
  <c r="F5284" i="2"/>
  <c r="F5285" i="2"/>
  <c r="F5286" i="2"/>
  <c r="F5287" i="2"/>
  <c r="F5288" i="2"/>
  <c r="F5289" i="2"/>
  <c r="F5290" i="2"/>
  <c r="F5291" i="2"/>
  <c r="F5292" i="2"/>
  <c r="F5293" i="2"/>
  <c r="F5294" i="2"/>
  <c r="F5295" i="2"/>
  <c r="F5296" i="2"/>
  <c r="F5297" i="2"/>
  <c r="G5283" i="2"/>
  <c r="G5284" i="2"/>
  <c r="G5285" i="2"/>
  <c r="G5286" i="2"/>
  <c r="G5287" i="2"/>
  <c r="G5288" i="2"/>
  <c r="G5289" i="2"/>
  <c r="G5290" i="2"/>
  <c r="G5291" i="2"/>
  <c r="G5292" i="2"/>
  <c r="G5293" i="2"/>
  <c r="G5294" i="2"/>
  <c r="G5295" i="2"/>
  <c r="G5296" i="2"/>
  <c r="G5297" i="2"/>
  <c r="H5284" i="2"/>
  <c r="I5283" i="2"/>
  <c r="I5284" i="2"/>
  <c r="I5285" i="2"/>
  <c r="I5286" i="2"/>
  <c r="I5287" i="2"/>
  <c r="I5288" i="2"/>
  <c r="I5289" i="2"/>
  <c r="I5290" i="2"/>
  <c r="I5291" i="2"/>
  <c r="I5292" i="2"/>
  <c r="I5293" i="2"/>
  <c r="I5294" i="2"/>
  <c r="I5295" i="2"/>
  <c r="I5296" i="2"/>
  <c r="I5297" i="2"/>
  <c r="J5283" i="2"/>
  <c r="J5284" i="2"/>
  <c r="J5285" i="2"/>
  <c r="J5286" i="2"/>
  <c r="J5287" i="2"/>
  <c r="J5288" i="2"/>
  <c r="J5289" i="2"/>
  <c r="J5290" i="2"/>
  <c r="J5291" i="2"/>
  <c r="J5292" i="2"/>
  <c r="J5293" i="2"/>
  <c r="J5294" i="2"/>
  <c r="J5295" i="2"/>
  <c r="J5296" i="2"/>
  <c r="J5297" i="2"/>
  <c r="K5283" i="2"/>
  <c r="K5284" i="2"/>
  <c r="K5285" i="2"/>
  <c r="K5286" i="2"/>
  <c r="K5287" i="2"/>
  <c r="K5288" i="2"/>
  <c r="K5289" i="2"/>
  <c r="K5290" i="2"/>
  <c r="K5291" i="2"/>
  <c r="K5292" i="2"/>
  <c r="K5293" i="2"/>
  <c r="K5294" i="2"/>
  <c r="K5295" i="2"/>
  <c r="K5296" i="2"/>
  <c r="K5297" i="2"/>
  <c r="C358" i="4"/>
  <c r="D358" i="4" s="1"/>
  <c r="E358" i="4" s="1"/>
  <c r="F358" i="4"/>
  <c r="G358" i="4"/>
  <c r="E5259" i="2"/>
  <c r="E5260" i="2"/>
  <c r="E5261" i="2"/>
  <c r="E5262" i="2"/>
  <c r="H5262" i="2" s="1"/>
  <c r="E5263" i="2"/>
  <c r="H5263" i="2" s="1"/>
  <c r="E5264" i="2"/>
  <c r="H5264" i="2" s="1"/>
  <c r="E5265" i="2"/>
  <c r="H5265" i="2" s="1"/>
  <c r="E5266" i="2"/>
  <c r="H5266" i="2" s="1"/>
  <c r="E5267" i="2"/>
  <c r="H5267" i="2" s="1"/>
  <c r="E5268" i="2"/>
  <c r="H5268" i="2" s="1"/>
  <c r="E5269" i="2"/>
  <c r="H5269" i="2" s="1"/>
  <c r="E5270" i="2"/>
  <c r="H5270" i="2" s="1"/>
  <c r="E5271" i="2"/>
  <c r="H5271" i="2" s="1"/>
  <c r="E5272" i="2"/>
  <c r="H5272" i="2" s="1"/>
  <c r="E5273" i="2"/>
  <c r="H5273" i="2" s="1"/>
  <c r="E5274" i="2"/>
  <c r="H5274" i="2" s="1"/>
  <c r="E5275" i="2"/>
  <c r="H5275" i="2" s="1"/>
  <c r="E5276" i="2"/>
  <c r="H5276" i="2" s="1"/>
  <c r="E5277" i="2"/>
  <c r="H5277" i="2" s="1"/>
  <c r="E5278" i="2"/>
  <c r="H5278" i="2" s="1"/>
  <c r="E5279" i="2"/>
  <c r="H5279" i="2" s="1"/>
  <c r="E5280" i="2"/>
  <c r="H5280" i="2" s="1"/>
  <c r="E5281" i="2"/>
  <c r="H5281" i="2" s="1"/>
  <c r="E5282" i="2"/>
  <c r="H5282" i="2" s="1"/>
  <c r="F5259" i="2"/>
  <c r="F5260" i="2"/>
  <c r="F5261" i="2"/>
  <c r="F5262" i="2"/>
  <c r="F5263" i="2"/>
  <c r="F5264" i="2"/>
  <c r="F5265" i="2"/>
  <c r="F5266" i="2"/>
  <c r="F5267" i="2"/>
  <c r="F5268" i="2"/>
  <c r="F5269" i="2"/>
  <c r="F5270" i="2"/>
  <c r="F5271" i="2"/>
  <c r="F5272" i="2"/>
  <c r="F5273" i="2"/>
  <c r="F5274" i="2"/>
  <c r="F5275" i="2"/>
  <c r="F5276" i="2"/>
  <c r="F5277" i="2"/>
  <c r="F5278" i="2"/>
  <c r="F5279" i="2"/>
  <c r="F5280" i="2"/>
  <c r="F5281" i="2"/>
  <c r="F5282" i="2"/>
  <c r="G5259" i="2"/>
  <c r="G5260" i="2"/>
  <c r="G5261" i="2"/>
  <c r="G5262" i="2"/>
  <c r="G5263" i="2"/>
  <c r="G5264" i="2"/>
  <c r="G5265" i="2"/>
  <c r="G5266" i="2"/>
  <c r="G5267" i="2"/>
  <c r="G5268" i="2"/>
  <c r="G5269" i="2"/>
  <c r="G5270" i="2"/>
  <c r="G5271" i="2"/>
  <c r="G5272" i="2"/>
  <c r="G5273" i="2"/>
  <c r="G5274" i="2"/>
  <c r="G5275" i="2"/>
  <c r="G5276" i="2"/>
  <c r="G5277" i="2"/>
  <c r="G5278" i="2"/>
  <c r="G5279" i="2"/>
  <c r="G5280" i="2"/>
  <c r="G5281" i="2"/>
  <c r="G5282" i="2"/>
  <c r="H5259" i="2"/>
  <c r="H5260" i="2"/>
  <c r="H5261" i="2"/>
  <c r="I5259" i="2"/>
  <c r="I5260" i="2"/>
  <c r="I5261" i="2"/>
  <c r="I5262" i="2"/>
  <c r="I5263" i="2"/>
  <c r="I5264" i="2"/>
  <c r="I5265" i="2"/>
  <c r="I5266" i="2"/>
  <c r="I5267" i="2"/>
  <c r="I5268" i="2"/>
  <c r="I5269" i="2"/>
  <c r="I5270" i="2"/>
  <c r="I5271" i="2"/>
  <c r="I5272" i="2"/>
  <c r="I5273" i="2"/>
  <c r="I5274" i="2"/>
  <c r="I5275" i="2"/>
  <c r="I5276" i="2"/>
  <c r="I5277" i="2"/>
  <c r="I5278" i="2"/>
  <c r="I5279" i="2"/>
  <c r="I5280" i="2"/>
  <c r="I5281" i="2"/>
  <c r="I5282" i="2"/>
  <c r="J5259" i="2"/>
  <c r="J5260" i="2"/>
  <c r="J5261" i="2"/>
  <c r="J5262" i="2"/>
  <c r="J5263" i="2"/>
  <c r="J5264" i="2"/>
  <c r="J5265" i="2"/>
  <c r="J5266" i="2"/>
  <c r="J5267" i="2"/>
  <c r="J5268" i="2"/>
  <c r="J5269" i="2"/>
  <c r="J5270" i="2"/>
  <c r="J5271" i="2"/>
  <c r="J5272" i="2"/>
  <c r="J5273" i="2"/>
  <c r="J5274" i="2"/>
  <c r="J5275" i="2"/>
  <c r="J5276" i="2"/>
  <c r="J5277" i="2"/>
  <c r="J5278" i="2"/>
  <c r="J5279" i="2"/>
  <c r="J5280" i="2"/>
  <c r="J5281" i="2"/>
  <c r="J5282" i="2"/>
  <c r="K5259" i="2"/>
  <c r="K5260" i="2"/>
  <c r="K5261" i="2"/>
  <c r="K5262" i="2"/>
  <c r="K5263" i="2"/>
  <c r="K5264" i="2"/>
  <c r="K5265" i="2"/>
  <c r="K5266" i="2"/>
  <c r="K5267" i="2"/>
  <c r="K5268" i="2"/>
  <c r="K5269" i="2"/>
  <c r="K5270" i="2"/>
  <c r="K5271" i="2"/>
  <c r="K5272" i="2"/>
  <c r="K5273" i="2"/>
  <c r="K5274" i="2"/>
  <c r="K5275" i="2"/>
  <c r="K5276" i="2"/>
  <c r="K5277" i="2"/>
  <c r="K5278" i="2"/>
  <c r="K5279" i="2"/>
  <c r="K5280" i="2"/>
  <c r="K5281" i="2"/>
  <c r="K5282" i="2"/>
  <c r="E5224" i="2"/>
  <c r="H5224" i="2" s="1"/>
  <c r="E5225" i="2"/>
  <c r="E5226" i="2"/>
  <c r="E5227" i="2"/>
  <c r="H5227" i="2" s="1"/>
  <c r="E5228" i="2"/>
  <c r="H5228" i="2" s="1"/>
  <c r="E5229" i="2"/>
  <c r="H5229" i="2" s="1"/>
  <c r="E5230" i="2"/>
  <c r="H5230" i="2" s="1"/>
  <c r="E5231" i="2"/>
  <c r="H5231" i="2" s="1"/>
  <c r="E5232" i="2"/>
  <c r="H5232" i="2" s="1"/>
  <c r="E5233" i="2"/>
  <c r="H5233" i="2" s="1"/>
  <c r="E5234" i="2"/>
  <c r="H5234" i="2" s="1"/>
  <c r="E5235" i="2"/>
  <c r="H5235" i="2" s="1"/>
  <c r="E5236" i="2"/>
  <c r="H5236" i="2" s="1"/>
  <c r="E5237" i="2"/>
  <c r="H5237" i="2" s="1"/>
  <c r="E5238" i="2"/>
  <c r="H5238" i="2" s="1"/>
  <c r="E5239" i="2"/>
  <c r="H5239" i="2" s="1"/>
  <c r="E5240" i="2"/>
  <c r="H5240" i="2" s="1"/>
  <c r="E5241" i="2"/>
  <c r="H5241" i="2" s="1"/>
  <c r="E5242" i="2"/>
  <c r="H5242" i="2" s="1"/>
  <c r="E5243" i="2"/>
  <c r="H5243" i="2" s="1"/>
  <c r="E5244" i="2"/>
  <c r="H5244" i="2" s="1"/>
  <c r="E5245" i="2"/>
  <c r="H5245" i="2" s="1"/>
  <c r="E5246" i="2"/>
  <c r="H5246" i="2" s="1"/>
  <c r="E5247" i="2"/>
  <c r="H5247" i="2" s="1"/>
  <c r="E5248" i="2"/>
  <c r="H5248" i="2" s="1"/>
  <c r="E5249" i="2"/>
  <c r="H5249" i="2" s="1"/>
  <c r="E5250" i="2"/>
  <c r="H5250" i="2" s="1"/>
  <c r="E5251" i="2"/>
  <c r="H5251" i="2" s="1"/>
  <c r="E5252" i="2"/>
  <c r="H5252" i="2" s="1"/>
  <c r="E5253" i="2"/>
  <c r="H5253" i="2" s="1"/>
  <c r="E5254" i="2"/>
  <c r="H5254" i="2" s="1"/>
  <c r="E5255" i="2"/>
  <c r="H5255" i="2" s="1"/>
  <c r="E5256" i="2"/>
  <c r="H5256" i="2" s="1"/>
  <c r="E5257" i="2"/>
  <c r="H5257" i="2" s="1"/>
  <c r="E5258" i="2"/>
  <c r="H5258" i="2" s="1"/>
  <c r="F5224" i="2"/>
  <c r="F5225" i="2"/>
  <c r="F5226" i="2"/>
  <c r="F5227" i="2"/>
  <c r="F5228" i="2"/>
  <c r="F5229" i="2"/>
  <c r="F5230" i="2"/>
  <c r="F5231" i="2"/>
  <c r="F5232" i="2"/>
  <c r="F5233" i="2"/>
  <c r="F5234" i="2"/>
  <c r="F5235" i="2"/>
  <c r="F5236" i="2"/>
  <c r="F5237" i="2"/>
  <c r="F5238" i="2"/>
  <c r="F5239" i="2"/>
  <c r="F5240" i="2"/>
  <c r="F5241" i="2"/>
  <c r="F5242" i="2"/>
  <c r="F5243" i="2"/>
  <c r="F5244" i="2"/>
  <c r="F5245" i="2"/>
  <c r="F5246" i="2"/>
  <c r="F5247" i="2"/>
  <c r="F5248" i="2"/>
  <c r="F5249" i="2"/>
  <c r="F5250" i="2"/>
  <c r="F5251" i="2"/>
  <c r="F5252" i="2"/>
  <c r="F5253" i="2"/>
  <c r="F5254" i="2"/>
  <c r="F5255" i="2"/>
  <c r="F5256" i="2"/>
  <c r="F5257" i="2"/>
  <c r="F5258" i="2"/>
  <c r="G5224" i="2"/>
  <c r="G5225" i="2"/>
  <c r="G5226" i="2"/>
  <c r="G5227" i="2"/>
  <c r="G5228" i="2"/>
  <c r="G5229" i="2"/>
  <c r="G5230" i="2"/>
  <c r="G5231" i="2"/>
  <c r="G5232" i="2"/>
  <c r="G5233" i="2"/>
  <c r="G5234" i="2"/>
  <c r="G5235" i="2"/>
  <c r="G5236" i="2"/>
  <c r="G5237" i="2"/>
  <c r="G5238" i="2"/>
  <c r="G5239" i="2"/>
  <c r="G5240" i="2"/>
  <c r="G5241" i="2"/>
  <c r="G5242" i="2"/>
  <c r="G5243" i="2"/>
  <c r="G5244" i="2"/>
  <c r="G5245" i="2"/>
  <c r="G5246" i="2"/>
  <c r="G5247" i="2"/>
  <c r="G5248" i="2"/>
  <c r="G5249" i="2"/>
  <c r="G5250" i="2"/>
  <c r="G5251" i="2"/>
  <c r="G5252" i="2"/>
  <c r="G5253" i="2"/>
  <c r="G5254" i="2"/>
  <c r="G5255" i="2"/>
  <c r="G5256" i="2"/>
  <c r="G5257" i="2"/>
  <c r="G5258" i="2"/>
  <c r="H5225" i="2"/>
  <c r="H5226" i="2"/>
  <c r="I5224" i="2"/>
  <c r="I5225" i="2"/>
  <c r="I5226" i="2"/>
  <c r="I5227" i="2"/>
  <c r="I5228" i="2"/>
  <c r="I5229" i="2"/>
  <c r="I5230" i="2"/>
  <c r="I5231" i="2"/>
  <c r="I5232" i="2"/>
  <c r="I5233" i="2"/>
  <c r="I5234" i="2"/>
  <c r="I5235" i="2"/>
  <c r="I5236" i="2"/>
  <c r="I5237" i="2"/>
  <c r="I5238" i="2"/>
  <c r="I5239" i="2"/>
  <c r="I5240" i="2"/>
  <c r="I5241" i="2"/>
  <c r="I5242" i="2"/>
  <c r="I5243" i="2"/>
  <c r="I5244" i="2"/>
  <c r="I5245" i="2"/>
  <c r="I5246" i="2"/>
  <c r="I5247" i="2"/>
  <c r="I5248" i="2"/>
  <c r="I5249" i="2"/>
  <c r="I5250" i="2"/>
  <c r="I5251" i="2"/>
  <c r="I5252" i="2"/>
  <c r="I5253" i="2"/>
  <c r="I5254" i="2"/>
  <c r="I5255" i="2"/>
  <c r="I5256" i="2"/>
  <c r="I5257" i="2"/>
  <c r="I5258" i="2"/>
  <c r="J5224" i="2"/>
  <c r="J5225" i="2"/>
  <c r="J5226" i="2"/>
  <c r="J5227" i="2"/>
  <c r="J5228" i="2"/>
  <c r="J5229" i="2"/>
  <c r="J5230" i="2"/>
  <c r="J5231" i="2"/>
  <c r="J5232" i="2"/>
  <c r="J5233" i="2"/>
  <c r="J5234" i="2"/>
  <c r="J5235" i="2"/>
  <c r="J5236" i="2"/>
  <c r="J5237" i="2"/>
  <c r="J5238" i="2"/>
  <c r="J5239" i="2"/>
  <c r="J5240" i="2"/>
  <c r="J5241" i="2"/>
  <c r="J5242" i="2"/>
  <c r="J5243" i="2"/>
  <c r="J5244" i="2"/>
  <c r="J5245" i="2"/>
  <c r="J5246" i="2"/>
  <c r="J5247" i="2"/>
  <c r="J5248" i="2"/>
  <c r="J5249" i="2"/>
  <c r="J5250" i="2"/>
  <c r="J5251" i="2"/>
  <c r="J5252" i="2"/>
  <c r="J5253" i="2"/>
  <c r="J5254" i="2"/>
  <c r="J5255" i="2"/>
  <c r="J5256" i="2"/>
  <c r="J5257" i="2"/>
  <c r="J5258" i="2"/>
  <c r="K5224" i="2"/>
  <c r="K5225" i="2"/>
  <c r="K5226" i="2"/>
  <c r="K5227" i="2"/>
  <c r="K5228" i="2"/>
  <c r="K5229" i="2"/>
  <c r="K5230" i="2"/>
  <c r="K5231" i="2"/>
  <c r="K5232" i="2"/>
  <c r="K5233" i="2"/>
  <c r="K5234" i="2"/>
  <c r="K5235" i="2"/>
  <c r="K5236" i="2"/>
  <c r="K5237" i="2"/>
  <c r="K5238" i="2"/>
  <c r="K5239" i="2"/>
  <c r="K5240" i="2"/>
  <c r="K5241" i="2"/>
  <c r="K5242" i="2"/>
  <c r="K5243" i="2"/>
  <c r="K5244" i="2"/>
  <c r="K5245" i="2"/>
  <c r="K5246" i="2"/>
  <c r="K5247" i="2"/>
  <c r="K5248" i="2"/>
  <c r="K5249" i="2"/>
  <c r="K5250" i="2"/>
  <c r="K5251" i="2"/>
  <c r="K5252" i="2"/>
  <c r="K5253" i="2"/>
  <c r="K5254" i="2"/>
  <c r="K5255" i="2"/>
  <c r="K5256" i="2"/>
  <c r="K5257" i="2"/>
  <c r="K5258" i="2"/>
  <c r="C357" i="4"/>
  <c r="D357" i="4" s="1"/>
  <c r="E357" i="4" s="1"/>
  <c r="F357" i="4"/>
  <c r="G357" i="4"/>
  <c r="E5189" i="2"/>
  <c r="H5189" i="2" s="1"/>
  <c r="E5190" i="2"/>
  <c r="E5191" i="2"/>
  <c r="E5192" i="2"/>
  <c r="H5192" i="2" s="1"/>
  <c r="E5193" i="2"/>
  <c r="H5193" i="2" s="1"/>
  <c r="E5194" i="2"/>
  <c r="H5194" i="2" s="1"/>
  <c r="E5195" i="2"/>
  <c r="H5195" i="2" s="1"/>
  <c r="E5196" i="2"/>
  <c r="H5196" i="2" s="1"/>
  <c r="E5197" i="2"/>
  <c r="H5197" i="2" s="1"/>
  <c r="E5198" i="2"/>
  <c r="H5198" i="2" s="1"/>
  <c r="E5199" i="2"/>
  <c r="H5199" i="2" s="1"/>
  <c r="E5200" i="2"/>
  <c r="H5200" i="2" s="1"/>
  <c r="E5201" i="2"/>
  <c r="H5201" i="2" s="1"/>
  <c r="E5202" i="2"/>
  <c r="H5202" i="2" s="1"/>
  <c r="E5203" i="2"/>
  <c r="H5203" i="2" s="1"/>
  <c r="E5204" i="2"/>
  <c r="H5204" i="2" s="1"/>
  <c r="E5205" i="2"/>
  <c r="H5205" i="2" s="1"/>
  <c r="E5206" i="2"/>
  <c r="H5206" i="2" s="1"/>
  <c r="E5207" i="2"/>
  <c r="H5207" i="2" s="1"/>
  <c r="E5208" i="2"/>
  <c r="H5208" i="2" s="1"/>
  <c r="E5209" i="2"/>
  <c r="H5209" i="2" s="1"/>
  <c r="E5210" i="2"/>
  <c r="H5210" i="2" s="1"/>
  <c r="E5211" i="2"/>
  <c r="H5211" i="2" s="1"/>
  <c r="E5212" i="2"/>
  <c r="H5212" i="2" s="1"/>
  <c r="E5213" i="2"/>
  <c r="H5213" i="2" s="1"/>
  <c r="E5214" i="2"/>
  <c r="H5214" i="2" s="1"/>
  <c r="E5215" i="2"/>
  <c r="H5215" i="2" s="1"/>
  <c r="E5216" i="2"/>
  <c r="H5216" i="2" s="1"/>
  <c r="E5217" i="2"/>
  <c r="H5217" i="2" s="1"/>
  <c r="E5218" i="2"/>
  <c r="H5218" i="2" s="1"/>
  <c r="E5219" i="2"/>
  <c r="H5219" i="2" s="1"/>
  <c r="E5220" i="2"/>
  <c r="H5220" i="2" s="1"/>
  <c r="E5221" i="2"/>
  <c r="H5221" i="2" s="1"/>
  <c r="E5222" i="2"/>
  <c r="H5222" i="2" s="1"/>
  <c r="E5223" i="2"/>
  <c r="H5223" i="2" s="1"/>
  <c r="F5189" i="2"/>
  <c r="F5190" i="2"/>
  <c r="F5191" i="2"/>
  <c r="F5192" i="2"/>
  <c r="F5193" i="2"/>
  <c r="F5194" i="2"/>
  <c r="F5195" i="2"/>
  <c r="F5196" i="2"/>
  <c r="F5197" i="2"/>
  <c r="F5198" i="2"/>
  <c r="F5199" i="2"/>
  <c r="F5200" i="2"/>
  <c r="F5201" i="2"/>
  <c r="F5202" i="2"/>
  <c r="F5203" i="2"/>
  <c r="F5204" i="2"/>
  <c r="F5205" i="2"/>
  <c r="F5206" i="2"/>
  <c r="F5207" i="2"/>
  <c r="F5208" i="2"/>
  <c r="F5209" i="2"/>
  <c r="F5210" i="2"/>
  <c r="F5211" i="2"/>
  <c r="F5212" i="2"/>
  <c r="F5213" i="2"/>
  <c r="F5214" i="2"/>
  <c r="F5215" i="2"/>
  <c r="F5216" i="2"/>
  <c r="F5217" i="2"/>
  <c r="F5218" i="2"/>
  <c r="F5219" i="2"/>
  <c r="F5220" i="2"/>
  <c r="F5221" i="2"/>
  <c r="F5222" i="2"/>
  <c r="F5223" i="2"/>
  <c r="G5189" i="2"/>
  <c r="G5190" i="2"/>
  <c r="G5191" i="2"/>
  <c r="G5192" i="2"/>
  <c r="G5193" i="2"/>
  <c r="G5194" i="2"/>
  <c r="G5195" i="2"/>
  <c r="G5196" i="2"/>
  <c r="G5197" i="2"/>
  <c r="G5198" i="2"/>
  <c r="G5199" i="2"/>
  <c r="G5200" i="2"/>
  <c r="G5201" i="2"/>
  <c r="G5202" i="2"/>
  <c r="G5203" i="2"/>
  <c r="G5204" i="2"/>
  <c r="G5205" i="2"/>
  <c r="G5206" i="2"/>
  <c r="G5207" i="2"/>
  <c r="G5208" i="2"/>
  <c r="G5209" i="2"/>
  <c r="G5210" i="2"/>
  <c r="G5211" i="2"/>
  <c r="G5212" i="2"/>
  <c r="G5213" i="2"/>
  <c r="G5214" i="2"/>
  <c r="G5215" i="2"/>
  <c r="G5216" i="2"/>
  <c r="G5217" i="2"/>
  <c r="G5218" i="2"/>
  <c r="G5219" i="2"/>
  <c r="G5220" i="2"/>
  <c r="G5221" i="2"/>
  <c r="G5222" i="2"/>
  <c r="G5223" i="2"/>
  <c r="H5190" i="2"/>
  <c r="H5191" i="2"/>
  <c r="I5189" i="2"/>
  <c r="I5190" i="2"/>
  <c r="I5191" i="2"/>
  <c r="I5192" i="2"/>
  <c r="I5193" i="2"/>
  <c r="I5194" i="2"/>
  <c r="I5195" i="2"/>
  <c r="I5196" i="2"/>
  <c r="I5197" i="2"/>
  <c r="I5198" i="2"/>
  <c r="I5199" i="2"/>
  <c r="I5200" i="2"/>
  <c r="I5201" i="2"/>
  <c r="I5202" i="2"/>
  <c r="I5203" i="2"/>
  <c r="I5204" i="2"/>
  <c r="I5205" i="2"/>
  <c r="I5206" i="2"/>
  <c r="I5207" i="2"/>
  <c r="I5208" i="2"/>
  <c r="I5209" i="2"/>
  <c r="I5210" i="2"/>
  <c r="I5211" i="2"/>
  <c r="I5212" i="2"/>
  <c r="I5213" i="2"/>
  <c r="I5214" i="2"/>
  <c r="I5215" i="2"/>
  <c r="I5216" i="2"/>
  <c r="I5217" i="2"/>
  <c r="I5218" i="2"/>
  <c r="I5219" i="2"/>
  <c r="I5220" i="2"/>
  <c r="I5221" i="2"/>
  <c r="I5222" i="2"/>
  <c r="I5223" i="2"/>
  <c r="J5189" i="2"/>
  <c r="J5190" i="2"/>
  <c r="J5191" i="2"/>
  <c r="J5192" i="2"/>
  <c r="J5193" i="2"/>
  <c r="J5194" i="2"/>
  <c r="J5195" i="2"/>
  <c r="J5196" i="2"/>
  <c r="J5197" i="2"/>
  <c r="J5198" i="2"/>
  <c r="J5199" i="2"/>
  <c r="J5200" i="2"/>
  <c r="J5201" i="2"/>
  <c r="J5202" i="2"/>
  <c r="J5203" i="2"/>
  <c r="J5204" i="2"/>
  <c r="J5205" i="2"/>
  <c r="J5206" i="2"/>
  <c r="J5207" i="2"/>
  <c r="J5208" i="2"/>
  <c r="J5209" i="2"/>
  <c r="J5210" i="2"/>
  <c r="J5211" i="2"/>
  <c r="J5212" i="2"/>
  <c r="J5213" i="2"/>
  <c r="J5214" i="2"/>
  <c r="J5215" i="2"/>
  <c r="J5216" i="2"/>
  <c r="J5217" i="2"/>
  <c r="J5218" i="2"/>
  <c r="J5219" i="2"/>
  <c r="J5220" i="2"/>
  <c r="J5221" i="2"/>
  <c r="J5222" i="2"/>
  <c r="J5223" i="2"/>
  <c r="K5189" i="2"/>
  <c r="K5190" i="2"/>
  <c r="K5191" i="2"/>
  <c r="K5192" i="2"/>
  <c r="K5193" i="2"/>
  <c r="K5194" i="2"/>
  <c r="K5195" i="2"/>
  <c r="K5196" i="2"/>
  <c r="K5197" i="2"/>
  <c r="K5198" i="2"/>
  <c r="K5199" i="2"/>
  <c r="K5200" i="2"/>
  <c r="K5201" i="2"/>
  <c r="K5202" i="2"/>
  <c r="K5203" i="2"/>
  <c r="K5204" i="2"/>
  <c r="K5205" i="2"/>
  <c r="K5206" i="2"/>
  <c r="K5207" i="2"/>
  <c r="K5208" i="2"/>
  <c r="K5209" i="2"/>
  <c r="K5210" i="2"/>
  <c r="K5211" i="2"/>
  <c r="K5212" i="2"/>
  <c r="K5213" i="2"/>
  <c r="K5214" i="2"/>
  <c r="K5215" i="2"/>
  <c r="K5216" i="2"/>
  <c r="K5217" i="2"/>
  <c r="K5218" i="2"/>
  <c r="K5219" i="2"/>
  <c r="K5220" i="2"/>
  <c r="K5221" i="2"/>
  <c r="K5222" i="2"/>
  <c r="K5223" i="2"/>
  <c r="C356" i="4"/>
  <c r="D356" i="4" s="1"/>
  <c r="E356" i="4" s="1"/>
  <c r="F356" i="4"/>
  <c r="G356" i="4"/>
  <c r="E5168" i="2"/>
  <c r="H5168" i="2" s="1"/>
  <c r="E5169" i="2"/>
  <c r="H5169" i="2" s="1"/>
  <c r="E5170" i="2"/>
  <c r="H5170" i="2" s="1"/>
  <c r="E5171" i="2"/>
  <c r="H5171" i="2" s="1"/>
  <c r="E5172" i="2"/>
  <c r="H5172" i="2" s="1"/>
  <c r="E5173" i="2"/>
  <c r="H5173" i="2" s="1"/>
  <c r="E5174" i="2"/>
  <c r="H5174" i="2" s="1"/>
  <c r="E5175" i="2"/>
  <c r="H5175" i="2" s="1"/>
  <c r="E5176" i="2"/>
  <c r="H5176" i="2" s="1"/>
  <c r="E5177" i="2"/>
  <c r="H5177" i="2" s="1"/>
  <c r="E5178" i="2"/>
  <c r="H5178" i="2" s="1"/>
  <c r="E5179" i="2"/>
  <c r="H5179" i="2" s="1"/>
  <c r="E5180" i="2"/>
  <c r="H5180" i="2" s="1"/>
  <c r="E5181" i="2"/>
  <c r="H5181" i="2" s="1"/>
  <c r="E5182" i="2"/>
  <c r="H5182" i="2" s="1"/>
  <c r="E5183" i="2"/>
  <c r="H5183" i="2" s="1"/>
  <c r="E5184" i="2"/>
  <c r="H5184" i="2" s="1"/>
  <c r="E5185" i="2"/>
  <c r="H5185" i="2" s="1"/>
  <c r="E5186" i="2"/>
  <c r="H5186" i="2" s="1"/>
  <c r="E5187" i="2"/>
  <c r="H5187" i="2" s="1"/>
  <c r="E5188" i="2"/>
  <c r="H5188" i="2" s="1"/>
  <c r="F5168" i="2"/>
  <c r="F5169" i="2"/>
  <c r="F5170" i="2"/>
  <c r="F5171" i="2"/>
  <c r="F5172" i="2"/>
  <c r="F5173" i="2"/>
  <c r="F5174" i="2"/>
  <c r="F5175" i="2"/>
  <c r="F5176" i="2"/>
  <c r="F5177" i="2"/>
  <c r="F5178" i="2"/>
  <c r="F5179" i="2"/>
  <c r="F5180" i="2"/>
  <c r="F5181" i="2"/>
  <c r="F5182" i="2"/>
  <c r="F5183" i="2"/>
  <c r="F5184" i="2"/>
  <c r="F5185" i="2"/>
  <c r="F5186" i="2"/>
  <c r="F5187" i="2"/>
  <c r="F5188" i="2"/>
  <c r="G5168" i="2"/>
  <c r="G5169" i="2"/>
  <c r="G5170" i="2"/>
  <c r="G5171" i="2"/>
  <c r="G5172" i="2"/>
  <c r="G5173" i="2"/>
  <c r="G5174" i="2"/>
  <c r="G5175" i="2"/>
  <c r="G5176" i="2"/>
  <c r="G5177" i="2"/>
  <c r="G5178" i="2"/>
  <c r="G5179" i="2"/>
  <c r="G5180" i="2"/>
  <c r="G5181" i="2"/>
  <c r="G5182" i="2"/>
  <c r="G5183" i="2"/>
  <c r="G5184" i="2"/>
  <c r="G5185" i="2"/>
  <c r="G5186" i="2"/>
  <c r="G5187" i="2"/>
  <c r="G5188" i="2"/>
  <c r="I5168" i="2"/>
  <c r="I5169" i="2"/>
  <c r="I5170" i="2"/>
  <c r="I5171" i="2"/>
  <c r="I5172" i="2"/>
  <c r="I5173" i="2"/>
  <c r="I5174" i="2"/>
  <c r="I5175" i="2"/>
  <c r="I5176" i="2"/>
  <c r="I5177" i="2"/>
  <c r="I5178" i="2"/>
  <c r="I5179" i="2"/>
  <c r="I5180" i="2"/>
  <c r="I5181" i="2"/>
  <c r="I5182" i="2"/>
  <c r="I5183" i="2"/>
  <c r="I5184" i="2"/>
  <c r="I5185" i="2"/>
  <c r="I5186" i="2"/>
  <c r="I5187" i="2"/>
  <c r="I5188" i="2"/>
  <c r="J5168" i="2"/>
  <c r="J5169" i="2"/>
  <c r="J5170" i="2"/>
  <c r="J5171" i="2"/>
  <c r="J5172" i="2"/>
  <c r="J5173" i="2"/>
  <c r="J5174" i="2"/>
  <c r="J5175" i="2"/>
  <c r="J5176" i="2"/>
  <c r="J5177" i="2"/>
  <c r="J5178" i="2"/>
  <c r="J5179" i="2"/>
  <c r="J5180" i="2"/>
  <c r="J5181" i="2"/>
  <c r="J5182" i="2"/>
  <c r="J5183" i="2"/>
  <c r="J5184" i="2"/>
  <c r="J5185" i="2"/>
  <c r="J5186" i="2"/>
  <c r="J5187" i="2"/>
  <c r="J5188" i="2"/>
  <c r="K5168" i="2"/>
  <c r="K5169" i="2"/>
  <c r="K5170" i="2"/>
  <c r="K5171" i="2"/>
  <c r="K5172" i="2"/>
  <c r="K5173" i="2"/>
  <c r="K5174" i="2"/>
  <c r="K5175" i="2"/>
  <c r="K5176" i="2"/>
  <c r="K5177" i="2"/>
  <c r="K5178" i="2"/>
  <c r="K5179" i="2"/>
  <c r="K5180" i="2"/>
  <c r="K5181" i="2"/>
  <c r="K5182" i="2"/>
  <c r="K5183" i="2"/>
  <c r="K5184" i="2"/>
  <c r="K5185" i="2"/>
  <c r="K5186" i="2"/>
  <c r="K5187" i="2"/>
  <c r="K5188" i="2"/>
  <c r="E5140" i="2"/>
  <c r="E5141" i="2"/>
  <c r="E5142" i="2"/>
  <c r="E5143" i="2"/>
  <c r="E5144" i="2"/>
  <c r="E5145" i="2"/>
  <c r="E5146" i="2"/>
  <c r="E5147" i="2"/>
  <c r="E5148" i="2"/>
  <c r="E5149" i="2"/>
  <c r="E5150" i="2"/>
  <c r="E5151" i="2"/>
  <c r="E5152" i="2"/>
  <c r="E5153" i="2"/>
  <c r="E5154" i="2"/>
  <c r="E5155" i="2"/>
  <c r="E5156" i="2"/>
  <c r="E5157" i="2"/>
  <c r="E5158" i="2"/>
  <c r="E5159" i="2"/>
  <c r="E5160" i="2"/>
  <c r="E5161" i="2"/>
  <c r="E5162" i="2"/>
  <c r="E5163" i="2"/>
  <c r="H5163" i="2" s="1"/>
  <c r="E5164" i="2"/>
  <c r="H5164" i="2" s="1"/>
  <c r="E5165" i="2"/>
  <c r="H5165" i="2" s="1"/>
  <c r="E5166" i="2"/>
  <c r="H5166" i="2" s="1"/>
  <c r="E5167" i="2"/>
  <c r="H5167" i="2" s="1"/>
  <c r="F5140" i="2"/>
  <c r="F5141" i="2"/>
  <c r="F5142" i="2"/>
  <c r="F5143" i="2"/>
  <c r="F5144" i="2"/>
  <c r="F5145" i="2"/>
  <c r="F5146" i="2"/>
  <c r="F5147" i="2"/>
  <c r="F5148" i="2"/>
  <c r="F5149" i="2"/>
  <c r="F5150" i="2"/>
  <c r="F5151" i="2"/>
  <c r="F5152" i="2"/>
  <c r="F5153" i="2"/>
  <c r="F5154" i="2"/>
  <c r="F5155" i="2"/>
  <c r="F5156" i="2"/>
  <c r="F5157" i="2"/>
  <c r="F5158" i="2"/>
  <c r="F5159" i="2"/>
  <c r="F5160" i="2"/>
  <c r="F5161" i="2"/>
  <c r="F5162" i="2"/>
  <c r="F5163" i="2"/>
  <c r="F5164" i="2"/>
  <c r="F5165" i="2"/>
  <c r="F5166" i="2"/>
  <c r="F5167" i="2"/>
  <c r="G5140" i="2"/>
  <c r="G5141" i="2"/>
  <c r="G5142" i="2"/>
  <c r="G5143" i="2"/>
  <c r="G5144" i="2"/>
  <c r="G5145" i="2"/>
  <c r="G5146" i="2"/>
  <c r="G5147" i="2"/>
  <c r="G5148" i="2"/>
  <c r="G5149" i="2"/>
  <c r="G5150" i="2"/>
  <c r="G5151" i="2"/>
  <c r="G5152" i="2"/>
  <c r="G5153" i="2"/>
  <c r="G5154" i="2"/>
  <c r="G5155" i="2"/>
  <c r="G5156" i="2"/>
  <c r="G5157" i="2"/>
  <c r="G5158" i="2"/>
  <c r="G5159" i="2"/>
  <c r="G5160" i="2"/>
  <c r="G5161" i="2"/>
  <c r="G5162" i="2"/>
  <c r="G5163" i="2"/>
  <c r="G5164" i="2"/>
  <c r="G5165" i="2"/>
  <c r="G5166" i="2"/>
  <c r="G5167" i="2"/>
  <c r="H5140" i="2"/>
  <c r="H5141" i="2"/>
  <c r="H5142" i="2"/>
  <c r="H5143" i="2"/>
  <c r="H5144" i="2"/>
  <c r="H5145" i="2"/>
  <c r="H5146" i="2"/>
  <c r="H5147" i="2"/>
  <c r="H5148" i="2"/>
  <c r="H5149" i="2"/>
  <c r="H5150" i="2"/>
  <c r="H5151" i="2"/>
  <c r="H5152" i="2"/>
  <c r="H5153" i="2"/>
  <c r="H5154" i="2"/>
  <c r="H5155" i="2"/>
  <c r="H5156" i="2"/>
  <c r="H5157" i="2"/>
  <c r="H5158" i="2"/>
  <c r="H5159" i="2"/>
  <c r="H5160" i="2"/>
  <c r="H5161" i="2"/>
  <c r="H5162" i="2"/>
  <c r="I5140" i="2"/>
  <c r="I5141" i="2"/>
  <c r="I5142" i="2"/>
  <c r="I5143" i="2"/>
  <c r="I5144" i="2"/>
  <c r="I5145" i="2"/>
  <c r="I5146" i="2"/>
  <c r="I5147" i="2"/>
  <c r="I5148" i="2"/>
  <c r="I5149" i="2"/>
  <c r="I5150" i="2"/>
  <c r="I5151" i="2"/>
  <c r="I5152" i="2"/>
  <c r="I5153" i="2"/>
  <c r="I5154" i="2"/>
  <c r="I5155" i="2"/>
  <c r="I5156" i="2"/>
  <c r="I5157" i="2"/>
  <c r="I5158" i="2"/>
  <c r="I5159" i="2"/>
  <c r="I5160" i="2"/>
  <c r="I5161" i="2"/>
  <c r="I5162" i="2"/>
  <c r="I5163" i="2"/>
  <c r="I5164" i="2"/>
  <c r="I5165" i="2"/>
  <c r="I5166" i="2"/>
  <c r="I5167" i="2"/>
  <c r="J5140" i="2"/>
  <c r="J5141" i="2"/>
  <c r="J5142" i="2"/>
  <c r="J5143" i="2"/>
  <c r="J5144" i="2"/>
  <c r="J5145" i="2"/>
  <c r="J5146" i="2"/>
  <c r="J5147" i="2"/>
  <c r="J5148" i="2"/>
  <c r="J5149" i="2"/>
  <c r="J5150" i="2"/>
  <c r="J5151" i="2"/>
  <c r="J5152" i="2"/>
  <c r="J5153" i="2"/>
  <c r="J5154" i="2"/>
  <c r="J5155" i="2"/>
  <c r="J5156" i="2"/>
  <c r="J5157" i="2"/>
  <c r="J5158" i="2"/>
  <c r="J5159" i="2"/>
  <c r="J5160" i="2"/>
  <c r="J5161" i="2"/>
  <c r="J5162" i="2"/>
  <c r="J5163" i="2"/>
  <c r="J5164" i="2"/>
  <c r="J5165" i="2"/>
  <c r="J5166" i="2"/>
  <c r="J5167" i="2"/>
  <c r="K5140" i="2"/>
  <c r="K5141" i="2"/>
  <c r="K5142" i="2"/>
  <c r="K5143" i="2"/>
  <c r="K5144" i="2"/>
  <c r="K5145" i="2"/>
  <c r="K5146" i="2"/>
  <c r="K5147" i="2"/>
  <c r="K5148" i="2"/>
  <c r="K5149" i="2"/>
  <c r="K5150" i="2"/>
  <c r="K5151" i="2"/>
  <c r="K5152" i="2"/>
  <c r="K5153" i="2"/>
  <c r="K5154" i="2"/>
  <c r="K5155" i="2"/>
  <c r="K5156" i="2"/>
  <c r="K5157" i="2"/>
  <c r="K5158" i="2"/>
  <c r="K5159" i="2"/>
  <c r="K5160" i="2"/>
  <c r="K5161" i="2"/>
  <c r="K5162" i="2"/>
  <c r="K5163" i="2"/>
  <c r="K5164" i="2"/>
  <c r="K5165" i="2"/>
  <c r="K5166" i="2"/>
  <c r="K5167" i="2"/>
  <c r="E5117" i="2"/>
  <c r="H5117" i="2" s="1"/>
  <c r="E5118" i="2"/>
  <c r="E5119" i="2"/>
  <c r="H5119" i="2" s="1"/>
  <c r="E5120" i="2"/>
  <c r="H5120" i="2" s="1"/>
  <c r="E5121" i="2"/>
  <c r="H5121" i="2" s="1"/>
  <c r="E5122" i="2"/>
  <c r="H5122" i="2" s="1"/>
  <c r="E5123" i="2"/>
  <c r="H5123" i="2" s="1"/>
  <c r="E5124" i="2"/>
  <c r="H5124" i="2" s="1"/>
  <c r="E5125" i="2"/>
  <c r="H5125" i="2" s="1"/>
  <c r="E5126" i="2"/>
  <c r="H5126" i="2" s="1"/>
  <c r="E5127" i="2"/>
  <c r="H5127" i="2" s="1"/>
  <c r="E5128" i="2"/>
  <c r="H5128" i="2" s="1"/>
  <c r="E5129" i="2"/>
  <c r="H5129" i="2" s="1"/>
  <c r="E5130" i="2"/>
  <c r="H5130" i="2" s="1"/>
  <c r="E5131" i="2"/>
  <c r="H5131" i="2" s="1"/>
  <c r="E5132" i="2"/>
  <c r="H5132" i="2" s="1"/>
  <c r="E5133" i="2"/>
  <c r="H5133" i="2" s="1"/>
  <c r="E5134" i="2"/>
  <c r="H5134" i="2" s="1"/>
  <c r="E5135" i="2"/>
  <c r="H5135" i="2" s="1"/>
  <c r="E5136" i="2"/>
  <c r="H5136" i="2" s="1"/>
  <c r="E5137" i="2"/>
  <c r="H5137" i="2" s="1"/>
  <c r="E5138" i="2"/>
  <c r="H5138" i="2" s="1"/>
  <c r="E5139" i="2"/>
  <c r="H5139" i="2" s="1"/>
  <c r="F5117" i="2"/>
  <c r="F5118" i="2"/>
  <c r="F5119" i="2"/>
  <c r="F5120" i="2"/>
  <c r="F5121" i="2"/>
  <c r="F5122" i="2"/>
  <c r="F5123" i="2"/>
  <c r="F5124" i="2"/>
  <c r="F5125" i="2"/>
  <c r="F5126" i="2"/>
  <c r="F5127" i="2"/>
  <c r="F5128" i="2"/>
  <c r="F5129" i="2"/>
  <c r="F5130" i="2"/>
  <c r="F5131" i="2"/>
  <c r="F5132" i="2"/>
  <c r="F5133" i="2"/>
  <c r="F5134" i="2"/>
  <c r="F5135" i="2"/>
  <c r="F5136" i="2"/>
  <c r="F5137" i="2"/>
  <c r="F5138" i="2"/>
  <c r="F5139" i="2"/>
  <c r="G5117" i="2"/>
  <c r="G5118" i="2"/>
  <c r="G5119" i="2"/>
  <c r="G5120" i="2"/>
  <c r="G5121" i="2"/>
  <c r="G5122" i="2"/>
  <c r="G5123" i="2"/>
  <c r="G5124" i="2"/>
  <c r="G5125" i="2"/>
  <c r="G5126" i="2"/>
  <c r="G5127" i="2"/>
  <c r="G5128" i="2"/>
  <c r="G5129" i="2"/>
  <c r="G5130" i="2"/>
  <c r="G5131" i="2"/>
  <c r="G5132" i="2"/>
  <c r="G5133" i="2"/>
  <c r="G5134" i="2"/>
  <c r="G5135" i="2"/>
  <c r="G5136" i="2"/>
  <c r="G5137" i="2"/>
  <c r="G5138" i="2"/>
  <c r="G5139" i="2"/>
  <c r="H5118" i="2"/>
  <c r="I5117" i="2"/>
  <c r="I5118" i="2"/>
  <c r="I5119" i="2"/>
  <c r="I5120" i="2"/>
  <c r="I5121" i="2"/>
  <c r="I5122" i="2"/>
  <c r="I5123" i="2"/>
  <c r="I5124" i="2"/>
  <c r="I5125" i="2"/>
  <c r="I5126" i="2"/>
  <c r="I5127" i="2"/>
  <c r="I5128" i="2"/>
  <c r="I5129" i="2"/>
  <c r="I5130" i="2"/>
  <c r="I5131" i="2"/>
  <c r="I5132" i="2"/>
  <c r="I5133" i="2"/>
  <c r="I5134" i="2"/>
  <c r="I5135" i="2"/>
  <c r="I5136" i="2"/>
  <c r="I5137" i="2"/>
  <c r="I5138" i="2"/>
  <c r="I5139" i="2"/>
  <c r="J5117" i="2"/>
  <c r="J5118" i="2"/>
  <c r="J5119" i="2"/>
  <c r="J5120" i="2"/>
  <c r="J5121" i="2"/>
  <c r="J5122" i="2"/>
  <c r="J5123" i="2"/>
  <c r="J5124" i="2"/>
  <c r="J5125" i="2"/>
  <c r="J5126" i="2"/>
  <c r="J5127" i="2"/>
  <c r="J5128" i="2"/>
  <c r="J5129" i="2"/>
  <c r="J5130" i="2"/>
  <c r="J5131" i="2"/>
  <c r="J5132" i="2"/>
  <c r="J5133" i="2"/>
  <c r="J5134" i="2"/>
  <c r="J5135" i="2"/>
  <c r="J5136" i="2"/>
  <c r="J5137" i="2"/>
  <c r="J5138" i="2"/>
  <c r="J5139" i="2"/>
  <c r="K5117" i="2"/>
  <c r="K5118" i="2"/>
  <c r="K5119" i="2"/>
  <c r="K5120" i="2"/>
  <c r="K5121" i="2"/>
  <c r="K5122" i="2"/>
  <c r="K5123" i="2"/>
  <c r="K5124" i="2"/>
  <c r="K5125" i="2"/>
  <c r="K5126" i="2"/>
  <c r="K5127" i="2"/>
  <c r="K5128" i="2"/>
  <c r="K5129" i="2"/>
  <c r="K5130" i="2"/>
  <c r="K5131" i="2"/>
  <c r="K5132" i="2"/>
  <c r="K5133" i="2"/>
  <c r="K5134" i="2"/>
  <c r="K5135" i="2"/>
  <c r="K5136" i="2"/>
  <c r="K5137" i="2"/>
  <c r="K5138" i="2"/>
  <c r="K5139" i="2"/>
  <c r="C355" i="4"/>
  <c r="D355" i="4" s="1"/>
  <c r="E355" i="4" s="1"/>
  <c r="F355" i="4"/>
  <c r="G355" i="4"/>
  <c r="C354" i="4"/>
  <c r="D354" i="4" s="1"/>
  <c r="E354" i="4" s="1"/>
  <c r="F354" i="4"/>
  <c r="G354" i="4"/>
  <c r="E5090" i="2"/>
  <c r="H5090" i="2" s="1"/>
  <c r="E5091" i="2"/>
  <c r="H5091" i="2" s="1"/>
  <c r="E5092" i="2"/>
  <c r="H5092" i="2" s="1"/>
  <c r="E5093" i="2"/>
  <c r="H5093" i="2" s="1"/>
  <c r="E5094" i="2"/>
  <c r="H5094" i="2" s="1"/>
  <c r="E5095" i="2"/>
  <c r="H5095" i="2" s="1"/>
  <c r="E5096" i="2"/>
  <c r="H5096" i="2" s="1"/>
  <c r="E5097" i="2"/>
  <c r="H5097" i="2" s="1"/>
  <c r="E5098" i="2"/>
  <c r="H5098" i="2" s="1"/>
  <c r="E5099" i="2"/>
  <c r="H5099" i="2" s="1"/>
  <c r="E5100" i="2"/>
  <c r="H5100" i="2" s="1"/>
  <c r="E5101" i="2"/>
  <c r="H5101" i="2" s="1"/>
  <c r="E5102" i="2"/>
  <c r="H5102" i="2" s="1"/>
  <c r="E5103" i="2"/>
  <c r="H5103" i="2" s="1"/>
  <c r="E5104" i="2"/>
  <c r="H5104" i="2" s="1"/>
  <c r="E5105" i="2"/>
  <c r="H5105" i="2" s="1"/>
  <c r="E5106" i="2"/>
  <c r="H5106" i="2" s="1"/>
  <c r="E5107" i="2"/>
  <c r="H5107" i="2" s="1"/>
  <c r="E5108" i="2"/>
  <c r="H5108" i="2" s="1"/>
  <c r="E5109" i="2"/>
  <c r="H5109" i="2" s="1"/>
  <c r="E5110" i="2"/>
  <c r="H5110" i="2" s="1"/>
  <c r="E5111" i="2"/>
  <c r="H5111" i="2" s="1"/>
  <c r="E5112" i="2"/>
  <c r="H5112" i="2" s="1"/>
  <c r="E5113" i="2"/>
  <c r="H5113" i="2" s="1"/>
  <c r="E5114" i="2"/>
  <c r="H5114" i="2" s="1"/>
  <c r="E5115" i="2"/>
  <c r="H5115" i="2" s="1"/>
  <c r="E5116" i="2"/>
  <c r="H5116" i="2" s="1"/>
  <c r="F5090" i="2"/>
  <c r="F5091" i="2"/>
  <c r="F5092" i="2"/>
  <c r="F5093" i="2"/>
  <c r="F5094" i="2"/>
  <c r="F5095" i="2"/>
  <c r="F5096" i="2"/>
  <c r="F5097" i="2"/>
  <c r="F5098" i="2"/>
  <c r="F5099" i="2"/>
  <c r="F5100" i="2"/>
  <c r="F5101" i="2"/>
  <c r="F5102" i="2"/>
  <c r="F5103" i="2"/>
  <c r="F5104" i="2"/>
  <c r="F5105" i="2"/>
  <c r="F5106" i="2"/>
  <c r="F5107" i="2"/>
  <c r="F5108" i="2"/>
  <c r="F5109" i="2"/>
  <c r="F5110" i="2"/>
  <c r="F5111" i="2"/>
  <c r="F5112" i="2"/>
  <c r="F5113" i="2"/>
  <c r="F5114" i="2"/>
  <c r="F5115" i="2"/>
  <c r="F5116" i="2"/>
  <c r="G5090" i="2"/>
  <c r="G5091" i="2"/>
  <c r="G5092" i="2"/>
  <c r="G5093" i="2"/>
  <c r="G5094" i="2"/>
  <c r="G5095" i="2"/>
  <c r="G5096" i="2"/>
  <c r="G5097" i="2"/>
  <c r="G5098" i="2"/>
  <c r="G5099" i="2"/>
  <c r="G5100" i="2"/>
  <c r="G5101" i="2"/>
  <c r="G5102" i="2"/>
  <c r="G5103" i="2"/>
  <c r="G5104" i="2"/>
  <c r="G5105" i="2"/>
  <c r="G5106" i="2"/>
  <c r="G5107" i="2"/>
  <c r="G5108" i="2"/>
  <c r="G5109" i="2"/>
  <c r="G5110" i="2"/>
  <c r="G5111" i="2"/>
  <c r="G5112" i="2"/>
  <c r="G5113" i="2"/>
  <c r="G5114" i="2"/>
  <c r="G5115" i="2"/>
  <c r="G5116" i="2"/>
  <c r="I5090" i="2"/>
  <c r="I5091" i="2"/>
  <c r="I5092" i="2"/>
  <c r="I5093" i="2"/>
  <c r="I5094" i="2"/>
  <c r="I5095" i="2"/>
  <c r="I5096" i="2"/>
  <c r="I5097" i="2"/>
  <c r="I5098" i="2"/>
  <c r="I5099" i="2"/>
  <c r="I5100" i="2"/>
  <c r="I5101" i="2"/>
  <c r="I5102" i="2"/>
  <c r="I5103" i="2"/>
  <c r="I5104" i="2"/>
  <c r="I5105" i="2"/>
  <c r="I5106" i="2"/>
  <c r="I5107" i="2"/>
  <c r="I5108" i="2"/>
  <c r="I5109" i="2"/>
  <c r="I5110" i="2"/>
  <c r="I5111" i="2"/>
  <c r="I5112" i="2"/>
  <c r="I5113" i="2"/>
  <c r="I5114" i="2"/>
  <c r="I5115" i="2"/>
  <c r="I5116" i="2"/>
  <c r="J5090" i="2"/>
  <c r="J5091" i="2"/>
  <c r="J5092" i="2"/>
  <c r="J5093" i="2"/>
  <c r="J5094" i="2"/>
  <c r="J5095" i="2"/>
  <c r="J5096" i="2"/>
  <c r="J5097" i="2"/>
  <c r="J5098" i="2"/>
  <c r="J5099" i="2"/>
  <c r="J5100" i="2"/>
  <c r="J5101" i="2"/>
  <c r="J5102" i="2"/>
  <c r="J5103" i="2"/>
  <c r="J5104" i="2"/>
  <c r="J5105" i="2"/>
  <c r="J5106" i="2"/>
  <c r="J5107" i="2"/>
  <c r="J5108" i="2"/>
  <c r="J5109" i="2"/>
  <c r="J5110" i="2"/>
  <c r="J5111" i="2"/>
  <c r="J5112" i="2"/>
  <c r="J5113" i="2"/>
  <c r="J5114" i="2"/>
  <c r="J5115" i="2"/>
  <c r="J5116" i="2"/>
  <c r="K5090" i="2"/>
  <c r="K5091" i="2"/>
  <c r="K5092" i="2"/>
  <c r="K5093" i="2"/>
  <c r="K5094" i="2"/>
  <c r="K5095" i="2"/>
  <c r="K5096" i="2"/>
  <c r="K5097" i="2"/>
  <c r="K5098" i="2"/>
  <c r="K5099" i="2"/>
  <c r="K5100" i="2"/>
  <c r="K5101" i="2"/>
  <c r="K5102" i="2"/>
  <c r="K5103" i="2"/>
  <c r="K5104" i="2"/>
  <c r="K5105" i="2"/>
  <c r="K5106" i="2"/>
  <c r="K5107" i="2"/>
  <c r="K5108" i="2"/>
  <c r="K5109" i="2"/>
  <c r="K5110" i="2"/>
  <c r="K5111" i="2"/>
  <c r="K5112" i="2"/>
  <c r="K5113" i="2"/>
  <c r="K5114" i="2"/>
  <c r="K5115" i="2"/>
  <c r="K5116" i="2"/>
  <c r="E5069" i="2"/>
  <c r="H5069" i="2" s="1"/>
  <c r="E5070" i="2"/>
  <c r="H5070" i="2" s="1"/>
  <c r="E5071" i="2"/>
  <c r="H5071" i="2" s="1"/>
  <c r="E5072" i="2"/>
  <c r="H5072" i="2" s="1"/>
  <c r="E5073" i="2"/>
  <c r="H5073" i="2" s="1"/>
  <c r="E5074" i="2"/>
  <c r="H5074" i="2" s="1"/>
  <c r="E5075" i="2"/>
  <c r="H5075" i="2" s="1"/>
  <c r="E5076" i="2"/>
  <c r="H5076" i="2" s="1"/>
  <c r="E5077" i="2"/>
  <c r="H5077" i="2" s="1"/>
  <c r="E5078" i="2"/>
  <c r="H5078" i="2" s="1"/>
  <c r="E5079" i="2"/>
  <c r="H5079" i="2" s="1"/>
  <c r="E5080" i="2"/>
  <c r="H5080" i="2" s="1"/>
  <c r="E5081" i="2"/>
  <c r="H5081" i="2" s="1"/>
  <c r="E5082" i="2"/>
  <c r="H5082" i="2" s="1"/>
  <c r="E5083" i="2"/>
  <c r="H5083" i="2" s="1"/>
  <c r="E5084" i="2"/>
  <c r="H5084" i="2" s="1"/>
  <c r="E5085" i="2"/>
  <c r="H5085" i="2" s="1"/>
  <c r="E5086" i="2"/>
  <c r="H5086" i="2" s="1"/>
  <c r="E5087" i="2"/>
  <c r="H5087" i="2" s="1"/>
  <c r="E5088" i="2"/>
  <c r="H5088" i="2" s="1"/>
  <c r="E5089" i="2"/>
  <c r="H5089" i="2" s="1"/>
  <c r="F5069" i="2"/>
  <c r="F5070" i="2"/>
  <c r="F5071" i="2"/>
  <c r="F5072" i="2"/>
  <c r="F5073" i="2"/>
  <c r="F5074" i="2"/>
  <c r="F5075" i="2"/>
  <c r="F5076" i="2"/>
  <c r="F5077" i="2"/>
  <c r="F5078" i="2"/>
  <c r="F5079" i="2"/>
  <c r="F5080" i="2"/>
  <c r="F5081" i="2"/>
  <c r="F5082" i="2"/>
  <c r="F5083" i="2"/>
  <c r="F5084" i="2"/>
  <c r="F5085" i="2"/>
  <c r="F5086" i="2"/>
  <c r="F5087" i="2"/>
  <c r="F5088" i="2"/>
  <c r="F5089" i="2"/>
  <c r="G5069" i="2"/>
  <c r="G5070" i="2"/>
  <c r="G5071" i="2"/>
  <c r="G5072" i="2"/>
  <c r="G5073" i="2"/>
  <c r="G5074" i="2"/>
  <c r="G5075" i="2"/>
  <c r="G5076" i="2"/>
  <c r="G5077" i="2"/>
  <c r="G5078" i="2"/>
  <c r="G5079" i="2"/>
  <c r="G5080" i="2"/>
  <c r="G5081" i="2"/>
  <c r="G5082" i="2"/>
  <c r="G5083" i="2"/>
  <c r="G5084" i="2"/>
  <c r="G5085" i="2"/>
  <c r="G5086" i="2"/>
  <c r="G5087" i="2"/>
  <c r="G5088" i="2"/>
  <c r="G5089" i="2"/>
  <c r="I5069" i="2"/>
  <c r="I5070" i="2"/>
  <c r="I5071" i="2"/>
  <c r="I5072" i="2"/>
  <c r="I5073" i="2"/>
  <c r="I5074" i="2"/>
  <c r="I5075" i="2"/>
  <c r="I5076" i="2"/>
  <c r="I5077" i="2"/>
  <c r="I5078" i="2"/>
  <c r="I5079" i="2"/>
  <c r="I5080" i="2"/>
  <c r="I5081" i="2"/>
  <c r="I5082" i="2"/>
  <c r="I5083" i="2"/>
  <c r="I5084" i="2"/>
  <c r="I5085" i="2"/>
  <c r="I5086" i="2"/>
  <c r="I5087" i="2"/>
  <c r="I5088" i="2"/>
  <c r="I5089" i="2"/>
  <c r="J5069" i="2"/>
  <c r="J5070" i="2"/>
  <c r="J5071" i="2"/>
  <c r="J5072" i="2"/>
  <c r="J5073" i="2"/>
  <c r="J5074" i="2"/>
  <c r="J5075" i="2"/>
  <c r="J5076" i="2"/>
  <c r="J5077" i="2"/>
  <c r="J5078" i="2"/>
  <c r="J5079" i="2"/>
  <c r="J5080" i="2"/>
  <c r="J5081" i="2"/>
  <c r="J5082" i="2"/>
  <c r="J5083" i="2"/>
  <c r="J5084" i="2"/>
  <c r="J5085" i="2"/>
  <c r="J5086" i="2"/>
  <c r="J5087" i="2"/>
  <c r="J5088" i="2"/>
  <c r="J5089" i="2"/>
  <c r="K5069" i="2"/>
  <c r="K5070" i="2"/>
  <c r="K5071" i="2"/>
  <c r="K5072" i="2"/>
  <c r="K5073" i="2"/>
  <c r="K5074" i="2"/>
  <c r="K5075" i="2"/>
  <c r="K5076" i="2"/>
  <c r="K5077" i="2"/>
  <c r="K5078" i="2"/>
  <c r="K5079" i="2"/>
  <c r="K5080" i="2"/>
  <c r="K5081" i="2"/>
  <c r="K5082" i="2"/>
  <c r="K5083" i="2"/>
  <c r="K5084" i="2"/>
  <c r="K5085" i="2"/>
  <c r="K5086" i="2"/>
  <c r="K5087" i="2"/>
  <c r="K5088" i="2"/>
  <c r="K5089" i="2"/>
  <c r="E5048" i="2"/>
  <c r="H5048" i="2" s="1"/>
  <c r="E5049" i="2"/>
  <c r="H5049" i="2" s="1"/>
  <c r="E5050" i="2"/>
  <c r="H5050" i="2" s="1"/>
  <c r="E5051" i="2"/>
  <c r="H5051" i="2" s="1"/>
  <c r="E5052" i="2"/>
  <c r="H5052" i="2" s="1"/>
  <c r="E5053" i="2"/>
  <c r="H5053" i="2" s="1"/>
  <c r="E5054" i="2"/>
  <c r="H5054" i="2" s="1"/>
  <c r="E5055" i="2"/>
  <c r="H5055" i="2" s="1"/>
  <c r="E5056" i="2"/>
  <c r="H5056" i="2" s="1"/>
  <c r="E5057" i="2"/>
  <c r="H5057" i="2" s="1"/>
  <c r="E5058" i="2"/>
  <c r="H5058" i="2" s="1"/>
  <c r="E5059" i="2"/>
  <c r="H5059" i="2" s="1"/>
  <c r="E5060" i="2"/>
  <c r="H5060" i="2" s="1"/>
  <c r="E5061" i="2"/>
  <c r="H5061" i="2" s="1"/>
  <c r="E5062" i="2"/>
  <c r="H5062" i="2" s="1"/>
  <c r="E5063" i="2"/>
  <c r="H5063" i="2" s="1"/>
  <c r="E5064" i="2"/>
  <c r="H5064" i="2" s="1"/>
  <c r="E5065" i="2"/>
  <c r="H5065" i="2" s="1"/>
  <c r="E5066" i="2"/>
  <c r="H5066" i="2" s="1"/>
  <c r="E5067" i="2"/>
  <c r="H5067" i="2" s="1"/>
  <c r="E5068" i="2"/>
  <c r="H5068" i="2" s="1"/>
  <c r="F5048" i="2"/>
  <c r="F5049" i="2"/>
  <c r="F5050" i="2"/>
  <c r="F5051" i="2"/>
  <c r="F5052" i="2"/>
  <c r="F5053" i="2"/>
  <c r="F5054" i="2"/>
  <c r="F5055" i="2"/>
  <c r="F5056" i="2"/>
  <c r="F5057" i="2"/>
  <c r="F5058" i="2"/>
  <c r="F5059" i="2"/>
  <c r="F5060" i="2"/>
  <c r="F5061" i="2"/>
  <c r="F5062" i="2"/>
  <c r="F5063" i="2"/>
  <c r="F5064" i="2"/>
  <c r="F5065" i="2"/>
  <c r="F5066" i="2"/>
  <c r="F5067" i="2"/>
  <c r="F5068" i="2"/>
  <c r="G5048" i="2"/>
  <c r="G5049" i="2"/>
  <c r="G5050" i="2"/>
  <c r="G5051" i="2"/>
  <c r="G5052" i="2"/>
  <c r="G5053" i="2"/>
  <c r="G5054" i="2"/>
  <c r="G5055" i="2"/>
  <c r="G5056" i="2"/>
  <c r="G5057" i="2"/>
  <c r="G5058" i="2"/>
  <c r="G5059" i="2"/>
  <c r="G5060" i="2"/>
  <c r="G5061" i="2"/>
  <c r="G5062" i="2"/>
  <c r="G5063" i="2"/>
  <c r="G5064" i="2"/>
  <c r="G5065" i="2"/>
  <c r="G5066" i="2"/>
  <c r="G5067" i="2"/>
  <c r="G5068" i="2"/>
  <c r="I5048" i="2"/>
  <c r="I5049" i="2"/>
  <c r="I5050" i="2"/>
  <c r="I5051" i="2"/>
  <c r="I5052" i="2"/>
  <c r="I5053" i="2"/>
  <c r="I5054" i="2"/>
  <c r="I5055" i="2"/>
  <c r="I5056" i="2"/>
  <c r="I5057" i="2"/>
  <c r="I5058" i="2"/>
  <c r="I5059" i="2"/>
  <c r="I5060" i="2"/>
  <c r="I5061" i="2"/>
  <c r="I5062" i="2"/>
  <c r="I5063" i="2"/>
  <c r="I5064" i="2"/>
  <c r="I5065" i="2"/>
  <c r="I5066" i="2"/>
  <c r="I5067" i="2"/>
  <c r="I5068" i="2"/>
  <c r="J5048" i="2"/>
  <c r="J5049" i="2"/>
  <c r="J5050" i="2"/>
  <c r="J5051" i="2"/>
  <c r="J5052" i="2"/>
  <c r="J5053" i="2"/>
  <c r="J5054" i="2"/>
  <c r="J5055" i="2"/>
  <c r="J5056" i="2"/>
  <c r="J5057" i="2"/>
  <c r="J5058" i="2"/>
  <c r="J5059" i="2"/>
  <c r="J5060" i="2"/>
  <c r="J5061" i="2"/>
  <c r="J5062" i="2"/>
  <c r="J5063" i="2"/>
  <c r="J5064" i="2"/>
  <c r="J5065" i="2"/>
  <c r="J5066" i="2"/>
  <c r="J5067" i="2"/>
  <c r="J5068" i="2"/>
  <c r="K5048" i="2"/>
  <c r="K5049" i="2"/>
  <c r="K5050" i="2"/>
  <c r="K5051" i="2"/>
  <c r="K5052" i="2"/>
  <c r="K5053" i="2"/>
  <c r="K5054" i="2"/>
  <c r="K5055" i="2"/>
  <c r="K5056" i="2"/>
  <c r="K5057" i="2"/>
  <c r="K5058" i="2"/>
  <c r="K5059" i="2"/>
  <c r="K5060" i="2"/>
  <c r="K5061" i="2"/>
  <c r="K5062" i="2"/>
  <c r="K5063" i="2"/>
  <c r="K5064" i="2"/>
  <c r="K5065" i="2"/>
  <c r="K5066" i="2"/>
  <c r="K5067" i="2"/>
  <c r="K5068" i="2"/>
  <c r="C353" i="4"/>
  <c r="D353" i="4" s="1"/>
  <c r="E353" i="4" s="1"/>
  <c r="F353" i="4"/>
  <c r="G353" i="4"/>
  <c r="E5019" i="2"/>
  <c r="H5019" i="2" s="1"/>
  <c r="E5020" i="2"/>
  <c r="H5020" i="2" s="1"/>
  <c r="E5021" i="2"/>
  <c r="H5021" i="2" s="1"/>
  <c r="E5022" i="2"/>
  <c r="H5022" i="2" s="1"/>
  <c r="E5023" i="2"/>
  <c r="H5023" i="2" s="1"/>
  <c r="E5024" i="2"/>
  <c r="H5024" i="2" s="1"/>
  <c r="E5025" i="2"/>
  <c r="H5025" i="2" s="1"/>
  <c r="E5026" i="2"/>
  <c r="H5026" i="2" s="1"/>
  <c r="E5027" i="2"/>
  <c r="H5027" i="2" s="1"/>
  <c r="E5028" i="2"/>
  <c r="H5028" i="2" s="1"/>
  <c r="E5029" i="2"/>
  <c r="H5029" i="2" s="1"/>
  <c r="E5030" i="2"/>
  <c r="H5030" i="2" s="1"/>
  <c r="E5031" i="2"/>
  <c r="H5031" i="2" s="1"/>
  <c r="E5032" i="2"/>
  <c r="H5032" i="2" s="1"/>
  <c r="E5033" i="2"/>
  <c r="H5033" i="2" s="1"/>
  <c r="E5034" i="2"/>
  <c r="H5034" i="2" s="1"/>
  <c r="E5035" i="2"/>
  <c r="H5035" i="2" s="1"/>
  <c r="E5036" i="2"/>
  <c r="H5036" i="2" s="1"/>
  <c r="E5037" i="2"/>
  <c r="H5037" i="2" s="1"/>
  <c r="E5038" i="2"/>
  <c r="H5038" i="2" s="1"/>
  <c r="E5039" i="2"/>
  <c r="H5039" i="2" s="1"/>
  <c r="E5040" i="2"/>
  <c r="H5040" i="2" s="1"/>
  <c r="E5041" i="2"/>
  <c r="H5041" i="2" s="1"/>
  <c r="E5042" i="2"/>
  <c r="H5042" i="2" s="1"/>
  <c r="E5043" i="2"/>
  <c r="H5043" i="2" s="1"/>
  <c r="E5044" i="2"/>
  <c r="H5044" i="2" s="1"/>
  <c r="E5045" i="2"/>
  <c r="H5045" i="2" s="1"/>
  <c r="E5046" i="2"/>
  <c r="H5046" i="2" s="1"/>
  <c r="E5047" i="2"/>
  <c r="H5047" i="2" s="1"/>
  <c r="F5019" i="2"/>
  <c r="F5020" i="2"/>
  <c r="F5021" i="2"/>
  <c r="F5022" i="2"/>
  <c r="F5023" i="2"/>
  <c r="F5024" i="2"/>
  <c r="F5025" i="2"/>
  <c r="F5026" i="2"/>
  <c r="F5027" i="2"/>
  <c r="F5028" i="2"/>
  <c r="F5029" i="2"/>
  <c r="F5030" i="2"/>
  <c r="F5031" i="2"/>
  <c r="F5032" i="2"/>
  <c r="F5033" i="2"/>
  <c r="F5034" i="2"/>
  <c r="F5035" i="2"/>
  <c r="F5036" i="2"/>
  <c r="F5037" i="2"/>
  <c r="F5038" i="2"/>
  <c r="F5039" i="2"/>
  <c r="F5040" i="2"/>
  <c r="F5041" i="2"/>
  <c r="F5042" i="2"/>
  <c r="F5043" i="2"/>
  <c r="F5044" i="2"/>
  <c r="F5045" i="2"/>
  <c r="F5046" i="2"/>
  <c r="F5047" i="2"/>
  <c r="G5019" i="2"/>
  <c r="G5020" i="2"/>
  <c r="G5021" i="2"/>
  <c r="G5022" i="2"/>
  <c r="G5023" i="2"/>
  <c r="G5024" i="2"/>
  <c r="G5025" i="2"/>
  <c r="G5026" i="2"/>
  <c r="G5027" i="2"/>
  <c r="G5028" i="2"/>
  <c r="G5029" i="2"/>
  <c r="G5030" i="2"/>
  <c r="G5031" i="2"/>
  <c r="G5032" i="2"/>
  <c r="G5033" i="2"/>
  <c r="G5034" i="2"/>
  <c r="G5035" i="2"/>
  <c r="G5036" i="2"/>
  <c r="G5037" i="2"/>
  <c r="G5038" i="2"/>
  <c r="G5039" i="2"/>
  <c r="G5040" i="2"/>
  <c r="G5041" i="2"/>
  <c r="G5042" i="2"/>
  <c r="G5043" i="2"/>
  <c r="G5044" i="2"/>
  <c r="G5045" i="2"/>
  <c r="G5046" i="2"/>
  <c r="G5047" i="2"/>
  <c r="I5019" i="2"/>
  <c r="I5020" i="2"/>
  <c r="I5021" i="2"/>
  <c r="I5022" i="2"/>
  <c r="I5023" i="2"/>
  <c r="I5024" i="2"/>
  <c r="I5025" i="2"/>
  <c r="I5026" i="2"/>
  <c r="I5027" i="2"/>
  <c r="I5028" i="2"/>
  <c r="I5029" i="2"/>
  <c r="I5030" i="2"/>
  <c r="I5031" i="2"/>
  <c r="I5032" i="2"/>
  <c r="I5033" i="2"/>
  <c r="I5034" i="2"/>
  <c r="I5035" i="2"/>
  <c r="I5036" i="2"/>
  <c r="I5037" i="2"/>
  <c r="I5038" i="2"/>
  <c r="I5039" i="2"/>
  <c r="I5040" i="2"/>
  <c r="I5041" i="2"/>
  <c r="I5042" i="2"/>
  <c r="I5043" i="2"/>
  <c r="I5044" i="2"/>
  <c r="I5045" i="2"/>
  <c r="I5046" i="2"/>
  <c r="I5047" i="2"/>
  <c r="J5019" i="2"/>
  <c r="J5020" i="2"/>
  <c r="J5021" i="2"/>
  <c r="J5022" i="2"/>
  <c r="J5023" i="2"/>
  <c r="J5024" i="2"/>
  <c r="J5025" i="2"/>
  <c r="J5026" i="2"/>
  <c r="J5027" i="2"/>
  <c r="J5028" i="2"/>
  <c r="J5029" i="2"/>
  <c r="J5030" i="2"/>
  <c r="J5031" i="2"/>
  <c r="J5032" i="2"/>
  <c r="J5033" i="2"/>
  <c r="J5034" i="2"/>
  <c r="J5035" i="2"/>
  <c r="J5036" i="2"/>
  <c r="J5037" i="2"/>
  <c r="J5038" i="2"/>
  <c r="J5039" i="2"/>
  <c r="J5040" i="2"/>
  <c r="J5041" i="2"/>
  <c r="J5042" i="2"/>
  <c r="J5043" i="2"/>
  <c r="J5044" i="2"/>
  <c r="J5045" i="2"/>
  <c r="J5046" i="2"/>
  <c r="J5047" i="2"/>
  <c r="K5019" i="2"/>
  <c r="K5020" i="2"/>
  <c r="K5021" i="2"/>
  <c r="K5022" i="2"/>
  <c r="K5023" i="2"/>
  <c r="K5024" i="2"/>
  <c r="K5025" i="2"/>
  <c r="K5026" i="2"/>
  <c r="K5027" i="2"/>
  <c r="K5028" i="2"/>
  <c r="K5029" i="2"/>
  <c r="K5030" i="2"/>
  <c r="K5031" i="2"/>
  <c r="K5032" i="2"/>
  <c r="K5033" i="2"/>
  <c r="K5034" i="2"/>
  <c r="K5035" i="2"/>
  <c r="K5036" i="2"/>
  <c r="K5037" i="2"/>
  <c r="K5038" i="2"/>
  <c r="K5039" i="2"/>
  <c r="K5040" i="2"/>
  <c r="K5041" i="2"/>
  <c r="K5042" i="2"/>
  <c r="K5043" i="2"/>
  <c r="K5044" i="2"/>
  <c r="K5045" i="2"/>
  <c r="K5046" i="2"/>
  <c r="K5047" i="2"/>
  <c r="E5002" i="2"/>
  <c r="H5002" i="2" s="1"/>
  <c r="E5003" i="2"/>
  <c r="H5003" i="2" s="1"/>
  <c r="E5004" i="2"/>
  <c r="H5004" i="2" s="1"/>
  <c r="E5005" i="2"/>
  <c r="H5005" i="2" s="1"/>
  <c r="E5006" i="2"/>
  <c r="H5006" i="2" s="1"/>
  <c r="E5007" i="2"/>
  <c r="H5007" i="2" s="1"/>
  <c r="E5008" i="2"/>
  <c r="H5008" i="2" s="1"/>
  <c r="E5009" i="2"/>
  <c r="H5009" i="2" s="1"/>
  <c r="E5010" i="2"/>
  <c r="H5010" i="2" s="1"/>
  <c r="E5011" i="2"/>
  <c r="H5011" i="2" s="1"/>
  <c r="E5012" i="2"/>
  <c r="H5012" i="2" s="1"/>
  <c r="E5013" i="2"/>
  <c r="H5013" i="2" s="1"/>
  <c r="E5014" i="2"/>
  <c r="H5014" i="2" s="1"/>
  <c r="E5015" i="2"/>
  <c r="H5015" i="2" s="1"/>
  <c r="E5016" i="2"/>
  <c r="H5016" i="2" s="1"/>
  <c r="E5017" i="2"/>
  <c r="H5017" i="2" s="1"/>
  <c r="E5018" i="2"/>
  <c r="H5018" i="2" s="1"/>
  <c r="F5002" i="2"/>
  <c r="F5003" i="2"/>
  <c r="F5004" i="2"/>
  <c r="F5005" i="2"/>
  <c r="F5006" i="2"/>
  <c r="F5007" i="2"/>
  <c r="F5008" i="2"/>
  <c r="F5009" i="2"/>
  <c r="F5010" i="2"/>
  <c r="F5011" i="2"/>
  <c r="F5012" i="2"/>
  <c r="F5013" i="2"/>
  <c r="F5014" i="2"/>
  <c r="F5015" i="2"/>
  <c r="F5016" i="2"/>
  <c r="F5017" i="2"/>
  <c r="F5018" i="2"/>
  <c r="G5002" i="2"/>
  <c r="G5003" i="2"/>
  <c r="G5004" i="2"/>
  <c r="G5005" i="2"/>
  <c r="G5006" i="2"/>
  <c r="G5007" i="2"/>
  <c r="G5008" i="2"/>
  <c r="G5009" i="2"/>
  <c r="G5010" i="2"/>
  <c r="G5011" i="2"/>
  <c r="G5012" i="2"/>
  <c r="G5013" i="2"/>
  <c r="G5014" i="2"/>
  <c r="G5015" i="2"/>
  <c r="G5016" i="2"/>
  <c r="G5017" i="2"/>
  <c r="G5018" i="2"/>
  <c r="I5002" i="2"/>
  <c r="I5003" i="2"/>
  <c r="I5004" i="2"/>
  <c r="I5005" i="2"/>
  <c r="I5006" i="2"/>
  <c r="I5007" i="2"/>
  <c r="I5008" i="2"/>
  <c r="I5009" i="2"/>
  <c r="I5010" i="2"/>
  <c r="I5011" i="2"/>
  <c r="I5012" i="2"/>
  <c r="I5013" i="2"/>
  <c r="I5014" i="2"/>
  <c r="I5015" i="2"/>
  <c r="I5016" i="2"/>
  <c r="I5017" i="2"/>
  <c r="I5018" i="2"/>
  <c r="J5002" i="2"/>
  <c r="J5003" i="2"/>
  <c r="J5004" i="2"/>
  <c r="J5005" i="2"/>
  <c r="J5006" i="2"/>
  <c r="J5007" i="2"/>
  <c r="J5008" i="2"/>
  <c r="J5009" i="2"/>
  <c r="J5010" i="2"/>
  <c r="J5011" i="2"/>
  <c r="J5012" i="2"/>
  <c r="J5013" i="2"/>
  <c r="J5014" i="2"/>
  <c r="J5015" i="2"/>
  <c r="J5016" i="2"/>
  <c r="J5017" i="2"/>
  <c r="J5018" i="2"/>
  <c r="K5002" i="2"/>
  <c r="K5003" i="2"/>
  <c r="K5004" i="2"/>
  <c r="K5005" i="2"/>
  <c r="K5006" i="2"/>
  <c r="K5007" i="2"/>
  <c r="K5008" i="2"/>
  <c r="K5009" i="2"/>
  <c r="K5010" i="2"/>
  <c r="K5011" i="2"/>
  <c r="K5012" i="2"/>
  <c r="K5013" i="2"/>
  <c r="K5014" i="2"/>
  <c r="K5015" i="2"/>
  <c r="K5016" i="2"/>
  <c r="K5017" i="2"/>
  <c r="K5018" i="2"/>
  <c r="E4989" i="2"/>
  <c r="H4989" i="2" s="1"/>
  <c r="E4990" i="2"/>
  <c r="H4990" i="2" s="1"/>
  <c r="E4991" i="2"/>
  <c r="H4991" i="2" s="1"/>
  <c r="E4992" i="2"/>
  <c r="E4993" i="2"/>
  <c r="H4993" i="2" s="1"/>
  <c r="E4994" i="2"/>
  <c r="H4994" i="2" s="1"/>
  <c r="E4995" i="2"/>
  <c r="H4995" i="2" s="1"/>
  <c r="E4996" i="2"/>
  <c r="H4996" i="2" s="1"/>
  <c r="E4997" i="2"/>
  <c r="H4997" i="2" s="1"/>
  <c r="E4998" i="2"/>
  <c r="H4998" i="2" s="1"/>
  <c r="E4999" i="2"/>
  <c r="H4999" i="2" s="1"/>
  <c r="E5000" i="2"/>
  <c r="H5000" i="2" s="1"/>
  <c r="E5001" i="2"/>
  <c r="H5001" i="2" s="1"/>
  <c r="F4989" i="2"/>
  <c r="F4990" i="2"/>
  <c r="F4991" i="2"/>
  <c r="F4992" i="2"/>
  <c r="F4993" i="2"/>
  <c r="F4994" i="2"/>
  <c r="F4995" i="2"/>
  <c r="F4996" i="2"/>
  <c r="F4997" i="2"/>
  <c r="F4998" i="2"/>
  <c r="F4999" i="2"/>
  <c r="F5000" i="2"/>
  <c r="F5001" i="2"/>
  <c r="G4989" i="2"/>
  <c r="G4990" i="2"/>
  <c r="G4991" i="2"/>
  <c r="G4992" i="2"/>
  <c r="G4993" i="2"/>
  <c r="G4994" i="2"/>
  <c r="G4995" i="2"/>
  <c r="G4996" i="2"/>
  <c r="G4997" i="2"/>
  <c r="G4998" i="2"/>
  <c r="G4999" i="2"/>
  <c r="G5000" i="2"/>
  <c r="G5001" i="2"/>
  <c r="H4992" i="2"/>
  <c r="I4989" i="2"/>
  <c r="I4990" i="2"/>
  <c r="I4991" i="2"/>
  <c r="I4992" i="2"/>
  <c r="I4993" i="2"/>
  <c r="I4994" i="2"/>
  <c r="I4995" i="2"/>
  <c r="I4996" i="2"/>
  <c r="I4997" i="2"/>
  <c r="I4998" i="2"/>
  <c r="I4999" i="2"/>
  <c r="I5000" i="2"/>
  <c r="I5001" i="2"/>
  <c r="J4989" i="2"/>
  <c r="J4990" i="2"/>
  <c r="J4991" i="2"/>
  <c r="J4992" i="2"/>
  <c r="J4993" i="2"/>
  <c r="J4994" i="2"/>
  <c r="J4995" i="2"/>
  <c r="J4996" i="2"/>
  <c r="J4997" i="2"/>
  <c r="J4998" i="2"/>
  <c r="J4999" i="2"/>
  <c r="J5000" i="2"/>
  <c r="J5001" i="2"/>
  <c r="K4989" i="2"/>
  <c r="K4990" i="2"/>
  <c r="K4991" i="2"/>
  <c r="K4992" i="2"/>
  <c r="K4993" i="2"/>
  <c r="K4994" i="2"/>
  <c r="K4995" i="2"/>
  <c r="K4996" i="2"/>
  <c r="K4997" i="2"/>
  <c r="K4998" i="2"/>
  <c r="K4999" i="2"/>
  <c r="K5000" i="2"/>
  <c r="K5001" i="2"/>
  <c r="E4976" i="2"/>
  <c r="H4976" i="2" s="1"/>
  <c r="E4977" i="2"/>
  <c r="H4977" i="2" s="1"/>
  <c r="E4978" i="2"/>
  <c r="H4978" i="2" s="1"/>
  <c r="E4979" i="2"/>
  <c r="H4979" i="2" s="1"/>
  <c r="E4980" i="2"/>
  <c r="H4980" i="2" s="1"/>
  <c r="E4981" i="2"/>
  <c r="H4981" i="2" s="1"/>
  <c r="E4982" i="2"/>
  <c r="H4982" i="2" s="1"/>
  <c r="E4983" i="2"/>
  <c r="H4983" i="2" s="1"/>
  <c r="E4984" i="2"/>
  <c r="H4984" i="2" s="1"/>
  <c r="E4985" i="2"/>
  <c r="H4985" i="2" s="1"/>
  <c r="E4986" i="2"/>
  <c r="H4986" i="2" s="1"/>
  <c r="E4987" i="2"/>
  <c r="H4987" i="2" s="1"/>
  <c r="E4988" i="2"/>
  <c r="H4988" i="2" s="1"/>
  <c r="F4976" i="2"/>
  <c r="F4977" i="2"/>
  <c r="F4978" i="2"/>
  <c r="F4979" i="2"/>
  <c r="F4980" i="2"/>
  <c r="F4981" i="2"/>
  <c r="F4982" i="2"/>
  <c r="F4983" i="2"/>
  <c r="F4984" i="2"/>
  <c r="F4985" i="2"/>
  <c r="F4986" i="2"/>
  <c r="F4987" i="2"/>
  <c r="F4988" i="2"/>
  <c r="G4976" i="2"/>
  <c r="G4977" i="2"/>
  <c r="G4978" i="2"/>
  <c r="G4979" i="2"/>
  <c r="G4980" i="2"/>
  <c r="G4981" i="2"/>
  <c r="G4982" i="2"/>
  <c r="G4983" i="2"/>
  <c r="G4984" i="2"/>
  <c r="G4985" i="2"/>
  <c r="G4986" i="2"/>
  <c r="G4987" i="2"/>
  <c r="G4988" i="2"/>
  <c r="I4976" i="2"/>
  <c r="I4977" i="2"/>
  <c r="I4978" i="2"/>
  <c r="I4979" i="2"/>
  <c r="I4980" i="2"/>
  <c r="I4981" i="2"/>
  <c r="I4982" i="2"/>
  <c r="I4983" i="2"/>
  <c r="I4984" i="2"/>
  <c r="I4985" i="2"/>
  <c r="I4986" i="2"/>
  <c r="I4987" i="2"/>
  <c r="I4988" i="2"/>
  <c r="J4976" i="2"/>
  <c r="J4977" i="2"/>
  <c r="J4978" i="2"/>
  <c r="J4979" i="2"/>
  <c r="J4980" i="2"/>
  <c r="J4981" i="2"/>
  <c r="J4982" i="2"/>
  <c r="J4983" i="2"/>
  <c r="J4984" i="2"/>
  <c r="J4985" i="2"/>
  <c r="J4986" i="2"/>
  <c r="J4987" i="2"/>
  <c r="J4988" i="2"/>
  <c r="K4976" i="2"/>
  <c r="K4977" i="2"/>
  <c r="K4978" i="2"/>
  <c r="K4979" i="2"/>
  <c r="K4980" i="2"/>
  <c r="K4981" i="2"/>
  <c r="K4982" i="2"/>
  <c r="K4983" i="2"/>
  <c r="K4984" i="2"/>
  <c r="K4985" i="2"/>
  <c r="K4986" i="2"/>
  <c r="K4987" i="2"/>
  <c r="K4988" i="2"/>
  <c r="C352" i="4"/>
  <c r="D352" i="4" s="1"/>
  <c r="E352" i="4" s="1"/>
  <c r="F352" i="4"/>
  <c r="G352" i="4"/>
  <c r="E4950" i="2"/>
  <c r="H4950" i="2" s="1"/>
  <c r="E4951" i="2"/>
  <c r="H4951" i="2" s="1"/>
  <c r="E4952" i="2"/>
  <c r="E4953" i="2"/>
  <c r="H4953" i="2" s="1"/>
  <c r="E4954" i="2"/>
  <c r="H4954" i="2" s="1"/>
  <c r="E4955" i="2"/>
  <c r="H4955" i="2" s="1"/>
  <c r="E4956" i="2"/>
  <c r="H4956" i="2" s="1"/>
  <c r="E4957" i="2"/>
  <c r="H4957" i="2" s="1"/>
  <c r="E4958" i="2"/>
  <c r="H4958" i="2" s="1"/>
  <c r="E4959" i="2"/>
  <c r="H4959" i="2" s="1"/>
  <c r="E4960" i="2"/>
  <c r="H4960" i="2" s="1"/>
  <c r="E4961" i="2"/>
  <c r="H4961" i="2" s="1"/>
  <c r="E4962" i="2"/>
  <c r="H4962" i="2" s="1"/>
  <c r="E4963" i="2"/>
  <c r="H4963" i="2" s="1"/>
  <c r="E4964" i="2"/>
  <c r="H4964" i="2" s="1"/>
  <c r="E4965" i="2"/>
  <c r="H4965" i="2" s="1"/>
  <c r="E4966" i="2"/>
  <c r="H4966" i="2" s="1"/>
  <c r="E4967" i="2"/>
  <c r="H4967" i="2" s="1"/>
  <c r="E4968" i="2"/>
  <c r="H4968" i="2" s="1"/>
  <c r="E4969" i="2"/>
  <c r="H4969" i="2" s="1"/>
  <c r="E4970" i="2"/>
  <c r="H4970" i="2" s="1"/>
  <c r="E4971" i="2"/>
  <c r="H4971" i="2" s="1"/>
  <c r="E4972" i="2"/>
  <c r="H4972" i="2" s="1"/>
  <c r="E4973" i="2"/>
  <c r="H4973" i="2" s="1"/>
  <c r="E4974" i="2"/>
  <c r="H4974" i="2" s="1"/>
  <c r="E4975" i="2"/>
  <c r="H4975" i="2" s="1"/>
  <c r="F4950" i="2"/>
  <c r="F4951" i="2"/>
  <c r="F4952" i="2"/>
  <c r="F4953" i="2"/>
  <c r="F4954" i="2"/>
  <c r="F4955" i="2"/>
  <c r="F4956" i="2"/>
  <c r="F4957" i="2"/>
  <c r="F4958" i="2"/>
  <c r="F4959" i="2"/>
  <c r="F4960" i="2"/>
  <c r="F4961" i="2"/>
  <c r="F4962" i="2"/>
  <c r="F4963" i="2"/>
  <c r="F4964" i="2"/>
  <c r="F4965" i="2"/>
  <c r="F4966" i="2"/>
  <c r="F4967" i="2"/>
  <c r="F4968" i="2"/>
  <c r="F4969" i="2"/>
  <c r="F4970" i="2"/>
  <c r="F4971" i="2"/>
  <c r="F4972" i="2"/>
  <c r="F4973" i="2"/>
  <c r="F4974" i="2"/>
  <c r="F4975" i="2"/>
  <c r="G4950" i="2"/>
  <c r="G4951" i="2"/>
  <c r="G4952" i="2"/>
  <c r="G4953" i="2"/>
  <c r="G4954" i="2"/>
  <c r="G4955" i="2"/>
  <c r="G4956" i="2"/>
  <c r="G4957" i="2"/>
  <c r="G4958" i="2"/>
  <c r="G4959" i="2"/>
  <c r="G4960" i="2"/>
  <c r="G4961" i="2"/>
  <c r="G4962" i="2"/>
  <c r="G4963" i="2"/>
  <c r="G4964" i="2"/>
  <c r="G4965" i="2"/>
  <c r="G4966" i="2"/>
  <c r="G4967" i="2"/>
  <c r="G4968" i="2"/>
  <c r="G4969" i="2"/>
  <c r="G4970" i="2"/>
  <c r="G4971" i="2"/>
  <c r="G4972" i="2"/>
  <c r="G4973" i="2"/>
  <c r="G4974" i="2"/>
  <c r="G4975" i="2"/>
  <c r="H4952" i="2"/>
  <c r="I4950" i="2"/>
  <c r="I4951" i="2"/>
  <c r="I4952" i="2"/>
  <c r="I4953" i="2"/>
  <c r="I4954" i="2"/>
  <c r="I4955" i="2"/>
  <c r="I4956" i="2"/>
  <c r="I4957" i="2"/>
  <c r="I4958" i="2"/>
  <c r="I4959" i="2"/>
  <c r="I4960" i="2"/>
  <c r="I4961" i="2"/>
  <c r="I4962" i="2"/>
  <c r="I4963" i="2"/>
  <c r="I4964" i="2"/>
  <c r="I4965" i="2"/>
  <c r="I4966" i="2"/>
  <c r="I4967" i="2"/>
  <c r="I4968" i="2"/>
  <c r="I4969" i="2"/>
  <c r="I4970" i="2"/>
  <c r="I4971" i="2"/>
  <c r="I4972" i="2"/>
  <c r="I4973" i="2"/>
  <c r="I4974" i="2"/>
  <c r="I4975" i="2"/>
  <c r="J4950" i="2"/>
  <c r="J4951" i="2"/>
  <c r="J4952" i="2"/>
  <c r="J4953" i="2"/>
  <c r="J4954" i="2"/>
  <c r="J4955" i="2"/>
  <c r="J4956" i="2"/>
  <c r="J4957" i="2"/>
  <c r="J4958" i="2"/>
  <c r="J4959" i="2"/>
  <c r="J4960" i="2"/>
  <c r="J4961" i="2"/>
  <c r="J4962" i="2"/>
  <c r="J4963" i="2"/>
  <c r="J4964" i="2"/>
  <c r="J4965" i="2"/>
  <c r="J4966" i="2"/>
  <c r="J4967" i="2"/>
  <c r="J4968" i="2"/>
  <c r="J4969" i="2"/>
  <c r="J4970" i="2"/>
  <c r="J4971" i="2"/>
  <c r="J4972" i="2"/>
  <c r="J4973" i="2"/>
  <c r="J4974" i="2"/>
  <c r="J4975" i="2"/>
  <c r="K4950" i="2"/>
  <c r="K4951" i="2"/>
  <c r="K4952" i="2"/>
  <c r="K4953" i="2"/>
  <c r="K4954" i="2"/>
  <c r="K4955" i="2"/>
  <c r="K4956" i="2"/>
  <c r="K4957" i="2"/>
  <c r="K4958" i="2"/>
  <c r="K4959" i="2"/>
  <c r="K4960" i="2"/>
  <c r="K4961" i="2"/>
  <c r="K4962" i="2"/>
  <c r="K4963" i="2"/>
  <c r="K4964" i="2"/>
  <c r="K4965" i="2"/>
  <c r="K4966" i="2"/>
  <c r="K4967" i="2"/>
  <c r="K4968" i="2"/>
  <c r="K4969" i="2"/>
  <c r="K4970" i="2"/>
  <c r="K4971" i="2"/>
  <c r="K4972" i="2"/>
  <c r="K4973" i="2"/>
  <c r="K4974" i="2"/>
  <c r="K4975" i="2"/>
  <c r="K2" i="2"/>
  <c r="K3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6" i="2"/>
  <c r="K117" i="2"/>
  <c r="K118" i="2"/>
  <c r="K119" i="2"/>
  <c r="K120" i="2"/>
  <c r="K121" i="2"/>
  <c r="K122" i="2"/>
  <c r="K123" i="2"/>
  <c r="K124" i="2"/>
  <c r="K125" i="2"/>
  <c r="K126" i="2"/>
  <c r="K127" i="2"/>
  <c r="K128" i="2"/>
  <c r="K129" i="2"/>
  <c r="K130" i="2"/>
  <c r="K131" i="2"/>
  <c r="K132" i="2"/>
  <c r="K133" i="2"/>
  <c r="K134" i="2"/>
  <c r="K135" i="2"/>
  <c r="K136" i="2"/>
  <c r="K137" i="2"/>
  <c r="K138" i="2"/>
  <c r="K139" i="2"/>
  <c r="K140" i="2"/>
  <c r="K141" i="2"/>
  <c r="K142" i="2"/>
  <c r="K143" i="2"/>
  <c r="K144" i="2"/>
  <c r="K145" i="2"/>
  <c r="K146" i="2"/>
  <c r="K147" i="2"/>
  <c r="K148" i="2"/>
  <c r="K149" i="2"/>
  <c r="K150" i="2"/>
  <c r="K151" i="2"/>
  <c r="K152" i="2"/>
  <c r="K153" i="2"/>
  <c r="K154" i="2"/>
  <c r="K155" i="2"/>
  <c r="K156" i="2"/>
  <c r="K157" i="2"/>
  <c r="K158" i="2"/>
  <c r="K159" i="2"/>
  <c r="K160" i="2"/>
  <c r="K161" i="2"/>
  <c r="K162" i="2"/>
  <c r="K163" i="2"/>
  <c r="K164" i="2"/>
  <c r="K165" i="2"/>
  <c r="K166" i="2"/>
  <c r="K167" i="2"/>
  <c r="K168" i="2"/>
  <c r="K169" i="2"/>
  <c r="K170" i="2"/>
  <c r="K171" i="2"/>
  <c r="K172" i="2"/>
  <c r="K173" i="2"/>
  <c r="K174" i="2"/>
  <c r="K175" i="2"/>
  <c r="K176" i="2"/>
  <c r="K177" i="2"/>
  <c r="K178" i="2"/>
  <c r="K179" i="2"/>
  <c r="K180" i="2"/>
  <c r="K181" i="2"/>
  <c r="K182" i="2"/>
  <c r="K183" i="2"/>
  <c r="K184" i="2"/>
  <c r="K185" i="2"/>
  <c r="K186" i="2"/>
  <c r="K187" i="2"/>
  <c r="K188" i="2"/>
  <c r="K189" i="2"/>
  <c r="K190" i="2"/>
  <c r="K191" i="2"/>
  <c r="K192" i="2"/>
  <c r="K193" i="2"/>
  <c r="K194" i="2"/>
  <c r="K195" i="2"/>
  <c r="K196" i="2"/>
  <c r="K197" i="2"/>
  <c r="K198" i="2"/>
  <c r="K199" i="2"/>
  <c r="K200" i="2"/>
  <c r="K201" i="2"/>
  <c r="K202" i="2"/>
  <c r="K203" i="2"/>
  <c r="K204" i="2"/>
  <c r="K205" i="2"/>
  <c r="K206" i="2"/>
  <c r="K207" i="2"/>
  <c r="K208" i="2"/>
  <c r="K209" i="2"/>
  <c r="K210" i="2"/>
  <c r="K211" i="2"/>
  <c r="K212" i="2"/>
  <c r="K213" i="2"/>
  <c r="K214" i="2"/>
  <c r="K215" i="2"/>
  <c r="K216" i="2"/>
  <c r="K217" i="2"/>
  <c r="K218" i="2"/>
  <c r="K219" i="2"/>
  <c r="K220" i="2"/>
  <c r="K221" i="2"/>
  <c r="K222" i="2"/>
  <c r="K223" i="2"/>
  <c r="K224" i="2"/>
  <c r="K225" i="2"/>
  <c r="K226" i="2"/>
  <c r="K227" i="2"/>
  <c r="K228" i="2"/>
  <c r="K229" i="2"/>
  <c r="K230" i="2"/>
  <c r="K231" i="2"/>
  <c r="K232" i="2"/>
  <c r="K233" i="2"/>
  <c r="K234" i="2"/>
  <c r="K235" i="2"/>
  <c r="K236" i="2"/>
  <c r="K237" i="2"/>
  <c r="K238" i="2"/>
  <c r="K239" i="2"/>
  <c r="K240" i="2"/>
  <c r="K241" i="2"/>
  <c r="K242" i="2"/>
  <c r="K243" i="2"/>
  <c r="K244" i="2"/>
  <c r="K245" i="2"/>
  <c r="K246" i="2"/>
  <c r="K247" i="2"/>
  <c r="K248" i="2"/>
  <c r="K249" i="2"/>
  <c r="K250" i="2"/>
  <c r="K251" i="2"/>
  <c r="K252" i="2"/>
  <c r="K253" i="2"/>
  <c r="K254" i="2"/>
  <c r="K255" i="2"/>
  <c r="K256" i="2"/>
  <c r="K257" i="2"/>
  <c r="K258" i="2"/>
  <c r="K259" i="2"/>
  <c r="K260" i="2"/>
  <c r="K261" i="2"/>
  <c r="K262" i="2"/>
  <c r="K263" i="2"/>
  <c r="K264" i="2"/>
  <c r="K265" i="2"/>
  <c r="K266" i="2"/>
  <c r="K267" i="2"/>
  <c r="K268" i="2"/>
  <c r="K269" i="2"/>
  <c r="K270" i="2"/>
  <c r="K271" i="2"/>
  <c r="K272" i="2"/>
  <c r="K273" i="2"/>
  <c r="K274" i="2"/>
  <c r="K275" i="2"/>
  <c r="K276" i="2"/>
  <c r="K277" i="2"/>
  <c r="K278" i="2"/>
  <c r="K279" i="2"/>
  <c r="K280" i="2"/>
  <c r="K281" i="2"/>
  <c r="K282" i="2"/>
  <c r="K283" i="2"/>
  <c r="K284" i="2"/>
  <c r="K285" i="2"/>
  <c r="K286" i="2"/>
  <c r="K287" i="2"/>
  <c r="K288" i="2"/>
  <c r="K289" i="2"/>
  <c r="K290" i="2"/>
  <c r="K291" i="2"/>
  <c r="K292" i="2"/>
  <c r="K293" i="2"/>
  <c r="K294" i="2"/>
  <c r="K295" i="2"/>
  <c r="K296" i="2"/>
  <c r="K297" i="2"/>
  <c r="K298" i="2"/>
  <c r="K299" i="2"/>
  <c r="K300" i="2"/>
  <c r="K301" i="2"/>
  <c r="K302" i="2"/>
  <c r="K303" i="2"/>
  <c r="K304" i="2"/>
  <c r="K305" i="2"/>
  <c r="K306" i="2"/>
  <c r="K307" i="2"/>
  <c r="K308" i="2"/>
  <c r="K309" i="2"/>
  <c r="K310" i="2"/>
  <c r="K311" i="2"/>
  <c r="K312" i="2"/>
  <c r="K313" i="2"/>
  <c r="K314" i="2"/>
  <c r="K315" i="2"/>
  <c r="K316" i="2"/>
  <c r="K317" i="2"/>
  <c r="K318" i="2"/>
  <c r="K319" i="2"/>
  <c r="K320" i="2"/>
  <c r="K321" i="2"/>
  <c r="K322" i="2"/>
  <c r="K323" i="2"/>
  <c r="K324" i="2"/>
  <c r="K325" i="2"/>
  <c r="K326" i="2"/>
  <c r="K327" i="2"/>
  <c r="K328" i="2"/>
  <c r="K329" i="2"/>
  <c r="K330" i="2"/>
  <c r="K331" i="2"/>
  <c r="K332" i="2"/>
  <c r="K333" i="2"/>
  <c r="K334" i="2"/>
  <c r="K335" i="2"/>
  <c r="K336" i="2"/>
  <c r="K337" i="2"/>
  <c r="K338" i="2"/>
  <c r="K339" i="2"/>
  <c r="K340" i="2"/>
  <c r="K341" i="2"/>
  <c r="K342" i="2"/>
  <c r="K343" i="2"/>
  <c r="K344" i="2"/>
  <c r="K345" i="2"/>
  <c r="K346" i="2"/>
  <c r="K347" i="2"/>
  <c r="K348" i="2"/>
  <c r="K349" i="2"/>
  <c r="K350" i="2"/>
  <c r="K351" i="2"/>
  <c r="K352" i="2"/>
  <c r="K353" i="2"/>
  <c r="K354" i="2"/>
  <c r="K355" i="2"/>
  <c r="K356" i="2"/>
  <c r="K357" i="2"/>
  <c r="K358" i="2"/>
  <c r="K359" i="2"/>
  <c r="K360" i="2"/>
  <c r="K361" i="2"/>
  <c r="K362" i="2"/>
  <c r="K363" i="2"/>
  <c r="K364" i="2"/>
  <c r="K365" i="2"/>
  <c r="K366" i="2"/>
  <c r="K367" i="2"/>
  <c r="K368" i="2"/>
  <c r="K369" i="2"/>
  <c r="K370" i="2"/>
  <c r="K371" i="2"/>
  <c r="K372" i="2"/>
  <c r="K373" i="2"/>
  <c r="K374" i="2"/>
  <c r="K375" i="2"/>
  <c r="K376" i="2"/>
  <c r="K377" i="2"/>
  <c r="K378" i="2"/>
  <c r="K379" i="2"/>
  <c r="K380" i="2"/>
  <c r="K381" i="2"/>
  <c r="K382" i="2"/>
  <c r="K383" i="2"/>
  <c r="K384" i="2"/>
  <c r="K385" i="2"/>
  <c r="K386" i="2"/>
  <c r="K387" i="2"/>
  <c r="K388" i="2"/>
  <c r="K389" i="2"/>
  <c r="K390" i="2"/>
  <c r="K391" i="2"/>
  <c r="K392" i="2"/>
  <c r="K393" i="2"/>
  <c r="K394" i="2"/>
  <c r="K395" i="2"/>
  <c r="K396" i="2"/>
  <c r="K397" i="2"/>
  <c r="K398" i="2"/>
  <c r="K399" i="2"/>
  <c r="K400" i="2"/>
  <c r="K401" i="2"/>
  <c r="K402" i="2"/>
  <c r="K403" i="2"/>
  <c r="K404" i="2"/>
  <c r="K405" i="2"/>
  <c r="K406" i="2"/>
  <c r="K407" i="2"/>
  <c r="K408" i="2"/>
  <c r="K409" i="2"/>
  <c r="K410" i="2"/>
  <c r="K411" i="2"/>
  <c r="K412" i="2"/>
  <c r="K413" i="2"/>
  <c r="K414" i="2"/>
  <c r="K415" i="2"/>
  <c r="K416" i="2"/>
  <c r="K417" i="2"/>
  <c r="K418" i="2"/>
  <c r="K419" i="2"/>
  <c r="K420" i="2"/>
  <c r="K421" i="2"/>
  <c r="K422" i="2"/>
  <c r="K423" i="2"/>
  <c r="K424" i="2"/>
  <c r="K425" i="2"/>
  <c r="K426" i="2"/>
  <c r="K427" i="2"/>
  <c r="K428" i="2"/>
  <c r="K429" i="2"/>
  <c r="K430" i="2"/>
  <c r="K431" i="2"/>
  <c r="K432" i="2"/>
  <c r="K433" i="2"/>
  <c r="K434" i="2"/>
  <c r="K435" i="2"/>
  <c r="K436" i="2"/>
  <c r="K437" i="2"/>
  <c r="K438" i="2"/>
  <c r="K439" i="2"/>
  <c r="K440" i="2"/>
  <c r="K441" i="2"/>
  <c r="K442" i="2"/>
  <c r="K443" i="2"/>
  <c r="K444" i="2"/>
  <c r="K445" i="2"/>
  <c r="K446" i="2"/>
  <c r="K447" i="2"/>
  <c r="K448" i="2"/>
  <c r="K449" i="2"/>
  <c r="K450" i="2"/>
  <c r="K451" i="2"/>
  <c r="K452" i="2"/>
  <c r="K453" i="2"/>
  <c r="K454" i="2"/>
  <c r="K455" i="2"/>
  <c r="K456" i="2"/>
  <c r="K457" i="2"/>
  <c r="K458" i="2"/>
  <c r="K459" i="2"/>
  <c r="K460" i="2"/>
  <c r="K461" i="2"/>
  <c r="K462" i="2"/>
  <c r="K463" i="2"/>
  <c r="K464" i="2"/>
  <c r="K465" i="2"/>
  <c r="K466" i="2"/>
  <c r="K467" i="2"/>
  <c r="K468" i="2"/>
  <c r="K469" i="2"/>
  <c r="K470" i="2"/>
  <c r="K471" i="2"/>
  <c r="K472" i="2"/>
  <c r="K473" i="2"/>
  <c r="K474" i="2"/>
  <c r="K475" i="2"/>
  <c r="K476" i="2"/>
  <c r="K477" i="2"/>
  <c r="K478" i="2"/>
  <c r="K479" i="2"/>
  <c r="K480" i="2"/>
  <c r="K481" i="2"/>
  <c r="K482" i="2"/>
  <c r="K483" i="2"/>
  <c r="K484" i="2"/>
  <c r="K485" i="2"/>
  <c r="K486" i="2"/>
  <c r="K487" i="2"/>
  <c r="K488" i="2"/>
  <c r="K489" i="2"/>
  <c r="K490" i="2"/>
  <c r="K491" i="2"/>
  <c r="K492" i="2"/>
  <c r="K493" i="2"/>
  <c r="K494" i="2"/>
  <c r="K495" i="2"/>
  <c r="K496" i="2"/>
  <c r="K497" i="2"/>
  <c r="K498" i="2"/>
  <c r="K499" i="2"/>
  <c r="K500" i="2"/>
  <c r="K501" i="2"/>
  <c r="K502" i="2"/>
  <c r="K503" i="2"/>
  <c r="K504" i="2"/>
  <c r="K505" i="2"/>
  <c r="K506" i="2"/>
  <c r="K507" i="2"/>
  <c r="K508" i="2"/>
  <c r="K509" i="2"/>
  <c r="K510" i="2"/>
  <c r="K511" i="2"/>
  <c r="K512" i="2"/>
  <c r="K513" i="2"/>
  <c r="K514" i="2"/>
  <c r="K515" i="2"/>
  <c r="K516" i="2"/>
  <c r="K517" i="2"/>
  <c r="K518" i="2"/>
  <c r="K519" i="2"/>
  <c r="K520" i="2"/>
  <c r="K521" i="2"/>
  <c r="K522" i="2"/>
  <c r="K523" i="2"/>
  <c r="K524" i="2"/>
  <c r="K525" i="2"/>
  <c r="K526" i="2"/>
  <c r="K527" i="2"/>
  <c r="K528" i="2"/>
  <c r="K529" i="2"/>
  <c r="K530" i="2"/>
  <c r="K531" i="2"/>
  <c r="K532" i="2"/>
  <c r="K533" i="2"/>
  <c r="K534" i="2"/>
  <c r="K535" i="2"/>
  <c r="K536" i="2"/>
  <c r="K537" i="2"/>
  <c r="K538" i="2"/>
  <c r="K539" i="2"/>
  <c r="K540" i="2"/>
  <c r="K541" i="2"/>
  <c r="K542" i="2"/>
  <c r="K543" i="2"/>
  <c r="K544" i="2"/>
  <c r="K545" i="2"/>
  <c r="K546" i="2"/>
  <c r="K547" i="2"/>
  <c r="K548" i="2"/>
  <c r="K549" i="2"/>
  <c r="K550" i="2"/>
  <c r="K551" i="2"/>
  <c r="K552" i="2"/>
  <c r="K553" i="2"/>
  <c r="K554" i="2"/>
  <c r="K555" i="2"/>
  <c r="K556" i="2"/>
  <c r="K557" i="2"/>
  <c r="K558" i="2"/>
  <c r="K559" i="2"/>
  <c r="K560" i="2"/>
  <c r="K561" i="2"/>
  <c r="K562" i="2"/>
  <c r="K563" i="2"/>
  <c r="K564" i="2"/>
  <c r="K565" i="2"/>
  <c r="K566" i="2"/>
  <c r="K567" i="2"/>
  <c r="K568" i="2"/>
  <c r="K569" i="2"/>
  <c r="K570" i="2"/>
  <c r="K571" i="2"/>
  <c r="K572" i="2"/>
  <c r="K573" i="2"/>
  <c r="K574" i="2"/>
  <c r="K575" i="2"/>
  <c r="K576" i="2"/>
  <c r="K577" i="2"/>
  <c r="K578" i="2"/>
  <c r="K579" i="2"/>
  <c r="K580" i="2"/>
  <c r="K581" i="2"/>
  <c r="K582" i="2"/>
  <c r="K583" i="2"/>
  <c r="K584" i="2"/>
  <c r="K585" i="2"/>
  <c r="K586" i="2"/>
  <c r="K587" i="2"/>
  <c r="K588" i="2"/>
  <c r="K589" i="2"/>
  <c r="K590" i="2"/>
  <c r="K591" i="2"/>
  <c r="K592" i="2"/>
  <c r="K593" i="2"/>
  <c r="K594" i="2"/>
  <c r="K595" i="2"/>
  <c r="K596" i="2"/>
  <c r="K597" i="2"/>
  <c r="K598" i="2"/>
  <c r="K599" i="2"/>
  <c r="K600" i="2"/>
  <c r="K601" i="2"/>
  <c r="K602" i="2"/>
  <c r="K603" i="2"/>
  <c r="K604" i="2"/>
  <c r="K605" i="2"/>
  <c r="K606" i="2"/>
  <c r="K607" i="2"/>
  <c r="K608" i="2"/>
  <c r="K609" i="2"/>
  <c r="K610" i="2"/>
  <c r="K611" i="2"/>
  <c r="K612" i="2"/>
  <c r="K613" i="2"/>
  <c r="K614" i="2"/>
  <c r="K615" i="2"/>
  <c r="K616" i="2"/>
  <c r="K617" i="2"/>
  <c r="K618" i="2"/>
  <c r="K619" i="2"/>
  <c r="K620" i="2"/>
  <c r="K621" i="2"/>
  <c r="K622" i="2"/>
  <c r="K623" i="2"/>
  <c r="K624" i="2"/>
  <c r="K625" i="2"/>
  <c r="K626" i="2"/>
  <c r="K627" i="2"/>
  <c r="K628" i="2"/>
  <c r="K629" i="2"/>
  <c r="K630" i="2"/>
  <c r="K631" i="2"/>
  <c r="K632" i="2"/>
  <c r="K633" i="2"/>
  <c r="K634" i="2"/>
  <c r="K635" i="2"/>
  <c r="K636" i="2"/>
  <c r="K637" i="2"/>
  <c r="K638" i="2"/>
  <c r="K639" i="2"/>
  <c r="K640" i="2"/>
  <c r="K641" i="2"/>
  <c r="K642" i="2"/>
  <c r="K643" i="2"/>
  <c r="K644" i="2"/>
  <c r="K645" i="2"/>
  <c r="K646" i="2"/>
  <c r="K647" i="2"/>
  <c r="K648" i="2"/>
  <c r="K649" i="2"/>
  <c r="K650" i="2"/>
  <c r="K651" i="2"/>
  <c r="K652" i="2"/>
  <c r="K653" i="2"/>
  <c r="K654" i="2"/>
  <c r="K655" i="2"/>
  <c r="K656" i="2"/>
  <c r="K657" i="2"/>
  <c r="K658" i="2"/>
  <c r="K659" i="2"/>
  <c r="K660" i="2"/>
  <c r="K661" i="2"/>
  <c r="K662" i="2"/>
  <c r="K663" i="2"/>
  <c r="K664" i="2"/>
  <c r="K665" i="2"/>
  <c r="K666" i="2"/>
  <c r="K667" i="2"/>
  <c r="K668" i="2"/>
  <c r="K669" i="2"/>
  <c r="K670" i="2"/>
  <c r="K671" i="2"/>
  <c r="K672" i="2"/>
  <c r="K673" i="2"/>
  <c r="K674" i="2"/>
  <c r="K675" i="2"/>
  <c r="K676" i="2"/>
  <c r="K677" i="2"/>
  <c r="K678" i="2"/>
  <c r="K679" i="2"/>
  <c r="K680" i="2"/>
  <c r="K681" i="2"/>
  <c r="K682" i="2"/>
  <c r="K683" i="2"/>
  <c r="K684" i="2"/>
  <c r="K685" i="2"/>
  <c r="K686" i="2"/>
  <c r="K687" i="2"/>
  <c r="K688" i="2"/>
  <c r="K689" i="2"/>
  <c r="K690" i="2"/>
  <c r="K691" i="2"/>
  <c r="K692" i="2"/>
  <c r="K693" i="2"/>
  <c r="K694" i="2"/>
  <c r="K695" i="2"/>
  <c r="K696" i="2"/>
  <c r="K697" i="2"/>
  <c r="K698" i="2"/>
  <c r="K699" i="2"/>
  <c r="K700" i="2"/>
  <c r="K701" i="2"/>
  <c r="K702" i="2"/>
  <c r="K703" i="2"/>
  <c r="K704" i="2"/>
  <c r="K705" i="2"/>
  <c r="K706" i="2"/>
  <c r="K707" i="2"/>
  <c r="K708" i="2"/>
  <c r="K709" i="2"/>
  <c r="K710" i="2"/>
  <c r="K711" i="2"/>
  <c r="K712" i="2"/>
  <c r="K713" i="2"/>
  <c r="K714" i="2"/>
  <c r="K715" i="2"/>
  <c r="K716" i="2"/>
  <c r="K717" i="2"/>
  <c r="K718" i="2"/>
  <c r="K719" i="2"/>
  <c r="K720" i="2"/>
  <c r="K721" i="2"/>
  <c r="K722" i="2"/>
  <c r="K723" i="2"/>
  <c r="K724" i="2"/>
  <c r="K725" i="2"/>
  <c r="K726" i="2"/>
  <c r="K727" i="2"/>
  <c r="K728" i="2"/>
  <c r="K729" i="2"/>
  <c r="K730" i="2"/>
  <c r="K731" i="2"/>
  <c r="K732" i="2"/>
  <c r="K733" i="2"/>
  <c r="K734" i="2"/>
  <c r="K735" i="2"/>
  <c r="K736" i="2"/>
  <c r="K737" i="2"/>
  <c r="K738" i="2"/>
  <c r="K739" i="2"/>
  <c r="K740" i="2"/>
  <c r="K741" i="2"/>
  <c r="K742" i="2"/>
  <c r="K743" i="2"/>
  <c r="K744" i="2"/>
  <c r="K745" i="2"/>
  <c r="K746" i="2"/>
  <c r="K747" i="2"/>
  <c r="K748" i="2"/>
  <c r="K749" i="2"/>
  <c r="K750" i="2"/>
  <c r="K751" i="2"/>
  <c r="K752" i="2"/>
  <c r="K753" i="2"/>
  <c r="K754" i="2"/>
  <c r="K755" i="2"/>
  <c r="K756" i="2"/>
  <c r="K757" i="2"/>
  <c r="K758" i="2"/>
  <c r="K759" i="2"/>
  <c r="K760" i="2"/>
  <c r="K761" i="2"/>
  <c r="K762" i="2"/>
  <c r="K763" i="2"/>
  <c r="K764" i="2"/>
  <c r="K765" i="2"/>
  <c r="K766" i="2"/>
  <c r="K767" i="2"/>
  <c r="K768" i="2"/>
  <c r="K769" i="2"/>
  <c r="K770" i="2"/>
  <c r="K771" i="2"/>
  <c r="K772" i="2"/>
  <c r="K773" i="2"/>
  <c r="K774" i="2"/>
  <c r="K775" i="2"/>
  <c r="K776" i="2"/>
  <c r="K777" i="2"/>
  <c r="K778" i="2"/>
  <c r="K779" i="2"/>
  <c r="K780" i="2"/>
  <c r="K781" i="2"/>
  <c r="K782" i="2"/>
  <c r="K783" i="2"/>
  <c r="K784" i="2"/>
  <c r="K785" i="2"/>
  <c r="K786" i="2"/>
  <c r="K787" i="2"/>
  <c r="K788" i="2"/>
  <c r="K789" i="2"/>
  <c r="K790" i="2"/>
  <c r="K791" i="2"/>
  <c r="K792" i="2"/>
  <c r="K793" i="2"/>
  <c r="K794" i="2"/>
  <c r="K795" i="2"/>
  <c r="K796" i="2"/>
  <c r="K797" i="2"/>
  <c r="K798" i="2"/>
  <c r="K799" i="2"/>
  <c r="K800" i="2"/>
  <c r="K801" i="2"/>
  <c r="K802" i="2"/>
  <c r="K803" i="2"/>
  <c r="K804" i="2"/>
  <c r="K805" i="2"/>
  <c r="K806" i="2"/>
  <c r="K807" i="2"/>
  <c r="K808" i="2"/>
  <c r="K809" i="2"/>
  <c r="K810" i="2"/>
  <c r="K811" i="2"/>
  <c r="K812" i="2"/>
  <c r="K813" i="2"/>
  <c r="K814" i="2"/>
  <c r="K815" i="2"/>
  <c r="K816" i="2"/>
  <c r="K817" i="2"/>
  <c r="K818" i="2"/>
  <c r="K819" i="2"/>
  <c r="K820" i="2"/>
  <c r="K821" i="2"/>
  <c r="K822" i="2"/>
  <c r="K823" i="2"/>
  <c r="K824" i="2"/>
  <c r="K825" i="2"/>
  <c r="K826" i="2"/>
  <c r="K827" i="2"/>
  <c r="K828" i="2"/>
  <c r="K829" i="2"/>
  <c r="K830" i="2"/>
  <c r="K831" i="2"/>
  <c r="K832" i="2"/>
  <c r="K833" i="2"/>
  <c r="K834" i="2"/>
  <c r="K835" i="2"/>
  <c r="K836" i="2"/>
  <c r="K837" i="2"/>
  <c r="K838" i="2"/>
  <c r="K839" i="2"/>
  <c r="K840" i="2"/>
  <c r="K841" i="2"/>
  <c r="K842" i="2"/>
  <c r="K843" i="2"/>
  <c r="K844" i="2"/>
  <c r="K845" i="2"/>
  <c r="K846" i="2"/>
  <c r="K847" i="2"/>
  <c r="K848" i="2"/>
  <c r="K849" i="2"/>
  <c r="K850" i="2"/>
  <c r="K851" i="2"/>
  <c r="K852" i="2"/>
  <c r="K853" i="2"/>
  <c r="K854" i="2"/>
  <c r="K855" i="2"/>
  <c r="K856" i="2"/>
  <c r="K857" i="2"/>
  <c r="K858" i="2"/>
  <c r="K859" i="2"/>
  <c r="K860" i="2"/>
  <c r="K861" i="2"/>
  <c r="K862" i="2"/>
  <c r="K863" i="2"/>
  <c r="K864" i="2"/>
  <c r="K865" i="2"/>
  <c r="K866" i="2"/>
  <c r="K867" i="2"/>
  <c r="K868" i="2"/>
  <c r="K869" i="2"/>
  <c r="K870" i="2"/>
  <c r="K871" i="2"/>
  <c r="K872" i="2"/>
  <c r="K873" i="2"/>
  <c r="K874" i="2"/>
  <c r="K875" i="2"/>
  <c r="K876" i="2"/>
  <c r="K877" i="2"/>
  <c r="K878" i="2"/>
  <c r="K879" i="2"/>
  <c r="K880" i="2"/>
  <c r="K881" i="2"/>
  <c r="K882" i="2"/>
  <c r="K883" i="2"/>
  <c r="K884" i="2"/>
  <c r="K885" i="2"/>
  <c r="K886" i="2"/>
  <c r="K887" i="2"/>
  <c r="K888" i="2"/>
  <c r="K889" i="2"/>
  <c r="K890" i="2"/>
  <c r="K891" i="2"/>
  <c r="K892" i="2"/>
  <c r="K893" i="2"/>
  <c r="K894" i="2"/>
  <c r="K895" i="2"/>
  <c r="K896" i="2"/>
  <c r="K897" i="2"/>
  <c r="K898" i="2"/>
  <c r="K899" i="2"/>
  <c r="K900" i="2"/>
  <c r="K901" i="2"/>
  <c r="K902" i="2"/>
  <c r="K903" i="2"/>
  <c r="K904" i="2"/>
  <c r="K905" i="2"/>
  <c r="K906" i="2"/>
  <c r="K907" i="2"/>
  <c r="K908" i="2"/>
  <c r="K909" i="2"/>
  <c r="K910" i="2"/>
  <c r="K911" i="2"/>
  <c r="K912" i="2"/>
  <c r="K913" i="2"/>
  <c r="K914" i="2"/>
  <c r="K915" i="2"/>
  <c r="K916" i="2"/>
  <c r="K917" i="2"/>
  <c r="K918" i="2"/>
  <c r="K919" i="2"/>
  <c r="K920" i="2"/>
  <c r="K921" i="2"/>
  <c r="K922" i="2"/>
  <c r="K923" i="2"/>
  <c r="K924" i="2"/>
  <c r="K925" i="2"/>
  <c r="K926" i="2"/>
  <c r="K927" i="2"/>
  <c r="K928" i="2"/>
  <c r="K929" i="2"/>
  <c r="K930" i="2"/>
  <c r="K931" i="2"/>
  <c r="K932" i="2"/>
  <c r="K933" i="2"/>
  <c r="K934" i="2"/>
  <c r="K935" i="2"/>
  <c r="K936" i="2"/>
  <c r="K937" i="2"/>
  <c r="K938" i="2"/>
  <c r="K939" i="2"/>
  <c r="K940" i="2"/>
  <c r="K941" i="2"/>
  <c r="K942" i="2"/>
  <c r="K943" i="2"/>
  <c r="K944" i="2"/>
  <c r="K945" i="2"/>
  <c r="K946" i="2"/>
  <c r="K947" i="2"/>
  <c r="K948" i="2"/>
  <c r="K949" i="2"/>
  <c r="K950" i="2"/>
  <c r="K951" i="2"/>
  <c r="K952" i="2"/>
  <c r="K953" i="2"/>
  <c r="K954" i="2"/>
  <c r="K955" i="2"/>
  <c r="K956" i="2"/>
  <c r="K957" i="2"/>
  <c r="K958" i="2"/>
  <c r="K959" i="2"/>
  <c r="K960" i="2"/>
  <c r="K961" i="2"/>
  <c r="K962" i="2"/>
  <c r="K963" i="2"/>
  <c r="K964" i="2"/>
  <c r="K965" i="2"/>
  <c r="K966" i="2"/>
  <c r="K967" i="2"/>
  <c r="K968" i="2"/>
  <c r="K969" i="2"/>
  <c r="K970" i="2"/>
  <c r="K971" i="2"/>
  <c r="K972" i="2"/>
  <c r="K973" i="2"/>
  <c r="K974" i="2"/>
  <c r="K975" i="2"/>
  <c r="K976" i="2"/>
  <c r="K977" i="2"/>
  <c r="K978" i="2"/>
  <c r="K979" i="2"/>
  <c r="K980" i="2"/>
  <c r="K981" i="2"/>
  <c r="K982" i="2"/>
  <c r="K983" i="2"/>
  <c r="K984" i="2"/>
  <c r="K985" i="2"/>
  <c r="K986" i="2"/>
  <c r="K987" i="2"/>
  <c r="K988" i="2"/>
  <c r="K989" i="2"/>
  <c r="K990" i="2"/>
  <c r="K991" i="2"/>
  <c r="K992" i="2"/>
  <c r="K993" i="2"/>
  <c r="K994" i="2"/>
  <c r="K995" i="2"/>
  <c r="K996" i="2"/>
  <c r="K997" i="2"/>
  <c r="K998" i="2"/>
  <c r="K999" i="2"/>
  <c r="K1000" i="2"/>
  <c r="K1001" i="2"/>
  <c r="K1002" i="2"/>
  <c r="K1003" i="2"/>
  <c r="K1004" i="2"/>
  <c r="K1005" i="2"/>
  <c r="K1006" i="2"/>
  <c r="K1007" i="2"/>
  <c r="K1008" i="2"/>
  <c r="K1009" i="2"/>
  <c r="K1010" i="2"/>
  <c r="K1011" i="2"/>
  <c r="K1012" i="2"/>
  <c r="K1013" i="2"/>
  <c r="K1014" i="2"/>
  <c r="K1015" i="2"/>
  <c r="K1016" i="2"/>
  <c r="K1017" i="2"/>
  <c r="K1018" i="2"/>
  <c r="K1019" i="2"/>
  <c r="K1020" i="2"/>
  <c r="K1021" i="2"/>
  <c r="K1022" i="2"/>
  <c r="K1023" i="2"/>
  <c r="K1024" i="2"/>
  <c r="K1025" i="2"/>
  <c r="K1026" i="2"/>
  <c r="K1027" i="2"/>
  <c r="K1028" i="2"/>
  <c r="K1029" i="2"/>
  <c r="K1030" i="2"/>
  <c r="K1031" i="2"/>
  <c r="K1032" i="2"/>
  <c r="K1033" i="2"/>
  <c r="K1034" i="2"/>
  <c r="K1035" i="2"/>
  <c r="K1036" i="2"/>
  <c r="K1037" i="2"/>
  <c r="K1038" i="2"/>
  <c r="K1039" i="2"/>
  <c r="K1040" i="2"/>
  <c r="K1041" i="2"/>
  <c r="K1042" i="2"/>
  <c r="K1043" i="2"/>
  <c r="K1044" i="2"/>
  <c r="K1045" i="2"/>
  <c r="K1046" i="2"/>
  <c r="K1047" i="2"/>
  <c r="K1048" i="2"/>
  <c r="K1049" i="2"/>
  <c r="K1050" i="2"/>
  <c r="K1051" i="2"/>
  <c r="K1052" i="2"/>
  <c r="K1053" i="2"/>
  <c r="K1054" i="2"/>
  <c r="K1055" i="2"/>
  <c r="K1056" i="2"/>
  <c r="K1057" i="2"/>
  <c r="K1058" i="2"/>
  <c r="K1059" i="2"/>
  <c r="K1060" i="2"/>
  <c r="K1061" i="2"/>
  <c r="K1062" i="2"/>
  <c r="K1063" i="2"/>
  <c r="K1064" i="2"/>
  <c r="K1065" i="2"/>
  <c r="K1066" i="2"/>
  <c r="K1067" i="2"/>
  <c r="K1068" i="2"/>
  <c r="K1069" i="2"/>
  <c r="K1070" i="2"/>
  <c r="K1071" i="2"/>
  <c r="K1072" i="2"/>
  <c r="K1073" i="2"/>
  <c r="K1074" i="2"/>
  <c r="K1075" i="2"/>
  <c r="K1076" i="2"/>
  <c r="K1077" i="2"/>
  <c r="K1078" i="2"/>
  <c r="K1079" i="2"/>
  <c r="K1080" i="2"/>
  <c r="K1081" i="2"/>
  <c r="K1082" i="2"/>
  <c r="K1083" i="2"/>
  <c r="K1084" i="2"/>
  <c r="K1085" i="2"/>
  <c r="K1086" i="2"/>
  <c r="K1087" i="2"/>
  <c r="K1088" i="2"/>
  <c r="K1089" i="2"/>
  <c r="K1090" i="2"/>
  <c r="K1091" i="2"/>
  <c r="K1092" i="2"/>
  <c r="K1093" i="2"/>
  <c r="K1094" i="2"/>
  <c r="K1095" i="2"/>
  <c r="K1096" i="2"/>
  <c r="K1097" i="2"/>
  <c r="K1098" i="2"/>
  <c r="K1099" i="2"/>
  <c r="K1100" i="2"/>
  <c r="K1101" i="2"/>
  <c r="K1102" i="2"/>
  <c r="K1103" i="2"/>
  <c r="K1104" i="2"/>
  <c r="K1105" i="2"/>
  <c r="K1106" i="2"/>
  <c r="K1107" i="2"/>
  <c r="K1108" i="2"/>
  <c r="K1109" i="2"/>
  <c r="K1110" i="2"/>
  <c r="K1111" i="2"/>
  <c r="K1112" i="2"/>
  <c r="K1113" i="2"/>
  <c r="K1114" i="2"/>
  <c r="K1115" i="2"/>
  <c r="K1116" i="2"/>
  <c r="K1117" i="2"/>
  <c r="K1118" i="2"/>
  <c r="K1119" i="2"/>
  <c r="K1120" i="2"/>
  <c r="K1121" i="2"/>
  <c r="K1122" i="2"/>
  <c r="K1123" i="2"/>
  <c r="K1124" i="2"/>
  <c r="K1125" i="2"/>
  <c r="K1126" i="2"/>
  <c r="K1127" i="2"/>
  <c r="K1128" i="2"/>
  <c r="K1129" i="2"/>
  <c r="K1130" i="2"/>
  <c r="K1131" i="2"/>
  <c r="K1132" i="2"/>
  <c r="K1133" i="2"/>
  <c r="K1134" i="2"/>
  <c r="K1135" i="2"/>
  <c r="K1136" i="2"/>
  <c r="K1137" i="2"/>
  <c r="K1138" i="2"/>
  <c r="K1139" i="2"/>
  <c r="K1140" i="2"/>
  <c r="K1141" i="2"/>
  <c r="K1142" i="2"/>
  <c r="K1143" i="2"/>
  <c r="K1144" i="2"/>
  <c r="K1145" i="2"/>
  <c r="K1146" i="2"/>
  <c r="K1147" i="2"/>
  <c r="K1148" i="2"/>
  <c r="K1149" i="2"/>
  <c r="K1150" i="2"/>
  <c r="K1151" i="2"/>
  <c r="K1152" i="2"/>
  <c r="K1153" i="2"/>
  <c r="K1154" i="2"/>
  <c r="K1155" i="2"/>
  <c r="K1156" i="2"/>
  <c r="K1157" i="2"/>
  <c r="K1158" i="2"/>
  <c r="K1159" i="2"/>
  <c r="K1160" i="2"/>
  <c r="K1161" i="2"/>
  <c r="K1162" i="2"/>
  <c r="K1163" i="2"/>
  <c r="K1164" i="2"/>
  <c r="K1165" i="2"/>
  <c r="K1166" i="2"/>
  <c r="K1167" i="2"/>
  <c r="K1168" i="2"/>
  <c r="K1169" i="2"/>
  <c r="K1170" i="2"/>
  <c r="K1171" i="2"/>
  <c r="K1172" i="2"/>
  <c r="K1173" i="2"/>
  <c r="K1174" i="2"/>
  <c r="K1175" i="2"/>
  <c r="K1176" i="2"/>
  <c r="K1177" i="2"/>
  <c r="K1178" i="2"/>
  <c r="K1179" i="2"/>
  <c r="K1180" i="2"/>
  <c r="K1181" i="2"/>
  <c r="K1182" i="2"/>
  <c r="K1183" i="2"/>
  <c r="K1184" i="2"/>
  <c r="K1185" i="2"/>
  <c r="K1186" i="2"/>
  <c r="K1187" i="2"/>
  <c r="K1188" i="2"/>
  <c r="K1189" i="2"/>
  <c r="K1190" i="2"/>
  <c r="K1191" i="2"/>
  <c r="K1192" i="2"/>
  <c r="K1193" i="2"/>
  <c r="K1194" i="2"/>
  <c r="K1195" i="2"/>
  <c r="K1196" i="2"/>
  <c r="K1197" i="2"/>
  <c r="K1198" i="2"/>
  <c r="K1199" i="2"/>
  <c r="K1200" i="2"/>
  <c r="K1201" i="2"/>
  <c r="K1202" i="2"/>
  <c r="K1203" i="2"/>
  <c r="K1204" i="2"/>
  <c r="K1205" i="2"/>
  <c r="K1206" i="2"/>
  <c r="K1207" i="2"/>
  <c r="K1208" i="2"/>
  <c r="K1209" i="2"/>
  <c r="K1210" i="2"/>
  <c r="K1211" i="2"/>
  <c r="K1212" i="2"/>
  <c r="K1213" i="2"/>
  <c r="K1214" i="2"/>
  <c r="K1215" i="2"/>
  <c r="K1216" i="2"/>
  <c r="K1217" i="2"/>
  <c r="K1218" i="2"/>
  <c r="K1219" i="2"/>
  <c r="K1220" i="2"/>
  <c r="K1221" i="2"/>
  <c r="K1222" i="2"/>
  <c r="K1223" i="2"/>
  <c r="K1224" i="2"/>
  <c r="K1225" i="2"/>
  <c r="K1226" i="2"/>
  <c r="K1227" i="2"/>
  <c r="K1228" i="2"/>
  <c r="K1229" i="2"/>
  <c r="K1230" i="2"/>
  <c r="K1231" i="2"/>
  <c r="K1232" i="2"/>
  <c r="K1233" i="2"/>
  <c r="K1234" i="2"/>
  <c r="K1235" i="2"/>
  <c r="K1236" i="2"/>
  <c r="K1237" i="2"/>
  <c r="K1238" i="2"/>
  <c r="K1239" i="2"/>
  <c r="K1240" i="2"/>
  <c r="K1241" i="2"/>
  <c r="K1242" i="2"/>
  <c r="K1243" i="2"/>
  <c r="K1244" i="2"/>
  <c r="K1245" i="2"/>
  <c r="K1246" i="2"/>
  <c r="K1247" i="2"/>
  <c r="K1248" i="2"/>
  <c r="K1249" i="2"/>
  <c r="K1250" i="2"/>
  <c r="K1251" i="2"/>
  <c r="K1252" i="2"/>
  <c r="K1253" i="2"/>
  <c r="K1254" i="2"/>
  <c r="K1255" i="2"/>
  <c r="K1256" i="2"/>
  <c r="K1257" i="2"/>
  <c r="K1258" i="2"/>
  <c r="K1259" i="2"/>
  <c r="K1260" i="2"/>
  <c r="K1261" i="2"/>
  <c r="K1262" i="2"/>
  <c r="K1263" i="2"/>
  <c r="K1264" i="2"/>
  <c r="K1265" i="2"/>
  <c r="K1266" i="2"/>
  <c r="K1267" i="2"/>
  <c r="K1268" i="2"/>
  <c r="K1269" i="2"/>
  <c r="K1270" i="2"/>
  <c r="K1271" i="2"/>
  <c r="K1272" i="2"/>
  <c r="K1273" i="2"/>
  <c r="K1274" i="2"/>
  <c r="K1275" i="2"/>
  <c r="K1276" i="2"/>
  <c r="K1277" i="2"/>
  <c r="K1278" i="2"/>
  <c r="K1279" i="2"/>
  <c r="K1280" i="2"/>
  <c r="K1281" i="2"/>
  <c r="K1282" i="2"/>
  <c r="K1283" i="2"/>
  <c r="K1284" i="2"/>
  <c r="K1285" i="2"/>
  <c r="K1286" i="2"/>
  <c r="K1287" i="2"/>
  <c r="K1288" i="2"/>
  <c r="K1289" i="2"/>
  <c r="K1290" i="2"/>
  <c r="K1291" i="2"/>
  <c r="K1292" i="2"/>
  <c r="K1293" i="2"/>
  <c r="K1294" i="2"/>
  <c r="K1295" i="2"/>
  <c r="K1296" i="2"/>
  <c r="K1297" i="2"/>
  <c r="K1298" i="2"/>
  <c r="K1299" i="2"/>
  <c r="K1300" i="2"/>
  <c r="K1301" i="2"/>
  <c r="K1302" i="2"/>
  <c r="K1303" i="2"/>
  <c r="K1304" i="2"/>
  <c r="K1305" i="2"/>
  <c r="K1306" i="2"/>
  <c r="K1307" i="2"/>
  <c r="K1308" i="2"/>
  <c r="K1309" i="2"/>
  <c r="K1310" i="2"/>
  <c r="K1311" i="2"/>
  <c r="K1312" i="2"/>
  <c r="K1313" i="2"/>
  <c r="K1314" i="2"/>
  <c r="K1315" i="2"/>
  <c r="K1316" i="2"/>
  <c r="K1317" i="2"/>
  <c r="K1318" i="2"/>
  <c r="K1319" i="2"/>
  <c r="K1320" i="2"/>
  <c r="K1321" i="2"/>
  <c r="K1322" i="2"/>
  <c r="K1323" i="2"/>
  <c r="K1324" i="2"/>
  <c r="K1325" i="2"/>
  <c r="K1326" i="2"/>
  <c r="K1327" i="2"/>
  <c r="K1328" i="2"/>
  <c r="K1329" i="2"/>
  <c r="K1330" i="2"/>
  <c r="K1331" i="2"/>
  <c r="K1332" i="2"/>
  <c r="K1333" i="2"/>
  <c r="K1334" i="2"/>
  <c r="K1335" i="2"/>
  <c r="K1336" i="2"/>
  <c r="K1337" i="2"/>
  <c r="K1338" i="2"/>
  <c r="K1339" i="2"/>
  <c r="K1340" i="2"/>
  <c r="K1341" i="2"/>
  <c r="K1342" i="2"/>
  <c r="K1343" i="2"/>
  <c r="K1344" i="2"/>
  <c r="K1345" i="2"/>
  <c r="K1346" i="2"/>
  <c r="K1347" i="2"/>
  <c r="K1348" i="2"/>
  <c r="K1349" i="2"/>
  <c r="K1350" i="2"/>
  <c r="K1351" i="2"/>
  <c r="K1352" i="2"/>
  <c r="K1353" i="2"/>
  <c r="K1354" i="2"/>
  <c r="K1355" i="2"/>
  <c r="K1356" i="2"/>
  <c r="K1357" i="2"/>
  <c r="K1358" i="2"/>
  <c r="K1359" i="2"/>
  <c r="K1360" i="2"/>
  <c r="K1361" i="2"/>
  <c r="K1362" i="2"/>
  <c r="K1363" i="2"/>
  <c r="K1364" i="2"/>
  <c r="K1365" i="2"/>
  <c r="K1366" i="2"/>
  <c r="K1367" i="2"/>
  <c r="K1368" i="2"/>
  <c r="K1369" i="2"/>
  <c r="K1370" i="2"/>
  <c r="K1371" i="2"/>
  <c r="K1372" i="2"/>
  <c r="K1373" i="2"/>
  <c r="K1374" i="2"/>
  <c r="K1375" i="2"/>
  <c r="K1376" i="2"/>
  <c r="K1377" i="2"/>
  <c r="K1378" i="2"/>
  <c r="K1379" i="2"/>
  <c r="K1380" i="2"/>
  <c r="K1381" i="2"/>
  <c r="K1382" i="2"/>
  <c r="K1383" i="2"/>
  <c r="K1384" i="2"/>
  <c r="K1385" i="2"/>
  <c r="K1386" i="2"/>
  <c r="K1387" i="2"/>
  <c r="K1388" i="2"/>
  <c r="K1389" i="2"/>
  <c r="K1390" i="2"/>
  <c r="K1391" i="2"/>
  <c r="K1392" i="2"/>
  <c r="K1393" i="2"/>
  <c r="K1394" i="2"/>
  <c r="K1395" i="2"/>
  <c r="K1396" i="2"/>
  <c r="K1397" i="2"/>
  <c r="K1398" i="2"/>
  <c r="K1399" i="2"/>
  <c r="K1400" i="2"/>
  <c r="K1401" i="2"/>
  <c r="K1402" i="2"/>
  <c r="K1403" i="2"/>
  <c r="K1404" i="2"/>
  <c r="K1405" i="2"/>
  <c r="K1406" i="2"/>
  <c r="K1407" i="2"/>
  <c r="K1408" i="2"/>
  <c r="K1409" i="2"/>
  <c r="K1410" i="2"/>
  <c r="K1411" i="2"/>
  <c r="K1412" i="2"/>
  <c r="K1413" i="2"/>
  <c r="K1414" i="2"/>
  <c r="K1415" i="2"/>
  <c r="K1416" i="2"/>
  <c r="K1417" i="2"/>
  <c r="K1418" i="2"/>
  <c r="K1419" i="2"/>
  <c r="K1420" i="2"/>
  <c r="K1421" i="2"/>
  <c r="K1422" i="2"/>
  <c r="K1423" i="2"/>
  <c r="K1424" i="2"/>
  <c r="K1425" i="2"/>
  <c r="K1426" i="2"/>
  <c r="K1427" i="2"/>
  <c r="K1428" i="2"/>
  <c r="K1429" i="2"/>
  <c r="K1430" i="2"/>
  <c r="K1431" i="2"/>
  <c r="K1432" i="2"/>
  <c r="K1433" i="2"/>
  <c r="K1434" i="2"/>
  <c r="K1435" i="2"/>
  <c r="K1436" i="2"/>
  <c r="K1437" i="2"/>
  <c r="K1438" i="2"/>
  <c r="K1439" i="2"/>
  <c r="K1440" i="2"/>
  <c r="K1441" i="2"/>
  <c r="K1442" i="2"/>
  <c r="K1443" i="2"/>
  <c r="K1444" i="2"/>
  <c r="K1445" i="2"/>
  <c r="K1446" i="2"/>
  <c r="K1447" i="2"/>
  <c r="K1448" i="2"/>
  <c r="K1449" i="2"/>
  <c r="K1450" i="2"/>
  <c r="K1451" i="2"/>
  <c r="K1452" i="2"/>
  <c r="K1453" i="2"/>
  <c r="K1454" i="2"/>
  <c r="K1455" i="2"/>
  <c r="K1456" i="2"/>
  <c r="K1457" i="2"/>
  <c r="K1458" i="2"/>
  <c r="K1459" i="2"/>
  <c r="K1460" i="2"/>
  <c r="K1461" i="2"/>
  <c r="K1462" i="2"/>
  <c r="K1463" i="2"/>
  <c r="K1464" i="2"/>
  <c r="K1465" i="2"/>
  <c r="K1466" i="2"/>
  <c r="K1467" i="2"/>
  <c r="K1468" i="2"/>
  <c r="K1469" i="2"/>
  <c r="K1470" i="2"/>
  <c r="K1471" i="2"/>
  <c r="K1472" i="2"/>
  <c r="K1473" i="2"/>
  <c r="K1474" i="2"/>
  <c r="K1475" i="2"/>
  <c r="K1476" i="2"/>
  <c r="K1477" i="2"/>
  <c r="K1478" i="2"/>
  <c r="K1479" i="2"/>
  <c r="K1480" i="2"/>
  <c r="K1481" i="2"/>
  <c r="K1482" i="2"/>
  <c r="K1483" i="2"/>
  <c r="K1484" i="2"/>
  <c r="K1485" i="2"/>
  <c r="K1486" i="2"/>
  <c r="K1487" i="2"/>
  <c r="K1488" i="2"/>
  <c r="K1489" i="2"/>
  <c r="K1490" i="2"/>
  <c r="K1491" i="2"/>
  <c r="K1492" i="2"/>
  <c r="K1493" i="2"/>
  <c r="K1494" i="2"/>
  <c r="K1495" i="2"/>
  <c r="K1496" i="2"/>
  <c r="K1497" i="2"/>
  <c r="K1498" i="2"/>
  <c r="K1499" i="2"/>
  <c r="K1500" i="2"/>
  <c r="K1501" i="2"/>
  <c r="K1502" i="2"/>
  <c r="K1503" i="2"/>
  <c r="K1504" i="2"/>
  <c r="K1505" i="2"/>
  <c r="K1506" i="2"/>
  <c r="K1507" i="2"/>
  <c r="K1508" i="2"/>
  <c r="K1509" i="2"/>
  <c r="K1510" i="2"/>
  <c r="K1511" i="2"/>
  <c r="K1512" i="2"/>
  <c r="K1513" i="2"/>
  <c r="K1514" i="2"/>
  <c r="K1515" i="2"/>
  <c r="K1516" i="2"/>
  <c r="K1517" i="2"/>
  <c r="K1518" i="2"/>
  <c r="K1519" i="2"/>
  <c r="K1520" i="2"/>
  <c r="K1521" i="2"/>
  <c r="K1522" i="2"/>
  <c r="K1523" i="2"/>
  <c r="K1524" i="2"/>
  <c r="K1525" i="2"/>
  <c r="K1526" i="2"/>
  <c r="K1527" i="2"/>
  <c r="K1528" i="2"/>
  <c r="K1529" i="2"/>
  <c r="K1530" i="2"/>
  <c r="K1531" i="2"/>
  <c r="K1532" i="2"/>
  <c r="K1533" i="2"/>
  <c r="K1534" i="2"/>
  <c r="K1535" i="2"/>
  <c r="K1536" i="2"/>
  <c r="K1537" i="2"/>
  <c r="K1538" i="2"/>
  <c r="K1539" i="2"/>
  <c r="K1540" i="2"/>
  <c r="K1541" i="2"/>
  <c r="K1542" i="2"/>
  <c r="K1543" i="2"/>
  <c r="K1544" i="2"/>
  <c r="K1545" i="2"/>
  <c r="K1546" i="2"/>
  <c r="K1547" i="2"/>
  <c r="K1548" i="2"/>
  <c r="K1549" i="2"/>
  <c r="K1550" i="2"/>
  <c r="K1551" i="2"/>
  <c r="K1552" i="2"/>
  <c r="K1553" i="2"/>
  <c r="K1554" i="2"/>
  <c r="K1555" i="2"/>
  <c r="K1556" i="2"/>
  <c r="K1557" i="2"/>
  <c r="K1558" i="2"/>
  <c r="K1559" i="2"/>
  <c r="K1560" i="2"/>
  <c r="K1561" i="2"/>
  <c r="K1562" i="2"/>
  <c r="K1563" i="2"/>
  <c r="K1564" i="2"/>
  <c r="K1565" i="2"/>
  <c r="K1566" i="2"/>
  <c r="K1567" i="2"/>
  <c r="K1568" i="2"/>
  <c r="K1569" i="2"/>
  <c r="K1570" i="2"/>
  <c r="K1571" i="2"/>
  <c r="K1572" i="2"/>
  <c r="K1573" i="2"/>
  <c r="K1574" i="2"/>
  <c r="K1575" i="2"/>
  <c r="K1576" i="2"/>
  <c r="K1577" i="2"/>
  <c r="K1578" i="2"/>
  <c r="K1579" i="2"/>
  <c r="K1580" i="2"/>
  <c r="K1581" i="2"/>
  <c r="K1582" i="2"/>
  <c r="K1583" i="2"/>
  <c r="K1584" i="2"/>
  <c r="K1585" i="2"/>
  <c r="K1586" i="2"/>
  <c r="K1587" i="2"/>
  <c r="K1588" i="2"/>
  <c r="K1589" i="2"/>
  <c r="K1590" i="2"/>
  <c r="K1591" i="2"/>
  <c r="K1592" i="2"/>
  <c r="K1593" i="2"/>
  <c r="K1594" i="2"/>
  <c r="K1595" i="2"/>
  <c r="K1596" i="2"/>
  <c r="K1597" i="2"/>
  <c r="K1598" i="2"/>
  <c r="K1599" i="2"/>
  <c r="K1600" i="2"/>
  <c r="K1601" i="2"/>
  <c r="K1602" i="2"/>
  <c r="K1603" i="2"/>
  <c r="K1604" i="2"/>
  <c r="K1605" i="2"/>
  <c r="K1606" i="2"/>
  <c r="K1607" i="2"/>
  <c r="K1608" i="2"/>
  <c r="K1609" i="2"/>
  <c r="K1610" i="2"/>
  <c r="K1611" i="2"/>
  <c r="K1612" i="2"/>
  <c r="K1613" i="2"/>
  <c r="K1614" i="2"/>
  <c r="K1615" i="2"/>
  <c r="K1616" i="2"/>
  <c r="K1617" i="2"/>
  <c r="K1618" i="2"/>
  <c r="K1619" i="2"/>
  <c r="K1620" i="2"/>
  <c r="K1621" i="2"/>
  <c r="K1622" i="2"/>
  <c r="K1623" i="2"/>
  <c r="K1624" i="2"/>
  <c r="K1625" i="2"/>
  <c r="K1626" i="2"/>
  <c r="K1627" i="2"/>
  <c r="K1628" i="2"/>
  <c r="K1629" i="2"/>
  <c r="K1630" i="2"/>
  <c r="K1631" i="2"/>
  <c r="K1632" i="2"/>
  <c r="K1633" i="2"/>
  <c r="K1634" i="2"/>
  <c r="K1635" i="2"/>
  <c r="K1636" i="2"/>
  <c r="K1637" i="2"/>
  <c r="K1638" i="2"/>
  <c r="K1639" i="2"/>
  <c r="K1640" i="2"/>
  <c r="K1641" i="2"/>
  <c r="K1642" i="2"/>
  <c r="K1643" i="2"/>
  <c r="K1644" i="2"/>
  <c r="K1645" i="2"/>
  <c r="K1646" i="2"/>
  <c r="K1647" i="2"/>
  <c r="K1648" i="2"/>
  <c r="K1649" i="2"/>
  <c r="K1650" i="2"/>
  <c r="K1651" i="2"/>
  <c r="K1652" i="2"/>
  <c r="K1653" i="2"/>
  <c r="K1654" i="2"/>
  <c r="K1655" i="2"/>
  <c r="K1656" i="2"/>
  <c r="K1657" i="2"/>
  <c r="K1658" i="2"/>
  <c r="K1659" i="2"/>
  <c r="K1660" i="2"/>
  <c r="K1661" i="2"/>
  <c r="K1662" i="2"/>
  <c r="K1663" i="2"/>
  <c r="K1664" i="2"/>
  <c r="K1665" i="2"/>
  <c r="K1666" i="2"/>
  <c r="K1667" i="2"/>
  <c r="K1668" i="2"/>
  <c r="K1669" i="2"/>
  <c r="K1670" i="2"/>
  <c r="K1671" i="2"/>
  <c r="K1672" i="2"/>
  <c r="K1673" i="2"/>
  <c r="K1674" i="2"/>
  <c r="K1675" i="2"/>
  <c r="K1676" i="2"/>
  <c r="K1677" i="2"/>
  <c r="K1678" i="2"/>
  <c r="K1679" i="2"/>
  <c r="K1680" i="2"/>
  <c r="K1681" i="2"/>
  <c r="K1682" i="2"/>
  <c r="K1683" i="2"/>
  <c r="K1684" i="2"/>
  <c r="K1685" i="2"/>
  <c r="K1686" i="2"/>
  <c r="K1687" i="2"/>
  <c r="K1688" i="2"/>
  <c r="K1689" i="2"/>
  <c r="K1690" i="2"/>
  <c r="K1691" i="2"/>
  <c r="K1692" i="2"/>
  <c r="K1693" i="2"/>
  <c r="K1694" i="2"/>
  <c r="K1695" i="2"/>
  <c r="K1696" i="2"/>
  <c r="K1697" i="2"/>
  <c r="K1698" i="2"/>
  <c r="K1699" i="2"/>
  <c r="K1700" i="2"/>
  <c r="K1701" i="2"/>
  <c r="K1702" i="2"/>
  <c r="K1703" i="2"/>
  <c r="K1704" i="2"/>
  <c r="K1705" i="2"/>
  <c r="K1706" i="2"/>
  <c r="K1707" i="2"/>
  <c r="K1708" i="2"/>
  <c r="K1709" i="2"/>
  <c r="K1710" i="2"/>
  <c r="K1711" i="2"/>
  <c r="K1712" i="2"/>
  <c r="K1713" i="2"/>
  <c r="K1714" i="2"/>
  <c r="K1715" i="2"/>
  <c r="K1716" i="2"/>
  <c r="K1717" i="2"/>
  <c r="K1718" i="2"/>
  <c r="K1719" i="2"/>
  <c r="K1720" i="2"/>
  <c r="K1721" i="2"/>
  <c r="K1722" i="2"/>
  <c r="K1723" i="2"/>
  <c r="K1724" i="2"/>
  <c r="K1725" i="2"/>
  <c r="K1726" i="2"/>
  <c r="K1727" i="2"/>
  <c r="K1728" i="2"/>
  <c r="K1729" i="2"/>
  <c r="K1730" i="2"/>
  <c r="K1731" i="2"/>
  <c r="K1732" i="2"/>
  <c r="K1733" i="2"/>
  <c r="K1734" i="2"/>
  <c r="K1735" i="2"/>
  <c r="K1736" i="2"/>
  <c r="K1737" i="2"/>
  <c r="K1738" i="2"/>
  <c r="K1739" i="2"/>
  <c r="K1740" i="2"/>
  <c r="K1741" i="2"/>
  <c r="K1742" i="2"/>
  <c r="K1743" i="2"/>
  <c r="K1744" i="2"/>
  <c r="K1745" i="2"/>
  <c r="K1746" i="2"/>
  <c r="K1747" i="2"/>
  <c r="K1748" i="2"/>
  <c r="K1749" i="2"/>
  <c r="K1750" i="2"/>
  <c r="K1751" i="2"/>
  <c r="K1752" i="2"/>
  <c r="K1753" i="2"/>
  <c r="K1754" i="2"/>
  <c r="K1755" i="2"/>
  <c r="K1756" i="2"/>
  <c r="K1757" i="2"/>
  <c r="K1758" i="2"/>
  <c r="K1759" i="2"/>
  <c r="K1760" i="2"/>
  <c r="K1761" i="2"/>
  <c r="K1762" i="2"/>
  <c r="K1763" i="2"/>
  <c r="K1764" i="2"/>
  <c r="K1765" i="2"/>
  <c r="K1766" i="2"/>
  <c r="K1767" i="2"/>
  <c r="K1768" i="2"/>
  <c r="K1769" i="2"/>
  <c r="K1770" i="2"/>
  <c r="K1771" i="2"/>
  <c r="K1772" i="2"/>
  <c r="K1773" i="2"/>
  <c r="K1774" i="2"/>
  <c r="K1775" i="2"/>
  <c r="K1776" i="2"/>
  <c r="K1777" i="2"/>
  <c r="K1778" i="2"/>
  <c r="K1779" i="2"/>
  <c r="K1780" i="2"/>
  <c r="K1781" i="2"/>
  <c r="K1782" i="2"/>
  <c r="K1783" i="2"/>
  <c r="K1784" i="2"/>
  <c r="K1785" i="2"/>
  <c r="K1786" i="2"/>
  <c r="K1787" i="2"/>
  <c r="K1788" i="2"/>
  <c r="K1789" i="2"/>
  <c r="K1790" i="2"/>
  <c r="K1791" i="2"/>
  <c r="K1792" i="2"/>
  <c r="K1793" i="2"/>
  <c r="K1794" i="2"/>
  <c r="K1795" i="2"/>
  <c r="K1796" i="2"/>
  <c r="K1797" i="2"/>
  <c r="K1798" i="2"/>
  <c r="K1799" i="2"/>
  <c r="K1800" i="2"/>
  <c r="K1801" i="2"/>
  <c r="K1802" i="2"/>
  <c r="K1803" i="2"/>
  <c r="K1804" i="2"/>
  <c r="K1805" i="2"/>
  <c r="K1806" i="2"/>
  <c r="K1807" i="2"/>
  <c r="K1808" i="2"/>
  <c r="K1809" i="2"/>
  <c r="K1810" i="2"/>
  <c r="K1811" i="2"/>
  <c r="K1812" i="2"/>
  <c r="K1813" i="2"/>
  <c r="K1814" i="2"/>
  <c r="K1815" i="2"/>
  <c r="K1816" i="2"/>
  <c r="K1817" i="2"/>
  <c r="K1818" i="2"/>
  <c r="K1819" i="2"/>
  <c r="K1820" i="2"/>
  <c r="K1821" i="2"/>
  <c r="K1822" i="2"/>
  <c r="K1823" i="2"/>
  <c r="K1824" i="2"/>
  <c r="K1825" i="2"/>
  <c r="K1826" i="2"/>
  <c r="K1827" i="2"/>
  <c r="K1828" i="2"/>
  <c r="K1829" i="2"/>
  <c r="K1830" i="2"/>
  <c r="K1831" i="2"/>
  <c r="K1832" i="2"/>
  <c r="K1833" i="2"/>
  <c r="K1834" i="2"/>
  <c r="K1835" i="2"/>
  <c r="K1836" i="2"/>
  <c r="K1837" i="2"/>
  <c r="K1838" i="2"/>
  <c r="K1839" i="2"/>
  <c r="K1840" i="2"/>
  <c r="K1841" i="2"/>
  <c r="K1842" i="2"/>
  <c r="K1843" i="2"/>
  <c r="K1844" i="2"/>
  <c r="K1845" i="2"/>
  <c r="K1846" i="2"/>
  <c r="K1847" i="2"/>
  <c r="K1848" i="2"/>
  <c r="K1849" i="2"/>
  <c r="K1850" i="2"/>
  <c r="K1851" i="2"/>
  <c r="K1852" i="2"/>
  <c r="K1853" i="2"/>
  <c r="K1854" i="2"/>
  <c r="K1855" i="2"/>
  <c r="K1856" i="2"/>
  <c r="K1857" i="2"/>
  <c r="K1858" i="2"/>
  <c r="K1859" i="2"/>
  <c r="K1860" i="2"/>
  <c r="K1861" i="2"/>
  <c r="K1862" i="2"/>
  <c r="K1863" i="2"/>
  <c r="K1864" i="2"/>
  <c r="K1865" i="2"/>
  <c r="K1866" i="2"/>
  <c r="K1867" i="2"/>
  <c r="K1868" i="2"/>
  <c r="K1869" i="2"/>
  <c r="K1870" i="2"/>
  <c r="K1871" i="2"/>
  <c r="K1872" i="2"/>
  <c r="K1873" i="2"/>
  <c r="K1874" i="2"/>
  <c r="K1875" i="2"/>
  <c r="K1876" i="2"/>
  <c r="K1877" i="2"/>
  <c r="K1878" i="2"/>
  <c r="K1879" i="2"/>
  <c r="K1880" i="2"/>
  <c r="K1881" i="2"/>
  <c r="K1882" i="2"/>
  <c r="K1883" i="2"/>
  <c r="K1884" i="2"/>
  <c r="K1885" i="2"/>
  <c r="K1886" i="2"/>
  <c r="K1887" i="2"/>
  <c r="K1888" i="2"/>
  <c r="K1889" i="2"/>
  <c r="K1890" i="2"/>
  <c r="K1891" i="2"/>
  <c r="K1892" i="2"/>
  <c r="K1893" i="2"/>
  <c r="K1894" i="2"/>
  <c r="K1895" i="2"/>
  <c r="K1896" i="2"/>
  <c r="K1897" i="2"/>
  <c r="K1898" i="2"/>
  <c r="K1899" i="2"/>
  <c r="K1900" i="2"/>
  <c r="K1901" i="2"/>
  <c r="K1902" i="2"/>
  <c r="K1903" i="2"/>
  <c r="K1904" i="2"/>
  <c r="K1905" i="2"/>
  <c r="K1906" i="2"/>
  <c r="K1907" i="2"/>
  <c r="K1908" i="2"/>
  <c r="K1909" i="2"/>
  <c r="K1910" i="2"/>
  <c r="K1911" i="2"/>
  <c r="K1912" i="2"/>
  <c r="K1913" i="2"/>
  <c r="K1914" i="2"/>
  <c r="K1915" i="2"/>
  <c r="K1916" i="2"/>
  <c r="K1917" i="2"/>
  <c r="K1918" i="2"/>
  <c r="K1919" i="2"/>
  <c r="K1920" i="2"/>
  <c r="K1921" i="2"/>
  <c r="K1922" i="2"/>
  <c r="K1923" i="2"/>
  <c r="K1924" i="2"/>
  <c r="K1925" i="2"/>
  <c r="K1926" i="2"/>
  <c r="K1927" i="2"/>
  <c r="K1928" i="2"/>
  <c r="K1929" i="2"/>
  <c r="K1930" i="2"/>
  <c r="K1931" i="2"/>
  <c r="K1932" i="2"/>
  <c r="K1933" i="2"/>
  <c r="K1934" i="2"/>
  <c r="K1935" i="2"/>
  <c r="K1936" i="2"/>
  <c r="K1937" i="2"/>
  <c r="K1938" i="2"/>
  <c r="K1939" i="2"/>
  <c r="K1940" i="2"/>
  <c r="K1941" i="2"/>
  <c r="K1942" i="2"/>
  <c r="K1943" i="2"/>
  <c r="K1944" i="2"/>
  <c r="K1945" i="2"/>
  <c r="K1946" i="2"/>
  <c r="K1947" i="2"/>
  <c r="K1948" i="2"/>
  <c r="K1949" i="2"/>
  <c r="K1950" i="2"/>
  <c r="K1951" i="2"/>
  <c r="K1952" i="2"/>
  <c r="K1953" i="2"/>
  <c r="K1954" i="2"/>
  <c r="K1955" i="2"/>
  <c r="K1956" i="2"/>
  <c r="K1957" i="2"/>
  <c r="K1958" i="2"/>
  <c r="K1959" i="2"/>
  <c r="K1960" i="2"/>
  <c r="K1961" i="2"/>
  <c r="K1962" i="2"/>
  <c r="K1963" i="2"/>
  <c r="K1964" i="2"/>
  <c r="K1965" i="2"/>
  <c r="K1966" i="2"/>
  <c r="K1967" i="2"/>
  <c r="K1968" i="2"/>
  <c r="K1969" i="2"/>
  <c r="K1970" i="2"/>
  <c r="K1971" i="2"/>
  <c r="K1972" i="2"/>
  <c r="K1973" i="2"/>
  <c r="K1974" i="2"/>
  <c r="K1975" i="2"/>
  <c r="K1976" i="2"/>
  <c r="K1977" i="2"/>
  <c r="K1978" i="2"/>
  <c r="K1979" i="2"/>
  <c r="K1980" i="2"/>
  <c r="K1981" i="2"/>
  <c r="K1982" i="2"/>
  <c r="K1983" i="2"/>
  <c r="K1984" i="2"/>
  <c r="K1985" i="2"/>
  <c r="K1986" i="2"/>
  <c r="K1987" i="2"/>
  <c r="K1988" i="2"/>
  <c r="K1989" i="2"/>
  <c r="K1990" i="2"/>
  <c r="K1991" i="2"/>
  <c r="K1992" i="2"/>
  <c r="K1993" i="2"/>
  <c r="K1994" i="2"/>
  <c r="K1995" i="2"/>
  <c r="K1996" i="2"/>
  <c r="K1997" i="2"/>
  <c r="K1998" i="2"/>
  <c r="K1999" i="2"/>
  <c r="K2000" i="2"/>
  <c r="K2001" i="2"/>
  <c r="K2002" i="2"/>
  <c r="K2003" i="2"/>
  <c r="K2004" i="2"/>
  <c r="K2005" i="2"/>
  <c r="K2006" i="2"/>
  <c r="K2007" i="2"/>
  <c r="K2008" i="2"/>
  <c r="K2009" i="2"/>
  <c r="K2010" i="2"/>
  <c r="K2011" i="2"/>
  <c r="K2012" i="2"/>
  <c r="K2013" i="2"/>
  <c r="K2014" i="2"/>
  <c r="K2015" i="2"/>
  <c r="K2016" i="2"/>
  <c r="K2017" i="2"/>
  <c r="K2018" i="2"/>
  <c r="K2019" i="2"/>
  <c r="K2020" i="2"/>
  <c r="K2021" i="2"/>
  <c r="K2022" i="2"/>
  <c r="K2023" i="2"/>
  <c r="K2024" i="2"/>
  <c r="K2025" i="2"/>
  <c r="K2026" i="2"/>
  <c r="K2027" i="2"/>
  <c r="K2028" i="2"/>
  <c r="K2029" i="2"/>
  <c r="K2030" i="2"/>
  <c r="K2031" i="2"/>
  <c r="K2032" i="2"/>
  <c r="K2033" i="2"/>
  <c r="K2034" i="2"/>
  <c r="K2035" i="2"/>
  <c r="K2036" i="2"/>
  <c r="K2037" i="2"/>
  <c r="K2038" i="2"/>
  <c r="K2039" i="2"/>
  <c r="K2040" i="2"/>
  <c r="K2041" i="2"/>
  <c r="K2042" i="2"/>
  <c r="K2043" i="2"/>
  <c r="K2044" i="2"/>
  <c r="K2045" i="2"/>
  <c r="K2046" i="2"/>
  <c r="K2047" i="2"/>
  <c r="K2048" i="2"/>
  <c r="K2049" i="2"/>
  <c r="K2050" i="2"/>
  <c r="K2051" i="2"/>
  <c r="K2052" i="2"/>
  <c r="K2053" i="2"/>
  <c r="K2054" i="2"/>
  <c r="K2055" i="2"/>
  <c r="K2056" i="2"/>
  <c r="K2057" i="2"/>
  <c r="K2058" i="2"/>
  <c r="K2059" i="2"/>
  <c r="K2060" i="2"/>
  <c r="K2061" i="2"/>
  <c r="K2062" i="2"/>
  <c r="K2063" i="2"/>
  <c r="K2064" i="2"/>
  <c r="K2065" i="2"/>
  <c r="K2066" i="2"/>
  <c r="K2067" i="2"/>
  <c r="K2068" i="2"/>
  <c r="K2069" i="2"/>
  <c r="K2070" i="2"/>
  <c r="K2071" i="2"/>
  <c r="K2072" i="2"/>
  <c r="K2073" i="2"/>
  <c r="K2074" i="2"/>
  <c r="K2075" i="2"/>
  <c r="K2076" i="2"/>
  <c r="K2077" i="2"/>
  <c r="K2078" i="2"/>
  <c r="K2079" i="2"/>
  <c r="K2080" i="2"/>
  <c r="K2081" i="2"/>
  <c r="K2082" i="2"/>
  <c r="K2083" i="2"/>
  <c r="K2084" i="2"/>
  <c r="K2085" i="2"/>
  <c r="K2086" i="2"/>
  <c r="K2087" i="2"/>
  <c r="K2088" i="2"/>
  <c r="K2089" i="2"/>
  <c r="K2090" i="2"/>
  <c r="K2091" i="2"/>
  <c r="K2092" i="2"/>
  <c r="K2093" i="2"/>
  <c r="K2094" i="2"/>
  <c r="K2095" i="2"/>
  <c r="K2096" i="2"/>
  <c r="K2097" i="2"/>
  <c r="K2098" i="2"/>
  <c r="K2099" i="2"/>
  <c r="K2100" i="2"/>
  <c r="K2101" i="2"/>
  <c r="K2102" i="2"/>
  <c r="K2103" i="2"/>
  <c r="K2104" i="2"/>
  <c r="K2105" i="2"/>
  <c r="K2106" i="2"/>
  <c r="K2107" i="2"/>
  <c r="K2108" i="2"/>
  <c r="K2109" i="2"/>
  <c r="K2110" i="2"/>
  <c r="K2111" i="2"/>
  <c r="K2112" i="2"/>
  <c r="K2113" i="2"/>
  <c r="K2114" i="2"/>
  <c r="K2115" i="2"/>
  <c r="K2116" i="2"/>
  <c r="K2117" i="2"/>
  <c r="K2118" i="2"/>
  <c r="K2119" i="2"/>
  <c r="K2120" i="2"/>
  <c r="K2121" i="2"/>
  <c r="K2122" i="2"/>
  <c r="K2123" i="2"/>
  <c r="K2124" i="2"/>
  <c r="K2125" i="2"/>
  <c r="K2126" i="2"/>
  <c r="K2127" i="2"/>
  <c r="K2128" i="2"/>
  <c r="K2129" i="2"/>
  <c r="K2130" i="2"/>
  <c r="K2131" i="2"/>
  <c r="K2132" i="2"/>
  <c r="K2133" i="2"/>
  <c r="K2134" i="2"/>
  <c r="K2135" i="2"/>
  <c r="K2136" i="2"/>
  <c r="K2137" i="2"/>
  <c r="K2138" i="2"/>
  <c r="K2139" i="2"/>
  <c r="K2140" i="2"/>
  <c r="K2141" i="2"/>
  <c r="K2142" i="2"/>
  <c r="K2143" i="2"/>
  <c r="K2144" i="2"/>
  <c r="K2145" i="2"/>
  <c r="K2146" i="2"/>
  <c r="K2147" i="2"/>
  <c r="K2148" i="2"/>
  <c r="K2149" i="2"/>
  <c r="K2150" i="2"/>
  <c r="K2151" i="2"/>
  <c r="K2152" i="2"/>
  <c r="K2153" i="2"/>
  <c r="K2154" i="2"/>
  <c r="K2155" i="2"/>
  <c r="K2156" i="2"/>
  <c r="K2157" i="2"/>
  <c r="K2158" i="2"/>
  <c r="K2159" i="2"/>
  <c r="K2160" i="2"/>
  <c r="K2161" i="2"/>
  <c r="K2162" i="2"/>
  <c r="K2163" i="2"/>
  <c r="K2164" i="2"/>
  <c r="K2165" i="2"/>
  <c r="K2166" i="2"/>
  <c r="K2167" i="2"/>
  <c r="K2168" i="2"/>
  <c r="K2169" i="2"/>
  <c r="K2170" i="2"/>
  <c r="K2171" i="2"/>
  <c r="K2172" i="2"/>
  <c r="K2173" i="2"/>
  <c r="K2174" i="2"/>
  <c r="K2175" i="2"/>
  <c r="K2176" i="2"/>
  <c r="K2177" i="2"/>
  <c r="K2178" i="2"/>
  <c r="K2179" i="2"/>
  <c r="K2180" i="2"/>
  <c r="K2181" i="2"/>
  <c r="K2182" i="2"/>
  <c r="K2183" i="2"/>
  <c r="K2184" i="2"/>
  <c r="K2185" i="2"/>
  <c r="K2186" i="2"/>
  <c r="K2187" i="2"/>
  <c r="K2188" i="2"/>
  <c r="K2189" i="2"/>
  <c r="K2190" i="2"/>
  <c r="K2191" i="2"/>
  <c r="K2192" i="2"/>
  <c r="K2193" i="2"/>
  <c r="K2194" i="2"/>
  <c r="K2195" i="2"/>
  <c r="K2196" i="2"/>
  <c r="K2197" i="2"/>
  <c r="K2198" i="2"/>
  <c r="K2199" i="2"/>
  <c r="K2200" i="2"/>
  <c r="K2201" i="2"/>
  <c r="K2202" i="2"/>
  <c r="K2203" i="2"/>
  <c r="K2204" i="2"/>
  <c r="K2205" i="2"/>
  <c r="K2206" i="2"/>
  <c r="K2207" i="2"/>
  <c r="K2208" i="2"/>
  <c r="K2209" i="2"/>
  <c r="K2210" i="2"/>
  <c r="K2211" i="2"/>
  <c r="K2212" i="2"/>
  <c r="K2213" i="2"/>
  <c r="K2214" i="2"/>
  <c r="K2215" i="2"/>
  <c r="K2216" i="2"/>
  <c r="K2217" i="2"/>
  <c r="K2218" i="2"/>
  <c r="K2219" i="2"/>
  <c r="K2220" i="2"/>
  <c r="K2221" i="2"/>
  <c r="K2222" i="2"/>
  <c r="K2223" i="2"/>
  <c r="K2224" i="2"/>
  <c r="K2225" i="2"/>
  <c r="K2226" i="2"/>
  <c r="K2227" i="2"/>
  <c r="K2228" i="2"/>
  <c r="K2229" i="2"/>
  <c r="K2230" i="2"/>
  <c r="K2231" i="2"/>
  <c r="K2232" i="2"/>
  <c r="K2233" i="2"/>
  <c r="K2234" i="2"/>
  <c r="K2235" i="2"/>
  <c r="K2236" i="2"/>
  <c r="K2237" i="2"/>
  <c r="K2238" i="2"/>
  <c r="K2239" i="2"/>
  <c r="K2240" i="2"/>
  <c r="K2241" i="2"/>
  <c r="K2242" i="2"/>
  <c r="K2243" i="2"/>
  <c r="K2244" i="2"/>
  <c r="K2245" i="2"/>
  <c r="K2246" i="2"/>
  <c r="K2247" i="2"/>
  <c r="K2248" i="2"/>
  <c r="K2249" i="2"/>
  <c r="K2250" i="2"/>
  <c r="K2251" i="2"/>
  <c r="K2252" i="2"/>
  <c r="K2253" i="2"/>
  <c r="K2254" i="2"/>
  <c r="K2255" i="2"/>
  <c r="K2256" i="2"/>
  <c r="K2257" i="2"/>
  <c r="K2258" i="2"/>
  <c r="K2259" i="2"/>
  <c r="K2260" i="2"/>
  <c r="K2261" i="2"/>
  <c r="K2262" i="2"/>
  <c r="K2263" i="2"/>
  <c r="K2264" i="2"/>
  <c r="K2265" i="2"/>
  <c r="K2266" i="2"/>
  <c r="K2267" i="2"/>
  <c r="K2268" i="2"/>
  <c r="K2269" i="2"/>
  <c r="K2270" i="2"/>
  <c r="K2271" i="2"/>
  <c r="K2272" i="2"/>
  <c r="K2273" i="2"/>
  <c r="K2274" i="2"/>
  <c r="K2275" i="2"/>
  <c r="K2276" i="2"/>
  <c r="K2277" i="2"/>
  <c r="K2278" i="2"/>
  <c r="K2279" i="2"/>
  <c r="K2280" i="2"/>
  <c r="K2281" i="2"/>
  <c r="K2282" i="2"/>
  <c r="K2283" i="2"/>
  <c r="K2284" i="2"/>
  <c r="K2285" i="2"/>
  <c r="K2286" i="2"/>
  <c r="K2287" i="2"/>
  <c r="K2288" i="2"/>
  <c r="K2289" i="2"/>
  <c r="K2290" i="2"/>
  <c r="K2291" i="2"/>
  <c r="K2292" i="2"/>
  <c r="K2293" i="2"/>
  <c r="K2294" i="2"/>
  <c r="K2295" i="2"/>
  <c r="K2296" i="2"/>
  <c r="K2297" i="2"/>
  <c r="K2298" i="2"/>
  <c r="K2299" i="2"/>
  <c r="K2300" i="2"/>
  <c r="K2301" i="2"/>
  <c r="K2302" i="2"/>
  <c r="K2303" i="2"/>
  <c r="K2304" i="2"/>
  <c r="K2305" i="2"/>
  <c r="K2306" i="2"/>
  <c r="K2307" i="2"/>
  <c r="K2308" i="2"/>
  <c r="K2309" i="2"/>
  <c r="K2310" i="2"/>
  <c r="K2311" i="2"/>
  <c r="K2312" i="2"/>
  <c r="K2313" i="2"/>
  <c r="K2314" i="2"/>
  <c r="K2315" i="2"/>
  <c r="K2316" i="2"/>
  <c r="K2317" i="2"/>
  <c r="K2318" i="2"/>
  <c r="K2319" i="2"/>
  <c r="K2320" i="2"/>
  <c r="K2321" i="2"/>
  <c r="K2322" i="2"/>
  <c r="K2323" i="2"/>
  <c r="K2324" i="2"/>
  <c r="K2325" i="2"/>
  <c r="K2326" i="2"/>
  <c r="K2327" i="2"/>
  <c r="K2328" i="2"/>
  <c r="K2329" i="2"/>
  <c r="K2330" i="2"/>
  <c r="K2331" i="2"/>
  <c r="K2332" i="2"/>
  <c r="K2333" i="2"/>
  <c r="K2334" i="2"/>
  <c r="K2335" i="2"/>
  <c r="K2336" i="2"/>
  <c r="K2337" i="2"/>
  <c r="K2338" i="2"/>
  <c r="K2339" i="2"/>
  <c r="K2340" i="2"/>
  <c r="K2341" i="2"/>
  <c r="K2342" i="2"/>
  <c r="K2343" i="2"/>
  <c r="K2344" i="2"/>
  <c r="K2345" i="2"/>
  <c r="K2346" i="2"/>
  <c r="K2347" i="2"/>
  <c r="K2348" i="2"/>
  <c r="K2349" i="2"/>
  <c r="K2350" i="2"/>
  <c r="K2351" i="2"/>
  <c r="K2352" i="2"/>
  <c r="K2353" i="2"/>
  <c r="K2354" i="2"/>
  <c r="K2355" i="2"/>
  <c r="K2356" i="2"/>
  <c r="K2357" i="2"/>
  <c r="K2358" i="2"/>
  <c r="K2359" i="2"/>
  <c r="K2360" i="2"/>
  <c r="K2361" i="2"/>
  <c r="K2362" i="2"/>
  <c r="K2363" i="2"/>
  <c r="K2364" i="2"/>
  <c r="K2365" i="2"/>
  <c r="K2366" i="2"/>
  <c r="K2367" i="2"/>
  <c r="K2368" i="2"/>
  <c r="K2369" i="2"/>
  <c r="K2370" i="2"/>
  <c r="K2371" i="2"/>
  <c r="K2372" i="2"/>
  <c r="K2373" i="2"/>
  <c r="K2374" i="2"/>
  <c r="K2375" i="2"/>
  <c r="K2376" i="2"/>
  <c r="K2377" i="2"/>
  <c r="K2378" i="2"/>
  <c r="K2379" i="2"/>
  <c r="K2380" i="2"/>
  <c r="K2381" i="2"/>
  <c r="K2382" i="2"/>
  <c r="K2383" i="2"/>
  <c r="K2384" i="2"/>
  <c r="K2385" i="2"/>
  <c r="K2386" i="2"/>
  <c r="K2387" i="2"/>
  <c r="K2388" i="2"/>
  <c r="K2389" i="2"/>
  <c r="K2390" i="2"/>
  <c r="K2391" i="2"/>
  <c r="K2392" i="2"/>
  <c r="K2393" i="2"/>
  <c r="K2394" i="2"/>
  <c r="K2395" i="2"/>
  <c r="K2396" i="2"/>
  <c r="K2397" i="2"/>
  <c r="K2398" i="2"/>
  <c r="K2399" i="2"/>
  <c r="K2400" i="2"/>
  <c r="K2401" i="2"/>
  <c r="K2402" i="2"/>
  <c r="K2403" i="2"/>
  <c r="K2404" i="2"/>
  <c r="K2405" i="2"/>
  <c r="K2406" i="2"/>
  <c r="K2407" i="2"/>
  <c r="K2408" i="2"/>
  <c r="K2409" i="2"/>
  <c r="K2410" i="2"/>
  <c r="K2411" i="2"/>
  <c r="K2412" i="2"/>
  <c r="K2413" i="2"/>
  <c r="K2414" i="2"/>
  <c r="K2415" i="2"/>
  <c r="K2416" i="2"/>
  <c r="K2417" i="2"/>
  <c r="K2418" i="2"/>
  <c r="K2419" i="2"/>
  <c r="K2420" i="2"/>
  <c r="K2421" i="2"/>
  <c r="K2422" i="2"/>
  <c r="K2423" i="2"/>
  <c r="K2424" i="2"/>
  <c r="K2425" i="2"/>
  <c r="K2426" i="2"/>
  <c r="K2427" i="2"/>
  <c r="K2428" i="2"/>
  <c r="K2429" i="2"/>
  <c r="K2430" i="2"/>
  <c r="K2431" i="2"/>
  <c r="K2432" i="2"/>
  <c r="K2433" i="2"/>
  <c r="K2434" i="2"/>
  <c r="K2435" i="2"/>
  <c r="K2436" i="2"/>
  <c r="K2437" i="2"/>
  <c r="K2438" i="2"/>
  <c r="K2439" i="2"/>
  <c r="K2440" i="2"/>
  <c r="K2441" i="2"/>
  <c r="K2442" i="2"/>
  <c r="K2443" i="2"/>
  <c r="K2444" i="2"/>
  <c r="K2445" i="2"/>
  <c r="K2446" i="2"/>
  <c r="K2447" i="2"/>
  <c r="K2448" i="2"/>
  <c r="K2449" i="2"/>
  <c r="K2450" i="2"/>
  <c r="K2451" i="2"/>
  <c r="K2452" i="2"/>
  <c r="K2453" i="2"/>
  <c r="K2454" i="2"/>
  <c r="K2455" i="2"/>
  <c r="K2456" i="2"/>
  <c r="K2457" i="2"/>
  <c r="K2458" i="2"/>
  <c r="K2459" i="2"/>
  <c r="K2460" i="2"/>
  <c r="K2461" i="2"/>
  <c r="K2462" i="2"/>
  <c r="K2463" i="2"/>
  <c r="K2464" i="2"/>
  <c r="K2465" i="2"/>
  <c r="K2466" i="2"/>
  <c r="K2467" i="2"/>
  <c r="K2468" i="2"/>
  <c r="K2469" i="2"/>
  <c r="K2470" i="2"/>
  <c r="K2471" i="2"/>
  <c r="K2472" i="2"/>
  <c r="K2473" i="2"/>
  <c r="K2474" i="2"/>
  <c r="K2475" i="2"/>
  <c r="K2476" i="2"/>
  <c r="K2477" i="2"/>
  <c r="K2478" i="2"/>
  <c r="K2479" i="2"/>
  <c r="K2480" i="2"/>
  <c r="K2481" i="2"/>
  <c r="K2482" i="2"/>
  <c r="K2483" i="2"/>
  <c r="K2484" i="2"/>
  <c r="K2601" i="2"/>
  <c r="K2485" i="2"/>
  <c r="K2486" i="2"/>
  <c r="K2487" i="2"/>
  <c r="K2488" i="2"/>
  <c r="K2489" i="2"/>
  <c r="K2490" i="2"/>
  <c r="K2491" i="2"/>
  <c r="K2492" i="2"/>
  <c r="K2493" i="2"/>
  <c r="K2494" i="2"/>
  <c r="K2495" i="2"/>
  <c r="K2496" i="2"/>
  <c r="K2497" i="2"/>
  <c r="K2498" i="2"/>
  <c r="K2499" i="2"/>
  <c r="K2500" i="2"/>
  <c r="K2501" i="2"/>
  <c r="K2502" i="2"/>
  <c r="K2503" i="2"/>
  <c r="K2504" i="2"/>
  <c r="K2505" i="2"/>
  <c r="K2506" i="2"/>
  <c r="K2507" i="2"/>
  <c r="K2508" i="2"/>
  <c r="K2509" i="2"/>
  <c r="K2510" i="2"/>
  <c r="K2511" i="2"/>
  <c r="K2512" i="2"/>
  <c r="K2513" i="2"/>
  <c r="K2514" i="2"/>
  <c r="K2515" i="2"/>
  <c r="K2516" i="2"/>
  <c r="K2517" i="2"/>
  <c r="K2518" i="2"/>
  <c r="K2519" i="2"/>
  <c r="K2520" i="2"/>
  <c r="K2521" i="2"/>
  <c r="K2522" i="2"/>
  <c r="K2523" i="2"/>
  <c r="K2524" i="2"/>
  <c r="K2525" i="2"/>
  <c r="K2526" i="2"/>
  <c r="K2527" i="2"/>
  <c r="K2528" i="2"/>
  <c r="K2529" i="2"/>
  <c r="K2530" i="2"/>
  <c r="K2531" i="2"/>
  <c r="K2532" i="2"/>
  <c r="K2533" i="2"/>
  <c r="K2534" i="2"/>
  <c r="K2535" i="2"/>
  <c r="K2536" i="2"/>
  <c r="K2537" i="2"/>
  <c r="K2538" i="2"/>
  <c r="K2539" i="2"/>
  <c r="K2540" i="2"/>
  <c r="K2541" i="2"/>
  <c r="K2542" i="2"/>
  <c r="K2543" i="2"/>
  <c r="K2544" i="2"/>
  <c r="K2545" i="2"/>
  <c r="K2546" i="2"/>
  <c r="K2547" i="2"/>
  <c r="K2548" i="2"/>
  <c r="K2549" i="2"/>
  <c r="K2550" i="2"/>
  <c r="K2551" i="2"/>
  <c r="K2552" i="2"/>
  <c r="K2553" i="2"/>
  <c r="K2554" i="2"/>
  <c r="K2555" i="2"/>
  <c r="K2556" i="2"/>
  <c r="K2557" i="2"/>
  <c r="K2558" i="2"/>
  <c r="K2559" i="2"/>
  <c r="K2560" i="2"/>
  <c r="K2561" i="2"/>
  <c r="K2562" i="2"/>
  <c r="K2563" i="2"/>
  <c r="K2564" i="2"/>
  <c r="K2565" i="2"/>
  <c r="K2566" i="2"/>
  <c r="K2567" i="2"/>
  <c r="K2568" i="2"/>
  <c r="K2569" i="2"/>
  <c r="K2570" i="2"/>
  <c r="K2571" i="2"/>
  <c r="K2572" i="2"/>
  <c r="K2573" i="2"/>
  <c r="K2574" i="2"/>
  <c r="K2575" i="2"/>
  <c r="K2576" i="2"/>
  <c r="K2577" i="2"/>
  <c r="K2578" i="2"/>
  <c r="K2579" i="2"/>
  <c r="K2580" i="2"/>
  <c r="K2581" i="2"/>
  <c r="K2582" i="2"/>
  <c r="K2583" i="2"/>
  <c r="K2584" i="2"/>
  <c r="K2585" i="2"/>
  <c r="K2586" i="2"/>
  <c r="K2587" i="2"/>
  <c r="K2588" i="2"/>
  <c r="K2589" i="2"/>
  <c r="K2590" i="2"/>
  <c r="K2591" i="2"/>
  <c r="K2592" i="2"/>
  <c r="K2593" i="2"/>
  <c r="K2594" i="2"/>
  <c r="K2595" i="2"/>
  <c r="K2596" i="2"/>
  <c r="K2597" i="2"/>
  <c r="K2598" i="2"/>
  <c r="K2599" i="2"/>
  <c r="K2602" i="2"/>
  <c r="K2603" i="2"/>
  <c r="K2604" i="2"/>
  <c r="K2605" i="2"/>
  <c r="K2606" i="2"/>
  <c r="K2607" i="2"/>
  <c r="K2608" i="2"/>
  <c r="K2609" i="2"/>
  <c r="K2610" i="2"/>
  <c r="K2611" i="2"/>
  <c r="K2612" i="2"/>
  <c r="K2613" i="2"/>
  <c r="K2614" i="2"/>
  <c r="K2615" i="2"/>
  <c r="K2616" i="2"/>
  <c r="K2617" i="2"/>
  <c r="K2618" i="2"/>
  <c r="K2619" i="2"/>
  <c r="K2620" i="2"/>
  <c r="K2621" i="2"/>
  <c r="K2622" i="2"/>
  <c r="K2623" i="2"/>
  <c r="K2624" i="2"/>
  <c r="K2625" i="2"/>
  <c r="K2626" i="2"/>
  <c r="K2627" i="2"/>
  <c r="K2628" i="2"/>
  <c r="K2629" i="2"/>
  <c r="K2630" i="2"/>
  <c r="K2631" i="2"/>
  <c r="K2632" i="2"/>
  <c r="K2633" i="2"/>
  <c r="K2634" i="2"/>
  <c r="K2635" i="2"/>
  <c r="K2636" i="2"/>
  <c r="K2637" i="2"/>
  <c r="K2638" i="2"/>
  <c r="K2639" i="2"/>
  <c r="K2640" i="2"/>
  <c r="K2641" i="2"/>
  <c r="K2642" i="2"/>
  <c r="K2643" i="2"/>
  <c r="K2644" i="2"/>
  <c r="K2645" i="2"/>
  <c r="K2646" i="2"/>
  <c r="K2647" i="2"/>
  <c r="K2648" i="2"/>
  <c r="K2649" i="2"/>
  <c r="K2650" i="2"/>
  <c r="K2651" i="2"/>
  <c r="K2652" i="2"/>
  <c r="K2653" i="2"/>
  <c r="K2654" i="2"/>
  <c r="K2655" i="2"/>
  <c r="K2656" i="2"/>
  <c r="K2657" i="2"/>
  <c r="K2658" i="2"/>
  <c r="K2659" i="2"/>
  <c r="K2660" i="2"/>
  <c r="K2661" i="2"/>
  <c r="K2662" i="2"/>
  <c r="K2663" i="2"/>
  <c r="K2664" i="2"/>
  <c r="K2665" i="2"/>
  <c r="K2666" i="2"/>
  <c r="K2667" i="2"/>
  <c r="K2668" i="2"/>
  <c r="K2669" i="2"/>
  <c r="K2670" i="2"/>
  <c r="K2671" i="2"/>
  <c r="K2672" i="2"/>
  <c r="K2673" i="2"/>
  <c r="K2674" i="2"/>
  <c r="K2675" i="2"/>
  <c r="K2676" i="2"/>
  <c r="K2677" i="2"/>
  <c r="K2678" i="2"/>
  <c r="K2679" i="2"/>
  <c r="K2680" i="2"/>
  <c r="K2681" i="2"/>
  <c r="K2682" i="2"/>
  <c r="K2683" i="2"/>
  <c r="K2684" i="2"/>
  <c r="K2685" i="2"/>
  <c r="K2686" i="2"/>
  <c r="K2687" i="2"/>
  <c r="K2688" i="2"/>
  <c r="K2689" i="2"/>
  <c r="K2690" i="2"/>
  <c r="K2691" i="2"/>
  <c r="K2692" i="2"/>
  <c r="K2693" i="2"/>
  <c r="K2694" i="2"/>
  <c r="K2695" i="2"/>
  <c r="K2696" i="2"/>
  <c r="K2697" i="2"/>
  <c r="K2698" i="2"/>
  <c r="K2699" i="2"/>
  <c r="K2700" i="2"/>
  <c r="K2701" i="2"/>
  <c r="K2702" i="2"/>
  <c r="K2703" i="2"/>
  <c r="K2704" i="2"/>
  <c r="K2705" i="2"/>
  <c r="K2706" i="2"/>
  <c r="K2707" i="2"/>
  <c r="K2708" i="2"/>
  <c r="K2709" i="2"/>
  <c r="K2710" i="2"/>
  <c r="K2711" i="2"/>
  <c r="K2712" i="2"/>
  <c r="K2713" i="2"/>
  <c r="K2714" i="2"/>
  <c r="K2715" i="2"/>
  <c r="K2716" i="2"/>
  <c r="K2717" i="2"/>
  <c r="K2718" i="2"/>
  <c r="K2719" i="2"/>
  <c r="K2720" i="2"/>
  <c r="K2721" i="2"/>
  <c r="K2722" i="2"/>
  <c r="K2723" i="2"/>
  <c r="K2724" i="2"/>
  <c r="K2725" i="2"/>
  <c r="K2726" i="2"/>
  <c r="K2727" i="2"/>
  <c r="K2728" i="2"/>
  <c r="K2729" i="2"/>
  <c r="K2730" i="2"/>
  <c r="K2731" i="2"/>
  <c r="K2732" i="2"/>
  <c r="K2733" i="2"/>
  <c r="K2734" i="2"/>
  <c r="K2735" i="2"/>
  <c r="K2736" i="2"/>
  <c r="K2737" i="2"/>
  <c r="K2738" i="2"/>
  <c r="K2739" i="2"/>
  <c r="K2740" i="2"/>
  <c r="K2741" i="2"/>
  <c r="K2742" i="2"/>
  <c r="K2743" i="2"/>
  <c r="K2744" i="2"/>
  <c r="K2745" i="2"/>
  <c r="K2746" i="2"/>
  <c r="K2747" i="2"/>
  <c r="K2748" i="2"/>
  <c r="K2749" i="2"/>
  <c r="K2750" i="2"/>
  <c r="K2751" i="2"/>
  <c r="K2752" i="2"/>
  <c r="K2753" i="2"/>
  <c r="K2754" i="2"/>
  <c r="K2755" i="2"/>
  <c r="K2756" i="2"/>
  <c r="K2757" i="2"/>
  <c r="K2758" i="2"/>
  <c r="K2759" i="2"/>
  <c r="K2760" i="2"/>
  <c r="K2761" i="2"/>
  <c r="K2762" i="2"/>
  <c r="K2763" i="2"/>
  <c r="K2764" i="2"/>
  <c r="K2765" i="2"/>
  <c r="K2766" i="2"/>
  <c r="K2767" i="2"/>
  <c r="K2768" i="2"/>
  <c r="K2769" i="2"/>
  <c r="K2770" i="2"/>
  <c r="K2771" i="2"/>
  <c r="K2772" i="2"/>
  <c r="K2773" i="2"/>
  <c r="K2774" i="2"/>
  <c r="K2775" i="2"/>
  <c r="K2776" i="2"/>
  <c r="K2777" i="2"/>
  <c r="K2778" i="2"/>
  <c r="K2779" i="2"/>
  <c r="K2780" i="2"/>
  <c r="K2781" i="2"/>
  <c r="K2782" i="2"/>
  <c r="K2783" i="2"/>
  <c r="K2784" i="2"/>
  <c r="K2785" i="2"/>
  <c r="K2786" i="2"/>
  <c r="K2787" i="2"/>
  <c r="K2788" i="2"/>
  <c r="K2789" i="2"/>
  <c r="K2790" i="2"/>
  <c r="K2791" i="2"/>
  <c r="K2792" i="2"/>
  <c r="K2793" i="2"/>
  <c r="K2794" i="2"/>
  <c r="K2795" i="2"/>
  <c r="K2796" i="2"/>
  <c r="K2797" i="2"/>
  <c r="K2798" i="2"/>
  <c r="K2799" i="2"/>
  <c r="K2800" i="2"/>
  <c r="K2801" i="2"/>
  <c r="K2802" i="2"/>
  <c r="K2803" i="2"/>
  <c r="K2804" i="2"/>
  <c r="K2805" i="2"/>
  <c r="K2806" i="2"/>
  <c r="K2807" i="2"/>
  <c r="K2808" i="2"/>
  <c r="K2809" i="2"/>
  <c r="K2810" i="2"/>
  <c r="K2811" i="2"/>
  <c r="K2812" i="2"/>
  <c r="K2813" i="2"/>
  <c r="K2814" i="2"/>
  <c r="K2815" i="2"/>
  <c r="K2816" i="2"/>
  <c r="K2817" i="2"/>
  <c r="K2818" i="2"/>
  <c r="K2819" i="2"/>
  <c r="K2820" i="2"/>
  <c r="K2821" i="2"/>
  <c r="K2822" i="2"/>
  <c r="K2823" i="2"/>
  <c r="K2824" i="2"/>
  <c r="K2825" i="2"/>
  <c r="K2826" i="2"/>
  <c r="K2827" i="2"/>
  <c r="K2828" i="2"/>
  <c r="K2829" i="2"/>
  <c r="K2830" i="2"/>
  <c r="K2831" i="2"/>
  <c r="K2832" i="2"/>
  <c r="K2833" i="2"/>
  <c r="K2834" i="2"/>
  <c r="K2835" i="2"/>
  <c r="K2836" i="2"/>
  <c r="K2837" i="2"/>
  <c r="K2838" i="2"/>
  <c r="K2839" i="2"/>
  <c r="K2840" i="2"/>
  <c r="K2841" i="2"/>
  <c r="K2842" i="2"/>
  <c r="K2843" i="2"/>
  <c r="K2844" i="2"/>
  <c r="K2845" i="2"/>
  <c r="K2846" i="2"/>
  <c r="K2847" i="2"/>
  <c r="K2848" i="2"/>
  <c r="K2849" i="2"/>
  <c r="K2850" i="2"/>
  <c r="K2851" i="2"/>
  <c r="K2852" i="2"/>
  <c r="K2853" i="2"/>
  <c r="K2854" i="2"/>
  <c r="K2855" i="2"/>
  <c r="K2856" i="2"/>
  <c r="K2857" i="2"/>
  <c r="K2858" i="2"/>
  <c r="K2859" i="2"/>
  <c r="K2860" i="2"/>
  <c r="K2861" i="2"/>
  <c r="K2862" i="2"/>
  <c r="K2863" i="2"/>
  <c r="K2864" i="2"/>
  <c r="K2865" i="2"/>
  <c r="K2866" i="2"/>
  <c r="K2867" i="2"/>
  <c r="K2868" i="2"/>
  <c r="K2869" i="2"/>
  <c r="K2870" i="2"/>
  <c r="K2871" i="2"/>
  <c r="K2872" i="2"/>
  <c r="K2873" i="2"/>
  <c r="K2874" i="2"/>
  <c r="K2875" i="2"/>
  <c r="K2876" i="2"/>
  <c r="K2877" i="2"/>
  <c r="K2878" i="2"/>
  <c r="K2879" i="2"/>
  <c r="K2880" i="2"/>
  <c r="K2881" i="2"/>
  <c r="K2882" i="2"/>
  <c r="K2883" i="2"/>
  <c r="K2884" i="2"/>
  <c r="K2885" i="2"/>
  <c r="K2886" i="2"/>
  <c r="K2887" i="2"/>
  <c r="K2888" i="2"/>
  <c r="K2889" i="2"/>
  <c r="K2890" i="2"/>
  <c r="K2891" i="2"/>
  <c r="K2600" i="2"/>
  <c r="K2892" i="2"/>
  <c r="K2893" i="2"/>
  <c r="K2894" i="2"/>
  <c r="K2895" i="2"/>
  <c r="K2896" i="2"/>
  <c r="K2897" i="2"/>
  <c r="K2898" i="2"/>
  <c r="K2899" i="2"/>
  <c r="K2900" i="2"/>
  <c r="K2901" i="2"/>
  <c r="K2902" i="2"/>
  <c r="K2903" i="2"/>
  <c r="K2904" i="2"/>
  <c r="K2905" i="2"/>
  <c r="K2906" i="2"/>
  <c r="K2907" i="2"/>
  <c r="K2908" i="2"/>
  <c r="K2909" i="2"/>
  <c r="K2910" i="2"/>
  <c r="K2911" i="2"/>
  <c r="K2912" i="2"/>
  <c r="K2913" i="2"/>
  <c r="K2914" i="2"/>
  <c r="K2915" i="2"/>
  <c r="K2916" i="2"/>
  <c r="K2917" i="2"/>
  <c r="K2918" i="2"/>
  <c r="K2919" i="2"/>
  <c r="K2920" i="2"/>
  <c r="K2921" i="2"/>
  <c r="K2922" i="2"/>
  <c r="K2923" i="2"/>
  <c r="K2924" i="2"/>
  <c r="K2925" i="2"/>
  <c r="K2926" i="2"/>
  <c r="K2927" i="2"/>
  <c r="K2928" i="2"/>
  <c r="K2929" i="2"/>
  <c r="K2930" i="2"/>
  <c r="K2931" i="2"/>
  <c r="K2932" i="2"/>
  <c r="K2933" i="2"/>
  <c r="K2934" i="2"/>
  <c r="K2935" i="2"/>
  <c r="K2936" i="2"/>
  <c r="K2937" i="2"/>
  <c r="K2938" i="2"/>
  <c r="K2939" i="2"/>
  <c r="K2940" i="2"/>
  <c r="K2941" i="2"/>
  <c r="K2942" i="2"/>
  <c r="K2943" i="2"/>
  <c r="K2944" i="2"/>
  <c r="K2945" i="2"/>
  <c r="K2946" i="2"/>
  <c r="K2947" i="2"/>
  <c r="K2948" i="2"/>
  <c r="K2949" i="2"/>
  <c r="K2950" i="2"/>
  <c r="K2951" i="2"/>
  <c r="K2952" i="2"/>
  <c r="K2953" i="2"/>
  <c r="K2954" i="2"/>
  <c r="K2955" i="2"/>
  <c r="K2956" i="2"/>
  <c r="K2957" i="2"/>
  <c r="K2958" i="2"/>
  <c r="K2959" i="2"/>
  <c r="K2960" i="2"/>
  <c r="K2961" i="2"/>
  <c r="K2962" i="2"/>
  <c r="K2963" i="2"/>
  <c r="K2964" i="2"/>
  <c r="K2965" i="2"/>
  <c r="K2966" i="2"/>
  <c r="K2967" i="2"/>
  <c r="K2968" i="2"/>
  <c r="K2969" i="2"/>
  <c r="K2970" i="2"/>
  <c r="K2971" i="2"/>
  <c r="K2972" i="2"/>
  <c r="K2973" i="2"/>
  <c r="K2974" i="2"/>
  <c r="K2975" i="2"/>
  <c r="K2976" i="2"/>
  <c r="K2977" i="2"/>
  <c r="K2978" i="2"/>
  <c r="K2979" i="2"/>
  <c r="K2980" i="2"/>
  <c r="K2981" i="2"/>
  <c r="K2982" i="2"/>
  <c r="K2983" i="2"/>
  <c r="K2984" i="2"/>
  <c r="K2985" i="2"/>
  <c r="K2986" i="2"/>
  <c r="K2987" i="2"/>
  <c r="K2988" i="2"/>
  <c r="K2989" i="2"/>
  <c r="K2990" i="2"/>
  <c r="K2991" i="2"/>
  <c r="K2992" i="2"/>
  <c r="K2993" i="2"/>
  <c r="K2994" i="2"/>
  <c r="K2995" i="2"/>
  <c r="K2996" i="2"/>
  <c r="K2997" i="2"/>
  <c r="K2998" i="2"/>
  <c r="K2999" i="2"/>
  <c r="K3000" i="2"/>
  <c r="K3001" i="2"/>
  <c r="K3002" i="2"/>
  <c r="K3003" i="2"/>
  <c r="K3004" i="2"/>
  <c r="K3005" i="2"/>
  <c r="K3006" i="2"/>
  <c r="K3007" i="2"/>
  <c r="K3008" i="2"/>
  <c r="K3009" i="2"/>
  <c r="K3010" i="2"/>
  <c r="K3011" i="2"/>
  <c r="K3012" i="2"/>
  <c r="K3013" i="2"/>
  <c r="K3014" i="2"/>
  <c r="K3015" i="2"/>
  <c r="K3016" i="2"/>
  <c r="K3017" i="2"/>
  <c r="K3018" i="2"/>
  <c r="K3019" i="2"/>
  <c r="K3020" i="2"/>
  <c r="K3021" i="2"/>
  <c r="K3022" i="2"/>
  <c r="K3023" i="2"/>
  <c r="K3024" i="2"/>
  <c r="K3025" i="2"/>
  <c r="K3026" i="2"/>
  <c r="K3027" i="2"/>
  <c r="K3028" i="2"/>
  <c r="K3029" i="2"/>
  <c r="K3030" i="2"/>
  <c r="K3031" i="2"/>
  <c r="K3032" i="2"/>
  <c r="K3033" i="2"/>
  <c r="K3034" i="2"/>
  <c r="K3035" i="2"/>
  <c r="K3036" i="2"/>
  <c r="K3037" i="2"/>
  <c r="K3038" i="2"/>
  <c r="K3039" i="2"/>
  <c r="K3040" i="2"/>
  <c r="K3041" i="2"/>
  <c r="K3042" i="2"/>
  <c r="K3043" i="2"/>
  <c r="K3044" i="2"/>
  <c r="K3045" i="2"/>
  <c r="K3046" i="2"/>
  <c r="K3047" i="2"/>
  <c r="K3048" i="2"/>
  <c r="K3049" i="2"/>
  <c r="K3050" i="2"/>
  <c r="K3051" i="2"/>
  <c r="K3052" i="2"/>
  <c r="K3053" i="2"/>
  <c r="K3054" i="2"/>
  <c r="K3055" i="2"/>
  <c r="K3056" i="2"/>
  <c r="K3057" i="2"/>
  <c r="K3058" i="2"/>
  <c r="K3059" i="2"/>
  <c r="K3060" i="2"/>
  <c r="K3061" i="2"/>
  <c r="K3062" i="2"/>
  <c r="K3063" i="2"/>
  <c r="K3064" i="2"/>
  <c r="K3065" i="2"/>
  <c r="K3066" i="2"/>
  <c r="K3067" i="2"/>
  <c r="K3068" i="2"/>
  <c r="K3069" i="2"/>
  <c r="K3070" i="2"/>
  <c r="K3071" i="2"/>
  <c r="K3072" i="2"/>
  <c r="K3073" i="2"/>
  <c r="K3074" i="2"/>
  <c r="K3075" i="2"/>
  <c r="K3076" i="2"/>
  <c r="K3077" i="2"/>
  <c r="K3078" i="2"/>
  <c r="K3079" i="2"/>
  <c r="K3080" i="2"/>
  <c r="K3081" i="2"/>
  <c r="K3082" i="2"/>
  <c r="K3083" i="2"/>
  <c r="K3084" i="2"/>
  <c r="K3085" i="2"/>
  <c r="K3086" i="2"/>
  <c r="K3087" i="2"/>
  <c r="K3088" i="2"/>
  <c r="K3089" i="2"/>
  <c r="K3090" i="2"/>
  <c r="K3091" i="2"/>
  <c r="K3092" i="2"/>
  <c r="K3093" i="2"/>
  <c r="K3094" i="2"/>
  <c r="K3095" i="2"/>
  <c r="K3096" i="2"/>
  <c r="K3097" i="2"/>
  <c r="K3098" i="2"/>
  <c r="K3099" i="2"/>
  <c r="K3100" i="2"/>
  <c r="K3101" i="2"/>
  <c r="K3102" i="2"/>
  <c r="K3103" i="2"/>
  <c r="K3104" i="2"/>
  <c r="K3105" i="2"/>
  <c r="K3106" i="2"/>
  <c r="K3107" i="2"/>
  <c r="K3108" i="2"/>
  <c r="K3109" i="2"/>
  <c r="K3110" i="2"/>
  <c r="K3111" i="2"/>
  <c r="K3112" i="2"/>
  <c r="K3113" i="2"/>
  <c r="K3114" i="2"/>
  <c r="K3115" i="2"/>
  <c r="K3116" i="2"/>
  <c r="K3117" i="2"/>
  <c r="K3118" i="2"/>
  <c r="K3119" i="2"/>
  <c r="K3120" i="2"/>
  <c r="K3121" i="2"/>
  <c r="K3122" i="2"/>
  <c r="K3123" i="2"/>
  <c r="K3124" i="2"/>
  <c r="K3125" i="2"/>
  <c r="K3126" i="2"/>
  <c r="K3127" i="2"/>
  <c r="K3128" i="2"/>
  <c r="K3129" i="2"/>
  <c r="K3130" i="2"/>
  <c r="K3131" i="2"/>
  <c r="K3132" i="2"/>
  <c r="K3133" i="2"/>
  <c r="K3134" i="2"/>
  <c r="K3135" i="2"/>
  <c r="K3136" i="2"/>
  <c r="K3137" i="2"/>
  <c r="K3138" i="2"/>
  <c r="K3139" i="2"/>
  <c r="K3140" i="2"/>
  <c r="K3141" i="2"/>
  <c r="K3142" i="2"/>
  <c r="K3143" i="2"/>
  <c r="K3144" i="2"/>
  <c r="K3145" i="2"/>
  <c r="K3146" i="2"/>
  <c r="K3147" i="2"/>
  <c r="K3148" i="2"/>
  <c r="K3149" i="2"/>
  <c r="K3150" i="2"/>
  <c r="K3151" i="2"/>
  <c r="K3152" i="2"/>
  <c r="K3153" i="2"/>
  <c r="K3154" i="2"/>
  <c r="K3155" i="2"/>
  <c r="K3156" i="2"/>
  <c r="K3157" i="2"/>
  <c r="K3158" i="2"/>
  <c r="K3159" i="2"/>
  <c r="K3160" i="2"/>
  <c r="K3161" i="2"/>
  <c r="K3162" i="2"/>
  <c r="K3163" i="2"/>
  <c r="K3164" i="2"/>
  <c r="K3165" i="2"/>
  <c r="K3166" i="2"/>
  <c r="K3167" i="2"/>
  <c r="K3168" i="2"/>
  <c r="K3169" i="2"/>
  <c r="K3170" i="2"/>
  <c r="K3171" i="2"/>
  <c r="K3172" i="2"/>
  <c r="K3173" i="2"/>
  <c r="K3174" i="2"/>
  <c r="K3175" i="2"/>
  <c r="K3176" i="2"/>
  <c r="K3177" i="2"/>
  <c r="K3178" i="2"/>
  <c r="K3179" i="2"/>
  <c r="K3180" i="2"/>
  <c r="K3181" i="2"/>
  <c r="K3182" i="2"/>
  <c r="K3183" i="2"/>
  <c r="K3184" i="2"/>
  <c r="K3185" i="2"/>
  <c r="K3186" i="2"/>
  <c r="K3187" i="2"/>
  <c r="K3188" i="2"/>
  <c r="K3189" i="2"/>
  <c r="K3190" i="2"/>
  <c r="K3191" i="2"/>
  <c r="K3192" i="2"/>
  <c r="K3193" i="2"/>
  <c r="K3194" i="2"/>
  <c r="K3195" i="2"/>
  <c r="K3196" i="2"/>
  <c r="K3197" i="2"/>
  <c r="K3198" i="2"/>
  <c r="K3199" i="2"/>
  <c r="K3200" i="2"/>
  <c r="K3201" i="2"/>
  <c r="K3202" i="2"/>
  <c r="K3203" i="2"/>
  <c r="K3204" i="2"/>
  <c r="K3205" i="2"/>
  <c r="K3206" i="2"/>
  <c r="K3207" i="2"/>
  <c r="K3208" i="2"/>
  <c r="K3209" i="2"/>
  <c r="K3210" i="2"/>
  <c r="K3211" i="2"/>
  <c r="K3212" i="2"/>
  <c r="K3213" i="2"/>
  <c r="K3214" i="2"/>
  <c r="K3215" i="2"/>
  <c r="K3216" i="2"/>
  <c r="K3217" i="2"/>
  <c r="K3218" i="2"/>
  <c r="K3219" i="2"/>
  <c r="K3220" i="2"/>
  <c r="K3221" i="2"/>
  <c r="K3222" i="2"/>
  <c r="K3223" i="2"/>
  <c r="K3224" i="2"/>
  <c r="K3225" i="2"/>
  <c r="K3226" i="2"/>
  <c r="K3227" i="2"/>
  <c r="K3228" i="2"/>
  <c r="K3229" i="2"/>
  <c r="K3230" i="2"/>
  <c r="K3231" i="2"/>
  <c r="K3232" i="2"/>
  <c r="K3233" i="2"/>
  <c r="K3234" i="2"/>
  <c r="K3235" i="2"/>
  <c r="K3236" i="2"/>
  <c r="K3237" i="2"/>
  <c r="K3238" i="2"/>
  <c r="K3239" i="2"/>
  <c r="K3240" i="2"/>
  <c r="K3241" i="2"/>
  <c r="K3242" i="2"/>
  <c r="K3243" i="2"/>
  <c r="K3244" i="2"/>
  <c r="K3245" i="2"/>
  <c r="K3246" i="2"/>
  <c r="K3247" i="2"/>
  <c r="K3248" i="2"/>
  <c r="K3249" i="2"/>
  <c r="K3250" i="2"/>
  <c r="K3251" i="2"/>
  <c r="K3252" i="2"/>
  <c r="K3253" i="2"/>
  <c r="K3254" i="2"/>
  <c r="K3255" i="2"/>
  <c r="K3256" i="2"/>
  <c r="K3257" i="2"/>
  <c r="K3258" i="2"/>
  <c r="K3259" i="2"/>
  <c r="K3260" i="2"/>
  <c r="K3261" i="2"/>
  <c r="K3262" i="2"/>
  <c r="K3263" i="2"/>
  <c r="K3264" i="2"/>
  <c r="K3265" i="2"/>
  <c r="K3266" i="2"/>
  <c r="K3267" i="2"/>
  <c r="K3268" i="2"/>
  <c r="K3269" i="2"/>
  <c r="K3270" i="2"/>
  <c r="K3271" i="2"/>
  <c r="K3272" i="2"/>
  <c r="K3273" i="2"/>
  <c r="K3274" i="2"/>
  <c r="K3275" i="2"/>
  <c r="K3276" i="2"/>
  <c r="K3277" i="2"/>
  <c r="K3278" i="2"/>
  <c r="K3279" i="2"/>
  <c r="K3280" i="2"/>
  <c r="K3281" i="2"/>
  <c r="K3282" i="2"/>
  <c r="K3283" i="2"/>
  <c r="K3284" i="2"/>
  <c r="K3285" i="2"/>
  <c r="K3286" i="2"/>
  <c r="K3287" i="2"/>
  <c r="K3288" i="2"/>
  <c r="K3289" i="2"/>
  <c r="K3290" i="2"/>
  <c r="K3291" i="2"/>
  <c r="K3292" i="2"/>
  <c r="K3293" i="2"/>
  <c r="K3294" i="2"/>
  <c r="K3295" i="2"/>
  <c r="K3296" i="2"/>
  <c r="K3297" i="2"/>
  <c r="K3298" i="2"/>
  <c r="K3299" i="2"/>
  <c r="K3300" i="2"/>
  <c r="K3301" i="2"/>
  <c r="K3302" i="2"/>
  <c r="K3303" i="2"/>
  <c r="K3304" i="2"/>
  <c r="K3305" i="2"/>
  <c r="K3306" i="2"/>
  <c r="K3307" i="2"/>
  <c r="K3308" i="2"/>
  <c r="K3309" i="2"/>
  <c r="K3310" i="2"/>
  <c r="K3311" i="2"/>
  <c r="K3312" i="2"/>
  <c r="K3313" i="2"/>
  <c r="K3314" i="2"/>
  <c r="K3315" i="2"/>
  <c r="K3316" i="2"/>
  <c r="K3317" i="2"/>
  <c r="K3318" i="2"/>
  <c r="K3319" i="2"/>
  <c r="K3320" i="2"/>
  <c r="K3321" i="2"/>
  <c r="K3322" i="2"/>
  <c r="K3323" i="2"/>
  <c r="K3324" i="2"/>
  <c r="K3325" i="2"/>
  <c r="K3326" i="2"/>
  <c r="K3327" i="2"/>
  <c r="K3328" i="2"/>
  <c r="K3329" i="2"/>
  <c r="K3330" i="2"/>
  <c r="K3331" i="2"/>
  <c r="K3332" i="2"/>
  <c r="K3333" i="2"/>
  <c r="K3334" i="2"/>
  <c r="K3335" i="2"/>
  <c r="K3336" i="2"/>
  <c r="K3337" i="2"/>
  <c r="K3338" i="2"/>
  <c r="K3339" i="2"/>
  <c r="K3340" i="2"/>
  <c r="K3341" i="2"/>
  <c r="K3342" i="2"/>
  <c r="K3343" i="2"/>
  <c r="K3344" i="2"/>
  <c r="K3345" i="2"/>
  <c r="K3346" i="2"/>
  <c r="K3347" i="2"/>
  <c r="K3348" i="2"/>
  <c r="K3349" i="2"/>
  <c r="K3350" i="2"/>
  <c r="K3351" i="2"/>
  <c r="K3352" i="2"/>
  <c r="K3353" i="2"/>
  <c r="K3354" i="2"/>
  <c r="K3355" i="2"/>
  <c r="K3356" i="2"/>
  <c r="K3357" i="2"/>
  <c r="K3358" i="2"/>
  <c r="K3359" i="2"/>
  <c r="K3360" i="2"/>
  <c r="K3361" i="2"/>
  <c r="K3362" i="2"/>
  <c r="K3363" i="2"/>
  <c r="K3364" i="2"/>
  <c r="K3365" i="2"/>
  <c r="K3366" i="2"/>
  <c r="K3367" i="2"/>
  <c r="K3368" i="2"/>
  <c r="K3369" i="2"/>
  <c r="K3370" i="2"/>
  <c r="K3371" i="2"/>
  <c r="K3372" i="2"/>
  <c r="K3373" i="2"/>
  <c r="K3374" i="2"/>
  <c r="K3375" i="2"/>
  <c r="K3376" i="2"/>
  <c r="K3377" i="2"/>
  <c r="K3378" i="2"/>
  <c r="K3379" i="2"/>
  <c r="K3380" i="2"/>
  <c r="K3381" i="2"/>
  <c r="K3382" i="2"/>
  <c r="K3383" i="2"/>
  <c r="K3384" i="2"/>
  <c r="K3385" i="2"/>
  <c r="K3386" i="2"/>
  <c r="K3387" i="2"/>
  <c r="K3388" i="2"/>
  <c r="K3389" i="2"/>
  <c r="K3390" i="2"/>
  <c r="K3391" i="2"/>
  <c r="K3392" i="2"/>
  <c r="K3393" i="2"/>
  <c r="K3394" i="2"/>
  <c r="K3395" i="2"/>
  <c r="K3396" i="2"/>
  <c r="K3397" i="2"/>
  <c r="K3398" i="2"/>
  <c r="K3399" i="2"/>
  <c r="K3400" i="2"/>
  <c r="K3401" i="2"/>
  <c r="K3402" i="2"/>
  <c r="K3403" i="2"/>
  <c r="K3404" i="2"/>
  <c r="K3405" i="2"/>
  <c r="K3406" i="2"/>
  <c r="K3407" i="2"/>
  <c r="K3408" i="2"/>
  <c r="K3409" i="2"/>
  <c r="K3410" i="2"/>
  <c r="K3411" i="2"/>
  <c r="K3412" i="2"/>
  <c r="K3413" i="2"/>
  <c r="K3414" i="2"/>
  <c r="K3415" i="2"/>
  <c r="K3416" i="2"/>
  <c r="K3417" i="2"/>
  <c r="K3418" i="2"/>
  <c r="K3419" i="2"/>
  <c r="K3420" i="2"/>
  <c r="K3421" i="2"/>
  <c r="K3422" i="2"/>
  <c r="K3423" i="2"/>
  <c r="K3424" i="2"/>
  <c r="K3425" i="2"/>
  <c r="K3426" i="2"/>
  <c r="K3427" i="2"/>
  <c r="K3428" i="2"/>
  <c r="K3429" i="2"/>
  <c r="K3430" i="2"/>
  <c r="K3431" i="2"/>
  <c r="K3432" i="2"/>
  <c r="K3433" i="2"/>
  <c r="K3434" i="2"/>
  <c r="K3435" i="2"/>
  <c r="K3436" i="2"/>
  <c r="K3437" i="2"/>
  <c r="K3438" i="2"/>
  <c r="K3439" i="2"/>
  <c r="K3440" i="2"/>
  <c r="K3441" i="2"/>
  <c r="K3442" i="2"/>
  <c r="K3443" i="2"/>
  <c r="K3444" i="2"/>
  <c r="K3445" i="2"/>
  <c r="K3446" i="2"/>
  <c r="K3447" i="2"/>
  <c r="K3448" i="2"/>
  <c r="K3449" i="2"/>
  <c r="K3450" i="2"/>
  <c r="K3451" i="2"/>
  <c r="K3452" i="2"/>
  <c r="K3453" i="2"/>
  <c r="K3454" i="2"/>
  <c r="K3455" i="2"/>
  <c r="K3456" i="2"/>
  <c r="K3457" i="2"/>
  <c r="K3458" i="2"/>
  <c r="K3459" i="2"/>
  <c r="K3460" i="2"/>
  <c r="K3461" i="2"/>
  <c r="K3462" i="2"/>
  <c r="K3463" i="2"/>
  <c r="K3464" i="2"/>
  <c r="K3465" i="2"/>
  <c r="K3466" i="2"/>
  <c r="K3467" i="2"/>
  <c r="K3468" i="2"/>
  <c r="K3469" i="2"/>
  <c r="K3470" i="2"/>
  <c r="K3471" i="2"/>
  <c r="K3472" i="2"/>
  <c r="K3473" i="2"/>
  <c r="K3474" i="2"/>
  <c r="K3475" i="2"/>
  <c r="K3476" i="2"/>
  <c r="K3477" i="2"/>
  <c r="K3478" i="2"/>
  <c r="K3479" i="2"/>
  <c r="K3480" i="2"/>
  <c r="K3481" i="2"/>
  <c r="K3482" i="2"/>
  <c r="K3483" i="2"/>
  <c r="K3484" i="2"/>
  <c r="K3485" i="2"/>
  <c r="K3486" i="2"/>
  <c r="K3487" i="2"/>
  <c r="K3488" i="2"/>
  <c r="K3489" i="2"/>
  <c r="K3490" i="2"/>
  <c r="K3491" i="2"/>
  <c r="K3492" i="2"/>
  <c r="K3493" i="2"/>
  <c r="K3494" i="2"/>
  <c r="K3495" i="2"/>
  <c r="K3496" i="2"/>
  <c r="K3497" i="2"/>
  <c r="K3498" i="2"/>
  <c r="K3499" i="2"/>
  <c r="K3500" i="2"/>
  <c r="K3501" i="2"/>
  <c r="K3502" i="2"/>
  <c r="K3503" i="2"/>
  <c r="K3504" i="2"/>
  <c r="K3505" i="2"/>
  <c r="K3506" i="2"/>
  <c r="K3507" i="2"/>
  <c r="K3508" i="2"/>
  <c r="K3509" i="2"/>
  <c r="K3510" i="2"/>
  <c r="K3511" i="2"/>
  <c r="K3512" i="2"/>
  <c r="K3513" i="2"/>
  <c r="K3514" i="2"/>
  <c r="K3515" i="2"/>
  <c r="K3516" i="2"/>
  <c r="K3517" i="2"/>
  <c r="K3518" i="2"/>
  <c r="K3519" i="2"/>
  <c r="K3520" i="2"/>
  <c r="K3521" i="2"/>
  <c r="K3522" i="2"/>
  <c r="K3523" i="2"/>
  <c r="K3524" i="2"/>
  <c r="K3525" i="2"/>
  <c r="K3526" i="2"/>
  <c r="K3527" i="2"/>
  <c r="K3528" i="2"/>
  <c r="K3529" i="2"/>
  <c r="K3530" i="2"/>
  <c r="K3531" i="2"/>
  <c r="K3532" i="2"/>
  <c r="K3533" i="2"/>
  <c r="K3534" i="2"/>
  <c r="K3535" i="2"/>
  <c r="K3536" i="2"/>
  <c r="K3537" i="2"/>
  <c r="K3538" i="2"/>
  <c r="K3539" i="2"/>
  <c r="K3540" i="2"/>
  <c r="K3541" i="2"/>
  <c r="K3542" i="2"/>
  <c r="K3543" i="2"/>
  <c r="K3544" i="2"/>
  <c r="K3545" i="2"/>
  <c r="K3546" i="2"/>
  <c r="K3547" i="2"/>
  <c r="K3548" i="2"/>
  <c r="K3549" i="2"/>
  <c r="K3550" i="2"/>
  <c r="K3551" i="2"/>
  <c r="K3552" i="2"/>
  <c r="K3553" i="2"/>
  <c r="K3554" i="2"/>
  <c r="K3555" i="2"/>
  <c r="K3556" i="2"/>
  <c r="K3557" i="2"/>
  <c r="K3558" i="2"/>
  <c r="K3559" i="2"/>
  <c r="K3560" i="2"/>
  <c r="K3561" i="2"/>
  <c r="K3562" i="2"/>
  <c r="K3563" i="2"/>
  <c r="K3564" i="2"/>
  <c r="K3565" i="2"/>
  <c r="K3566" i="2"/>
  <c r="K3567" i="2"/>
  <c r="K3568" i="2"/>
  <c r="K3569" i="2"/>
  <c r="K3570" i="2"/>
  <c r="K3571" i="2"/>
  <c r="K3572" i="2"/>
  <c r="K3573" i="2"/>
  <c r="K3574" i="2"/>
  <c r="K3575" i="2"/>
  <c r="K3576" i="2"/>
  <c r="K3577" i="2"/>
  <c r="K3578" i="2"/>
  <c r="K3579" i="2"/>
  <c r="K3580" i="2"/>
  <c r="K3581" i="2"/>
  <c r="K3582" i="2"/>
  <c r="K3583" i="2"/>
  <c r="K3584" i="2"/>
  <c r="K3585" i="2"/>
  <c r="K3586" i="2"/>
  <c r="K3587" i="2"/>
  <c r="K3588" i="2"/>
  <c r="K3589" i="2"/>
  <c r="K3590" i="2"/>
  <c r="K3591" i="2"/>
  <c r="K3592" i="2"/>
  <c r="K3593" i="2"/>
  <c r="K3594" i="2"/>
  <c r="K3595" i="2"/>
  <c r="K3596" i="2"/>
  <c r="K3597" i="2"/>
  <c r="K3598" i="2"/>
  <c r="K3599" i="2"/>
  <c r="K3600" i="2"/>
  <c r="K3601" i="2"/>
  <c r="K3602" i="2"/>
  <c r="K3603" i="2"/>
  <c r="K3604" i="2"/>
  <c r="K3605" i="2"/>
  <c r="K3606" i="2"/>
  <c r="K3607" i="2"/>
  <c r="K3608" i="2"/>
  <c r="K3609" i="2"/>
  <c r="K3610" i="2"/>
  <c r="K3611" i="2"/>
  <c r="K3612" i="2"/>
  <c r="K3613" i="2"/>
  <c r="K3614" i="2"/>
  <c r="K3615" i="2"/>
  <c r="K3616" i="2"/>
  <c r="K3617" i="2"/>
  <c r="K3618" i="2"/>
  <c r="K3619" i="2"/>
  <c r="K3620" i="2"/>
  <c r="K3621" i="2"/>
  <c r="K3622" i="2"/>
  <c r="K3623" i="2"/>
  <c r="K3624" i="2"/>
  <c r="K3625" i="2"/>
  <c r="K3626" i="2"/>
  <c r="K3627" i="2"/>
  <c r="K3628" i="2"/>
  <c r="K3629" i="2"/>
  <c r="K3630" i="2"/>
  <c r="K3631" i="2"/>
  <c r="K3632" i="2"/>
  <c r="K3633" i="2"/>
  <c r="K3634" i="2"/>
  <c r="K3635" i="2"/>
  <c r="K3636" i="2"/>
  <c r="K3637" i="2"/>
  <c r="K3638" i="2"/>
  <c r="K3639" i="2"/>
  <c r="K3640" i="2"/>
  <c r="K3641" i="2"/>
  <c r="K3642" i="2"/>
  <c r="K3643" i="2"/>
  <c r="K3644" i="2"/>
  <c r="K3645" i="2"/>
  <c r="K3646" i="2"/>
  <c r="K3647" i="2"/>
  <c r="K3648" i="2"/>
  <c r="K3649" i="2"/>
  <c r="K3650" i="2"/>
  <c r="K3651" i="2"/>
  <c r="K3652" i="2"/>
  <c r="K3653" i="2"/>
  <c r="K3654" i="2"/>
  <c r="K3655" i="2"/>
  <c r="K3656" i="2"/>
  <c r="K3657" i="2"/>
  <c r="K3658" i="2"/>
  <c r="K3659" i="2"/>
  <c r="K3660" i="2"/>
  <c r="K3661" i="2"/>
  <c r="K3662" i="2"/>
  <c r="K3663" i="2"/>
  <c r="K3664" i="2"/>
  <c r="K3665" i="2"/>
  <c r="K3666" i="2"/>
  <c r="K3667" i="2"/>
  <c r="K3668" i="2"/>
  <c r="K3669" i="2"/>
  <c r="K3670" i="2"/>
  <c r="K3671" i="2"/>
  <c r="K3672" i="2"/>
  <c r="K3673" i="2"/>
  <c r="K3674" i="2"/>
  <c r="K3675" i="2"/>
  <c r="K3676" i="2"/>
  <c r="K3677" i="2"/>
  <c r="K3678" i="2"/>
  <c r="K3679" i="2"/>
  <c r="K3680" i="2"/>
  <c r="K3681" i="2"/>
  <c r="K3682" i="2"/>
  <c r="K3683" i="2"/>
  <c r="K3684" i="2"/>
  <c r="K3685" i="2"/>
  <c r="K3686" i="2"/>
  <c r="K3687" i="2"/>
  <c r="K3688" i="2"/>
  <c r="K3689" i="2"/>
  <c r="K3690" i="2"/>
  <c r="K3691" i="2"/>
  <c r="K3692" i="2"/>
  <c r="K3693" i="2"/>
  <c r="K3694" i="2"/>
  <c r="K3695" i="2"/>
  <c r="K3696" i="2"/>
  <c r="K3697" i="2"/>
  <c r="K3698" i="2"/>
  <c r="K3699" i="2"/>
  <c r="K3700" i="2"/>
  <c r="K3701" i="2"/>
  <c r="K3702" i="2"/>
  <c r="K3703" i="2"/>
  <c r="K3704" i="2"/>
  <c r="K3705" i="2"/>
  <c r="K3706" i="2"/>
  <c r="K3707" i="2"/>
  <c r="K3708" i="2"/>
  <c r="K3709" i="2"/>
  <c r="K3710" i="2"/>
  <c r="K3711" i="2"/>
  <c r="K3712" i="2"/>
  <c r="K3713" i="2"/>
  <c r="K3714" i="2"/>
  <c r="K3715" i="2"/>
  <c r="K3716" i="2"/>
  <c r="K3717" i="2"/>
  <c r="K3718" i="2"/>
  <c r="K3719" i="2"/>
  <c r="K3720" i="2"/>
  <c r="K3721" i="2"/>
  <c r="K3722" i="2"/>
  <c r="K3723" i="2"/>
  <c r="K3724" i="2"/>
  <c r="K3725" i="2"/>
  <c r="K3726" i="2"/>
  <c r="K3727" i="2"/>
  <c r="K3728" i="2"/>
  <c r="K3729" i="2"/>
  <c r="K3730" i="2"/>
  <c r="K3731" i="2"/>
  <c r="K3732" i="2"/>
  <c r="K3733" i="2"/>
  <c r="K3734" i="2"/>
  <c r="K3735" i="2"/>
  <c r="K3736" i="2"/>
  <c r="K3737" i="2"/>
  <c r="K3738" i="2"/>
  <c r="K3739" i="2"/>
  <c r="K3740" i="2"/>
  <c r="K3741" i="2"/>
  <c r="K3742" i="2"/>
  <c r="K3743" i="2"/>
  <c r="K3744" i="2"/>
  <c r="K3745" i="2"/>
  <c r="K3746" i="2"/>
  <c r="K3747" i="2"/>
  <c r="K3748" i="2"/>
  <c r="K3749" i="2"/>
  <c r="K3750" i="2"/>
  <c r="K3751" i="2"/>
  <c r="K3752" i="2"/>
  <c r="K3753" i="2"/>
  <c r="K3754" i="2"/>
  <c r="K3755" i="2"/>
  <c r="K3756" i="2"/>
  <c r="K3757" i="2"/>
  <c r="K3758" i="2"/>
  <c r="K3759" i="2"/>
  <c r="K3760" i="2"/>
  <c r="K3761" i="2"/>
  <c r="K3762" i="2"/>
  <c r="K3763" i="2"/>
  <c r="K3764" i="2"/>
  <c r="K3765" i="2"/>
  <c r="K3766" i="2"/>
  <c r="K3767" i="2"/>
  <c r="K3768" i="2"/>
  <c r="K3769" i="2"/>
  <c r="K3770" i="2"/>
  <c r="K3771" i="2"/>
  <c r="K3772" i="2"/>
  <c r="K3773" i="2"/>
  <c r="K3774" i="2"/>
  <c r="K3775" i="2"/>
  <c r="K3776" i="2"/>
  <c r="K3777" i="2"/>
  <c r="K3778" i="2"/>
  <c r="K3779" i="2"/>
  <c r="K3780" i="2"/>
  <c r="K3781" i="2"/>
  <c r="K3782" i="2"/>
  <c r="K3783" i="2"/>
  <c r="K3784" i="2"/>
  <c r="K3785" i="2"/>
  <c r="K3786" i="2"/>
  <c r="K3787" i="2"/>
  <c r="K3788" i="2"/>
  <c r="K3789" i="2"/>
  <c r="K3790" i="2"/>
  <c r="K3791" i="2"/>
  <c r="K3792" i="2"/>
  <c r="K3793" i="2"/>
  <c r="K3794" i="2"/>
  <c r="K3795" i="2"/>
  <c r="K3796" i="2"/>
  <c r="K3797" i="2"/>
  <c r="K3798" i="2"/>
  <c r="K3799" i="2"/>
  <c r="K3800" i="2"/>
  <c r="K3801" i="2"/>
  <c r="K3802" i="2"/>
  <c r="K3803" i="2"/>
  <c r="K3804" i="2"/>
  <c r="K3805" i="2"/>
  <c r="K3806" i="2"/>
  <c r="K3807" i="2"/>
  <c r="K3808" i="2"/>
  <c r="K3809" i="2"/>
  <c r="K3810" i="2"/>
  <c r="K3811" i="2"/>
  <c r="K3812" i="2"/>
  <c r="K3813" i="2"/>
  <c r="K3814" i="2"/>
  <c r="K3815" i="2"/>
  <c r="K3816" i="2"/>
  <c r="K3817" i="2"/>
  <c r="K3818" i="2"/>
  <c r="K3819" i="2"/>
  <c r="K3820" i="2"/>
  <c r="K3821" i="2"/>
  <c r="K3822" i="2"/>
  <c r="K3823" i="2"/>
  <c r="K3824" i="2"/>
  <c r="K3825" i="2"/>
  <c r="K3826" i="2"/>
  <c r="K3827" i="2"/>
  <c r="K3828" i="2"/>
  <c r="K3829" i="2"/>
  <c r="K3830" i="2"/>
  <c r="K3831" i="2"/>
  <c r="K3832" i="2"/>
  <c r="K3833" i="2"/>
  <c r="K3834" i="2"/>
  <c r="K3835" i="2"/>
  <c r="K3836" i="2"/>
  <c r="K3837" i="2"/>
  <c r="K3838" i="2"/>
  <c r="K3839" i="2"/>
  <c r="K3840" i="2"/>
  <c r="K3841" i="2"/>
  <c r="K3842" i="2"/>
  <c r="K3843" i="2"/>
  <c r="K3844" i="2"/>
  <c r="K3845" i="2"/>
  <c r="K3846" i="2"/>
  <c r="K3847" i="2"/>
  <c r="K3848" i="2"/>
  <c r="K3849" i="2"/>
  <c r="K3850" i="2"/>
  <c r="K3851" i="2"/>
  <c r="K3852" i="2"/>
  <c r="K3853" i="2"/>
  <c r="K3854" i="2"/>
  <c r="K3855" i="2"/>
  <c r="K3856" i="2"/>
  <c r="K3857" i="2"/>
  <c r="K3858" i="2"/>
  <c r="K3859" i="2"/>
  <c r="K3860" i="2"/>
  <c r="K3861" i="2"/>
  <c r="K3862" i="2"/>
  <c r="K3863" i="2"/>
  <c r="K3864" i="2"/>
  <c r="K3865" i="2"/>
  <c r="K3866" i="2"/>
  <c r="K3867" i="2"/>
  <c r="K3868" i="2"/>
  <c r="K3869" i="2"/>
  <c r="K3870" i="2"/>
  <c r="K3871" i="2"/>
  <c r="K3872" i="2"/>
  <c r="K3873" i="2"/>
  <c r="K3874" i="2"/>
  <c r="K3875" i="2"/>
  <c r="K3876" i="2"/>
  <c r="K3877" i="2"/>
  <c r="K3878" i="2"/>
  <c r="K3879" i="2"/>
  <c r="K3880" i="2"/>
  <c r="K3881" i="2"/>
  <c r="K3882" i="2"/>
  <c r="K3883" i="2"/>
  <c r="K3884" i="2"/>
  <c r="K3885" i="2"/>
  <c r="K3886" i="2"/>
  <c r="K3887" i="2"/>
  <c r="K3888" i="2"/>
  <c r="K3889" i="2"/>
  <c r="K3890" i="2"/>
  <c r="K3891" i="2"/>
  <c r="K3892" i="2"/>
  <c r="K3893" i="2"/>
  <c r="K3894" i="2"/>
  <c r="K3895" i="2"/>
  <c r="K3896" i="2"/>
  <c r="K3897" i="2"/>
  <c r="K3898" i="2"/>
  <c r="K3899" i="2"/>
  <c r="K3900" i="2"/>
  <c r="K3901" i="2"/>
  <c r="K3902" i="2"/>
  <c r="K3903" i="2"/>
  <c r="K3904" i="2"/>
  <c r="K3905" i="2"/>
  <c r="K3906" i="2"/>
  <c r="K3907" i="2"/>
  <c r="K3908" i="2"/>
  <c r="K3909" i="2"/>
  <c r="K3910" i="2"/>
  <c r="K3911" i="2"/>
  <c r="K3912" i="2"/>
  <c r="K3913" i="2"/>
  <c r="K3914" i="2"/>
  <c r="K3915" i="2"/>
  <c r="K3916" i="2"/>
  <c r="K3917" i="2"/>
  <c r="K3918" i="2"/>
  <c r="K3919" i="2"/>
  <c r="K3920" i="2"/>
  <c r="K3921" i="2"/>
  <c r="K3922" i="2"/>
  <c r="K3923" i="2"/>
  <c r="K3924" i="2"/>
  <c r="K3925" i="2"/>
  <c r="K3926" i="2"/>
  <c r="K3927" i="2"/>
  <c r="K3928" i="2"/>
  <c r="K3929" i="2"/>
  <c r="K3930" i="2"/>
  <c r="K3931" i="2"/>
  <c r="K3932" i="2"/>
  <c r="K3933" i="2"/>
  <c r="K3934" i="2"/>
  <c r="K3935" i="2"/>
  <c r="K3936" i="2"/>
  <c r="K3937" i="2"/>
  <c r="K3938" i="2"/>
  <c r="K3939" i="2"/>
  <c r="K3940" i="2"/>
  <c r="K3941" i="2"/>
  <c r="K3942" i="2"/>
  <c r="K3943" i="2"/>
  <c r="K3944" i="2"/>
  <c r="K3945" i="2"/>
  <c r="K3946" i="2"/>
  <c r="K3947" i="2"/>
  <c r="K3948" i="2"/>
  <c r="K3949" i="2"/>
  <c r="K3950" i="2"/>
  <c r="K3951" i="2"/>
  <c r="K3952" i="2"/>
  <c r="K3953" i="2"/>
  <c r="K3954" i="2"/>
  <c r="K3955" i="2"/>
  <c r="K3956" i="2"/>
  <c r="K3957" i="2"/>
  <c r="K3958" i="2"/>
  <c r="K3959" i="2"/>
  <c r="K3960" i="2"/>
  <c r="K3961" i="2"/>
  <c r="K3962" i="2"/>
  <c r="K3963" i="2"/>
  <c r="K3964" i="2"/>
  <c r="K3965" i="2"/>
  <c r="K3966" i="2"/>
  <c r="K3967" i="2"/>
  <c r="K3968" i="2"/>
  <c r="K3969" i="2"/>
  <c r="K3970" i="2"/>
  <c r="K3971" i="2"/>
  <c r="K3972" i="2"/>
  <c r="K3973" i="2"/>
  <c r="K3974" i="2"/>
  <c r="K3975" i="2"/>
  <c r="K3976" i="2"/>
  <c r="K3977" i="2"/>
  <c r="K3978" i="2"/>
  <c r="K3979" i="2"/>
  <c r="K3980" i="2"/>
  <c r="K3981" i="2"/>
  <c r="K3982" i="2"/>
  <c r="K3983" i="2"/>
  <c r="K3984" i="2"/>
  <c r="K3985" i="2"/>
  <c r="K3986" i="2"/>
  <c r="K3987" i="2"/>
  <c r="K3988" i="2"/>
  <c r="K3989" i="2"/>
  <c r="K3990" i="2"/>
  <c r="K3991" i="2"/>
  <c r="K3992" i="2"/>
  <c r="K3993" i="2"/>
  <c r="K3994" i="2"/>
  <c r="K3995" i="2"/>
  <c r="K3996" i="2"/>
  <c r="K3997" i="2"/>
  <c r="K3998" i="2"/>
  <c r="K3999" i="2"/>
  <c r="K4000" i="2"/>
  <c r="K4001" i="2"/>
  <c r="K4002" i="2"/>
  <c r="K4003" i="2"/>
  <c r="K4004" i="2"/>
  <c r="K4005" i="2"/>
  <c r="K4006" i="2"/>
  <c r="K4007" i="2"/>
  <c r="K4008" i="2"/>
  <c r="K4009" i="2"/>
  <c r="K4010" i="2"/>
  <c r="K4011" i="2"/>
  <c r="K4012" i="2"/>
  <c r="K4013" i="2"/>
  <c r="K4014" i="2"/>
  <c r="K4015" i="2"/>
  <c r="K4016" i="2"/>
  <c r="K4017" i="2"/>
  <c r="K4018" i="2"/>
  <c r="K4019" i="2"/>
  <c r="K4020" i="2"/>
  <c r="K4021" i="2"/>
  <c r="K4022" i="2"/>
  <c r="K4023" i="2"/>
  <c r="K4024" i="2"/>
  <c r="K4025" i="2"/>
  <c r="K4026" i="2"/>
  <c r="K4027" i="2"/>
  <c r="K4028" i="2"/>
  <c r="K4029" i="2"/>
  <c r="K4030" i="2"/>
  <c r="K4031" i="2"/>
  <c r="K4032" i="2"/>
  <c r="K4033" i="2"/>
  <c r="K4034" i="2"/>
  <c r="K4035" i="2"/>
  <c r="K4036" i="2"/>
  <c r="K4037" i="2"/>
  <c r="K4038" i="2"/>
  <c r="K4039" i="2"/>
  <c r="K4040" i="2"/>
  <c r="K4041" i="2"/>
  <c r="K4042" i="2"/>
  <c r="K4043" i="2"/>
  <c r="K4044" i="2"/>
  <c r="K4045" i="2"/>
  <c r="K4046" i="2"/>
  <c r="K4047" i="2"/>
  <c r="K4048" i="2"/>
  <c r="K4049" i="2"/>
  <c r="K4050" i="2"/>
  <c r="K4051" i="2"/>
  <c r="K4052" i="2"/>
  <c r="K4053" i="2"/>
  <c r="K4054" i="2"/>
  <c r="K4055" i="2"/>
  <c r="K4056" i="2"/>
  <c r="K4057" i="2"/>
  <c r="K4058" i="2"/>
  <c r="K4059" i="2"/>
  <c r="K4060" i="2"/>
  <c r="K4061" i="2"/>
  <c r="K4062" i="2"/>
  <c r="K4063" i="2"/>
  <c r="K4064" i="2"/>
  <c r="K4065" i="2"/>
  <c r="K4066" i="2"/>
  <c r="K4067" i="2"/>
  <c r="K4068" i="2"/>
  <c r="K4069" i="2"/>
  <c r="K4070" i="2"/>
  <c r="K4071" i="2"/>
  <c r="K4072" i="2"/>
  <c r="K4073" i="2"/>
  <c r="K4074" i="2"/>
  <c r="K4075" i="2"/>
  <c r="K4076" i="2"/>
  <c r="K4077" i="2"/>
  <c r="K4078" i="2"/>
  <c r="K4079" i="2"/>
  <c r="K4080" i="2"/>
  <c r="K4081" i="2"/>
  <c r="K4082" i="2"/>
  <c r="K4083" i="2"/>
  <c r="K4084" i="2"/>
  <c r="K4085" i="2"/>
  <c r="K4086" i="2"/>
  <c r="K4087" i="2"/>
  <c r="K4088" i="2"/>
  <c r="K4089" i="2"/>
  <c r="K4090" i="2"/>
  <c r="K4091" i="2"/>
  <c r="K4092" i="2"/>
  <c r="K4093" i="2"/>
  <c r="K4094" i="2"/>
  <c r="K4095" i="2"/>
  <c r="K4096" i="2"/>
  <c r="K4097" i="2"/>
  <c r="K4098" i="2"/>
  <c r="K4099" i="2"/>
  <c r="K4100" i="2"/>
  <c r="K4101" i="2"/>
  <c r="K4102" i="2"/>
  <c r="K4103" i="2"/>
  <c r="K4104" i="2"/>
  <c r="K4105" i="2"/>
  <c r="K4106" i="2"/>
  <c r="K4107" i="2"/>
  <c r="K4108" i="2"/>
  <c r="K4109" i="2"/>
  <c r="K4110" i="2"/>
  <c r="K4111" i="2"/>
  <c r="K4112" i="2"/>
  <c r="K4113" i="2"/>
  <c r="K4114" i="2"/>
  <c r="K4115" i="2"/>
  <c r="K4116" i="2"/>
  <c r="K4117" i="2"/>
  <c r="K4118" i="2"/>
  <c r="K4119" i="2"/>
  <c r="K4120" i="2"/>
  <c r="K4121" i="2"/>
  <c r="K4122" i="2"/>
  <c r="K4123" i="2"/>
  <c r="K4124" i="2"/>
  <c r="K4125" i="2"/>
  <c r="K4126" i="2"/>
  <c r="K4127" i="2"/>
  <c r="K4128" i="2"/>
  <c r="K4129" i="2"/>
  <c r="K4130" i="2"/>
  <c r="K4131" i="2"/>
  <c r="K4132" i="2"/>
  <c r="K4133" i="2"/>
  <c r="K4134" i="2"/>
  <c r="K4135" i="2"/>
  <c r="K4136" i="2"/>
  <c r="K4137" i="2"/>
  <c r="K4138" i="2"/>
  <c r="K4139" i="2"/>
  <c r="K4140" i="2"/>
  <c r="K4141" i="2"/>
  <c r="K4142" i="2"/>
  <c r="K4143" i="2"/>
  <c r="K4144" i="2"/>
  <c r="K4145" i="2"/>
  <c r="K4146" i="2"/>
  <c r="K4147" i="2"/>
  <c r="K4148" i="2"/>
  <c r="K4149" i="2"/>
  <c r="K4150" i="2"/>
  <c r="K4151" i="2"/>
  <c r="K4152" i="2"/>
  <c r="K4153" i="2"/>
  <c r="K4154" i="2"/>
  <c r="K4155" i="2"/>
  <c r="K4156" i="2"/>
  <c r="K4157" i="2"/>
  <c r="K4158" i="2"/>
  <c r="K4159" i="2"/>
  <c r="K4160" i="2"/>
  <c r="K4161" i="2"/>
  <c r="K4162" i="2"/>
  <c r="K4163" i="2"/>
  <c r="K4164" i="2"/>
  <c r="K4165" i="2"/>
  <c r="K4166" i="2"/>
  <c r="K4167" i="2"/>
  <c r="K4168" i="2"/>
  <c r="K4169" i="2"/>
  <c r="K4170" i="2"/>
  <c r="K4171" i="2"/>
  <c r="K4172" i="2"/>
  <c r="K4173" i="2"/>
  <c r="K4174" i="2"/>
  <c r="K4175" i="2"/>
  <c r="K4176" i="2"/>
  <c r="K4177" i="2"/>
  <c r="K4178" i="2"/>
  <c r="K4179" i="2"/>
  <c r="K4180" i="2"/>
  <c r="K4181" i="2"/>
  <c r="K4182" i="2"/>
  <c r="K4183" i="2"/>
  <c r="K4184" i="2"/>
  <c r="K4185" i="2"/>
  <c r="K4186" i="2"/>
  <c r="K4187" i="2"/>
  <c r="K4188" i="2"/>
  <c r="K4189" i="2"/>
  <c r="K4190" i="2"/>
  <c r="K4191" i="2"/>
  <c r="K4192" i="2"/>
  <c r="K4193" i="2"/>
  <c r="K4194" i="2"/>
  <c r="K4195" i="2"/>
  <c r="K4196" i="2"/>
  <c r="K4197" i="2"/>
  <c r="K4198" i="2"/>
  <c r="K4199" i="2"/>
  <c r="K4200" i="2"/>
  <c r="K4201" i="2"/>
  <c r="K4202" i="2"/>
  <c r="K4203" i="2"/>
  <c r="K4204" i="2"/>
  <c r="K4205" i="2"/>
  <c r="K4206" i="2"/>
  <c r="K4207" i="2"/>
  <c r="K4208" i="2"/>
  <c r="K4209" i="2"/>
  <c r="K4210" i="2"/>
  <c r="K4211" i="2"/>
  <c r="K4212" i="2"/>
  <c r="K4213" i="2"/>
  <c r="K4214" i="2"/>
  <c r="K4215" i="2"/>
  <c r="K4216" i="2"/>
  <c r="K4217" i="2"/>
  <c r="K4218" i="2"/>
  <c r="K4219" i="2"/>
  <c r="K4220" i="2"/>
  <c r="K4221" i="2"/>
  <c r="K4222" i="2"/>
  <c r="K4223" i="2"/>
  <c r="K4224" i="2"/>
  <c r="K4225" i="2"/>
  <c r="K4226" i="2"/>
  <c r="K4227" i="2"/>
  <c r="K4228" i="2"/>
  <c r="K4229" i="2"/>
  <c r="K4230" i="2"/>
  <c r="K4231" i="2"/>
  <c r="K4232" i="2"/>
  <c r="K4233" i="2"/>
  <c r="K4234" i="2"/>
  <c r="K4235" i="2"/>
  <c r="K4236" i="2"/>
  <c r="K4237" i="2"/>
  <c r="K4238" i="2"/>
  <c r="K4239" i="2"/>
  <c r="K4240" i="2"/>
  <c r="K4241" i="2"/>
  <c r="K4242" i="2"/>
  <c r="K4243" i="2"/>
  <c r="K4244" i="2"/>
  <c r="K4245" i="2"/>
  <c r="K4246" i="2"/>
  <c r="K4247" i="2"/>
  <c r="K4248" i="2"/>
  <c r="K4249" i="2"/>
  <c r="K4250" i="2"/>
  <c r="K4251" i="2"/>
  <c r="K4252" i="2"/>
  <c r="K4253" i="2"/>
  <c r="K4254" i="2"/>
  <c r="K4255" i="2"/>
  <c r="K4256" i="2"/>
  <c r="K4257" i="2"/>
  <c r="K4258" i="2"/>
  <c r="K4259" i="2"/>
  <c r="K4260" i="2"/>
  <c r="K4261" i="2"/>
  <c r="K4262" i="2"/>
  <c r="K4263" i="2"/>
  <c r="K4264" i="2"/>
  <c r="K4265" i="2"/>
  <c r="K4266" i="2"/>
  <c r="K4267" i="2"/>
  <c r="K4268" i="2"/>
  <c r="K4269" i="2"/>
  <c r="K4270" i="2"/>
  <c r="K4271" i="2"/>
  <c r="K4272" i="2"/>
  <c r="K4273" i="2"/>
  <c r="K4274" i="2"/>
  <c r="K4275" i="2"/>
  <c r="K4276" i="2"/>
  <c r="K4277" i="2"/>
  <c r="K4278" i="2"/>
  <c r="K4279" i="2"/>
  <c r="K4280" i="2"/>
  <c r="K4281" i="2"/>
  <c r="K4282" i="2"/>
  <c r="K4283" i="2"/>
  <c r="K4284" i="2"/>
  <c r="K4285" i="2"/>
  <c r="K4286" i="2"/>
  <c r="K4287" i="2"/>
  <c r="K4288" i="2"/>
  <c r="K4289" i="2"/>
  <c r="K4290" i="2"/>
  <c r="K4291" i="2"/>
  <c r="K4292" i="2"/>
  <c r="K4293" i="2"/>
  <c r="K4294" i="2"/>
  <c r="K4295" i="2"/>
  <c r="K4296" i="2"/>
  <c r="K4297" i="2"/>
  <c r="K4298" i="2"/>
  <c r="K4299" i="2"/>
  <c r="K4300" i="2"/>
  <c r="K4301" i="2"/>
  <c r="K4302" i="2"/>
  <c r="K4303" i="2"/>
  <c r="K4304" i="2"/>
  <c r="K4305" i="2"/>
  <c r="K4306" i="2"/>
  <c r="K4307" i="2"/>
  <c r="K4308" i="2"/>
  <c r="K4309" i="2"/>
  <c r="K4310" i="2"/>
  <c r="K4311" i="2"/>
  <c r="K4312" i="2"/>
  <c r="K4313" i="2"/>
  <c r="K4314" i="2"/>
  <c r="K4315" i="2"/>
  <c r="K4316" i="2"/>
  <c r="K4317" i="2"/>
  <c r="K4318" i="2"/>
  <c r="K4319" i="2"/>
  <c r="K4320" i="2"/>
  <c r="K4321" i="2"/>
  <c r="K4322" i="2"/>
  <c r="K4323" i="2"/>
  <c r="K4324" i="2"/>
  <c r="K4325" i="2"/>
  <c r="K4326" i="2"/>
  <c r="K4327" i="2"/>
  <c r="K4328" i="2"/>
  <c r="K4329" i="2"/>
  <c r="K4330" i="2"/>
  <c r="K4331" i="2"/>
  <c r="K4332" i="2"/>
  <c r="K4333" i="2"/>
  <c r="K4334" i="2"/>
  <c r="K4335" i="2"/>
  <c r="K4336" i="2"/>
  <c r="K4337" i="2"/>
  <c r="K4338" i="2"/>
  <c r="K4339" i="2"/>
  <c r="K4340" i="2"/>
  <c r="K4341" i="2"/>
  <c r="K4342" i="2"/>
  <c r="K4343" i="2"/>
  <c r="K4344" i="2"/>
  <c r="K4345" i="2"/>
  <c r="K4346" i="2"/>
  <c r="K4347" i="2"/>
  <c r="K4348" i="2"/>
  <c r="K4349" i="2"/>
  <c r="K4350" i="2"/>
  <c r="K4351" i="2"/>
  <c r="K4352" i="2"/>
  <c r="K4353" i="2"/>
  <c r="K4354" i="2"/>
  <c r="K4355" i="2"/>
  <c r="K4356" i="2"/>
  <c r="K4357" i="2"/>
  <c r="K4358" i="2"/>
  <c r="K4359" i="2"/>
  <c r="K4360" i="2"/>
  <c r="K4361" i="2"/>
  <c r="K4362" i="2"/>
  <c r="K4363" i="2"/>
  <c r="K4364" i="2"/>
  <c r="K4365" i="2"/>
  <c r="K4366" i="2"/>
  <c r="K4367" i="2"/>
  <c r="K4368" i="2"/>
  <c r="K4369" i="2"/>
  <c r="K4370" i="2"/>
  <c r="K4371" i="2"/>
  <c r="K4372" i="2"/>
  <c r="K4373" i="2"/>
  <c r="K4374" i="2"/>
  <c r="K4375" i="2"/>
  <c r="K4376" i="2"/>
  <c r="K4377" i="2"/>
  <c r="K4378" i="2"/>
  <c r="K4379" i="2"/>
  <c r="K4380" i="2"/>
  <c r="K4381" i="2"/>
  <c r="K4382" i="2"/>
  <c r="K4383" i="2"/>
  <c r="K4384" i="2"/>
  <c r="K4385" i="2"/>
  <c r="K4386" i="2"/>
  <c r="K4387" i="2"/>
  <c r="K4388" i="2"/>
  <c r="K4389" i="2"/>
  <c r="K4390" i="2"/>
  <c r="K4391" i="2"/>
  <c r="K4392" i="2"/>
  <c r="K4393" i="2"/>
  <c r="K4394" i="2"/>
  <c r="K4395" i="2"/>
  <c r="K4396" i="2"/>
  <c r="K4397" i="2"/>
  <c r="K4398" i="2"/>
  <c r="K4399" i="2"/>
  <c r="K4400" i="2"/>
  <c r="K4401" i="2"/>
  <c r="K4402" i="2"/>
  <c r="K4403" i="2"/>
  <c r="K4404" i="2"/>
  <c r="K4405" i="2"/>
  <c r="K4406" i="2"/>
  <c r="K4407" i="2"/>
  <c r="K4408" i="2"/>
  <c r="K4409" i="2"/>
  <c r="K4410" i="2"/>
  <c r="K4411" i="2"/>
  <c r="K4412" i="2"/>
  <c r="K4413" i="2"/>
  <c r="K4414" i="2"/>
  <c r="K4415" i="2"/>
  <c r="K4416" i="2"/>
  <c r="K4417" i="2"/>
  <c r="K4418" i="2"/>
  <c r="K4419" i="2"/>
  <c r="K4420" i="2"/>
  <c r="K4421" i="2"/>
  <c r="K4422" i="2"/>
  <c r="K4423" i="2"/>
  <c r="K4424" i="2"/>
  <c r="K4425" i="2"/>
  <c r="K4426" i="2"/>
  <c r="K4427" i="2"/>
  <c r="K4428" i="2"/>
  <c r="K4429" i="2"/>
  <c r="K4430" i="2"/>
  <c r="K4431" i="2"/>
  <c r="K4432" i="2"/>
  <c r="K4433" i="2"/>
  <c r="K4434" i="2"/>
  <c r="K4435" i="2"/>
  <c r="K4436" i="2"/>
  <c r="K4437" i="2"/>
  <c r="K4438" i="2"/>
  <c r="K4439" i="2"/>
  <c r="K4440" i="2"/>
  <c r="K4441" i="2"/>
  <c r="K4442" i="2"/>
  <c r="K4443" i="2"/>
  <c r="K4444" i="2"/>
  <c r="K4445" i="2"/>
  <c r="K4446" i="2"/>
  <c r="K4447" i="2"/>
  <c r="K4448" i="2"/>
  <c r="K4449" i="2"/>
  <c r="K4450" i="2"/>
  <c r="K4451" i="2"/>
  <c r="K4452" i="2"/>
  <c r="K4453" i="2"/>
  <c r="K4454" i="2"/>
  <c r="K4455" i="2"/>
  <c r="K4456" i="2"/>
  <c r="K4457" i="2"/>
  <c r="K4458" i="2"/>
  <c r="K4459" i="2"/>
  <c r="K4460" i="2"/>
  <c r="K4461" i="2"/>
  <c r="K4462" i="2"/>
  <c r="K4463" i="2"/>
  <c r="K4464" i="2"/>
  <c r="K4465" i="2"/>
  <c r="K4466" i="2"/>
  <c r="K4467" i="2"/>
  <c r="K4468" i="2"/>
  <c r="K4469" i="2"/>
  <c r="K4470" i="2"/>
  <c r="K4471" i="2"/>
  <c r="K4472" i="2"/>
  <c r="K4473" i="2"/>
  <c r="K4474" i="2"/>
  <c r="K4475" i="2"/>
  <c r="K4476" i="2"/>
  <c r="K4477" i="2"/>
  <c r="K4478" i="2"/>
  <c r="K4479" i="2"/>
  <c r="K4480" i="2"/>
  <c r="K4481" i="2"/>
  <c r="K4482" i="2"/>
  <c r="K4483" i="2"/>
  <c r="K4484" i="2"/>
  <c r="K4485" i="2"/>
  <c r="K4486" i="2"/>
  <c r="K4487" i="2"/>
  <c r="K4488" i="2"/>
  <c r="K4489" i="2"/>
  <c r="K4490" i="2"/>
  <c r="K4491" i="2"/>
  <c r="K4492" i="2"/>
  <c r="K4493" i="2"/>
  <c r="K4494" i="2"/>
  <c r="K4495" i="2"/>
  <c r="K4496" i="2"/>
  <c r="K4497" i="2"/>
  <c r="K4498" i="2"/>
  <c r="K4499" i="2"/>
  <c r="K4500" i="2"/>
  <c r="K4501" i="2"/>
  <c r="K4502" i="2"/>
  <c r="K4503" i="2"/>
  <c r="K4504" i="2"/>
  <c r="K4505" i="2"/>
  <c r="K4506" i="2"/>
  <c r="K4507" i="2"/>
  <c r="K4508" i="2"/>
  <c r="K4509" i="2"/>
  <c r="K4510" i="2"/>
  <c r="K4511" i="2"/>
  <c r="K4512" i="2"/>
  <c r="K4513" i="2"/>
  <c r="K4514" i="2"/>
  <c r="K4515" i="2"/>
  <c r="K4516" i="2"/>
  <c r="K4517" i="2"/>
  <c r="K4518" i="2"/>
  <c r="K4519" i="2"/>
  <c r="K4520" i="2"/>
  <c r="K4521" i="2"/>
  <c r="K4522" i="2"/>
  <c r="K4523" i="2"/>
  <c r="K4524" i="2"/>
  <c r="K4525" i="2"/>
  <c r="K4526" i="2"/>
  <c r="K4527" i="2"/>
  <c r="K4528" i="2"/>
  <c r="K4529" i="2"/>
  <c r="K4530" i="2"/>
  <c r="K4531" i="2"/>
  <c r="K4532" i="2"/>
  <c r="K4533" i="2"/>
  <c r="K4534" i="2"/>
  <c r="K4535" i="2"/>
  <c r="K4536" i="2"/>
  <c r="K4537" i="2"/>
  <c r="K4538" i="2"/>
  <c r="K4539" i="2"/>
  <c r="K4540" i="2"/>
  <c r="K4541" i="2"/>
  <c r="K4542" i="2"/>
  <c r="K4543" i="2"/>
  <c r="K4544" i="2"/>
  <c r="K4545" i="2"/>
  <c r="K4546" i="2"/>
  <c r="K4547" i="2"/>
  <c r="K4548" i="2"/>
  <c r="K4549" i="2"/>
  <c r="K4550" i="2"/>
  <c r="K4551" i="2"/>
  <c r="K4552" i="2"/>
  <c r="K4553" i="2"/>
  <c r="K4554" i="2"/>
  <c r="K4555" i="2"/>
  <c r="K4556" i="2"/>
  <c r="K4557" i="2"/>
  <c r="K4558" i="2"/>
  <c r="K4559" i="2"/>
  <c r="K4560" i="2"/>
  <c r="K4561" i="2"/>
  <c r="K4562" i="2"/>
  <c r="K4563" i="2"/>
  <c r="K4564" i="2"/>
  <c r="K4565" i="2"/>
  <c r="K4566" i="2"/>
  <c r="K4567" i="2"/>
  <c r="K4568" i="2"/>
  <c r="K4569" i="2"/>
  <c r="K4570" i="2"/>
  <c r="K4571" i="2"/>
  <c r="K4572" i="2"/>
  <c r="K4573" i="2"/>
  <c r="K4574" i="2"/>
  <c r="K4575" i="2"/>
  <c r="K4576" i="2"/>
  <c r="K4577" i="2"/>
  <c r="K4578" i="2"/>
  <c r="K4579" i="2"/>
  <c r="K4580" i="2"/>
  <c r="K4581" i="2"/>
  <c r="K4582" i="2"/>
  <c r="K4583" i="2"/>
  <c r="K4584" i="2"/>
  <c r="K4585" i="2"/>
  <c r="K4586" i="2"/>
  <c r="K4587" i="2"/>
  <c r="K4588" i="2"/>
  <c r="K4589" i="2"/>
  <c r="K4590" i="2"/>
  <c r="K4591" i="2"/>
  <c r="K4592" i="2"/>
  <c r="K4593" i="2"/>
  <c r="K4594" i="2"/>
  <c r="K4595" i="2"/>
  <c r="K4596" i="2"/>
  <c r="K4597" i="2"/>
  <c r="K4598" i="2"/>
  <c r="K4599" i="2"/>
  <c r="K4600" i="2"/>
  <c r="K4601" i="2"/>
  <c r="K4602" i="2"/>
  <c r="K4603" i="2"/>
  <c r="K4604" i="2"/>
  <c r="K4605" i="2"/>
  <c r="K4606" i="2"/>
  <c r="K4607" i="2"/>
  <c r="K4608" i="2"/>
  <c r="K4609" i="2"/>
  <c r="K4610" i="2"/>
  <c r="K4611" i="2"/>
  <c r="K4612" i="2"/>
  <c r="K4613" i="2"/>
  <c r="K4614" i="2"/>
  <c r="K4615" i="2"/>
  <c r="K4616" i="2"/>
  <c r="K4617" i="2"/>
  <c r="K4618" i="2"/>
  <c r="K4619" i="2"/>
  <c r="K4620" i="2"/>
  <c r="K4621" i="2"/>
  <c r="K4622" i="2"/>
  <c r="K4623" i="2"/>
  <c r="K4624" i="2"/>
  <c r="K4625" i="2"/>
  <c r="K4626" i="2"/>
  <c r="K4627" i="2"/>
  <c r="K4628" i="2"/>
  <c r="K4629" i="2"/>
  <c r="K4630" i="2"/>
  <c r="K4631" i="2"/>
  <c r="K4632" i="2"/>
  <c r="K4633" i="2"/>
  <c r="K4634" i="2"/>
  <c r="K4635" i="2"/>
  <c r="K4636" i="2"/>
  <c r="K4637" i="2"/>
  <c r="K4638" i="2"/>
  <c r="K4639" i="2"/>
  <c r="K4640" i="2"/>
  <c r="K4641" i="2"/>
  <c r="K4642" i="2"/>
  <c r="K4643" i="2"/>
  <c r="K4644" i="2"/>
  <c r="K4645" i="2"/>
  <c r="K4646" i="2"/>
  <c r="K4647" i="2"/>
  <c r="K4648" i="2"/>
  <c r="K4649" i="2"/>
  <c r="K4650" i="2"/>
  <c r="K4651" i="2"/>
  <c r="K4652" i="2"/>
  <c r="K4653" i="2"/>
  <c r="K4654" i="2"/>
  <c r="K4655" i="2"/>
  <c r="K4656" i="2"/>
  <c r="K4657" i="2"/>
  <c r="K4658" i="2"/>
  <c r="K4659" i="2"/>
  <c r="K4660" i="2"/>
  <c r="K4661" i="2"/>
  <c r="K4662" i="2"/>
  <c r="K4663" i="2"/>
  <c r="K4664" i="2"/>
  <c r="K4665" i="2"/>
  <c r="K4666" i="2"/>
  <c r="K4667" i="2"/>
  <c r="K4668" i="2"/>
  <c r="K4669" i="2"/>
  <c r="K4670" i="2"/>
  <c r="K4671" i="2"/>
  <c r="K4672" i="2"/>
  <c r="K4673" i="2"/>
  <c r="K4674" i="2"/>
  <c r="K4675" i="2"/>
  <c r="K4676" i="2"/>
  <c r="K4677" i="2"/>
  <c r="K4678" i="2"/>
  <c r="K4679" i="2"/>
  <c r="K4680" i="2"/>
  <c r="K4681" i="2"/>
  <c r="K4682" i="2"/>
  <c r="K4683" i="2"/>
  <c r="K4684" i="2"/>
  <c r="K4685" i="2"/>
  <c r="K4686" i="2"/>
  <c r="K4687" i="2"/>
  <c r="K4688" i="2"/>
  <c r="K4689" i="2"/>
  <c r="K4690" i="2"/>
  <c r="K4691" i="2"/>
  <c r="K4692" i="2"/>
  <c r="K4693" i="2"/>
  <c r="K4694" i="2"/>
  <c r="K4695" i="2"/>
  <c r="K4696" i="2"/>
  <c r="K4697" i="2"/>
  <c r="K4698" i="2"/>
  <c r="K4699" i="2"/>
  <c r="K4700" i="2"/>
  <c r="K4701" i="2"/>
  <c r="K4702" i="2"/>
  <c r="K4703" i="2"/>
  <c r="K4704" i="2"/>
  <c r="K4705" i="2"/>
  <c r="K4706" i="2"/>
  <c r="K4707" i="2"/>
  <c r="K4708" i="2"/>
  <c r="K4709" i="2"/>
  <c r="K4710" i="2"/>
  <c r="K4711" i="2"/>
  <c r="K4712" i="2"/>
  <c r="K4713" i="2"/>
  <c r="K4714" i="2"/>
  <c r="K4715" i="2"/>
  <c r="K4716" i="2"/>
  <c r="K4717" i="2"/>
  <c r="K4718" i="2"/>
  <c r="K4719" i="2"/>
  <c r="K4720" i="2"/>
  <c r="K4721" i="2"/>
  <c r="K4722" i="2"/>
  <c r="K4723" i="2"/>
  <c r="K4724" i="2"/>
  <c r="K4725" i="2"/>
  <c r="K4726" i="2"/>
  <c r="K4727" i="2"/>
  <c r="K4728" i="2"/>
  <c r="K4729" i="2"/>
  <c r="K4730" i="2"/>
  <c r="K4731" i="2"/>
  <c r="K4732" i="2"/>
  <c r="K4733" i="2"/>
  <c r="K4734" i="2"/>
  <c r="K4735" i="2"/>
  <c r="K4736" i="2"/>
  <c r="K4737" i="2"/>
  <c r="K4738" i="2"/>
  <c r="K4739" i="2"/>
  <c r="K4740" i="2"/>
  <c r="K4741" i="2"/>
  <c r="K4742" i="2"/>
  <c r="K4743" i="2"/>
  <c r="K4744" i="2"/>
  <c r="K4745" i="2"/>
  <c r="K4746" i="2"/>
  <c r="K4747" i="2"/>
  <c r="K4748" i="2"/>
  <c r="K4749" i="2"/>
  <c r="K4750" i="2"/>
  <c r="K4751" i="2"/>
  <c r="K4752" i="2"/>
  <c r="K4753" i="2"/>
  <c r="K4754" i="2"/>
  <c r="K4755" i="2"/>
  <c r="K4756" i="2"/>
  <c r="K4757" i="2"/>
  <c r="K4758" i="2"/>
  <c r="K4759" i="2"/>
  <c r="K4760" i="2"/>
  <c r="K4761" i="2"/>
  <c r="K4762" i="2"/>
  <c r="K4763" i="2"/>
  <c r="K4764" i="2"/>
  <c r="K4765" i="2"/>
  <c r="K4766" i="2"/>
  <c r="K4767" i="2"/>
  <c r="K4768" i="2"/>
  <c r="K4769" i="2"/>
  <c r="K4770" i="2"/>
  <c r="K4771" i="2"/>
  <c r="K4772" i="2"/>
  <c r="K4773" i="2"/>
  <c r="K4774" i="2"/>
  <c r="K4775" i="2"/>
  <c r="K4776" i="2"/>
  <c r="K4777" i="2"/>
  <c r="K4778" i="2"/>
  <c r="K4779" i="2"/>
  <c r="K4780" i="2"/>
  <c r="K4781" i="2"/>
  <c r="K4782" i="2"/>
  <c r="K4783" i="2"/>
  <c r="K4784" i="2"/>
  <c r="K4785" i="2"/>
  <c r="K4786" i="2"/>
  <c r="K4787" i="2"/>
  <c r="K4788" i="2"/>
  <c r="K4789" i="2"/>
  <c r="K4790" i="2"/>
  <c r="K4791" i="2"/>
  <c r="K4792" i="2"/>
  <c r="K4793" i="2"/>
  <c r="K4794" i="2"/>
  <c r="K4795" i="2"/>
  <c r="K4796" i="2"/>
  <c r="K4797" i="2"/>
  <c r="K4798" i="2"/>
  <c r="K4799" i="2"/>
  <c r="K4800" i="2"/>
  <c r="K4801" i="2"/>
  <c r="K4802" i="2"/>
  <c r="K4803" i="2"/>
  <c r="K4804" i="2"/>
  <c r="K4805" i="2"/>
  <c r="K4806" i="2"/>
  <c r="K4807" i="2"/>
  <c r="K4808" i="2"/>
  <c r="K4809" i="2"/>
  <c r="K4810" i="2"/>
  <c r="K4811" i="2"/>
  <c r="K4812" i="2"/>
  <c r="K4813" i="2"/>
  <c r="K4814" i="2"/>
  <c r="K4815" i="2"/>
  <c r="K4816" i="2"/>
  <c r="K4817" i="2"/>
  <c r="K4818" i="2"/>
  <c r="K4819" i="2"/>
  <c r="K4820" i="2"/>
  <c r="K4821" i="2"/>
  <c r="K4822" i="2"/>
  <c r="K4823" i="2"/>
  <c r="K4824" i="2"/>
  <c r="K4825" i="2"/>
  <c r="K4826" i="2"/>
  <c r="K4827" i="2"/>
  <c r="K4828" i="2"/>
  <c r="K4829" i="2"/>
  <c r="K4830" i="2"/>
  <c r="K4831" i="2"/>
  <c r="K4832" i="2"/>
  <c r="K4833" i="2"/>
  <c r="K4834" i="2"/>
  <c r="K4835" i="2"/>
  <c r="K4836" i="2"/>
  <c r="K4837" i="2"/>
  <c r="K4838" i="2"/>
  <c r="K4839" i="2"/>
  <c r="K4840" i="2"/>
  <c r="K4841" i="2"/>
  <c r="K4842" i="2"/>
  <c r="K4843" i="2"/>
  <c r="K4844" i="2"/>
  <c r="K4845" i="2"/>
  <c r="K4846" i="2"/>
  <c r="K4847" i="2"/>
  <c r="K4848" i="2"/>
  <c r="K4849" i="2"/>
  <c r="K4850" i="2"/>
  <c r="K4851" i="2"/>
  <c r="K4852" i="2"/>
  <c r="K4853" i="2"/>
  <c r="K4854" i="2"/>
  <c r="K4855" i="2"/>
  <c r="K4856" i="2"/>
  <c r="K4857" i="2"/>
  <c r="K4858" i="2"/>
  <c r="K4859" i="2"/>
  <c r="K4860" i="2"/>
  <c r="K4861" i="2"/>
  <c r="K4862" i="2"/>
  <c r="K4863" i="2"/>
  <c r="K4864" i="2"/>
  <c r="K4865" i="2"/>
  <c r="K4866" i="2"/>
  <c r="K4867" i="2"/>
  <c r="K4868" i="2"/>
  <c r="K4869" i="2"/>
  <c r="K4870" i="2"/>
  <c r="K4871" i="2"/>
  <c r="K4872" i="2"/>
  <c r="K4873" i="2"/>
  <c r="K4874" i="2"/>
  <c r="K4875" i="2"/>
  <c r="K4876" i="2"/>
  <c r="K4877" i="2"/>
  <c r="K4878" i="2"/>
  <c r="K4879" i="2"/>
  <c r="K4880" i="2"/>
  <c r="K4881" i="2"/>
  <c r="K4882" i="2"/>
  <c r="K4883" i="2"/>
  <c r="K4884" i="2"/>
  <c r="K4885" i="2"/>
  <c r="K4886" i="2"/>
  <c r="K4887" i="2"/>
  <c r="K4888" i="2"/>
  <c r="K4889" i="2"/>
  <c r="K4890" i="2"/>
  <c r="K4891" i="2"/>
  <c r="K4892" i="2"/>
  <c r="K4893" i="2"/>
  <c r="K4894" i="2"/>
  <c r="K4895" i="2"/>
  <c r="K4896" i="2"/>
  <c r="K4897" i="2"/>
  <c r="K4898" i="2"/>
  <c r="K4899" i="2"/>
  <c r="K4900" i="2"/>
  <c r="K4901" i="2"/>
  <c r="K4902" i="2"/>
  <c r="K4903" i="2"/>
  <c r="K4904" i="2"/>
  <c r="K4905" i="2"/>
  <c r="K4906" i="2"/>
  <c r="K4907" i="2"/>
  <c r="K4908" i="2"/>
  <c r="K4909" i="2"/>
  <c r="K4910" i="2"/>
  <c r="K4911" i="2"/>
  <c r="K4912" i="2"/>
  <c r="K4913" i="2"/>
  <c r="K4914" i="2"/>
  <c r="K4915" i="2"/>
  <c r="K4916" i="2"/>
  <c r="K4917" i="2"/>
  <c r="K4918" i="2"/>
  <c r="K4919" i="2"/>
  <c r="K4920" i="2"/>
  <c r="K4921" i="2"/>
  <c r="K4922" i="2"/>
  <c r="K4923" i="2"/>
  <c r="K4924" i="2"/>
  <c r="K4925" i="2"/>
  <c r="K4926" i="2"/>
  <c r="K4927" i="2"/>
  <c r="K4928" i="2"/>
  <c r="K4929" i="2"/>
  <c r="K4930" i="2"/>
  <c r="K4931" i="2"/>
  <c r="K4932" i="2"/>
  <c r="K4933" i="2"/>
  <c r="K4934" i="2"/>
  <c r="K4935" i="2"/>
  <c r="K4936" i="2"/>
  <c r="K4937" i="2"/>
  <c r="K4938" i="2"/>
  <c r="K4939" i="2"/>
  <c r="K4940" i="2"/>
  <c r="K4941" i="2"/>
  <c r="K4942" i="2"/>
  <c r="K4943" i="2"/>
  <c r="K4944" i="2"/>
  <c r="K4945" i="2"/>
  <c r="K4946" i="2"/>
  <c r="K4947" i="2"/>
  <c r="K4948" i="2"/>
  <c r="K4949" i="2"/>
  <c r="J2" i="2"/>
  <c r="J3" i="2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J103" i="2"/>
  <c r="J104" i="2"/>
  <c r="J105" i="2"/>
  <c r="J106" i="2"/>
  <c r="J107" i="2"/>
  <c r="J108" i="2"/>
  <c r="J109" i="2"/>
  <c r="J110" i="2"/>
  <c r="J111" i="2"/>
  <c r="J112" i="2"/>
  <c r="J113" i="2"/>
  <c r="J114" i="2"/>
  <c r="J115" i="2"/>
  <c r="J116" i="2"/>
  <c r="J117" i="2"/>
  <c r="J118" i="2"/>
  <c r="J119" i="2"/>
  <c r="J120" i="2"/>
  <c r="J121" i="2"/>
  <c r="J122" i="2"/>
  <c r="J123" i="2"/>
  <c r="J124" i="2"/>
  <c r="J125" i="2"/>
  <c r="J126" i="2"/>
  <c r="J127" i="2"/>
  <c r="J128" i="2"/>
  <c r="J129" i="2"/>
  <c r="J130" i="2"/>
  <c r="J131" i="2"/>
  <c r="J132" i="2"/>
  <c r="J133" i="2"/>
  <c r="J134" i="2"/>
  <c r="J135" i="2"/>
  <c r="J136" i="2"/>
  <c r="J137" i="2"/>
  <c r="J138" i="2"/>
  <c r="J139" i="2"/>
  <c r="J140" i="2"/>
  <c r="J141" i="2"/>
  <c r="J142" i="2"/>
  <c r="J143" i="2"/>
  <c r="J144" i="2"/>
  <c r="J145" i="2"/>
  <c r="J146" i="2"/>
  <c r="J147" i="2"/>
  <c r="J148" i="2"/>
  <c r="J149" i="2"/>
  <c r="J150" i="2"/>
  <c r="J151" i="2"/>
  <c r="J152" i="2"/>
  <c r="J153" i="2"/>
  <c r="J154" i="2"/>
  <c r="J155" i="2"/>
  <c r="J156" i="2"/>
  <c r="J157" i="2"/>
  <c r="J158" i="2"/>
  <c r="J159" i="2"/>
  <c r="J160" i="2"/>
  <c r="J161" i="2"/>
  <c r="J162" i="2"/>
  <c r="J163" i="2"/>
  <c r="J164" i="2"/>
  <c r="J165" i="2"/>
  <c r="J166" i="2"/>
  <c r="J167" i="2"/>
  <c r="J168" i="2"/>
  <c r="J169" i="2"/>
  <c r="J170" i="2"/>
  <c r="J171" i="2"/>
  <c r="J172" i="2"/>
  <c r="J173" i="2"/>
  <c r="J174" i="2"/>
  <c r="J175" i="2"/>
  <c r="J176" i="2"/>
  <c r="J177" i="2"/>
  <c r="J178" i="2"/>
  <c r="J179" i="2"/>
  <c r="J180" i="2"/>
  <c r="J181" i="2"/>
  <c r="J182" i="2"/>
  <c r="J183" i="2"/>
  <c r="J184" i="2"/>
  <c r="J185" i="2"/>
  <c r="J186" i="2"/>
  <c r="J187" i="2"/>
  <c r="J188" i="2"/>
  <c r="J189" i="2"/>
  <c r="J190" i="2"/>
  <c r="J191" i="2"/>
  <c r="J192" i="2"/>
  <c r="J193" i="2"/>
  <c r="J194" i="2"/>
  <c r="J195" i="2"/>
  <c r="J196" i="2"/>
  <c r="J197" i="2"/>
  <c r="J198" i="2"/>
  <c r="J199" i="2"/>
  <c r="J200" i="2"/>
  <c r="J201" i="2"/>
  <c r="J202" i="2"/>
  <c r="J203" i="2"/>
  <c r="J204" i="2"/>
  <c r="J205" i="2"/>
  <c r="J206" i="2"/>
  <c r="J207" i="2"/>
  <c r="J208" i="2"/>
  <c r="J209" i="2"/>
  <c r="J210" i="2"/>
  <c r="J211" i="2"/>
  <c r="J212" i="2"/>
  <c r="J213" i="2"/>
  <c r="J214" i="2"/>
  <c r="J215" i="2"/>
  <c r="J216" i="2"/>
  <c r="J217" i="2"/>
  <c r="J218" i="2"/>
  <c r="J219" i="2"/>
  <c r="J220" i="2"/>
  <c r="J221" i="2"/>
  <c r="J222" i="2"/>
  <c r="J223" i="2"/>
  <c r="J224" i="2"/>
  <c r="J225" i="2"/>
  <c r="J226" i="2"/>
  <c r="J227" i="2"/>
  <c r="J228" i="2"/>
  <c r="J229" i="2"/>
  <c r="J230" i="2"/>
  <c r="J231" i="2"/>
  <c r="J232" i="2"/>
  <c r="J233" i="2"/>
  <c r="J234" i="2"/>
  <c r="J235" i="2"/>
  <c r="J236" i="2"/>
  <c r="J237" i="2"/>
  <c r="J238" i="2"/>
  <c r="J239" i="2"/>
  <c r="J240" i="2"/>
  <c r="J241" i="2"/>
  <c r="J242" i="2"/>
  <c r="J243" i="2"/>
  <c r="J244" i="2"/>
  <c r="J245" i="2"/>
  <c r="J246" i="2"/>
  <c r="J247" i="2"/>
  <c r="J248" i="2"/>
  <c r="J249" i="2"/>
  <c r="J250" i="2"/>
  <c r="J251" i="2"/>
  <c r="J252" i="2"/>
  <c r="J253" i="2"/>
  <c r="J254" i="2"/>
  <c r="J255" i="2"/>
  <c r="J256" i="2"/>
  <c r="J257" i="2"/>
  <c r="J258" i="2"/>
  <c r="J259" i="2"/>
  <c r="J260" i="2"/>
  <c r="J261" i="2"/>
  <c r="J262" i="2"/>
  <c r="J263" i="2"/>
  <c r="J264" i="2"/>
  <c r="J265" i="2"/>
  <c r="J266" i="2"/>
  <c r="J267" i="2"/>
  <c r="J268" i="2"/>
  <c r="J269" i="2"/>
  <c r="J270" i="2"/>
  <c r="J271" i="2"/>
  <c r="J272" i="2"/>
  <c r="J273" i="2"/>
  <c r="J274" i="2"/>
  <c r="J275" i="2"/>
  <c r="J276" i="2"/>
  <c r="J277" i="2"/>
  <c r="J278" i="2"/>
  <c r="J279" i="2"/>
  <c r="J280" i="2"/>
  <c r="J281" i="2"/>
  <c r="J282" i="2"/>
  <c r="J283" i="2"/>
  <c r="J284" i="2"/>
  <c r="J285" i="2"/>
  <c r="J286" i="2"/>
  <c r="J287" i="2"/>
  <c r="J288" i="2"/>
  <c r="J289" i="2"/>
  <c r="J290" i="2"/>
  <c r="J291" i="2"/>
  <c r="J292" i="2"/>
  <c r="J293" i="2"/>
  <c r="J294" i="2"/>
  <c r="J295" i="2"/>
  <c r="J296" i="2"/>
  <c r="J297" i="2"/>
  <c r="J298" i="2"/>
  <c r="J299" i="2"/>
  <c r="J300" i="2"/>
  <c r="J301" i="2"/>
  <c r="J302" i="2"/>
  <c r="J303" i="2"/>
  <c r="J304" i="2"/>
  <c r="J305" i="2"/>
  <c r="J306" i="2"/>
  <c r="J307" i="2"/>
  <c r="J308" i="2"/>
  <c r="J309" i="2"/>
  <c r="J310" i="2"/>
  <c r="J311" i="2"/>
  <c r="J312" i="2"/>
  <c r="J313" i="2"/>
  <c r="J314" i="2"/>
  <c r="J315" i="2"/>
  <c r="J316" i="2"/>
  <c r="J317" i="2"/>
  <c r="J318" i="2"/>
  <c r="J319" i="2"/>
  <c r="J320" i="2"/>
  <c r="J321" i="2"/>
  <c r="J322" i="2"/>
  <c r="J323" i="2"/>
  <c r="J324" i="2"/>
  <c r="J325" i="2"/>
  <c r="J326" i="2"/>
  <c r="J327" i="2"/>
  <c r="J328" i="2"/>
  <c r="J329" i="2"/>
  <c r="J330" i="2"/>
  <c r="J331" i="2"/>
  <c r="J332" i="2"/>
  <c r="J333" i="2"/>
  <c r="J334" i="2"/>
  <c r="J335" i="2"/>
  <c r="J336" i="2"/>
  <c r="J337" i="2"/>
  <c r="J338" i="2"/>
  <c r="J339" i="2"/>
  <c r="J340" i="2"/>
  <c r="J341" i="2"/>
  <c r="J342" i="2"/>
  <c r="J343" i="2"/>
  <c r="J344" i="2"/>
  <c r="J345" i="2"/>
  <c r="J346" i="2"/>
  <c r="J347" i="2"/>
  <c r="J348" i="2"/>
  <c r="J349" i="2"/>
  <c r="J350" i="2"/>
  <c r="J351" i="2"/>
  <c r="J352" i="2"/>
  <c r="J353" i="2"/>
  <c r="J354" i="2"/>
  <c r="J355" i="2"/>
  <c r="J356" i="2"/>
  <c r="J357" i="2"/>
  <c r="J358" i="2"/>
  <c r="J359" i="2"/>
  <c r="J360" i="2"/>
  <c r="J361" i="2"/>
  <c r="J362" i="2"/>
  <c r="J363" i="2"/>
  <c r="J364" i="2"/>
  <c r="J365" i="2"/>
  <c r="J366" i="2"/>
  <c r="J367" i="2"/>
  <c r="J368" i="2"/>
  <c r="J369" i="2"/>
  <c r="J370" i="2"/>
  <c r="J371" i="2"/>
  <c r="J372" i="2"/>
  <c r="J373" i="2"/>
  <c r="J374" i="2"/>
  <c r="J375" i="2"/>
  <c r="J376" i="2"/>
  <c r="J377" i="2"/>
  <c r="J378" i="2"/>
  <c r="J379" i="2"/>
  <c r="J380" i="2"/>
  <c r="J381" i="2"/>
  <c r="J382" i="2"/>
  <c r="J383" i="2"/>
  <c r="J384" i="2"/>
  <c r="J385" i="2"/>
  <c r="J386" i="2"/>
  <c r="J387" i="2"/>
  <c r="J388" i="2"/>
  <c r="J389" i="2"/>
  <c r="J390" i="2"/>
  <c r="J391" i="2"/>
  <c r="J392" i="2"/>
  <c r="J393" i="2"/>
  <c r="J394" i="2"/>
  <c r="J395" i="2"/>
  <c r="J396" i="2"/>
  <c r="J397" i="2"/>
  <c r="J398" i="2"/>
  <c r="J399" i="2"/>
  <c r="J400" i="2"/>
  <c r="J401" i="2"/>
  <c r="J402" i="2"/>
  <c r="J403" i="2"/>
  <c r="J404" i="2"/>
  <c r="J405" i="2"/>
  <c r="J406" i="2"/>
  <c r="J407" i="2"/>
  <c r="J408" i="2"/>
  <c r="J409" i="2"/>
  <c r="J410" i="2"/>
  <c r="J411" i="2"/>
  <c r="J412" i="2"/>
  <c r="J413" i="2"/>
  <c r="J414" i="2"/>
  <c r="J415" i="2"/>
  <c r="J416" i="2"/>
  <c r="J417" i="2"/>
  <c r="J418" i="2"/>
  <c r="J419" i="2"/>
  <c r="J420" i="2"/>
  <c r="J421" i="2"/>
  <c r="J422" i="2"/>
  <c r="J423" i="2"/>
  <c r="J424" i="2"/>
  <c r="J425" i="2"/>
  <c r="J426" i="2"/>
  <c r="J427" i="2"/>
  <c r="J428" i="2"/>
  <c r="J429" i="2"/>
  <c r="J430" i="2"/>
  <c r="J431" i="2"/>
  <c r="J432" i="2"/>
  <c r="J433" i="2"/>
  <c r="J434" i="2"/>
  <c r="J435" i="2"/>
  <c r="J436" i="2"/>
  <c r="J437" i="2"/>
  <c r="J438" i="2"/>
  <c r="J439" i="2"/>
  <c r="J440" i="2"/>
  <c r="J441" i="2"/>
  <c r="J442" i="2"/>
  <c r="J443" i="2"/>
  <c r="J444" i="2"/>
  <c r="J445" i="2"/>
  <c r="J446" i="2"/>
  <c r="J447" i="2"/>
  <c r="J448" i="2"/>
  <c r="J449" i="2"/>
  <c r="J450" i="2"/>
  <c r="J451" i="2"/>
  <c r="J452" i="2"/>
  <c r="J453" i="2"/>
  <c r="J454" i="2"/>
  <c r="J455" i="2"/>
  <c r="J456" i="2"/>
  <c r="J457" i="2"/>
  <c r="J458" i="2"/>
  <c r="J459" i="2"/>
  <c r="J460" i="2"/>
  <c r="J461" i="2"/>
  <c r="J462" i="2"/>
  <c r="J463" i="2"/>
  <c r="J464" i="2"/>
  <c r="J465" i="2"/>
  <c r="J466" i="2"/>
  <c r="J467" i="2"/>
  <c r="J468" i="2"/>
  <c r="J469" i="2"/>
  <c r="J470" i="2"/>
  <c r="J471" i="2"/>
  <c r="J472" i="2"/>
  <c r="J473" i="2"/>
  <c r="J474" i="2"/>
  <c r="J475" i="2"/>
  <c r="J476" i="2"/>
  <c r="J477" i="2"/>
  <c r="J478" i="2"/>
  <c r="J479" i="2"/>
  <c r="J480" i="2"/>
  <c r="J481" i="2"/>
  <c r="J482" i="2"/>
  <c r="J483" i="2"/>
  <c r="J484" i="2"/>
  <c r="J485" i="2"/>
  <c r="J486" i="2"/>
  <c r="J487" i="2"/>
  <c r="J488" i="2"/>
  <c r="J489" i="2"/>
  <c r="J490" i="2"/>
  <c r="J491" i="2"/>
  <c r="J492" i="2"/>
  <c r="J493" i="2"/>
  <c r="J494" i="2"/>
  <c r="J495" i="2"/>
  <c r="J496" i="2"/>
  <c r="J497" i="2"/>
  <c r="J498" i="2"/>
  <c r="J499" i="2"/>
  <c r="J500" i="2"/>
  <c r="J501" i="2"/>
  <c r="J502" i="2"/>
  <c r="J503" i="2"/>
  <c r="J504" i="2"/>
  <c r="J505" i="2"/>
  <c r="J506" i="2"/>
  <c r="J507" i="2"/>
  <c r="J508" i="2"/>
  <c r="J509" i="2"/>
  <c r="J510" i="2"/>
  <c r="J511" i="2"/>
  <c r="J512" i="2"/>
  <c r="J513" i="2"/>
  <c r="J514" i="2"/>
  <c r="J515" i="2"/>
  <c r="J516" i="2"/>
  <c r="J517" i="2"/>
  <c r="J518" i="2"/>
  <c r="J519" i="2"/>
  <c r="J520" i="2"/>
  <c r="J521" i="2"/>
  <c r="J522" i="2"/>
  <c r="J523" i="2"/>
  <c r="J524" i="2"/>
  <c r="J525" i="2"/>
  <c r="J526" i="2"/>
  <c r="J527" i="2"/>
  <c r="J528" i="2"/>
  <c r="J529" i="2"/>
  <c r="J530" i="2"/>
  <c r="J531" i="2"/>
  <c r="J532" i="2"/>
  <c r="J533" i="2"/>
  <c r="J534" i="2"/>
  <c r="J535" i="2"/>
  <c r="J536" i="2"/>
  <c r="J537" i="2"/>
  <c r="J538" i="2"/>
  <c r="J539" i="2"/>
  <c r="J540" i="2"/>
  <c r="J541" i="2"/>
  <c r="J542" i="2"/>
  <c r="J543" i="2"/>
  <c r="J544" i="2"/>
  <c r="J545" i="2"/>
  <c r="J546" i="2"/>
  <c r="J547" i="2"/>
  <c r="J548" i="2"/>
  <c r="J549" i="2"/>
  <c r="J550" i="2"/>
  <c r="J551" i="2"/>
  <c r="J552" i="2"/>
  <c r="J553" i="2"/>
  <c r="J554" i="2"/>
  <c r="J555" i="2"/>
  <c r="J556" i="2"/>
  <c r="J557" i="2"/>
  <c r="J558" i="2"/>
  <c r="J559" i="2"/>
  <c r="J560" i="2"/>
  <c r="J561" i="2"/>
  <c r="J562" i="2"/>
  <c r="J563" i="2"/>
  <c r="J564" i="2"/>
  <c r="J565" i="2"/>
  <c r="J566" i="2"/>
  <c r="J567" i="2"/>
  <c r="J568" i="2"/>
  <c r="J569" i="2"/>
  <c r="J570" i="2"/>
  <c r="J571" i="2"/>
  <c r="J572" i="2"/>
  <c r="J573" i="2"/>
  <c r="J574" i="2"/>
  <c r="J575" i="2"/>
  <c r="J576" i="2"/>
  <c r="J577" i="2"/>
  <c r="J578" i="2"/>
  <c r="J579" i="2"/>
  <c r="J580" i="2"/>
  <c r="J581" i="2"/>
  <c r="J582" i="2"/>
  <c r="J583" i="2"/>
  <c r="J584" i="2"/>
  <c r="J585" i="2"/>
  <c r="J586" i="2"/>
  <c r="J587" i="2"/>
  <c r="J588" i="2"/>
  <c r="J589" i="2"/>
  <c r="J590" i="2"/>
  <c r="J591" i="2"/>
  <c r="J592" i="2"/>
  <c r="J593" i="2"/>
  <c r="J594" i="2"/>
  <c r="J595" i="2"/>
  <c r="J596" i="2"/>
  <c r="J597" i="2"/>
  <c r="J598" i="2"/>
  <c r="J599" i="2"/>
  <c r="J600" i="2"/>
  <c r="J601" i="2"/>
  <c r="J602" i="2"/>
  <c r="J603" i="2"/>
  <c r="J604" i="2"/>
  <c r="J605" i="2"/>
  <c r="J606" i="2"/>
  <c r="J607" i="2"/>
  <c r="J608" i="2"/>
  <c r="J609" i="2"/>
  <c r="J610" i="2"/>
  <c r="J611" i="2"/>
  <c r="J612" i="2"/>
  <c r="J613" i="2"/>
  <c r="J614" i="2"/>
  <c r="J615" i="2"/>
  <c r="J616" i="2"/>
  <c r="J617" i="2"/>
  <c r="J618" i="2"/>
  <c r="J619" i="2"/>
  <c r="J620" i="2"/>
  <c r="J621" i="2"/>
  <c r="J622" i="2"/>
  <c r="J623" i="2"/>
  <c r="J624" i="2"/>
  <c r="J625" i="2"/>
  <c r="J626" i="2"/>
  <c r="J627" i="2"/>
  <c r="J628" i="2"/>
  <c r="J629" i="2"/>
  <c r="J630" i="2"/>
  <c r="J631" i="2"/>
  <c r="J632" i="2"/>
  <c r="J633" i="2"/>
  <c r="J634" i="2"/>
  <c r="J635" i="2"/>
  <c r="J636" i="2"/>
  <c r="J637" i="2"/>
  <c r="J638" i="2"/>
  <c r="J639" i="2"/>
  <c r="J640" i="2"/>
  <c r="J641" i="2"/>
  <c r="J642" i="2"/>
  <c r="J643" i="2"/>
  <c r="J644" i="2"/>
  <c r="J645" i="2"/>
  <c r="J646" i="2"/>
  <c r="J647" i="2"/>
  <c r="J648" i="2"/>
  <c r="J649" i="2"/>
  <c r="J650" i="2"/>
  <c r="J651" i="2"/>
  <c r="J652" i="2"/>
  <c r="J653" i="2"/>
  <c r="J654" i="2"/>
  <c r="J655" i="2"/>
  <c r="J656" i="2"/>
  <c r="J657" i="2"/>
  <c r="J658" i="2"/>
  <c r="J659" i="2"/>
  <c r="J660" i="2"/>
  <c r="J661" i="2"/>
  <c r="J662" i="2"/>
  <c r="J663" i="2"/>
  <c r="J664" i="2"/>
  <c r="J665" i="2"/>
  <c r="J666" i="2"/>
  <c r="J667" i="2"/>
  <c r="J668" i="2"/>
  <c r="J669" i="2"/>
  <c r="J670" i="2"/>
  <c r="J671" i="2"/>
  <c r="J672" i="2"/>
  <c r="J673" i="2"/>
  <c r="J674" i="2"/>
  <c r="J675" i="2"/>
  <c r="J676" i="2"/>
  <c r="J677" i="2"/>
  <c r="J678" i="2"/>
  <c r="J679" i="2"/>
  <c r="J680" i="2"/>
  <c r="J681" i="2"/>
  <c r="J682" i="2"/>
  <c r="J683" i="2"/>
  <c r="J684" i="2"/>
  <c r="J685" i="2"/>
  <c r="J686" i="2"/>
  <c r="J687" i="2"/>
  <c r="J688" i="2"/>
  <c r="J689" i="2"/>
  <c r="J690" i="2"/>
  <c r="J691" i="2"/>
  <c r="J692" i="2"/>
  <c r="J693" i="2"/>
  <c r="J694" i="2"/>
  <c r="J695" i="2"/>
  <c r="J696" i="2"/>
  <c r="J697" i="2"/>
  <c r="J698" i="2"/>
  <c r="J699" i="2"/>
  <c r="J700" i="2"/>
  <c r="J701" i="2"/>
  <c r="J702" i="2"/>
  <c r="J703" i="2"/>
  <c r="J704" i="2"/>
  <c r="J705" i="2"/>
  <c r="J706" i="2"/>
  <c r="J707" i="2"/>
  <c r="J708" i="2"/>
  <c r="J709" i="2"/>
  <c r="J710" i="2"/>
  <c r="J711" i="2"/>
  <c r="J712" i="2"/>
  <c r="J713" i="2"/>
  <c r="J714" i="2"/>
  <c r="J715" i="2"/>
  <c r="J716" i="2"/>
  <c r="J717" i="2"/>
  <c r="J718" i="2"/>
  <c r="J719" i="2"/>
  <c r="J720" i="2"/>
  <c r="J721" i="2"/>
  <c r="J722" i="2"/>
  <c r="J723" i="2"/>
  <c r="J724" i="2"/>
  <c r="J725" i="2"/>
  <c r="J726" i="2"/>
  <c r="J727" i="2"/>
  <c r="J728" i="2"/>
  <c r="J729" i="2"/>
  <c r="J730" i="2"/>
  <c r="J731" i="2"/>
  <c r="J732" i="2"/>
  <c r="J733" i="2"/>
  <c r="J734" i="2"/>
  <c r="J735" i="2"/>
  <c r="J736" i="2"/>
  <c r="J737" i="2"/>
  <c r="J738" i="2"/>
  <c r="J739" i="2"/>
  <c r="J740" i="2"/>
  <c r="J741" i="2"/>
  <c r="J742" i="2"/>
  <c r="J743" i="2"/>
  <c r="J744" i="2"/>
  <c r="J745" i="2"/>
  <c r="J746" i="2"/>
  <c r="J747" i="2"/>
  <c r="J748" i="2"/>
  <c r="J749" i="2"/>
  <c r="J750" i="2"/>
  <c r="J751" i="2"/>
  <c r="J752" i="2"/>
  <c r="J753" i="2"/>
  <c r="J754" i="2"/>
  <c r="J755" i="2"/>
  <c r="J756" i="2"/>
  <c r="J757" i="2"/>
  <c r="J758" i="2"/>
  <c r="J759" i="2"/>
  <c r="J760" i="2"/>
  <c r="J761" i="2"/>
  <c r="J762" i="2"/>
  <c r="J763" i="2"/>
  <c r="J764" i="2"/>
  <c r="J765" i="2"/>
  <c r="J766" i="2"/>
  <c r="J767" i="2"/>
  <c r="J768" i="2"/>
  <c r="J769" i="2"/>
  <c r="J770" i="2"/>
  <c r="J771" i="2"/>
  <c r="J772" i="2"/>
  <c r="J773" i="2"/>
  <c r="J774" i="2"/>
  <c r="J775" i="2"/>
  <c r="J776" i="2"/>
  <c r="J777" i="2"/>
  <c r="J778" i="2"/>
  <c r="J779" i="2"/>
  <c r="J780" i="2"/>
  <c r="J781" i="2"/>
  <c r="J782" i="2"/>
  <c r="J783" i="2"/>
  <c r="J784" i="2"/>
  <c r="J785" i="2"/>
  <c r="J786" i="2"/>
  <c r="J787" i="2"/>
  <c r="J788" i="2"/>
  <c r="J789" i="2"/>
  <c r="J790" i="2"/>
  <c r="J791" i="2"/>
  <c r="J792" i="2"/>
  <c r="J793" i="2"/>
  <c r="J794" i="2"/>
  <c r="J795" i="2"/>
  <c r="J796" i="2"/>
  <c r="J797" i="2"/>
  <c r="J798" i="2"/>
  <c r="J799" i="2"/>
  <c r="J800" i="2"/>
  <c r="J801" i="2"/>
  <c r="J802" i="2"/>
  <c r="J803" i="2"/>
  <c r="J804" i="2"/>
  <c r="J805" i="2"/>
  <c r="J806" i="2"/>
  <c r="J807" i="2"/>
  <c r="J808" i="2"/>
  <c r="J809" i="2"/>
  <c r="J810" i="2"/>
  <c r="J811" i="2"/>
  <c r="J812" i="2"/>
  <c r="J813" i="2"/>
  <c r="J814" i="2"/>
  <c r="J815" i="2"/>
  <c r="J816" i="2"/>
  <c r="J817" i="2"/>
  <c r="J818" i="2"/>
  <c r="J819" i="2"/>
  <c r="J820" i="2"/>
  <c r="J821" i="2"/>
  <c r="J822" i="2"/>
  <c r="J823" i="2"/>
  <c r="J824" i="2"/>
  <c r="J825" i="2"/>
  <c r="J826" i="2"/>
  <c r="J827" i="2"/>
  <c r="J828" i="2"/>
  <c r="J829" i="2"/>
  <c r="J830" i="2"/>
  <c r="J831" i="2"/>
  <c r="J832" i="2"/>
  <c r="J833" i="2"/>
  <c r="J834" i="2"/>
  <c r="J835" i="2"/>
  <c r="J836" i="2"/>
  <c r="J837" i="2"/>
  <c r="J838" i="2"/>
  <c r="J839" i="2"/>
  <c r="J840" i="2"/>
  <c r="J841" i="2"/>
  <c r="J842" i="2"/>
  <c r="J843" i="2"/>
  <c r="J844" i="2"/>
  <c r="J845" i="2"/>
  <c r="J846" i="2"/>
  <c r="J847" i="2"/>
  <c r="J848" i="2"/>
  <c r="J849" i="2"/>
  <c r="J850" i="2"/>
  <c r="J851" i="2"/>
  <c r="J852" i="2"/>
  <c r="J853" i="2"/>
  <c r="J854" i="2"/>
  <c r="J855" i="2"/>
  <c r="J856" i="2"/>
  <c r="J857" i="2"/>
  <c r="J858" i="2"/>
  <c r="J859" i="2"/>
  <c r="J860" i="2"/>
  <c r="J861" i="2"/>
  <c r="J862" i="2"/>
  <c r="J863" i="2"/>
  <c r="J864" i="2"/>
  <c r="J865" i="2"/>
  <c r="J866" i="2"/>
  <c r="J867" i="2"/>
  <c r="J868" i="2"/>
  <c r="J869" i="2"/>
  <c r="J870" i="2"/>
  <c r="J871" i="2"/>
  <c r="J872" i="2"/>
  <c r="J873" i="2"/>
  <c r="J874" i="2"/>
  <c r="J875" i="2"/>
  <c r="J876" i="2"/>
  <c r="J877" i="2"/>
  <c r="J878" i="2"/>
  <c r="J879" i="2"/>
  <c r="J880" i="2"/>
  <c r="J881" i="2"/>
  <c r="J882" i="2"/>
  <c r="J883" i="2"/>
  <c r="J884" i="2"/>
  <c r="J885" i="2"/>
  <c r="J886" i="2"/>
  <c r="J887" i="2"/>
  <c r="J888" i="2"/>
  <c r="J889" i="2"/>
  <c r="J890" i="2"/>
  <c r="J891" i="2"/>
  <c r="J892" i="2"/>
  <c r="J893" i="2"/>
  <c r="J894" i="2"/>
  <c r="J895" i="2"/>
  <c r="J896" i="2"/>
  <c r="J897" i="2"/>
  <c r="J898" i="2"/>
  <c r="J899" i="2"/>
  <c r="J900" i="2"/>
  <c r="J901" i="2"/>
  <c r="J902" i="2"/>
  <c r="J903" i="2"/>
  <c r="J904" i="2"/>
  <c r="J905" i="2"/>
  <c r="J906" i="2"/>
  <c r="J907" i="2"/>
  <c r="J908" i="2"/>
  <c r="J909" i="2"/>
  <c r="J910" i="2"/>
  <c r="J911" i="2"/>
  <c r="J912" i="2"/>
  <c r="J913" i="2"/>
  <c r="J914" i="2"/>
  <c r="J915" i="2"/>
  <c r="J916" i="2"/>
  <c r="J917" i="2"/>
  <c r="J918" i="2"/>
  <c r="J919" i="2"/>
  <c r="J920" i="2"/>
  <c r="J921" i="2"/>
  <c r="J922" i="2"/>
  <c r="J923" i="2"/>
  <c r="J924" i="2"/>
  <c r="J925" i="2"/>
  <c r="J926" i="2"/>
  <c r="J927" i="2"/>
  <c r="J928" i="2"/>
  <c r="J929" i="2"/>
  <c r="J930" i="2"/>
  <c r="J931" i="2"/>
  <c r="J932" i="2"/>
  <c r="J933" i="2"/>
  <c r="J934" i="2"/>
  <c r="J935" i="2"/>
  <c r="J936" i="2"/>
  <c r="J937" i="2"/>
  <c r="J938" i="2"/>
  <c r="J939" i="2"/>
  <c r="J940" i="2"/>
  <c r="J941" i="2"/>
  <c r="J942" i="2"/>
  <c r="J943" i="2"/>
  <c r="J944" i="2"/>
  <c r="J945" i="2"/>
  <c r="J946" i="2"/>
  <c r="J947" i="2"/>
  <c r="J948" i="2"/>
  <c r="J949" i="2"/>
  <c r="J950" i="2"/>
  <c r="J951" i="2"/>
  <c r="J952" i="2"/>
  <c r="J953" i="2"/>
  <c r="J954" i="2"/>
  <c r="J955" i="2"/>
  <c r="J956" i="2"/>
  <c r="J957" i="2"/>
  <c r="J958" i="2"/>
  <c r="J959" i="2"/>
  <c r="J960" i="2"/>
  <c r="J961" i="2"/>
  <c r="J962" i="2"/>
  <c r="J963" i="2"/>
  <c r="J964" i="2"/>
  <c r="J965" i="2"/>
  <c r="J966" i="2"/>
  <c r="J967" i="2"/>
  <c r="J968" i="2"/>
  <c r="J969" i="2"/>
  <c r="J970" i="2"/>
  <c r="J971" i="2"/>
  <c r="J972" i="2"/>
  <c r="J973" i="2"/>
  <c r="J974" i="2"/>
  <c r="J975" i="2"/>
  <c r="J976" i="2"/>
  <c r="J977" i="2"/>
  <c r="J978" i="2"/>
  <c r="J979" i="2"/>
  <c r="J980" i="2"/>
  <c r="J981" i="2"/>
  <c r="J982" i="2"/>
  <c r="J983" i="2"/>
  <c r="J984" i="2"/>
  <c r="J985" i="2"/>
  <c r="J986" i="2"/>
  <c r="J987" i="2"/>
  <c r="J988" i="2"/>
  <c r="J989" i="2"/>
  <c r="J990" i="2"/>
  <c r="J991" i="2"/>
  <c r="J992" i="2"/>
  <c r="J993" i="2"/>
  <c r="J994" i="2"/>
  <c r="J995" i="2"/>
  <c r="J996" i="2"/>
  <c r="J997" i="2"/>
  <c r="J998" i="2"/>
  <c r="J999" i="2"/>
  <c r="J1000" i="2"/>
  <c r="J1001" i="2"/>
  <c r="J1002" i="2"/>
  <c r="J1003" i="2"/>
  <c r="J1004" i="2"/>
  <c r="J1005" i="2"/>
  <c r="J1006" i="2"/>
  <c r="J1007" i="2"/>
  <c r="J1008" i="2"/>
  <c r="J1009" i="2"/>
  <c r="J1010" i="2"/>
  <c r="J1011" i="2"/>
  <c r="J1012" i="2"/>
  <c r="J1013" i="2"/>
  <c r="J1014" i="2"/>
  <c r="J1015" i="2"/>
  <c r="J1016" i="2"/>
  <c r="J1017" i="2"/>
  <c r="J1018" i="2"/>
  <c r="J1019" i="2"/>
  <c r="J1020" i="2"/>
  <c r="J1021" i="2"/>
  <c r="J1022" i="2"/>
  <c r="J1023" i="2"/>
  <c r="J1024" i="2"/>
  <c r="J1025" i="2"/>
  <c r="J1026" i="2"/>
  <c r="J1027" i="2"/>
  <c r="J1028" i="2"/>
  <c r="J1029" i="2"/>
  <c r="J1030" i="2"/>
  <c r="J1031" i="2"/>
  <c r="J1032" i="2"/>
  <c r="J1033" i="2"/>
  <c r="J1034" i="2"/>
  <c r="J1035" i="2"/>
  <c r="J1036" i="2"/>
  <c r="J1037" i="2"/>
  <c r="J1038" i="2"/>
  <c r="J1039" i="2"/>
  <c r="J1040" i="2"/>
  <c r="J1041" i="2"/>
  <c r="J1042" i="2"/>
  <c r="J1043" i="2"/>
  <c r="J1044" i="2"/>
  <c r="J1045" i="2"/>
  <c r="J1046" i="2"/>
  <c r="J1047" i="2"/>
  <c r="J1048" i="2"/>
  <c r="J1049" i="2"/>
  <c r="J1050" i="2"/>
  <c r="J1051" i="2"/>
  <c r="J1052" i="2"/>
  <c r="J1053" i="2"/>
  <c r="J1054" i="2"/>
  <c r="J1055" i="2"/>
  <c r="J1056" i="2"/>
  <c r="J1057" i="2"/>
  <c r="J1058" i="2"/>
  <c r="J1059" i="2"/>
  <c r="J1060" i="2"/>
  <c r="J1061" i="2"/>
  <c r="J1062" i="2"/>
  <c r="J1063" i="2"/>
  <c r="J1064" i="2"/>
  <c r="J1065" i="2"/>
  <c r="J1066" i="2"/>
  <c r="J1067" i="2"/>
  <c r="J1068" i="2"/>
  <c r="J1069" i="2"/>
  <c r="J1070" i="2"/>
  <c r="J1071" i="2"/>
  <c r="J1072" i="2"/>
  <c r="J1073" i="2"/>
  <c r="J1074" i="2"/>
  <c r="J1075" i="2"/>
  <c r="J1076" i="2"/>
  <c r="J1077" i="2"/>
  <c r="J1078" i="2"/>
  <c r="J1079" i="2"/>
  <c r="J1080" i="2"/>
  <c r="J1081" i="2"/>
  <c r="J1082" i="2"/>
  <c r="J1083" i="2"/>
  <c r="J1084" i="2"/>
  <c r="J1085" i="2"/>
  <c r="J1086" i="2"/>
  <c r="J1087" i="2"/>
  <c r="J1088" i="2"/>
  <c r="J1089" i="2"/>
  <c r="J1090" i="2"/>
  <c r="J1091" i="2"/>
  <c r="J1092" i="2"/>
  <c r="J1093" i="2"/>
  <c r="J1094" i="2"/>
  <c r="J1095" i="2"/>
  <c r="J1096" i="2"/>
  <c r="J1097" i="2"/>
  <c r="J1098" i="2"/>
  <c r="J1099" i="2"/>
  <c r="J1100" i="2"/>
  <c r="J1101" i="2"/>
  <c r="J1102" i="2"/>
  <c r="J1103" i="2"/>
  <c r="J1104" i="2"/>
  <c r="J1105" i="2"/>
  <c r="J1106" i="2"/>
  <c r="J1107" i="2"/>
  <c r="J1108" i="2"/>
  <c r="J1109" i="2"/>
  <c r="J1110" i="2"/>
  <c r="J1111" i="2"/>
  <c r="J1112" i="2"/>
  <c r="J1113" i="2"/>
  <c r="J1114" i="2"/>
  <c r="J1115" i="2"/>
  <c r="J1116" i="2"/>
  <c r="J1117" i="2"/>
  <c r="J1118" i="2"/>
  <c r="J1119" i="2"/>
  <c r="J1120" i="2"/>
  <c r="J1121" i="2"/>
  <c r="J1122" i="2"/>
  <c r="J1123" i="2"/>
  <c r="J1124" i="2"/>
  <c r="J1125" i="2"/>
  <c r="J1126" i="2"/>
  <c r="J1127" i="2"/>
  <c r="J1128" i="2"/>
  <c r="J1129" i="2"/>
  <c r="J1130" i="2"/>
  <c r="J1131" i="2"/>
  <c r="J1132" i="2"/>
  <c r="J1133" i="2"/>
  <c r="J1134" i="2"/>
  <c r="J1135" i="2"/>
  <c r="J1136" i="2"/>
  <c r="J1137" i="2"/>
  <c r="J1138" i="2"/>
  <c r="J1139" i="2"/>
  <c r="J1140" i="2"/>
  <c r="J1141" i="2"/>
  <c r="J1142" i="2"/>
  <c r="J1143" i="2"/>
  <c r="J1144" i="2"/>
  <c r="J1145" i="2"/>
  <c r="J1146" i="2"/>
  <c r="J1147" i="2"/>
  <c r="J1148" i="2"/>
  <c r="J1149" i="2"/>
  <c r="J1150" i="2"/>
  <c r="J1151" i="2"/>
  <c r="J1152" i="2"/>
  <c r="J1153" i="2"/>
  <c r="J1154" i="2"/>
  <c r="J1155" i="2"/>
  <c r="J1156" i="2"/>
  <c r="J1157" i="2"/>
  <c r="J1158" i="2"/>
  <c r="J1159" i="2"/>
  <c r="J1160" i="2"/>
  <c r="J1161" i="2"/>
  <c r="J1162" i="2"/>
  <c r="J1163" i="2"/>
  <c r="J1164" i="2"/>
  <c r="J1165" i="2"/>
  <c r="J1166" i="2"/>
  <c r="J1167" i="2"/>
  <c r="J1168" i="2"/>
  <c r="J1169" i="2"/>
  <c r="J1170" i="2"/>
  <c r="J1171" i="2"/>
  <c r="J1172" i="2"/>
  <c r="J1173" i="2"/>
  <c r="J1174" i="2"/>
  <c r="J1175" i="2"/>
  <c r="J1176" i="2"/>
  <c r="J1177" i="2"/>
  <c r="J1178" i="2"/>
  <c r="J1179" i="2"/>
  <c r="J1180" i="2"/>
  <c r="J1181" i="2"/>
  <c r="J1182" i="2"/>
  <c r="J1183" i="2"/>
  <c r="J1184" i="2"/>
  <c r="J1185" i="2"/>
  <c r="J1186" i="2"/>
  <c r="J1187" i="2"/>
  <c r="J1188" i="2"/>
  <c r="J1189" i="2"/>
  <c r="J1190" i="2"/>
  <c r="J1191" i="2"/>
  <c r="J1192" i="2"/>
  <c r="J1193" i="2"/>
  <c r="J1194" i="2"/>
  <c r="J1195" i="2"/>
  <c r="J1196" i="2"/>
  <c r="J1197" i="2"/>
  <c r="J1198" i="2"/>
  <c r="J1199" i="2"/>
  <c r="J1200" i="2"/>
  <c r="J1201" i="2"/>
  <c r="J1202" i="2"/>
  <c r="J1203" i="2"/>
  <c r="J1204" i="2"/>
  <c r="J1205" i="2"/>
  <c r="J1206" i="2"/>
  <c r="J1207" i="2"/>
  <c r="J1208" i="2"/>
  <c r="J1209" i="2"/>
  <c r="J1210" i="2"/>
  <c r="J1211" i="2"/>
  <c r="J1212" i="2"/>
  <c r="J1213" i="2"/>
  <c r="J1214" i="2"/>
  <c r="J1215" i="2"/>
  <c r="J1216" i="2"/>
  <c r="J1217" i="2"/>
  <c r="J1218" i="2"/>
  <c r="J1219" i="2"/>
  <c r="J1220" i="2"/>
  <c r="J1221" i="2"/>
  <c r="J1222" i="2"/>
  <c r="J1223" i="2"/>
  <c r="J1224" i="2"/>
  <c r="J1225" i="2"/>
  <c r="J1226" i="2"/>
  <c r="J1227" i="2"/>
  <c r="J1228" i="2"/>
  <c r="J1229" i="2"/>
  <c r="J1230" i="2"/>
  <c r="J1231" i="2"/>
  <c r="J1232" i="2"/>
  <c r="J1233" i="2"/>
  <c r="J1234" i="2"/>
  <c r="J1235" i="2"/>
  <c r="J1236" i="2"/>
  <c r="J1237" i="2"/>
  <c r="J1238" i="2"/>
  <c r="J1239" i="2"/>
  <c r="J1240" i="2"/>
  <c r="J1241" i="2"/>
  <c r="J1242" i="2"/>
  <c r="J1243" i="2"/>
  <c r="J1244" i="2"/>
  <c r="J1245" i="2"/>
  <c r="J1246" i="2"/>
  <c r="J1247" i="2"/>
  <c r="J1248" i="2"/>
  <c r="J1249" i="2"/>
  <c r="J1250" i="2"/>
  <c r="J1251" i="2"/>
  <c r="J1252" i="2"/>
  <c r="J1253" i="2"/>
  <c r="J1254" i="2"/>
  <c r="J1255" i="2"/>
  <c r="J1256" i="2"/>
  <c r="J1257" i="2"/>
  <c r="J1258" i="2"/>
  <c r="J1259" i="2"/>
  <c r="J1260" i="2"/>
  <c r="J1261" i="2"/>
  <c r="J1262" i="2"/>
  <c r="J1263" i="2"/>
  <c r="J1264" i="2"/>
  <c r="J1265" i="2"/>
  <c r="J1266" i="2"/>
  <c r="J1267" i="2"/>
  <c r="J1268" i="2"/>
  <c r="J1269" i="2"/>
  <c r="J1270" i="2"/>
  <c r="J1271" i="2"/>
  <c r="J1272" i="2"/>
  <c r="J1273" i="2"/>
  <c r="J1274" i="2"/>
  <c r="J1275" i="2"/>
  <c r="J1276" i="2"/>
  <c r="J1277" i="2"/>
  <c r="J1278" i="2"/>
  <c r="J1279" i="2"/>
  <c r="J1280" i="2"/>
  <c r="J1281" i="2"/>
  <c r="J1282" i="2"/>
  <c r="J1283" i="2"/>
  <c r="J1284" i="2"/>
  <c r="J1285" i="2"/>
  <c r="J1286" i="2"/>
  <c r="J1287" i="2"/>
  <c r="J1288" i="2"/>
  <c r="J1289" i="2"/>
  <c r="J1290" i="2"/>
  <c r="J1291" i="2"/>
  <c r="J1292" i="2"/>
  <c r="J1293" i="2"/>
  <c r="J1294" i="2"/>
  <c r="J1295" i="2"/>
  <c r="J1296" i="2"/>
  <c r="J1297" i="2"/>
  <c r="J1298" i="2"/>
  <c r="J1299" i="2"/>
  <c r="J1300" i="2"/>
  <c r="J1301" i="2"/>
  <c r="J1302" i="2"/>
  <c r="J1303" i="2"/>
  <c r="J1304" i="2"/>
  <c r="J1305" i="2"/>
  <c r="J1306" i="2"/>
  <c r="J1307" i="2"/>
  <c r="J1308" i="2"/>
  <c r="J1309" i="2"/>
  <c r="J1310" i="2"/>
  <c r="J1311" i="2"/>
  <c r="J1312" i="2"/>
  <c r="J1313" i="2"/>
  <c r="J1314" i="2"/>
  <c r="J1315" i="2"/>
  <c r="J1316" i="2"/>
  <c r="J1317" i="2"/>
  <c r="J1318" i="2"/>
  <c r="J1319" i="2"/>
  <c r="J1320" i="2"/>
  <c r="J1321" i="2"/>
  <c r="J1322" i="2"/>
  <c r="J1323" i="2"/>
  <c r="J1324" i="2"/>
  <c r="J1325" i="2"/>
  <c r="J1326" i="2"/>
  <c r="J1327" i="2"/>
  <c r="J1328" i="2"/>
  <c r="J1329" i="2"/>
  <c r="J1330" i="2"/>
  <c r="J1331" i="2"/>
  <c r="J1332" i="2"/>
  <c r="J1333" i="2"/>
  <c r="J1334" i="2"/>
  <c r="J1335" i="2"/>
  <c r="J1336" i="2"/>
  <c r="J1337" i="2"/>
  <c r="J1338" i="2"/>
  <c r="J1339" i="2"/>
  <c r="J1340" i="2"/>
  <c r="J1341" i="2"/>
  <c r="J1342" i="2"/>
  <c r="J1343" i="2"/>
  <c r="J1344" i="2"/>
  <c r="J1345" i="2"/>
  <c r="J1346" i="2"/>
  <c r="J1347" i="2"/>
  <c r="J1348" i="2"/>
  <c r="J1349" i="2"/>
  <c r="J1350" i="2"/>
  <c r="J1351" i="2"/>
  <c r="J1352" i="2"/>
  <c r="J1353" i="2"/>
  <c r="J1354" i="2"/>
  <c r="J1355" i="2"/>
  <c r="J1356" i="2"/>
  <c r="J1357" i="2"/>
  <c r="J1358" i="2"/>
  <c r="J1359" i="2"/>
  <c r="J1360" i="2"/>
  <c r="J1361" i="2"/>
  <c r="J1362" i="2"/>
  <c r="J1363" i="2"/>
  <c r="J1364" i="2"/>
  <c r="J1365" i="2"/>
  <c r="J1366" i="2"/>
  <c r="J1367" i="2"/>
  <c r="J1368" i="2"/>
  <c r="J1369" i="2"/>
  <c r="J1370" i="2"/>
  <c r="J1371" i="2"/>
  <c r="J1372" i="2"/>
  <c r="J1373" i="2"/>
  <c r="J1374" i="2"/>
  <c r="J1375" i="2"/>
  <c r="J1376" i="2"/>
  <c r="J1377" i="2"/>
  <c r="J1378" i="2"/>
  <c r="J1379" i="2"/>
  <c r="J1380" i="2"/>
  <c r="J1381" i="2"/>
  <c r="J1382" i="2"/>
  <c r="J1383" i="2"/>
  <c r="J1384" i="2"/>
  <c r="J1385" i="2"/>
  <c r="J1386" i="2"/>
  <c r="J1387" i="2"/>
  <c r="J1388" i="2"/>
  <c r="J1389" i="2"/>
  <c r="J1390" i="2"/>
  <c r="J1391" i="2"/>
  <c r="J1392" i="2"/>
  <c r="J1393" i="2"/>
  <c r="J1394" i="2"/>
  <c r="J1395" i="2"/>
  <c r="J1396" i="2"/>
  <c r="J1397" i="2"/>
  <c r="J1398" i="2"/>
  <c r="J1399" i="2"/>
  <c r="J1400" i="2"/>
  <c r="J1401" i="2"/>
  <c r="J1402" i="2"/>
  <c r="J1403" i="2"/>
  <c r="J1404" i="2"/>
  <c r="J1405" i="2"/>
  <c r="J1406" i="2"/>
  <c r="J1407" i="2"/>
  <c r="J1408" i="2"/>
  <c r="J1409" i="2"/>
  <c r="J1410" i="2"/>
  <c r="J1411" i="2"/>
  <c r="J1412" i="2"/>
  <c r="J1413" i="2"/>
  <c r="J1414" i="2"/>
  <c r="J1415" i="2"/>
  <c r="J1416" i="2"/>
  <c r="J1417" i="2"/>
  <c r="J1418" i="2"/>
  <c r="J1419" i="2"/>
  <c r="J1420" i="2"/>
  <c r="J1421" i="2"/>
  <c r="J1422" i="2"/>
  <c r="J1423" i="2"/>
  <c r="J1424" i="2"/>
  <c r="J1425" i="2"/>
  <c r="J1426" i="2"/>
  <c r="J1427" i="2"/>
  <c r="J1428" i="2"/>
  <c r="J1429" i="2"/>
  <c r="J1430" i="2"/>
  <c r="J1431" i="2"/>
  <c r="J1432" i="2"/>
  <c r="J1433" i="2"/>
  <c r="J1434" i="2"/>
  <c r="J1435" i="2"/>
  <c r="J1436" i="2"/>
  <c r="J1437" i="2"/>
  <c r="J1438" i="2"/>
  <c r="J1439" i="2"/>
  <c r="J1440" i="2"/>
  <c r="J1441" i="2"/>
  <c r="J1442" i="2"/>
  <c r="J1443" i="2"/>
  <c r="J1444" i="2"/>
  <c r="J1445" i="2"/>
  <c r="J1446" i="2"/>
  <c r="J1447" i="2"/>
  <c r="J1448" i="2"/>
  <c r="J1449" i="2"/>
  <c r="J1450" i="2"/>
  <c r="J1451" i="2"/>
  <c r="J1452" i="2"/>
  <c r="J1453" i="2"/>
  <c r="J1454" i="2"/>
  <c r="J1455" i="2"/>
  <c r="J1456" i="2"/>
  <c r="J1457" i="2"/>
  <c r="J1458" i="2"/>
  <c r="J1459" i="2"/>
  <c r="J1460" i="2"/>
  <c r="J1461" i="2"/>
  <c r="J1462" i="2"/>
  <c r="J1463" i="2"/>
  <c r="J1464" i="2"/>
  <c r="J1465" i="2"/>
  <c r="J1466" i="2"/>
  <c r="J1467" i="2"/>
  <c r="J1468" i="2"/>
  <c r="J1469" i="2"/>
  <c r="J1470" i="2"/>
  <c r="J1471" i="2"/>
  <c r="J1472" i="2"/>
  <c r="J1473" i="2"/>
  <c r="J1474" i="2"/>
  <c r="J1475" i="2"/>
  <c r="J1476" i="2"/>
  <c r="J1477" i="2"/>
  <c r="J1478" i="2"/>
  <c r="J1479" i="2"/>
  <c r="J1480" i="2"/>
  <c r="J1481" i="2"/>
  <c r="J1482" i="2"/>
  <c r="J1483" i="2"/>
  <c r="J1484" i="2"/>
  <c r="J1485" i="2"/>
  <c r="J1486" i="2"/>
  <c r="J1487" i="2"/>
  <c r="J1488" i="2"/>
  <c r="J1489" i="2"/>
  <c r="J1490" i="2"/>
  <c r="J1491" i="2"/>
  <c r="J1492" i="2"/>
  <c r="J1493" i="2"/>
  <c r="J1494" i="2"/>
  <c r="J1495" i="2"/>
  <c r="J1496" i="2"/>
  <c r="J1497" i="2"/>
  <c r="J1498" i="2"/>
  <c r="J1499" i="2"/>
  <c r="J1500" i="2"/>
  <c r="J1501" i="2"/>
  <c r="J1502" i="2"/>
  <c r="J1503" i="2"/>
  <c r="J1504" i="2"/>
  <c r="J1505" i="2"/>
  <c r="J1506" i="2"/>
  <c r="J1507" i="2"/>
  <c r="J1508" i="2"/>
  <c r="J1509" i="2"/>
  <c r="J1510" i="2"/>
  <c r="J1511" i="2"/>
  <c r="J1512" i="2"/>
  <c r="J1513" i="2"/>
  <c r="J1514" i="2"/>
  <c r="J1515" i="2"/>
  <c r="J1516" i="2"/>
  <c r="J1517" i="2"/>
  <c r="J1518" i="2"/>
  <c r="J1519" i="2"/>
  <c r="J1520" i="2"/>
  <c r="J1521" i="2"/>
  <c r="J1522" i="2"/>
  <c r="J1523" i="2"/>
  <c r="J1524" i="2"/>
  <c r="J1525" i="2"/>
  <c r="J1526" i="2"/>
  <c r="J1527" i="2"/>
  <c r="J1528" i="2"/>
  <c r="J1529" i="2"/>
  <c r="J1530" i="2"/>
  <c r="J1531" i="2"/>
  <c r="J1532" i="2"/>
  <c r="J1533" i="2"/>
  <c r="J1534" i="2"/>
  <c r="J1535" i="2"/>
  <c r="J1536" i="2"/>
  <c r="J1537" i="2"/>
  <c r="J1538" i="2"/>
  <c r="J1539" i="2"/>
  <c r="J1540" i="2"/>
  <c r="J1541" i="2"/>
  <c r="J1542" i="2"/>
  <c r="J1543" i="2"/>
  <c r="J1544" i="2"/>
  <c r="J1545" i="2"/>
  <c r="J1546" i="2"/>
  <c r="J1547" i="2"/>
  <c r="J1548" i="2"/>
  <c r="J1549" i="2"/>
  <c r="J1550" i="2"/>
  <c r="J1551" i="2"/>
  <c r="J1552" i="2"/>
  <c r="J1553" i="2"/>
  <c r="J1554" i="2"/>
  <c r="J1555" i="2"/>
  <c r="J1556" i="2"/>
  <c r="J1557" i="2"/>
  <c r="J1558" i="2"/>
  <c r="J1559" i="2"/>
  <c r="J1560" i="2"/>
  <c r="J1561" i="2"/>
  <c r="J1562" i="2"/>
  <c r="J1563" i="2"/>
  <c r="J1564" i="2"/>
  <c r="J1565" i="2"/>
  <c r="J1566" i="2"/>
  <c r="J1567" i="2"/>
  <c r="J1568" i="2"/>
  <c r="J1569" i="2"/>
  <c r="J1570" i="2"/>
  <c r="J1571" i="2"/>
  <c r="J1572" i="2"/>
  <c r="J1573" i="2"/>
  <c r="J1574" i="2"/>
  <c r="J1575" i="2"/>
  <c r="J1576" i="2"/>
  <c r="J1577" i="2"/>
  <c r="J1578" i="2"/>
  <c r="J1579" i="2"/>
  <c r="J1580" i="2"/>
  <c r="J1581" i="2"/>
  <c r="J1582" i="2"/>
  <c r="J1583" i="2"/>
  <c r="J1584" i="2"/>
  <c r="J1585" i="2"/>
  <c r="J1586" i="2"/>
  <c r="J1587" i="2"/>
  <c r="J1588" i="2"/>
  <c r="J1589" i="2"/>
  <c r="J1590" i="2"/>
  <c r="J1591" i="2"/>
  <c r="J1592" i="2"/>
  <c r="J1593" i="2"/>
  <c r="J1594" i="2"/>
  <c r="J1595" i="2"/>
  <c r="J1596" i="2"/>
  <c r="J1597" i="2"/>
  <c r="J1598" i="2"/>
  <c r="J1599" i="2"/>
  <c r="J1600" i="2"/>
  <c r="J1601" i="2"/>
  <c r="J1602" i="2"/>
  <c r="J1603" i="2"/>
  <c r="J1604" i="2"/>
  <c r="J1605" i="2"/>
  <c r="J1606" i="2"/>
  <c r="J1607" i="2"/>
  <c r="J1608" i="2"/>
  <c r="J1609" i="2"/>
  <c r="J1610" i="2"/>
  <c r="J1611" i="2"/>
  <c r="J1612" i="2"/>
  <c r="J1613" i="2"/>
  <c r="J1614" i="2"/>
  <c r="J1615" i="2"/>
  <c r="J1616" i="2"/>
  <c r="J1617" i="2"/>
  <c r="J1618" i="2"/>
  <c r="J1619" i="2"/>
  <c r="J1620" i="2"/>
  <c r="J1621" i="2"/>
  <c r="J1622" i="2"/>
  <c r="J1623" i="2"/>
  <c r="J1624" i="2"/>
  <c r="J1625" i="2"/>
  <c r="J1626" i="2"/>
  <c r="J1627" i="2"/>
  <c r="J1628" i="2"/>
  <c r="J1629" i="2"/>
  <c r="J1630" i="2"/>
  <c r="J1631" i="2"/>
  <c r="J1632" i="2"/>
  <c r="J1633" i="2"/>
  <c r="J1634" i="2"/>
  <c r="J1635" i="2"/>
  <c r="J1636" i="2"/>
  <c r="J1637" i="2"/>
  <c r="J1638" i="2"/>
  <c r="J1639" i="2"/>
  <c r="J1640" i="2"/>
  <c r="J1641" i="2"/>
  <c r="J1642" i="2"/>
  <c r="J1643" i="2"/>
  <c r="J1644" i="2"/>
  <c r="J1645" i="2"/>
  <c r="J1646" i="2"/>
  <c r="J1647" i="2"/>
  <c r="J1648" i="2"/>
  <c r="J1649" i="2"/>
  <c r="J1650" i="2"/>
  <c r="J1651" i="2"/>
  <c r="J1652" i="2"/>
  <c r="J1653" i="2"/>
  <c r="J1654" i="2"/>
  <c r="J1655" i="2"/>
  <c r="J1656" i="2"/>
  <c r="J1657" i="2"/>
  <c r="J1658" i="2"/>
  <c r="J1659" i="2"/>
  <c r="J1660" i="2"/>
  <c r="J1661" i="2"/>
  <c r="J1662" i="2"/>
  <c r="J1663" i="2"/>
  <c r="J1664" i="2"/>
  <c r="J1665" i="2"/>
  <c r="J1666" i="2"/>
  <c r="J1667" i="2"/>
  <c r="J1668" i="2"/>
  <c r="J1669" i="2"/>
  <c r="J1670" i="2"/>
  <c r="J1671" i="2"/>
  <c r="J1672" i="2"/>
  <c r="J1673" i="2"/>
  <c r="J1674" i="2"/>
  <c r="J1675" i="2"/>
  <c r="J1676" i="2"/>
  <c r="J1677" i="2"/>
  <c r="J1678" i="2"/>
  <c r="J1679" i="2"/>
  <c r="J1680" i="2"/>
  <c r="J1681" i="2"/>
  <c r="J1682" i="2"/>
  <c r="J1683" i="2"/>
  <c r="J1684" i="2"/>
  <c r="J1685" i="2"/>
  <c r="J1686" i="2"/>
  <c r="J1687" i="2"/>
  <c r="J1688" i="2"/>
  <c r="J1689" i="2"/>
  <c r="J1690" i="2"/>
  <c r="J1691" i="2"/>
  <c r="J1692" i="2"/>
  <c r="J1693" i="2"/>
  <c r="J1694" i="2"/>
  <c r="J1695" i="2"/>
  <c r="J1696" i="2"/>
  <c r="J1697" i="2"/>
  <c r="J1698" i="2"/>
  <c r="J1699" i="2"/>
  <c r="J1700" i="2"/>
  <c r="J1701" i="2"/>
  <c r="J1702" i="2"/>
  <c r="J1703" i="2"/>
  <c r="J1704" i="2"/>
  <c r="J1705" i="2"/>
  <c r="J1706" i="2"/>
  <c r="J1707" i="2"/>
  <c r="J1708" i="2"/>
  <c r="J1709" i="2"/>
  <c r="J1710" i="2"/>
  <c r="J1711" i="2"/>
  <c r="J1712" i="2"/>
  <c r="J1713" i="2"/>
  <c r="J1714" i="2"/>
  <c r="J1715" i="2"/>
  <c r="J1716" i="2"/>
  <c r="J1717" i="2"/>
  <c r="J1718" i="2"/>
  <c r="J1719" i="2"/>
  <c r="J1720" i="2"/>
  <c r="J1721" i="2"/>
  <c r="J1722" i="2"/>
  <c r="J1723" i="2"/>
  <c r="J1724" i="2"/>
  <c r="J1725" i="2"/>
  <c r="J1726" i="2"/>
  <c r="J1727" i="2"/>
  <c r="J1728" i="2"/>
  <c r="J1729" i="2"/>
  <c r="J1730" i="2"/>
  <c r="J1731" i="2"/>
  <c r="J1732" i="2"/>
  <c r="J1733" i="2"/>
  <c r="J1734" i="2"/>
  <c r="J1735" i="2"/>
  <c r="J1736" i="2"/>
  <c r="J1737" i="2"/>
  <c r="J1738" i="2"/>
  <c r="J1739" i="2"/>
  <c r="J1740" i="2"/>
  <c r="J1741" i="2"/>
  <c r="J1742" i="2"/>
  <c r="J1743" i="2"/>
  <c r="J1744" i="2"/>
  <c r="J1745" i="2"/>
  <c r="J1746" i="2"/>
  <c r="J1747" i="2"/>
  <c r="J1748" i="2"/>
  <c r="J1749" i="2"/>
  <c r="J1750" i="2"/>
  <c r="J1751" i="2"/>
  <c r="J1752" i="2"/>
  <c r="J1753" i="2"/>
  <c r="J1754" i="2"/>
  <c r="J1755" i="2"/>
  <c r="J1756" i="2"/>
  <c r="J1757" i="2"/>
  <c r="J1758" i="2"/>
  <c r="J1759" i="2"/>
  <c r="J1760" i="2"/>
  <c r="J1761" i="2"/>
  <c r="J1762" i="2"/>
  <c r="J1763" i="2"/>
  <c r="J1764" i="2"/>
  <c r="J1765" i="2"/>
  <c r="J1766" i="2"/>
  <c r="J1767" i="2"/>
  <c r="J1768" i="2"/>
  <c r="J1769" i="2"/>
  <c r="J1770" i="2"/>
  <c r="J1771" i="2"/>
  <c r="J1772" i="2"/>
  <c r="J1773" i="2"/>
  <c r="J1774" i="2"/>
  <c r="J1775" i="2"/>
  <c r="J1776" i="2"/>
  <c r="J1777" i="2"/>
  <c r="J1778" i="2"/>
  <c r="J1779" i="2"/>
  <c r="J1780" i="2"/>
  <c r="J1781" i="2"/>
  <c r="J1782" i="2"/>
  <c r="J1783" i="2"/>
  <c r="J1784" i="2"/>
  <c r="J1785" i="2"/>
  <c r="J1786" i="2"/>
  <c r="J1787" i="2"/>
  <c r="J1788" i="2"/>
  <c r="J1789" i="2"/>
  <c r="J1790" i="2"/>
  <c r="J1791" i="2"/>
  <c r="J1792" i="2"/>
  <c r="J1793" i="2"/>
  <c r="J1794" i="2"/>
  <c r="J1795" i="2"/>
  <c r="J1796" i="2"/>
  <c r="J1797" i="2"/>
  <c r="J1798" i="2"/>
  <c r="J1799" i="2"/>
  <c r="J1800" i="2"/>
  <c r="J1801" i="2"/>
  <c r="J1802" i="2"/>
  <c r="J1803" i="2"/>
  <c r="J1804" i="2"/>
  <c r="J1805" i="2"/>
  <c r="J1806" i="2"/>
  <c r="J1807" i="2"/>
  <c r="J1808" i="2"/>
  <c r="J1809" i="2"/>
  <c r="J1810" i="2"/>
  <c r="J1811" i="2"/>
  <c r="J1812" i="2"/>
  <c r="J1813" i="2"/>
  <c r="J1814" i="2"/>
  <c r="J1815" i="2"/>
  <c r="J1816" i="2"/>
  <c r="J1817" i="2"/>
  <c r="J1818" i="2"/>
  <c r="J1819" i="2"/>
  <c r="J1820" i="2"/>
  <c r="J1821" i="2"/>
  <c r="J1822" i="2"/>
  <c r="J1823" i="2"/>
  <c r="J1824" i="2"/>
  <c r="J1825" i="2"/>
  <c r="J1826" i="2"/>
  <c r="J1827" i="2"/>
  <c r="J1828" i="2"/>
  <c r="J1829" i="2"/>
  <c r="J1830" i="2"/>
  <c r="J1831" i="2"/>
  <c r="J1832" i="2"/>
  <c r="J1833" i="2"/>
  <c r="J1834" i="2"/>
  <c r="J1835" i="2"/>
  <c r="J1836" i="2"/>
  <c r="J1837" i="2"/>
  <c r="J1838" i="2"/>
  <c r="J1839" i="2"/>
  <c r="J1840" i="2"/>
  <c r="J1841" i="2"/>
  <c r="J1842" i="2"/>
  <c r="J1843" i="2"/>
  <c r="J1844" i="2"/>
  <c r="J1845" i="2"/>
  <c r="J1846" i="2"/>
  <c r="J1847" i="2"/>
  <c r="J1848" i="2"/>
  <c r="J1849" i="2"/>
  <c r="J1850" i="2"/>
  <c r="J1851" i="2"/>
  <c r="J1852" i="2"/>
  <c r="J1853" i="2"/>
  <c r="J1854" i="2"/>
  <c r="J1855" i="2"/>
  <c r="J1856" i="2"/>
  <c r="J1857" i="2"/>
  <c r="J1858" i="2"/>
  <c r="J1859" i="2"/>
  <c r="J1860" i="2"/>
  <c r="J1861" i="2"/>
  <c r="J1862" i="2"/>
  <c r="J1863" i="2"/>
  <c r="J1864" i="2"/>
  <c r="J1865" i="2"/>
  <c r="J1866" i="2"/>
  <c r="J1867" i="2"/>
  <c r="J1868" i="2"/>
  <c r="J1869" i="2"/>
  <c r="J1870" i="2"/>
  <c r="J1871" i="2"/>
  <c r="J1872" i="2"/>
  <c r="J1873" i="2"/>
  <c r="J1874" i="2"/>
  <c r="J1875" i="2"/>
  <c r="J1876" i="2"/>
  <c r="J1877" i="2"/>
  <c r="J1878" i="2"/>
  <c r="J1879" i="2"/>
  <c r="J1880" i="2"/>
  <c r="J1881" i="2"/>
  <c r="J1882" i="2"/>
  <c r="J1883" i="2"/>
  <c r="J1884" i="2"/>
  <c r="J1885" i="2"/>
  <c r="J1886" i="2"/>
  <c r="J1887" i="2"/>
  <c r="J1888" i="2"/>
  <c r="J1889" i="2"/>
  <c r="J1890" i="2"/>
  <c r="J1891" i="2"/>
  <c r="J1892" i="2"/>
  <c r="J1893" i="2"/>
  <c r="J1894" i="2"/>
  <c r="J1895" i="2"/>
  <c r="J1896" i="2"/>
  <c r="J1897" i="2"/>
  <c r="J1898" i="2"/>
  <c r="J1899" i="2"/>
  <c r="J1900" i="2"/>
  <c r="J1901" i="2"/>
  <c r="J1902" i="2"/>
  <c r="J1903" i="2"/>
  <c r="J1904" i="2"/>
  <c r="J1905" i="2"/>
  <c r="J1906" i="2"/>
  <c r="J1907" i="2"/>
  <c r="J1908" i="2"/>
  <c r="J1909" i="2"/>
  <c r="J1910" i="2"/>
  <c r="J1911" i="2"/>
  <c r="J1912" i="2"/>
  <c r="J1913" i="2"/>
  <c r="J1914" i="2"/>
  <c r="J1915" i="2"/>
  <c r="J1916" i="2"/>
  <c r="J1917" i="2"/>
  <c r="J1918" i="2"/>
  <c r="J1919" i="2"/>
  <c r="J1920" i="2"/>
  <c r="J1921" i="2"/>
  <c r="J1922" i="2"/>
  <c r="J1923" i="2"/>
  <c r="J1924" i="2"/>
  <c r="J1925" i="2"/>
  <c r="J1926" i="2"/>
  <c r="J1927" i="2"/>
  <c r="J1928" i="2"/>
  <c r="J1929" i="2"/>
  <c r="J1930" i="2"/>
  <c r="J1931" i="2"/>
  <c r="J1932" i="2"/>
  <c r="J1933" i="2"/>
  <c r="J1934" i="2"/>
  <c r="J1935" i="2"/>
  <c r="J1936" i="2"/>
  <c r="J1937" i="2"/>
  <c r="J1938" i="2"/>
  <c r="J1939" i="2"/>
  <c r="J1940" i="2"/>
  <c r="J1941" i="2"/>
  <c r="J1942" i="2"/>
  <c r="J1943" i="2"/>
  <c r="J1944" i="2"/>
  <c r="J1945" i="2"/>
  <c r="J1946" i="2"/>
  <c r="J1947" i="2"/>
  <c r="J1948" i="2"/>
  <c r="J1949" i="2"/>
  <c r="J1950" i="2"/>
  <c r="J1951" i="2"/>
  <c r="J1952" i="2"/>
  <c r="J1953" i="2"/>
  <c r="J1954" i="2"/>
  <c r="J1955" i="2"/>
  <c r="J1956" i="2"/>
  <c r="J1957" i="2"/>
  <c r="J1958" i="2"/>
  <c r="J1959" i="2"/>
  <c r="J1960" i="2"/>
  <c r="J1961" i="2"/>
  <c r="J1962" i="2"/>
  <c r="J1963" i="2"/>
  <c r="J1964" i="2"/>
  <c r="J1965" i="2"/>
  <c r="J1966" i="2"/>
  <c r="J1967" i="2"/>
  <c r="J1968" i="2"/>
  <c r="J1969" i="2"/>
  <c r="J1970" i="2"/>
  <c r="J1971" i="2"/>
  <c r="J1972" i="2"/>
  <c r="J1973" i="2"/>
  <c r="J1974" i="2"/>
  <c r="J1975" i="2"/>
  <c r="J1976" i="2"/>
  <c r="J1977" i="2"/>
  <c r="J1978" i="2"/>
  <c r="J1979" i="2"/>
  <c r="J1980" i="2"/>
  <c r="J1981" i="2"/>
  <c r="J1982" i="2"/>
  <c r="J1983" i="2"/>
  <c r="J1984" i="2"/>
  <c r="J1985" i="2"/>
  <c r="J1986" i="2"/>
  <c r="J1987" i="2"/>
  <c r="J1988" i="2"/>
  <c r="J1989" i="2"/>
  <c r="J1990" i="2"/>
  <c r="J1991" i="2"/>
  <c r="J1992" i="2"/>
  <c r="J1993" i="2"/>
  <c r="J1994" i="2"/>
  <c r="J1995" i="2"/>
  <c r="J1996" i="2"/>
  <c r="J1997" i="2"/>
  <c r="J1998" i="2"/>
  <c r="J1999" i="2"/>
  <c r="J2000" i="2"/>
  <c r="J2001" i="2"/>
  <c r="J2002" i="2"/>
  <c r="J2003" i="2"/>
  <c r="J2004" i="2"/>
  <c r="J2005" i="2"/>
  <c r="J2006" i="2"/>
  <c r="J2007" i="2"/>
  <c r="J2008" i="2"/>
  <c r="J2009" i="2"/>
  <c r="J2010" i="2"/>
  <c r="J2011" i="2"/>
  <c r="J2012" i="2"/>
  <c r="J2013" i="2"/>
  <c r="J2014" i="2"/>
  <c r="J2015" i="2"/>
  <c r="J2016" i="2"/>
  <c r="J2017" i="2"/>
  <c r="J2018" i="2"/>
  <c r="J2019" i="2"/>
  <c r="J2020" i="2"/>
  <c r="J2021" i="2"/>
  <c r="J2022" i="2"/>
  <c r="J2023" i="2"/>
  <c r="J2024" i="2"/>
  <c r="J2025" i="2"/>
  <c r="J2026" i="2"/>
  <c r="J2027" i="2"/>
  <c r="J2028" i="2"/>
  <c r="J2029" i="2"/>
  <c r="J2030" i="2"/>
  <c r="J2031" i="2"/>
  <c r="J2032" i="2"/>
  <c r="J2033" i="2"/>
  <c r="J2034" i="2"/>
  <c r="J2035" i="2"/>
  <c r="J2036" i="2"/>
  <c r="J2037" i="2"/>
  <c r="J2038" i="2"/>
  <c r="J2039" i="2"/>
  <c r="J2040" i="2"/>
  <c r="J2041" i="2"/>
  <c r="J2042" i="2"/>
  <c r="J2043" i="2"/>
  <c r="J2044" i="2"/>
  <c r="J2045" i="2"/>
  <c r="J2046" i="2"/>
  <c r="J2047" i="2"/>
  <c r="J2048" i="2"/>
  <c r="J2049" i="2"/>
  <c r="J2050" i="2"/>
  <c r="J2051" i="2"/>
  <c r="J2052" i="2"/>
  <c r="J2053" i="2"/>
  <c r="J2054" i="2"/>
  <c r="J2055" i="2"/>
  <c r="J2056" i="2"/>
  <c r="J2057" i="2"/>
  <c r="J2058" i="2"/>
  <c r="J2059" i="2"/>
  <c r="J2060" i="2"/>
  <c r="J2061" i="2"/>
  <c r="J2062" i="2"/>
  <c r="J2063" i="2"/>
  <c r="J2064" i="2"/>
  <c r="J2065" i="2"/>
  <c r="J2066" i="2"/>
  <c r="J2067" i="2"/>
  <c r="J2068" i="2"/>
  <c r="J2069" i="2"/>
  <c r="J2070" i="2"/>
  <c r="J2071" i="2"/>
  <c r="J2072" i="2"/>
  <c r="J2073" i="2"/>
  <c r="J2074" i="2"/>
  <c r="J2075" i="2"/>
  <c r="J2076" i="2"/>
  <c r="J2077" i="2"/>
  <c r="J2078" i="2"/>
  <c r="J2079" i="2"/>
  <c r="J2080" i="2"/>
  <c r="J2081" i="2"/>
  <c r="J2082" i="2"/>
  <c r="J2083" i="2"/>
  <c r="J2084" i="2"/>
  <c r="J2085" i="2"/>
  <c r="J2086" i="2"/>
  <c r="J2087" i="2"/>
  <c r="J2088" i="2"/>
  <c r="J2089" i="2"/>
  <c r="J2090" i="2"/>
  <c r="J2091" i="2"/>
  <c r="J2092" i="2"/>
  <c r="J2093" i="2"/>
  <c r="J2094" i="2"/>
  <c r="J2095" i="2"/>
  <c r="J2096" i="2"/>
  <c r="J2097" i="2"/>
  <c r="J2098" i="2"/>
  <c r="J2099" i="2"/>
  <c r="J2100" i="2"/>
  <c r="J2101" i="2"/>
  <c r="J2102" i="2"/>
  <c r="J2103" i="2"/>
  <c r="J2104" i="2"/>
  <c r="J2105" i="2"/>
  <c r="J2106" i="2"/>
  <c r="J2107" i="2"/>
  <c r="J2108" i="2"/>
  <c r="J2109" i="2"/>
  <c r="J2110" i="2"/>
  <c r="J2111" i="2"/>
  <c r="J2112" i="2"/>
  <c r="J2113" i="2"/>
  <c r="J2114" i="2"/>
  <c r="J2115" i="2"/>
  <c r="J2116" i="2"/>
  <c r="J2117" i="2"/>
  <c r="J2118" i="2"/>
  <c r="J2119" i="2"/>
  <c r="J2120" i="2"/>
  <c r="J2121" i="2"/>
  <c r="J2122" i="2"/>
  <c r="J2123" i="2"/>
  <c r="J2124" i="2"/>
  <c r="J2125" i="2"/>
  <c r="J2126" i="2"/>
  <c r="J2127" i="2"/>
  <c r="J2128" i="2"/>
  <c r="J2129" i="2"/>
  <c r="J2130" i="2"/>
  <c r="J2131" i="2"/>
  <c r="J2132" i="2"/>
  <c r="J2133" i="2"/>
  <c r="J2134" i="2"/>
  <c r="J2135" i="2"/>
  <c r="J2136" i="2"/>
  <c r="J2137" i="2"/>
  <c r="J2138" i="2"/>
  <c r="J2139" i="2"/>
  <c r="J2140" i="2"/>
  <c r="J2141" i="2"/>
  <c r="J2142" i="2"/>
  <c r="J2143" i="2"/>
  <c r="J2144" i="2"/>
  <c r="J2145" i="2"/>
  <c r="J2146" i="2"/>
  <c r="J2147" i="2"/>
  <c r="J2148" i="2"/>
  <c r="J2149" i="2"/>
  <c r="J2150" i="2"/>
  <c r="J2151" i="2"/>
  <c r="J2152" i="2"/>
  <c r="J2153" i="2"/>
  <c r="J2154" i="2"/>
  <c r="J2155" i="2"/>
  <c r="J2156" i="2"/>
  <c r="J2157" i="2"/>
  <c r="J2158" i="2"/>
  <c r="J2159" i="2"/>
  <c r="J2160" i="2"/>
  <c r="J2161" i="2"/>
  <c r="J2162" i="2"/>
  <c r="J2163" i="2"/>
  <c r="J2164" i="2"/>
  <c r="J2165" i="2"/>
  <c r="J2166" i="2"/>
  <c r="J2167" i="2"/>
  <c r="J2168" i="2"/>
  <c r="J2169" i="2"/>
  <c r="J2170" i="2"/>
  <c r="J2171" i="2"/>
  <c r="J2172" i="2"/>
  <c r="J2173" i="2"/>
  <c r="J2174" i="2"/>
  <c r="J2175" i="2"/>
  <c r="J2176" i="2"/>
  <c r="J2177" i="2"/>
  <c r="J2178" i="2"/>
  <c r="J2179" i="2"/>
  <c r="J2180" i="2"/>
  <c r="J2181" i="2"/>
  <c r="J2182" i="2"/>
  <c r="J2183" i="2"/>
  <c r="J2184" i="2"/>
  <c r="J2185" i="2"/>
  <c r="J2186" i="2"/>
  <c r="J2187" i="2"/>
  <c r="J2188" i="2"/>
  <c r="J2189" i="2"/>
  <c r="J2190" i="2"/>
  <c r="J2191" i="2"/>
  <c r="J2192" i="2"/>
  <c r="J2193" i="2"/>
  <c r="J2194" i="2"/>
  <c r="J2195" i="2"/>
  <c r="J2196" i="2"/>
  <c r="J2197" i="2"/>
  <c r="J2198" i="2"/>
  <c r="J2199" i="2"/>
  <c r="J2200" i="2"/>
  <c r="J2201" i="2"/>
  <c r="J2202" i="2"/>
  <c r="J2203" i="2"/>
  <c r="J2204" i="2"/>
  <c r="J2205" i="2"/>
  <c r="J2206" i="2"/>
  <c r="J2207" i="2"/>
  <c r="J2208" i="2"/>
  <c r="J2209" i="2"/>
  <c r="J2210" i="2"/>
  <c r="J2211" i="2"/>
  <c r="J2212" i="2"/>
  <c r="J2213" i="2"/>
  <c r="J2214" i="2"/>
  <c r="J2215" i="2"/>
  <c r="J2216" i="2"/>
  <c r="J2217" i="2"/>
  <c r="J2218" i="2"/>
  <c r="J2219" i="2"/>
  <c r="J2220" i="2"/>
  <c r="J2221" i="2"/>
  <c r="J2222" i="2"/>
  <c r="J2223" i="2"/>
  <c r="J2224" i="2"/>
  <c r="J2225" i="2"/>
  <c r="J2226" i="2"/>
  <c r="J2227" i="2"/>
  <c r="J2228" i="2"/>
  <c r="J2229" i="2"/>
  <c r="J2230" i="2"/>
  <c r="J2231" i="2"/>
  <c r="J2232" i="2"/>
  <c r="J2233" i="2"/>
  <c r="J2234" i="2"/>
  <c r="J2235" i="2"/>
  <c r="J2236" i="2"/>
  <c r="J2237" i="2"/>
  <c r="J2238" i="2"/>
  <c r="J2239" i="2"/>
  <c r="J2240" i="2"/>
  <c r="J2241" i="2"/>
  <c r="J2242" i="2"/>
  <c r="J2243" i="2"/>
  <c r="J2244" i="2"/>
  <c r="J2245" i="2"/>
  <c r="J2246" i="2"/>
  <c r="J2247" i="2"/>
  <c r="J2248" i="2"/>
  <c r="J2249" i="2"/>
  <c r="J2250" i="2"/>
  <c r="J2251" i="2"/>
  <c r="J2252" i="2"/>
  <c r="J2253" i="2"/>
  <c r="J2254" i="2"/>
  <c r="J2255" i="2"/>
  <c r="J2256" i="2"/>
  <c r="J2257" i="2"/>
  <c r="J2258" i="2"/>
  <c r="J2259" i="2"/>
  <c r="J2260" i="2"/>
  <c r="J2261" i="2"/>
  <c r="J2262" i="2"/>
  <c r="J2263" i="2"/>
  <c r="J2264" i="2"/>
  <c r="J2265" i="2"/>
  <c r="J2266" i="2"/>
  <c r="J2267" i="2"/>
  <c r="J2268" i="2"/>
  <c r="J2269" i="2"/>
  <c r="J2270" i="2"/>
  <c r="J2271" i="2"/>
  <c r="J2272" i="2"/>
  <c r="J2273" i="2"/>
  <c r="J2274" i="2"/>
  <c r="J2275" i="2"/>
  <c r="J2276" i="2"/>
  <c r="J2277" i="2"/>
  <c r="J2278" i="2"/>
  <c r="J2279" i="2"/>
  <c r="J2280" i="2"/>
  <c r="J2281" i="2"/>
  <c r="J2282" i="2"/>
  <c r="J2283" i="2"/>
  <c r="J2284" i="2"/>
  <c r="J2285" i="2"/>
  <c r="J2286" i="2"/>
  <c r="J2287" i="2"/>
  <c r="J2288" i="2"/>
  <c r="J2289" i="2"/>
  <c r="J2290" i="2"/>
  <c r="J2291" i="2"/>
  <c r="J2292" i="2"/>
  <c r="J2293" i="2"/>
  <c r="J2294" i="2"/>
  <c r="J2295" i="2"/>
  <c r="J2296" i="2"/>
  <c r="J2297" i="2"/>
  <c r="J2298" i="2"/>
  <c r="J2299" i="2"/>
  <c r="J2300" i="2"/>
  <c r="J2301" i="2"/>
  <c r="J2302" i="2"/>
  <c r="J2303" i="2"/>
  <c r="J2304" i="2"/>
  <c r="J2305" i="2"/>
  <c r="J2306" i="2"/>
  <c r="J2307" i="2"/>
  <c r="J2308" i="2"/>
  <c r="J2309" i="2"/>
  <c r="J2310" i="2"/>
  <c r="J2311" i="2"/>
  <c r="J2312" i="2"/>
  <c r="J2313" i="2"/>
  <c r="J2314" i="2"/>
  <c r="J2315" i="2"/>
  <c r="J2316" i="2"/>
  <c r="J2317" i="2"/>
  <c r="J2318" i="2"/>
  <c r="J2319" i="2"/>
  <c r="J2320" i="2"/>
  <c r="J2321" i="2"/>
  <c r="J2322" i="2"/>
  <c r="J2323" i="2"/>
  <c r="J2324" i="2"/>
  <c r="J2325" i="2"/>
  <c r="J2326" i="2"/>
  <c r="J2327" i="2"/>
  <c r="J2328" i="2"/>
  <c r="J2329" i="2"/>
  <c r="J2330" i="2"/>
  <c r="J2331" i="2"/>
  <c r="J2332" i="2"/>
  <c r="J2333" i="2"/>
  <c r="J2334" i="2"/>
  <c r="J2335" i="2"/>
  <c r="J2336" i="2"/>
  <c r="J2337" i="2"/>
  <c r="J2338" i="2"/>
  <c r="J2339" i="2"/>
  <c r="J2340" i="2"/>
  <c r="J2341" i="2"/>
  <c r="J2342" i="2"/>
  <c r="J2343" i="2"/>
  <c r="J2344" i="2"/>
  <c r="J2345" i="2"/>
  <c r="J2346" i="2"/>
  <c r="J2347" i="2"/>
  <c r="J2348" i="2"/>
  <c r="J2349" i="2"/>
  <c r="J2350" i="2"/>
  <c r="J2351" i="2"/>
  <c r="J2352" i="2"/>
  <c r="J2353" i="2"/>
  <c r="J2354" i="2"/>
  <c r="J2355" i="2"/>
  <c r="J2356" i="2"/>
  <c r="J2357" i="2"/>
  <c r="J2358" i="2"/>
  <c r="J2359" i="2"/>
  <c r="J2360" i="2"/>
  <c r="J2361" i="2"/>
  <c r="J2362" i="2"/>
  <c r="J2363" i="2"/>
  <c r="J2364" i="2"/>
  <c r="J2365" i="2"/>
  <c r="J2366" i="2"/>
  <c r="J2367" i="2"/>
  <c r="J2368" i="2"/>
  <c r="J2369" i="2"/>
  <c r="J2370" i="2"/>
  <c r="J2371" i="2"/>
  <c r="J2372" i="2"/>
  <c r="J2373" i="2"/>
  <c r="J2374" i="2"/>
  <c r="J2375" i="2"/>
  <c r="J2376" i="2"/>
  <c r="J2377" i="2"/>
  <c r="J2378" i="2"/>
  <c r="J2379" i="2"/>
  <c r="J2380" i="2"/>
  <c r="J2381" i="2"/>
  <c r="J2382" i="2"/>
  <c r="J2383" i="2"/>
  <c r="J2384" i="2"/>
  <c r="J2385" i="2"/>
  <c r="J2386" i="2"/>
  <c r="J2387" i="2"/>
  <c r="J2388" i="2"/>
  <c r="J2389" i="2"/>
  <c r="J2390" i="2"/>
  <c r="J2391" i="2"/>
  <c r="J2392" i="2"/>
  <c r="J2393" i="2"/>
  <c r="J2394" i="2"/>
  <c r="J2395" i="2"/>
  <c r="J2396" i="2"/>
  <c r="J2397" i="2"/>
  <c r="J2398" i="2"/>
  <c r="J2399" i="2"/>
  <c r="J2400" i="2"/>
  <c r="J2401" i="2"/>
  <c r="J2402" i="2"/>
  <c r="J2403" i="2"/>
  <c r="J2404" i="2"/>
  <c r="J2405" i="2"/>
  <c r="J2406" i="2"/>
  <c r="J2407" i="2"/>
  <c r="J2408" i="2"/>
  <c r="J2409" i="2"/>
  <c r="J2410" i="2"/>
  <c r="J2411" i="2"/>
  <c r="J2412" i="2"/>
  <c r="J2413" i="2"/>
  <c r="J2414" i="2"/>
  <c r="J2415" i="2"/>
  <c r="J2416" i="2"/>
  <c r="J2417" i="2"/>
  <c r="J2418" i="2"/>
  <c r="J2419" i="2"/>
  <c r="J2420" i="2"/>
  <c r="J2421" i="2"/>
  <c r="J2422" i="2"/>
  <c r="J2423" i="2"/>
  <c r="J2424" i="2"/>
  <c r="J2425" i="2"/>
  <c r="J2426" i="2"/>
  <c r="J2427" i="2"/>
  <c r="J2428" i="2"/>
  <c r="J2429" i="2"/>
  <c r="J2430" i="2"/>
  <c r="J2431" i="2"/>
  <c r="J2432" i="2"/>
  <c r="J2433" i="2"/>
  <c r="J2434" i="2"/>
  <c r="J2435" i="2"/>
  <c r="J2436" i="2"/>
  <c r="J2437" i="2"/>
  <c r="J2438" i="2"/>
  <c r="J2439" i="2"/>
  <c r="J2440" i="2"/>
  <c r="J2441" i="2"/>
  <c r="J2442" i="2"/>
  <c r="J2443" i="2"/>
  <c r="J2444" i="2"/>
  <c r="J2445" i="2"/>
  <c r="J2446" i="2"/>
  <c r="J2447" i="2"/>
  <c r="J2448" i="2"/>
  <c r="J2449" i="2"/>
  <c r="J2450" i="2"/>
  <c r="J2451" i="2"/>
  <c r="J2452" i="2"/>
  <c r="J2453" i="2"/>
  <c r="J2454" i="2"/>
  <c r="J2455" i="2"/>
  <c r="J2456" i="2"/>
  <c r="J2457" i="2"/>
  <c r="J2458" i="2"/>
  <c r="J2459" i="2"/>
  <c r="J2460" i="2"/>
  <c r="J2461" i="2"/>
  <c r="J2462" i="2"/>
  <c r="J2463" i="2"/>
  <c r="J2464" i="2"/>
  <c r="J2465" i="2"/>
  <c r="J2466" i="2"/>
  <c r="J2467" i="2"/>
  <c r="J2468" i="2"/>
  <c r="J2469" i="2"/>
  <c r="J2470" i="2"/>
  <c r="J2471" i="2"/>
  <c r="J2472" i="2"/>
  <c r="J2473" i="2"/>
  <c r="J2474" i="2"/>
  <c r="J2475" i="2"/>
  <c r="J2476" i="2"/>
  <c r="J2477" i="2"/>
  <c r="J2478" i="2"/>
  <c r="J2479" i="2"/>
  <c r="J2480" i="2"/>
  <c r="J2481" i="2"/>
  <c r="J2482" i="2"/>
  <c r="J2483" i="2"/>
  <c r="J2484" i="2"/>
  <c r="J2601" i="2"/>
  <c r="J2485" i="2"/>
  <c r="J2486" i="2"/>
  <c r="J2487" i="2"/>
  <c r="J2488" i="2"/>
  <c r="J2489" i="2"/>
  <c r="J2490" i="2"/>
  <c r="J2491" i="2"/>
  <c r="J2492" i="2"/>
  <c r="J2493" i="2"/>
  <c r="J2494" i="2"/>
  <c r="J2495" i="2"/>
  <c r="J2496" i="2"/>
  <c r="J2497" i="2"/>
  <c r="J2498" i="2"/>
  <c r="J2499" i="2"/>
  <c r="J2500" i="2"/>
  <c r="J2501" i="2"/>
  <c r="J2502" i="2"/>
  <c r="J2503" i="2"/>
  <c r="J2504" i="2"/>
  <c r="J2505" i="2"/>
  <c r="J2506" i="2"/>
  <c r="J2507" i="2"/>
  <c r="J2508" i="2"/>
  <c r="J2509" i="2"/>
  <c r="J2510" i="2"/>
  <c r="J2511" i="2"/>
  <c r="J2512" i="2"/>
  <c r="J2513" i="2"/>
  <c r="J2514" i="2"/>
  <c r="J2515" i="2"/>
  <c r="J2516" i="2"/>
  <c r="J2517" i="2"/>
  <c r="J2518" i="2"/>
  <c r="J2519" i="2"/>
  <c r="J2520" i="2"/>
  <c r="J2521" i="2"/>
  <c r="J2522" i="2"/>
  <c r="J2523" i="2"/>
  <c r="J2524" i="2"/>
  <c r="J2525" i="2"/>
  <c r="J2526" i="2"/>
  <c r="J2527" i="2"/>
  <c r="J2528" i="2"/>
  <c r="J2529" i="2"/>
  <c r="J2530" i="2"/>
  <c r="J2531" i="2"/>
  <c r="J2532" i="2"/>
  <c r="J2533" i="2"/>
  <c r="J2534" i="2"/>
  <c r="J2535" i="2"/>
  <c r="J2536" i="2"/>
  <c r="J2537" i="2"/>
  <c r="J2538" i="2"/>
  <c r="J2539" i="2"/>
  <c r="J2540" i="2"/>
  <c r="J2541" i="2"/>
  <c r="J2542" i="2"/>
  <c r="J2543" i="2"/>
  <c r="J2544" i="2"/>
  <c r="J2545" i="2"/>
  <c r="J2546" i="2"/>
  <c r="J2547" i="2"/>
  <c r="J2548" i="2"/>
  <c r="J2549" i="2"/>
  <c r="J2550" i="2"/>
  <c r="J2551" i="2"/>
  <c r="J2552" i="2"/>
  <c r="J2553" i="2"/>
  <c r="J2554" i="2"/>
  <c r="J2555" i="2"/>
  <c r="J2556" i="2"/>
  <c r="J2557" i="2"/>
  <c r="J2558" i="2"/>
  <c r="J2559" i="2"/>
  <c r="J2560" i="2"/>
  <c r="J2561" i="2"/>
  <c r="J2562" i="2"/>
  <c r="J2563" i="2"/>
  <c r="J2564" i="2"/>
  <c r="J2565" i="2"/>
  <c r="J2566" i="2"/>
  <c r="J2567" i="2"/>
  <c r="J2568" i="2"/>
  <c r="J2569" i="2"/>
  <c r="J2570" i="2"/>
  <c r="J2571" i="2"/>
  <c r="J2572" i="2"/>
  <c r="J2573" i="2"/>
  <c r="J2574" i="2"/>
  <c r="J2575" i="2"/>
  <c r="J2576" i="2"/>
  <c r="J2577" i="2"/>
  <c r="J2578" i="2"/>
  <c r="J2579" i="2"/>
  <c r="J2580" i="2"/>
  <c r="J2581" i="2"/>
  <c r="J2582" i="2"/>
  <c r="J2583" i="2"/>
  <c r="J2584" i="2"/>
  <c r="J2585" i="2"/>
  <c r="J2586" i="2"/>
  <c r="J2587" i="2"/>
  <c r="J2588" i="2"/>
  <c r="J2589" i="2"/>
  <c r="J2590" i="2"/>
  <c r="J2591" i="2"/>
  <c r="J2592" i="2"/>
  <c r="J2593" i="2"/>
  <c r="J2594" i="2"/>
  <c r="J2595" i="2"/>
  <c r="J2596" i="2"/>
  <c r="J2597" i="2"/>
  <c r="J2598" i="2"/>
  <c r="J2599" i="2"/>
  <c r="J2602" i="2"/>
  <c r="J2603" i="2"/>
  <c r="J2604" i="2"/>
  <c r="J2605" i="2"/>
  <c r="J2606" i="2"/>
  <c r="J2607" i="2"/>
  <c r="J2608" i="2"/>
  <c r="J2609" i="2"/>
  <c r="J2610" i="2"/>
  <c r="J2611" i="2"/>
  <c r="J2612" i="2"/>
  <c r="J2613" i="2"/>
  <c r="J2614" i="2"/>
  <c r="J2615" i="2"/>
  <c r="J2616" i="2"/>
  <c r="J2617" i="2"/>
  <c r="J2618" i="2"/>
  <c r="J2619" i="2"/>
  <c r="J2620" i="2"/>
  <c r="J2621" i="2"/>
  <c r="J2622" i="2"/>
  <c r="J2623" i="2"/>
  <c r="J2624" i="2"/>
  <c r="J2625" i="2"/>
  <c r="J2626" i="2"/>
  <c r="J2627" i="2"/>
  <c r="J2628" i="2"/>
  <c r="J2629" i="2"/>
  <c r="J2630" i="2"/>
  <c r="J2631" i="2"/>
  <c r="J2632" i="2"/>
  <c r="J2633" i="2"/>
  <c r="J2634" i="2"/>
  <c r="J2635" i="2"/>
  <c r="J2636" i="2"/>
  <c r="J2637" i="2"/>
  <c r="J2638" i="2"/>
  <c r="J2639" i="2"/>
  <c r="J2640" i="2"/>
  <c r="J2641" i="2"/>
  <c r="J2642" i="2"/>
  <c r="J2643" i="2"/>
  <c r="J2644" i="2"/>
  <c r="J2645" i="2"/>
  <c r="J2646" i="2"/>
  <c r="J2647" i="2"/>
  <c r="J2648" i="2"/>
  <c r="J2649" i="2"/>
  <c r="J2650" i="2"/>
  <c r="J2651" i="2"/>
  <c r="J2652" i="2"/>
  <c r="J2653" i="2"/>
  <c r="J2654" i="2"/>
  <c r="J2655" i="2"/>
  <c r="J2656" i="2"/>
  <c r="J2657" i="2"/>
  <c r="J2658" i="2"/>
  <c r="J2659" i="2"/>
  <c r="J2660" i="2"/>
  <c r="J2661" i="2"/>
  <c r="J2662" i="2"/>
  <c r="J2663" i="2"/>
  <c r="J2664" i="2"/>
  <c r="J2665" i="2"/>
  <c r="J2666" i="2"/>
  <c r="J2667" i="2"/>
  <c r="J2668" i="2"/>
  <c r="J2669" i="2"/>
  <c r="J2670" i="2"/>
  <c r="J2671" i="2"/>
  <c r="J2672" i="2"/>
  <c r="J2673" i="2"/>
  <c r="J2674" i="2"/>
  <c r="J2675" i="2"/>
  <c r="J2676" i="2"/>
  <c r="J2677" i="2"/>
  <c r="J2678" i="2"/>
  <c r="J2679" i="2"/>
  <c r="J2680" i="2"/>
  <c r="J2681" i="2"/>
  <c r="J2682" i="2"/>
  <c r="J2683" i="2"/>
  <c r="J2684" i="2"/>
  <c r="J2685" i="2"/>
  <c r="J2686" i="2"/>
  <c r="J2687" i="2"/>
  <c r="J2688" i="2"/>
  <c r="J2689" i="2"/>
  <c r="J2690" i="2"/>
  <c r="J2691" i="2"/>
  <c r="J2692" i="2"/>
  <c r="J2693" i="2"/>
  <c r="J2694" i="2"/>
  <c r="J2695" i="2"/>
  <c r="J2696" i="2"/>
  <c r="J2697" i="2"/>
  <c r="J2698" i="2"/>
  <c r="J2699" i="2"/>
  <c r="J2700" i="2"/>
  <c r="J2701" i="2"/>
  <c r="J2702" i="2"/>
  <c r="J2703" i="2"/>
  <c r="J2704" i="2"/>
  <c r="J2705" i="2"/>
  <c r="J2706" i="2"/>
  <c r="J2707" i="2"/>
  <c r="J2708" i="2"/>
  <c r="J2709" i="2"/>
  <c r="J2710" i="2"/>
  <c r="J2711" i="2"/>
  <c r="J2712" i="2"/>
  <c r="J2713" i="2"/>
  <c r="J2714" i="2"/>
  <c r="J2715" i="2"/>
  <c r="J2716" i="2"/>
  <c r="J2717" i="2"/>
  <c r="J2718" i="2"/>
  <c r="J2719" i="2"/>
  <c r="J2720" i="2"/>
  <c r="J2721" i="2"/>
  <c r="J2722" i="2"/>
  <c r="J2723" i="2"/>
  <c r="J2724" i="2"/>
  <c r="J2725" i="2"/>
  <c r="J2726" i="2"/>
  <c r="J2727" i="2"/>
  <c r="J2728" i="2"/>
  <c r="J2729" i="2"/>
  <c r="J2730" i="2"/>
  <c r="J2731" i="2"/>
  <c r="J2732" i="2"/>
  <c r="J2733" i="2"/>
  <c r="J2734" i="2"/>
  <c r="J2735" i="2"/>
  <c r="J2736" i="2"/>
  <c r="J2737" i="2"/>
  <c r="J2738" i="2"/>
  <c r="J2739" i="2"/>
  <c r="J2740" i="2"/>
  <c r="J2741" i="2"/>
  <c r="J2742" i="2"/>
  <c r="J2743" i="2"/>
  <c r="J2744" i="2"/>
  <c r="J2745" i="2"/>
  <c r="J2746" i="2"/>
  <c r="J2747" i="2"/>
  <c r="J2748" i="2"/>
  <c r="J2749" i="2"/>
  <c r="J2750" i="2"/>
  <c r="J2751" i="2"/>
  <c r="J2752" i="2"/>
  <c r="J2753" i="2"/>
  <c r="J2754" i="2"/>
  <c r="J2755" i="2"/>
  <c r="J2756" i="2"/>
  <c r="J2757" i="2"/>
  <c r="J2758" i="2"/>
  <c r="J2759" i="2"/>
  <c r="J2760" i="2"/>
  <c r="J2761" i="2"/>
  <c r="J2762" i="2"/>
  <c r="J2763" i="2"/>
  <c r="J2764" i="2"/>
  <c r="J2765" i="2"/>
  <c r="J2766" i="2"/>
  <c r="J2767" i="2"/>
  <c r="J2768" i="2"/>
  <c r="J2769" i="2"/>
  <c r="J2770" i="2"/>
  <c r="J2771" i="2"/>
  <c r="J2772" i="2"/>
  <c r="J2773" i="2"/>
  <c r="J2774" i="2"/>
  <c r="J2775" i="2"/>
  <c r="J2776" i="2"/>
  <c r="J2777" i="2"/>
  <c r="J2778" i="2"/>
  <c r="J2779" i="2"/>
  <c r="J2780" i="2"/>
  <c r="J2781" i="2"/>
  <c r="J2782" i="2"/>
  <c r="J2783" i="2"/>
  <c r="J2784" i="2"/>
  <c r="J2785" i="2"/>
  <c r="J2786" i="2"/>
  <c r="J2787" i="2"/>
  <c r="J2788" i="2"/>
  <c r="J2789" i="2"/>
  <c r="J2790" i="2"/>
  <c r="J2791" i="2"/>
  <c r="J2792" i="2"/>
  <c r="J2793" i="2"/>
  <c r="J2794" i="2"/>
  <c r="J2795" i="2"/>
  <c r="J2796" i="2"/>
  <c r="J2797" i="2"/>
  <c r="J2798" i="2"/>
  <c r="J2799" i="2"/>
  <c r="J2800" i="2"/>
  <c r="J2801" i="2"/>
  <c r="J2802" i="2"/>
  <c r="J2803" i="2"/>
  <c r="J2804" i="2"/>
  <c r="J2805" i="2"/>
  <c r="J2806" i="2"/>
  <c r="J2807" i="2"/>
  <c r="J2808" i="2"/>
  <c r="J2809" i="2"/>
  <c r="J2810" i="2"/>
  <c r="J2811" i="2"/>
  <c r="J2812" i="2"/>
  <c r="J2813" i="2"/>
  <c r="J2814" i="2"/>
  <c r="J2815" i="2"/>
  <c r="J2816" i="2"/>
  <c r="J2817" i="2"/>
  <c r="J2818" i="2"/>
  <c r="J2819" i="2"/>
  <c r="J2820" i="2"/>
  <c r="J2821" i="2"/>
  <c r="J2822" i="2"/>
  <c r="J2823" i="2"/>
  <c r="J2824" i="2"/>
  <c r="J2825" i="2"/>
  <c r="J2826" i="2"/>
  <c r="J2827" i="2"/>
  <c r="J2828" i="2"/>
  <c r="J2829" i="2"/>
  <c r="J2830" i="2"/>
  <c r="J2831" i="2"/>
  <c r="J2832" i="2"/>
  <c r="J2833" i="2"/>
  <c r="J2834" i="2"/>
  <c r="J2835" i="2"/>
  <c r="J2836" i="2"/>
  <c r="J2837" i="2"/>
  <c r="J2838" i="2"/>
  <c r="J2839" i="2"/>
  <c r="J2840" i="2"/>
  <c r="J2841" i="2"/>
  <c r="J2842" i="2"/>
  <c r="J2843" i="2"/>
  <c r="J2844" i="2"/>
  <c r="J2845" i="2"/>
  <c r="J2846" i="2"/>
  <c r="J2847" i="2"/>
  <c r="J2848" i="2"/>
  <c r="J2849" i="2"/>
  <c r="J2850" i="2"/>
  <c r="J2851" i="2"/>
  <c r="J2852" i="2"/>
  <c r="J2853" i="2"/>
  <c r="J2854" i="2"/>
  <c r="J2855" i="2"/>
  <c r="J2856" i="2"/>
  <c r="J2857" i="2"/>
  <c r="J2858" i="2"/>
  <c r="J2859" i="2"/>
  <c r="J2860" i="2"/>
  <c r="J2861" i="2"/>
  <c r="J2862" i="2"/>
  <c r="J2863" i="2"/>
  <c r="J2864" i="2"/>
  <c r="J2865" i="2"/>
  <c r="J2866" i="2"/>
  <c r="J2867" i="2"/>
  <c r="J2868" i="2"/>
  <c r="J2869" i="2"/>
  <c r="J2870" i="2"/>
  <c r="J2871" i="2"/>
  <c r="J2872" i="2"/>
  <c r="J2873" i="2"/>
  <c r="J2874" i="2"/>
  <c r="J2875" i="2"/>
  <c r="J2876" i="2"/>
  <c r="J2877" i="2"/>
  <c r="J2878" i="2"/>
  <c r="J2879" i="2"/>
  <c r="J2880" i="2"/>
  <c r="J2881" i="2"/>
  <c r="J2882" i="2"/>
  <c r="J2883" i="2"/>
  <c r="J2884" i="2"/>
  <c r="J2885" i="2"/>
  <c r="J2886" i="2"/>
  <c r="J2887" i="2"/>
  <c r="J2888" i="2"/>
  <c r="J2889" i="2"/>
  <c r="J2890" i="2"/>
  <c r="J2891" i="2"/>
  <c r="J2600" i="2"/>
  <c r="J2892" i="2"/>
  <c r="J2893" i="2"/>
  <c r="J2894" i="2"/>
  <c r="J2895" i="2"/>
  <c r="J2896" i="2"/>
  <c r="J2897" i="2"/>
  <c r="J2898" i="2"/>
  <c r="J2899" i="2"/>
  <c r="J2900" i="2"/>
  <c r="J2901" i="2"/>
  <c r="J2902" i="2"/>
  <c r="J2903" i="2"/>
  <c r="J2904" i="2"/>
  <c r="J2905" i="2"/>
  <c r="J2906" i="2"/>
  <c r="J2907" i="2"/>
  <c r="J2908" i="2"/>
  <c r="J2909" i="2"/>
  <c r="J2910" i="2"/>
  <c r="J2911" i="2"/>
  <c r="J2912" i="2"/>
  <c r="J2913" i="2"/>
  <c r="J2914" i="2"/>
  <c r="J2915" i="2"/>
  <c r="J2916" i="2"/>
  <c r="J2917" i="2"/>
  <c r="J2918" i="2"/>
  <c r="J2919" i="2"/>
  <c r="J2920" i="2"/>
  <c r="J2921" i="2"/>
  <c r="J2922" i="2"/>
  <c r="J2923" i="2"/>
  <c r="J2924" i="2"/>
  <c r="J2925" i="2"/>
  <c r="J2926" i="2"/>
  <c r="J2927" i="2"/>
  <c r="J2928" i="2"/>
  <c r="J2929" i="2"/>
  <c r="J2930" i="2"/>
  <c r="J2931" i="2"/>
  <c r="J2932" i="2"/>
  <c r="J2933" i="2"/>
  <c r="J2934" i="2"/>
  <c r="J2935" i="2"/>
  <c r="J2936" i="2"/>
  <c r="J2937" i="2"/>
  <c r="J2938" i="2"/>
  <c r="J2939" i="2"/>
  <c r="J2940" i="2"/>
  <c r="J2941" i="2"/>
  <c r="J2942" i="2"/>
  <c r="J2943" i="2"/>
  <c r="J2944" i="2"/>
  <c r="J2945" i="2"/>
  <c r="J2946" i="2"/>
  <c r="J2947" i="2"/>
  <c r="J2948" i="2"/>
  <c r="J2949" i="2"/>
  <c r="J2950" i="2"/>
  <c r="J2951" i="2"/>
  <c r="J2952" i="2"/>
  <c r="J2953" i="2"/>
  <c r="J2954" i="2"/>
  <c r="J2955" i="2"/>
  <c r="J2956" i="2"/>
  <c r="J2957" i="2"/>
  <c r="J2958" i="2"/>
  <c r="J2959" i="2"/>
  <c r="J2960" i="2"/>
  <c r="J2961" i="2"/>
  <c r="J2962" i="2"/>
  <c r="J2963" i="2"/>
  <c r="J2964" i="2"/>
  <c r="J2965" i="2"/>
  <c r="J2966" i="2"/>
  <c r="J2967" i="2"/>
  <c r="J2968" i="2"/>
  <c r="J2969" i="2"/>
  <c r="J2970" i="2"/>
  <c r="J2971" i="2"/>
  <c r="J2972" i="2"/>
  <c r="J2973" i="2"/>
  <c r="J2974" i="2"/>
  <c r="J2975" i="2"/>
  <c r="J2976" i="2"/>
  <c r="J2977" i="2"/>
  <c r="J2978" i="2"/>
  <c r="J2979" i="2"/>
  <c r="J2980" i="2"/>
  <c r="J2981" i="2"/>
  <c r="J2982" i="2"/>
  <c r="J2983" i="2"/>
  <c r="J2984" i="2"/>
  <c r="J2985" i="2"/>
  <c r="J2986" i="2"/>
  <c r="J2987" i="2"/>
  <c r="J2988" i="2"/>
  <c r="J2989" i="2"/>
  <c r="J2990" i="2"/>
  <c r="J2991" i="2"/>
  <c r="J2992" i="2"/>
  <c r="J2993" i="2"/>
  <c r="J2994" i="2"/>
  <c r="J2995" i="2"/>
  <c r="J2996" i="2"/>
  <c r="J2997" i="2"/>
  <c r="J2998" i="2"/>
  <c r="J2999" i="2"/>
  <c r="J3000" i="2"/>
  <c r="J3001" i="2"/>
  <c r="J3002" i="2"/>
  <c r="J3003" i="2"/>
  <c r="J3004" i="2"/>
  <c r="J3005" i="2"/>
  <c r="J3006" i="2"/>
  <c r="J3007" i="2"/>
  <c r="J3008" i="2"/>
  <c r="J3009" i="2"/>
  <c r="J3010" i="2"/>
  <c r="J3011" i="2"/>
  <c r="J3012" i="2"/>
  <c r="J3013" i="2"/>
  <c r="J3014" i="2"/>
  <c r="J3015" i="2"/>
  <c r="J3016" i="2"/>
  <c r="J3017" i="2"/>
  <c r="J3018" i="2"/>
  <c r="J3019" i="2"/>
  <c r="J3020" i="2"/>
  <c r="J3021" i="2"/>
  <c r="J3022" i="2"/>
  <c r="J3023" i="2"/>
  <c r="J3024" i="2"/>
  <c r="J3025" i="2"/>
  <c r="J3026" i="2"/>
  <c r="J3027" i="2"/>
  <c r="J3028" i="2"/>
  <c r="J3029" i="2"/>
  <c r="J3030" i="2"/>
  <c r="J3031" i="2"/>
  <c r="J3032" i="2"/>
  <c r="J3033" i="2"/>
  <c r="J3034" i="2"/>
  <c r="J3035" i="2"/>
  <c r="J3036" i="2"/>
  <c r="J3037" i="2"/>
  <c r="J3038" i="2"/>
  <c r="J3039" i="2"/>
  <c r="J3040" i="2"/>
  <c r="J3041" i="2"/>
  <c r="J3042" i="2"/>
  <c r="J3043" i="2"/>
  <c r="J3044" i="2"/>
  <c r="J3045" i="2"/>
  <c r="J3046" i="2"/>
  <c r="J3047" i="2"/>
  <c r="J3048" i="2"/>
  <c r="J3049" i="2"/>
  <c r="J3050" i="2"/>
  <c r="J3051" i="2"/>
  <c r="J3052" i="2"/>
  <c r="J3053" i="2"/>
  <c r="J3054" i="2"/>
  <c r="J3055" i="2"/>
  <c r="J3056" i="2"/>
  <c r="J3057" i="2"/>
  <c r="J3058" i="2"/>
  <c r="J3059" i="2"/>
  <c r="J3060" i="2"/>
  <c r="J3061" i="2"/>
  <c r="J3062" i="2"/>
  <c r="J3063" i="2"/>
  <c r="J3064" i="2"/>
  <c r="J3065" i="2"/>
  <c r="J3066" i="2"/>
  <c r="J3067" i="2"/>
  <c r="J3068" i="2"/>
  <c r="J3069" i="2"/>
  <c r="J3070" i="2"/>
  <c r="J3071" i="2"/>
  <c r="J3072" i="2"/>
  <c r="J3073" i="2"/>
  <c r="J3074" i="2"/>
  <c r="J3075" i="2"/>
  <c r="J3076" i="2"/>
  <c r="J3077" i="2"/>
  <c r="J3078" i="2"/>
  <c r="J3079" i="2"/>
  <c r="J3080" i="2"/>
  <c r="J3081" i="2"/>
  <c r="J3082" i="2"/>
  <c r="J3083" i="2"/>
  <c r="J3084" i="2"/>
  <c r="J3085" i="2"/>
  <c r="J3086" i="2"/>
  <c r="J3087" i="2"/>
  <c r="J3088" i="2"/>
  <c r="J3089" i="2"/>
  <c r="J3090" i="2"/>
  <c r="J3091" i="2"/>
  <c r="J3092" i="2"/>
  <c r="J3093" i="2"/>
  <c r="J3094" i="2"/>
  <c r="J3095" i="2"/>
  <c r="J3096" i="2"/>
  <c r="J3097" i="2"/>
  <c r="J3098" i="2"/>
  <c r="J3099" i="2"/>
  <c r="J3100" i="2"/>
  <c r="J3101" i="2"/>
  <c r="J3102" i="2"/>
  <c r="J3103" i="2"/>
  <c r="J3104" i="2"/>
  <c r="J3105" i="2"/>
  <c r="J3106" i="2"/>
  <c r="J3107" i="2"/>
  <c r="J3108" i="2"/>
  <c r="J3109" i="2"/>
  <c r="J3110" i="2"/>
  <c r="J3111" i="2"/>
  <c r="J3112" i="2"/>
  <c r="J3113" i="2"/>
  <c r="J3114" i="2"/>
  <c r="J3115" i="2"/>
  <c r="J3116" i="2"/>
  <c r="J3117" i="2"/>
  <c r="J3118" i="2"/>
  <c r="J3119" i="2"/>
  <c r="J3120" i="2"/>
  <c r="J3121" i="2"/>
  <c r="J3122" i="2"/>
  <c r="J3123" i="2"/>
  <c r="J3124" i="2"/>
  <c r="J3125" i="2"/>
  <c r="J3126" i="2"/>
  <c r="J3127" i="2"/>
  <c r="J3128" i="2"/>
  <c r="J3129" i="2"/>
  <c r="J3130" i="2"/>
  <c r="J3131" i="2"/>
  <c r="J3132" i="2"/>
  <c r="J3133" i="2"/>
  <c r="J3134" i="2"/>
  <c r="J3135" i="2"/>
  <c r="J3136" i="2"/>
  <c r="J3137" i="2"/>
  <c r="J3138" i="2"/>
  <c r="J3139" i="2"/>
  <c r="J3140" i="2"/>
  <c r="J3141" i="2"/>
  <c r="J3142" i="2"/>
  <c r="J3143" i="2"/>
  <c r="J3144" i="2"/>
  <c r="J3145" i="2"/>
  <c r="J3146" i="2"/>
  <c r="J3147" i="2"/>
  <c r="J3148" i="2"/>
  <c r="J3149" i="2"/>
  <c r="J3150" i="2"/>
  <c r="J3151" i="2"/>
  <c r="J3152" i="2"/>
  <c r="J3153" i="2"/>
  <c r="J3154" i="2"/>
  <c r="J3155" i="2"/>
  <c r="J3156" i="2"/>
  <c r="J3157" i="2"/>
  <c r="J3158" i="2"/>
  <c r="J3159" i="2"/>
  <c r="J3160" i="2"/>
  <c r="J3161" i="2"/>
  <c r="J3162" i="2"/>
  <c r="J3163" i="2"/>
  <c r="J3164" i="2"/>
  <c r="J3165" i="2"/>
  <c r="J3166" i="2"/>
  <c r="J3167" i="2"/>
  <c r="J3168" i="2"/>
  <c r="J3169" i="2"/>
  <c r="J3170" i="2"/>
  <c r="J3171" i="2"/>
  <c r="J3172" i="2"/>
  <c r="J3173" i="2"/>
  <c r="J3174" i="2"/>
  <c r="J3175" i="2"/>
  <c r="J3176" i="2"/>
  <c r="J3177" i="2"/>
  <c r="J3178" i="2"/>
  <c r="J3179" i="2"/>
  <c r="J3180" i="2"/>
  <c r="J3181" i="2"/>
  <c r="J3182" i="2"/>
  <c r="J3183" i="2"/>
  <c r="J3184" i="2"/>
  <c r="J3185" i="2"/>
  <c r="J3186" i="2"/>
  <c r="J3187" i="2"/>
  <c r="J3188" i="2"/>
  <c r="J3189" i="2"/>
  <c r="J3190" i="2"/>
  <c r="J3191" i="2"/>
  <c r="J3192" i="2"/>
  <c r="J3193" i="2"/>
  <c r="J3194" i="2"/>
  <c r="J3195" i="2"/>
  <c r="J3196" i="2"/>
  <c r="J3197" i="2"/>
  <c r="J3198" i="2"/>
  <c r="J3199" i="2"/>
  <c r="J3200" i="2"/>
  <c r="J3201" i="2"/>
  <c r="J3202" i="2"/>
  <c r="J3203" i="2"/>
  <c r="J3204" i="2"/>
  <c r="J3205" i="2"/>
  <c r="J3206" i="2"/>
  <c r="J3207" i="2"/>
  <c r="J3208" i="2"/>
  <c r="J3209" i="2"/>
  <c r="J3210" i="2"/>
  <c r="J3211" i="2"/>
  <c r="J3212" i="2"/>
  <c r="J3213" i="2"/>
  <c r="J3214" i="2"/>
  <c r="J3215" i="2"/>
  <c r="J3216" i="2"/>
  <c r="J3217" i="2"/>
  <c r="J3218" i="2"/>
  <c r="J3219" i="2"/>
  <c r="J3220" i="2"/>
  <c r="J3221" i="2"/>
  <c r="J3222" i="2"/>
  <c r="J3223" i="2"/>
  <c r="J3224" i="2"/>
  <c r="J3225" i="2"/>
  <c r="J3226" i="2"/>
  <c r="J3227" i="2"/>
  <c r="J3228" i="2"/>
  <c r="J3229" i="2"/>
  <c r="J3230" i="2"/>
  <c r="J3231" i="2"/>
  <c r="J3232" i="2"/>
  <c r="J3233" i="2"/>
  <c r="J3234" i="2"/>
  <c r="J3235" i="2"/>
  <c r="J3236" i="2"/>
  <c r="J3237" i="2"/>
  <c r="J3238" i="2"/>
  <c r="J3239" i="2"/>
  <c r="J3240" i="2"/>
  <c r="J3241" i="2"/>
  <c r="J3242" i="2"/>
  <c r="J3243" i="2"/>
  <c r="J3244" i="2"/>
  <c r="J3245" i="2"/>
  <c r="J3246" i="2"/>
  <c r="J3247" i="2"/>
  <c r="J3248" i="2"/>
  <c r="J3249" i="2"/>
  <c r="J3250" i="2"/>
  <c r="J3251" i="2"/>
  <c r="J3252" i="2"/>
  <c r="J3253" i="2"/>
  <c r="J3254" i="2"/>
  <c r="J3255" i="2"/>
  <c r="J3256" i="2"/>
  <c r="J3257" i="2"/>
  <c r="J3258" i="2"/>
  <c r="J3259" i="2"/>
  <c r="J3260" i="2"/>
  <c r="J3261" i="2"/>
  <c r="J3262" i="2"/>
  <c r="J3263" i="2"/>
  <c r="J3264" i="2"/>
  <c r="J3265" i="2"/>
  <c r="J3266" i="2"/>
  <c r="J3267" i="2"/>
  <c r="J3268" i="2"/>
  <c r="J3269" i="2"/>
  <c r="J3270" i="2"/>
  <c r="J3271" i="2"/>
  <c r="J3272" i="2"/>
  <c r="J3273" i="2"/>
  <c r="J3274" i="2"/>
  <c r="J3275" i="2"/>
  <c r="J3276" i="2"/>
  <c r="J3277" i="2"/>
  <c r="J3278" i="2"/>
  <c r="J3279" i="2"/>
  <c r="J3280" i="2"/>
  <c r="J3281" i="2"/>
  <c r="J3282" i="2"/>
  <c r="J3283" i="2"/>
  <c r="J3284" i="2"/>
  <c r="J3285" i="2"/>
  <c r="J3286" i="2"/>
  <c r="J3287" i="2"/>
  <c r="J3288" i="2"/>
  <c r="J3289" i="2"/>
  <c r="J3290" i="2"/>
  <c r="J3291" i="2"/>
  <c r="J3292" i="2"/>
  <c r="J3293" i="2"/>
  <c r="J3294" i="2"/>
  <c r="J3295" i="2"/>
  <c r="J3296" i="2"/>
  <c r="J3297" i="2"/>
  <c r="J3298" i="2"/>
  <c r="J3299" i="2"/>
  <c r="J3300" i="2"/>
  <c r="J3301" i="2"/>
  <c r="J3302" i="2"/>
  <c r="J3303" i="2"/>
  <c r="J3304" i="2"/>
  <c r="J3305" i="2"/>
  <c r="J3306" i="2"/>
  <c r="J3307" i="2"/>
  <c r="J3308" i="2"/>
  <c r="J3309" i="2"/>
  <c r="J3310" i="2"/>
  <c r="J3311" i="2"/>
  <c r="J3312" i="2"/>
  <c r="J3313" i="2"/>
  <c r="J3314" i="2"/>
  <c r="J3315" i="2"/>
  <c r="J3316" i="2"/>
  <c r="J3317" i="2"/>
  <c r="J3318" i="2"/>
  <c r="J3319" i="2"/>
  <c r="J3320" i="2"/>
  <c r="J3321" i="2"/>
  <c r="J3322" i="2"/>
  <c r="J3323" i="2"/>
  <c r="J3324" i="2"/>
  <c r="J3325" i="2"/>
  <c r="J3326" i="2"/>
  <c r="J3327" i="2"/>
  <c r="J3328" i="2"/>
  <c r="J3329" i="2"/>
  <c r="J3330" i="2"/>
  <c r="J3331" i="2"/>
  <c r="J3332" i="2"/>
  <c r="J3333" i="2"/>
  <c r="J3334" i="2"/>
  <c r="J3335" i="2"/>
  <c r="J3336" i="2"/>
  <c r="J3337" i="2"/>
  <c r="J3338" i="2"/>
  <c r="J3339" i="2"/>
  <c r="J3340" i="2"/>
  <c r="J3341" i="2"/>
  <c r="J3342" i="2"/>
  <c r="J3343" i="2"/>
  <c r="J3344" i="2"/>
  <c r="J3345" i="2"/>
  <c r="J3346" i="2"/>
  <c r="J3347" i="2"/>
  <c r="J3348" i="2"/>
  <c r="J3349" i="2"/>
  <c r="J3350" i="2"/>
  <c r="J3351" i="2"/>
  <c r="J3352" i="2"/>
  <c r="J3353" i="2"/>
  <c r="J3354" i="2"/>
  <c r="J3355" i="2"/>
  <c r="J3356" i="2"/>
  <c r="J3357" i="2"/>
  <c r="J3358" i="2"/>
  <c r="J3359" i="2"/>
  <c r="J3360" i="2"/>
  <c r="J3361" i="2"/>
  <c r="J3362" i="2"/>
  <c r="J3363" i="2"/>
  <c r="J3364" i="2"/>
  <c r="J3365" i="2"/>
  <c r="J3366" i="2"/>
  <c r="J3367" i="2"/>
  <c r="J3368" i="2"/>
  <c r="J3369" i="2"/>
  <c r="J3370" i="2"/>
  <c r="J3371" i="2"/>
  <c r="J3372" i="2"/>
  <c r="J3373" i="2"/>
  <c r="J3374" i="2"/>
  <c r="J3375" i="2"/>
  <c r="J3376" i="2"/>
  <c r="J3377" i="2"/>
  <c r="J3378" i="2"/>
  <c r="J3379" i="2"/>
  <c r="J3380" i="2"/>
  <c r="J3381" i="2"/>
  <c r="J3382" i="2"/>
  <c r="J3383" i="2"/>
  <c r="J3384" i="2"/>
  <c r="J3385" i="2"/>
  <c r="J3386" i="2"/>
  <c r="J3387" i="2"/>
  <c r="J3388" i="2"/>
  <c r="J3389" i="2"/>
  <c r="J3390" i="2"/>
  <c r="J3391" i="2"/>
  <c r="J3392" i="2"/>
  <c r="J3393" i="2"/>
  <c r="J3394" i="2"/>
  <c r="J3395" i="2"/>
  <c r="J3396" i="2"/>
  <c r="J3397" i="2"/>
  <c r="J3398" i="2"/>
  <c r="J3399" i="2"/>
  <c r="J3400" i="2"/>
  <c r="J3401" i="2"/>
  <c r="J3402" i="2"/>
  <c r="J3403" i="2"/>
  <c r="J3404" i="2"/>
  <c r="J3405" i="2"/>
  <c r="J3406" i="2"/>
  <c r="J3407" i="2"/>
  <c r="J3408" i="2"/>
  <c r="J3409" i="2"/>
  <c r="J3410" i="2"/>
  <c r="J3411" i="2"/>
  <c r="J3412" i="2"/>
  <c r="J3413" i="2"/>
  <c r="J3414" i="2"/>
  <c r="J3415" i="2"/>
  <c r="J3416" i="2"/>
  <c r="J3417" i="2"/>
  <c r="J3418" i="2"/>
  <c r="J3419" i="2"/>
  <c r="J3420" i="2"/>
  <c r="J3421" i="2"/>
  <c r="J3422" i="2"/>
  <c r="J3423" i="2"/>
  <c r="J3424" i="2"/>
  <c r="J3425" i="2"/>
  <c r="J3426" i="2"/>
  <c r="J3427" i="2"/>
  <c r="J3428" i="2"/>
  <c r="J3429" i="2"/>
  <c r="J3430" i="2"/>
  <c r="J3431" i="2"/>
  <c r="J3432" i="2"/>
  <c r="J3433" i="2"/>
  <c r="J3434" i="2"/>
  <c r="J3435" i="2"/>
  <c r="J3436" i="2"/>
  <c r="J3437" i="2"/>
  <c r="J3438" i="2"/>
  <c r="J3439" i="2"/>
  <c r="J3440" i="2"/>
  <c r="J3441" i="2"/>
  <c r="J3442" i="2"/>
  <c r="J3443" i="2"/>
  <c r="J3444" i="2"/>
  <c r="J3445" i="2"/>
  <c r="J3446" i="2"/>
  <c r="J3447" i="2"/>
  <c r="J3448" i="2"/>
  <c r="J3449" i="2"/>
  <c r="J3450" i="2"/>
  <c r="J3451" i="2"/>
  <c r="J3452" i="2"/>
  <c r="J3453" i="2"/>
  <c r="J3454" i="2"/>
  <c r="J3455" i="2"/>
  <c r="J3456" i="2"/>
  <c r="J3457" i="2"/>
  <c r="J3458" i="2"/>
  <c r="J3459" i="2"/>
  <c r="J3460" i="2"/>
  <c r="J3461" i="2"/>
  <c r="J3462" i="2"/>
  <c r="J3463" i="2"/>
  <c r="J3464" i="2"/>
  <c r="J3465" i="2"/>
  <c r="J3466" i="2"/>
  <c r="J3467" i="2"/>
  <c r="J3468" i="2"/>
  <c r="J3469" i="2"/>
  <c r="J3470" i="2"/>
  <c r="J3471" i="2"/>
  <c r="J3472" i="2"/>
  <c r="J3473" i="2"/>
  <c r="J3474" i="2"/>
  <c r="J3475" i="2"/>
  <c r="J3476" i="2"/>
  <c r="J3477" i="2"/>
  <c r="J3478" i="2"/>
  <c r="J3479" i="2"/>
  <c r="J3480" i="2"/>
  <c r="J3481" i="2"/>
  <c r="J3482" i="2"/>
  <c r="J3483" i="2"/>
  <c r="J3484" i="2"/>
  <c r="J3485" i="2"/>
  <c r="J3486" i="2"/>
  <c r="J3487" i="2"/>
  <c r="J3488" i="2"/>
  <c r="J3489" i="2"/>
  <c r="J3490" i="2"/>
  <c r="J3491" i="2"/>
  <c r="J3492" i="2"/>
  <c r="J3493" i="2"/>
  <c r="J3494" i="2"/>
  <c r="J3495" i="2"/>
  <c r="J3496" i="2"/>
  <c r="J3497" i="2"/>
  <c r="J3498" i="2"/>
  <c r="J3499" i="2"/>
  <c r="J3500" i="2"/>
  <c r="J3501" i="2"/>
  <c r="J3502" i="2"/>
  <c r="J3503" i="2"/>
  <c r="J3504" i="2"/>
  <c r="J3505" i="2"/>
  <c r="J3506" i="2"/>
  <c r="J3507" i="2"/>
  <c r="J3508" i="2"/>
  <c r="J3509" i="2"/>
  <c r="J3510" i="2"/>
  <c r="J3511" i="2"/>
  <c r="J3512" i="2"/>
  <c r="J3513" i="2"/>
  <c r="J3514" i="2"/>
  <c r="J3515" i="2"/>
  <c r="J3516" i="2"/>
  <c r="J3517" i="2"/>
  <c r="J3518" i="2"/>
  <c r="J3519" i="2"/>
  <c r="J3520" i="2"/>
  <c r="J3521" i="2"/>
  <c r="J3522" i="2"/>
  <c r="J3523" i="2"/>
  <c r="J3524" i="2"/>
  <c r="J3525" i="2"/>
  <c r="J3526" i="2"/>
  <c r="J3527" i="2"/>
  <c r="J3528" i="2"/>
  <c r="J3529" i="2"/>
  <c r="J3530" i="2"/>
  <c r="J3531" i="2"/>
  <c r="J3532" i="2"/>
  <c r="J3533" i="2"/>
  <c r="J3534" i="2"/>
  <c r="J3535" i="2"/>
  <c r="J3536" i="2"/>
  <c r="J3537" i="2"/>
  <c r="J3538" i="2"/>
  <c r="J3539" i="2"/>
  <c r="J3540" i="2"/>
  <c r="J3541" i="2"/>
  <c r="J3542" i="2"/>
  <c r="J3543" i="2"/>
  <c r="J3544" i="2"/>
  <c r="J3545" i="2"/>
  <c r="J3546" i="2"/>
  <c r="J3547" i="2"/>
  <c r="J3548" i="2"/>
  <c r="J3549" i="2"/>
  <c r="J3550" i="2"/>
  <c r="J3551" i="2"/>
  <c r="J3552" i="2"/>
  <c r="J3553" i="2"/>
  <c r="J3554" i="2"/>
  <c r="J3555" i="2"/>
  <c r="J3556" i="2"/>
  <c r="J3557" i="2"/>
  <c r="J3558" i="2"/>
  <c r="J3559" i="2"/>
  <c r="J3560" i="2"/>
  <c r="J3561" i="2"/>
  <c r="J3562" i="2"/>
  <c r="J3563" i="2"/>
  <c r="J3564" i="2"/>
  <c r="J3565" i="2"/>
  <c r="J3566" i="2"/>
  <c r="J3567" i="2"/>
  <c r="J3568" i="2"/>
  <c r="J3569" i="2"/>
  <c r="J3570" i="2"/>
  <c r="J3571" i="2"/>
  <c r="J3572" i="2"/>
  <c r="J3573" i="2"/>
  <c r="J3574" i="2"/>
  <c r="J3575" i="2"/>
  <c r="J3576" i="2"/>
  <c r="J3577" i="2"/>
  <c r="J3578" i="2"/>
  <c r="J3579" i="2"/>
  <c r="J3580" i="2"/>
  <c r="J3581" i="2"/>
  <c r="J3582" i="2"/>
  <c r="J3583" i="2"/>
  <c r="J3584" i="2"/>
  <c r="J3585" i="2"/>
  <c r="J3586" i="2"/>
  <c r="J3587" i="2"/>
  <c r="J3588" i="2"/>
  <c r="J3589" i="2"/>
  <c r="J3590" i="2"/>
  <c r="J3591" i="2"/>
  <c r="J3592" i="2"/>
  <c r="J3593" i="2"/>
  <c r="J3594" i="2"/>
  <c r="J3595" i="2"/>
  <c r="J3596" i="2"/>
  <c r="J3597" i="2"/>
  <c r="J3598" i="2"/>
  <c r="J3599" i="2"/>
  <c r="J3600" i="2"/>
  <c r="J3601" i="2"/>
  <c r="J3602" i="2"/>
  <c r="J3603" i="2"/>
  <c r="J3604" i="2"/>
  <c r="J3605" i="2"/>
  <c r="J3606" i="2"/>
  <c r="J3607" i="2"/>
  <c r="J3608" i="2"/>
  <c r="J3609" i="2"/>
  <c r="J3610" i="2"/>
  <c r="J3611" i="2"/>
  <c r="J3612" i="2"/>
  <c r="J3613" i="2"/>
  <c r="J3614" i="2"/>
  <c r="J3615" i="2"/>
  <c r="J3616" i="2"/>
  <c r="J3617" i="2"/>
  <c r="J3618" i="2"/>
  <c r="J3619" i="2"/>
  <c r="J3620" i="2"/>
  <c r="J3621" i="2"/>
  <c r="J3622" i="2"/>
  <c r="J3623" i="2"/>
  <c r="J3624" i="2"/>
  <c r="J3625" i="2"/>
  <c r="J3626" i="2"/>
  <c r="J3627" i="2"/>
  <c r="J3628" i="2"/>
  <c r="J3629" i="2"/>
  <c r="J3630" i="2"/>
  <c r="J3631" i="2"/>
  <c r="J3632" i="2"/>
  <c r="J3633" i="2"/>
  <c r="J3634" i="2"/>
  <c r="J3635" i="2"/>
  <c r="J3636" i="2"/>
  <c r="J3637" i="2"/>
  <c r="J3638" i="2"/>
  <c r="J3639" i="2"/>
  <c r="J3640" i="2"/>
  <c r="J3641" i="2"/>
  <c r="J3642" i="2"/>
  <c r="J3643" i="2"/>
  <c r="J3644" i="2"/>
  <c r="J3645" i="2"/>
  <c r="J3646" i="2"/>
  <c r="J3647" i="2"/>
  <c r="J3648" i="2"/>
  <c r="J3649" i="2"/>
  <c r="J3650" i="2"/>
  <c r="J3651" i="2"/>
  <c r="J3652" i="2"/>
  <c r="J3653" i="2"/>
  <c r="J3654" i="2"/>
  <c r="J3655" i="2"/>
  <c r="J3656" i="2"/>
  <c r="J3657" i="2"/>
  <c r="J3658" i="2"/>
  <c r="J3659" i="2"/>
  <c r="J3660" i="2"/>
  <c r="J3661" i="2"/>
  <c r="J3662" i="2"/>
  <c r="J3663" i="2"/>
  <c r="J3664" i="2"/>
  <c r="J3665" i="2"/>
  <c r="J3666" i="2"/>
  <c r="J3667" i="2"/>
  <c r="J3668" i="2"/>
  <c r="J3669" i="2"/>
  <c r="J3670" i="2"/>
  <c r="J3671" i="2"/>
  <c r="J3672" i="2"/>
  <c r="J3673" i="2"/>
  <c r="J3674" i="2"/>
  <c r="J3675" i="2"/>
  <c r="J3676" i="2"/>
  <c r="J3677" i="2"/>
  <c r="J3678" i="2"/>
  <c r="J3679" i="2"/>
  <c r="J3680" i="2"/>
  <c r="J3681" i="2"/>
  <c r="J3682" i="2"/>
  <c r="J3683" i="2"/>
  <c r="J3684" i="2"/>
  <c r="J3685" i="2"/>
  <c r="J3686" i="2"/>
  <c r="J3687" i="2"/>
  <c r="J3688" i="2"/>
  <c r="J3689" i="2"/>
  <c r="J3690" i="2"/>
  <c r="J3691" i="2"/>
  <c r="J3692" i="2"/>
  <c r="J3693" i="2"/>
  <c r="J3694" i="2"/>
  <c r="J3695" i="2"/>
  <c r="J3696" i="2"/>
  <c r="J3697" i="2"/>
  <c r="J3698" i="2"/>
  <c r="J3699" i="2"/>
  <c r="J3700" i="2"/>
  <c r="J3701" i="2"/>
  <c r="J3702" i="2"/>
  <c r="J3703" i="2"/>
  <c r="J3704" i="2"/>
  <c r="J3705" i="2"/>
  <c r="J3706" i="2"/>
  <c r="J3707" i="2"/>
  <c r="J3708" i="2"/>
  <c r="J3709" i="2"/>
  <c r="J3710" i="2"/>
  <c r="J3711" i="2"/>
  <c r="J3712" i="2"/>
  <c r="J3713" i="2"/>
  <c r="J3714" i="2"/>
  <c r="J3715" i="2"/>
  <c r="J3716" i="2"/>
  <c r="J3717" i="2"/>
  <c r="J3718" i="2"/>
  <c r="J3719" i="2"/>
  <c r="J3720" i="2"/>
  <c r="J3721" i="2"/>
  <c r="J3722" i="2"/>
  <c r="J3723" i="2"/>
  <c r="J3724" i="2"/>
  <c r="J3725" i="2"/>
  <c r="J3726" i="2"/>
  <c r="J3727" i="2"/>
  <c r="J3728" i="2"/>
  <c r="J3729" i="2"/>
  <c r="J3730" i="2"/>
  <c r="J3731" i="2"/>
  <c r="J3732" i="2"/>
  <c r="J3733" i="2"/>
  <c r="J3734" i="2"/>
  <c r="J3735" i="2"/>
  <c r="J3736" i="2"/>
  <c r="J3737" i="2"/>
  <c r="J3738" i="2"/>
  <c r="J3739" i="2"/>
  <c r="J3740" i="2"/>
  <c r="J3741" i="2"/>
  <c r="J3742" i="2"/>
  <c r="J3743" i="2"/>
  <c r="J3744" i="2"/>
  <c r="J3745" i="2"/>
  <c r="J3746" i="2"/>
  <c r="J3747" i="2"/>
  <c r="J3748" i="2"/>
  <c r="J3749" i="2"/>
  <c r="J3750" i="2"/>
  <c r="J3751" i="2"/>
  <c r="J3752" i="2"/>
  <c r="J3753" i="2"/>
  <c r="J3754" i="2"/>
  <c r="J3755" i="2"/>
  <c r="J3756" i="2"/>
  <c r="J3757" i="2"/>
  <c r="J3758" i="2"/>
  <c r="J3759" i="2"/>
  <c r="J3760" i="2"/>
  <c r="J3761" i="2"/>
  <c r="J3762" i="2"/>
  <c r="J3763" i="2"/>
  <c r="J3764" i="2"/>
  <c r="J3765" i="2"/>
  <c r="J3766" i="2"/>
  <c r="J3767" i="2"/>
  <c r="J3768" i="2"/>
  <c r="J3769" i="2"/>
  <c r="J3770" i="2"/>
  <c r="J3771" i="2"/>
  <c r="J3772" i="2"/>
  <c r="J3773" i="2"/>
  <c r="J3774" i="2"/>
  <c r="J3775" i="2"/>
  <c r="J3776" i="2"/>
  <c r="J3777" i="2"/>
  <c r="J3778" i="2"/>
  <c r="J3779" i="2"/>
  <c r="J3780" i="2"/>
  <c r="J3781" i="2"/>
  <c r="J3782" i="2"/>
  <c r="J3783" i="2"/>
  <c r="J3784" i="2"/>
  <c r="J3785" i="2"/>
  <c r="J3786" i="2"/>
  <c r="J3787" i="2"/>
  <c r="J3788" i="2"/>
  <c r="J3789" i="2"/>
  <c r="J3790" i="2"/>
  <c r="J3791" i="2"/>
  <c r="J3792" i="2"/>
  <c r="J3793" i="2"/>
  <c r="J3794" i="2"/>
  <c r="J3795" i="2"/>
  <c r="J3796" i="2"/>
  <c r="J3797" i="2"/>
  <c r="J3798" i="2"/>
  <c r="J3799" i="2"/>
  <c r="J3800" i="2"/>
  <c r="J3801" i="2"/>
  <c r="J3802" i="2"/>
  <c r="J3803" i="2"/>
  <c r="J3804" i="2"/>
  <c r="J3805" i="2"/>
  <c r="J3806" i="2"/>
  <c r="J3807" i="2"/>
  <c r="J3808" i="2"/>
  <c r="J3809" i="2"/>
  <c r="J3810" i="2"/>
  <c r="J3811" i="2"/>
  <c r="J3812" i="2"/>
  <c r="J3813" i="2"/>
  <c r="J3814" i="2"/>
  <c r="J3815" i="2"/>
  <c r="J3816" i="2"/>
  <c r="J3817" i="2"/>
  <c r="J3818" i="2"/>
  <c r="J3819" i="2"/>
  <c r="J3820" i="2"/>
  <c r="J3821" i="2"/>
  <c r="J3822" i="2"/>
  <c r="J3823" i="2"/>
  <c r="J3824" i="2"/>
  <c r="J3825" i="2"/>
  <c r="J3826" i="2"/>
  <c r="J3827" i="2"/>
  <c r="J3828" i="2"/>
  <c r="J3829" i="2"/>
  <c r="J3830" i="2"/>
  <c r="J3831" i="2"/>
  <c r="J3832" i="2"/>
  <c r="J3833" i="2"/>
  <c r="J3834" i="2"/>
  <c r="J3835" i="2"/>
  <c r="J3836" i="2"/>
  <c r="J3837" i="2"/>
  <c r="J3838" i="2"/>
  <c r="J3839" i="2"/>
  <c r="J3840" i="2"/>
  <c r="J3841" i="2"/>
  <c r="J3842" i="2"/>
  <c r="J3843" i="2"/>
  <c r="J3844" i="2"/>
  <c r="J3845" i="2"/>
  <c r="J3846" i="2"/>
  <c r="J3847" i="2"/>
  <c r="J3848" i="2"/>
  <c r="J3849" i="2"/>
  <c r="J3850" i="2"/>
  <c r="J3851" i="2"/>
  <c r="J3852" i="2"/>
  <c r="J3853" i="2"/>
  <c r="J3854" i="2"/>
  <c r="J3855" i="2"/>
  <c r="J3856" i="2"/>
  <c r="J3857" i="2"/>
  <c r="J3858" i="2"/>
  <c r="J3859" i="2"/>
  <c r="J3860" i="2"/>
  <c r="J3861" i="2"/>
  <c r="J3862" i="2"/>
  <c r="J3863" i="2"/>
  <c r="J3864" i="2"/>
  <c r="J3865" i="2"/>
  <c r="J3866" i="2"/>
  <c r="J3867" i="2"/>
  <c r="J3868" i="2"/>
  <c r="J3869" i="2"/>
  <c r="J3870" i="2"/>
  <c r="J3871" i="2"/>
  <c r="J3872" i="2"/>
  <c r="J3873" i="2"/>
  <c r="J3874" i="2"/>
  <c r="J3875" i="2"/>
  <c r="J3876" i="2"/>
  <c r="J3877" i="2"/>
  <c r="J3878" i="2"/>
  <c r="J3879" i="2"/>
  <c r="J3880" i="2"/>
  <c r="J3881" i="2"/>
  <c r="J3882" i="2"/>
  <c r="J3883" i="2"/>
  <c r="J3884" i="2"/>
  <c r="J3885" i="2"/>
  <c r="J3886" i="2"/>
  <c r="J3887" i="2"/>
  <c r="J3888" i="2"/>
  <c r="J3889" i="2"/>
  <c r="J3890" i="2"/>
  <c r="J3891" i="2"/>
  <c r="J3892" i="2"/>
  <c r="J3893" i="2"/>
  <c r="J3894" i="2"/>
  <c r="J3895" i="2"/>
  <c r="J3896" i="2"/>
  <c r="J3897" i="2"/>
  <c r="J3898" i="2"/>
  <c r="J3899" i="2"/>
  <c r="J3900" i="2"/>
  <c r="J3901" i="2"/>
  <c r="J3902" i="2"/>
  <c r="J3903" i="2"/>
  <c r="J3904" i="2"/>
  <c r="J3905" i="2"/>
  <c r="J3906" i="2"/>
  <c r="J3907" i="2"/>
  <c r="J3908" i="2"/>
  <c r="J3909" i="2"/>
  <c r="J3910" i="2"/>
  <c r="J3911" i="2"/>
  <c r="J3912" i="2"/>
  <c r="J3913" i="2"/>
  <c r="J3914" i="2"/>
  <c r="J3915" i="2"/>
  <c r="J3916" i="2"/>
  <c r="J3917" i="2"/>
  <c r="J3918" i="2"/>
  <c r="J3919" i="2"/>
  <c r="J3920" i="2"/>
  <c r="J3921" i="2"/>
  <c r="J3922" i="2"/>
  <c r="J3923" i="2"/>
  <c r="J3924" i="2"/>
  <c r="J3925" i="2"/>
  <c r="J3926" i="2"/>
  <c r="J3927" i="2"/>
  <c r="J3928" i="2"/>
  <c r="J3929" i="2"/>
  <c r="J3930" i="2"/>
  <c r="J3931" i="2"/>
  <c r="J3932" i="2"/>
  <c r="J3933" i="2"/>
  <c r="J3934" i="2"/>
  <c r="J3935" i="2"/>
  <c r="J3936" i="2"/>
  <c r="J3937" i="2"/>
  <c r="J3938" i="2"/>
  <c r="J3939" i="2"/>
  <c r="J3940" i="2"/>
  <c r="J3941" i="2"/>
  <c r="J3942" i="2"/>
  <c r="J3943" i="2"/>
  <c r="J3944" i="2"/>
  <c r="J3945" i="2"/>
  <c r="J3946" i="2"/>
  <c r="J3947" i="2"/>
  <c r="J3948" i="2"/>
  <c r="J3949" i="2"/>
  <c r="J3950" i="2"/>
  <c r="J3951" i="2"/>
  <c r="J3952" i="2"/>
  <c r="J3953" i="2"/>
  <c r="J3954" i="2"/>
  <c r="J3955" i="2"/>
  <c r="J3956" i="2"/>
  <c r="J3957" i="2"/>
  <c r="J3958" i="2"/>
  <c r="J3959" i="2"/>
  <c r="J3960" i="2"/>
  <c r="J3961" i="2"/>
  <c r="J3962" i="2"/>
  <c r="J3963" i="2"/>
  <c r="J3964" i="2"/>
  <c r="J3965" i="2"/>
  <c r="J3966" i="2"/>
  <c r="J3967" i="2"/>
  <c r="J3968" i="2"/>
  <c r="J3969" i="2"/>
  <c r="J3970" i="2"/>
  <c r="J3971" i="2"/>
  <c r="J3972" i="2"/>
  <c r="J3973" i="2"/>
  <c r="J3974" i="2"/>
  <c r="J3975" i="2"/>
  <c r="J3976" i="2"/>
  <c r="J3977" i="2"/>
  <c r="J3978" i="2"/>
  <c r="J3979" i="2"/>
  <c r="J3980" i="2"/>
  <c r="J3981" i="2"/>
  <c r="J3982" i="2"/>
  <c r="J3983" i="2"/>
  <c r="J3984" i="2"/>
  <c r="J3985" i="2"/>
  <c r="J3986" i="2"/>
  <c r="J3987" i="2"/>
  <c r="J3988" i="2"/>
  <c r="J3989" i="2"/>
  <c r="J3990" i="2"/>
  <c r="J3991" i="2"/>
  <c r="J3992" i="2"/>
  <c r="J3993" i="2"/>
  <c r="J3994" i="2"/>
  <c r="J3995" i="2"/>
  <c r="J3996" i="2"/>
  <c r="J3997" i="2"/>
  <c r="J3998" i="2"/>
  <c r="J3999" i="2"/>
  <c r="J4000" i="2"/>
  <c r="J4001" i="2"/>
  <c r="J4002" i="2"/>
  <c r="J4003" i="2"/>
  <c r="J4004" i="2"/>
  <c r="J4005" i="2"/>
  <c r="J4006" i="2"/>
  <c r="J4007" i="2"/>
  <c r="J4008" i="2"/>
  <c r="J4009" i="2"/>
  <c r="J4010" i="2"/>
  <c r="J4011" i="2"/>
  <c r="J4012" i="2"/>
  <c r="J4013" i="2"/>
  <c r="J4014" i="2"/>
  <c r="J4015" i="2"/>
  <c r="J4016" i="2"/>
  <c r="J4017" i="2"/>
  <c r="J4018" i="2"/>
  <c r="J4019" i="2"/>
  <c r="J4020" i="2"/>
  <c r="J4021" i="2"/>
  <c r="J4022" i="2"/>
  <c r="J4023" i="2"/>
  <c r="J4024" i="2"/>
  <c r="J4025" i="2"/>
  <c r="J4026" i="2"/>
  <c r="J4027" i="2"/>
  <c r="J4028" i="2"/>
  <c r="J4029" i="2"/>
  <c r="J4030" i="2"/>
  <c r="J4031" i="2"/>
  <c r="J4032" i="2"/>
  <c r="J4033" i="2"/>
  <c r="J4034" i="2"/>
  <c r="J4035" i="2"/>
  <c r="J4036" i="2"/>
  <c r="J4037" i="2"/>
  <c r="J4038" i="2"/>
  <c r="J4039" i="2"/>
  <c r="J4040" i="2"/>
  <c r="J4041" i="2"/>
  <c r="J4042" i="2"/>
  <c r="J4043" i="2"/>
  <c r="J4044" i="2"/>
  <c r="J4045" i="2"/>
  <c r="J4046" i="2"/>
  <c r="J4047" i="2"/>
  <c r="J4048" i="2"/>
  <c r="J4049" i="2"/>
  <c r="J4050" i="2"/>
  <c r="J4051" i="2"/>
  <c r="J4052" i="2"/>
  <c r="J4053" i="2"/>
  <c r="J4054" i="2"/>
  <c r="J4055" i="2"/>
  <c r="J4056" i="2"/>
  <c r="J4057" i="2"/>
  <c r="J4058" i="2"/>
  <c r="J4059" i="2"/>
  <c r="J4060" i="2"/>
  <c r="J4061" i="2"/>
  <c r="J4062" i="2"/>
  <c r="J4063" i="2"/>
  <c r="J4064" i="2"/>
  <c r="J4065" i="2"/>
  <c r="J4066" i="2"/>
  <c r="J4067" i="2"/>
  <c r="J4068" i="2"/>
  <c r="J4069" i="2"/>
  <c r="J4070" i="2"/>
  <c r="J4071" i="2"/>
  <c r="J4072" i="2"/>
  <c r="J4073" i="2"/>
  <c r="J4074" i="2"/>
  <c r="J4075" i="2"/>
  <c r="J4076" i="2"/>
  <c r="J4077" i="2"/>
  <c r="J4078" i="2"/>
  <c r="J4079" i="2"/>
  <c r="J4080" i="2"/>
  <c r="J4081" i="2"/>
  <c r="J4082" i="2"/>
  <c r="J4083" i="2"/>
  <c r="J4084" i="2"/>
  <c r="J4085" i="2"/>
  <c r="J4086" i="2"/>
  <c r="J4087" i="2"/>
  <c r="J4088" i="2"/>
  <c r="J4089" i="2"/>
  <c r="J4090" i="2"/>
  <c r="J4091" i="2"/>
  <c r="J4092" i="2"/>
  <c r="J4093" i="2"/>
  <c r="J4094" i="2"/>
  <c r="J4095" i="2"/>
  <c r="J4096" i="2"/>
  <c r="J4097" i="2"/>
  <c r="J4098" i="2"/>
  <c r="J4099" i="2"/>
  <c r="J4100" i="2"/>
  <c r="J4101" i="2"/>
  <c r="J4102" i="2"/>
  <c r="J4103" i="2"/>
  <c r="J4104" i="2"/>
  <c r="J4105" i="2"/>
  <c r="J4106" i="2"/>
  <c r="J4107" i="2"/>
  <c r="J4108" i="2"/>
  <c r="J4109" i="2"/>
  <c r="J4110" i="2"/>
  <c r="J4111" i="2"/>
  <c r="J4112" i="2"/>
  <c r="J4113" i="2"/>
  <c r="J4114" i="2"/>
  <c r="J4115" i="2"/>
  <c r="J4116" i="2"/>
  <c r="J4117" i="2"/>
  <c r="J4118" i="2"/>
  <c r="J4119" i="2"/>
  <c r="J4120" i="2"/>
  <c r="J4121" i="2"/>
  <c r="J4122" i="2"/>
  <c r="J4123" i="2"/>
  <c r="J4124" i="2"/>
  <c r="J4125" i="2"/>
  <c r="J4126" i="2"/>
  <c r="J4127" i="2"/>
  <c r="J4128" i="2"/>
  <c r="J4129" i="2"/>
  <c r="J4130" i="2"/>
  <c r="J4131" i="2"/>
  <c r="J4132" i="2"/>
  <c r="J4133" i="2"/>
  <c r="J4134" i="2"/>
  <c r="J4135" i="2"/>
  <c r="J4136" i="2"/>
  <c r="J4137" i="2"/>
  <c r="J4138" i="2"/>
  <c r="J4139" i="2"/>
  <c r="J4140" i="2"/>
  <c r="J4141" i="2"/>
  <c r="J4142" i="2"/>
  <c r="J4143" i="2"/>
  <c r="J4144" i="2"/>
  <c r="J4145" i="2"/>
  <c r="J4146" i="2"/>
  <c r="J4147" i="2"/>
  <c r="J4148" i="2"/>
  <c r="J4149" i="2"/>
  <c r="J4150" i="2"/>
  <c r="J4151" i="2"/>
  <c r="J4152" i="2"/>
  <c r="J4153" i="2"/>
  <c r="J4154" i="2"/>
  <c r="J4155" i="2"/>
  <c r="J4156" i="2"/>
  <c r="J4157" i="2"/>
  <c r="J4158" i="2"/>
  <c r="J4159" i="2"/>
  <c r="J4160" i="2"/>
  <c r="J4161" i="2"/>
  <c r="J4162" i="2"/>
  <c r="J4163" i="2"/>
  <c r="J4164" i="2"/>
  <c r="J4165" i="2"/>
  <c r="J4166" i="2"/>
  <c r="J4167" i="2"/>
  <c r="J4168" i="2"/>
  <c r="J4169" i="2"/>
  <c r="J4170" i="2"/>
  <c r="J4171" i="2"/>
  <c r="J4172" i="2"/>
  <c r="J4173" i="2"/>
  <c r="J4174" i="2"/>
  <c r="J4175" i="2"/>
  <c r="J4176" i="2"/>
  <c r="J4177" i="2"/>
  <c r="J4178" i="2"/>
  <c r="J4179" i="2"/>
  <c r="J4180" i="2"/>
  <c r="J4181" i="2"/>
  <c r="J4182" i="2"/>
  <c r="J4183" i="2"/>
  <c r="J4184" i="2"/>
  <c r="J4185" i="2"/>
  <c r="J4186" i="2"/>
  <c r="J4187" i="2"/>
  <c r="J4188" i="2"/>
  <c r="J4189" i="2"/>
  <c r="J4190" i="2"/>
  <c r="J4191" i="2"/>
  <c r="J4192" i="2"/>
  <c r="J4193" i="2"/>
  <c r="J4194" i="2"/>
  <c r="J4195" i="2"/>
  <c r="J4196" i="2"/>
  <c r="J4197" i="2"/>
  <c r="J4198" i="2"/>
  <c r="J4199" i="2"/>
  <c r="J4200" i="2"/>
  <c r="J4201" i="2"/>
  <c r="J4202" i="2"/>
  <c r="J4203" i="2"/>
  <c r="J4204" i="2"/>
  <c r="J4205" i="2"/>
  <c r="J4206" i="2"/>
  <c r="J4207" i="2"/>
  <c r="J4208" i="2"/>
  <c r="J4209" i="2"/>
  <c r="J4210" i="2"/>
  <c r="J4211" i="2"/>
  <c r="J4212" i="2"/>
  <c r="J4213" i="2"/>
  <c r="J4214" i="2"/>
  <c r="J4215" i="2"/>
  <c r="J4216" i="2"/>
  <c r="J4217" i="2"/>
  <c r="J4218" i="2"/>
  <c r="J4219" i="2"/>
  <c r="J4220" i="2"/>
  <c r="J4221" i="2"/>
  <c r="J4222" i="2"/>
  <c r="J4223" i="2"/>
  <c r="J4224" i="2"/>
  <c r="J4225" i="2"/>
  <c r="J4226" i="2"/>
  <c r="J4227" i="2"/>
  <c r="J4228" i="2"/>
  <c r="J4229" i="2"/>
  <c r="J4230" i="2"/>
  <c r="J4231" i="2"/>
  <c r="J4232" i="2"/>
  <c r="J4233" i="2"/>
  <c r="J4234" i="2"/>
  <c r="J4235" i="2"/>
  <c r="J4236" i="2"/>
  <c r="J4237" i="2"/>
  <c r="J4238" i="2"/>
  <c r="J4239" i="2"/>
  <c r="J4240" i="2"/>
  <c r="J4241" i="2"/>
  <c r="J4242" i="2"/>
  <c r="J4243" i="2"/>
  <c r="J4244" i="2"/>
  <c r="J4245" i="2"/>
  <c r="J4246" i="2"/>
  <c r="J4247" i="2"/>
  <c r="J4248" i="2"/>
  <c r="J4249" i="2"/>
  <c r="J4250" i="2"/>
  <c r="J4251" i="2"/>
  <c r="J4252" i="2"/>
  <c r="J4253" i="2"/>
  <c r="J4254" i="2"/>
  <c r="J4255" i="2"/>
  <c r="J4256" i="2"/>
  <c r="J4257" i="2"/>
  <c r="J4258" i="2"/>
  <c r="J4259" i="2"/>
  <c r="J4260" i="2"/>
  <c r="J4261" i="2"/>
  <c r="J4262" i="2"/>
  <c r="J4263" i="2"/>
  <c r="J4264" i="2"/>
  <c r="J4265" i="2"/>
  <c r="J4266" i="2"/>
  <c r="J4267" i="2"/>
  <c r="J4268" i="2"/>
  <c r="J4269" i="2"/>
  <c r="J4270" i="2"/>
  <c r="J4271" i="2"/>
  <c r="J4272" i="2"/>
  <c r="J4273" i="2"/>
  <c r="J4274" i="2"/>
  <c r="J4275" i="2"/>
  <c r="J4276" i="2"/>
  <c r="J4277" i="2"/>
  <c r="J4278" i="2"/>
  <c r="J4279" i="2"/>
  <c r="J4280" i="2"/>
  <c r="J4281" i="2"/>
  <c r="J4282" i="2"/>
  <c r="J4283" i="2"/>
  <c r="J4284" i="2"/>
  <c r="J4285" i="2"/>
  <c r="J4286" i="2"/>
  <c r="J4287" i="2"/>
  <c r="J4288" i="2"/>
  <c r="J4289" i="2"/>
  <c r="J4290" i="2"/>
  <c r="J4291" i="2"/>
  <c r="J4292" i="2"/>
  <c r="J4293" i="2"/>
  <c r="J4294" i="2"/>
  <c r="J4295" i="2"/>
  <c r="J4296" i="2"/>
  <c r="J4297" i="2"/>
  <c r="J4298" i="2"/>
  <c r="J4299" i="2"/>
  <c r="J4300" i="2"/>
  <c r="J4301" i="2"/>
  <c r="J4302" i="2"/>
  <c r="J4303" i="2"/>
  <c r="J4304" i="2"/>
  <c r="J4305" i="2"/>
  <c r="J4306" i="2"/>
  <c r="J4307" i="2"/>
  <c r="J4308" i="2"/>
  <c r="J4309" i="2"/>
  <c r="J4310" i="2"/>
  <c r="J4311" i="2"/>
  <c r="J4312" i="2"/>
  <c r="J4313" i="2"/>
  <c r="J4314" i="2"/>
  <c r="J4315" i="2"/>
  <c r="J4316" i="2"/>
  <c r="J4317" i="2"/>
  <c r="J4318" i="2"/>
  <c r="J4319" i="2"/>
  <c r="J4320" i="2"/>
  <c r="J4321" i="2"/>
  <c r="J4322" i="2"/>
  <c r="J4323" i="2"/>
  <c r="J4324" i="2"/>
  <c r="J4325" i="2"/>
  <c r="J4326" i="2"/>
  <c r="J4327" i="2"/>
  <c r="J4328" i="2"/>
  <c r="J4329" i="2"/>
  <c r="J4330" i="2"/>
  <c r="J4331" i="2"/>
  <c r="J4332" i="2"/>
  <c r="J4333" i="2"/>
  <c r="J4334" i="2"/>
  <c r="J4335" i="2"/>
  <c r="J4336" i="2"/>
  <c r="J4337" i="2"/>
  <c r="J4338" i="2"/>
  <c r="J4339" i="2"/>
  <c r="J4340" i="2"/>
  <c r="J4341" i="2"/>
  <c r="J4342" i="2"/>
  <c r="J4343" i="2"/>
  <c r="J4344" i="2"/>
  <c r="J4345" i="2"/>
  <c r="J4346" i="2"/>
  <c r="J4347" i="2"/>
  <c r="J4348" i="2"/>
  <c r="J4349" i="2"/>
  <c r="J4350" i="2"/>
  <c r="J4351" i="2"/>
  <c r="J4352" i="2"/>
  <c r="J4353" i="2"/>
  <c r="J4354" i="2"/>
  <c r="J4355" i="2"/>
  <c r="J4356" i="2"/>
  <c r="J4357" i="2"/>
  <c r="J4358" i="2"/>
  <c r="J4359" i="2"/>
  <c r="J4360" i="2"/>
  <c r="J4361" i="2"/>
  <c r="J4362" i="2"/>
  <c r="J4363" i="2"/>
  <c r="J4364" i="2"/>
  <c r="J4365" i="2"/>
  <c r="J4366" i="2"/>
  <c r="J4367" i="2"/>
  <c r="J4368" i="2"/>
  <c r="J4369" i="2"/>
  <c r="J4370" i="2"/>
  <c r="J4371" i="2"/>
  <c r="J4372" i="2"/>
  <c r="J4373" i="2"/>
  <c r="J4374" i="2"/>
  <c r="J4375" i="2"/>
  <c r="J4376" i="2"/>
  <c r="J4377" i="2"/>
  <c r="J4378" i="2"/>
  <c r="J4379" i="2"/>
  <c r="J4380" i="2"/>
  <c r="J4381" i="2"/>
  <c r="J4382" i="2"/>
  <c r="J4383" i="2"/>
  <c r="J4384" i="2"/>
  <c r="J4385" i="2"/>
  <c r="J4386" i="2"/>
  <c r="J4387" i="2"/>
  <c r="J4388" i="2"/>
  <c r="J4389" i="2"/>
  <c r="J4390" i="2"/>
  <c r="J4391" i="2"/>
  <c r="J4392" i="2"/>
  <c r="J4393" i="2"/>
  <c r="J4394" i="2"/>
  <c r="J4395" i="2"/>
  <c r="J4396" i="2"/>
  <c r="J4397" i="2"/>
  <c r="J4398" i="2"/>
  <c r="J4399" i="2"/>
  <c r="J4400" i="2"/>
  <c r="J4401" i="2"/>
  <c r="J4402" i="2"/>
  <c r="J4403" i="2"/>
  <c r="J4404" i="2"/>
  <c r="J4405" i="2"/>
  <c r="J4406" i="2"/>
  <c r="J4407" i="2"/>
  <c r="J4408" i="2"/>
  <c r="J4409" i="2"/>
  <c r="J4410" i="2"/>
  <c r="J4411" i="2"/>
  <c r="J4412" i="2"/>
  <c r="J4413" i="2"/>
  <c r="J4414" i="2"/>
  <c r="J4415" i="2"/>
  <c r="J4416" i="2"/>
  <c r="J4417" i="2"/>
  <c r="J4418" i="2"/>
  <c r="J4419" i="2"/>
  <c r="J4420" i="2"/>
  <c r="J4421" i="2"/>
  <c r="J4422" i="2"/>
  <c r="J4423" i="2"/>
  <c r="J4424" i="2"/>
  <c r="J4425" i="2"/>
  <c r="J4426" i="2"/>
  <c r="J4427" i="2"/>
  <c r="J4428" i="2"/>
  <c r="J4429" i="2"/>
  <c r="J4430" i="2"/>
  <c r="J4431" i="2"/>
  <c r="J4432" i="2"/>
  <c r="J4433" i="2"/>
  <c r="J4434" i="2"/>
  <c r="J4435" i="2"/>
  <c r="J4436" i="2"/>
  <c r="J4437" i="2"/>
  <c r="J4438" i="2"/>
  <c r="J4439" i="2"/>
  <c r="J4440" i="2"/>
  <c r="J4441" i="2"/>
  <c r="J4442" i="2"/>
  <c r="J4443" i="2"/>
  <c r="J4444" i="2"/>
  <c r="J4445" i="2"/>
  <c r="J4446" i="2"/>
  <c r="J4447" i="2"/>
  <c r="J4448" i="2"/>
  <c r="J4449" i="2"/>
  <c r="J4450" i="2"/>
  <c r="J4451" i="2"/>
  <c r="J4452" i="2"/>
  <c r="J4453" i="2"/>
  <c r="J4454" i="2"/>
  <c r="J4455" i="2"/>
  <c r="J4456" i="2"/>
  <c r="J4457" i="2"/>
  <c r="J4458" i="2"/>
  <c r="J4459" i="2"/>
  <c r="J4460" i="2"/>
  <c r="J4461" i="2"/>
  <c r="J4462" i="2"/>
  <c r="J4463" i="2"/>
  <c r="J4464" i="2"/>
  <c r="J4465" i="2"/>
  <c r="J4466" i="2"/>
  <c r="J4467" i="2"/>
  <c r="J4468" i="2"/>
  <c r="J4469" i="2"/>
  <c r="J4470" i="2"/>
  <c r="J4471" i="2"/>
  <c r="J4472" i="2"/>
  <c r="J4473" i="2"/>
  <c r="J4474" i="2"/>
  <c r="J4475" i="2"/>
  <c r="J4476" i="2"/>
  <c r="J4477" i="2"/>
  <c r="J4478" i="2"/>
  <c r="J4479" i="2"/>
  <c r="J4480" i="2"/>
  <c r="J4481" i="2"/>
  <c r="J4482" i="2"/>
  <c r="J4483" i="2"/>
  <c r="J4484" i="2"/>
  <c r="J4485" i="2"/>
  <c r="J4486" i="2"/>
  <c r="J4487" i="2"/>
  <c r="J4488" i="2"/>
  <c r="J4489" i="2"/>
  <c r="J4490" i="2"/>
  <c r="J4491" i="2"/>
  <c r="J4492" i="2"/>
  <c r="J4493" i="2"/>
  <c r="J4494" i="2"/>
  <c r="J4495" i="2"/>
  <c r="J4496" i="2"/>
  <c r="J4497" i="2"/>
  <c r="J4498" i="2"/>
  <c r="J4499" i="2"/>
  <c r="J4500" i="2"/>
  <c r="J4501" i="2"/>
  <c r="J4502" i="2"/>
  <c r="J4503" i="2"/>
  <c r="J4504" i="2"/>
  <c r="J4505" i="2"/>
  <c r="J4506" i="2"/>
  <c r="J4507" i="2"/>
  <c r="J4508" i="2"/>
  <c r="J4509" i="2"/>
  <c r="J4510" i="2"/>
  <c r="J4511" i="2"/>
  <c r="J4512" i="2"/>
  <c r="J4513" i="2"/>
  <c r="J4514" i="2"/>
  <c r="J4515" i="2"/>
  <c r="J4516" i="2"/>
  <c r="J4517" i="2"/>
  <c r="J4518" i="2"/>
  <c r="J4519" i="2"/>
  <c r="J4520" i="2"/>
  <c r="J4521" i="2"/>
  <c r="J4522" i="2"/>
  <c r="J4523" i="2"/>
  <c r="J4524" i="2"/>
  <c r="J4525" i="2"/>
  <c r="J4526" i="2"/>
  <c r="J4527" i="2"/>
  <c r="J4528" i="2"/>
  <c r="J4529" i="2"/>
  <c r="J4530" i="2"/>
  <c r="J4531" i="2"/>
  <c r="J4532" i="2"/>
  <c r="J4533" i="2"/>
  <c r="J4534" i="2"/>
  <c r="J4535" i="2"/>
  <c r="J4536" i="2"/>
  <c r="J4537" i="2"/>
  <c r="J4538" i="2"/>
  <c r="J4539" i="2"/>
  <c r="J4540" i="2"/>
  <c r="J4541" i="2"/>
  <c r="J4542" i="2"/>
  <c r="J4543" i="2"/>
  <c r="J4544" i="2"/>
  <c r="J4545" i="2"/>
  <c r="J4546" i="2"/>
  <c r="J4547" i="2"/>
  <c r="J4548" i="2"/>
  <c r="J4549" i="2"/>
  <c r="J4550" i="2"/>
  <c r="J4551" i="2"/>
  <c r="J4552" i="2"/>
  <c r="J4553" i="2"/>
  <c r="J4554" i="2"/>
  <c r="J4555" i="2"/>
  <c r="J4556" i="2"/>
  <c r="J4557" i="2"/>
  <c r="J4558" i="2"/>
  <c r="J4559" i="2"/>
  <c r="J4560" i="2"/>
  <c r="J4561" i="2"/>
  <c r="J4562" i="2"/>
  <c r="J4563" i="2"/>
  <c r="J4564" i="2"/>
  <c r="J4565" i="2"/>
  <c r="J4566" i="2"/>
  <c r="J4567" i="2"/>
  <c r="J4568" i="2"/>
  <c r="J4569" i="2"/>
  <c r="J4570" i="2"/>
  <c r="J4571" i="2"/>
  <c r="J4572" i="2"/>
  <c r="J4573" i="2"/>
  <c r="J4574" i="2"/>
  <c r="J4575" i="2"/>
  <c r="J4576" i="2"/>
  <c r="J4577" i="2"/>
  <c r="J4578" i="2"/>
  <c r="J4579" i="2"/>
  <c r="J4580" i="2"/>
  <c r="J4581" i="2"/>
  <c r="J4582" i="2"/>
  <c r="J4583" i="2"/>
  <c r="J4584" i="2"/>
  <c r="J4585" i="2"/>
  <c r="J4586" i="2"/>
  <c r="J4587" i="2"/>
  <c r="J4588" i="2"/>
  <c r="J4589" i="2"/>
  <c r="J4590" i="2"/>
  <c r="J4591" i="2"/>
  <c r="J4592" i="2"/>
  <c r="J4593" i="2"/>
  <c r="J4594" i="2"/>
  <c r="J4595" i="2"/>
  <c r="J4596" i="2"/>
  <c r="J4597" i="2"/>
  <c r="J4598" i="2"/>
  <c r="J4599" i="2"/>
  <c r="J4600" i="2"/>
  <c r="J4601" i="2"/>
  <c r="J4602" i="2"/>
  <c r="J4603" i="2"/>
  <c r="J4604" i="2"/>
  <c r="J4605" i="2"/>
  <c r="J4606" i="2"/>
  <c r="J4607" i="2"/>
  <c r="J4608" i="2"/>
  <c r="J4609" i="2"/>
  <c r="J4610" i="2"/>
  <c r="J4611" i="2"/>
  <c r="J4612" i="2"/>
  <c r="J4613" i="2"/>
  <c r="J4614" i="2"/>
  <c r="J4615" i="2"/>
  <c r="J4616" i="2"/>
  <c r="J4617" i="2"/>
  <c r="J4618" i="2"/>
  <c r="J4619" i="2"/>
  <c r="J4620" i="2"/>
  <c r="J4621" i="2"/>
  <c r="J4622" i="2"/>
  <c r="J4623" i="2"/>
  <c r="J4624" i="2"/>
  <c r="J4625" i="2"/>
  <c r="J4626" i="2"/>
  <c r="J4627" i="2"/>
  <c r="J4628" i="2"/>
  <c r="J4629" i="2"/>
  <c r="J4630" i="2"/>
  <c r="J4631" i="2"/>
  <c r="J4632" i="2"/>
  <c r="J4633" i="2"/>
  <c r="J4634" i="2"/>
  <c r="J4635" i="2"/>
  <c r="J4636" i="2"/>
  <c r="J4637" i="2"/>
  <c r="J4638" i="2"/>
  <c r="J4639" i="2"/>
  <c r="J4640" i="2"/>
  <c r="J4641" i="2"/>
  <c r="J4642" i="2"/>
  <c r="J4643" i="2"/>
  <c r="J4644" i="2"/>
  <c r="J4645" i="2"/>
  <c r="J4646" i="2"/>
  <c r="J4647" i="2"/>
  <c r="J4648" i="2"/>
  <c r="J4649" i="2"/>
  <c r="J4650" i="2"/>
  <c r="J4651" i="2"/>
  <c r="J4652" i="2"/>
  <c r="J4653" i="2"/>
  <c r="J4654" i="2"/>
  <c r="J4655" i="2"/>
  <c r="J4656" i="2"/>
  <c r="J4657" i="2"/>
  <c r="J4658" i="2"/>
  <c r="J4659" i="2"/>
  <c r="J4660" i="2"/>
  <c r="J4661" i="2"/>
  <c r="J4662" i="2"/>
  <c r="J4663" i="2"/>
  <c r="J4664" i="2"/>
  <c r="J4665" i="2"/>
  <c r="J4666" i="2"/>
  <c r="J4667" i="2"/>
  <c r="J4668" i="2"/>
  <c r="J4669" i="2"/>
  <c r="J4670" i="2"/>
  <c r="J4671" i="2"/>
  <c r="J4672" i="2"/>
  <c r="J4673" i="2"/>
  <c r="J4674" i="2"/>
  <c r="J4675" i="2"/>
  <c r="J4676" i="2"/>
  <c r="J4677" i="2"/>
  <c r="J4678" i="2"/>
  <c r="J4679" i="2"/>
  <c r="J4680" i="2"/>
  <c r="J4681" i="2"/>
  <c r="J4682" i="2"/>
  <c r="J4683" i="2"/>
  <c r="J4684" i="2"/>
  <c r="J4685" i="2"/>
  <c r="J4686" i="2"/>
  <c r="J4687" i="2"/>
  <c r="J4688" i="2"/>
  <c r="J4689" i="2"/>
  <c r="J4690" i="2"/>
  <c r="J4691" i="2"/>
  <c r="J4692" i="2"/>
  <c r="J4693" i="2"/>
  <c r="J4694" i="2"/>
  <c r="J4695" i="2"/>
  <c r="J4696" i="2"/>
  <c r="J4697" i="2"/>
  <c r="J4698" i="2"/>
  <c r="J4699" i="2"/>
  <c r="J4700" i="2"/>
  <c r="J4701" i="2"/>
  <c r="J4702" i="2"/>
  <c r="J4703" i="2"/>
  <c r="J4704" i="2"/>
  <c r="J4705" i="2"/>
  <c r="J4706" i="2"/>
  <c r="J4707" i="2"/>
  <c r="J4708" i="2"/>
  <c r="J4709" i="2"/>
  <c r="J4710" i="2"/>
  <c r="J4711" i="2"/>
  <c r="J4712" i="2"/>
  <c r="J4713" i="2"/>
  <c r="J4714" i="2"/>
  <c r="J4715" i="2"/>
  <c r="J4716" i="2"/>
  <c r="J4717" i="2"/>
  <c r="J4718" i="2"/>
  <c r="J4719" i="2"/>
  <c r="J4720" i="2"/>
  <c r="J4721" i="2"/>
  <c r="J4722" i="2"/>
  <c r="J4723" i="2"/>
  <c r="J4724" i="2"/>
  <c r="J4725" i="2"/>
  <c r="J4726" i="2"/>
  <c r="J4727" i="2"/>
  <c r="J4728" i="2"/>
  <c r="J4729" i="2"/>
  <c r="J4730" i="2"/>
  <c r="J4731" i="2"/>
  <c r="J4732" i="2"/>
  <c r="J4733" i="2"/>
  <c r="J4734" i="2"/>
  <c r="J4735" i="2"/>
  <c r="J4736" i="2"/>
  <c r="J4737" i="2"/>
  <c r="J4738" i="2"/>
  <c r="J4739" i="2"/>
  <c r="J4740" i="2"/>
  <c r="J4741" i="2"/>
  <c r="J4742" i="2"/>
  <c r="J4743" i="2"/>
  <c r="J4744" i="2"/>
  <c r="J4745" i="2"/>
  <c r="J4746" i="2"/>
  <c r="J4747" i="2"/>
  <c r="J4748" i="2"/>
  <c r="J4749" i="2"/>
  <c r="J4750" i="2"/>
  <c r="J4751" i="2"/>
  <c r="J4752" i="2"/>
  <c r="J4753" i="2"/>
  <c r="J4754" i="2"/>
  <c r="J4755" i="2"/>
  <c r="J4756" i="2"/>
  <c r="J4757" i="2"/>
  <c r="J4758" i="2"/>
  <c r="J4759" i="2"/>
  <c r="J4760" i="2"/>
  <c r="J4761" i="2"/>
  <c r="J4762" i="2"/>
  <c r="J4763" i="2"/>
  <c r="J4764" i="2"/>
  <c r="J4765" i="2"/>
  <c r="J4766" i="2"/>
  <c r="J4767" i="2"/>
  <c r="J4768" i="2"/>
  <c r="J4769" i="2"/>
  <c r="J4770" i="2"/>
  <c r="J4771" i="2"/>
  <c r="J4772" i="2"/>
  <c r="J4773" i="2"/>
  <c r="J4774" i="2"/>
  <c r="J4775" i="2"/>
  <c r="J4776" i="2"/>
  <c r="J4777" i="2"/>
  <c r="J4778" i="2"/>
  <c r="J4779" i="2"/>
  <c r="J4780" i="2"/>
  <c r="J4781" i="2"/>
  <c r="J4782" i="2"/>
  <c r="J4783" i="2"/>
  <c r="J4784" i="2"/>
  <c r="J4785" i="2"/>
  <c r="J4786" i="2"/>
  <c r="J4787" i="2"/>
  <c r="J4788" i="2"/>
  <c r="J4789" i="2"/>
  <c r="J4790" i="2"/>
  <c r="J4791" i="2"/>
  <c r="J4792" i="2"/>
  <c r="J4793" i="2"/>
  <c r="J4794" i="2"/>
  <c r="J4795" i="2"/>
  <c r="J4796" i="2"/>
  <c r="J4797" i="2"/>
  <c r="J4798" i="2"/>
  <c r="J4799" i="2"/>
  <c r="J4800" i="2"/>
  <c r="J4801" i="2"/>
  <c r="J4802" i="2"/>
  <c r="J4803" i="2"/>
  <c r="J4804" i="2"/>
  <c r="J4805" i="2"/>
  <c r="J4806" i="2"/>
  <c r="J4807" i="2"/>
  <c r="J4808" i="2"/>
  <c r="J4809" i="2"/>
  <c r="J4810" i="2"/>
  <c r="J4811" i="2"/>
  <c r="J4812" i="2"/>
  <c r="J4813" i="2"/>
  <c r="J4814" i="2"/>
  <c r="J4815" i="2"/>
  <c r="J4816" i="2"/>
  <c r="J4817" i="2"/>
  <c r="J4818" i="2"/>
  <c r="J4819" i="2"/>
  <c r="J4820" i="2"/>
  <c r="J4821" i="2"/>
  <c r="J4822" i="2"/>
  <c r="J4823" i="2"/>
  <c r="J4824" i="2"/>
  <c r="J4825" i="2"/>
  <c r="J4826" i="2"/>
  <c r="J4827" i="2"/>
  <c r="J4828" i="2"/>
  <c r="J4829" i="2"/>
  <c r="J4830" i="2"/>
  <c r="J4831" i="2"/>
  <c r="J4832" i="2"/>
  <c r="J4833" i="2"/>
  <c r="J4834" i="2"/>
  <c r="J4835" i="2"/>
  <c r="J4836" i="2"/>
  <c r="J4837" i="2"/>
  <c r="J4838" i="2"/>
  <c r="J4839" i="2"/>
  <c r="J4840" i="2"/>
  <c r="J4841" i="2"/>
  <c r="J4842" i="2"/>
  <c r="J4843" i="2"/>
  <c r="J4844" i="2"/>
  <c r="J4845" i="2"/>
  <c r="J4846" i="2"/>
  <c r="J4847" i="2"/>
  <c r="J4848" i="2"/>
  <c r="J4849" i="2"/>
  <c r="J4850" i="2"/>
  <c r="J4851" i="2"/>
  <c r="J4852" i="2"/>
  <c r="J4853" i="2"/>
  <c r="J4854" i="2"/>
  <c r="J4855" i="2"/>
  <c r="J4856" i="2"/>
  <c r="J4857" i="2"/>
  <c r="J4858" i="2"/>
  <c r="J4859" i="2"/>
  <c r="J4860" i="2"/>
  <c r="J4861" i="2"/>
  <c r="J4862" i="2"/>
  <c r="J4863" i="2"/>
  <c r="J4864" i="2"/>
  <c r="J4865" i="2"/>
  <c r="J4866" i="2"/>
  <c r="J4867" i="2"/>
  <c r="J4868" i="2"/>
  <c r="J4869" i="2"/>
  <c r="J4870" i="2"/>
  <c r="J4871" i="2"/>
  <c r="J4872" i="2"/>
  <c r="J4873" i="2"/>
  <c r="J4874" i="2"/>
  <c r="J4875" i="2"/>
  <c r="J4876" i="2"/>
  <c r="J4877" i="2"/>
  <c r="J4878" i="2"/>
  <c r="J4879" i="2"/>
  <c r="J4880" i="2"/>
  <c r="J4881" i="2"/>
  <c r="J4882" i="2"/>
  <c r="J4883" i="2"/>
  <c r="J4884" i="2"/>
  <c r="J4885" i="2"/>
  <c r="J4886" i="2"/>
  <c r="J4887" i="2"/>
  <c r="J4888" i="2"/>
  <c r="J4889" i="2"/>
  <c r="J4890" i="2"/>
  <c r="J4891" i="2"/>
  <c r="J4892" i="2"/>
  <c r="J4893" i="2"/>
  <c r="J4894" i="2"/>
  <c r="J4895" i="2"/>
  <c r="J4896" i="2"/>
  <c r="J4897" i="2"/>
  <c r="J4898" i="2"/>
  <c r="J4899" i="2"/>
  <c r="J4900" i="2"/>
  <c r="J4901" i="2"/>
  <c r="J4902" i="2"/>
  <c r="J4903" i="2"/>
  <c r="J4904" i="2"/>
  <c r="J4905" i="2"/>
  <c r="J4906" i="2"/>
  <c r="J4907" i="2"/>
  <c r="J4908" i="2"/>
  <c r="J4909" i="2"/>
  <c r="J4910" i="2"/>
  <c r="J4911" i="2"/>
  <c r="J4912" i="2"/>
  <c r="J4913" i="2"/>
  <c r="J4914" i="2"/>
  <c r="J4915" i="2"/>
  <c r="J4916" i="2"/>
  <c r="J4917" i="2"/>
  <c r="J4918" i="2"/>
  <c r="J4919" i="2"/>
  <c r="J4920" i="2"/>
  <c r="J4921" i="2"/>
  <c r="J4922" i="2"/>
  <c r="J4923" i="2"/>
  <c r="J4924" i="2"/>
  <c r="J4925" i="2"/>
  <c r="J4926" i="2"/>
  <c r="J4927" i="2"/>
  <c r="J4928" i="2"/>
  <c r="J4929" i="2"/>
  <c r="J4930" i="2"/>
  <c r="J4931" i="2"/>
  <c r="J4932" i="2"/>
  <c r="J4933" i="2"/>
  <c r="J4934" i="2"/>
  <c r="J4935" i="2"/>
  <c r="J4936" i="2"/>
  <c r="J4937" i="2"/>
  <c r="J4938" i="2"/>
  <c r="J4939" i="2"/>
  <c r="J4940" i="2"/>
  <c r="J4941" i="2"/>
  <c r="J4942" i="2"/>
  <c r="J4943" i="2"/>
  <c r="J4944" i="2"/>
  <c r="J4945" i="2"/>
  <c r="J4946" i="2"/>
  <c r="J4947" i="2"/>
  <c r="J4948" i="2"/>
  <c r="J4949" i="2"/>
  <c r="C351" i="4"/>
  <c r="D351" i="4" s="1"/>
  <c r="E351" i="4" s="1"/>
  <c r="F351" i="4"/>
  <c r="G351" i="4"/>
  <c r="C350" i="4"/>
  <c r="D350" i="4" s="1"/>
  <c r="E350" i="4" s="1"/>
  <c r="F350" i="4"/>
  <c r="G350" i="4"/>
  <c r="C349" i="4"/>
  <c r="D349" i="4" s="1"/>
  <c r="E349" i="4" s="1"/>
  <c r="F349" i="4"/>
  <c r="G349" i="4"/>
  <c r="E4922" i="2"/>
  <c r="H4922" i="2" s="1"/>
  <c r="E4923" i="2"/>
  <c r="H4923" i="2" s="1"/>
  <c r="E4924" i="2"/>
  <c r="H4924" i="2" s="1"/>
  <c r="E4925" i="2"/>
  <c r="H4925" i="2" s="1"/>
  <c r="E4926" i="2"/>
  <c r="H4926" i="2" s="1"/>
  <c r="E4927" i="2"/>
  <c r="H4927" i="2" s="1"/>
  <c r="E4928" i="2"/>
  <c r="H4928" i="2" s="1"/>
  <c r="E4929" i="2"/>
  <c r="H4929" i="2" s="1"/>
  <c r="E4930" i="2"/>
  <c r="H4930" i="2" s="1"/>
  <c r="E4931" i="2"/>
  <c r="H4931" i="2" s="1"/>
  <c r="E4932" i="2"/>
  <c r="H4932" i="2" s="1"/>
  <c r="E4933" i="2"/>
  <c r="H4933" i="2" s="1"/>
  <c r="E4934" i="2"/>
  <c r="H4934" i="2" s="1"/>
  <c r="E4935" i="2"/>
  <c r="H4935" i="2" s="1"/>
  <c r="E4936" i="2"/>
  <c r="H4936" i="2" s="1"/>
  <c r="E4937" i="2"/>
  <c r="H4937" i="2" s="1"/>
  <c r="E4938" i="2"/>
  <c r="H4938" i="2" s="1"/>
  <c r="E4939" i="2"/>
  <c r="H4939" i="2" s="1"/>
  <c r="E4940" i="2"/>
  <c r="H4940" i="2" s="1"/>
  <c r="E4941" i="2"/>
  <c r="H4941" i="2" s="1"/>
  <c r="E4942" i="2"/>
  <c r="H4942" i="2" s="1"/>
  <c r="E4943" i="2"/>
  <c r="H4943" i="2" s="1"/>
  <c r="E4944" i="2"/>
  <c r="H4944" i="2" s="1"/>
  <c r="E4945" i="2"/>
  <c r="H4945" i="2" s="1"/>
  <c r="E4946" i="2"/>
  <c r="H4946" i="2" s="1"/>
  <c r="E4947" i="2"/>
  <c r="H4947" i="2" s="1"/>
  <c r="E4948" i="2"/>
  <c r="H4948" i="2" s="1"/>
  <c r="E4949" i="2"/>
  <c r="H4949" i="2" s="1"/>
  <c r="F4922" i="2"/>
  <c r="F4923" i="2"/>
  <c r="F4924" i="2"/>
  <c r="F4925" i="2"/>
  <c r="F4926" i="2"/>
  <c r="F4927" i="2"/>
  <c r="F4928" i="2"/>
  <c r="F4929" i="2"/>
  <c r="F4930" i="2"/>
  <c r="F4931" i="2"/>
  <c r="F4932" i="2"/>
  <c r="F4933" i="2"/>
  <c r="F4934" i="2"/>
  <c r="F4935" i="2"/>
  <c r="F4936" i="2"/>
  <c r="F4937" i="2"/>
  <c r="F4938" i="2"/>
  <c r="F4939" i="2"/>
  <c r="F4940" i="2"/>
  <c r="F4941" i="2"/>
  <c r="F4942" i="2"/>
  <c r="F4943" i="2"/>
  <c r="F4944" i="2"/>
  <c r="F4945" i="2"/>
  <c r="F4946" i="2"/>
  <c r="F4947" i="2"/>
  <c r="F4948" i="2"/>
  <c r="F4949" i="2"/>
  <c r="G4922" i="2"/>
  <c r="G4923" i="2"/>
  <c r="G4924" i="2"/>
  <c r="G4925" i="2"/>
  <c r="G4926" i="2"/>
  <c r="G4927" i="2"/>
  <c r="G4928" i="2"/>
  <c r="G4929" i="2"/>
  <c r="G4930" i="2"/>
  <c r="G4931" i="2"/>
  <c r="G4932" i="2"/>
  <c r="G4933" i="2"/>
  <c r="G4934" i="2"/>
  <c r="G4935" i="2"/>
  <c r="G4936" i="2"/>
  <c r="G4937" i="2"/>
  <c r="G4938" i="2"/>
  <c r="G4939" i="2"/>
  <c r="G4940" i="2"/>
  <c r="G4941" i="2"/>
  <c r="G4942" i="2"/>
  <c r="G4943" i="2"/>
  <c r="G4944" i="2"/>
  <c r="G4945" i="2"/>
  <c r="G4946" i="2"/>
  <c r="G4947" i="2"/>
  <c r="G4948" i="2"/>
  <c r="G4949" i="2"/>
  <c r="I4922" i="2"/>
  <c r="I4923" i="2"/>
  <c r="I4924" i="2"/>
  <c r="I4925" i="2"/>
  <c r="I4926" i="2"/>
  <c r="I4927" i="2"/>
  <c r="I4928" i="2"/>
  <c r="I4929" i="2"/>
  <c r="I4930" i="2"/>
  <c r="I4931" i="2"/>
  <c r="I4932" i="2"/>
  <c r="I4933" i="2"/>
  <c r="I4934" i="2"/>
  <c r="I4935" i="2"/>
  <c r="I4936" i="2"/>
  <c r="I4937" i="2"/>
  <c r="I4938" i="2"/>
  <c r="I4939" i="2"/>
  <c r="I4940" i="2"/>
  <c r="I4941" i="2"/>
  <c r="I4942" i="2"/>
  <c r="I4943" i="2"/>
  <c r="I4944" i="2"/>
  <c r="I4945" i="2"/>
  <c r="I4946" i="2"/>
  <c r="I4947" i="2"/>
  <c r="I4948" i="2"/>
  <c r="I4949" i="2"/>
  <c r="E4899" i="2"/>
  <c r="H4899" i="2" s="1"/>
  <c r="E4900" i="2"/>
  <c r="H4900" i="2" s="1"/>
  <c r="E4901" i="2"/>
  <c r="H4901" i="2" s="1"/>
  <c r="E4902" i="2"/>
  <c r="H4902" i="2" s="1"/>
  <c r="E4903" i="2"/>
  <c r="H4903" i="2" s="1"/>
  <c r="E4904" i="2"/>
  <c r="H4904" i="2" s="1"/>
  <c r="E4905" i="2"/>
  <c r="H4905" i="2" s="1"/>
  <c r="E4906" i="2"/>
  <c r="H4906" i="2" s="1"/>
  <c r="E4907" i="2"/>
  <c r="H4907" i="2" s="1"/>
  <c r="E4908" i="2"/>
  <c r="H4908" i="2" s="1"/>
  <c r="E4909" i="2"/>
  <c r="H4909" i="2" s="1"/>
  <c r="E4910" i="2"/>
  <c r="H4910" i="2" s="1"/>
  <c r="E4911" i="2"/>
  <c r="H4911" i="2" s="1"/>
  <c r="E4912" i="2"/>
  <c r="H4912" i="2" s="1"/>
  <c r="E4913" i="2"/>
  <c r="H4913" i="2" s="1"/>
  <c r="E4914" i="2"/>
  <c r="H4914" i="2" s="1"/>
  <c r="E4915" i="2"/>
  <c r="H4915" i="2" s="1"/>
  <c r="E4916" i="2"/>
  <c r="H4916" i="2" s="1"/>
  <c r="E4917" i="2"/>
  <c r="H4917" i="2" s="1"/>
  <c r="E4918" i="2"/>
  <c r="H4918" i="2" s="1"/>
  <c r="E4919" i="2"/>
  <c r="H4919" i="2" s="1"/>
  <c r="E4920" i="2"/>
  <c r="H4920" i="2" s="1"/>
  <c r="E4921" i="2"/>
  <c r="H4921" i="2" s="1"/>
  <c r="F4899" i="2"/>
  <c r="F4900" i="2"/>
  <c r="F4901" i="2"/>
  <c r="F4902" i="2"/>
  <c r="F4903" i="2"/>
  <c r="F4904" i="2"/>
  <c r="F4905" i="2"/>
  <c r="F4906" i="2"/>
  <c r="F4907" i="2"/>
  <c r="F4908" i="2"/>
  <c r="F4909" i="2"/>
  <c r="F4910" i="2"/>
  <c r="F4911" i="2"/>
  <c r="F4912" i="2"/>
  <c r="F4913" i="2"/>
  <c r="F4914" i="2"/>
  <c r="F4915" i="2"/>
  <c r="F4916" i="2"/>
  <c r="F4917" i="2"/>
  <c r="F4918" i="2"/>
  <c r="F4919" i="2"/>
  <c r="F4920" i="2"/>
  <c r="F4921" i="2"/>
  <c r="G4899" i="2"/>
  <c r="G4900" i="2"/>
  <c r="G4901" i="2"/>
  <c r="G4902" i="2"/>
  <c r="G4903" i="2"/>
  <c r="G4904" i="2"/>
  <c r="G4905" i="2"/>
  <c r="G4906" i="2"/>
  <c r="G4907" i="2"/>
  <c r="G4908" i="2"/>
  <c r="G4909" i="2"/>
  <c r="G4910" i="2"/>
  <c r="G4911" i="2"/>
  <c r="G4912" i="2"/>
  <c r="G4913" i="2"/>
  <c r="G4914" i="2"/>
  <c r="G4915" i="2"/>
  <c r="G4916" i="2"/>
  <c r="G4917" i="2"/>
  <c r="G4918" i="2"/>
  <c r="G4919" i="2"/>
  <c r="G4920" i="2"/>
  <c r="G4921" i="2"/>
  <c r="I4899" i="2"/>
  <c r="I4900" i="2"/>
  <c r="I4901" i="2"/>
  <c r="I4902" i="2"/>
  <c r="I4903" i="2"/>
  <c r="I4904" i="2"/>
  <c r="I4905" i="2"/>
  <c r="I4906" i="2"/>
  <c r="I4907" i="2"/>
  <c r="I4908" i="2"/>
  <c r="I4909" i="2"/>
  <c r="I4910" i="2"/>
  <c r="I4911" i="2"/>
  <c r="I4912" i="2"/>
  <c r="I4913" i="2"/>
  <c r="I4914" i="2"/>
  <c r="I4915" i="2"/>
  <c r="I4916" i="2"/>
  <c r="I4917" i="2"/>
  <c r="I4918" i="2"/>
  <c r="I4919" i="2"/>
  <c r="I4920" i="2"/>
  <c r="I4921" i="2"/>
  <c r="E4880" i="2"/>
  <c r="H4880" i="2" s="1"/>
  <c r="E4881" i="2"/>
  <c r="H4881" i="2" s="1"/>
  <c r="E4882" i="2"/>
  <c r="H4882" i="2" s="1"/>
  <c r="E4883" i="2"/>
  <c r="H4883" i="2" s="1"/>
  <c r="E4884" i="2"/>
  <c r="H4884" i="2" s="1"/>
  <c r="E4885" i="2"/>
  <c r="H4885" i="2" s="1"/>
  <c r="E4886" i="2"/>
  <c r="H4886" i="2" s="1"/>
  <c r="E4887" i="2"/>
  <c r="H4887" i="2" s="1"/>
  <c r="E4888" i="2"/>
  <c r="H4888" i="2" s="1"/>
  <c r="E4889" i="2"/>
  <c r="H4889" i="2" s="1"/>
  <c r="E4890" i="2"/>
  <c r="H4890" i="2" s="1"/>
  <c r="E4891" i="2"/>
  <c r="H4891" i="2" s="1"/>
  <c r="E4892" i="2"/>
  <c r="H4892" i="2" s="1"/>
  <c r="E4893" i="2"/>
  <c r="H4893" i="2" s="1"/>
  <c r="E4894" i="2"/>
  <c r="H4894" i="2" s="1"/>
  <c r="E4895" i="2"/>
  <c r="H4895" i="2" s="1"/>
  <c r="E4896" i="2"/>
  <c r="H4896" i="2" s="1"/>
  <c r="E4897" i="2"/>
  <c r="H4897" i="2" s="1"/>
  <c r="E4898" i="2"/>
  <c r="H4898" i="2" s="1"/>
  <c r="F4880" i="2"/>
  <c r="F4881" i="2"/>
  <c r="F4882" i="2"/>
  <c r="F4883" i="2"/>
  <c r="F4884" i="2"/>
  <c r="F4885" i="2"/>
  <c r="F4886" i="2"/>
  <c r="F4887" i="2"/>
  <c r="F4888" i="2"/>
  <c r="F4889" i="2"/>
  <c r="F4890" i="2"/>
  <c r="F4891" i="2"/>
  <c r="F4892" i="2"/>
  <c r="F4893" i="2"/>
  <c r="F4894" i="2"/>
  <c r="F4895" i="2"/>
  <c r="F4896" i="2"/>
  <c r="F4897" i="2"/>
  <c r="F4898" i="2"/>
  <c r="G4880" i="2"/>
  <c r="G4881" i="2"/>
  <c r="G4882" i="2"/>
  <c r="G4883" i="2"/>
  <c r="G4884" i="2"/>
  <c r="G4885" i="2"/>
  <c r="G4886" i="2"/>
  <c r="G4887" i="2"/>
  <c r="G4888" i="2"/>
  <c r="G4889" i="2"/>
  <c r="G4890" i="2"/>
  <c r="G4891" i="2"/>
  <c r="G4892" i="2"/>
  <c r="G4893" i="2"/>
  <c r="G4894" i="2"/>
  <c r="G4895" i="2"/>
  <c r="G4896" i="2"/>
  <c r="G4897" i="2"/>
  <c r="G4898" i="2"/>
  <c r="I4880" i="2"/>
  <c r="I4881" i="2"/>
  <c r="I4882" i="2"/>
  <c r="I4883" i="2"/>
  <c r="I4884" i="2"/>
  <c r="I4885" i="2"/>
  <c r="I4886" i="2"/>
  <c r="I4887" i="2"/>
  <c r="I4888" i="2"/>
  <c r="I4889" i="2"/>
  <c r="I4890" i="2"/>
  <c r="I4891" i="2"/>
  <c r="I4892" i="2"/>
  <c r="I4893" i="2"/>
  <c r="I4894" i="2"/>
  <c r="I4895" i="2"/>
  <c r="I4896" i="2"/>
  <c r="I4897" i="2"/>
  <c r="I4898" i="2"/>
  <c r="E4865" i="2"/>
  <c r="H4865" i="2" s="1"/>
  <c r="E4866" i="2"/>
  <c r="E4867" i="2"/>
  <c r="H4867" i="2" s="1"/>
  <c r="E4868" i="2"/>
  <c r="H4868" i="2" s="1"/>
  <c r="E4869" i="2"/>
  <c r="H4869" i="2" s="1"/>
  <c r="E4870" i="2"/>
  <c r="H4870" i="2" s="1"/>
  <c r="E4871" i="2"/>
  <c r="H4871" i="2" s="1"/>
  <c r="E4872" i="2"/>
  <c r="H4872" i="2" s="1"/>
  <c r="E4873" i="2"/>
  <c r="H4873" i="2" s="1"/>
  <c r="E4874" i="2"/>
  <c r="H4874" i="2" s="1"/>
  <c r="E4875" i="2"/>
  <c r="H4875" i="2" s="1"/>
  <c r="E4876" i="2"/>
  <c r="H4876" i="2" s="1"/>
  <c r="E4877" i="2"/>
  <c r="H4877" i="2" s="1"/>
  <c r="E4878" i="2"/>
  <c r="H4878" i="2" s="1"/>
  <c r="E4879" i="2"/>
  <c r="H4879" i="2" s="1"/>
  <c r="F4865" i="2"/>
  <c r="F4866" i="2"/>
  <c r="F4867" i="2"/>
  <c r="F4868" i="2"/>
  <c r="F4869" i="2"/>
  <c r="F4870" i="2"/>
  <c r="F4871" i="2"/>
  <c r="F4872" i="2"/>
  <c r="F4873" i="2"/>
  <c r="F4874" i="2"/>
  <c r="F4875" i="2"/>
  <c r="F4876" i="2"/>
  <c r="F4877" i="2"/>
  <c r="F4878" i="2"/>
  <c r="F4879" i="2"/>
  <c r="G4865" i="2"/>
  <c r="G4866" i="2"/>
  <c r="G4867" i="2"/>
  <c r="G4868" i="2"/>
  <c r="G4869" i="2"/>
  <c r="G4870" i="2"/>
  <c r="G4871" i="2"/>
  <c r="G4872" i="2"/>
  <c r="G4873" i="2"/>
  <c r="G4874" i="2"/>
  <c r="G4875" i="2"/>
  <c r="G4876" i="2"/>
  <c r="G4877" i="2"/>
  <c r="G4878" i="2"/>
  <c r="G4879" i="2"/>
  <c r="H4866" i="2"/>
  <c r="I4865" i="2"/>
  <c r="I4866" i="2"/>
  <c r="I4867" i="2"/>
  <c r="I4868" i="2"/>
  <c r="I4869" i="2"/>
  <c r="I4870" i="2"/>
  <c r="I4871" i="2"/>
  <c r="I4872" i="2"/>
  <c r="I4873" i="2"/>
  <c r="I4874" i="2"/>
  <c r="I4875" i="2"/>
  <c r="I4876" i="2"/>
  <c r="I4877" i="2"/>
  <c r="I4878" i="2"/>
  <c r="I4879" i="2"/>
  <c r="C348" i="4"/>
  <c r="D348" i="4" s="1"/>
  <c r="E348" i="4" s="1"/>
  <c r="F348" i="4"/>
  <c r="G348" i="4"/>
  <c r="E4840" i="2"/>
  <c r="H4840" i="2" s="1"/>
  <c r="E4841" i="2"/>
  <c r="H4841" i="2" s="1"/>
  <c r="E4842" i="2"/>
  <c r="H4842" i="2" s="1"/>
  <c r="E4843" i="2"/>
  <c r="H4843" i="2" s="1"/>
  <c r="E4844" i="2"/>
  <c r="H4844" i="2" s="1"/>
  <c r="E4845" i="2"/>
  <c r="H4845" i="2" s="1"/>
  <c r="E4846" i="2"/>
  <c r="H4846" i="2" s="1"/>
  <c r="E4847" i="2"/>
  <c r="H4847" i="2" s="1"/>
  <c r="E4848" i="2"/>
  <c r="H4848" i="2" s="1"/>
  <c r="E4849" i="2"/>
  <c r="H4849" i="2" s="1"/>
  <c r="E4850" i="2"/>
  <c r="H4850" i="2" s="1"/>
  <c r="E4851" i="2"/>
  <c r="H4851" i="2" s="1"/>
  <c r="E4852" i="2"/>
  <c r="H4852" i="2" s="1"/>
  <c r="E4853" i="2"/>
  <c r="H4853" i="2" s="1"/>
  <c r="E4854" i="2"/>
  <c r="H4854" i="2" s="1"/>
  <c r="E4855" i="2"/>
  <c r="H4855" i="2" s="1"/>
  <c r="E4856" i="2"/>
  <c r="H4856" i="2" s="1"/>
  <c r="E4857" i="2"/>
  <c r="H4857" i="2" s="1"/>
  <c r="E4858" i="2"/>
  <c r="H4858" i="2" s="1"/>
  <c r="E4859" i="2"/>
  <c r="H4859" i="2" s="1"/>
  <c r="E4860" i="2"/>
  <c r="H4860" i="2" s="1"/>
  <c r="E4861" i="2"/>
  <c r="H4861" i="2" s="1"/>
  <c r="E4862" i="2"/>
  <c r="H4862" i="2" s="1"/>
  <c r="E4863" i="2"/>
  <c r="H4863" i="2" s="1"/>
  <c r="E4864" i="2"/>
  <c r="H4864" i="2" s="1"/>
  <c r="F4840" i="2"/>
  <c r="F4841" i="2"/>
  <c r="F4842" i="2"/>
  <c r="F4843" i="2"/>
  <c r="F4844" i="2"/>
  <c r="F4845" i="2"/>
  <c r="F4846" i="2"/>
  <c r="F4847" i="2"/>
  <c r="F4848" i="2"/>
  <c r="F4849" i="2"/>
  <c r="F4850" i="2"/>
  <c r="F4851" i="2"/>
  <c r="F4852" i="2"/>
  <c r="F4853" i="2"/>
  <c r="F4854" i="2"/>
  <c r="F4855" i="2"/>
  <c r="F4856" i="2"/>
  <c r="F4857" i="2"/>
  <c r="F4858" i="2"/>
  <c r="F4859" i="2"/>
  <c r="F4860" i="2"/>
  <c r="F4861" i="2"/>
  <c r="F4862" i="2"/>
  <c r="F4863" i="2"/>
  <c r="F4864" i="2"/>
  <c r="G4840" i="2"/>
  <c r="G4841" i="2"/>
  <c r="G4842" i="2"/>
  <c r="G4843" i="2"/>
  <c r="G4844" i="2"/>
  <c r="G4845" i="2"/>
  <c r="G4846" i="2"/>
  <c r="G4847" i="2"/>
  <c r="G4848" i="2"/>
  <c r="G4849" i="2"/>
  <c r="G4850" i="2"/>
  <c r="G4851" i="2"/>
  <c r="G4852" i="2"/>
  <c r="G4853" i="2"/>
  <c r="G4854" i="2"/>
  <c r="G4855" i="2"/>
  <c r="G4856" i="2"/>
  <c r="G4857" i="2"/>
  <c r="G4858" i="2"/>
  <c r="G4859" i="2"/>
  <c r="G4860" i="2"/>
  <c r="G4861" i="2"/>
  <c r="G4862" i="2"/>
  <c r="G4863" i="2"/>
  <c r="G4864" i="2"/>
  <c r="I4840" i="2"/>
  <c r="I4841" i="2"/>
  <c r="I4842" i="2"/>
  <c r="I4843" i="2"/>
  <c r="I4844" i="2"/>
  <c r="I4845" i="2"/>
  <c r="I4846" i="2"/>
  <c r="I4847" i="2"/>
  <c r="I4848" i="2"/>
  <c r="I4849" i="2"/>
  <c r="I4850" i="2"/>
  <c r="I4851" i="2"/>
  <c r="I4852" i="2"/>
  <c r="I4853" i="2"/>
  <c r="I4854" i="2"/>
  <c r="I4855" i="2"/>
  <c r="I4856" i="2"/>
  <c r="I4857" i="2"/>
  <c r="I4858" i="2"/>
  <c r="I4859" i="2"/>
  <c r="I4860" i="2"/>
  <c r="I4861" i="2"/>
  <c r="I4862" i="2"/>
  <c r="I4863" i="2"/>
  <c r="I4864" i="2"/>
  <c r="E4814" i="2"/>
  <c r="H4814" i="2" s="1"/>
  <c r="E4815" i="2"/>
  <c r="H4815" i="2" s="1"/>
  <c r="E4816" i="2"/>
  <c r="H4816" i="2" s="1"/>
  <c r="E4817" i="2"/>
  <c r="H4817" i="2" s="1"/>
  <c r="E4818" i="2"/>
  <c r="H4818" i="2" s="1"/>
  <c r="E4819" i="2"/>
  <c r="H4819" i="2" s="1"/>
  <c r="E4820" i="2"/>
  <c r="H4820" i="2" s="1"/>
  <c r="E4821" i="2"/>
  <c r="H4821" i="2" s="1"/>
  <c r="E4822" i="2"/>
  <c r="H4822" i="2" s="1"/>
  <c r="E4823" i="2"/>
  <c r="H4823" i="2" s="1"/>
  <c r="E4824" i="2"/>
  <c r="H4824" i="2" s="1"/>
  <c r="E4825" i="2"/>
  <c r="H4825" i="2" s="1"/>
  <c r="E4826" i="2"/>
  <c r="H4826" i="2" s="1"/>
  <c r="E4827" i="2"/>
  <c r="H4827" i="2" s="1"/>
  <c r="E4828" i="2"/>
  <c r="H4828" i="2" s="1"/>
  <c r="E4829" i="2"/>
  <c r="H4829" i="2" s="1"/>
  <c r="E4830" i="2"/>
  <c r="H4830" i="2" s="1"/>
  <c r="E4831" i="2"/>
  <c r="H4831" i="2" s="1"/>
  <c r="E4832" i="2"/>
  <c r="H4832" i="2" s="1"/>
  <c r="E4833" i="2"/>
  <c r="H4833" i="2" s="1"/>
  <c r="E4834" i="2"/>
  <c r="H4834" i="2" s="1"/>
  <c r="E4835" i="2"/>
  <c r="H4835" i="2" s="1"/>
  <c r="E4836" i="2"/>
  <c r="H4836" i="2" s="1"/>
  <c r="E4837" i="2"/>
  <c r="H4837" i="2" s="1"/>
  <c r="E4838" i="2"/>
  <c r="H4838" i="2" s="1"/>
  <c r="E4839" i="2"/>
  <c r="H4839" i="2" s="1"/>
  <c r="F4814" i="2"/>
  <c r="F4815" i="2"/>
  <c r="F4816" i="2"/>
  <c r="F4817" i="2"/>
  <c r="F4818" i="2"/>
  <c r="F4819" i="2"/>
  <c r="F4820" i="2"/>
  <c r="F4821" i="2"/>
  <c r="F4822" i="2"/>
  <c r="F4823" i="2"/>
  <c r="F4824" i="2"/>
  <c r="F4825" i="2"/>
  <c r="F4826" i="2"/>
  <c r="F4827" i="2"/>
  <c r="F4828" i="2"/>
  <c r="F4829" i="2"/>
  <c r="F4830" i="2"/>
  <c r="F4831" i="2"/>
  <c r="F4832" i="2"/>
  <c r="F4833" i="2"/>
  <c r="F4834" i="2"/>
  <c r="F4835" i="2"/>
  <c r="F4836" i="2"/>
  <c r="F4837" i="2"/>
  <c r="F4838" i="2"/>
  <c r="F4839" i="2"/>
  <c r="G4814" i="2"/>
  <c r="G4815" i="2"/>
  <c r="G4816" i="2"/>
  <c r="G4817" i="2"/>
  <c r="G4818" i="2"/>
  <c r="G4819" i="2"/>
  <c r="G4820" i="2"/>
  <c r="G4821" i="2"/>
  <c r="G4822" i="2"/>
  <c r="G4823" i="2"/>
  <c r="G4824" i="2"/>
  <c r="G4825" i="2"/>
  <c r="G4826" i="2"/>
  <c r="G4827" i="2"/>
  <c r="G4828" i="2"/>
  <c r="G4829" i="2"/>
  <c r="G4830" i="2"/>
  <c r="G4831" i="2"/>
  <c r="G4832" i="2"/>
  <c r="G4833" i="2"/>
  <c r="G4834" i="2"/>
  <c r="G4835" i="2"/>
  <c r="G4836" i="2"/>
  <c r="G4837" i="2"/>
  <c r="G4838" i="2"/>
  <c r="G4839" i="2"/>
  <c r="I4814" i="2"/>
  <c r="I4815" i="2"/>
  <c r="I4816" i="2"/>
  <c r="I4817" i="2"/>
  <c r="I4818" i="2"/>
  <c r="I4819" i="2"/>
  <c r="I4820" i="2"/>
  <c r="I4821" i="2"/>
  <c r="I4822" i="2"/>
  <c r="I4823" i="2"/>
  <c r="I4824" i="2"/>
  <c r="I4825" i="2"/>
  <c r="I4826" i="2"/>
  <c r="I4827" i="2"/>
  <c r="I4828" i="2"/>
  <c r="I4829" i="2"/>
  <c r="I4830" i="2"/>
  <c r="I4831" i="2"/>
  <c r="I4832" i="2"/>
  <c r="I4833" i="2"/>
  <c r="I4834" i="2"/>
  <c r="I4835" i="2"/>
  <c r="I4836" i="2"/>
  <c r="I4837" i="2"/>
  <c r="I4838" i="2"/>
  <c r="I4839" i="2"/>
  <c r="E4801" i="2"/>
  <c r="H4801" i="2" s="1"/>
  <c r="E4802" i="2"/>
  <c r="H4802" i="2" s="1"/>
  <c r="E4803" i="2"/>
  <c r="H4803" i="2" s="1"/>
  <c r="E4804" i="2"/>
  <c r="H4804" i="2" s="1"/>
  <c r="E4805" i="2"/>
  <c r="H4805" i="2" s="1"/>
  <c r="E4806" i="2"/>
  <c r="H4806" i="2" s="1"/>
  <c r="E4807" i="2"/>
  <c r="H4807" i="2" s="1"/>
  <c r="E4808" i="2"/>
  <c r="H4808" i="2" s="1"/>
  <c r="E4809" i="2"/>
  <c r="H4809" i="2" s="1"/>
  <c r="E4810" i="2"/>
  <c r="H4810" i="2" s="1"/>
  <c r="E4811" i="2"/>
  <c r="H4811" i="2" s="1"/>
  <c r="E4812" i="2"/>
  <c r="H4812" i="2" s="1"/>
  <c r="E4813" i="2"/>
  <c r="H4813" i="2" s="1"/>
  <c r="F4801" i="2"/>
  <c r="F4802" i="2"/>
  <c r="F4803" i="2"/>
  <c r="F4804" i="2"/>
  <c r="F4805" i="2"/>
  <c r="F4806" i="2"/>
  <c r="F4807" i="2"/>
  <c r="F4808" i="2"/>
  <c r="F4809" i="2"/>
  <c r="F4810" i="2"/>
  <c r="F4811" i="2"/>
  <c r="F4812" i="2"/>
  <c r="F4813" i="2"/>
  <c r="G4801" i="2"/>
  <c r="G4802" i="2"/>
  <c r="G4803" i="2"/>
  <c r="G4804" i="2"/>
  <c r="G4805" i="2"/>
  <c r="G4806" i="2"/>
  <c r="G4807" i="2"/>
  <c r="G4808" i="2"/>
  <c r="G4809" i="2"/>
  <c r="G4810" i="2"/>
  <c r="G4811" i="2"/>
  <c r="G4812" i="2"/>
  <c r="G4813" i="2"/>
  <c r="I4801" i="2"/>
  <c r="I4802" i="2"/>
  <c r="I4803" i="2"/>
  <c r="I4804" i="2"/>
  <c r="I4805" i="2"/>
  <c r="I4806" i="2"/>
  <c r="I4807" i="2"/>
  <c r="I4808" i="2"/>
  <c r="I4809" i="2"/>
  <c r="I4810" i="2"/>
  <c r="I4811" i="2"/>
  <c r="I4812" i="2"/>
  <c r="I4813" i="2"/>
  <c r="E4792" i="2"/>
  <c r="H4792" i="2" s="1"/>
  <c r="E4793" i="2"/>
  <c r="H4793" i="2" s="1"/>
  <c r="E4794" i="2"/>
  <c r="H4794" i="2" s="1"/>
  <c r="E4795" i="2"/>
  <c r="H4795" i="2" s="1"/>
  <c r="E4796" i="2"/>
  <c r="H4796" i="2" s="1"/>
  <c r="E4797" i="2"/>
  <c r="H4797" i="2" s="1"/>
  <c r="E4798" i="2"/>
  <c r="H4798" i="2" s="1"/>
  <c r="E4799" i="2"/>
  <c r="H4799" i="2" s="1"/>
  <c r="E4800" i="2"/>
  <c r="H4800" i="2" s="1"/>
  <c r="F4792" i="2"/>
  <c r="F4793" i="2"/>
  <c r="F4794" i="2"/>
  <c r="F4795" i="2"/>
  <c r="F4796" i="2"/>
  <c r="F4797" i="2"/>
  <c r="F4798" i="2"/>
  <c r="F4799" i="2"/>
  <c r="F4800" i="2"/>
  <c r="G4792" i="2"/>
  <c r="G4793" i="2"/>
  <c r="G4794" i="2"/>
  <c r="G4795" i="2"/>
  <c r="G4796" i="2"/>
  <c r="G4797" i="2"/>
  <c r="G4798" i="2"/>
  <c r="G4799" i="2"/>
  <c r="G4800" i="2"/>
  <c r="I4792" i="2"/>
  <c r="I4793" i="2"/>
  <c r="I4794" i="2"/>
  <c r="I4795" i="2"/>
  <c r="I4796" i="2"/>
  <c r="I4797" i="2"/>
  <c r="I4798" i="2"/>
  <c r="I4799" i="2"/>
  <c r="I4800" i="2"/>
  <c r="C347" i="4"/>
  <c r="D347" i="4" s="1"/>
  <c r="E347" i="4" s="1"/>
  <c r="F347" i="4"/>
  <c r="G347" i="4"/>
  <c r="E4774" i="2"/>
  <c r="H4774" i="2" s="1"/>
  <c r="E4775" i="2"/>
  <c r="H4775" i="2" s="1"/>
  <c r="E4776" i="2"/>
  <c r="E4777" i="2"/>
  <c r="H4777" i="2" s="1"/>
  <c r="E4778" i="2"/>
  <c r="H4778" i="2" s="1"/>
  <c r="E4779" i="2"/>
  <c r="H4779" i="2" s="1"/>
  <c r="E4780" i="2"/>
  <c r="H4780" i="2" s="1"/>
  <c r="E4781" i="2"/>
  <c r="H4781" i="2" s="1"/>
  <c r="E4782" i="2"/>
  <c r="H4782" i="2" s="1"/>
  <c r="E4783" i="2"/>
  <c r="H4783" i="2" s="1"/>
  <c r="E4784" i="2"/>
  <c r="H4784" i="2" s="1"/>
  <c r="E4785" i="2"/>
  <c r="H4785" i="2" s="1"/>
  <c r="E4786" i="2"/>
  <c r="H4786" i="2" s="1"/>
  <c r="E4787" i="2"/>
  <c r="H4787" i="2" s="1"/>
  <c r="E4788" i="2"/>
  <c r="H4788" i="2" s="1"/>
  <c r="E4789" i="2"/>
  <c r="H4789" i="2" s="1"/>
  <c r="E4790" i="2"/>
  <c r="H4790" i="2" s="1"/>
  <c r="E4791" i="2"/>
  <c r="H4791" i="2" s="1"/>
  <c r="F4774" i="2"/>
  <c r="F4775" i="2"/>
  <c r="F4776" i="2"/>
  <c r="F4777" i="2"/>
  <c r="F4778" i="2"/>
  <c r="F4779" i="2"/>
  <c r="F4780" i="2"/>
  <c r="F4781" i="2"/>
  <c r="F4782" i="2"/>
  <c r="F4783" i="2"/>
  <c r="F4784" i="2"/>
  <c r="F4785" i="2"/>
  <c r="F4786" i="2"/>
  <c r="F4787" i="2"/>
  <c r="F4788" i="2"/>
  <c r="F4789" i="2"/>
  <c r="F4790" i="2"/>
  <c r="F4791" i="2"/>
  <c r="G4774" i="2"/>
  <c r="G4775" i="2"/>
  <c r="G4776" i="2"/>
  <c r="G4777" i="2"/>
  <c r="G4778" i="2"/>
  <c r="G4779" i="2"/>
  <c r="G4780" i="2"/>
  <c r="G4781" i="2"/>
  <c r="G4782" i="2"/>
  <c r="G4783" i="2"/>
  <c r="G4784" i="2"/>
  <c r="G4785" i="2"/>
  <c r="G4786" i="2"/>
  <c r="G4787" i="2"/>
  <c r="G4788" i="2"/>
  <c r="G4789" i="2"/>
  <c r="G4790" i="2"/>
  <c r="G4791" i="2"/>
  <c r="H4776" i="2"/>
  <c r="I4774" i="2"/>
  <c r="I4775" i="2"/>
  <c r="I4776" i="2"/>
  <c r="I4777" i="2"/>
  <c r="I4778" i="2"/>
  <c r="I4779" i="2"/>
  <c r="I4780" i="2"/>
  <c r="I4781" i="2"/>
  <c r="I4782" i="2"/>
  <c r="I4783" i="2"/>
  <c r="I4784" i="2"/>
  <c r="I4785" i="2"/>
  <c r="I4786" i="2"/>
  <c r="I4787" i="2"/>
  <c r="I4788" i="2"/>
  <c r="I4789" i="2"/>
  <c r="I4790" i="2"/>
  <c r="I4791" i="2"/>
  <c r="E4755" i="2"/>
  <c r="H4755" i="2" s="1"/>
  <c r="E4756" i="2"/>
  <c r="H4756" i="2" s="1"/>
  <c r="E4757" i="2"/>
  <c r="H4757" i="2" s="1"/>
  <c r="E4758" i="2"/>
  <c r="H4758" i="2" s="1"/>
  <c r="E4759" i="2"/>
  <c r="H4759" i="2" s="1"/>
  <c r="E4760" i="2"/>
  <c r="H4760" i="2" s="1"/>
  <c r="E4761" i="2"/>
  <c r="H4761" i="2" s="1"/>
  <c r="E4762" i="2"/>
  <c r="H4762" i="2" s="1"/>
  <c r="E4763" i="2"/>
  <c r="H4763" i="2" s="1"/>
  <c r="E4764" i="2"/>
  <c r="H4764" i="2" s="1"/>
  <c r="E4765" i="2"/>
  <c r="H4765" i="2" s="1"/>
  <c r="E4766" i="2"/>
  <c r="H4766" i="2" s="1"/>
  <c r="E4767" i="2"/>
  <c r="H4767" i="2" s="1"/>
  <c r="E4768" i="2"/>
  <c r="H4768" i="2" s="1"/>
  <c r="E4769" i="2"/>
  <c r="H4769" i="2" s="1"/>
  <c r="E4770" i="2"/>
  <c r="H4770" i="2" s="1"/>
  <c r="E4771" i="2"/>
  <c r="H4771" i="2" s="1"/>
  <c r="E4772" i="2"/>
  <c r="H4772" i="2" s="1"/>
  <c r="E4773" i="2"/>
  <c r="H4773" i="2" s="1"/>
  <c r="F4755" i="2"/>
  <c r="F4756" i="2"/>
  <c r="F4757" i="2"/>
  <c r="F4758" i="2"/>
  <c r="F4759" i="2"/>
  <c r="F4760" i="2"/>
  <c r="F4761" i="2"/>
  <c r="F4762" i="2"/>
  <c r="F4763" i="2"/>
  <c r="F4764" i="2"/>
  <c r="F4765" i="2"/>
  <c r="F4766" i="2"/>
  <c r="F4767" i="2"/>
  <c r="F4768" i="2"/>
  <c r="F4769" i="2"/>
  <c r="F4770" i="2"/>
  <c r="F4771" i="2"/>
  <c r="F4772" i="2"/>
  <c r="F4773" i="2"/>
  <c r="G4755" i="2"/>
  <c r="G4756" i="2"/>
  <c r="G4757" i="2"/>
  <c r="G4758" i="2"/>
  <c r="G4759" i="2"/>
  <c r="G4760" i="2"/>
  <c r="G4761" i="2"/>
  <c r="G4762" i="2"/>
  <c r="G4763" i="2"/>
  <c r="G4764" i="2"/>
  <c r="G4765" i="2"/>
  <c r="G4766" i="2"/>
  <c r="G4767" i="2"/>
  <c r="G4768" i="2"/>
  <c r="G4769" i="2"/>
  <c r="G4770" i="2"/>
  <c r="G4771" i="2"/>
  <c r="G4772" i="2"/>
  <c r="G4773" i="2"/>
  <c r="I4755" i="2"/>
  <c r="I4756" i="2"/>
  <c r="I4757" i="2"/>
  <c r="I4758" i="2"/>
  <c r="I4759" i="2"/>
  <c r="I4760" i="2"/>
  <c r="I4761" i="2"/>
  <c r="I4762" i="2"/>
  <c r="I4763" i="2"/>
  <c r="I4764" i="2"/>
  <c r="I4765" i="2"/>
  <c r="I4766" i="2"/>
  <c r="I4767" i="2"/>
  <c r="I4768" i="2"/>
  <c r="I4769" i="2"/>
  <c r="I4770" i="2"/>
  <c r="I4771" i="2"/>
  <c r="I4772" i="2"/>
  <c r="I4773" i="2"/>
  <c r="E4732" i="2"/>
  <c r="H4732" i="2" s="1"/>
  <c r="E4733" i="2"/>
  <c r="H4733" i="2" s="1"/>
  <c r="E4734" i="2"/>
  <c r="H4734" i="2" s="1"/>
  <c r="E4735" i="2"/>
  <c r="H4735" i="2" s="1"/>
  <c r="E4736" i="2"/>
  <c r="H4736" i="2" s="1"/>
  <c r="E4737" i="2"/>
  <c r="E4738" i="2"/>
  <c r="H4738" i="2" s="1"/>
  <c r="E4739" i="2"/>
  <c r="H4739" i="2" s="1"/>
  <c r="E4740" i="2"/>
  <c r="H4740" i="2" s="1"/>
  <c r="E4741" i="2"/>
  <c r="H4741" i="2" s="1"/>
  <c r="E4742" i="2"/>
  <c r="H4742" i="2" s="1"/>
  <c r="E4743" i="2"/>
  <c r="H4743" i="2" s="1"/>
  <c r="E4744" i="2"/>
  <c r="H4744" i="2" s="1"/>
  <c r="E4745" i="2"/>
  <c r="H4745" i="2" s="1"/>
  <c r="E4746" i="2"/>
  <c r="H4746" i="2" s="1"/>
  <c r="E4747" i="2"/>
  <c r="H4747" i="2" s="1"/>
  <c r="E4748" i="2"/>
  <c r="H4748" i="2" s="1"/>
  <c r="E4749" i="2"/>
  <c r="H4749" i="2" s="1"/>
  <c r="E4750" i="2"/>
  <c r="H4750" i="2" s="1"/>
  <c r="E4751" i="2"/>
  <c r="H4751" i="2" s="1"/>
  <c r="E4752" i="2"/>
  <c r="H4752" i="2" s="1"/>
  <c r="E4753" i="2"/>
  <c r="H4753" i="2" s="1"/>
  <c r="E4754" i="2"/>
  <c r="H4754" i="2" s="1"/>
  <c r="F4732" i="2"/>
  <c r="F4733" i="2"/>
  <c r="F4734" i="2"/>
  <c r="F4735" i="2"/>
  <c r="F4736" i="2"/>
  <c r="F4737" i="2"/>
  <c r="F4738" i="2"/>
  <c r="F4739" i="2"/>
  <c r="F4740" i="2"/>
  <c r="F4741" i="2"/>
  <c r="F4742" i="2"/>
  <c r="F4743" i="2"/>
  <c r="F4744" i="2"/>
  <c r="F4745" i="2"/>
  <c r="F4746" i="2"/>
  <c r="F4747" i="2"/>
  <c r="F4748" i="2"/>
  <c r="F4749" i="2"/>
  <c r="F4750" i="2"/>
  <c r="F4751" i="2"/>
  <c r="F4752" i="2"/>
  <c r="F4753" i="2"/>
  <c r="F4754" i="2"/>
  <c r="G4732" i="2"/>
  <c r="G4733" i="2"/>
  <c r="G4734" i="2"/>
  <c r="G4735" i="2"/>
  <c r="G4736" i="2"/>
  <c r="G4737" i="2"/>
  <c r="G4738" i="2"/>
  <c r="G4739" i="2"/>
  <c r="G4740" i="2"/>
  <c r="G4741" i="2"/>
  <c r="G4742" i="2"/>
  <c r="G4743" i="2"/>
  <c r="G4744" i="2"/>
  <c r="G4745" i="2"/>
  <c r="G4746" i="2"/>
  <c r="G4747" i="2"/>
  <c r="G4748" i="2"/>
  <c r="G4749" i="2"/>
  <c r="G4750" i="2"/>
  <c r="G4751" i="2"/>
  <c r="G4752" i="2"/>
  <c r="G4753" i="2"/>
  <c r="G4754" i="2"/>
  <c r="H4737" i="2"/>
  <c r="I4732" i="2"/>
  <c r="I4733" i="2"/>
  <c r="I4734" i="2"/>
  <c r="I4735" i="2"/>
  <c r="I4736" i="2"/>
  <c r="I4737" i="2"/>
  <c r="I4738" i="2"/>
  <c r="I4739" i="2"/>
  <c r="I4740" i="2"/>
  <c r="I4741" i="2"/>
  <c r="I4742" i="2"/>
  <c r="I4743" i="2"/>
  <c r="I4744" i="2"/>
  <c r="I4745" i="2"/>
  <c r="I4746" i="2"/>
  <c r="I4747" i="2"/>
  <c r="I4748" i="2"/>
  <c r="I4749" i="2"/>
  <c r="I4750" i="2"/>
  <c r="I4751" i="2"/>
  <c r="I4752" i="2"/>
  <c r="I4753" i="2"/>
  <c r="I4754" i="2"/>
  <c r="C345" i="4"/>
  <c r="D345" i="4" s="1"/>
  <c r="E345" i="4" s="1"/>
  <c r="F345" i="4"/>
  <c r="G345" i="4"/>
  <c r="C346" i="4"/>
  <c r="D346" i="4" s="1"/>
  <c r="E346" i="4" s="1"/>
  <c r="F346" i="4"/>
  <c r="G346" i="4"/>
  <c r="C344" i="4"/>
  <c r="D344" i="4" s="1"/>
  <c r="E344" i="4" s="1"/>
  <c r="F344" i="4"/>
  <c r="G344" i="4"/>
  <c r="C343" i="4"/>
  <c r="D343" i="4" s="1"/>
  <c r="E343" i="4" s="1"/>
  <c r="F343" i="4"/>
  <c r="G343" i="4"/>
  <c r="E4689" i="2"/>
  <c r="H4689" i="2" s="1"/>
  <c r="E4690" i="2"/>
  <c r="E4691" i="2"/>
  <c r="H4691" i="2" s="1"/>
  <c r="E4692" i="2"/>
  <c r="H4692" i="2" s="1"/>
  <c r="E4693" i="2"/>
  <c r="H4693" i="2" s="1"/>
  <c r="E4694" i="2"/>
  <c r="H4694" i="2" s="1"/>
  <c r="E4695" i="2"/>
  <c r="H4695" i="2" s="1"/>
  <c r="E4696" i="2"/>
  <c r="H4696" i="2" s="1"/>
  <c r="E4697" i="2"/>
  <c r="H4697" i="2" s="1"/>
  <c r="E4698" i="2"/>
  <c r="H4698" i="2" s="1"/>
  <c r="E4699" i="2"/>
  <c r="H4699" i="2" s="1"/>
  <c r="E4700" i="2"/>
  <c r="H4700" i="2" s="1"/>
  <c r="E4701" i="2"/>
  <c r="H4701" i="2" s="1"/>
  <c r="E4702" i="2"/>
  <c r="H4702" i="2" s="1"/>
  <c r="E4703" i="2"/>
  <c r="H4703" i="2" s="1"/>
  <c r="E4704" i="2"/>
  <c r="E4705" i="2"/>
  <c r="H4705" i="2" s="1"/>
  <c r="E4706" i="2"/>
  <c r="H4706" i="2" s="1"/>
  <c r="E4707" i="2"/>
  <c r="H4707" i="2" s="1"/>
  <c r="E4708" i="2"/>
  <c r="H4708" i="2" s="1"/>
  <c r="E4709" i="2"/>
  <c r="H4709" i="2" s="1"/>
  <c r="E4710" i="2"/>
  <c r="H4710" i="2" s="1"/>
  <c r="E4711" i="2"/>
  <c r="H4711" i="2" s="1"/>
  <c r="E4712" i="2"/>
  <c r="H4712" i="2" s="1"/>
  <c r="E4713" i="2"/>
  <c r="H4713" i="2" s="1"/>
  <c r="E4714" i="2"/>
  <c r="H4714" i="2" s="1"/>
  <c r="E4715" i="2"/>
  <c r="H4715" i="2" s="1"/>
  <c r="E4716" i="2"/>
  <c r="H4716" i="2" s="1"/>
  <c r="E4717" i="2"/>
  <c r="H4717" i="2" s="1"/>
  <c r="E4718" i="2"/>
  <c r="H4718" i="2" s="1"/>
  <c r="E4719" i="2"/>
  <c r="H4719" i="2" s="1"/>
  <c r="E4720" i="2"/>
  <c r="H4720" i="2" s="1"/>
  <c r="E4721" i="2"/>
  <c r="H4721" i="2" s="1"/>
  <c r="E4722" i="2"/>
  <c r="H4722" i="2" s="1"/>
  <c r="E4723" i="2"/>
  <c r="H4723" i="2" s="1"/>
  <c r="E4724" i="2"/>
  <c r="H4724" i="2" s="1"/>
  <c r="E4725" i="2"/>
  <c r="H4725" i="2" s="1"/>
  <c r="E4726" i="2"/>
  <c r="H4726" i="2" s="1"/>
  <c r="E4727" i="2"/>
  <c r="H4727" i="2" s="1"/>
  <c r="E4728" i="2"/>
  <c r="H4728" i="2" s="1"/>
  <c r="E4729" i="2"/>
  <c r="H4729" i="2" s="1"/>
  <c r="E4730" i="2"/>
  <c r="H4730" i="2" s="1"/>
  <c r="E4731" i="2"/>
  <c r="H4731" i="2" s="1"/>
  <c r="F4689" i="2"/>
  <c r="F4690" i="2"/>
  <c r="F4691" i="2"/>
  <c r="F4692" i="2"/>
  <c r="F4693" i="2"/>
  <c r="F4694" i="2"/>
  <c r="F4695" i="2"/>
  <c r="F4696" i="2"/>
  <c r="F4697" i="2"/>
  <c r="F4698" i="2"/>
  <c r="F4699" i="2"/>
  <c r="F4700" i="2"/>
  <c r="F4701" i="2"/>
  <c r="F4702" i="2"/>
  <c r="F4703" i="2"/>
  <c r="F4704" i="2"/>
  <c r="F4705" i="2"/>
  <c r="F4706" i="2"/>
  <c r="F4707" i="2"/>
  <c r="F4708" i="2"/>
  <c r="F4709" i="2"/>
  <c r="F4710" i="2"/>
  <c r="F4711" i="2"/>
  <c r="F4712" i="2"/>
  <c r="F4713" i="2"/>
  <c r="F4714" i="2"/>
  <c r="F4715" i="2"/>
  <c r="F4716" i="2"/>
  <c r="F4717" i="2"/>
  <c r="F4718" i="2"/>
  <c r="F4719" i="2"/>
  <c r="F4720" i="2"/>
  <c r="F4721" i="2"/>
  <c r="F4722" i="2"/>
  <c r="F4723" i="2"/>
  <c r="F4724" i="2"/>
  <c r="F4725" i="2"/>
  <c r="F4726" i="2"/>
  <c r="F4727" i="2"/>
  <c r="F4728" i="2"/>
  <c r="F4729" i="2"/>
  <c r="F4730" i="2"/>
  <c r="F4731" i="2"/>
  <c r="G4689" i="2"/>
  <c r="G4690" i="2"/>
  <c r="G4691" i="2"/>
  <c r="G4692" i="2"/>
  <c r="G4693" i="2"/>
  <c r="G4694" i="2"/>
  <c r="G4695" i="2"/>
  <c r="G4696" i="2"/>
  <c r="G4697" i="2"/>
  <c r="G4698" i="2"/>
  <c r="G4699" i="2"/>
  <c r="G4700" i="2"/>
  <c r="G4701" i="2"/>
  <c r="G4702" i="2"/>
  <c r="G4703" i="2"/>
  <c r="G4704" i="2"/>
  <c r="G4705" i="2"/>
  <c r="G4706" i="2"/>
  <c r="G4707" i="2"/>
  <c r="G4708" i="2"/>
  <c r="G4709" i="2"/>
  <c r="G4710" i="2"/>
  <c r="G4711" i="2"/>
  <c r="G4712" i="2"/>
  <c r="G4713" i="2"/>
  <c r="G4714" i="2"/>
  <c r="G4715" i="2"/>
  <c r="G4716" i="2"/>
  <c r="G4717" i="2"/>
  <c r="G4718" i="2"/>
  <c r="G4719" i="2"/>
  <c r="G4720" i="2"/>
  <c r="G4721" i="2"/>
  <c r="G4722" i="2"/>
  <c r="G4723" i="2"/>
  <c r="G4724" i="2"/>
  <c r="G4725" i="2"/>
  <c r="G4726" i="2"/>
  <c r="G4727" i="2"/>
  <c r="G4728" i="2"/>
  <c r="G4729" i="2"/>
  <c r="G4730" i="2"/>
  <c r="G4731" i="2"/>
  <c r="H4690" i="2"/>
  <c r="H4704" i="2"/>
  <c r="I4689" i="2"/>
  <c r="I4690" i="2"/>
  <c r="I4691" i="2"/>
  <c r="I4692" i="2"/>
  <c r="I4693" i="2"/>
  <c r="I4694" i="2"/>
  <c r="I4695" i="2"/>
  <c r="I4696" i="2"/>
  <c r="I4697" i="2"/>
  <c r="I4698" i="2"/>
  <c r="I4699" i="2"/>
  <c r="I4700" i="2"/>
  <c r="I4701" i="2"/>
  <c r="I4702" i="2"/>
  <c r="I4703" i="2"/>
  <c r="I4704" i="2"/>
  <c r="I4705" i="2"/>
  <c r="I4706" i="2"/>
  <c r="I4707" i="2"/>
  <c r="I4708" i="2"/>
  <c r="I4709" i="2"/>
  <c r="I4710" i="2"/>
  <c r="I4711" i="2"/>
  <c r="I4712" i="2"/>
  <c r="I4713" i="2"/>
  <c r="I4714" i="2"/>
  <c r="I4715" i="2"/>
  <c r="I4716" i="2"/>
  <c r="I4717" i="2"/>
  <c r="I4718" i="2"/>
  <c r="I4719" i="2"/>
  <c r="I4720" i="2"/>
  <c r="I4721" i="2"/>
  <c r="I4722" i="2"/>
  <c r="I4723" i="2"/>
  <c r="I4724" i="2"/>
  <c r="I4725" i="2"/>
  <c r="I4726" i="2"/>
  <c r="I4727" i="2"/>
  <c r="I4728" i="2"/>
  <c r="I4729" i="2"/>
  <c r="I4730" i="2"/>
  <c r="I4731" i="2"/>
  <c r="C342" i="4"/>
  <c r="D342" i="4" s="1"/>
  <c r="E342" i="4" s="1"/>
  <c r="F342" i="4"/>
  <c r="G342" i="4"/>
  <c r="E4669" i="2"/>
  <c r="H4669" i="2" s="1"/>
  <c r="E4670" i="2"/>
  <c r="H4670" i="2" s="1"/>
  <c r="E4671" i="2"/>
  <c r="H4671" i="2" s="1"/>
  <c r="E4672" i="2"/>
  <c r="H4672" i="2" s="1"/>
  <c r="E4673" i="2"/>
  <c r="H4673" i="2" s="1"/>
  <c r="E4674" i="2"/>
  <c r="H4674" i="2" s="1"/>
  <c r="E4675" i="2"/>
  <c r="H4675" i="2" s="1"/>
  <c r="E4676" i="2"/>
  <c r="H4676" i="2" s="1"/>
  <c r="E4677" i="2"/>
  <c r="E4678" i="2"/>
  <c r="H4678" i="2" s="1"/>
  <c r="E4679" i="2"/>
  <c r="H4679" i="2" s="1"/>
  <c r="E4680" i="2"/>
  <c r="H4680" i="2" s="1"/>
  <c r="E4681" i="2"/>
  <c r="H4681" i="2" s="1"/>
  <c r="E4682" i="2"/>
  <c r="H4682" i="2" s="1"/>
  <c r="E4683" i="2"/>
  <c r="H4683" i="2" s="1"/>
  <c r="E4684" i="2"/>
  <c r="H4684" i="2" s="1"/>
  <c r="E4685" i="2"/>
  <c r="H4685" i="2" s="1"/>
  <c r="E4686" i="2"/>
  <c r="H4686" i="2" s="1"/>
  <c r="E4687" i="2"/>
  <c r="H4687" i="2" s="1"/>
  <c r="E4688" i="2"/>
  <c r="H4688" i="2" s="1"/>
  <c r="F4669" i="2"/>
  <c r="F4670" i="2"/>
  <c r="F4671" i="2"/>
  <c r="F4672" i="2"/>
  <c r="F4673" i="2"/>
  <c r="F4674" i="2"/>
  <c r="F4675" i="2"/>
  <c r="F4676" i="2"/>
  <c r="F4677" i="2"/>
  <c r="F4678" i="2"/>
  <c r="F4679" i="2"/>
  <c r="F4680" i="2"/>
  <c r="F4681" i="2"/>
  <c r="F4682" i="2"/>
  <c r="F4683" i="2"/>
  <c r="F4684" i="2"/>
  <c r="F4685" i="2"/>
  <c r="F4686" i="2"/>
  <c r="F4687" i="2"/>
  <c r="F4688" i="2"/>
  <c r="G4669" i="2"/>
  <c r="G4670" i="2"/>
  <c r="G4671" i="2"/>
  <c r="G4672" i="2"/>
  <c r="G4673" i="2"/>
  <c r="G4674" i="2"/>
  <c r="G4675" i="2"/>
  <c r="G4676" i="2"/>
  <c r="G4677" i="2"/>
  <c r="G4678" i="2"/>
  <c r="G4679" i="2"/>
  <c r="G4680" i="2"/>
  <c r="G4681" i="2"/>
  <c r="G4682" i="2"/>
  <c r="G4683" i="2"/>
  <c r="G4684" i="2"/>
  <c r="G4685" i="2"/>
  <c r="G4686" i="2"/>
  <c r="G4687" i="2"/>
  <c r="G4688" i="2"/>
  <c r="H4677" i="2"/>
  <c r="I4669" i="2"/>
  <c r="I4670" i="2"/>
  <c r="I4671" i="2"/>
  <c r="I4672" i="2"/>
  <c r="I4673" i="2"/>
  <c r="I4674" i="2"/>
  <c r="I4675" i="2"/>
  <c r="I4676" i="2"/>
  <c r="I4677" i="2"/>
  <c r="I4678" i="2"/>
  <c r="I4679" i="2"/>
  <c r="I4680" i="2"/>
  <c r="I4681" i="2"/>
  <c r="I4682" i="2"/>
  <c r="I4683" i="2"/>
  <c r="I4684" i="2"/>
  <c r="I4685" i="2"/>
  <c r="I4686" i="2"/>
  <c r="I4687" i="2"/>
  <c r="I4688" i="2"/>
  <c r="E4652" i="2"/>
  <c r="H4652" i="2" s="1"/>
  <c r="E4653" i="2"/>
  <c r="H4653" i="2" s="1"/>
  <c r="E4654" i="2"/>
  <c r="H4654" i="2" s="1"/>
  <c r="E4655" i="2"/>
  <c r="H4655" i="2" s="1"/>
  <c r="E4656" i="2"/>
  <c r="H4656" i="2" s="1"/>
  <c r="E4657" i="2"/>
  <c r="H4657" i="2" s="1"/>
  <c r="E4658" i="2"/>
  <c r="H4658" i="2" s="1"/>
  <c r="E4659" i="2"/>
  <c r="H4659" i="2" s="1"/>
  <c r="E4660" i="2"/>
  <c r="H4660" i="2" s="1"/>
  <c r="E4661" i="2"/>
  <c r="H4661" i="2" s="1"/>
  <c r="E4662" i="2"/>
  <c r="H4662" i="2" s="1"/>
  <c r="E4663" i="2"/>
  <c r="H4663" i="2" s="1"/>
  <c r="E4664" i="2"/>
  <c r="H4664" i="2" s="1"/>
  <c r="E4665" i="2"/>
  <c r="H4665" i="2" s="1"/>
  <c r="E4666" i="2"/>
  <c r="H4666" i="2" s="1"/>
  <c r="E4667" i="2"/>
  <c r="H4667" i="2" s="1"/>
  <c r="E4668" i="2"/>
  <c r="H4668" i="2" s="1"/>
  <c r="F4652" i="2"/>
  <c r="F4653" i="2"/>
  <c r="F4654" i="2"/>
  <c r="F4655" i="2"/>
  <c r="F4656" i="2"/>
  <c r="F4657" i="2"/>
  <c r="F4658" i="2"/>
  <c r="F4659" i="2"/>
  <c r="F4660" i="2"/>
  <c r="F4661" i="2"/>
  <c r="F4662" i="2"/>
  <c r="F4663" i="2"/>
  <c r="F4664" i="2"/>
  <c r="F4665" i="2"/>
  <c r="F4666" i="2"/>
  <c r="F4667" i="2"/>
  <c r="F4668" i="2"/>
  <c r="G4652" i="2"/>
  <c r="G4653" i="2"/>
  <c r="G4654" i="2"/>
  <c r="G4655" i="2"/>
  <c r="G4656" i="2"/>
  <c r="G4657" i="2"/>
  <c r="G4658" i="2"/>
  <c r="G4659" i="2"/>
  <c r="G4660" i="2"/>
  <c r="G4661" i="2"/>
  <c r="G4662" i="2"/>
  <c r="G4663" i="2"/>
  <c r="G4664" i="2"/>
  <c r="G4665" i="2"/>
  <c r="G4666" i="2"/>
  <c r="G4667" i="2"/>
  <c r="G4668" i="2"/>
  <c r="I4652" i="2"/>
  <c r="I4653" i="2"/>
  <c r="I4654" i="2"/>
  <c r="I4655" i="2"/>
  <c r="I4656" i="2"/>
  <c r="I4657" i="2"/>
  <c r="I4658" i="2"/>
  <c r="I4659" i="2"/>
  <c r="I4660" i="2"/>
  <c r="I4661" i="2"/>
  <c r="I4662" i="2"/>
  <c r="I4663" i="2"/>
  <c r="I4664" i="2"/>
  <c r="I4665" i="2"/>
  <c r="I4666" i="2"/>
  <c r="I4667" i="2"/>
  <c r="I4668" i="2"/>
  <c r="C341" i="4"/>
  <c r="D341" i="4" s="1"/>
  <c r="E341" i="4" s="1"/>
  <c r="F341" i="4"/>
  <c r="G341" i="4"/>
  <c r="C340" i="4"/>
  <c r="D340" i="4" s="1"/>
  <c r="E340" i="4" s="1"/>
  <c r="F340" i="4"/>
  <c r="G340" i="4"/>
  <c r="E4624" i="2"/>
  <c r="E4625" i="2"/>
  <c r="E4626" i="2"/>
  <c r="H4626" i="2" s="1"/>
  <c r="E4627" i="2"/>
  <c r="H4627" i="2" s="1"/>
  <c r="E4628" i="2"/>
  <c r="H4628" i="2" s="1"/>
  <c r="E4629" i="2"/>
  <c r="H4629" i="2" s="1"/>
  <c r="E4630" i="2"/>
  <c r="H4630" i="2" s="1"/>
  <c r="E4631" i="2"/>
  <c r="H4631" i="2" s="1"/>
  <c r="E4632" i="2"/>
  <c r="H4632" i="2" s="1"/>
  <c r="E4633" i="2"/>
  <c r="H4633" i="2" s="1"/>
  <c r="E4634" i="2"/>
  <c r="H4634" i="2" s="1"/>
  <c r="E4635" i="2"/>
  <c r="H4635" i="2" s="1"/>
  <c r="E4636" i="2"/>
  <c r="H4636" i="2" s="1"/>
  <c r="E4637" i="2"/>
  <c r="H4637" i="2" s="1"/>
  <c r="E4638" i="2"/>
  <c r="H4638" i="2" s="1"/>
  <c r="E4639" i="2"/>
  <c r="H4639" i="2" s="1"/>
  <c r="E4640" i="2"/>
  <c r="H4640" i="2" s="1"/>
  <c r="E4641" i="2"/>
  <c r="H4641" i="2" s="1"/>
  <c r="E4642" i="2"/>
  <c r="H4642" i="2" s="1"/>
  <c r="E4643" i="2"/>
  <c r="H4643" i="2" s="1"/>
  <c r="E4644" i="2"/>
  <c r="H4644" i="2" s="1"/>
  <c r="E4645" i="2"/>
  <c r="H4645" i="2" s="1"/>
  <c r="E4646" i="2"/>
  <c r="H4646" i="2" s="1"/>
  <c r="E4647" i="2"/>
  <c r="H4647" i="2" s="1"/>
  <c r="E4648" i="2"/>
  <c r="H4648" i="2" s="1"/>
  <c r="E4649" i="2"/>
  <c r="H4649" i="2" s="1"/>
  <c r="E4650" i="2"/>
  <c r="H4650" i="2" s="1"/>
  <c r="E4651" i="2"/>
  <c r="H4651" i="2" s="1"/>
  <c r="F4624" i="2"/>
  <c r="F4625" i="2"/>
  <c r="F4626" i="2"/>
  <c r="F4627" i="2"/>
  <c r="F4628" i="2"/>
  <c r="F4629" i="2"/>
  <c r="F4630" i="2"/>
  <c r="F4631" i="2"/>
  <c r="F4632" i="2"/>
  <c r="F4633" i="2"/>
  <c r="F4634" i="2"/>
  <c r="F4635" i="2"/>
  <c r="F4636" i="2"/>
  <c r="F4637" i="2"/>
  <c r="F4638" i="2"/>
  <c r="F4639" i="2"/>
  <c r="F4640" i="2"/>
  <c r="F4641" i="2"/>
  <c r="F4642" i="2"/>
  <c r="F4643" i="2"/>
  <c r="F4644" i="2"/>
  <c r="F4645" i="2"/>
  <c r="F4646" i="2"/>
  <c r="F4647" i="2"/>
  <c r="F4648" i="2"/>
  <c r="F4649" i="2"/>
  <c r="F4650" i="2"/>
  <c r="F4651" i="2"/>
  <c r="G4624" i="2"/>
  <c r="G4625" i="2"/>
  <c r="G4626" i="2"/>
  <c r="G4627" i="2"/>
  <c r="G4628" i="2"/>
  <c r="G4629" i="2"/>
  <c r="G4630" i="2"/>
  <c r="G4631" i="2"/>
  <c r="G4632" i="2"/>
  <c r="G4633" i="2"/>
  <c r="G4634" i="2"/>
  <c r="G4635" i="2"/>
  <c r="G4636" i="2"/>
  <c r="G4637" i="2"/>
  <c r="G4638" i="2"/>
  <c r="G4639" i="2"/>
  <c r="G4640" i="2"/>
  <c r="G4641" i="2"/>
  <c r="G4642" i="2"/>
  <c r="G4643" i="2"/>
  <c r="G4644" i="2"/>
  <c r="G4645" i="2"/>
  <c r="G4646" i="2"/>
  <c r="G4647" i="2"/>
  <c r="G4648" i="2"/>
  <c r="G4649" i="2"/>
  <c r="G4650" i="2"/>
  <c r="G4651" i="2"/>
  <c r="H4624" i="2"/>
  <c r="H4625" i="2"/>
  <c r="I4624" i="2"/>
  <c r="I4625" i="2"/>
  <c r="I4626" i="2"/>
  <c r="I4627" i="2"/>
  <c r="I4628" i="2"/>
  <c r="I4629" i="2"/>
  <c r="I4630" i="2"/>
  <c r="I4631" i="2"/>
  <c r="I4632" i="2"/>
  <c r="I4633" i="2"/>
  <c r="I4634" i="2"/>
  <c r="I4635" i="2"/>
  <c r="I4636" i="2"/>
  <c r="I4637" i="2"/>
  <c r="I4638" i="2"/>
  <c r="I4639" i="2"/>
  <c r="I4640" i="2"/>
  <c r="I4641" i="2"/>
  <c r="I4642" i="2"/>
  <c r="I4643" i="2"/>
  <c r="I4644" i="2"/>
  <c r="I4645" i="2"/>
  <c r="I4646" i="2"/>
  <c r="I4647" i="2"/>
  <c r="I4648" i="2"/>
  <c r="I4649" i="2"/>
  <c r="I4650" i="2"/>
  <c r="I4651" i="2"/>
  <c r="C339" i="4"/>
  <c r="D339" i="4" s="1"/>
  <c r="E339" i="4" s="1"/>
  <c r="F339" i="4"/>
  <c r="G339" i="4"/>
  <c r="G338" i="4"/>
  <c r="F338" i="4"/>
  <c r="C338" i="4"/>
  <c r="D338" i="4" s="1"/>
  <c r="E338" i="4" s="1"/>
  <c r="E4605" i="2"/>
  <c r="H4605" i="2" s="1"/>
  <c r="E4606" i="2"/>
  <c r="H4606" i="2" s="1"/>
  <c r="E4607" i="2"/>
  <c r="H4607" i="2" s="1"/>
  <c r="E4608" i="2"/>
  <c r="H4608" i="2" s="1"/>
  <c r="E4609" i="2"/>
  <c r="H4609" i="2" s="1"/>
  <c r="E4610" i="2"/>
  <c r="H4610" i="2" s="1"/>
  <c r="E4611" i="2"/>
  <c r="H4611" i="2" s="1"/>
  <c r="E4612" i="2"/>
  <c r="H4612" i="2" s="1"/>
  <c r="E4613" i="2"/>
  <c r="H4613" i="2" s="1"/>
  <c r="E4614" i="2"/>
  <c r="H4614" i="2" s="1"/>
  <c r="E4615" i="2"/>
  <c r="H4615" i="2" s="1"/>
  <c r="E4616" i="2"/>
  <c r="H4616" i="2" s="1"/>
  <c r="E4617" i="2"/>
  <c r="H4617" i="2" s="1"/>
  <c r="E4618" i="2"/>
  <c r="H4618" i="2" s="1"/>
  <c r="E4619" i="2"/>
  <c r="H4619" i="2" s="1"/>
  <c r="E4620" i="2"/>
  <c r="H4620" i="2" s="1"/>
  <c r="E4621" i="2"/>
  <c r="H4621" i="2" s="1"/>
  <c r="E4622" i="2"/>
  <c r="H4622" i="2" s="1"/>
  <c r="E4623" i="2"/>
  <c r="H4623" i="2" s="1"/>
  <c r="F4605" i="2"/>
  <c r="F4606" i="2"/>
  <c r="F4607" i="2"/>
  <c r="F4608" i="2"/>
  <c r="F4609" i="2"/>
  <c r="F4610" i="2"/>
  <c r="F4611" i="2"/>
  <c r="F4612" i="2"/>
  <c r="F4613" i="2"/>
  <c r="F4614" i="2"/>
  <c r="F4615" i="2"/>
  <c r="F4616" i="2"/>
  <c r="F4617" i="2"/>
  <c r="F4618" i="2"/>
  <c r="F4619" i="2"/>
  <c r="F4620" i="2"/>
  <c r="F4621" i="2"/>
  <c r="F4622" i="2"/>
  <c r="F4623" i="2"/>
  <c r="G4605" i="2"/>
  <c r="G4606" i="2"/>
  <c r="G4607" i="2"/>
  <c r="G4608" i="2"/>
  <c r="G4609" i="2"/>
  <c r="G4610" i="2"/>
  <c r="G4611" i="2"/>
  <c r="G4612" i="2"/>
  <c r="G4613" i="2"/>
  <c r="G4614" i="2"/>
  <c r="G4615" i="2"/>
  <c r="G4616" i="2"/>
  <c r="G4617" i="2"/>
  <c r="G4618" i="2"/>
  <c r="G4619" i="2"/>
  <c r="G4620" i="2"/>
  <c r="G4621" i="2"/>
  <c r="G4622" i="2"/>
  <c r="G4623" i="2"/>
  <c r="I4605" i="2"/>
  <c r="I4606" i="2"/>
  <c r="I4607" i="2"/>
  <c r="I4608" i="2"/>
  <c r="I4609" i="2"/>
  <c r="I4610" i="2"/>
  <c r="I4611" i="2"/>
  <c r="I4612" i="2"/>
  <c r="I4613" i="2"/>
  <c r="I4614" i="2"/>
  <c r="I4615" i="2"/>
  <c r="I4616" i="2"/>
  <c r="I4617" i="2"/>
  <c r="I4618" i="2"/>
  <c r="I4619" i="2"/>
  <c r="I4620" i="2"/>
  <c r="I4621" i="2"/>
  <c r="I4622" i="2"/>
  <c r="I4623" i="2"/>
  <c r="C337" i="4" l="1"/>
  <c r="D337" i="4" s="1"/>
  <c r="E337" i="4" s="1"/>
  <c r="F337" i="4"/>
  <c r="G337" i="4"/>
  <c r="E4584" i="2"/>
  <c r="H4584" i="2" s="1"/>
  <c r="E4585" i="2"/>
  <c r="H4585" i="2" s="1"/>
  <c r="E4586" i="2"/>
  <c r="H4586" i="2" s="1"/>
  <c r="E4587" i="2"/>
  <c r="E4588" i="2"/>
  <c r="H4588" i="2" s="1"/>
  <c r="E4589" i="2"/>
  <c r="H4589" i="2" s="1"/>
  <c r="E4590" i="2"/>
  <c r="H4590" i="2" s="1"/>
  <c r="E4591" i="2"/>
  <c r="H4591" i="2" s="1"/>
  <c r="E4592" i="2"/>
  <c r="H4592" i="2" s="1"/>
  <c r="E4593" i="2"/>
  <c r="H4593" i="2" s="1"/>
  <c r="E4594" i="2"/>
  <c r="H4594" i="2" s="1"/>
  <c r="E4595" i="2"/>
  <c r="H4595" i="2" s="1"/>
  <c r="E4596" i="2"/>
  <c r="H4596" i="2" s="1"/>
  <c r="E4597" i="2"/>
  <c r="H4597" i="2" s="1"/>
  <c r="E4598" i="2"/>
  <c r="H4598" i="2" s="1"/>
  <c r="E4599" i="2"/>
  <c r="H4599" i="2" s="1"/>
  <c r="E4600" i="2"/>
  <c r="H4600" i="2" s="1"/>
  <c r="E4601" i="2"/>
  <c r="H4601" i="2" s="1"/>
  <c r="E4602" i="2"/>
  <c r="H4602" i="2" s="1"/>
  <c r="E4603" i="2"/>
  <c r="H4603" i="2" s="1"/>
  <c r="E4604" i="2"/>
  <c r="H4604" i="2" s="1"/>
  <c r="F4584" i="2"/>
  <c r="F4585" i="2"/>
  <c r="F4586" i="2"/>
  <c r="F4587" i="2"/>
  <c r="F4588" i="2"/>
  <c r="F4589" i="2"/>
  <c r="F4590" i="2"/>
  <c r="F4591" i="2"/>
  <c r="F4592" i="2"/>
  <c r="F4593" i="2"/>
  <c r="F4594" i="2"/>
  <c r="F4595" i="2"/>
  <c r="F4596" i="2"/>
  <c r="F4597" i="2"/>
  <c r="F4598" i="2"/>
  <c r="F4599" i="2"/>
  <c r="F4600" i="2"/>
  <c r="F4601" i="2"/>
  <c r="F4602" i="2"/>
  <c r="F4603" i="2"/>
  <c r="F4604" i="2"/>
  <c r="G4584" i="2"/>
  <c r="G4585" i="2"/>
  <c r="G4586" i="2"/>
  <c r="G4587" i="2"/>
  <c r="G4588" i="2"/>
  <c r="G4589" i="2"/>
  <c r="G4590" i="2"/>
  <c r="G4591" i="2"/>
  <c r="G4592" i="2"/>
  <c r="G4593" i="2"/>
  <c r="G4594" i="2"/>
  <c r="G4595" i="2"/>
  <c r="G4596" i="2"/>
  <c r="G4597" i="2"/>
  <c r="G4598" i="2"/>
  <c r="G4599" i="2"/>
  <c r="G4600" i="2"/>
  <c r="G4601" i="2"/>
  <c r="G4602" i="2"/>
  <c r="G4603" i="2"/>
  <c r="G4604" i="2"/>
  <c r="H4587" i="2"/>
  <c r="I4584" i="2"/>
  <c r="I4585" i="2"/>
  <c r="I4586" i="2"/>
  <c r="I4587" i="2"/>
  <c r="I4588" i="2"/>
  <c r="I4589" i="2"/>
  <c r="I4590" i="2"/>
  <c r="I4591" i="2"/>
  <c r="I4592" i="2"/>
  <c r="I4593" i="2"/>
  <c r="I4594" i="2"/>
  <c r="I4595" i="2"/>
  <c r="I4596" i="2"/>
  <c r="I4597" i="2"/>
  <c r="I4598" i="2"/>
  <c r="I4599" i="2"/>
  <c r="I4600" i="2"/>
  <c r="I4601" i="2"/>
  <c r="I4602" i="2"/>
  <c r="I4603" i="2"/>
  <c r="I4604" i="2"/>
  <c r="E4564" i="2"/>
  <c r="H4564" i="2" s="1"/>
  <c r="E4565" i="2"/>
  <c r="H4565" i="2" s="1"/>
  <c r="E4566" i="2"/>
  <c r="H4566" i="2" s="1"/>
  <c r="E4567" i="2"/>
  <c r="H4567" i="2" s="1"/>
  <c r="E4568" i="2"/>
  <c r="H4568" i="2" s="1"/>
  <c r="E4569" i="2"/>
  <c r="H4569" i="2" s="1"/>
  <c r="E4570" i="2"/>
  <c r="H4570" i="2" s="1"/>
  <c r="E4571" i="2"/>
  <c r="H4571" i="2" s="1"/>
  <c r="E4572" i="2"/>
  <c r="H4572" i="2" s="1"/>
  <c r="E4573" i="2"/>
  <c r="H4573" i="2" s="1"/>
  <c r="E4574" i="2"/>
  <c r="H4574" i="2" s="1"/>
  <c r="E4575" i="2"/>
  <c r="H4575" i="2" s="1"/>
  <c r="E4576" i="2"/>
  <c r="H4576" i="2" s="1"/>
  <c r="E4577" i="2"/>
  <c r="H4577" i="2" s="1"/>
  <c r="E4578" i="2"/>
  <c r="H4578" i="2" s="1"/>
  <c r="E4579" i="2"/>
  <c r="H4579" i="2" s="1"/>
  <c r="E4580" i="2"/>
  <c r="H4580" i="2" s="1"/>
  <c r="E4581" i="2"/>
  <c r="H4581" i="2" s="1"/>
  <c r="E4582" i="2"/>
  <c r="H4582" i="2" s="1"/>
  <c r="E4583" i="2"/>
  <c r="H4583" i="2" s="1"/>
  <c r="F4564" i="2"/>
  <c r="F4565" i="2"/>
  <c r="F4566" i="2"/>
  <c r="F4567" i="2"/>
  <c r="F4568" i="2"/>
  <c r="F4569" i="2"/>
  <c r="F4570" i="2"/>
  <c r="F4571" i="2"/>
  <c r="F4572" i="2"/>
  <c r="F4573" i="2"/>
  <c r="F4574" i="2"/>
  <c r="F4575" i="2"/>
  <c r="F4576" i="2"/>
  <c r="F4577" i="2"/>
  <c r="F4578" i="2"/>
  <c r="F4579" i="2"/>
  <c r="F4580" i="2"/>
  <c r="F4581" i="2"/>
  <c r="F4582" i="2"/>
  <c r="F4583" i="2"/>
  <c r="G4564" i="2"/>
  <c r="G4565" i="2"/>
  <c r="G4566" i="2"/>
  <c r="G4567" i="2"/>
  <c r="G4568" i="2"/>
  <c r="G4569" i="2"/>
  <c r="G4570" i="2"/>
  <c r="G4571" i="2"/>
  <c r="G4572" i="2"/>
  <c r="G4573" i="2"/>
  <c r="G4574" i="2"/>
  <c r="G4575" i="2"/>
  <c r="G4576" i="2"/>
  <c r="G4577" i="2"/>
  <c r="G4578" i="2"/>
  <c r="G4579" i="2"/>
  <c r="G4580" i="2"/>
  <c r="G4581" i="2"/>
  <c r="G4582" i="2"/>
  <c r="G4583" i="2"/>
  <c r="I4564" i="2"/>
  <c r="I4565" i="2"/>
  <c r="I4566" i="2"/>
  <c r="I4567" i="2"/>
  <c r="I4568" i="2"/>
  <c r="I4569" i="2"/>
  <c r="I4570" i="2"/>
  <c r="I4571" i="2"/>
  <c r="I4572" i="2"/>
  <c r="I4573" i="2"/>
  <c r="I4574" i="2"/>
  <c r="I4575" i="2"/>
  <c r="I4576" i="2"/>
  <c r="I4577" i="2"/>
  <c r="I4578" i="2"/>
  <c r="I4579" i="2"/>
  <c r="I4580" i="2"/>
  <c r="I4581" i="2"/>
  <c r="I4582" i="2"/>
  <c r="I4583" i="2"/>
  <c r="E4543" i="2" l="1"/>
  <c r="H4543" i="2" s="1"/>
  <c r="E4544" i="2"/>
  <c r="H4544" i="2" s="1"/>
  <c r="E4545" i="2"/>
  <c r="H4545" i="2" s="1"/>
  <c r="E4546" i="2"/>
  <c r="H4546" i="2" s="1"/>
  <c r="E4547" i="2"/>
  <c r="H4547" i="2" s="1"/>
  <c r="E4548" i="2"/>
  <c r="H4548" i="2" s="1"/>
  <c r="E4549" i="2"/>
  <c r="H4549" i="2" s="1"/>
  <c r="E4550" i="2"/>
  <c r="H4550" i="2" s="1"/>
  <c r="E4551" i="2"/>
  <c r="H4551" i="2" s="1"/>
  <c r="E4552" i="2"/>
  <c r="H4552" i="2" s="1"/>
  <c r="E4553" i="2"/>
  <c r="H4553" i="2" s="1"/>
  <c r="E4554" i="2"/>
  <c r="H4554" i="2" s="1"/>
  <c r="E4555" i="2"/>
  <c r="H4555" i="2" s="1"/>
  <c r="E4556" i="2"/>
  <c r="H4556" i="2" s="1"/>
  <c r="E4557" i="2"/>
  <c r="H4557" i="2" s="1"/>
  <c r="E4558" i="2"/>
  <c r="H4558" i="2" s="1"/>
  <c r="E4559" i="2"/>
  <c r="H4559" i="2" s="1"/>
  <c r="E4560" i="2"/>
  <c r="H4560" i="2" s="1"/>
  <c r="E4561" i="2"/>
  <c r="H4561" i="2" s="1"/>
  <c r="E4562" i="2"/>
  <c r="H4562" i="2" s="1"/>
  <c r="E4563" i="2"/>
  <c r="H4563" i="2" s="1"/>
  <c r="F4543" i="2"/>
  <c r="F4544" i="2"/>
  <c r="F4545" i="2"/>
  <c r="F4546" i="2"/>
  <c r="F4547" i="2"/>
  <c r="F4548" i="2"/>
  <c r="F4549" i="2"/>
  <c r="F4550" i="2"/>
  <c r="F4551" i="2"/>
  <c r="F4552" i="2"/>
  <c r="F4553" i="2"/>
  <c r="F4554" i="2"/>
  <c r="F4555" i="2"/>
  <c r="F4556" i="2"/>
  <c r="F4557" i="2"/>
  <c r="F4558" i="2"/>
  <c r="F4559" i="2"/>
  <c r="F4560" i="2"/>
  <c r="F4561" i="2"/>
  <c r="F4562" i="2"/>
  <c r="F4563" i="2"/>
  <c r="G4543" i="2"/>
  <c r="G4544" i="2"/>
  <c r="G4545" i="2"/>
  <c r="G4546" i="2"/>
  <c r="G4547" i="2"/>
  <c r="G4548" i="2"/>
  <c r="G4549" i="2"/>
  <c r="G4550" i="2"/>
  <c r="G4551" i="2"/>
  <c r="G4552" i="2"/>
  <c r="G4553" i="2"/>
  <c r="G4554" i="2"/>
  <c r="G4555" i="2"/>
  <c r="G4556" i="2"/>
  <c r="G4557" i="2"/>
  <c r="G4558" i="2"/>
  <c r="G4559" i="2"/>
  <c r="G4560" i="2"/>
  <c r="G4561" i="2"/>
  <c r="G4562" i="2"/>
  <c r="G4563" i="2"/>
  <c r="I4543" i="2"/>
  <c r="I4544" i="2"/>
  <c r="I4545" i="2"/>
  <c r="I4546" i="2"/>
  <c r="I4547" i="2"/>
  <c r="I4548" i="2"/>
  <c r="I4549" i="2"/>
  <c r="I4550" i="2"/>
  <c r="I4551" i="2"/>
  <c r="I4552" i="2"/>
  <c r="I4553" i="2"/>
  <c r="I4554" i="2"/>
  <c r="I4555" i="2"/>
  <c r="I4556" i="2"/>
  <c r="I4557" i="2"/>
  <c r="I4558" i="2"/>
  <c r="I4559" i="2"/>
  <c r="I4560" i="2"/>
  <c r="I4561" i="2"/>
  <c r="I4562" i="2"/>
  <c r="I4563" i="2"/>
  <c r="G336" i="4"/>
  <c r="F336" i="4"/>
  <c r="C336" i="4"/>
  <c r="D336" i="4" s="1"/>
  <c r="E336" i="4" s="1"/>
  <c r="C335" i="4"/>
  <c r="D335" i="4" s="1"/>
  <c r="E335" i="4" s="1"/>
  <c r="F335" i="4"/>
  <c r="G335" i="4"/>
  <c r="E4510" i="2"/>
  <c r="H4510" i="2" s="1"/>
  <c r="E4511" i="2"/>
  <c r="H4511" i="2" s="1"/>
  <c r="E4512" i="2"/>
  <c r="H4512" i="2" s="1"/>
  <c r="E4513" i="2"/>
  <c r="H4513" i="2" s="1"/>
  <c r="E4514" i="2"/>
  <c r="H4514" i="2" s="1"/>
  <c r="E4515" i="2"/>
  <c r="H4515" i="2" s="1"/>
  <c r="E4516" i="2"/>
  <c r="H4516" i="2" s="1"/>
  <c r="E4517" i="2"/>
  <c r="H4517" i="2" s="1"/>
  <c r="E4518" i="2"/>
  <c r="H4518" i="2" s="1"/>
  <c r="E4519" i="2"/>
  <c r="H4519" i="2" s="1"/>
  <c r="E4520" i="2"/>
  <c r="H4520" i="2" s="1"/>
  <c r="E4521" i="2"/>
  <c r="H4521" i="2" s="1"/>
  <c r="E4522" i="2"/>
  <c r="H4522" i="2" s="1"/>
  <c r="E4523" i="2"/>
  <c r="H4523" i="2" s="1"/>
  <c r="E4524" i="2"/>
  <c r="H4524" i="2" s="1"/>
  <c r="E4525" i="2"/>
  <c r="H4525" i="2" s="1"/>
  <c r="E4526" i="2"/>
  <c r="H4526" i="2" s="1"/>
  <c r="E4527" i="2"/>
  <c r="H4527" i="2" s="1"/>
  <c r="E4528" i="2"/>
  <c r="H4528" i="2" s="1"/>
  <c r="E4529" i="2"/>
  <c r="H4529" i="2" s="1"/>
  <c r="E4530" i="2"/>
  <c r="H4530" i="2" s="1"/>
  <c r="E4531" i="2"/>
  <c r="H4531" i="2" s="1"/>
  <c r="E4532" i="2"/>
  <c r="H4532" i="2" s="1"/>
  <c r="E4533" i="2"/>
  <c r="H4533" i="2" s="1"/>
  <c r="E4534" i="2"/>
  <c r="H4534" i="2" s="1"/>
  <c r="E4535" i="2"/>
  <c r="H4535" i="2" s="1"/>
  <c r="E4536" i="2"/>
  <c r="H4536" i="2" s="1"/>
  <c r="E4537" i="2"/>
  <c r="H4537" i="2" s="1"/>
  <c r="E4538" i="2"/>
  <c r="H4538" i="2" s="1"/>
  <c r="E4539" i="2"/>
  <c r="H4539" i="2" s="1"/>
  <c r="E4540" i="2"/>
  <c r="H4540" i="2" s="1"/>
  <c r="E4541" i="2"/>
  <c r="H4541" i="2" s="1"/>
  <c r="E4542" i="2"/>
  <c r="H4542" i="2" s="1"/>
  <c r="F4510" i="2"/>
  <c r="F4511" i="2"/>
  <c r="F4512" i="2"/>
  <c r="F4513" i="2"/>
  <c r="F4514" i="2"/>
  <c r="F4515" i="2"/>
  <c r="F4516" i="2"/>
  <c r="F4517" i="2"/>
  <c r="F4518" i="2"/>
  <c r="F4519" i="2"/>
  <c r="F4520" i="2"/>
  <c r="F4521" i="2"/>
  <c r="F4522" i="2"/>
  <c r="F4523" i="2"/>
  <c r="F4524" i="2"/>
  <c r="F4525" i="2"/>
  <c r="F4526" i="2"/>
  <c r="F4527" i="2"/>
  <c r="F4528" i="2"/>
  <c r="F4529" i="2"/>
  <c r="F4530" i="2"/>
  <c r="F4531" i="2"/>
  <c r="F4532" i="2"/>
  <c r="F4533" i="2"/>
  <c r="F4534" i="2"/>
  <c r="F4535" i="2"/>
  <c r="F4536" i="2"/>
  <c r="F4537" i="2"/>
  <c r="F4538" i="2"/>
  <c r="F4539" i="2"/>
  <c r="F4540" i="2"/>
  <c r="F4541" i="2"/>
  <c r="F4542" i="2"/>
  <c r="G4510" i="2"/>
  <c r="G4511" i="2"/>
  <c r="G4512" i="2"/>
  <c r="G4513" i="2"/>
  <c r="G4514" i="2"/>
  <c r="G4515" i="2"/>
  <c r="G4516" i="2"/>
  <c r="G4517" i="2"/>
  <c r="G4518" i="2"/>
  <c r="G4519" i="2"/>
  <c r="G4520" i="2"/>
  <c r="G4521" i="2"/>
  <c r="G4522" i="2"/>
  <c r="G4523" i="2"/>
  <c r="G4524" i="2"/>
  <c r="G4525" i="2"/>
  <c r="G4526" i="2"/>
  <c r="G4527" i="2"/>
  <c r="G4528" i="2"/>
  <c r="G4529" i="2"/>
  <c r="G4530" i="2"/>
  <c r="G4531" i="2"/>
  <c r="G4532" i="2"/>
  <c r="G4533" i="2"/>
  <c r="G4534" i="2"/>
  <c r="G4535" i="2"/>
  <c r="G4536" i="2"/>
  <c r="G4537" i="2"/>
  <c r="G4538" i="2"/>
  <c r="G4539" i="2"/>
  <c r="G4540" i="2"/>
  <c r="G4541" i="2"/>
  <c r="G4542" i="2"/>
  <c r="I4510" i="2"/>
  <c r="I4511" i="2"/>
  <c r="I4512" i="2"/>
  <c r="I4513" i="2"/>
  <c r="I4514" i="2"/>
  <c r="I4515" i="2"/>
  <c r="I4516" i="2"/>
  <c r="I4517" i="2"/>
  <c r="I4518" i="2"/>
  <c r="I4519" i="2"/>
  <c r="I4520" i="2"/>
  <c r="I4521" i="2"/>
  <c r="I4522" i="2"/>
  <c r="I4523" i="2"/>
  <c r="I4524" i="2"/>
  <c r="I4525" i="2"/>
  <c r="I4526" i="2"/>
  <c r="I4527" i="2"/>
  <c r="I4528" i="2"/>
  <c r="I4529" i="2"/>
  <c r="I4530" i="2"/>
  <c r="I4531" i="2"/>
  <c r="I4532" i="2"/>
  <c r="I4533" i="2"/>
  <c r="I4534" i="2"/>
  <c r="I4535" i="2"/>
  <c r="I4536" i="2"/>
  <c r="I4537" i="2"/>
  <c r="I4538" i="2"/>
  <c r="I4539" i="2"/>
  <c r="I4540" i="2"/>
  <c r="I4541" i="2"/>
  <c r="I4542" i="2"/>
  <c r="C334" i="4"/>
  <c r="D334" i="4" s="1"/>
  <c r="E334" i="4" s="1"/>
  <c r="F334" i="4"/>
  <c r="G334" i="4"/>
  <c r="G333" i="4"/>
  <c r="F333" i="4"/>
  <c r="C333" i="4"/>
  <c r="D333" i="4" s="1"/>
  <c r="E333" i="4" s="1"/>
  <c r="E4482" i="2"/>
  <c r="H4482" i="2" s="1"/>
  <c r="E4483" i="2"/>
  <c r="H4483" i="2" s="1"/>
  <c r="E4484" i="2"/>
  <c r="H4484" i="2" s="1"/>
  <c r="E4485" i="2"/>
  <c r="H4485" i="2" s="1"/>
  <c r="E4486" i="2"/>
  <c r="H4486" i="2" s="1"/>
  <c r="E4487" i="2"/>
  <c r="H4487" i="2" s="1"/>
  <c r="E4488" i="2"/>
  <c r="H4488" i="2" s="1"/>
  <c r="E4489" i="2"/>
  <c r="H4489" i="2" s="1"/>
  <c r="E4490" i="2"/>
  <c r="H4490" i="2" s="1"/>
  <c r="E4491" i="2"/>
  <c r="H4491" i="2" s="1"/>
  <c r="E4492" i="2"/>
  <c r="H4492" i="2" s="1"/>
  <c r="E4493" i="2"/>
  <c r="H4493" i="2" s="1"/>
  <c r="E4494" i="2"/>
  <c r="H4494" i="2" s="1"/>
  <c r="E4495" i="2"/>
  <c r="H4495" i="2" s="1"/>
  <c r="E4496" i="2"/>
  <c r="H4496" i="2" s="1"/>
  <c r="E4497" i="2"/>
  <c r="H4497" i="2" s="1"/>
  <c r="E4498" i="2"/>
  <c r="H4498" i="2" s="1"/>
  <c r="E4499" i="2"/>
  <c r="H4499" i="2" s="1"/>
  <c r="E4500" i="2"/>
  <c r="H4500" i="2" s="1"/>
  <c r="E4501" i="2"/>
  <c r="H4501" i="2" s="1"/>
  <c r="E4502" i="2"/>
  <c r="H4502" i="2" s="1"/>
  <c r="E4503" i="2"/>
  <c r="H4503" i="2" s="1"/>
  <c r="E4504" i="2"/>
  <c r="H4504" i="2" s="1"/>
  <c r="E4505" i="2"/>
  <c r="H4505" i="2" s="1"/>
  <c r="E4506" i="2"/>
  <c r="H4506" i="2" s="1"/>
  <c r="E4507" i="2"/>
  <c r="H4507" i="2" s="1"/>
  <c r="E4508" i="2"/>
  <c r="H4508" i="2" s="1"/>
  <c r="E4509" i="2"/>
  <c r="H4509" i="2" s="1"/>
  <c r="F4482" i="2"/>
  <c r="F4483" i="2"/>
  <c r="F4484" i="2"/>
  <c r="F4485" i="2"/>
  <c r="F4486" i="2"/>
  <c r="F4487" i="2"/>
  <c r="F4488" i="2"/>
  <c r="F4489" i="2"/>
  <c r="F4490" i="2"/>
  <c r="F4491" i="2"/>
  <c r="F4492" i="2"/>
  <c r="F4493" i="2"/>
  <c r="F4494" i="2"/>
  <c r="F4495" i="2"/>
  <c r="F4496" i="2"/>
  <c r="F4497" i="2"/>
  <c r="F4498" i="2"/>
  <c r="F4499" i="2"/>
  <c r="F4500" i="2"/>
  <c r="F4501" i="2"/>
  <c r="F4502" i="2"/>
  <c r="F4503" i="2"/>
  <c r="F4504" i="2"/>
  <c r="F4505" i="2"/>
  <c r="F4506" i="2"/>
  <c r="F4507" i="2"/>
  <c r="F4508" i="2"/>
  <c r="F4509" i="2"/>
  <c r="G4482" i="2"/>
  <c r="G4483" i="2"/>
  <c r="G4484" i="2"/>
  <c r="G4485" i="2"/>
  <c r="G4486" i="2"/>
  <c r="G4487" i="2"/>
  <c r="G4488" i="2"/>
  <c r="G4489" i="2"/>
  <c r="G4490" i="2"/>
  <c r="G4491" i="2"/>
  <c r="G4492" i="2"/>
  <c r="G4493" i="2"/>
  <c r="G4494" i="2"/>
  <c r="G4495" i="2"/>
  <c r="G4496" i="2"/>
  <c r="G4497" i="2"/>
  <c r="G4498" i="2"/>
  <c r="G4499" i="2"/>
  <c r="G4500" i="2"/>
  <c r="G4501" i="2"/>
  <c r="G4502" i="2"/>
  <c r="G4503" i="2"/>
  <c r="G4504" i="2"/>
  <c r="G4505" i="2"/>
  <c r="G4506" i="2"/>
  <c r="G4507" i="2"/>
  <c r="G4508" i="2"/>
  <c r="G4509" i="2"/>
  <c r="I4482" i="2"/>
  <c r="I4483" i="2"/>
  <c r="I4484" i="2"/>
  <c r="I4485" i="2"/>
  <c r="I4486" i="2"/>
  <c r="I4487" i="2"/>
  <c r="I4488" i="2"/>
  <c r="I4489" i="2"/>
  <c r="I4490" i="2"/>
  <c r="I4491" i="2"/>
  <c r="I4492" i="2"/>
  <c r="I4493" i="2"/>
  <c r="I4494" i="2"/>
  <c r="I4495" i="2"/>
  <c r="I4496" i="2"/>
  <c r="I4497" i="2"/>
  <c r="I4498" i="2"/>
  <c r="I4499" i="2"/>
  <c r="I4500" i="2"/>
  <c r="I4501" i="2"/>
  <c r="I4502" i="2"/>
  <c r="I4503" i="2"/>
  <c r="I4504" i="2"/>
  <c r="I4505" i="2"/>
  <c r="I4506" i="2"/>
  <c r="I4507" i="2"/>
  <c r="I4508" i="2"/>
  <c r="I4509" i="2"/>
  <c r="E4459" i="2"/>
  <c r="H4459" i="2" s="1"/>
  <c r="E4460" i="2"/>
  <c r="E4461" i="2"/>
  <c r="E4462" i="2"/>
  <c r="H4462" i="2" s="1"/>
  <c r="E4463" i="2"/>
  <c r="H4463" i="2" s="1"/>
  <c r="E4464" i="2"/>
  <c r="H4464" i="2" s="1"/>
  <c r="E4465" i="2"/>
  <c r="H4465" i="2" s="1"/>
  <c r="E4466" i="2"/>
  <c r="H4466" i="2" s="1"/>
  <c r="E4467" i="2"/>
  <c r="H4467" i="2" s="1"/>
  <c r="E4468" i="2"/>
  <c r="H4468" i="2" s="1"/>
  <c r="E4469" i="2"/>
  <c r="H4469" i="2" s="1"/>
  <c r="E4470" i="2"/>
  <c r="H4470" i="2" s="1"/>
  <c r="E4471" i="2"/>
  <c r="H4471" i="2" s="1"/>
  <c r="E4472" i="2"/>
  <c r="H4472" i="2" s="1"/>
  <c r="E4473" i="2"/>
  <c r="H4473" i="2" s="1"/>
  <c r="E4474" i="2"/>
  <c r="H4474" i="2" s="1"/>
  <c r="E4475" i="2"/>
  <c r="H4475" i="2" s="1"/>
  <c r="E4476" i="2"/>
  <c r="H4476" i="2" s="1"/>
  <c r="E4477" i="2"/>
  <c r="H4477" i="2" s="1"/>
  <c r="E4478" i="2"/>
  <c r="H4478" i="2" s="1"/>
  <c r="E4479" i="2"/>
  <c r="H4479" i="2" s="1"/>
  <c r="E4480" i="2"/>
  <c r="H4480" i="2" s="1"/>
  <c r="E4481" i="2"/>
  <c r="H4481" i="2" s="1"/>
  <c r="F4459" i="2"/>
  <c r="F4460" i="2"/>
  <c r="F4461" i="2"/>
  <c r="F4462" i="2"/>
  <c r="F4463" i="2"/>
  <c r="F4464" i="2"/>
  <c r="F4465" i="2"/>
  <c r="F4466" i="2"/>
  <c r="F4467" i="2"/>
  <c r="F4468" i="2"/>
  <c r="F4469" i="2"/>
  <c r="F4470" i="2"/>
  <c r="F4471" i="2"/>
  <c r="F4472" i="2"/>
  <c r="F4473" i="2"/>
  <c r="F4474" i="2"/>
  <c r="F4475" i="2"/>
  <c r="F4476" i="2"/>
  <c r="F4477" i="2"/>
  <c r="F4478" i="2"/>
  <c r="F4479" i="2"/>
  <c r="F4480" i="2"/>
  <c r="F4481" i="2"/>
  <c r="G4459" i="2"/>
  <c r="G4460" i="2"/>
  <c r="G4461" i="2"/>
  <c r="G4462" i="2"/>
  <c r="G4463" i="2"/>
  <c r="G4464" i="2"/>
  <c r="G4465" i="2"/>
  <c r="G4466" i="2"/>
  <c r="G4467" i="2"/>
  <c r="G4468" i="2"/>
  <c r="G4469" i="2"/>
  <c r="G4470" i="2"/>
  <c r="G4471" i="2"/>
  <c r="G4472" i="2"/>
  <c r="G4473" i="2"/>
  <c r="G4474" i="2"/>
  <c r="G4475" i="2"/>
  <c r="G4476" i="2"/>
  <c r="G4477" i="2"/>
  <c r="G4478" i="2"/>
  <c r="G4479" i="2"/>
  <c r="G4480" i="2"/>
  <c r="G4481" i="2"/>
  <c r="H4460" i="2"/>
  <c r="H4461" i="2"/>
  <c r="I4459" i="2"/>
  <c r="I4460" i="2"/>
  <c r="I4461" i="2"/>
  <c r="I4462" i="2"/>
  <c r="I4463" i="2"/>
  <c r="I4464" i="2"/>
  <c r="I4465" i="2"/>
  <c r="I4466" i="2"/>
  <c r="I4467" i="2"/>
  <c r="I4468" i="2"/>
  <c r="I4469" i="2"/>
  <c r="I4470" i="2"/>
  <c r="I4471" i="2"/>
  <c r="I4472" i="2"/>
  <c r="I4473" i="2"/>
  <c r="I4474" i="2"/>
  <c r="I4475" i="2"/>
  <c r="I4476" i="2"/>
  <c r="I4477" i="2"/>
  <c r="I4478" i="2"/>
  <c r="I4479" i="2"/>
  <c r="I4480" i="2"/>
  <c r="I4481" i="2"/>
  <c r="C332" i="4"/>
  <c r="D332" i="4" s="1"/>
  <c r="E332" i="4" s="1"/>
  <c r="F332" i="4"/>
  <c r="G332" i="4"/>
  <c r="E4438" i="2"/>
  <c r="H4438" i="2" s="1"/>
  <c r="E4439" i="2"/>
  <c r="H4439" i="2" s="1"/>
  <c r="E4440" i="2"/>
  <c r="H4440" i="2" s="1"/>
  <c r="E4441" i="2"/>
  <c r="H4441" i="2" s="1"/>
  <c r="E4442" i="2"/>
  <c r="H4442" i="2" s="1"/>
  <c r="E4443" i="2"/>
  <c r="H4443" i="2" s="1"/>
  <c r="E4444" i="2"/>
  <c r="H4444" i="2" s="1"/>
  <c r="E4445" i="2"/>
  <c r="H4445" i="2" s="1"/>
  <c r="E4446" i="2"/>
  <c r="H4446" i="2" s="1"/>
  <c r="E4447" i="2"/>
  <c r="H4447" i="2" s="1"/>
  <c r="E4448" i="2"/>
  <c r="H4448" i="2" s="1"/>
  <c r="E4449" i="2"/>
  <c r="H4449" i="2" s="1"/>
  <c r="E4450" i="2"/>
  <c r="H4450" i="2" s="1"/>
  <c r="E4451" i="2"/>
  <c r="H4451" i="2" s="1"/>
  <c r="E4452" i="2"/>
  <c r="H4452" i="2" s="1"/>
  <c r="E4453" i="2"/>
  <c r="H4453" i="2" s="1"/>
  <c r="E4454" i="2"/>
  <c r="H4454" i="2" s="1"/>
  <c r="E4455" i="2"/>
  <c r="H4455" i="2" s="1"/>
  <c r="E4456" i="2"/>
  <c r="H4456" i="2" s="1"/>
  <c r="E4457" i="2"/>
  <c r="H4457" i="2" s="1"/>
  <c r="E4458" i="2"/>
  <c r="H4458" i="2" s="1"/>
  <c r="F4438" i="2"/>
  <c r="F4439" i="2"/>
  <c r="F4440" i="2"/>
  <c r="F4441" i="2"/>
  <c r="F4442" i="2"/>
  <c r="F4443" i="2"/>
  <c r="F4444" i="2"/>
  <c r="F4445" i="2"/>
  <c r="F4446" i="2"/>
  <c r="F4447" i="2"/>
  <c r="F4448" i="2"/>
  <c r="F4449" i="2"/>
  <c r="F4450" i="2"/>
  <c r="F4451" i="2"/>
  <c r="F4452" i="2"/>
  <c r="F4453" i="2"/>
  <c r="F4454" i="2"/>
  <c r="F4455" i="2"/>
  <c r="F4456" i="2"/>
  <c r="F4457" i="2"/>
  <c r="F4458" i="2"/>
  <c r="G4438" i="2"/>
  <c r="G4439" i="2"/>
  <c r="G4440" i="2"/>
  <c r="G4441" i="2"/>
  <c r="G4442" i="2"/>
  <c r="G4443" i="2"/>
  <c r="G4444" i="2"/>
  <c r="G4445" i="2"/>
  <c r="G4446" i="2"/>
  <c r="G4447" i="2"/>
  <c r="G4448" i="2"/>
  <c r="G4449" i="2"/>
  <c r="G4450" i="2"/>
  <c r="G4451" i="2"/>
  <c r="G4452" i="2"/>
  <c r="G4453" i="2"/>
  <c r="G4454" i="2"/>
  <c r="G4455" i="2"/>
  <c r="G4456" i="2"/>
  <c r="G4457" i="2"/>
  <c r="G4458" i="2"/>
  <c r="I4438" i="2"/>
  <c r="I4439" i="2"/>
  <c r="I4440" i="2"/>
  <c r="I4441" i="2"/>
  <c r="I4442" i="2"/>
  <c r="I4443" i="2"/>
  <c r="I4444" i="2"/>
  <c r="I4445" i="2"/>
  <c r="I4446" i="2"/>
  <c r="I4447" i="2"/>
  <c r="I4448" i="2"/>
  <c r="I4449" i="2"/>
  <c r="I4450" i="2"/>
  <c r="I4451" i="2"/>
  <c r="I4452" i="2"/>
  <c r="I4453" i="2"/>
  <c r="I4454" i="2"/>
  <c r="I4455" i="2"/>
  <c r="I4456" i="2"/>
  <c r="I4457" i="2"/>
  <c r="I4458" i="2"/>
  <c r="E4401" i="2"/>
  <c r="H4401" i="2" s="1"/>
  <c r="E4402" i="2"/>
  <c r="H4402" i="2" s="1"/>
  <c r="E4403" i="2"/>
  <c r="H4403" i="2" s="1"/>
  <c r="E4404" i="2"/>
  <c r="H4404" i="2" s="1"/>
  <c r="E4405" i="2"/>
  <c r="H4405" i="2" s="1"/>
  <c r="E4406" i="2"/>
  <c r="H4406" i="2" s="1"/>
  <c r="E4407" i="2"/>
  <c r="H4407" i="2" s="1"/>
  <c r="E4408" i="2"/>
  <c r="H4408" i="2" s="1"/>
  <c r="E4409" i="2"/>
  <c r="H4409" i="2" s="1"/>
  <c r="E4410" i="2"/>
  <c r="H4410" i="2" s="1"/>
  <c r="E4411" i="2"/>
  <c r="H4411" i="2" s="1"/>
  <c r="E4412" i="2"/>
  <c r="H4412" i="2" s="1"/>
  <c r="E4413" i="2"/>
  <c r="H4413" i="2" s="1"/>
  <c r="E4414" i="2"/>
  <c r="H4414" i="2" s="1"/>
  <c r="E4415" i="2"/>
  <c r="H4415" i="2" s="1"/>
  <c r="E4416" i="2"/>
  <c r="H4416" i="2" s="1"/>
  <c r="E4417" i="2"/>
  <c r="H4417" i="2" s="1"/>
  <c r="E4418" i="2"/>
  <c r="H4418" i="2" s="1"/>
  <c r="E4419" i="2"/>
  <c r="H4419" i="2" s="1"/>
  <c r="E4420" i="2"/>
  <c r="H4420" i="2" s="1"/>
  <c r="E4421" i="2"/>
  <c r="H4421" i="2" s="1"/>
  <c r="E4422" i="2"/>
  <c r="H4422" i="2" s="1"/>
  <c r="E4423" i="2"/>
  <c r="H4423" i="2" s="1"/>
  <c r="E4424" i="2"/>
  <c r="H4424" i="2" s="1"/>
  <c r="E4425" i="2"/>
  <c r="H4425" i="2" s="1"/>
  <c r="E4426" i="2"/>
  <c r="H4426" i="2" s="1"/>
  <c r="E4427" i="2"/>
  <c r="H4427" i="2" s="1"/>
  <c r="E4428" i="2"/>
  <c r="H4428" i="2" s="1"/>
  <c r="E4429" i="2"/>
  <c r="H4429" i="2" s="1"/>
  <c r="E4430" i="2"/>
  <c r="H4430" i="2" s="1"/>
  <c r="E4431" i="2"/>
  <c r="H4431" i="2" s="1"/>
  <c r="E4432" i="2"/>
  <c r="H4432" i="2" s="1"/>
  <c r="E4433" i="2"/>
  <c r="H4433" i="2" s="1"/>
  <c r="E4434" i="2"/>
  <c r="H4434" i="2" s="1"/>
  <c r="E4435" i="2"/>
  <c r="H4435" i="2" s="1"/>
  <c r="E4436" i="2"/>
  <c r="H4436" i="2" s="1"/>
  <c r="E4437" i="2"/>
  <c r="H4437" i="2" s="1"/>
  <c r="F4401" i="2"/>
  <c r="F4402" i="2"/>
  <c r="F4403" i="2"/>
  <c r="F4404" i="2"/>
  <c r="F4405" i="2"/>
  <c r="F4406" i="2"/>
  <c r="F4407" i="2"/>
  <c r="F4408" i="2"/>
  <c r="F4409" i="2"/>
  <c r="F4410" i="2"/>
  <c r="F4411" i="2"/>
  <c r="F4412" i="2"/>
  <c r="F4413" i="2"/>
  <c r="F4414" i="2"/>
  <c r="F4415" i="2"/>
  <c r="F4416" i="2"/>
  <c r="F4417" i="2"/>
  <c r="F4418" i="2"/>
  <c r="F4419" i="2"/>
  <c r="F4420" i="2"/>
  <c r="F4421" i="2"/>
  <c r="F4422" i="2"/>
  <c r="F4423" i="2"/>
  <c r="F4424" i="2"/>
  <c r="F4425" i="2"/>
  <c r="F4426" i="2"/>
  <c r="F4427" i="2"/>
  <c r="F4428" i="2"/>
  <c r="F4429" i="2"/>
  <c r="F4430" i="2"/>
  <c r="F4431" i="2"/>
  <c r="F4432" i="2"/>
  <c r="F4433" i="2"/>
  <c r="F4434" i="2"/>
  <c r="F4435" i="2"/>
  <c r="F4436" i="2"/>
  <c r="F4437" i="2"/>
  <c r="G4401" i="2"/>
  <c r="G4402" i="2"/>
  <c r="G4403" i="2"/>
  <c r="G4404" i="2"/>
  <c r="G4405" i="2"/>
  <c r="G4406" i="2"/>
  <c r="G4407" i="2"/>
  <c r="G4408" i="2"/>
  <c r="G4409" i="2"/>
  <c r="G4410" i="2"/>
  <c r="G4411" i="2"/>
  <c r="G4412" i="2"/>
  <c r="G4413" i="2"/>
  <c r="G4414" i="2"/>
  <c r="G4415" i="2"/>
  <c r="G4416" i="2"/>
  <c r="G4417" i="2"/>
  <c r="G4418" i="2"/>
  <c r="G4419" i="2"/>
  <c r="G4420" i="2"/>
  <c r="G4421" i="2"/>
  <c r="G4422" i="2"/>
  <c r="G4423" i="2"/>
  <c r="G4424" i="2"/>
  <c r="G4425" i="2"/>
  <c r="G4426" i="2"/>
  <c r="G4427" i="2"/>
  <c r="G4428" i="2"/>
  <c r="G4429" i="2"/>
  <c r="G4430" i="2"/>
  <c r="G4431" i="2"/>
  <c r="G4432" i="2"/>
  <c r="G4433" i="2"/>
  <c r="G4434" i="2"/>
  <c r="G4435" i="2"/>
  <c r="G4436" i="2"/>
  <c r="G4437" i="2"/>
  <c r="I4401" i="2"/>
  <c r="I4402" i="2"/>
  <c r="I4403" i="2"/>
  <c r="I4404" i="2"/>
  <c r="I4405" i="2"/>
  <c r="I4406" i="2"/>
  <c r="I4407" i="2"/>
  <c r="I4408" i="2"/>
  <c r="I4409" i="2"/>
  <c r="I4410" i="2"/>
  <c r="I4411" i="2"/>
  <c r="I4412" i="2"/>
  <c r="I4413" i="2"/>
  <c r="I4414" i="2"/>
  <c r="I4415" i="2"/>
  <c r="I4416" i="2"/>
  <c r="I4417" i="2"/>
  <c r="I4418" i="2"/>
  <c r="I4419" i="2"/>
  <c r="I4420" i="2"/>
  <c r="I4421" i="2"/>
  <c r="I4422" i="2"/>
  <c r="I4423" i="2"/>
  <c r="I4424" i="2"/>
  <c r="I4425" i="2"/>
  <c r="I4426" i="2"/>
  <c r="I4427" i="2"/>
  <c r="I4428" i="2"/>
  <c r="I4429" i="2"/>
  <c r="I4430" i="2"/>
  <c r="I4431" i="2"/>
  <c r="I4432" i="2"/>
  <c r="I4433" i="2"/>
  <c r="I4434" i="2"/>
  <c r="I4435" i="2"/>
  <c r="I4436" i="2"/>
  <c r="I4437" i="2"/>
  <c r="C331" i="4"/>
  <c r="D331" i="4" s="1"/>
  <c r="E331" i="4" s="1"/>
  <c r="F331" i="4"/>
  <c r="G331" i="4"/>
  <c r="E4365" i="2"/>
  <c r="E4366" i="2"/>
  <c r="E4367" i="2"/>
  <c r="E4368" i="2"/>
  <c r="E4369" i="2"/>
  <c r="E4370" i="2"/>
  <c r="E4371" i="2"/>
  <c r="H4371" i="2" s="1"/>
  <c r="E4372" i="2"/>
  <c r="H4372" i="2" s="1"/>
  <c r="E4373" i="2"/>
  <c r="H4373" i="2" s="1"/>
  <c r="E4374" i="2"/>
  <c r="H4374" i="2" s="1"/>
  <c r="E4375" i="2"/>
  <c r="H4375" i="2" s="1"/>
  <c r="E4376" i="2"/>
  <c r="H4376" i="2" s="1"/>
  <c r="E4377" i="2"/>
  <c r="H4377" i="2" s="1"/>
  <c r="E4378" i="2"/>
  <c r="H4378" i="2" s="1"/>
  <c r="E4379" i="2"/>
  <c r="H4379" i="2" s="1"/>
  <c r="E4380" i="2"/>
  <c r="H4380" i="2" s="1"/>
  <c r="E4381" i="2"/>
  <c r="H4381" i="2" s="1"/>
  <c r="E4382" i="2"/>
  <c r="H4382" i="2" s="1"/>
  <c r="E4383" i="2"/>
  <c r="H4383" i="2" s="1"/>
  <c r="E4384" i="2"/>
  <c r="H4384" i="2" s="1"/>
  <c r="E4385" i="2"/>
  <c r="H4385" i="2" s="1"/>
  <c r="E4386" i="2"/>
  <c r="H4386" i="2" s="1"/>
  <c r="E4387" i="2"/>
  <c r="H4387" i="2" s="1"/>
  <c r="E4388" i="2"/>
  <c r="H4388" i="2" s="1"/>
  <c r="E4389" i="2"/>
  <c r="H4389" i="2" s="1"/>
  <c r="E4390" i="2"/>
  <c r="H4390" i="2" s="1"/>
  <c r="E4391" i="2"/>
  <c r="H4391" i="2" s="1"/>
  <c r="E4392" i="2"/>
  <c r="H4392" i="2" s="1"/>
  <c r="E4393" i="2"/>
  <c r="H4393" i="2" s="1"/>
  <c r="E4394" i="2"/>
  <c r="H4394" i="2" s="1"/>
  <c r="E4395" i="2"/>
  <c r="H4395" i="2" s="1"/>
  <c r="E4396" i="2"/>
  <c r="H4396" i="2" s="1"/>
  <c r="E4397" i="2"/>
  <c r="H4397" i="2" s="1"/>
  <c r="E4398" i="2"/>
  <c r="H4398" i="2" s="1"/>
  <c r="E4399" i="2"/>
  <c r="H4399" i="2" s="1"/>
  <c r="E4400" i="2"/>
  <c r="H4400" i="2" s="1"/>
  <c r="F4365" i="2"/>
  <c r="F4366" i="2"/>
  <c r="F4367" i="2"/>
  <c r="F4368" i="2"/>
  <c r="F4369" i="2"/>
  <c r="F4370" i="2"/>
  <c r="F4371" i="2"/>
  <c r="F4372" i="2"/>
  <c r="F4373" i="2"/>
  <c r="F4374" i="2"/>
  <c r="F4375" i="2"/>
  <c r="F4376" i="2"/>
  <c r="F4377" i="2"/>
  <c r="F4378" i="2"/>
  <c r="F4379" i="2"/>
  <c r="F4380" i="2"/>
  <c r="F4381" i="2"/>
  <c r="F4382" i="2"/>
  <c r="F4383" i="2"/>
  <c r="F4384" i="2"/>
  <c r="F4385" i="2"/>
  <c r="F4386" i="2"/>
  <c r="F4387" i="2"/>
  <c r="F4388" i="2"/>
  <c r="F4389" i="2"/>
  <c r="F4390" i="2"/>
  <c r="F4391" i="2"/>
  <c r="F4392" i="2"/>
  <c r="F4393" i="2"/>
  <c r="F4394" i="2"/>
  <c r="F4395" i="2"/>
  <c r="F4396" i="2"/>
  <c r="F4397" i="2"/>
  <c r="F4398" i="2"/>
  <c r="F4399" i="2"/>
  <c r="F4400" i="2"/>
  <c r="G4365" i="2"/>
  <c r="G4366" i="2"/>
  <c r="G4367" i="2"/>
  <c r="G4368" i="2"/>
  <c r="G4369" i="2"/>
  <c r="G4370" i="2"/>
  <c r="G4371" i="2"/>
  <c r="G4372" i="2"/>
  <c r="G4373" i="2"/>
  <c r="G4374" i="2"/>
  <c r="G4375" i="2"/>
  <c r="G4376" i="2"/>
  <c r="G4377" i="2"/>
  <c r="G4378" i="2"/>
  <c r="G4379" i="2"/>
  <c r="G4380" i="2"/>
  <c r="G4381" i="2"/>
  <c r="G4382" i="2"/>
  <c r="G4383" i="2"/>
  <c r="G4384" i="2"/>
  <c r="G4385" i="2"/>
  <c r="G4386" i="2"/>
  <c r="G4387" i="2"/>
  <c r="G4388" i="2"/>
  <c r="G4389" i="2"/>
  <c r="G4390" i="2"/>
  <c r="G4391" i="2"/>
  <c r="G4392" i="2"/>
  <c r="G4393" i="2"/>
  <c r="G4394" i="2"/>
  <c r="G4395" i="2"/>
  <c r="G4396" i="2"/>
  <c r="G4397" i="2"/>
  <c r="G4398" i="2"/>
  <c r="G4399" i="2"/>
  <c r="G4400" i="2"/>
  <c r="H4365" i="2"/>
  <c r="H4366" i="2"/>
  <c r="H4367" i="2"/>
  <c r="H4368" i="2"/>
  <c r="H4369" i="2"/>
  <c r="H4370" i="2"/>
  <c r="I4365" i="2"/>
  <c r="I4366" i="2"/>
  <c r="I4367" i="2"/>
  <c r="I4368" i="2"/>
  <c r="I4369" i="2"/>
  <c r="I4370" i="2"/>
  <c r="I4371" i="2"/>
  <c r="I4372" i="2"/>
  <c r="I4373" i="2"/>
  <c r="I4374" i="2"/>
  <c r="I4375" i="2"/>
  <c r="I4376" i="2"/>
  <c r="I4377" i="2"/>
  <c r="I4378" i="2"/>
  <c r="I4379" i="2"/>
  <c r="I4380" i="2"/>
  <c r="I4381" i="2"/>
  <c r="I4382" i="2"/>
  <c r="I4383" i="2"/>
  <c r="I4384" i="2"/>
  <c r="I4385" i="2"/>
  <c r="I4386" i="2"/>
  <c r="I4387" i="2"/>
  <c r="I4388" i="2"/>
  <c r="I4389" i="2"/>
  <c r="I4390" i="2"/>
  <c r="I4391" i="2"/>
  <c r="I4392" i="2"/>
  <c r="I4393" i="2"/>
  <c r="I4394" i="2"/>
  <c r="I4395" i="2"/>
  <c r="I4396" i="2"/>
  <c r="I4397" i="2"/>
  <c r="I4398" i="2"/>
  <c r="I4399" i="2"/>
  <c r="I4400" i="2"/>
  <c r="E4349" i="2"/>
  <c r="H4349" i="2" s="1"/>
  <c r="E4350" i="2"/>
  <c r="H4350" i="2" s="1"/>
  <c r="E4351" i="2"/>
  <c r="H4351" i="2" s="1"/>
  <c r="E4352" i="2"/>
  <c r="H4352" i="2" s="1"/>
  <c r="E4353" i="2"/>
  <c r="H4353" i="2" s="1"/>
  <c r="E4354" i="2"/>
  <c r="H4354" i="2" s="1"/>
  <c r="E4355" i="2"/>
  <c r="H4355" i="2" s="1"/>
  <c r="E4356" i="2"/>
  <c r="H4356" i="2" s="1"/>
  <c r="E4357" i="2"/>
  <c r="H4357" i="2" s="1"/>
  <c r="E4358" i="2"/>
  <c r="H4358" i="2" s="1"/>
  <c r="E4359" i="2"/>
  <c r="H4359" i="2" s="1"/>
  <c r="E4360" i="2"/>
  <c r="H4360" i="2" s="1"/>
  <c r="E4361" i="2"/>
  <c r="H4361" i="2" s="1"/>
  <c r="E4362" i="2"/>
  <c r="H4362" i="2" s="1"/>
  <c r="E4363" i="2"/>
  <c r="H4363" i="2" s="1"/>
  <c r="E4364" i="2"/>
  <c r="H4364" i="2" s="1"/>
  <c r="F4349" i="2"/>
  <c r="F4350" i="2"/>
  <c r="F4351" i="2"/>
  <c r="F4352" i="2"/>
  <c r="F4353" i="2"/>
  <c r="F4354" i="2"/>
  <c r="F4355" i="2"/>
  <c r="F4356" i="2"/>
  <c r="F4357" i="2"/>
  <c r="F4358" i="2"/>
  <c r="F4359" i="2"/>
  <c r="F4360" i="2"/>
  <c r="F4361" i="2"/>
  <c r="F4362" i="2"/>
  <c r="F4363" i="2"/>
  <c r="F4364" i="2"/>
  <c r="G4349" i="2"/>
  <c r="G4350" i="2"/>
  <c r="G4351" i="2"/>
  <c r="G4352" i="2"/>
  <c r="G4353" i="2"/>
  <c r="G4354" i="2"/>
  <c r="G4355" i="2"/>
  <c r="G4356" i="2"/>
  <c r="G4357" i="2"/>
  <c r="G4358" i="2"/>
  <c r="G4359" i="2"/>
  <c r="G4360" i="2"/>
  <c r="G4361" i="2"/>
  <c r="G4362" i="2"/>
  <c r="G4363" i="2"/>
  <c r="G4364" i="2"/>
  <c r="I4349" i="2"/>
  <c r="I4350" i="2"/>
  <c r="I4351" i="2"/>
  <c r="I4352" i="2"/>
  <c r="I4353" i="2"/>
  <c r="I4354" i="2"/>
  <c r="I4355" i="2"/>
  <c r="I4356" i="2"/>
  <c r="I4357" i="2"/>
  <c r="I4358" i="2"/>
  <c r="I4359" i="2"/>
  <c r="I4360" i="2"/>
  <c r="I4361" i="2"/>
  <c r="I4362" i="2"/>
  <c r="I4363" i="2"/>
  <c r="I4364" i="2"/>
  <c r="E4333" i="2" l="1"/>
  <c r="E4334" i="2"/>
  <c r="E4335" i="2"/>
  <c r="E4336" i="2"/>
  <c r="E4337" i="2"/>
  <c r="E4338" i="2"/>
  <c r="E4339" i="2"/>
  <c r="E4340" i="2"/>
  <c r="E4341" i="2"/>
  <c r="E4342" i="2"/>
  <c r="E4343" i="2"/>
  <c r="E4344" i="2"/>
  <c r="E4345" i="2"/>
  <c r="E4346" i="2"/>
  <c r="E4347" i="2"/>
  <c r="H4347" i="2" s="1"/>
  <c r="E4348" i="2"/>
  <c r="H4348" i="2" s="1"/>
  <c r="F4333" i="2"/>
  <c r="F4334" i="2"/>
  <c r="F4335" i="2"/>
  <c r="F4336" i="2"/>
  <c r="F4337" i="2"/>
  <c r="F4338" i="2"/>
  <c r="F4339" i="2"/>
  <c r="F4340" i="2"/>
  <c r="F4341" i="2"/>
  <c r="F4342" i="2"/>
  <c r="F4343" i="2"/>
  <c r="F4344" i="2"/>
  <c r="F4345" i="2"/>
  <c r="F4346" i="2"/>
  <c r="F4347" i="2"/>
  <c r="F4348" i="2"/>
  <c r="G4333" i="2"/>
  <c r="G4334" i="2"/>
  <c r="G4335" i="2"/>
  <c r="G4336" i="2"/>
  <c r="G4337" i="2"/>
  <c r="G4338" i="2"/>
  <c r="G4339" i="2"/>
  <c r="G4340" i="2"/>
  <c r="G4341" i="2"/>
  <c r="G4342" i="2"/>
  <c r="G4343" i="2"/>
  <c r="G4344" i="2"/>
  <c r="G4345" i="2"/>
  <c r="G4346" i="2"/>
  <c r="G4347" i="2"/>
  <c r="G4348" i="2"/>
  <c r="H4333" i="2"/>
  <c r="H4334" i="2"/>
  <c r="H4335" i="2"/>
  <c r="H4336" i="2"/>
  <c r="H4337" i="2"/>
  <c r="H4338" i="2"/>
  <c r="H4339" i="2"/>
  <c r="H4340" i="2"/>
  <c r="H4341" i="2"/>
  <c r="H4342" i="2"/>
  <c r="H4343" i="2"/>
  <c r="H4344" i="2"/>
  <c r="H4345" i="2"/>
  <c r="H4346" i="2"/>
  <c r="I4333" i="2"/>
  <c r="I4334" i="2"/>
  <c r="I4335" i="2"/>
  <c r="I4336" i="2"/>
  <c r="I4337" i="2"/>
  <c r="I4338" i="2"/>
  <c r="I4339" i="2"/>
  <c r="I4340" i="2"/>
  <c r="I4341" i="2"/>
  <c r="I4342" i="2"/>
  <c r="I4343" i="2"/>
  <c r="I4344" i="2"/>
  <c r="I4345" i="2"/>
  <c r="I4346" i="2"/>
  <c r="I4347" i="2"/>
  <c r="I4348" i="2"/>
  <c r="G3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24" i="4"/>
  <c r="G225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59" i="4"/>
  <c r="G260" i="4"/>
  <c r="G261" i="4"/>
  <c r="G262" i="4"/>
  <c r="G263" i="4"/>
  <c r="G264" i="4"/>
  <c r="G265" i="4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2" i="4"/>
  <c r="G303" i="4"/>
  <c r="G304" i="4"/>
  <c r="G305" i="4"/>
  <c r="G306" i="4"/>
  <c r="G307" i="4"/>
  <c r="G308" i="4"/>
  <c r="G309" i="4"/>
  <c r="G311" i="4"/>
  <c r="G313" i="4"/>
  <c r="G314" i="4"/>
  <c r="G315" i="4"/>
  <c r="G316" i="4"/>
  <c r="G317" i="4"/>
  <c r="G318" i="4"/>
  <c r="G319" i="4"/>
  <c r="G320" i="4"/>
  <c r="G321" i="4"/>
  <c r="G322" i="4"/>
  <c r="G323" i="4"/>
  <c r="G324" i="4"/>
  <c r="G325" i="4"/>
  <c r="G326" i="4"/>
  <c r="G327" i="4"/>
  <c r="G328" i="4"/>
  <c r="G329" i="4"/>
  <c r="G330" i="4"/>
  <c r="G2" i="4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80" i="4"/>
  <c r="F81" i="4"/>
  <c r="F82" i="4"/>
  <c r="F83" i="4"/>
  <c r="F84" i="4"/>
  <c r="F85" i="4"/>
  <c r="F86" i="4"/>
  <c r="F87" i="4"/>
  <c r="F88" i="4"/>
  <c r="F89" i="4"/>
  <c r="F90" i="4"/>
  <c r="F91" i="4"/>
  <c r="F92" i="4"/>
  <c r="F94" i="4"/>
  <c r="F95" i="4"/>
  <c r="F96" i="4"/>
  <c r="F97" i="4"/>
  <c r="F98" i="4"/>
  <c r="F99" i="4"/>
  <c r="F100" i="4"/>
  <c r="F101" i="4"/>
  <c r="F102" i="4"/>
  <c r="F103" i="4"/>
  <c r="F104" i="4"/>
  <c r="F105" i="4"/>
  <c r="F106" i="4"/>
  <c r="F107" i="4"/>
  <c r="F108" i="4"/>
  <c r="F109" i="4"/>
  <c r="F110" i="4"/>
  <c r="F111" i="4"/>
  <c r="F112" i="4"/>
  <c r="F113" i="4"/>
  <c r="F114" i="4"/>
  <c r="F115" i="4"/>
  <c r="F116" i="4"/>
  <c r="F117" i="4"/>
  <c r="F118" i="4"/>
  <c r="F119" i="4"/>
  <c r="F120" i="4"/>
  <c r="F121" i="4"/>
  <c r="F122" i="4"/>
  <c r="F123" i="4"/>
  <c r="F124" i="4"/>
  <c r="F125" i="4"/>
  <c r="F126" i="4"/>
  <c r="F127" i="4"/>
  <c r="F128" i="4"/>
  <c r="F129" i="4"/>
  <c r="F130" i="4"/>
  <c r="F131" i="4"/>
  <c r="F132" i="4"/>
  <c r="F133" i="4"/>
  <c r="F134" i="4"/>
  <c r="F135" i="4"/>
  <c r="F136" i="4"/>
  <c r="F137" i="4"/>
  <c r="F138" i="4"/>
  <c r="F139" i="4"/>
  <c r="F140" i="4"/>
  <c r="F141" i="4"/>
  <c r="F142" i="4"/>
  <c r="F143" i="4"/>
  <c r="F144" i="4"/>
  <c r="F146" i="4"/>
  <c r="F147" i="4"/>
  <c r="F148" i="4"/>
  <c r="F149" i="4"/>
  <c r="F150" i="4"/>
  <c r="F151" i="4"/>
  <c r="F152" i="4"/>
  <c r="F153" i="4"/>
  <c r="F154" i="4"/>
  <c r="F155" i="4"/>
  <c r="F156" i="4"/>
  <c r="F157" i="4"/>
  <c r="F158" i="4"/>
  <c r="F159" i="4"/>
  <c r="F160" i="4"/>
  <c r="F161" i="4"/>
  <c r="F162" i="4"/>
  <c r="F163" i="4"/>
  <c r="F164" i="4"/>
  <c r="F165" i="4"/>
  <c r="F166" i="4"/>
  <c r="F167" i="4"/>
  <c r="F168" i="4"/>
  <c r="F169" i="4"/>
  <c r="F170" i="4"/>
  <c r="F171" i="4"/>
  <c r="F172" i="4"/>
  <c r="F173" i="4"/>
  <c r="F174" i="4"/>
  <c r="F175" i="4"/>
  <c r="F176" i="4"/>
  <c r="F177" i="4"/>
  <c r="F178" i="4"/>
  <c r="F179" i="4"/>
  <c r="F180" i="4"/>
  <c r="F181" i="4"/>
  <c r="F182" i="4"/>
  <c r="F183" i="4"/>
  <c r="F184" i="4"/>
  <c r="F185" i="4"/>
  <c r="F186" i="4"/>
  <c r="F187" i="4"/>
  <c r="F188" i="4"/>
  <c r="F190" i="4"/>
  <c r="F191" i="4"/>
  <c r="F192" i="4"/>
  <c r="F193" i="4"/>
  <c r="F194" i="4"/>
  <c r="F195" i="4"/>
  <c r="F196" i="4"/>
  <c r="F197" i="4"/>
  <c r="F198" i="4"/>
  <c r="F199" i="4"/>
  <c r="F200" i="4"/>
  <c r="F201" i="4"/>
  <c r="F202" i="4"/>
  <c r="F203" i="4"/>
  <c r="F204" i="4"/>
  <c r="F205" i="4"/>
  <c r="F206" i="4"/>
  <c r="F207" i="4"/>
  <c r="F208" i="4"/>
  <c r="F209" i="4"/>
  <c r="F210" i="4"/>
  <c r="F211" i="4"/>
  <c r="F212" i="4"/>
  <c r="F213" i="4"/>
  <c r="F214" i="4"/>
  <c r="F215" i="4"/>
  <c r="F216" i="4"/>
  <c r="F217" i="4"/>
  <c r="F218" i="4"/>
  <c r="F219" i="4"/>
  <c r="F220" i="4"/>
  <c r="F221" i="4"/>
  <c r="F222" i="4"/>
  <c r="F223" i="4"/>
  <c r="F224" i="4"/>
  <c r="F225" i="4"/>
  <c r="F227" i="4"/>
  <c r="F228" i="4"/>
  <c r="F229" i="4"/>
  <c r="F230" i="4"/>
  <c r="F231" i="4"/>
  <c r="F232" i="4"/>
  <c r="F233" i="4"/>
  <c r="F234" i="4"/>
  <c r="F235" i="4"/>
  <c r="F236" i="4"/>
  <c r="F237" i="4"/>
  <c r="F238" i="4"/>
  <c r="F239" i="4"/>
  <c r="F240" i="4"/>
  <c r="F242" i="4"/>
  <c r="F243" i="4"/>
  <c r="F244" i="4"/>
  <c r="F245" i="4"/>
  <c r="F246" i="4"/>
  <c r="F247" i="4"/>
  <c r="F248" i="4"/>
  <c r="F249" i="4"/>
  <c r="F250" i="4"/>
  <c r="F251" i="4"/>
  <c r="F252" i="4"/>
  <c r="F253" i="4"/>
  <c r="F254" i="4"/>
  <c r="F255" i="4"/>
  <c r="F256" i="4"/>
  <c r="F257" i="4"/>
  <c r="F258" i="4"/>
  <c r="F259" i="4"/>
  <c r="F260" i="4"/>
  <c r="F261" i="4"/>
  <c r="F262" i="4"/>
  <c r="F263" i="4"/>
  <c r="F264" i="4"/>
  <c r="F265" i="4"/>
  <c r="F266" i="4"/>
  <c r="F267" i="4"/>
  <c r="F268" i="4"/>
  <c r="F269" i="4"/>
  <c r="F270" i="4"/>
  <c r="F271" i="4"/>
  <c r="F272" i="4"/>
  <c r="F273" i="4"/>
  <c r="F274" i="4"/>
  <c r="F275" i="4"/>
  <c r="F276" i="4"/>
  <c r="F277" i="4"/>
  <c r="F278" i="4"/>
  <c r="F279" i="4"/>
  <c r="F280" i="4"/>
  <c r="F281" i="4"/>
  <c r="F282" i="4"/>
  <c r="F283" i="4"/>
  <c r="F284" i="4"/>
  <c r="F285" i="4"/>
  <c r="F286" i="4"/>
  <c r="F287" i="4"/>
  <c r="F288" i="4"/>
  <c r="F289" i="4"/>
  <c r="F290" i="4"/>
  <c r="F291" i="4"/>
  <c r="F292" i="4"/>
  <c r="F293" i="4"/>
  <c r="F294" i="4"/>
  <c r="F295" i="4"/>
  <c r="F296" i="4"/>
  <c r="F297" i="4"/>
  <c r="F298" i="4"/>
  <c r="F299" i="4"/>
  <c r="F300" i="4"/>
  <c r="F302" i="4"/>
  <c r="F303" i="4"/>
  <c r="F304" i="4"/>
  <c r="F305" i="4"/>
  <c r="F306" i="4"/>
  <c r="F307" i="4"/>
  <c r="F308" i="4"/>
  <c r="F309" i="4"/>
  <c r="F311" i="4"/>
  <c r="F313" i="4"/>
  <c r="F314" i="4"/>
  <c r="F315" i="4"/>
  <c r="F316" i="4"/>
  <c r="F317" i="4"/>
  <c r="F318" i="4"/>
  <c r="F319" i="4"/>
  <c r="F320" i="4"/>
  <c r="F321" i="4"/>
  <c r="F322" i="4"/>
  <c r="F323" i="4"/>
  <c r="F324" i="4"/>
  <c r="F325" i="4"/>
  <c r="F326" i="4"/>
  <c r="F327" i="4"/>
  <c r="F328" i="4"/>
  <c r="F329" i="4"/>
  <c r="F330" i="4"/>
  <c r="F2" i="4"/>
  <c r="E4320" i="2" l="1"/>
  <c r="H4320" i="2" s="1"/>
  <c r="E4321" i="2"/>
  <c r="H4321" i="2" s="1"/>
  <c r="E4322" i="2"/>
  <c r="H4322" i="2" s="1"/>
  <c r="E4323" i="2"/>
  <c r="H4323" i="2" s="1"/>
  <c r="E4324" i="2"/>
  <c r="H4324" i="2" s="1"/>
  <c r="E4325" i="2"/>
  <c r="H4325" i="2" s="1"/>
  <c r="E4326" i="2"/>
  <c r="H4326" i="2" s="1"/>
  <c r="E4327" i="2"/>
  <c r="H4327" i="2" s="1"/>
  <c r="E4328" i="2"/>
  <c r="H4328" i="2" s="1"/>
  <c r="E4329" i="2"/>
  <c r="H4329" i="2" s="1"/>
  <c r="E4330" i="2"/>
  <c r="H4330" i="2" s="1"/>
  <c r="E4331" i="2"/>
  <c r="H4331" i="2" s="1"/>
  <c r="E4332" i="2"/>
  <c r="H4332" i="2" s="1"/>
  <c r="F4320" i="2"/>
  <c r="F4321" i="2"/>
  <c r="F4322" i="2"/>
  <c r="F4323" i="2"/>
  <c r="F4324" i="2"/>
  <c r="F4325" i="2"/>
  <c r="F4326" i="2"/>
  <c r="F4327" i="2"/>
  <c r="F4328" i="2"/>
  <c r="F4329" i="2"/>
  <c r="F4330" i="2"/>
  <c r="F4331" i="2"/>
  <c r="F4332" i="2"/>
  <c r="G4320" i="2"/>
  <c r="G4321" i="2"/>
  <c r="G4322" i="2"/>
  <c r="G4323" i="2"/>
  <c r="G4324" i="2"/>
  <c r="G4325" i="2"/>
  <c r="G4326" i="2"/>
  <c r="G4327" i="2"/>
  <c r="G4328" i="2"/>
  <c r="G4329" i="2"/>
  <c r="G4330" i="2"/>
  <c r="G4331" i="2"/>
  <c r="G4332" i="2"/>
  <c r="I4320" i="2"/>
  <c r="I4321" i="2"/>
  <c r="I4322" i="2"/>
  <c r="I4323" i="2"/>
  <c r="I4324" i="2"/>
  <c r="I4325" i="2"/>
  <c r="I4326" i="2"/>
  <c r="I4327" i="2"/>
  <c r="I4328" i="2"/>
  <c r="I4329" i="2"/>
  <c r="I4330" i="2"/>
  <c r="I4331" i="2"/>
  <c r="I4332" i="2"/>
  <c r="E4294" i="2"/>
  <c r="H4294" i="2" s="1"/>
  <c r="E4295" i="2"/>
  <c r="H4295" i="2" s="1"/>
  <c r="E4296" i="2"/>
  <c r="H4296" i="2" s="1"/>
  <c r="E4297" i="2"/>
  <c r="H4297" i="2" s="1"/>
  <c r="E4298" i="2"/>
  <c r="H4298" i="2" s="1"/>
  <c r="E4299" i="2"/>
  <c r="H4299" i="2" s="1"/>
  <c r="E4300" i="2"/>
  <c r="E4301" i="2"/>
  <c r="H4301" i="2" s="1"/>
  <c r="E4302" i="2"/>
  <c r="H4302" i="2" s="1"/>
  <c r="E4303" i="2"/>
  <c r="H4303" i="2" s="1"/>
  <c r="E4304" i="2"/>
  <c r="H4304" i="2" s="1"/>
  <c r="E4305" i="2"/>
  <c r="H4305" i="2" s="1"/>
  <c r="E4306" i="2"/>
  <c r="H4306" i="2" s="1"/>
  <c r="E4307" i="2"/>
  <c r="H4307" i="2" s="1"/>
  <c r="E4308" i="2"/>
  <c r="H4308" i="2" s="1"/>
  <c r="E4309" i="2"/>
  <c r="H4309" i="2" s="1"/>
  <c r="E4310" i="2"/>
  <c r="H4310" i="2" s="1"/>
  <c r="E4311" i="2"/>
  <c r="H4311" i="2" s="1"/>
  <c r="E4312" i="2"/>
  <c r="H4312" i="2" s="1"/>
  <c r="E4313" i="2"/>
  <c r="H4313" i="2" s="1"/>
  <c r="E4314" i="2"/>
  <c r="H4314" i="2" s="1"/>
  <c r="E4315" i="2"/>
  <c r="H4315" i="2" s="1"/>
  <c r="E4316" i="2"/>
  <c r="H4316" i="2" s="1"/>
  <c r="E4317" i="2"/>
  <c r="H4317" i="2" s="1"/>
  <c r="E4318" i="2"/>
  <c r="H4318" i="2" s="1"/>
  <c r="E4319" i="2"/>
  <c r="H4319" i="2" s="1"/>
  <c r="F4294" i="2"/>
  <c r="F4295" i="2"/>
  <c r="F4296" i="2"/>
  <c r="F4297" i="2"/>
  <c r="F4298" i="2"/>
  <c r="F4299" i="2"/>
  <c r="F4300" i="2"/>
  <c r="F4301" i="2"/>
  <c r="F4302" i="2"/>
  <c r="F4303" i="2"/>
  <c r="F4304" i="2"/>
  <c r="F4305" i="2"/>
  <c r="F4306" i="2"/>
  <c r="F4307" i="2"/>
  <c r="F4308" i="2"/>
  <c r="F4309" i="2"/>
  <c r="F4310" i="2"/>
  <c r="F4311" i="2"/>
  <c r="F4312" i="2"/>
  <c r="F4313" i="2"/>
  <c r="F4314" i="2"/>
  <c r="F4315" i="2"/>
  <c r="F4316" i="2"/>
  <c r="F4317" i="2"/>
  <c r="F4318" i="2"/>
  <c r="F4319" i="2"/>
  <c r="G4294" i="2"/>
  <c r="G4295" i="2"/>
  <c r="G4296" i="2"/>
  <c r="G4297" i="2"/>
  <c r="G4298" i="2"/>
  <c r="G4299" i="2"/>
  <c r="G4300" i="2"/>
  <c r="G4301" i="2"/>
  <c r="G4302" i="2"/>
  <c r="G4303" i="2"/>
  <c r="G4304" i="2"/>
  <c r="G4305" i="2"/>
  <c r="G4306" i="2"/>
  <c r="G4307" i="2"/>
  <c r="G4308" i="2"/>
  <c r="G4309" i="2"/>
  <c r="G4310" i="2"/>
  <c r="G4311" i="2"/>
  <c r="G4312" i="2"/>
  <c r="G4313" i="2"/>
  <c r="G4314" i="2"/>
  <c r="G4315" i="2"/>
  <c r="G4316" i="2"/>
  <c r="G4317" i="2"/>
  <c r="G4318" i="2"/>
  <c r="G4319" i="2"/>
  <c r="H4300" i="2"/>
  <c r="I4294" i="2"/>
  <c r="I4295" i="2"/>
  <c r="I4296" i="2"/>
  <c r="I4297" i="2"/>
  <c r="I4298" i="2"/>
  <c r="I4299" i="2"/>
  <c r="I4300" i="2"/>
  <c r="I4301" i="2"/>
  <c r="I4302" i="2"/>
  <c r="I4303" i="2"/>
  <c r="I4304" i="2"/>
  <c r="I4305" i="2"/>
  <c r="I4306" i="2"/>
  <c r="I4307" i="2"/>
  <c r="I4308" i="2"/>
  <c r="I4309" i="2"/>
  <c r="I4310" i="2"/>
  <c r="I4311" i="2"/>
  <c r="I4312" i="2"/>
  <c r="I4313" i="2"/>
  <c r="I4314" i="2"/>
  <c r="I4315" i="2"/>
  <c r="I4316" i="2"/>
  <c r="I4317" i="2"/>
  <c r="I4318" i="2"/>
  <c r="I4319" i="2"/>
  <c r="E4265" i="2"/>
  <c r="H4265" i="2" s="1"/>
  <c r="E4266" i="2"/>
  <c r="H4266" i="2" s="1"/>
  <c r="E4267" i="2"/>
  <c r="H4267" i="2" s="1"/>
  <c r="E4268" i="2"/>
  <c r="H4268" i="2" s="1"/>
  <c r="E4269" i="2"/>
  <c r="H4269" i="2" s="1"/>
  <c r="E4270" i="2"/>
  <c r="H4270" i="2" s="1"/>
  <c r="E4271" i="2"/>
  <c r="H4271" i="2" s="1"/>
  <c r="E4272" i="2"/>
  <c r="H4272" i="2" s="1"/>
  <c r="E4273" i="2"/>
  <c r="H4273" i="2" s="1"/>
  <c r="E4274" i="2"/>
  <c r="H4274" i="2" s="1"/>
  <c r="E4275" i="2"/>
  <c r="H4275" i="2" s="1"/>
  <c r="E4276" i="2"/>
  <c r="H4276" i="2" s="1"/>
  <c r="E4277" i="2"/>
  <c r="H4277" i="2" s="1"/>
  <c r="E4278" i="2"/>
  <c r="H4278" i="2" s="1"/>
  <c r="E4279" i="2"/>
  <c r="H4279" i="2" s="1"/>
  <c r="E4280" i="2"/>
  <c r="H4280" i="2" s="1"/>
  <c r="E4281" i="2"/>
  <c r="H4281" i="2" s="1"/>
  <c r="E4282" i="2"/>
  <c r="H4282" i="2" s="1"/>
  <c r="E4283" i="2"/>
  <c r="H4283" i="2" s="1"/>
  <c r="E4284" i="2"/>
  <c r="H4284" i="2" s="1"/>
  <c r="E4285" i="2"/>
  <c r="H4285" i="2" s="1"/>
  <c r="E4286" i="2"/>
  <c r="H4286" i="2" s="1"/>
  <c r="E4287" i="2"/>
  <c r="H4287" i="2" s="1"/>
  <c r="E4288" i="2"/>
  <c r="H4288" i="2" s="1"/>
  <c r="E4289" i="2"/>
  <c r="H4289" i="2" s="1"/>
  <c r="E4290" i="2"/>
  <c r="H4290" i="2" s="1"/>
  <c r="E4291" i="2"/>
  <c r="H4291" i="2" s="1"/>
  <c r="E4292" i="2"/>
  <c r="H4292" i="2" s="1"/>
  <c r="E4293" i="2"/>
  <c r="H4293" i="2" s="1"/>
  <c r="F4265" i="2"/>
  <c r="F4266" i="2"/>
  <c r="F4267" i="2"/>
  <c r="F4268" i="2"/>
  <c r="F4269" i="2"/>
  <c r="F4270" i="2"/>
  <c r="F4271" i="2"/>
  <c r="F4272" i="2"/>
  <c r="F4273" i="2"/>
  <c r="F4274" i="2"/>
  <c r="F4275" i="2"/>
  <c r="F4276" i="2"/>
  <c r="F4277" i="2"/>
  <c r="F4278" i="2"/>
  <c r="F4279" i="2"/>
  <c r="F4280" i="2"/>
  <c r="F4281" i="2"/>
  <c r="F4282" i="2"/>
  <c r="F4283" i="2"/>
  <c r="F4284" i="2"/>
  <c r="F4285" i="2"/>
  <c r="F4286" i="2"/>
  <c r="F4287" i="2"/>
  <c r="F4288" i="2"/>
  <c r="F4289" i="2"/>
  <c r="F4290" i="2"/>
  <c r="F4291" i="2"/>
  <c r="F4292" i="2"/>
  <c r="F4293" i="2"/>
  <c r="G4265" i="2"/>
  <c r="G4266" i="2"/>
  <c r="G4267" i="2"/>
  <c r="G4268" i="2"/>
  <c r="G4269" i="2"/>
  <c r="G4270" i="2"/>
  <c r="G4271" i="2"/>
  <c r="G4272" i="2"/>
  <c r="G4273" i="2"/>
  <c r="G4274" i="2"/>
  <c r="G4275" i="2"/>
  <c r="G4276" i="2"/>
  <c r="G4277" i="2"/>
  <c r="G4278" i="2"/>
  <c r="G4279" i="2"/>
  <c r="G4280" i="2"/>
  <c r="G4281" i="2"/>
  <c r="G4282" i="2"/>
  <c r="G4283" i="2"/>
  <c r="G4284" i="2"/>
  <c r="G4285" i="2"/>
  <c r="G4286" i="2"/>
  <c r="G4287" i="2"/>
  <c r="G4288" i="2"/>
  <c r="G4289" i="2"/>
  <c r="G4290" i="2"/>
  <c r="G4291" i="2"/>
  <c r="G4292" i="2"/>
  <c r="G4293" i="2"/>
  <c r="I4265" i="2"/>
  <c r="I4266" i="2"/>
  <c r="I4267" i="2"/>
  <c r="I4268" i="2"/>
  <c r="I4269" i="2"/>
  <c r="I4270" i="2"/>
  <c r="I4271" i="2"/>
  <c r="I4272" i="2"/>
  <c r="I4273" i="2"/>
  <c r="I4274" i="2"/>
  <c r="I4275" i="2"/>
  <c r="I4276" i="2"/>
  <c r="I4277" i="2"/>
  <c r="I4278" i="2"/>
  <c r="I4279" i="2"/>
  <c r="I4280" i="2"/>
  <c r="I4281" i="2"/>
  <c r="I4282" i="2"/>
  <c r="I4283" i="2"/>
  <c r="I4284" i="2"/>
  <c r="I4285" i="2"/>
  <c r="I4286" i="2"/>
  <c r="I4287" i="2"/>
  <c r="I4288" i="2"/>
  <c r="I4289" i="2"/>
  <c r="I4290" i="2"/>
  <c r="I4291" i="2"/>
  <c r="I4292" i="2"/>
  <c r="I4293" i="2"/>
  <c r="E4237" i="2"/>
  <c r="E4238" i="2"/>
  <c r="E4239" i="2"/>
  <c r="E4240" i="2"/>
  <c r="E4241" i="2"/>
  <c r="E4242" i="2"/>
  <c r="E4243" i="2"/>
  <c r="H4243" i="2" s="1"/>
  <c r="E4244" i="2"/>
  <c r="H4244" i="2" s="1"/>
  <c r="E4245" i="2"/>
  <c r="H4245" i="2" s="1"/>
  <c r="E4246" i="2"/>
  <c r="H4246" i="2" s="1"/>
  <c r="E4247" i="2"/>
  <c r="H4247" i="2" s="1"/>
  <c r="E4248" i="2"/>
  <c r="H4248" i="2" s="1"/>
  <c r="E4249" i="2"/>
  <c r="H4249" i="2" s="1"/>
  <c r="E4250" i="2"/>
  <c r="H4250" i="2" s="1"/>
  <c r="E4251" i="2"/>
  <c r="H4251" i="2" s="1"/>
  <c r="E4252" i="2"/>
  <c r="H4252" i="2" s="1"/>
  <c r="E4253" i="2"/>
  <c r="H4253" i="2" s="1"/>
  <c r="E4254" i="2"/>
  <c r="H4254" i="2" s="1"/>
  <c r="E4255" i="2"/>
  <c r="H4255" i="2" s="1"/>
  <c r="E4256" i="2"/>
  <c r="H4256" i="2" s="1"/>
  <c r="E4257" i="2"/>
  <c r="H4257" i="2" s="1"/>
  <c r="E4258" i="2"/>
  <c r="H4258" i="2" s="1"/>
  <c r="E4259" i="2"/>
  <c r="H4259" i="2" s="1"/>
  <c r="E4260" i="2"/>
  <c r="H4260" i="2" s="1"/>
  <c r="E4261" i="2"/>
  <c r="H4261" i="2" s="1"/>
  <c r="E4262" i="2"/>
  <c r="H4262" i="2" s="1"/>
  <c r="E4263" i="2"/>
  <c r="H4263" i="2" s="1"/>
  <c r="E4264" i="2"/>
  <c r="H4264" i="2" s="1"/>
  <c r="F4237" i="2"/>
  <c r="F4238" i="2"/>
  <c r="F4239" i="2"/>
  <c r="F4240" i="2"/>
  <c r="F4241" i="2"/>
  <c r="F4242" i="2"/>
  <c r="F4243" i="2"/>
  <c r="F4244" i="2"/>
  <c r="F4245" i="2"/>
  <c r="F4246" i="2"/>
  <c r="F4247" i="2"/>
  <c r="F4248" i="2"/>
  <c r="F4249" i="2"/>
  <c r="F4250" i="2"/>
  <c r="F4251" i="2"/>
  <c r="F4252" i="2"/>
  <c r="F4253" i="2"/>
  <c r="F4254" i="2"/>
  <c r="F4255" i="2"/>
  <c r="F4256" i="2"/>
  <c r="F4257" i="2"/>
  <c r="F4258" i="2"/>
  <c r="F4259" i="2"/>
  <c r="F4260" i="2"/>
  <c r="F4261" i="2"/>
  <c r="F4262" i="2"/>
  <c r="F4263" i="2"/>
  <c r="F4264" i="2"/>
  <c r="G4237" i="2"/>
  <c r="G4238" i="2"/>
  <c r="G4239" i="2"/>
  <c r="G4240" i="2"/>
  <c r="G4241" i="2"/>
  <c r="G4242" i="2"/>
  <c r="G4243" i="2"/>
  <c r="G4244" i="2"/>
  <c r="G4245" i="2"/>
  <c r="G4246" i="2"/>
  <c r="G4247" i="2"/>
  <c r="G4248" i="2"/>
  <c r="G4249" i="2"/>
  <c r="G4250" i="2"/>
  <c r="G4251" i="2"/>
  <c r="G4252" i="2"/>
  <c r="G4253" i="2"/>
  <c r="G4254" i="2"/>
  <c r="G4255" i="2"/>
  <c r="G4256" i="2"/>
  <c r="G4257" i="2"/>
  <c r="G4258" i="2"/>
  <c r="G4259" i="2"/>
  <c r="G4260" i="2"/>
  <c r="G4261" i="2"/>
  <c r="G4262" i="2"/>
  <c r="G4263" i="2"/>
  <c r="G4264" i="2"/>
  <c r="H4237" i="2"/>
  <c r="H4238" i="2"/>
  <c r="H4239" i="2"/>
  <c r="H4240" i="2"/>
  <c r="H4241" i="2"/>
  <c r="H4242" i="2"/>
  <c r="I4237" i="2"/>
  <c r="I4238" i="2"/>
  <c r="I4239" i="2"/>
  <c r="I4240" i="2"/>
  <c r="I4241" i="2"/>
  <c r="I4242" i="2"/>
  <c r="I4243" i="2"/>
  <c r="I4244" i="2"/>
  <c r="I4245" i="2"/>
  <c r="I4246" i="2"/>
  <c r="I4247" i="2"/>
  <c r="I4248" i="2"/>
  <c r="I4249" i="2"/>
  <c r="I4250" i="2"/>
  <c r="I4251" i="2"/>
  <c r="I4252" i="2"/>
  <c r="I4253" i="2"/>
  <c r="I4254" i="2"/>
  <c r="I4255" i="2"/>
  <c r="I4256" i="2"/>
  <c r="I4257" i="2"/>
  <c r="I4258" i="2"/>
  <c r="I4259" i="2"/>
  <c r="I4260" i="2"/>
  <c r="I4261" i="2"/>
  <c r="I4262" i="2"/>
  <c r="I4263" i="2"/>
  <c r="I4264" i="2"/>
  <c r="E4217" i="2"/>
  <c r="E4218" i="2"/>
  <c r="E4219" i="2"/>
  <c r="E4220" i="2"/>
  <c r="E4221" i="2"/>
  <c r="E4222" i="2"/>
  <c r="E4223" i="2"/>
  <c r="E4224" i="2"/>
  <c r="E4225" i="2"/>
  <c r="H4225" i="2" s="1"/>
  <c r="E4226" i="2"/>
  <c r="H4226" i="2" s="1"/>
  <c r="E4227" i="2"/>
  <c r="H4227" i="2" s="1"/>
  <c r="E4228" i="2"/>
  <c r="H4228" i="2" s="1"/>
  <c r="E4229" i="2"/>
  <c r="H4229" i="2" s="1"/>
  <c r="E4230" i="2"/>
  <c r="H4230" i="2" s="1"/>
  <c r="E4231" i="2"/>
  <c r="H4231" i="2" s="1"/>
  <c r="E4232" i="2"/>
  <c r="H4232" i="2" s="1"/>
  <c r="E4233" i="2"/>
  <c r="H4233" i="2" s="1"/>
  <c r="E4234" i="2"/>
  <c r="H4234" i="2" s="1"/>
  <c r="E4235" i="2"/>
  <c r="H4235" i="2" s="1"/>
  <c r="E4236" i="2"/>
  <c r="H4236" i="2" s="1"/>
  <c r="F4217" i="2"/>
  <c r="F4218" i="2"/>
  <c r="F4219" i="2"/>
  <c r="F4220" i="2"/>
  <c r="F4221" i="2"/>
  <c r="F4222" i="2"/>
  <c r="F4223" i="2"/>
  <c r="F4224" i="2"/>
  <c r="F4225" i="2"/>
  <c r="F4226" i="2"/>
  <c r="F4227" i="2"/>
  <c r="F4228" i="2"/>
  <c r="F4229" i="2"/>
  <c r="F4230" i="2"/>
  <c r="F4231" i="2"/>
  <c r="F4232" i="2"/>
  <c r="F4233" i="2"/>
  <c r="F4234" i="2"/>
  <c r="F4235" i="2"/>
  <c r="F4236" i="2"/>
  <c r="G4217" i="2"/>
  <c r="G4218" i="2"/>
  <c r="G4219" i="2"/>
  <c r="G4220" i="2"/>
  <c r="G4221" i="2"/>
  <c r="G4222" i="2"/>
  <c r="G4223" i="2"/>
  <c r="G4224" i="2"/>
  <c r="G4225" i="2"/>
  <c r="G4226" i="2"/>
  <c r="G4227" i="2"/>
  <c r="G4228" i="2"/>
  <c r="G4229" i="2"/>
  <c r="G4230" i="2"/>
  <c r="G4231" i="2"/>
  <c r="G4232" i="2"/>
  <c r="G4233" i="2"/>
  <c r="G4234" i="2"/>
  <c r="G4235" i="2"/>
  <c r="G4236" i="2"/>
  <c r="H4217" i="2"/>
  <c r="H4218" i="2"/>
  <c r="H4219" i="2"/>
  <c r="H4220" i="2"/>
  <c r="H4221" i="2"/>
  <c r="H4222" i="2"/>
  <c r="H4223" i="2"/>
  <c r="H4224" i="2"/>
  <c r="I4217" i="2"/>
  <c r="I4218" i="2"/>
  <c r="I4219" i="2"/>
  <c r="I4220" i="2"/>
  <c r="I4221" i="2"/>
  <c r="I4222" i="2"/>
  <c r="I4223" i="2"/>
  <c r="I4224" i="2"/>
  <c r="I4225" i="2"/>
  <c r="I4226" i="2"/>
  <c r="I4227" i="2"/>
  <c r="I4228" i="2"/>
  <c r="I4229" i="2"/>
  <c r="I4230" i="2"/>
  <c r="I4231" i="2"/>
  <c r="I4232" i="2"/>
  <c r="I4233" i="2"/>
  <c r="I4234" i="2"/>
  <c r="I4235" i="2"/>
  <c r="I4236" i="2"/>
  <c r="C330" i="4"/>
  <c r="D330" i="4" s="1"/>
  <c r="E330" i="4" s="1"/>
  <c r="C329" i="4"/>
  <c r="D329" i="4" s="1"/>
  <c r="E329" i="4" s="1"/>
  <c r="E4196" i="2"/>
  <c r="H4196" i="2" s="1"/>
  <c r="E4197" i="2"/>
  <c r="H4197" i="2" s="1"/>
  <c r="E4198" i="2"/>
  <c r="H4198" i="2" s="1"/>
  <c r="E4199" i="2"/>
  <c r="H4199" i="2" s="1"/>
  <c r="E4200" i="2"/>
  <c r="H4200" i="2" s="1"/>
  <c r="E4201" i="2"/>
  <c r="H4201" i="2" s="1"/>
  <c r="E4202" i="2"/>
  <c r="H4202" i="2" s="1"/>
  <c r="E4203" i="2"/>
  <c r="H4203" i="2" s="1"/>
  <c r="E4204" i="2"/>
  <c r="H4204" i="2" s="1"/>
  <c r="E4205" i="2"/>
  <c r="H4205" i="2" s="1"/>
  <c r="E4206" i="2"/>
  <c r="H4206" i="2" s="1"/>
  <c r="E4207" i="2"/>
  <c r="H4207" i="2" s="1"/>
  <c r="E4208" i="2"/>
  <c r="H4208" i="2" s="1"/>
  <c r="E4209" i="2"/>
  <c r="H4209" i="2" s="1"/>
  <c r="E4210" i="2"/>
  <c r="H4210" i="2" s="1"/>
  <c r="E4211" i="2"/>
  <c r="H4211" i="2" s="1"/>
  <c r="E4212" i="2"/>
  <c r="H4212" i="2" s="1"/>
  <c r="E4213" i="2"/>
  <c r="H4213" i="2" s="1"/>
  <c r="E4214" i="2"/>
  <c r="H4214" i="2" s="1"/>
  <c r="E4215" i="2"/>
  <c r="H4215" i="2" s="1"/>
  <c r="E4216" i="2"/>
  <c r="H4216" i="2" s="1"/>
  <c r="F4196" i="2"/>
  <c r="F4197" i="2"/>
  <c r="F4198" i="2"/>
  <c r="F4199" i="2"/>
  <c r="F4200" i="2"/>
  <c r="F4201" i="2"/>
  <c r="F4202" i="2"/>
  <c r="F4203" i="2"/>
  <c r="F4204" i="2"/>
  <c r="F4205" i="2"/>
  <c r="F4206" i="2"/>
  <c r="F4207" i="2"/>
  <c r="F4208" i="2"/>
  <c r="F4209" i="2"/>
  <c r="F4210" i="2"/>
  <c r="F4211" i="2"/>
  <c r="F4212" i="2"/>
  <c r="F4213" i="2"/>
  <c r="F4214" i="2"/>
  <c r="F4215" i="2"/>
  <c r="F4216" i="2"/>
  <c r="G4196" i="2"/>
  <c r="G4197" i="2"/>
  <c r="G4198" i="2"/>
  <c r="G4199" i="2"/>
  <c r="G4200" i="2"/>
  <c r="G4201" i="2"/>
  <c r="G4202" i="2"/>
  <c r="G4203" i="2"/>
  <c r="G4204" i="2"/>
  <c r="G4205" i="2"/>
  <c r="G4206" i="2"/>
  <c r="G4207" i="2"/>
  <c r="G4208" i="2"/>
  <c r="G4209" i="2"/>
  <c r="G4210" i="2"/>
  <c r="G4211" i="2"/>
  <c r="G4212" i="2"/>
  <c r="G4213" i="2"/>
  <c r="G4214" i="2"/>
  <c r="G4215" i="2"/>
  <c r="G4216" i="2"/>
  <c r="I4196" i="2"/>
  <c r="I4197" i="2"/>
  <c r="I4198" i="2"/>
  <c r="I4199" i="2"/>
  <c r="I4200" i="2"/>
  <c r="I4201" i="2"/>
  <c r="I4202" i="2"/>
  <c r="I4203" i="2"/>
  <c r="I4204" i="2"/>
  <c r="I4205" i="2"/>
  <c r="I4206" i="2"/>
  <c r="I4207" i="2"/>
  <c r="I4208" i="2"/>
  <c r="I4209" i="2"/>
  <c r="I4210" i="2"/>
  <c r="I4211" i="2"/>
  <c r="I4212" i="2"/>
  <c r="I4213" i="2"/>
  <c r="I4214" i="2"/>
  <c r="I4215" i="2"/>
  <c r="I4216" i="2"/>
  <c r="C328" i="4"/>
  <c r="D328" i="4" s="1"/>
  <c r="E328" i="4" s="1"/>
  <c r="E4177" i="2"/>
  <c r="H4177" i="2" s="1"/>
  <c r="E4178" i="2"/>
  <c r="H4178" i="2" s="1"/>
  <c r="E4179" i="2"/>
  <c r="H4179" i="2" s="1"/>
  <c r="E4180" i="2"/>
  <c r="H4180" i="2" s="1"/>
  <c r="E4181" i="2"/>
  <c r="H4181" i="2" s="1"/>
  <c r="E4182" i="2"/>
  <c r="H4182" i="2" s="1"/>
  <c r="E4183" i="2"/>
  <c r="H4183" i="2" s="1"/>
  <c r="E4184" i="2"/>
  <c r="H4184" i="2" s="1"/>
  <c r="E4185" i="2"/>
  <c r="H4185" i="2" s="1"/>
  <c r="E4186" i="2"/>
  <c r="H4186" i="2" s="1"/>
  <c r="E4187" i="2"/>
  <c r="H4187" i="2" s="1"/>
  <c r="E4188" i="2"/>
  <c r="H4188" i="2" s="1"/>
  <c r="E4189" i="2"/>
  <c r="H4189" i="2" s="1"/>
  <c r="E4190" i="2"/>
  <c r="H4190" i="2" s="1"/>
  <c r="E4191" i="2"/>
  <c r="H4191" i="2" s="1"/>
  <c r="E4192" i="2"/>
  <c r="H4192" i="2" s="1"/>
  <c r="E4193" i="2"/>
  <c r="H4193" i="2" s="1"/>
  <c r="E4194" i="2"/>
  <c r="H4194" i="2" s="1"/>
  <c r="E4195" i="2"/>
  <c r="H4195" i="2" s="1"/>
  <c r="F4177" i="2"/>
  <c r="F4178" i="2"/>
  <c r="F4179" i="2"/>
  <c r="F4180" i="2"/>
  <c r="F4181" i="2"/>
  <c r="F4182" i="2"/>
  <c r="F4183" i="2"/>
  <c r="F4184" i="2"/>
  <c r="F4185" i="2"/>
  <c r="F4186" i="2"/>
  <c r="F4187" i="2"/>
  <c r="F4188" i="2"/>
  <c r="F4189" i="2"/>
  <c r="F4190" i="2"/>
  <c r="F4191" i="2"/>
  <c r="F4192" i="2"/>
  <c r="F4193" i="2"/>
  <c r="F4194" i="2"/>
  <c r="F4195" i="2"/>
  <c r="G4177" i="2"/>
  <c r="G4178" i="2"/>
  <c r="G4179" i="2"/>
  <c r="G4180" i="2"/>
  <c r="G4181" i="2"/>
  <c r="G4182" i="2"/>
  <c r="G4183" i="2"/>
  <c r="G4184" i="2"/>
  <c r="G4185" i="2"/>
  <c r="G4186" i="2"/>
  <c r="G4187" i="2"/>
  <c r="G4188" i="2"/>
  <c r="G4189" i="2"/>
  <c r="G4190" i="2"/>
  <c r="G4191" i="2"/>
  <c r="G4192" i="2"/>
  <c r="G4193" i="2"/>
  <c r="G4194" i="2"/>
  <c r="G4195" i="2"/>
  <c r="I4177" i="2"/>
  <c r="I4178" i="2"/>
  <c r="I4179" i="2"/>
  <c r="I4180" i="2"/>
  <c r="I4181" i="2"/>
  <c r="I4182" i="2"/>
  <c r="I4183" i="2"/>
  <c r="I4184" i="2"/>
  <c r="I4185" i="2"/>
  <c r="I4186" i="2"/>
  <c r="I4187" i="2"/>
  <c r="I4188" i="2"/>
  <c r="I4189" i="2"/>
  <c r="I4190" i="2"/>
  <c r="I4191" i="2"/>
  <c r="I4192" i="2"/>
  <c r="I4193" i="2"/>
  <c r="I4194" i="2"/>
  <c r="I4195" i="2"/>
  <c r="E4148" i="2"/>
  <c r="H4148" i="2" s="1"/>
  <c r="E4149" i="2"/>
  <c r="H4149" i="2" s="1"/>
  <c r="E4150" i="2"/>
  <c r="H4150" i="2" s="1"/>
  <c r="E4151" i="2"/>
  <c r="H4151" i="2" s="1"/>
  <c r="E4152" i="2"/>
  <c r="H4152" i="2" s="1"/>
  <c r="E4153" i="2"/>
  <c r="H4153" i="2" s="1"/>
  <c r="E4154" i="2"/>
  <c r="H4154" i="2" s="1"/>
  <c r="E4155" i="2"/>
  <c r="H4155" i="2" s="1"/>
  <c r="E4156" i="2"/>
  <c r="H4156" i="2" s="1"/>
  <c r="E4157" i="2"/>
  <c r="H4157" i="2" s="1"/>
  <c r="E4158" i="2"/>
  <c r="H4158" i="2" s="1"/>
  <c r="E4159" i="2"/>
  <c r="H4159" i="2" s="1"/>
  <c r="E4160" i="2"/>
  <c r="H4160" i="2" s="1"/>
  <c r="E4161" i="2"/>
  <c r="H4161" i="2" s="1"/>
  <c r="E4162" i="2"/>
  <c r="H4162" i="2" s="1"/>
  <c r="E4163" i="2"/>
  <c r="H4163" i="2" s="1"/>
  <c r="E4164" i="2"/>
  <c r="H4164" i="2" s="1"/>
  <c r="E4165" i="2"/>
  <c r="H4165" i="2" s="1"/>
  <c r="E4166" i="2"/>
  <c r="H4166" i="2" s="1"/>
  <c r="E4167" i="2"/>
  <c r="H4167" i="2" s="1"/>
  <c r="E4168" i="2"/>
  <c r="H4168" i="2" s="1"/>
  <c r="E4169" i="2"/>
  <c r="H4169" i="2" s="1"/>
  <c r="E4170" i="2"/>
  <c r="H4170" i="2" s="1"/>
  <c r="E4171" i="2"/>
  <c r="H4171" i="2" s="1"/>
  <c r="E4172" i="2"/>
  <c r="H4172" i="2" s="1"/>
  <c r="E4173" i="2"/>
  <c r="H4173" i="2" s="1"/>
  <c r="E4174" i="2"/>
  <c r="H4174" i="2" s="1"/>
  <c r="E4175" i="2"/>
  <c r="H4175" i="2" s="1"/>
  <c r="E4176" i="2"/>
  <c r="H4176" i="2" s="1"/>
  <c r="F4148" i="2"/>
  <c r="F4149" i="2"/>
  <c r="F4150" i="2"/>
  <c r="F4151" i="2"/>
  <c r="F4152" i="2"/>
  <c r="F4153" i="2"/>
  <c r="F4154" i="2"/>
  <c r="F4155" i="2"/>
  <c r="F4156" i="2"/>
  <c r="F4157" i="2"/>
  <c r="F4158" i="2"/>
  <c r="F4159" i="2"/>
  <c r="F4160" i="2"/>
  <c r="F4161" i="2"/>
  <c r="F4162" i="2"/>
  <c r="F4163" i="2"/>
  <c r="F4164" i="2"/>
  <c r="F4165" i="2"/>
  <c r="F4166" i="2"/>
  <c r="F4167" i="2"/>
  <c r="F4168" i="2"/>
  <c r="F4169" i="2"/>
  <c r="F4170" i="2"/>
  <c r="F4171" i="2"/>
  <c r="F4172" i="2"/>
  <c r="F4173" i="2"/>
  <c r="F4174" i="2"/>
  <c r="F4175" i="2"/>
  <c r="F4176" i="2"/>
  <c r="G4148" i="2"/>
  <c r="G4149" i="2"/>
  <c r="G4150" i="2"/>
  <c r="G4151" i="2"/>
  <c r="G4152" i="2"/>
  <c r="G4153" i="2"/>
  <c r="G4154" i="2"/>
  <c r="G4155" i="2"/>
  <c r="G4156" i="2"/>
  <c r="G4157" i="2"/>
  <c r="G4158" i="2"/>
  <c r="G4159" i="2"/>
  <c r="G4160" i="2"/>
  <c r="G4161" i="2"/>
  <c r="G4162" i="2"/>
  <c r="G4163" i="2"/>
  <c r="G4164" i="2"/>
  <c r="G4165" i="2"/>
  <c r="G4166" i="2"/>
  <c r="G4167" i="2"/>
  <c r="G4168" i="2"/>
  <c r="G4169" i="2"/>
  <c r="G4170" i="2"/>
  <c r="G4171" i="2"/>
  <c r="G4172" i="2"/>
  <c r="G4173" i="2"/>
  <c r="G4174" i="2"/>
  <c r="G4175" i="2"/>
  <c r="G4176" i="2"/>
  <c r="I4148" i="2"/>
  <c r="I4149" i="2"/>
  <c r="I4150" i="2"/>
  <c r="I4151" i="2"/>
  <c r="I4152" i="2"/>
  <c r="I4153" i="2"/>
  <c r="I4154" i="2"/>
  <c r="I4155" i="2"/>
  <c r="I4156" i="2"/>
  <c r="I4157" i="2"/>
  <c r="I4158" i="2"/>
  <c r="I4159" i="2"/>
  <c r="I4160" i="2"/>
  <c r="I4161" i="2"/>
  <c r="I4162" i="2"/>
  <c r="I4163" i="2"/>
  <c r="I4164" i="2"/>
  <c r="I4165" i="2"/>
  <c r="I4166" i="2"/>
  <c r="I4167" i="2"/>
  <c r="I4168" i="2"/>
  <c r="I4169" i="2"/>
  <c r="I4170" i="2"/>
  <c r="I4171" i="2"/>
  <c r="I4172" i="2"/>
  <c r="I4173" i="2"/>
  <c r="I4174" i="2"/>
  <c r="I4175" i="2"/>
  <c r="I4176" i="2"/>
  <c r="E4130" i="2"/>
  <c r="H4130" i="2" s="1"/>
  <c r="E4131" i="2"/>
  <c r="H4131" i="2" s="1"/>
  <c r="E4132" i="2"/>
  <c r="H4132" i="2" s="1"/>
  <c r="E4133" i="2"/>
  <c r="H4133" i="2" s="1"/>
  <c r="E4134" i="2"/>
  <c r="H4134" i="2" s="1"/>
  <c r="E4135" i="2"/>
  <c r="H4135" i="2" s="1"/>
  <c r="E4136" i="2"/>
  <c r="H4136" i="2" s="1"/>
  <c r="E4137" i="2"/>
  <c r="H4137" i="2" s="1"/>
  <c r="E4138" i="2"/>
  <c r="H4138" i="2" s="1"/>
  <c r="E4139" i="2"/>
  <c r="H4139" i="2" s="1"/>
  <c r="E4140" i="2"/>
  <c r="H4140" i="2" s="1"/>
  <c r="E4141" i="2"/>
  <c r="H4141" i="2" s="1"/>
  <c r="E4142" i="2"/>
  <c r="H4142" i="2" s="1"/>
  <c r="E4143" i="2"/>
  <c r="H4143" i="2" s="1"/>
  <c r="E4144" i="2"/>
  <c r="H4144" i="2" s="1"/>
  <c r="E4145" i="2"/>
  <c r="H4145" i="2" s="1"/>
  <c r="E4146" i="2"/>
  <c r="H4146" i="2" s="1"/>
  <c r="E4147" i="2"/>
  <c r="H4147" i="2" s="1"/>
  <c r="F4130" i="2"/>
  <c r="F4131" i="2"/>
  <c r="F4132" i="2"/>
  <c r="F4133" i="2"/>
  <c r="F4134" i="2"/>
  <c r="F4135" i="2"/>
  <c r="F4136" i="2"/>
  <c r="F4137" i="2"/>
  <c r="F4138" i="2"/>
  <c r="F4139" i="2"/>
  <c r="F4140" i="2"/>
  <c r="F4141" i="2"/>
  <c r="F4142" i="2"/>
  <c r="F4143" i="2"/>
  <c r="F4144" i="2"/>
  <c r="F4145" i="2"/>
  <c r="F4146" i="2"/>
  <c r="F4147" i="2"/>
  <c r="G4130" i="2"/>
  <c r="G4131" i="2"/>
  <c r="G4132" i="2"/>
  <c r="G4133" i="2"/>
  <c r="G4134" i="2"/>
  <c r="G4135" i="2"/>
  <c r="G4136" i="2"/>
  <c r="G4137" i="2"/>
  <c r="G4138" i="2"/>
  <c r="G4139" i="2"/>
  <c r="G4140" i="2"/>
  <c r="G4141" i="2"/>
  <c r="G4142" i="2"/>
  <c r="G4143" i="2"/>
  <c r="G4144" i="2"/>
  <c r="G4145" i="2"/>
  <c r="G4146" i="2"/>
  <c r="G4147" i="2"/>
  <c r="I4130" i="2"/>
  <c r="I4131" i="2"/>
  <c r="I4132" i="2"/>
  <c r="I4133" i="2"/>
  <c r="I4134" i="2"/>
  <c r="I4135" i="2"/>
  <c r="I4136" i="2"/>
  <c r="I4137" i="2"/>
  <c r="I4138" i="2"/>
  <c r="I4139" i="2"/>
  <c r="I4140" i="2"/>
  <c r="I4141" i="2"/>
  <c r="I4142" i="2"/>
  <c r="I4143" i="2"/>
  <c r="I4144" i="2"/>
  <c r="I4145" i="2"/>
  <c r="I4146" i="2"/>
  <c r="I4147" i="2"/>
  <c r="C327" i="4"/>
  <c r="D327" i="4" s="1"/>
  <c r="E327" i="4" s="1"/>
  <c r="E4106" i="2"/>
  <c r="H4106" i="2" s="1"/>
  <c r="E4107" i="2"/>
  <c r="E4108" i="2"/>
  <c r="H4108" i="2" s="1"/>
  <c r="E4109" i="2"/>
  <c r="H4109" i="2" s="1"/>
  <c r="E4110" i="2"/>
  <c r="H4110" i="2" s="1"/>
  <c r="E4111" i="2"/>
  <c r="H4111" i="2" s="1"/>
  <c r="E4112" i="2"/>
  <c r="H4112" i="2" s="1"/>
  <c r="E4113" i="2"/>
  <c r="H4113" i="2" s="1"/>
  <c r="E4114" i="2"/>
  <c r="H4114" i="2" s="1"/>
  <c r="E4115" i="2"/>
  <c r="H4115" i="2" s="1"/>
  <c r="E4116" i="2"/>
  <c r="H4116" i="2" s="1"/>
  <c r="E4117" i="2"/>
  <c r="H4117" i="2" s="1"/>
  <c r="E4118" i="2"/>
  <c r="H4118" i="2" s="1"/>
  <c r="E4119" i="2"/>
  <c r="H4119" i="2" s="1"/>
  <c r="E4120" i="2"/>
  <c r="H4120" i="2" s="1"/>
  <c r="E4121" i="2"/>
  <c r="H4121" i="2" s="1"/>
  <c r="E4122" i="2"/>
  <c r="H4122" i="2" s="1"/>
  <c r="E4123" i="2"/>
  <c r="H4123" i="2" s="1"/>
  <c r="E4124" i="2"/>
  <c r="H4124" i="2" s="1"/>
  <c r="E4125" i="2"/>
  <c r="H4125" i="2" s="1"/>
  <c r="E4126" i="2"/>
  <c r="H4126" i="2" s="1"/>
  <c r="E4127" i="2"/>
  <c r="H4127" i="2" s="1"/>
  <c r="E4128" i="2"/>
  <c r="H4128" i="2" s="1"/>
  <c r="E4129" i="2"/>
  <c r="H4129" i="2" s="1"/>
  <c r="F4106" i="2"/>
  <c r="F4107" i="2"/>
  <c r="F4108" i="2"/>
  <c r="F4109" i="2"/>
  <c r="F4110" i="2"/>
  <c r="F4111" i="2"/>
  <c r="F4112" i="2"/>
  <c r="F4113" i="2"/>
  <c r="F4114" i="2"/>
  <c r="F4115" i="2"/>
  <c r="F4116" i="2"/>
  <c r="F4117" i="2"/>
  <c r="F4118" i="2"/>
  <c r="F4119" i="2"/>
  <c r="F4120" i="2"/>
  <c r="F4121" i="2"/>
  <c r="F4122" i="2"/>
  <c r="F4123" i="2"/>
  <c r="F4124" i="2"/>
  <c r="F4125" i="2"/>
  <c r="F4126" i="2"/>
  <c r="F4127" i="2"/>
  <c r="F4128" i="2"/>
  <c r="F4129" i="2"/>
  <c r="G4106" i="2"/>
  <c r="G4107" i="2"/>
  <c r="G4108" i="2"/>
  <c r="G4109" i="2"/>
  <c r="G4110" i="2"/>
  <c r="G4111" i="2"/>
  <c r="G4112" i="2"/>
  <c r="G4113" i="2"/>
  <c r="G4114" i="2"/>
  <c r="G4115" i="2"/>
  <c r="G4116" i="2"/>
  <c r="G4117" i="2"/>
  <c r="G4118" i="2"/>
  <c r="G4119" i="2"/>
  <c r="G4120" i="2"/>
  <c r="G4121" i="2"/>
  <c r="G4122" i="2"/>
  <c r="G4123" i="2"/>
  <c r="G4124" i="2"/>
  <c r="G4125" i="2"/>
  <c r="G4126" i="2"/>
  <c r="G4127" i="2"/>
  <c r="G4128" i="2"/>
  <c r="G4129" i="2"/>
  <c r="H4107" i="2"/>
  <c r="I4106" i="2"/>
  <c r="I4107" i="2"/>
  <c r="I4108" i="2"/>
  <c r="I4109" i="2"/>
  <c r="I4110" i="2"/>
  <c r="I4111" i="2"/>
  <c r="I4112" i="2"/>
  <c r="I4113" i="2"/>
  <c r="I4114" i="2"/>
  <c r="I4115" i="2"/>
  <c r="I4116" i="2"/>
  <c r="I4117" i="2"/>
  <c r="I4118" i="2"/>
  <c r="I4119" i="2"/>
  <c r="I4120" i="2"/>
  <c r="I4121" i="2"/>
  <c r="I4122" i="2"/>
  <c r="I4123" i="2"/>
  <c r="I4124" i="2"/>
  <c r="I4125" i="2"/>
  <c r="I4126" i="2"/>
  <c r="I4127" i="2"/>
  <c r="I4128" i="2"/>
  <c r="I4129" i="2"/>
  <c r="C326" i="4"/>
  <c r="D326" i="4" s="1"/>
  <c r="E326" i="4" s="1"/>
  <c r="E4086" i="2"/>
  <c r="H4086" i="2" s="1"/>
  <c r="E4087" i="2"/>
  <c r="H4087" i="2" s="1"/>
  <c r="E4088" i="2"/>
  <c r="H4088" i="2" s="1"/>
  <c r="E4089" i="2"/>
  <c r="H4089" i="2" s="1"/>
  <c r="E4090" i="2"/>
  <c r="E4091" i="2"/>
  <c r="H4091" i="2" s="1"/>
  <c r="E4092" i="2"/>
  <c r="H4092" i="2" s="1"/>
  <c r="E4093" i="2"/>
  <c r="H4093" i="2" s="1"/>
  <c r="E4094" i="2"/>
  <c r="H4094" i="2" s="1"/>
  <c r="E4095" i="2"/>
  <c r="H4095" i="2" s="1"/>
  <c r="E4096" i="2"/>
  <c r="H4096" i="2" s="1"/>
  <c r="E4097" i="2"/>
  <c r="H4097" i="2" s="1"/>
  <c r="E4098" i="2"/>
  <c r="H4098" i="2" s="1"/>
  <c r="E4099" i="2"/>
  <c r="H4099" i="2" s="1"/>
  <c r="E4100" i="2"/>
  <c r="H4100" i="2" s="1"/>
  <c r="E4101" i="2"/>
  <c r="H4101" i="2" s="1"/>
  <c r="E4102" i="2"/>
  <c r="H4102" i="2" s="1"/>
  <c r="E4103" i="2"/>
  <c r="H4103" i="2" s="1"/>
  <c r="E4104" i="2"/>
  <c r="H4104" i="2" s="1"/>
  <c r="E4105" i="2"/>
  <c r="H4105" i="2" s="1"/>
  <c r="F4086" i="2"/>
  <c r="F4087" i="2"/>
  <c r="F4088" i="2"/>
  <c r="F4089" i="2"/>
  <c r="F4090" i="2"/>
  <c r="F4091" i="2"/>
  <c r="F4092" i="2"/>
  <c r="F4093" i="2"/>
  <c r="F4094" i="2"/>
  <c r="F4095" i="2"/>
  <c r="F4096" i="2"/>
  <c r="F4097" i="2"/>
  <c r="F4098" i="2"/>
  <c r="F4099" i="2"/>
  <c r="F4100" i="2"/>
  <c r="F4101" i="2"/>
  <c r="F4102" i="2"/>
  <c r="F4103" i="2"/>
  <c r="F4104" i="2"/>
  <c r="F4105" i="2"/>
  <c r="G4086" i="2"/>
  <c r="G4087" i="2"/>
  <c r="G4088" i="2"/>
  <c r="G4089" i="2"/>
  <c r="G4090" i="2"/>
  <c r="G4091" i="2"/>
  <c r="G4092" i="2"/>
  <c r="G4093" i="2"/>
  <c r="G4094" i="2"/>
  <c r="G4095" i="2"/>
  <c r="G4096" i="2"/>
  <c r="G4097" i="2"/>
  <c r="G4098" i="2"/>
  <c r="G4099" i="2"/>
  <c r="G4100" i="2"/>
  <c r="G4101" i="2"/>
  <c r="G4102" i="2"/>
  <c r="G4103" i="2"/>
  <c r="G4104" i="2"/>
  <c r="G4105" i="2"/>
  <c r="H4090" i="2"/>
  <c r="I4086" i="2"/>
  <c r="I4087" i="2"/>
  <c r="I4088" i="2"/>
  <c r="I4089" i="2"/>
  <c r="I4090" i="2"/>
  <c r="I4091" i="2"/>
  <c r="I4092" i="2"/>
  <c r="I4093" i="2"/>
  <c r="I4094" i="2"/>
  <c r="I4095" i="2"/>
  <c r="I4096" i="2"/>
  <c r="I4097" i="2"/>
  <c r="I4098" i="2"/>
  <c r="I4099" i="2"/>
  <c r="I4100" i="2"/>
  <c r="I4101" i="2"/>
  <c r="I4102" i="2"/>
  <c r="I4103" i="2"/>
  <c r="I4104" i="2"/>
  <c r="I4105" i="2"/>
  <c r="E4063" i="2"/>
  <c r="H4063" i="2" s="1"/>
  <c r="E4064" i="2"/>
  <c r="E4065" i="2"/>
  <c r="E4066" i="2"/>
  <c r="E4067" i="2"/>
  <c r="H4067" i="2" s="1"/>
  <c r="E4068" i="2"/>
  <c r="H4068" i="2" s="1"/>
  <c r="E4069" i="2"/>
  <c r="H4069" i="2" s="1"/>
  <c r="E4070" i="2"/>
  <c r="H4070" i="2" s="1"/>
  <c r="E4071" i="2"/>
  <c r="H4071" i="2" s="1"/>
  <c r="E4072" i="2"/>
  <c r="H4072" i="2" s="1"/>
  <c r="E4073" i="2"/>
  <c r="H4073" i="2" s="1"/>
  <c r="E4074" i="2"/>
  <c r="H4074" i="2" s="1"/>
  <c r="E4075" i="2"/>
  <c r="H4075" i="2" s="1"/>
  <c r="E4076" i="2"/>
  <c r="H4076" i="2" s="1"/>
  <c r="E4077" i="2"/>
  <c r="H4077" i="2" s="1"/>
  <c r="E4078" i="2"/>
  <c r="H4078" i="2" s="1"/>
  <c r="E4079" i="2"/>
  <c r="H4079" i="2" s="1"/>
  <c r="E4080" i="2"/>
  <c r="H4080" i="2" s="1"/>
  <c r="E4081" i="2"/>
  <c r="H4081" i="2" s="1"/>
  <c r="E4082" i="2"/>
  <c r="H4082" i="2" s="1"/>
  <c r="E4083" i="2"/>
  <c r="H4083" i="2" s="1"/>
  <c r="E4084" i="2"/>
  <c r="H4084" i="2" s="1"/>
  <c r="E4085" i="2"/>
  <c r="H4085" i="2" s="1"/>
  <c r="F4063" i="2"/>
  <c r="F4064" i="2"/>
  <c r="F4065" i="2"/>
  <c r="F4066" i="2"/>
  <c r="F4067" i="2"/>
  <c r="F4068" i="2"/>
  <c r="F4069" i="2"/>
  <c r="F4070" i="2"/>
  <c r="F4071" i="2"/>
  <c r="F4072" i="2"/>
  <c r="F4073" i="2"/>
  <c r="F4074" i="2"/>
  <c r="F4075" i="2"/>
  <c r="F4076" i="2"/>
  <c r="F4077" i="2"/>
  <c r="F4078" i="2"/>
  <c r="F4079" i="2"/>
  <c r="F4080" i="2"/>
  <c r="F4081" i="2"/>
  <c r="F4082" i="2"/>
  <c r="F4083" i="2"/>
  <c r="F4084" i="2"/>
  <c r="F4085" i="2"/>
  <c r="G4063" i="2"/>
  <c r="G4064" i="2"/>
  <c r="G4065" i="2"/>
  <c r="G4066" i="2"/>
  <c r="G4067" i="2"/>
  <c r="G4068" i="2"/>
  <c r="G4069" i="2"/>
  <c r="G4070" i="2"/>
  <c r="G4071" i="2"/>
  <c r="G4072" i="2"/>
  <c r="G4073" i="2"/>
  <c r="G4074" i="2"/>
  <c r="G4075" i="2"/>
  <c r="G4076" i="2"/>
  <c r="G4077" i="2"/>
  <c r="G4078" i="2"/>
  <c r="G4079" i="2"/>
  <c r="G4080" i="2"/>
  <c r="G4081" i="2"/>
  <c r="G4082" i="2"/>
  <c r="G4083" i="2"/>
  <c r="G4084" i="2"/>
  <c r="G4085" i="2"/>
  <c r="H4064" i="2"/>
  <c r="H4065" i="2"/>
  <c r="H4066" i="2"/>
  <c r="I4063" i="2"/>
  <c r="I4064" i="2"/>
  <c r="I4065" i="2"/>
  <c r="I4066" i="2"/>
  <c r="I4067" i="2"/>
  <c r="I4068" i="2"/>
  <c r="I4069" i="2"/>
  <c r="I4070" i="2"/>
  <c r="I4071" i="2"/>
  <c r="I4072" i="2"/>
  <c r="I4073" i="2"/>
  <c r="I4074" i="2"/>
  <c r="I4075" i="2"/>
  <c r="I4076" i="2"/>
  <c r="I4077" i="2"/>
  <c r="I4078" i="2"/>
  <c r="I4079" i="2"/>
  <c r="I4080" i="2"/>
  <c r="I4081" i="2"/>
  <c r="I4082" i="2"/>
  <c r="I4083" i="2"/>
  <c r="I4084" i="2"/>
  <c r="I4085" i="2"/>
  <c r="E4035" i="2"/>
  <c r="E4036" i="2"/>
  <c r="E4037" i="2"/>
  <c r="E4038" i="2"/>
  <c r="E4039" i="2"/>
  <c r="E4040" i="2"/>
  <c r="E4041" i="2"/>
  <c r="E4042" i="2"/>
  <c r="H4042" i="2" s="1"/>
  <c r="E4043" i="2"/>
  <c r="H4043" i="2" s="1"/>
  <c r="E4044" i="2"/>
  <c r="H4044" i="2" s="1"/>
  <c r="E4045" i="2"/>
  <c r="H4045" i="2" s="1"/>
  <c r="E4046" i="2"/>
  <c r="H4046" i="2" s="1"/>
  <c r="E4047" i="2"/>
  <c r="H4047" i="2" s="1"/>
  <c r="E4048" i="2"/>
  <c r="H4048" i="2" s="1"/>
  <c r="E4049" i="2"/>
  <c r="H4049" i="2" s="1"/>
  <c r="E4050" i="2"/>
  <c r="H4050" i="2" s="1"/>
  <c r="E4051" i="2"/>
  <c r="H4051" i="2" s="1"/>
  <c r="E4052" i="2"/>
  <c r="H4052" i="2" s="1"/>
  <c r="E4053" i="2"/>
  <c r="H4053" i="2" s="1"/>
  <c r="E4054" i="2"/>
  <c r="H4054" i="2" s="1"/>
  <c r="E4055" i="2"/>
  <c r="H4055" i="2" s="1"/>
  <c r="E4056" i="2"/>
  <c r="H4056" i="2" s="1"/>
  <c r="E4057" i="2"/>
  <c r="H4057" i="2" s="1"/>
  <c r="E4058" i="2"/>
  <c r="H4058" i="2" s="1"/>
  <c r="E4059" i="2"/>
  <c r="H4059" i="2" s="1"/>
  <c r="E4060" i="2"/>
  <c r="H4060" i="2" s="1"/>
  <c r="E4061" i="2"/>
  <c r="H4061" i="2" s="1"/>
  <c r="E4062" i="2"/>
  <c r="H4062" i="2" s="1"/>
  <c r="F4035" i="2"/>
  <c r="F4036" i="2"/>
  <c r="F4037" i="2"/>
  <c r="F4038" i="2"/>
  <c r="F4039" i="2"/>
  <c r="F4040" i="2"/>
  <c r="F4041" i="2"/>
  <c r="F4042" i="2"/>
  <c r="F4043" i="2"/>
  <c r="F4044" i="2"/>
  <c r="F4045" i="2"/>
  <c r="F4046" i="2"/>
  <c r="F4047" i="2"/>
  <c r="F4048" i="2"/>
  <c r="F4049" i="2"/>
  <c r="F4050" i="2"/>
  <c r="F4051" i="2"/>
  <c r="F4052" i="2"/>
  <c r="F4053" i="2"/>
  <c r="F4054" i="2"/>
  <c r="F4055" i="2"/>
  <c r="F4056" i="2"/>
  <c r="F4057" i="2"/>
  <c r="F4058" i="2"/>
  <c r="F4059" i="2"/>
  <c r="F4060" i="2"/>
  <c r="F4061" i="2"/>
  <c r="F4062" i="2"/>
  <c r="G4035" i="2"/>
  <c r="G4036" i="2"/>
  <c r="G4037" i="2"/>
  <c r="G4038" i="2"/>
  <c r="G4039" i="2"/>
  <c r="G4040" i="2"/>
  <c r="G4041" i="2"/>
  <c r="G4042" i="2"/>
  <c r="G4043" i="2"/>
  <c r="G4044" i="2"/>
  <c r="G4045" i="2"/>
  <c r="G4046" i="2"/>
  <c r="G4047" i="2"/>
  <c r="G4048" i="2"/>
  <c r="G4049" i="2"/>
  <c r="G4050" i="2"/>
  <c r="G4051" i="2"/>
  <c r="G4052" i="2"/>
  <c r="G4053" i="2"/>
  <c r="G4054" i="2"/>
  <c r="G4055" i="2"/>
  <c r="G4056" i="2"/>
  <c r="G4057" i="2"/>
  <c r="G4058" i="2"/>
  <c r="G4059" i="2"/>
  <c r="G4060" i="2"/>
  <c r="G4061" i="2"/>
  <c r="G4062" i="2"/>
  <c r="H4035" i="2"/>
  <c r="H4036" i="2"/>
  <c r="H4037" i="2"/>
  <c r="H4038" i="2"/>
  <c r="H4039" i="2"/>
  <c r="H4040" i="2"/>
  <c r="H4041" i="2"/>
  <c r="I4035" i="2"/>
  <c r="I4036" i="2"/>
  <c r="I4037" i="2"/>
  <c r="I4038" i="2"/>
  <c r="I4039" i="2"/>
  <c r="I4040" i="2"/>
  <c r="I4041" i="2"/>
  <c r="I4042" i="2"/>
  <c r="I4043" i="2"/>
  <c r="I4044" i="2"/>
  <c r="I4045" i="2"/>
  <c r="I4046" i="2"/>
  <c r="I4047" i="2"/>
  <c r="I4048" i="2"/>
  <c r="I4049" i="2"/>
  <c r="I4050" i="2"/>
  <c r="I4051" i="2"/>
  <c r="I4052" i="2"/>
  <c r="I4053" i="2"/>
  <c r="I4054" i="2"/>
  <c r="I4055" i="2"/>
  <c r="I4056" i="2"/>
  <c r="I4057" i="2"/>
  <c r="I4058" i="2"/>
  <c r="I4059" i="2"/>
  <c r="I4060" i="2"/>
  <c r="I4061" i="2"/>
  <c r="I4062" i="2"/>
  <c r="E4018" i="2"/>
  <c r="H4018" i="2" s="1"/>
  <c r="E4019" i="2"/>
  <c r="H4019" i="2" s="1"/>
  <c r="E4020" i="2"/>
  <c r="H4020" i="2" s="1"/>
  <c r="E4021" i="2"/>
  <c r="H4021" i="2" s="1"/>
  <c r="E4022" i="2"/>
  <c r="H4022" i="2" s="1"/>
  <c r="E4023" i="2"/>
  <c r="H4023" i="2" s="1"/>
  <c r="E4024" i="2"/>
  <c r="H4024" i="2" s="1"/>
  <c r="E4025" i="2"/>
  <c r="H4025" i="2" s="1"/>
  <c r="E4026" i="2"/>
  <c r="H4026" i="2" s="1"/>
  <c r="E4027" i="2"/>
  <c r="H4027" i="2" s="1"/>
  <c r="E4028" i="2"/>
  <c r="H4028" i="2" s="1"/>
  <c r="E4029" i="2"/>
  <c r="H4029" i="2" s="1"/>
  <c r="E4030" i="2"/>
  <c r="H4030" i="2" s="1"/>
  <c r="E4031" i="2"/>
  <c r="H4031" i="2" s="1"/>
  <c r="E4032" i="2"/>
  <c r="H4032" i="2" s="1"/>
  <c r="E4033" i="2"/>
  <c r="H4033" i="2" s="1"/>
  <c r="E4034" i="2"/>
  <c r="H4034" i="2" s="1"/>
  <c r="F4018" i="2"/>
  <c r="F4019" i="2"/>
  <c r="F4020" i="2"/>
  <c r="F4021" i="2"/>
  <c r="F4022" i="2"/>
  <c r="F4023" i="2"/>
  <c r="F4024" i="2"/>
  <c r="F4025" i="2"/>
  <c r="F4026" i="2"/>
  <c r="F4027" i="2"/>
  <c r="F4028" i="2"/>
  <c r="F4029" i="2"/>
  <c r="F4030" i="2"/>
  <c r="F4031" i="2"/>
  <c r="F4032" i="2"/>
  <c r="F4033" i="2"/>
  <c r="F4034" i="2"/>
  <c r="G4018" i="2"/>
  <c r="G4019" i="2"/>
  <c r="G4020" i="2"/>
  <c r="G4021" i="2"/>
  <c r="G4022" i="2"/>
  <c r="G4023" i="2"/>
  <c r="G4024" i="2"/>
  <c r="G4025" i="2"/>
  <c r="G4026" i="2"/>
  <c r="G4027" i="2"/>
  <c r="G4028" i="2"/>
  <c r="G4029" i="2"/>
  <c r="G4030" i="2"/>
  <c r="G4031" i="2"/>
  <c r="G4032" i="2"/>
  <c r="G4033" i="2"/>
  <c r="G4034" i="2"/>
  <c r="I4018" i="2"/>
  <c r="I4019" i="2"/>
  <c r="I4020" i="2"/>
  <c r="I4021" i="2"/>
  <c r="I4022" i="2"/>
  <c r="I4023" i="2"/>
  <c r="I4024" i="2"/>
  <c r="I4025" i="2"/>
  <c r="I4026" i="2"/>
  <c r="I4027" i="2"/>
  <c r="I4028" i="2"/>
  <c r="I4029" i="2"/>
  <c r="I4030" i="2"/>
  <c r="I4031" i="2"/>
  <c r="I4032" i="2"/>
  <c r="I4033" i="2"/>
  <c r="I4034" i="2"/>
  <c r="E3994" i="2"/>
  <c r="E3995" i="2"/>
  <c r="E3996" i="2"/>
  <c r="E3997" i="2"/>
  <c r="E3998" i="2"/>
  <c r="E3999" i="2"/>
  <c r="E4000" i="2"/>
  <c r="E4001" i="2"/>
  <c r="H4001" i="2" s="1"/>
  <c r="E4002" i="2"/>
  <c r="H4002" i="2" s="1"/>
  <c r="E4003" i="2"/>
  <c r="H4003" i="2" s="1"/>
  <c r="E4004" i="2"/>
  <c r="H4004" i="2" s="1"/>
  <c r="E4005" i="2"/>
  <c r="H4005" i="2" s="1"/>
  <c r="E4006" i="2"/>
  <c r="H4006" i="2" s="1"/>
  <c r="E4007" i="2"/>
  <c r="H4007" i="2" s="1"/>
  <c r="E4008" i="2"/>
  <c r="H4008" i="2" s="1"/>
  <c r="E4009" i="2"/>
  <c r="E4010" i="2"/>
  <c r="H4010" i="2" s="1"/>
  <c r="E4011" i="2"/>
  <c r="H4011" i="2" s="1"/>
  <c r="E4012" i="2"/>
  <c r="H4012" i="2" s="1"/>
  <c r="E4013" i="2"/>
  <c r="H4013" i="2" s="1"/>
  <c r="E4014" i="2"/>
  <c r="H4014" i="2" s="1"/>
  <c r="E4015" i="2"/>
  <c r="H4015" i="2" s="1"/>
  <c r="E4016" i="2"/>
  <c r="H4016" i="2" s="1"/>
  <c r="E4017" i="2"/>
  <c r="H4017" i="2" s="1"/>
  <c r="F3994" i="2"/>
  <c r="F3995" i="2"/>
  <c r="F3996" i="2"/>
  <c r="F3997" i="2"/>
  <c r="F3998" i="2"/>
  <c r="F3999" i="2"/>
  <c r="F4000" i="2"/>
  <c r="F4001" i="2"/>
  <c r="F4002" i="2"/>
  <c r="F4003" i="2"/>
  <c r="F4004" i="2"/>
  <c r="F4005" i="2"/>
  <c r="F4006" i="2"/>
  <c r="F4007" i="2"/>
  <c r="F4008" i="2"/>
  <c r="F4009" i="2"/>
  <c r="F4010" i="2"/>
  <c r="F4011" i="2"/>
  <c r="F4012" i="2"/>
  <c r="F4013" i="2"/>
  <c r="F4014" i="2"/>
  <c r="F4015" i="2"/>
  <c r="F4016" i="2"/>
  <c r="F4017" i="2"/>
  <c r="G3994" i="2"/>
  <c r="G3995" i="2"/>
  <c r="G3996" i="2"/>
  <c r="G3997" i="2"/>
  <c r="G3998" i="2"/>
  <c r="G3999" i="2"/>
  <c r="G4000" i="2"/>
  <c r="G4001" i="2"/>
  <c r="G4002" i="2"/>
  <c r="G4003" i="2"/>
  <c r="G4004" i="2"/>
  <c r="G4005" i="2"/>
  <c r="G4006" i="2"/>
  <c r="G4007" i="2"/>
  <c r="G4008" i="2"/>
  <c r="G4009" i="2"/>
  <c r="G4010" i="2"/>
  <c r="G4011" i="2"/>
  <c r="G4012" i="2"/>
  <c r="G4013" i="2"/>
  <c r="G4014" i="2"/>
  <c r="G4015" i="2"/>
  <c r="G4016" i="2"/>
  <c r="G4017" i="2"/>
  <c r="H3994" i="2"/>
  <c r="H3995" i="2"/>
  <c r="H3996" i="2"/>
  <c r="H3997" i="2"/>
  <c r="H3998" i="2"/>
  <c r="H3999" i="2"/>
  <c r="H4000" i="2"/>
  <c r="H4009" i="2"/>
  <c r="I3994" i="2"/>
  <c r="I3995" i="2"/>
  <c r="I3996" i="2"/>
  <c r="I3997" i="2"/>
  <c r="I3998" i="2"/>
  <c r="I3999" i="2"/>
  <c r="I4000" i="2"/>
  <c r="I4001" i="2"/>
  <c r="I4002" i="2"/>
  <c r="I4003" i="2"/>
  <c r="I4004" i="2"/>
  <c r="I4005" i="2"/>
  <c r="I4006" i="2"/>
  <c r="I4007" i="2"/>
  <c r="I4008" i="2"/>
  <c r="I4009" i="2"/>
  <c r="I4010" i="2"/>
  <c r="I4011" i="2"/>
  <c r="I4012" i="2"/>
  <c r="I4013" i="2"/>
  <c r="I4014" i="2"/>
  <c r="I4015" i="2"/>
  <c r="I4016" i="2"/>
  <c r="I4017" i="2"/>
  <c r="E3976" i="2"/>
  <c r="H3976" i="2" s="1"/>
  <c r="E3977" i="2"/>
  <c r="H3977" i="2" s="1"/>
  <c r="E3978" i="2"/>
  <c r="H3978" i="2" s="1"/>
  <c r="E3979" i="2"/>
  <c r="H3979" i="2" s="1"/>
  <c r="E3980" i="2"/>
  <c r="H3980" i="2" s="1"/>
  <c r="E3981" i="2"/>
  <c r="H3981" i="2" s="1"/>
  <c r="E3982" i="2"/>
  <c r="H3982" i="2" s="1"/>
  <c r="E3983" i="2"/>
  <c r="H3983" i="2" s="1"/>
  <c r="E3984" i="2"/>
  <c r="H3984" i="2" s="1"/>
  <c r="E3985" i="2"/>
  <c r="H3985" i="2" s="1"/>
  <c r="E3986" i="2"/>
  <c r="H3986" i="2" s="1"/>
  <c r="E3987" i="2"/>
  <c r="H3987" i="2" s="1"/>
  <c r="E3988" i="2"/>
  <c r="H3988" i="2" s="1"/>
  <c r="E3989" i="2"/>
  <c r="H3989" i="2" s="1"/>
  <c r="E3990" i="2"/>
  <c r="H3990" i="2" s="1"/>
  <c r="E3991" i="2"/>
  <c r="H3991" i="2" s="1"/>
  <c r="E3992" i="2"/>
  <c r="H3992" i="2" s="1"/>
  <c r="E3993" i="2"/>
  <c r="H3993" i="2" s="1"/>
  <c r="F3976" i="2"/>
  <c r="F3977" i="2"/>
  <c r="F3978" i="2"/>
  <c r="F3979" i="2"/>
  <c r="F3980" i="2"/>
  <c r="F3981" i="2"/>
  <c r="F3982" i="2"/>
  <c r="F3983" i="2"/>
  <c r="F3984" i="2"/>
  <c r="F3985" i="2"/>
  <c r="F3986" i="2"/>
  <c r="F3987" i="2"/>
  <c r="F3988" i="2"/>
  <c r="F3989" i="2"/>
  <c r="F3990" i="2"/>
  <c r="F3991" i="2"/>
  <c r="F3992" i="2"/>
  <c r="F3993" i="2"/>
  <c r="G3976" i="2"/>
  <c r="G3977" i="2"/>
  <c r="G3978" i="2"/>
  <c r="G3979" i="2"/>
  <c r="G3980" i="2"/>
  <c r="G3981" i="2"/>
  <c r="G3982" i="2"/>
  <c r="G3983" i="2"/>
  <c r="G3984" i="2"/>
  <c r="G3985" i="2"/>
  <c r="G3986" i="2"/>
  <c r="G3987" i="2"/>
  <c r="G3988" i="2"/>
  <c r="G3989" i="2"/>
  <c r="G3990" i="2"/>
  <c r="G3991" i="2"/>
  <c r="G3992" i="2"/>
  <c r="G3993" i="2"/>
  <c r="I3976" i="2"/>
  <c r="I3977" i="2"/>
  <c r="I3978" i="2"/>
  <c r="I3979" i="2"/>
  <c r="I3980" i="2"/>
  <c r="I3981" i="2"/>
  <c r="I3982" i="2"/>
  <c r="I3983" i="2"/>
  <c r="I3984" i="2"/>
  <c r="I3985" i="2"/>
  <c r="I3986" i="2"/>
  <c r="I3987" i="2"/>
  <c r="I3988" i="2"/>
  <c r="I3989" i="2"/>
  <c r="I3990" i="2"/>
  <c r="I3991" i="2"/>
  <c r="I3992" i="2"/>
  <c r="I3993" i="2"/>
  <c r="E3951" i="2"/>
  <c r="H3951" i="2" s="1"/>
  <c r="E3952" i="2"/>
  <c r="H3952" i="2" s="1"/>
  <c r="E3953" i="2"/>
  <c r="H3953" i="2" s="1"/>
  <c r="E3954" i="2"/>
  <c r="H3954" i="2" s="1"/>
  <c r="E3955" i="2"/>
  <c r="H3955" i="2" s="1"/>
  <c r="E3956" i="2"/>
  <c r="H3956" i="2" s="1"/>
  <c r="E3957" i="2"/>
  <c r="H3957" i="2" s="1"/>
  <c r="E3958" i="2"/>
  <c r="H3958" i="2" s="1"/>
  <c r="E3959" i="2"/>
  <c r="H3959" i="2" s="1"/>
  <c r="E3960" i="2"/>
  <c r="H3960" i="2" s="1"/>
  <c r="E3961" i="2"/>
  <c r="H3961" i="2" s="1"/>
  <c r="E3962" i="2"/>
  <c r="H3962" i="2" s="1"/>
  <c r="E3963" i="2"/>
  <c r="H3963" i="2" s="1"/>
  <c r="E3964" i="2"/>
  <c r="H3964" i="2" s="1"/>
  <c r="E3965" i="2"/>
  <c r="H3965" i="2" s="1"/>
  <c r="E3966" i="2"/>
  <c r="H3966" i="2" s="1"/>
  <c r="E3967" i="2"/>
  <c r="H3967" i="2" s="1"/>
  <c r="E3968" i="2"/>
  <c r="H3968" i="2" s="1"/>
  <c r="E3969" i="2"/>
  <c r="H3969" i="2" s="1"/>
  <c r="E3970" i="2"/>
  <c r="H3970" i="2" s="1"/>
  <c r="E3971" i="2"/>
  <c r="H3971" i="2" s="1"/>
  <c r="E3972" i="2"/>
  <c r="H3972" i="2" s="1"/>
  <c r="E3973" i="2"/>
  <c r="H3973" i="2" s="1"/>
  <c r="E3974" i="2"/>
  <c r="H3974" i="2" s="1"/>
  <c r="E3975" i="2"/>
  <c r="H3975" i="2" s="1"/>
  <c r="F3951" i="2"/>
  <c r="F3952" i="2"/>
  <c r="F3953" i="2"/>
  <c r="F3954" i="2"/>
  <c r="F3955" i="2"/>
  <c r="F3956" i="2"/>
  <c r="F3957" i="2"/>
  <c r="F3958" i="2"/>
  <c r="F3959" i="2"/>
  <c r="F3960" i="2"/>
  <c r="F3961" i="2"/>
  <c r="F3962" i="2"/>
  <c r="F3963" i="2"/>
  <c r="F3964" i="2"/>
  <c r="F3965" i="2"/>
  <c r="F3966" i="2"/>
  <c r="F3967" i="2"/>
  <c r="F3968" i="2"/>
  <c r="F3969" i="2"/>
  <c r="F3970" i="2"/>
  <c r="F3971" i="2"/>
  <c r="F3972" i="2"/>
  <c r="F3973" i="2"/>
  <c r="F3974" i="2"/>
  <c r="F3975" i="2"/>
  <c r="G3951" i="2"/>
  <c r="G3952" i="2"/>
  <c r="G3953" i="2"/>
  <c r="G3954" i="2"/>
  <c r="G3955" i="2"/>
  <c r="G3956" i="2"/>
  <c r="G3957" i="2"/>
  <c r="G3958" i="2"/>
  <c r="G3959" i="2"/>
  <c r="G3960" i="2"/>
  <c r="G3961" i="2"/>
  <c r="G3962" i="2"/>
  <c r="G3963" i="2"/>
  <c r="G3964" i="2"/>
  <c r="G3965" i="2"/>
  <c r="G3966" i="2"/>
  <c r="G3967" i="2"/>
  <c r="G3968" i="2"/>
  <c r="G3969" i="2"/>
  <c r="G3970" i="2"/>
  <c r="G3971" i="2"/>
  <c r="G3972" i="2"/>
  <c r="G3973" i="2"/>
  <c r="G3974" i="2"/>
  <c r="G3975" i="2"/>
  <c r="I3951" i="2"/>
  <c r="I3952" i="2"/>
  <c r="I3953" i="2"/>
  <c r="I3954" i="2"/>
  <c r="I3955" i="2"/>
  <c r="I3956" i="2"/>
  <c r="I3957" i="2"/>
  <c r="I3958" i="2"/>
  <c r="I3959" i="2"/>
  <c r="I3960" i="2"/>
  <c r="I3961" i="2"/>
  <c r="I3962" i="2"/>
  <c r="I3963" i="2"/>
  <c r="I3964" i="2"/>
  <c r="I3965" i="2"/>
  <c r="I3966" i="2"/>
  <c r="I3967" i="2"/>
  <c r="I3968" i="2"/>
  <c r="I3969" i="2"/>
  <c r="I3970" i="2"/>
  <c r="I3971" i="2"/>
  <c r="I3972" i="2"/>
  <c r="I3973" i="2"/>
  <c r="I3974" i="2"/>
  <c r="I3975" i="2"/>
  <c r="E3916" i="2"/>
  <c r="H3916" i="2" s="1"/>
  <c r="E3917" i="2"/>
  <c r="H3917" i="2" s="1"/>
  <c r="E3918" i="2"/>
  <c r="H3918" i="2" s="1"/>
  <c r="E3919" i="2"/>
  <c r="H3919" i="2" s="1"/>
  <c r="E3920" i="2"/>
  <c r="H3920" i="2" s="1"/>
  <c r="E3921" i="2"/>
  <c r="H3921" i="2" s="1"/>
  <c r="E3922" i="2"/>
  <c r="H3922" i="2" s="1"/>
  <c r="E3923" i="2"/>
  <c r="H3923" i="2" s="1"/>
  <c r="E3924" i="2"/>
  <c r="H3924" i="2" s="1"/>
  <c r="E3925" i="2"/>
  <c r="H3925" i="2" s="1"/>
  <c r="E3926" i="2"/>
  <c r="H3926" i="2" s="1"/>
  <c r="E3927" i="2"/>
  <c r="H3927" i="2" s="1"/>
  <c r="E3928" i="2"/>
  <c r="H3928" i="2" s="1"/>
  <c r="E3929" i="2"/>
  <c r="H3929" i="2" s="1"/>
  <c r="E3930" i="2"/>
  <c r="H3930" i="2" s="1"/>
  <c r="E3931" i="2"/>
  <c r="H3931" i="2" s="1"/>
  <c r="E3932" i="2"/>
  <c r="H3932" i="2" s="1"/>
  <c r="E3933" i="2"/>
  <c r="H3933" i="2" s="1"/>
  <c r="E3934" i="2"/>
  <c r="H3934" i="2" s="1"/>
  <c r="E3935" i="2"/>
  <c r="H3935" i="2" s="1"/>
  <c r="E3936" i="2"/>
  <c r="H3936" i="2" s="1"/>
  <c r="E3937" i="2"/>
  <c r="H3937" i="2" s="1"/>
  <c r="E3938" i="2"/>
  <c r="H3938" i="2" s="1"/>
  <c r="E3939" i="2"/>
  <c r="H3939" i="2" s="1"/>
  <c r="E3940" i="2"/>
  <c r="H3940" i="2" s="1"/>
  <c r="E3941" i="2"/>
  <c r="H3941" i="2" s="1"/>
  <c r="E3942" i="2"/>
  <c r="H3942" i="2" s="1"/>
  <c r="E3943" i="2"/>
  <c r="H3943" i="2" s="1"/>
  <c r="E3944" i="2"/>
  <c r="H3944" i="2" s="1"/>
  <c r="E3945" i="2"/>
  <c r="H3945" i="2" s="1"/>
  <c r="E3946" i="2"/>
  <c r="H3946" i="2" s="1"/>
  <c r="E3947" i="2"/>
  <c r="H3947" i="2" s="1"/>
  <c r="E3948" i="2"/>
  <c r="H3948" i="2" s="1"/>
  <c r="E3949" i="2"/>
  <c r="H3949" i="2" s="1"/>
  <c r="E3950" i="2"/>
  <c r="H3950" i="2" s="1"/>
  <c r="F3916" i="2"/>
  <c r="F3917" i="2"/>
  <c r="F3918" i="2"/>
  <c r="F3919" i="2"/>
  <c r="F3920" i="2"/>
  <c r="F3921" i="2"/>
  <c r="F3922" i="2"/>
  <c r="F3923" i="2"/>
  <c r="F3924" i="2"/>
  <c r="F3925" i="2"/>
  <c r="F3926" i="2"/>
  <c r="F3927" i="2"/>
  <c r="F3928" i="2"/>
  <c r="F3929" i="2"/>
  <c r="F3930" i="2"/>
  <c r="F3931" i="2"/>
  <c r="F3932" i="2"/>
  <c r="F3933" i="2"/>
  <c r="F3934" i="2"/>
  <c r="F3935" i="2"/>
  <c r="F3936" i="2"/>
  <c r="F3937" i="2"/>
  <c r="F3938" i="2"/>
  <c r="F3939" i="2"/>
  <c r="F3940" i="2"/>
  <c r="F3941" i="2"/>
  <c r="F3942" i="2"/>
  <c r="F3943" i="2"/>
  <c r="F3944" i="2"/>
  <c r="F3945" i="2"/>
  <c r="F3946" i="2"/>
  <c r="F3947" i="2"/>
  <c r="F3948" i="2"/>
  <c r="F3949" i="2"/>
  <c r="F3950" i="2"/>
  <c r="G3916" i="2"/>
  <c r="G3917" i="2"/>
  <c r="G3918" i="2"/>
  <c r="G3919" i="2"/>
  <c r="G3920" i="2"/>
  <c r="G3921" i="2"/>
  <c r="G3922" i="2"/>
  <c r="G3923" i="2"/>
  <c r="G3924" i="2"/>
  <c r="G3925" i="2"/>
  <c r="G3926" i="2"/>
  <c r="G3927" i="2"/>
  <c r="G3928" i="2"/>
  <c r="G3929" i="2"/>
  <c r="G3930" i="2"/>
  <c r="G3931" i="2"/>
  <c r="G3932" i="2"/>
  <c r="G3933" i="2"/>
  <c r="G3934" i="2"/>
  <c r="G3935" i="2"/>
  <c r="G3936" i="2"/>
  <c r="G3937" i="2"/>
  <c r="G3938" i="2"/>
  <c r="G3939" i="2"/>
  <c r="G3940" i="2"/>
  <c r="G3941" i="2"/>
  <c r="G3942" i="2"/>
  <c r="G3943" i="2"/>
  <c r="G3944" i="2"/>
  <c r="G3945" i="2"/>
  <c r="G3946" i="2"/>
  <c r="G3947" i="2"/>
  <c r="G3948" i="2"/>
  <c r="G3949" i="2"/>
  <c r="G3950" i="2"/>
  <c r="I3916" i="2"/>
  <c r="I3917" i="2"/>
  <c r="I3918" i="2"/>
  <c r="I3919" i="2"/>
  <c r="I3920" i="2"/>
  <c r="I3921" i="2"/>
  <c r="I3922" i="2"/>
  <c r="I3923" i="2"/>
  <c r="I3924" i="2"/>
  <c r="I3925" i="2"/>
  <c r="I3926" i="2"/>
  <c r="I3927" i="2"/>
  <c r="I3928" i="2"/>
  <c r="I3929" i="2"/>
  <c r="I3930" i="2"/>
  <c r="I3931" i="2"/>
  <c r="I3932" i="2"/>
  <c r="I3933" i="2"/>
  <c r="I3934" i="2"/>
  <c r="I3935" i="2"/>
  <c r="I3936" i="2"/>
  <c r="I3937" i="2"/>
  <c r="I3938" i="2"/>
  <c r="I3939" i="2"/>
  <c r="I3940" i="2"/>
  <c r="I3941" i="2"/>
  <c r="I3942" i="2"/>
  <c r="I3943" i="2"/>
  <c r="I3944" i="2"/>
  <c r="I3945" i="2"/>
  <c r="I3946" i="2"/>
  <c r="I3947" i="2"/>
  <c r="I3948" i="2"/>
  <c r="I3949" i="2"/>
  <c r="I3950" i="2"/>
  <c r="E3897" i="2"/>
  <c r="H3897" i="2" s="1"/>
  <c r="E3898" i="2"/>
  <c r="E3899" i="2"/>
  <c r="H3899" i="2" s="1"/>
  <c r="E3900" i="2"/>
  <c r="H3900" i="2" s="1"/>
  <c r="E3901" i="2"/>
  <c r="H3901" i="2" s="1"/>
  <c r="E3902" i="2"/>
  <c r="H3902" i="2" s="1"/>
  <c r="E3903" i="2"/>
  <c r="H3903" i="2" s="1"/>
  <c r="E3904" i="2"/>
  <c r="H3904" i="2" s="1"/>
  <c r="E3905" i="2"/>
  <c r="H3905" i="2" s="1"/>
  <c r="E3906" i="2"/>
  <c r="H3906" i="2" s="1"/>
  <c r="E3907" i="2"/>
  <c r="H3907" i="2" s="1"/>
  <c r="E3908" i="2"/>
  <c r="H3908" i="2" s="1"/>
  <c r="E3909" i="2"/>
  <c r="H3909" i="2" s="1"/>
  <c r="E3910" i="2"/>
  <c r="H3910" i="2" s="1"/>
  <c r="E3911" i="2"/>
  <c r="H3911" i="2" s="1"/>
  <c r="E3912" i="2"/>
  <c r="H3912" i="2" s="1"/>
  <c r="E3913" i="2"/>
  <c r="H3913" i="2" s="1"/>
  <c r="E3914" i="2"/>
  <c r="H3914" i="2" s="1"/>
  <c r="E3915" i="2"/>
  <c r="H3915" i="2" s="1"/>
  <c r="F3897" i="2"/>
  <c r="F3898" i="2"/>
  <c r="F3899" i="2"/>
  <c r="F3900" i="2"/>
  <c r="F3901" i="2"/>
  <c r="F3902" i="2"/>
  <c r="F3903" i="2"/>
  <c r="F3904" i="2"/>
  <c r="F3905" i="2"/>
  <c r="F3906" i="2"/>
  <c r="F3907" i="2"/>
  <c r="F3908" i="2"/>
  <c r="F3909" i="2"/>
  <c r="F3910" i="2"/>
  <c r="F3911" i="2"/>
  <c r="F3912" i="2"/>
  <c r="F3913" i="2"/>
  <c r="F3914" i="2"/>
  <c r="F3915" i="2"/>
  <c r="G3897" i="2"/>
  <c r="G3898" i="2"/>
  <c r="G3899" i="2"/>
  <c r="G3900" i="2"/>
  <c r="G3901" i="2"/>
  <c r="G3902" i="2"/>
  <c r="G3903" i="2"/>
  <c r="G3904" i="2"/>
  <c r="G3905" i="2"/>
  <c r="G3906" i="2"/>
  <c r="G3907" i="2"/>
  <c r="G3908" i="2"/>
  <c r="G3909" i="2"/>
  <c r="G3910" i="2"/>
  <c r="G3911" i="2"/>
  <c r="G3912" i="2"/>
  <c r="G3913" i="2"/>
  <c r="G3914" i="2"/>
  <c r="G3915" i="2"/>
  <c r="H3898" i="2"/>
  <c r="I3897" i="2"/>
  <c r="I3898" i="2"/>
  <c r="I3899" i="2"/>
  <c r="I3900" i="2"/>
  <c r="I3901" i="2"/>
  <c r="I3902" i="2"/>
  <c r="I3903" i="2"/>
  <c r="I3904" i="2"/>
  <c r="I3905" i="2"/>
  <c r="I3906" i="2"/>
  <c r="I3907" i="2"/>
  <c r="I3908" i="2"/>
  <c r="I3909" i="2"/>
  <c r="I3910" i="2"/>
  <c r="I3911" i="2"/>
  <c r="I3912" i="2"/>
  <c r="I3913" i="2"/>
  <c r="I3914" i="2"/>
  <c r="I3915" i="2"/>
  <c r="E3874" i="2"/>
  <c r="H3874" i="2" s="1"/>
  <c r="E3875" i="2"/>
  <c r="E3876" i="2"/>
  <c r="H3876" i="2" s="1"/>
  <c r="E3877" i="2"/>
  <c r="H3877" i="2" s="1"/>
  <c r="E3878" i="2"/>
  <c r="H3878" i="2" s="1"/>
  <c r="E3879" i="2"/>
  <c r="H3879" i="2" s="1"/>
  <c r="E3880" i="2"/>
  <c r="H3880" i="2" s="1"/>
  <c r="E3881" i="2"/>
  <c r="H3881" i="2" s="1"/>
  <c r="E3882" i="2"/>
  <c r="H3882" i="2" s="1"/>
  <c r="E3883" i="2"/>
  <c r="H3883" i="2" s="1"/>
  <c r="E3884" i="2"/>
  <c r="H3884" i="2" s="1"/>
  <c r="E3885" i="2"/>
  <c r="H3885" i="2" s="1"/>
  <c r="E3886" i="2"/>
  <c r="H3886" i="2" s="1"/>
  <c r="E3887" i="2"/>
  <c r="H3887" i="2" s="1"/>
  <c r="E3888" i="2"/>
  <c r="H3888" i="2" s="1"/>
  <c r="E3889" i="2"/>
  <c r="H3889" i="2" s="1"/>
  <c r="E3890" i="2"/>
  <c r="H3890" i="2" s="1"/>
  <c r="E3891" i="2"/>
  <c r="H3891" i="2" s="1"/>
  <c r="E3892" i="2"/>
  <c r="H3892" i="2" s="1"/>
  <c r="E3893" i="2"/>
  <c r="H3893" i="2" s="1"/>
  <c r="E3894" i="2"/>
  <c r="H3894" i="2" s="1"/>
  <c r="E3895" i="2"/>
  <c r="H3895" i="2" s="1"/>
  <c r="E3896" i="2"/>
  <c r="H3896" i="2" s="1"/>
  <c r="F3874" i="2"/>
  <c r="F3875" i="2"/>
  <c r="F3876" i="2"/>
  <c r="F3877" i="2"/>
  <c r="F3878" i="2"/>
  <c r="F3879" i="2"/>
  <c r="F3880" i="2"/>
  <c r="F3881" i="2"/>
  <c r="F3882" i="2"/>
  <c r="F3883" i="2"/>
  <c r="F3884" i="2"/>
  <c r="F3885" i="2"/>
  <c r="F3886" i="2"/>
  <c r="F3887" i="2"/>
  <c r="F3888" i="2"/>
  <c r="F3889" i="2"/>
  <c r="F3890" i="2"/>
  <c r="F3891" i="2"/>
  <c r="F3892" i="2"/>
  <c r="F3893" i="2"/>
  <c r="F3894" i="2"/>
  <c r="F3895" i="2"/>
  <c r="F3896" i="2"/>
  <c r="G3874" i="2"/>
  <c r="G3875" i="2"/>
  <c r="G3876" i="2"/>
  <c r="G3877" i="2"/>
  <c r="G3878" i="2"/>
  <c r="G3879" i="2"/>
  <c r="G3880" i="2"/>
  <c r="G3881" i="2"/>
  <c r="G3882" i="2"/>
  <c r="G3883" i="2"/>
  <c r="G3884" i="2"/>
  <c r="G3885" i="2"/>
  <c r="G3886" i="2"/>
  <c r="G3887" i="2"/>
  <c r="G3888" i="2"/>
  <c r="G3889" i="2"/>
  <c r="G3890" i="2"/>
  <c r="G3891" i="2"/>
  <c r="G3892" i="2"/>
  <c r="G3893" i="2"/>
  <c r="G3894" i="2"/>
  <c r="G3895" i="2"/>
  <c r="G3896" i="2"/>
  <c r="H3875" i="2"/>
  <c r="I3874" i="2"/>
  <c r="I3875" i="2"/>
  <c r="I3876" i="2"/>
  <c r="I3877" i="2"/>
  <c r="I3878" i="2"/>
  <c r="I3879" i="2"/>
  <c r="I3880" i="2"/>
  <c r="I3881" i="2"/>
  <c r="I3882" i="2"/>
  <c r="I3883" i="2"/>
  <c r="I3884" i="2"/>
  <c r="I3885" i="2"/>
  <c r="I3886" i="2"/>
  <c r="I3887" i="2"/>
  <c r="I3888" i="2"/>
  <c r="I3889" i="2"/>
  <c r="I3890" i="2"/>
  <c r="I3891" i="2"/>
  <c r="I3892" i="2"/>
  <c r="I3893" i="2"/>
  <c r="I3894" i="2"/>
  <c r="I3895" i="2"/>
  <c r="I3896" i="2"/>
  <c r="C325" i="4"/>
  <c r="D325" i="4" s="1"/>
  <c r="E325" i="4" s="1"/>
  <c r="E3808" i="2"/>
  <c r="H3808" i="2" s="1"/>
  <c r="E3809" i="2"/>
  <c r="H3809" i="2" s="1"/>
  <c r="E3810" i="2"/>
  <c r="H3810" i="2" s="1"/>
  <c r="E3811" i="2"/>
  <c r="H3811" i="2" s="1"/>
  <c r="E3812" i="2"/>
  <c r="H3812" i="2" s="1"/>
  <c r="E3813" i="2"/>
  <c r="H3813" i="2" s="1"/>
  <c r="E3814" i="2"/>
  <c r="H3814" i="2" s="1"/>
  <c r="E3815" i="2"/>
  <c r="H3815" i="2" s="1"/>
  <c r="E3816" i="2"/>
  <c r="H3816" i="2" s="1"/>
  <c r="E3817" i="2"/>
  <c r="H3817" i="2" s="1"/>
  <c r="E3818" i="2"/>
  <c r="H3818" i="2" s="1"/>
  <c r="E3819" i="2"/>
  <c r="H3819" i="2" s="1"/>
  <c r="E3820" i="2"/>
  <c r="H3820" i="2" s="1"/>
  <c r="E3821" i="2"/>
  <c r="H3821" i="2" s="1"/>
  <c r="E3822" i="2"/>
  <c r="H3822" i="2" s="1"/>
  <c r="E3823" i="2"/>
  <c r="H3823" i="2" s="1"/>
  <c r="E3824" i="2"/>
  <c r="H3824" i="2" s="1"/>
  <c r="E3825" i="2"/>
  <c r="H3825" i="2" s="1"/>
  <c r="E3826" i="2"/>
  <c r="H3826" i="2" s="1"/>
  <c r="E3827" i="2"/>
  <c r="H3827" i="2" s="1"/>
  <c r="E3828" i="2"/>
  <c r="H3828" i="2" s="1"/>
  <c r="E3829" i="2"/>
  <c r="H3829" i="2" s="1"/>
  <c r="E3830" i="2"/>
  <c r="H3830" i="2" s="1"/>
  <c r="E3831" i="2"/>
  <c r="H3831" i="2" s="1"/>
  <c r="E3832" i="2"/>
  <c r="H3832" i="2" s="1"/>
  <c r="E3833" i="2"/>
  <c r="H3833" i="2" s="1"/>
  <c r="E3834" i="2"/>
  <c r="H3834" i="2" s="1"/>
  <c r="E3835" i="2"/>
  <c r="H3835" i="2" s="1"/>
  <c r="E3836" i="2"/>
  <c r="H3836" i="2" s="1"/>
  <c r="E3837" i="2"/>
  <c r="H3837" i="2" s="1"/>
  <c r="E3838" i="2"/>
  <c r="H3838" i="2" s="1"/>
  <c r="E3839" i="2"/>
  <c r="H3839" i="2" s="1"/>
  <c r="E3840" i="2"/>
  <c r="H3840" i="2" s="1"/>
  <c r="E3841" i="2"/>
  <c r="H3841" i="2" s="1"/>
  <c r="E3842" i="2"/>
  <c r="H3842" i="2" s="1"/>
  <c r="E3843" i="2"/>
  <c r="H3843" i="2" s="1"/>
  <c r="E3844" i="2"/>
  <c r="H3844" i="2" s="1"/>
  <c r="E3845" i="2"/>
  <c r="H3845" i="2" s="1"/>
  <c r="E3846" i="2"/>
  <c r="H3846" i="2" s="1"/>
  <c r="E3847" i="2"/>
  <c r="H3847" i="2" s="1"/>
  <c r="E3848" i="2"/>
  <c r="H3848" i="2" s="1"/>
  <c r="E3849" i="2"/>
  <c r="H3849" i="2" s="1"/>
  <c r="E3850" i="2"/>
  <c r="H3850" i="2" s="1"/>
  <c r="E3851" i="2"/>
  <c r="H3851" i="2" s="1"/>
  <c r="E3852" i="2"/>
  <c r="H3852" i="2" s="1"/>
  <c r="E3853" i="2"/>
  <c r="H3853" i="2" s="1"/>
  <c r="E3854" i="2"/>
  <c r="H3854" i="2" s="1"/>
  <c r="E3855" i="2"/>
  <c r="H3855" i="2" s="1"/>
  <c r="E3856" i="2"/>
  <c r="H3856" i="2" s="1"/>
  <c r="E3857" i="2"/>
  <c r="H3857" i="2" s="1"/>
  <c r="E3858" i="2"/>
  <c r="H3858" i="2" s="1"/>
  <c r="E3859" i="2"/>
  <c r="H3859" i="2" s="1"/>
  <c r="E3860" i="2"/>
  <c r="H3860" i="2" s="1"/>
  <c r="E3861" i="2"/>
  <c r="H3861" i="2" s="1"/>
  <c r="E3862" i="2"/>
  <c r="H3862" i="2" s="1"/>
  <c r="E3863" i="2"/>
  <c r="H3863" i="2" s="1"/>
  <c r="E3864" i="2"/>
  <c r="H3864" i="2" s="1"/>
  <c r="E3865" i="2"/>
  <c r="H3865" i="2" s="1"/>
  <c r="E3866" i="2"/>
  <c r="H3866" i="2" s="1"/>
  <c r="E3867" i="2"/>
  <c r="H3867" i="2" s="1"/>
  <c r="E3868" i="2"/>
  <c r="H3868" i="2" s="1"/>
  <c r="E3869" i="2"/>
  <c r="H3869" i="2" s="1"/>
  <c r="E3870" i="2"/>
  <c r="H3870" i="2" s="1"/>
  <c r="E3871" i="2"/>
  <c r="H3871" i="2" s="1"/>
  <c r="E3872" i="2"/>
  <c r="H3872" i="2" s="1"/>
  <c r="E3873" i="2"/>
  <c r="H3873" i="2" s="1"/>
  <c r="F3808" i="2"/>
  <c r="F3809" i="2"/>
  <c r="F3810" i="2"/>
  <c r="F3811" i="2"/>
  <c r="F3812" i="2"/>
  <c r="F3813" i="2"/>
  <c r="F3814" i="2"/>
  <c r="F3815" i="2"/>
  <c r="F3816" i="2"/>
  <c r="F3817" i="2"/>
  <c r="F3818" i="2"/>
  <c r="F3819" i="2"/>
  <c r="F3820" i="2"/>
  <c r="F3821" i="2"/>
  <c r="F3822" i="2"/>
  <c r="F3823" i="2"/>
  <c r="F3824" i="2"/>
  <c r="F3825" i="2"/>
  <c r="F3826" i="2"/>
  <c r="F3827" i="2"/>
  <c r="F3828" i="2"/>
  <c r="F3829" i="2"/>
  <c r="F3830" i="2"/>
  <c r="F3831" i="2"/>
  <c r="F3832" i="2"/>
  <c r="F3833" i="2"/>
  <c r="F3834" i="2"/>
  <c r="F3835" i="2"/>
  <c r="F3836" i="2"/>
  <c r="F3837" i="2"/>
  <c r="F3838" i="2"/>
  <c r="F3839" i="2"/>
  <c r="F3840" i="2"/>
  <c r="F3841" i="2"/>
  <c r="F3842" i="2"/>
  <c r="F3843" i="2"/>
  <c r="F3844" i="2"/>
  <c r="F3845" i="2"/>
  <c r="F3846" i="2"/>
  <c r="F3847" i="2"/>
  <c r="F3848" i="2"/>
  <c r="F3849" i="2"/>
  <c r="F3850" i="2"/>
  <c r="F3851" i="2"/>
  <c r="F3852" i="2"/>
  <c r="F3853" i="2"/>
  <c r="F3854" i="2"/>
  <c r="F3855" i="2"/>
  <c r="F3856" i="2"/>
  <c r="F3857" i="2"/>
  <c r="F3858" i="2"/>
  <c r="F3859" i="2"/>
  <c r="F3860" i="2"/>
  <c r="F3861" i="2"/>
  <c r="F3862" i="2"/>
  <c r="F3863" i="2"/>
  <c r="F3864" i="2"/>
  <c r="F3865" i="2"/>
  <c r="F3866" i="2"/>
  <c r="F3867" i="2"/>
  <c r="F3868" i="2"/>
  <c r="F3869" i="2"/>
  <c r="F3870" i="2"/>
  <c r="F3871" i="2"/>
  <c r="F3872" i="2"/>
  <c r="F3873" i="2"/>
  <c r="G3808" i="2"/>
  <c r="G3809" i="2"/>
  <c r="G3810" i="2"/>
  <c r="G3811" i="2"/>
  <c r="G3812" i="2"/>
  <c r="G3813" i="2"/>
  <c r="G3814" i="2"/>
  <c r="G3815" i="2"/>
  <c r="G3816" i="2"/>
  <c r="G3817" i="2"/>
  <c r="G3818" i="2"/>
  <c r="G3819" i="2"/>
  <c r="G3820" i="2"/>
  <c r="G3821" i="2"/>
  <c r="G3822" i="2"/>
  <c r="G3823" i="2"/>
  <c r="G3824" i="2"/>
  <c r="G3825" i="2"/>
  <c r="G3826" i="2"/>
  <c r="G3827" i="2"/>
  <c r="G3828" i="2"/>
  <c r="G3829" i="2"/>
  <c r="G3830" i="2"/>
  <c r="G3831" i="2"/>
  <c r="G3832" i="2"/>
  <c r="G3833" i="2"/>
  <c r="G3834" i="2"/>
  <c r="G3835" i="2"/>
  <c r="G3836" i="2"/>
  <c r="G3837" i="2"/>
  <c r="G3838" i="2"/>
  <c r="G3839" i="2"/>
  <c r="G3840" i="2"/>
  <c r="G3841" i="2"/>
  <c r="G3842" i="2"/>
  <c r="G3843" i="2"/>
  <c r="G3844" i="2"/>
  <c r="G3845" i="2"/>
  <c r="G3846" i="2"/>
  <c r="G3847" i="2"/>
  <c r="G3848" i="2"/>
  <c r="G3849" i="2"/>
  <c r="G3850" i="2"/>
  <c r="G3851" i="2"/>
  <c r="G3852" i="2"/>
  <c r="G3853" i="2"/>
  <c r="G3854" i="2"/>
  <c r="G3855" i="2"/>
  <c r="G3856" i="2"/>
  <c r="G3857" i="2"/>
  <c r="G3858" i="2"/>
  <c r="G3859" i="2"/>
  <c r="G3860" i="2"/>
  <c r="G3861" i="2"/>
  <c r="G3862" i="2"/>
  <c r="G3863" i="2"/>
  <c r="G3864" i="2"/>
  <c r="G3865" i="2"/>
  <c r="G3866" i="2"/>
  <c r="G3867" i="2"/>
  <c r="G3868" i="2"/>
  <c r="G3869" i="2"/>
  <c r="G3870" i="2"/>
  <c r="G3871" i="2"/>
  <c r="G3872" i="2"/>
  <c r="G3873" i="2"/>
  <c r="I3808" i="2"/>
  <c r="I3809" i="2"/>
  <c r="I3810" i="2"/>
  <c r="I3811" i="2"/>
  <c r="I3812" i="2"/>
  <c r="I3813" i="2"/>
  <c r="I3814" i="2"/>
  <c r="I3815" i="2"/>
  <c r="I3816" i="2"/>
  <c r="I3817" i="2"/>
  <c r="I3818" i="2"/>
  <c r="I3819" i="2"/>
  <c r="I3820" i="2"/>
  <c r="I3821" i="2"/>
  <c r="I3822" i="2"/>
  <c r="I3823" i="2"/>
  <c r="I3824" i="2"/>
  <c r="I3825" i="2"/>
  <c r="I3826" i="2"/>
  <c r="I3827" i="2"/>
  <c r="I3828" i="2"/>
  <c r="I3829" i="2"/>
  <c r="I3830" i="2"/>
  <c r="I3831" i="2"/>
  <c r="I3832" i="2"/>
  <c r="I3833" i="2"/>
  <c r="I3834" i="2"/>
  <c r="I3835" i="2"/>
  <c r="I3836" i="2"/>
  <c r="I3837" i="2"/>
  <c r="I3838" i="2"/>
  <c r="I3839" i="2"/>
  <c r="I3840" i="2"/>
  <c r="I3841" i="2"/>
  <c r="I3842" i="2"/>
  <c r="I3843" i="2"/>
  <c r="I3844" i="2"/>
  <c r="I3845" i="2"/>
  <c r="I3846" i="2"/>
  <c r="I3847" i="2"/>
  <c r="I3848" i="2"/>
  <c r="I3849" i="2"/>
  <c r="I3850" i="2"/>
  <c r="I3851" i="2"/>
  <c r="I3852" i="2"/>
  <c r="I3853" i="2"/>
  <c r="I3854" i="2"/>
  <c r="I3855" i="2"/>
  <c r="I3856" i="2"/>
  <c r="I3857" i="2"/>
  <c r="I3858" i="2"/>
  <c r="I3859" i="2"/>
  <c r="I3860" i="2"/>
  <c r="I3861" i="2"/>
  <c r="I3862" i="2"/>
  <c r="I3863" i="2"/>
  <c r="I3864" i="2"/>
  <c r="I3865" i="2"/>
  <c r="I3866" i="2"/>
  <c r="I3867" i="2"/>
  <c r="I3868" i="2"/>
  <c r="I3869" i="2"/>
  <c r="I3870" i="2"/>
  <c r="I3871" i="2"/>
  <c r="I3872" i="2"/>
  <c r="I3873" i="2"/>
  <c r="E3789" i="2"/>
  <c r="H3789" i="2" s="1"/>
  <c r="E3790" i="2"/>
  <c r="H3790" i="2" s="1"/>
  <c r="E3791" i="2"/>
  <c r="H3791" i="2" s="1"/>
  <c r="E3792" i="2"/>
  <c r="H3792" i="2" s="1"/>
  <c r="E3793" i="2"/>
  <c r="H3793" i="2" s="1"/>
  <c r="E3794" i="2"/>
  <c r="H3794" i="2" s="1"/>
  <c r="E3795" i="2"/>
  <c r="H3795" i="2" s="1"/>
  <c r="E3796" i="2"/>
  <c r="H3796" i="2" s="1"/>
  <c r="E3797" i="2"/>
  <c r="H3797" i="2" s="1"/>
  <c r="E3798" i="2"/>
  <c r="H3798" i="2" s="1"/>
  <c r="E3799" i="2"/>
  <c r="H3799" i="2" s="1"/>
  <c r="E3800" i="2"/>
  <c r="H3800" i="2" s="1"/>
  <c r="E3801" i="2"/>
  <c r="H3801" i="2" s="1"/>
  <c r="E3802" i="2"/>
  <c r="H3802" i="2" s="1"/>
  <c r="E3803" i="2"/>
  <c r="H3803" i="2" s="1"/>
  <c r="E3804" i="2"/>
  <c r="H3804" i="2" s="1"/>
  <c r="E3805" i="2"/>
  <c r="H3805" i="2" s="1"/>
  <c r="E3806" i="2"/>
  <c r="H3806" i="2" s="1"/>
  <c r="E3807" i="2"/>
  <c r="H3807" i="2" s="1"/>
  <c r="F3789" i="2"/>
  <c r="F3790" i="2"/>
  <c r="F3791" i="2"/>
  <c r="F3792" i="2"/>
  <c r="F3793" i="2"/>
  <c r="F3794" i="2"/>
  <c r="F3795" i="2"/>
  <c r="F3796" i="2"/>
  <c r="F3797" i="2"/>
  <c r="F3798" i="2"/>
  <c r="F3799" i="2"/>
  <c r="F3800" i="2"/>
  <c r="F3801" i="2"/>
  <c r="F3802" i="2"/>
  <c r="F3803" i="2"/>
  <c r="F3804" i="2"/>
  <c r="F3805" i="2"/>
  <c r="F3806" i="2"/>
  <c r="F3807" i="2"/>
  <c r="G3789" i="2"/>
  <c r="G3790" i="2"/>
  <c r="G3791" i="2"/>
  <c r="G3792" i="2"/>
  <c r="G3793" i="2"/>
  <c r="G3794" i="2"/>
  <c r="G3795" i="2"/>
  <c r="G3796" i="2"/>
  <c r="G3797" i="2"/>
  <c r="G3798" i="2"/>
  <c r="G3799" i="2"/>
  <c r="G3800" i="2"/>
  <c r="G3801" i="2"/>
  <c r="G3802" i="2"/>
  <c r="G3803" i="2"/>
  <c r="G3804" i="2"/>
  <c r="G3805" i="2"/>
  <c r="G3806" i="2"/>
  <c r="G3807" i="2"/>
  <c r="I3789" i="2"/>
  <c r="I3790" i="2"/>
  <c r="I3791" i="2"/>
  <c r="I3792" i="2"/>
  <c r="I3793" i="2"/>
  <c r="I3794" i="2"/>
  <c r="I3795" i="2"/>
  <c r="I3796" i="2"/>
  <c r="I3797" i="2"/>
  <c r="I3798" i="2"/>
  <c r="I3799" i="2"/>
  <c r="I3800" i="2"/>
  <c r="I3801" i="2"/>
  <c r="I3802" i="2"/>
  <c r="I3803" i="2"/>
  <c r="I3804" i="2"/>
  <c r="I3805" i="2"/>
  <c r="I3806" i="2"/>
  <c r="I3807" i="2"/>
  <c r="E3769" i="2"/>
  <c r="E3770" i="2"/>
  <c r="H3770" i="2" s="1"/>
  <c r="E3771" i="2"/>
  <c r="H3771" i="2" s="1"/>
  <c r="E3772" i="2"/>
  <c r="H3772" i="2" s="1"/>
  <c r="E3773" i="2"/>
  <c r="H3773" i="2" s="1"/>
  <c r="E3774" i="2"/>
  <c r="H3774" i="2" s="1"/>
  <c r="E3775" i="2"/>
  <c r="H3775" i="2" s="1"/>
  <c r="E3776" i="2"/>
  <c r="H3776" i="2" s="1"/>
  <c r="E3777" i="2"/>
  <c r="H3777" i="2" s="1"/>
  <c r="E3778" i="2"/>
  <c r="H3778" i="2" s="1"/>
  <c r="E3779" i="2"/>
  <c r="H3779" i="2" s="1"/>
  <c r="E3780" i="2"/>
  <c r="H3780" i="2" s="1"/>
  <c r="E3781" i="2"/>
  <c r="H3781" i="2" s="1"/>
  <c r="E3782" i="2"/>
  <c r="H3782" i="2" s="1"/>
  <c r="E3783" i="2"/>
  <c r="H3783" i="2" s="1"/>
  <c r="E3784" i="2"/>
  <c r="H3784" i="2" s="1"/>
  <c r="E3785" i="2"/>
  <c r="H3785" i="2" s="1"/>
  <c r="E3786" i="2"/>
  <c r="H3786" i="2" s="1"/>
  <c r="E3787" i="2"/>
  <c r="H3787" i="2" s="1"/>
  <c r="E3788" i="2"/>
  <c r="H3788" i="2" s="1"/>
  <c r="F3769" i="2"/>
  <c r="F3770" i="2"/>
  <c r="F3771" i="2"/>
  <c r="F3772" i="2"/>
  <c r="F3773" i="2"/>
  <c r="F3774" i="2"/>
  <c r="F3775" i="2"/>
  <c r="F3776" i="2"/>
  <c r="F3777" i="2"/>
  <c r="F3778" i="2"/>
  <c r="F3779" i="2"/>
  <c r="F3780" i="2"/>
  <c r="F3781" i="2"/>
  <c r="F3782" i="2"/>
  <c r="F3783" i="2"/>
  <c r="F3784" i="2"/>
  <c r="F3785" i="2"/>
  <c r="F3786" i="2"/>
  <c r="F3787" i="2"/>
  <c r="F3788" i="2"/>
  <c r="G3769" i="2"/>
  <c r="G3770" i="2"/>
  <c r="G3771" i="2"/>
  <c r="G3772" i="2"/>
  <c r="G3773" i="2"/>
  <c r="G3774" i="2"/>
  <c r="G3775" i="2"/>
  <c r="G3776" i="2"/>
  <c r="G3777" i="2"/>
  <c r="G3778" i="2"/>
  <c r="G3779" i="2"/>
  <c r="G3780" i="2"/>
  <c r="G3781" i="2"/>
  <c r="G3782" i="2"/>
  <c r="G3783" i="2"/>
  <c r="G3784" i="2"/>
  <c r="G3785" i="2"/>
  <c r="G3786" i="2"/>
  <c r="G3787" i="2"/>
  <c r="G3788" i="2"/>
  <c r="H3769" i="2"/>
  <c r="I3769" i="2"/>
  <c r="I3770" i="2"/>
  <c r="I3771" i="2"/>
  <c r="I3772" i="2"/>
  <c r="I3773" i="2"/>
  <c r="I3774" i="2"/>
  <c r="I3775" i="2"/>
  <c r="I3776" i="2"/>
  <c r="I3777" i="2"/>
  <c r="I3778" i="2"/>
  <c r="I3779" i="2"/>
  <c r="I3780" i="2"/>
  <c r="I3781" i="2"/>
  <c r="I3782" i="2"/>
  <c r="I3783" i="2"/>
  <c r="I3784" i="2"/>
  <c r="I3785" i="2"/>
  <c r="I3786" i="2"/>
  <c r="I3787" i="2"/>
  <c r="I3788" i="2"/>
  <c r="E3757" i="2"/>
  <c r="H3757" i="2" s="1"/>
  <c r="E3758" i="2"/>
  <c r="H3758" i="2" s="1"/>
  <c r="E3759" i="2"/>
  <c r="H3759" i="2" s="1"/>
  <c r="E3760" i="2"/>
  <c r="H3760" i="2" s="1"/>
  <c r="E3761" i="2"/>
  <c r="H3761" i="2" s="1"/>
  <c r="E3762" i="2"/>
  <c r="H3762" i="2" s="1"/>
  <c r="E3763" i="2"/>
  <c r="H3763" i="2" s="1"/>
  <c r="E3764" i="2"/>
  <c r="H3764" i="2" s="1"/>
  <c r="E3765" i="2"/>
  <c r="H3765" i="2" s="1"/>
  <c r="E3766" i="2"/>
  <c r="H3766" i="2" s="1"/>
  <c r="E3767" i="2"/>
  <c r="H3767" i="2" s="1"/>
  <c r="E3768" i="2"/>
  <c r="H3768" i="2" s="1"/>
  <c r="F3757" i="2"/>
  <c r="F3758" i="2"/>
  <c r="F3759" i="2"/>
  <c r="F3760" i="2"/>
  <c r="F3761" i="2"/>
  <c r="F3762" i="2"/>
  <c r="F3763" i="2"/>
  <c r="F3764" i="2"/>
  <c r="F3765" i="2"/>
  <c r="F3766" i="2"/>
  <c r="F3767" i="2"/>
  <c r="F3768" i="2"/>
  <c r="G3757" i="2"/>
  <c r="G3758" i="2"/>
  <c r="G3759" i="2"/>
  <c r="G3760" i="2"/>
  <c r="G3761" i="2"/>
  <c r="G3762" i="2"/>
  <c r="G3763" i="2"/>
  <c r="G3764" i="2"/>
  <c r="G3765" i="2"/>
  <c r="G3766" i="2"/>
  <c r="G3767" i="2"/>
  <c r="G3768" i="2"/>
  <c r="I3757" i="2"/>
  <c r="I3758" i="2"/>
  <c r="I3759" i="2"/>
  <c r="I3760" i="2"/>
  <c r="I3761" i="2"/>
  <c r="I3762" i="2"/>
  <c r="I3763" i="2"/>
  <c r="I3764" i="2"/>
  <c r="I3765" i="2"/>
  <c r="I3766" i="2"/>
  <c r="I3767" i="2"/>
  <c r="I3768" i="2"/>
  <c r="E3737" i="2"/>
  <c r="H3737" i="2" s="1"/>
  <c r="E3738" i="2"/>
  <c r="H3738" i="2" s="1"/>
  <c r="E3739" i="2"/>
  <c r="H3739" i="2" s="1"/>
  <c r="E3740" i="2"/>
  <c r="H3740" i="2" s="1"/>
  <c r="E3741" i="2"/>
  <c r="E3742" i="2"/>
  <c r="H3742" i="2" s="1"/>
  <c r="E3743" i="2"/>
  <c r="H3743" i="2" s="1"/>
  <c r="E3744" i="2"/>
  <c r="H3744" i="2" s="1"/>
  <c r="E3745" i="2"/>
  <c r="H3745" i="2" s="1"/>
  <c r="E3746" i="2"/>
  <c r="H3746" i="2" s="1"/>
  <c r="E3747" i="2"/>
  <c r="H3747" i="2" s="1"/>
  <c r="E3748" i="2"/>
  <c r="H3748" i="2" s="1"/>
  <c r="E3749" i="2"/>
  <c r="H3749" i="2" s="1"/>
  <c r="E3750" i="2"/>
  <c r="H3750" i="2" s="1"/>
  <c r="E3751" i="2"/>
  <c r="H3751" i="2" s="1"/>
  <c r="E3752" i="2"/>
  <c r="H3752" i="2" s="1"/>
  <c r="E3753" i="2"/>
  <c r="H3753" i="2" s="1"/>
  <c r="E3754" i="2"/>
  <c r="H3754" i="2" s="1"/>
  <c r="E3755" i="2"/>
  <c r="H3755" i="2" s="1"/>
  <c r="E3756" i="2"/>
  <c r="H3756" i="2" s="1"/>
  <c r="F3737" i="2"/>
  <c r="F3738" i="2"/>
  <c r="F3739" i="2"/>
  <c r="F3740" i="2"/>
  <c r="F3741" i="2"/>
  <c r="F3742" i="2"/>
  <c r="F3743" i="2"/>
  <c r="F3744" i="2"/>
  <c r="F3745" i="2"/>
  <c r="F3746" i="2"/>
  <c r="F3747" i="2"/>
  <c r="F3748" i="2"/>
  <c r="F3749" i="2"/>
  <c r="F3750" i="2"/>
  <c r="F3751" i="2"/>
  <c r="F3752" i="2"/>
  <c r="F3753" i="2"/>
  <c r="F3754" i="2"/>
  <c r="F3755" i="2"/>
  <c r="F3756" i="2"/>
  <c r="G3737" i="2"/>
  <c r="G3738" i="2"/>
  <c r="G3739" i="2"/>
  <c r="G3740" i="2"/>
  <c r="G3741" i="2"/>
  <c r="G3742" i="2"/>
  <c r="G3743" i="2"/>
  <c r="G3744" i="2"/>
  <c r="G3745" i="2"/>
  <c r="G3746" i="2"/>
  <c r="G3747" i="2"/>
  <c r="G3748" i="2"/>
  <c r="G3749" i="2"/>
  <c r="G3750" i="2"/>
  <c r="G3751" i="2"/>
  <c r="G3752" i="2"/>
  <c r="G3753" i="2"/>
  <c r="G3754" i="2"/>
  <c r="G3755" i="2"/>
  <c r="G3756" i="2"/>
  <c r="H3741" i="2"/>
  <c r="I3737" i="2"/>
  <c r="I3738" i="2"/>
  <c r="I3739" i="2"/>
  <c r="I3740" i="2"/>
  <c r="I3741" i="2"/>
  <c r="I3742" i="2"/>
  <c r="I3743" i="2"/>
  <c r="I3744" i="2"/>
  <c r="I3745" i="2"/>
  <c r="I3746" i="2"/>
  <c r="I3747" i="2"/>
  <c r="I3748" i="2"/>
  <c r="I3749" i="2"/>
  <c r="I3750" i="2"/>
  <c r="I3751" i="2"/>
  <c r="I3752" i="2"/>
  <c r="I3753" i="2"/>
  <c r="I3754" i="2"/>
  <c r="I3755" i="2"/>
  <c r="I3756" i="2"/>
  <c r="E3703" i="2"/>
  <c r="H3703" i="2" s="1"/>
  <c r="E3704" i="2"/>
  <c r="H3704" i="2" s="1"/>
  <c r="E3705" i="2"/>
  <c r="H3705" i="2" s="1"/>
  <c r="E3706" i="2"/>
  <c r="H3706" i="2" s="1"/>
  <c r="E3707" i="2"/>
  <c r="H3707" i="2" s="1"/>
  <c r="E3708" i="2"/>
  <c r="H3708" i="2" s="1"/>
  <c r="E3709" i="2"/>
  <c r="H3709" i="2" s="1"/>
  <c r="E3710" i="2"/>
  <c r="H3710" i="2" s="1"/>
  <c r="E3711" i="2"/>
  <c r="H3711" i="2" s="1"/>
  <c r="E3712" i="2"/>
  <c r="H3712" i="2" s="1"/>
  <c r="E3713" i="2"/>
  <c r="H3713" i="2" s="1"/>
  <c r="E3714" i="2"/>
  <c r="H3714" i="2" s="1"/>
  <c r="E3715" i="2"/>
  <c r="H3715" i="2" s="1"/>
  <c r="E3716" i="2"/>
  <c r="H3716" i="2" s="1"/>
  <c r="E3717" i="2"/>
  <c r="H3717" i="2" s="1"/>
  <c r="E3718" i="2"/>
  <c r="H3718" i="2" s="1"/>
  <c r="E3719" i="2"/>
  <c r="H3719" i="2" s="1"/>
  <c r="E3720" i="2"/>
  <c r="H3720" i="2" s="1"/>
  <c r="E3721" i="2"/>
  <c r="H3721" i="2" s="1"/>
  <c r="E3722" i="2"/>
  <c r="H3722" i="2" s="1"/>
  <c r="E3723" i="2"/>
  <c r="H3723" i="2" s="1"/>
  <c r="E3724" i="2"/>
  <c r="H3724" i="2" s="1"/>
  <c r="E3725" i="2"/>
  <c r="H3725" i="2" s="1"/>
  <c r="E3726" i="2"/>
  <c r="H3726" i="2" s="1"/>
  <c r="E3727" i="2"/>
  <c r="H3727" i="2" s="1"/>
  <c r="E3728" i="2"/>
  <c r="H3728" i="2" s="1"/>
  <c r="E3729" i="2"/>
  <c r="H3729" i="2" s="1"/>
  <c r="E3730" i="2"/>
  <c r="H3730" i="2" s="1"/>
  <c r="E3731" i="2"/>
  <c r="H3731" i="2" s="1"/>
  <c r="E3732" i="2"/>
  <c r="H3732" i="2" s="1"/>
  <c r="E3733" i="2"/>
  <c r="H3733" i="2" s="1"/>
  <c r="E3734" i="2"/>
  <c r="H3734" i="2" s="1"/>
  <c r="E3735" i="2"/>
  <c r="H3735" i="2" s="1"/>
  <c r="E3736" i="2"/>
  <c r="H3736" i="2" s="1"/>
  <c r="F3703" i="2"/>
  <c r="F3704" i="2"/>
  <c r="F3705" i="2"/>
  <c r="F3706" i="2"/>
  <c r="F3707" i="2"/>
  <c r="F3708" i="2"/>
  <c r="F3709" i="2"/>
  <c r="F3710" i="2"/>
  <c r="F3711" i="2"/>
  <c r="F3712" i="2"/>
  <c r="F3713" i="2"/>
  <c r="F3714" i="2"/>
  <c r="F3715" i="2"/>
  <c r="F3716" i="2"/>
  <c r="F3717" i="2"/>
  <c r="F3718" i="2"/>
  <c r="F3719" i="2"/>
  <c r="F3720" i="2"/>
  <c r="F3721" i="2"/>
  <c r="F3722" i="2"/>
  <c r="F3723" i="2"/>
  <c r="F3724" i="2"/>
  <c r="F3725" i="2"/>
  <c r="F3726" i="2"/>
  <c r="F3727" i="2"/>
  <c r="F3728" i="2"/>
  <c r="F3729" i="2"/>
  <c r="F3730" i="2"/>
  <c r="F3731" i="2"/>
  <c r="F3732" i="2"/>
  <c r="F3733" i="2"/>
  <c r="F3734" i="2"/>
  <c r="F3735" i="2"/>
  <c r="F3736" i="2"/>
  <c r="G3703" i="2"/>
  <c r="G3704" i="2"/>
  <c r="G3705" i="2"/>
  <c r="G3706" i="2"/>
  <c r="G3707" i="2"/>
  <c r="G3708" i="2"/>
  <c r="G3709" i="2"/>
  <c r="G3710" i="2"/>
  <c r="G3711" i="2"/>
  <c r="G3712" i="2"/>
  <c r="G3713" i="2"/>
  <c r="G3714" i="2"/>
  <c r="G3715" i="2"/>
  <c r="G3716" i="2"/>
  <c r="G3717" i="2"/>
  <c r="G3718" i="2"/>
  <c r="G3719" i="2"/>
  <c r="G3720" i="2"/>
  <c r="G3721" i="2"/>
  <c r="G3722" i="2"/>
  <c r="G3723" i="2"/>
  <c r="G3724" i="2"/>
  <c r="G3725" i="2"/>
  <c r="G3726" i="2"/>
  <c r="G3727" i="2"/>
  <c r="G3728" i="2"/>
  <c r="G3729" i="2"/>
  <c r="G3730" i="2"/>
  <c r="G3731" i="2"/>
  <c r="G3732" i="2"/>
  <c r="G3733" i="2"/>
  <c r="G3734" i="2"/>
  <c r="G3735" i="2"/>
  <c r="G3736" i="2"/>
  <c r="I3703" i="2"/>
  <c r="I3704" i="2"/>
  <c r="I3705" i="2"/>
  <c r="I3706" i="2"/>
  <c r="I3707" i="2"/>
  <c r="I3708" i="2"/>
  <c r="I3709" i="2"/>
  <c r="I3710" i="2"/>
  <c r="I3711" i="2"/>
  <c r="I3712" i="2"/>
  <c r="I3713" i="2"/>
  <c r="I3714" i="2"/>
  <c r="I3715" i="2"/>
  <c r="I3716" i="2"/>
  <c r="I3717" i="2"/>
  <c r="I3718" i="2"/>
  <c r="I3719" i="2"/>
  <c r="I3720" i="2"/>
  <c r="I3721" i="2"/>
  <c r="I3722" i="2"/>
  <c r="I3723" i="2"/>
  <c r="I3724" i="2"/>
  <c r="I3725" i="2"/>
  <c r="I3726" i="2"/>
  <c r="I3727" i="2"/>
  <c r="I3728" i="2"/>
  <c r="I3729" i="2"/>
  <c r="I3730" i="2"/>
  <c r="I3731" i="2"/>
  <c r="I3732" i="2"/>
  <c r="I3733" i="2"/>
  <c r="I3734" i="2"/>
  <c r="I3735" i="2"/>
  <c r="I3736" i="2"/>
  <c r="E3677" i="2"/>
  <c r="H3677" i="2" s="1"/>
  <c r="E3678" i="2"/>
  <c r="H3678" i="2" s="1"/>
  <c r="E3679" i="2"/>
  <c r="E3680" i="2"/>
  <c r="E3681" i="2"/>
  <c r="H3681" i="2" s="1"/>
  <c r="E3682" i="2"/>
  <c r="H3682" i="2" s="1"/>
  <c r="E3683" i="2"/>
  <c r="H3683" i="2" s="1"/>
  <c r="E3684" i="2"/>
  <c r="H3684" i="2" s="1"/>
  <c r="E3685" i="2"/>
  <c r="H3685" i="2" s="1"/>
  <c r="E3686" i="2"/>
  <c r="H3686" i="2" s="1"/>
  <c r="E3687" i="2"/>
  <c r="H3687" i="2" s="1"/>
  <c r="E3688" i="2"/>
  <c r="H3688" i="2" s="1"/>
  <c r="E3689" i="2"/>
  <c r="H3689" i="2" s="1"/>
  <c r="E3690" i="2"/>
  <c r="H3690" i="2" s="1"/>
  <c r="E3691" i="2"/>
  <c r="H3691" i="2" s="1"/>
  <c r="E3692" i="2"/>
  <c r="H3692" i="2" s="1"/>
  <c r="E3693" i="2"/>
  <c r="H3693" i="2" s="1"/>
  <c r="E3694" i="2"/>
  <c r="H3694" i="2" s="1"/>
  <c r="E3695" i="2"/>
  <c r="H3695" i="2" s="1"/>
  <c r="E3696" i="2"/>
  <c r="H3696" i="2" s="1"/>
  <c r="E3697" i="2"/>
  <c r="H3697" i="2" s="1"/>
  <c r="E3698" i="2"/>
  <c r="H3698" i="2" s="1"/>
  <c r="E3699" i="2"/>
  <c r="H3699" i="2" s="1"/>
  <c r="E3700" i="2"/>
  <c r="H3700" i="2" s="1"/>
  <c r="E3701" i="2"/>
  <c r="H3701" i="2" s="1"/>
  <c r="E3702" i="2"/>
  <c r="H3702" i="2" s="1"/>
  <c r="F3677" i="2"/>
  <c r="F3678" i="2"/>
  <c r="F3679" i="2"/>
  <c r="F3680" i="2"/>
  <c r="F3681" i="2"/>
  <c r="F3682" i="2"/>
  <c r="F3683" i="2"/>
  <c r="F3684" i="2"/>
  <c r="F3685" i="2"/>
  <c r="F3686" i="2"/>
  <c r="F3687" i="2"/>
  <c r="F3688" i="2"/>
  <c r="F3689" i="2"/>
  <c r="F3690" i="2"/>
  <c r="F3691" i="2"/>
  <c r="F3692" i="2"/>
  <c r="F3693" i="2"/>
  <c r="F3694" i="2"/>
  <c r="F3695" i="2"/>
  <c r="F3696" i="2"/>
  <c r="F3697" i="2"/>
  <c r="F3698" i="2"/>
  <c r="F3699" i="2"/>
  <c r="F3700" i="2"/>
  <c r="F3701" i="2"/>
  <c r="F3702" i="2"/>
  <c r="G3677" i="2"/>
  <c r="G3678" i="2"/>
  <c r="G3679" i="2"/>
  <c r="G3680" i="2"/>
  <c r="G3681" i="2"/>
  <c r="G3682" i="2"/>
  <c r="G3683" i="2"/>
  <c r="G3684" i="2"/>
  <c r="G3685" i="2"/>
  <c r="G3686" i="2"/>
  <c r="G3687" i="2"/>
  <c r="G3688" i="2"/>
  <c r="G3689" i="2"/>
  <c r="G3690" i="2"/>
  <c r="G3691" i="2"/>
  <c r="G3692" i="2"/>
  <c r="G3693" i="2"/>
  <c r="G3694" i="2"/>
  <c r="G3695" i="2"/>
  <c r="G3696" i="2"/>
  <c r="G3697" i="2"/>
  <c r="G3698" i="2"/>
  <c r="G3699" i="2"/>
  <c r="G3700" i="2"/>
  <c r="G3701" i="2"/>
  <c r="G3702" i="2"/>
  <c r="H3679" i="2"/>
  <c r="H3680" i="2"/>
  <c r="I3677" i="2"/>
  <c r="I3678" i="2"/>
  <c r="I3679" i="2"/>
  <c r="I3680" i="2"/>
  <c r="I3681" i="2"/>
  <c r="I3682" i="2"/>
  <c r="I3683" i="2"/>
  <c r="I3684" i="2"/>
  <c r="I3685" i="2"/>
  <c r="I3686" i="2"/>
  <c r="I3687" i="2"/>
  <c r="I3688" i="2"/>
  <c r="I3689" i="2"/>
  <c r="I3690" i="2"/>
  <c r="I3691" i="2"/>
  <c r="I3692" i="2"/>
  <c r="I3693" i="2"/>
  <c r="I3694" i="2"/>
  <c r="I3695" i="2"/>
  <c r="I3696" i="2"/>
  <c r="I3697" i="2"/>
  <c r="I3698" i="2"/>
  <c r="I3699" i="2"/>
  <c r="I3700" i="2"/>
  <c r="I3701" i="2"/>
  <c r="I3702" i="2"/>
  <c r="C211" i="4"/>
  <c r="D211" i="4" s="1"/>
  <c r="E211" i="4" s="1"/>
  <c r="E3664" i="2"/>
  <c r="H3664" i="2" s="1"/>
  <c r="E3665" i="2"/>
  <c r="H3665" i="2" s="1"/>
  <c r="E3666" i="2"/>
  <c r="H3666" i="2" s="1"/>
  <c r="E3667" i="2"/>
  <c r="H3667" i="2" s="1"/>
  <c r="E3668" i="2"/>
  <c r="H3668" i="2" s="1"/>
  <c r="E3669" i="2"/>
  <c r="H3669" i="2" s="1"/>
  <c r="E3670" i="2"/>
  <c r="H3670" i="2" s="1"/>
  <c r="E3671" i="2"/>
  <c r="H3671" i="2" s="1"/>
  <c r="E3672" i="2"/>
  <c r="H3672" i="2" s="1"/>
  <c r="E3673" i="2"/>
  <c r="H3673" i="2" s="1"/>
  <c r="E3674" i="2"/>
  <c r="H3674" i="2" s="1"/>
  <c r="E3675" i="2"/>
  <c r="H3675" i="2" s="1"/>
  <c r="E3676" i="2"/>
  <c r="H3676" i="2" s="1"/>
  <c r="F3664" i="2"/>
  <c r="F3665" i="2"/>
  <c r="F3666" i="2"/>
  <c r="F3667" i="2"/>
  <c r="F3668" i="2"/>
  <c r="F3669" i="2"/>
  <c r="F3670" i="2"/>
  <c r="F3671" i="2"/>
  <c r="F3672" i="2"/>
  <c r="F3673" i="2"/>
  <c r="F3674" i="2"/>
  <c r="F3675" i="2"/>
  <c r="F3676" i="2"/>
  <c r="G3664" i="2"/>
  <c r="G3665" i="2"/>
  <c r="G3666" i="2"/>
  <c r="G3667" i="2"/>
  <c r="G3668" i="2"/>
  <c r="G3669" i="2"/>
  <c r="G3670" i="2"/>
  <c r="G3671" i="2"/>
  <c r="G3672" i="2"/>
  <c r="G3673" i="2"/>
  <c r="G3674" i="2"/>
  <c r="G3675" i="2"/>
  <c r="G3676" i="2"/>
  <c r="I3664" i="2"/>
  <c r="I3665" i="2"/>
  <c r="I3666" i="2"/>
  <c r="I3667" i="2"/>
  <c r="I3668" i="2"/>
  <c r="I3669" i="2"/>
  <c r="I3670" i="2"/>
  <c r="I3671" i="2"/>
  <c r="I3672" i="2"/>
  <c r="I3673" i="2"/>
  <c r="I3674" i="2"/>
  <c r="I3675" i="2"/>
  <c r="I3676" i="2"/>
  <c r="E3649" i="2"/>
  <c r="H3649" i="2" s="1"/>
  <c r="E3650" i="2"/>
  <c r="H3650" i="2" s="1"/>
  <c r="E3651" i="2"/>
  <c r="H3651" i="2" s="1"/>
  <c r="E3652" i="2"/>
  <c r="H3652" i="2" s="1"/>
  <c r="E3653" i="2"/>
  <c r="H3653" i="2" s="1"/>
  <c r="E3654" i="2"/>
  <c r="H3654" i="2" s="1"/>
  <c r="E3655" i="2"/>
  <c r="H3655" i="2" s="1"/>
  <c r="E3656" i="2"/>
  <c r="H3656" i="2" s="1"/>
  <c r="E3657" i="2"/>
  <c r="H3657" i="2" s="1"/>
  <c r="E3658" i="2"/>
  <c r="H3658" i="2" s="1"/>
  <c r="E3659" i="2"/>
  <c r="H3659" i="2" s="1"/>
  <c r="E3660" i="2"/>
  <c r="H3660" i="2" s="1"/>
  <c r="E3661" i="2"/>
  <c r="H3661" i="2" s="1"/>
  <c r="E3662" i="2"/>
  <c r="H3662" i="2" s="1"/>
  <c r="E3663" i="2"/>
  <c r="H3663" i="2" s="1"/>
  <c r="F3649" i="2"/>
  <c r="F3650" i="2"/>
  <c r="F3651" i="2"/>
  <c r="F3652" i="2"/>
  <c r="F3653" i="2"/>
  <c r="F3654" i="2"/>
  <c r="F3655" i="2"/>
  <c r="F3656" i="2"/>
  <c r="F3657" i="2"/>
  <c r="F3658" i="2"/>
  <c r="F3659" i="2"/>
  <c r="F3660" i="2"/>
  <c r="F3661" i="2"/>
  <c r="F3662" i="2"/>
  <c r="F3663" i="2"/>
  <c r="G3649" i="2"/>
  <c r="G3650" i="2"/>
  <c r="G3651" i="2"/>
  <c r="G3652" i="2"/>
  <c r="G3653" i="2"/>
  <c r="G3654" i="2"/>
  <c r="G3655" i="2"/>
  <c r="G3656" i="2"/>
  <c r="G3657" i="2"/>
  <c r="G3658" i="2"/>
  <c r="G3659" i="2"/>
  <c r="G3660" i="2"/>
  <c r="G3661" i="2"/>
  <c r="G3662" i="2"/>
  <c r="G3663" i="2"/>
  <c r="I3649" i="2"/>
  <c r="I3650" i="2"/>
  <c r="I3651" i="2"/>
  <c r="I3652" i="2"/>
  <c r="I3653" i="2"/>
  <c r="I3654" i="2"/>
  <c r="I3655" i="2"/>
  <c r="I3656" i="2"/>
  <c r="I3657" i="2"/>
  <c r="I3658" i="2"/>
  <c r="I3659" i="2"/>
  <c r="I3660" i="2"/>
  <c r="I3661" i="2"/>
  <c r="I3662" i="2"/>
  <c r="I3663" i="2"/>
  <c r="E3628" i="2"/>
  <c r="H3628" i="2" s="1"/>
  <c r="E3629" i="2"/>
  <c r="H3629" i="2" s="1"/>
  <c r="E3630" i="2"/>
  <c r="H3630" i="2" s="1"/>
  <c r="E3631" i="2"/>
  <c r="E3632" i="2"/>
  <c r="H3632" i="2" s="1"/>
  <c r="E3633" i="2"/>
  <c r="H3633" i="2" s="1"/>
  <c r="E3634" i="2"/>
  <c r="H3634" i="2" s="1"/>
  <c r="E3635" i="2"/>
  <c r="H3635" i="2" s="1"/>
  <c r="E3636" i="2"/>
  <c r="H3636" i="2" s="1"/>
  <c r="E3637" i="2"/>
  <c r="H3637" i="2" s="1"/>
  <c r="E3638" i="2"/>
  <c r="H3638" i="2" s="1"/>
  <c r="E3639" i="2"/>
  <c r="H3639" i="2" s="1"/>
  <c r="E3640" i="2"/>
  <c r="H3640" i="2" s="1"/>
  <c r="E3641" i="2"/>
  <c r="H3641" i="2" s="1"/>
  <c r="E3642" i="2"/>
  <c r="H3642" i="2" s="1"/>
  <c r="E3643" i="2"/>
  <c r="H3643" i="2" s="1"/>
  <c r="E3644" i="2"/>
  <c r="H3644" i="2" s="1"/>
  <c r="E3645" i="2"/>
  <c r="H3645" i="2" s="1"/>
  <c r="E3646" i="2"/>
  <c r="H3646" i="2" s="1"/>
  <c r="E3647" i="2"/>
  <c r="H3647" i="2" s="1"/>
  <c r="E3648" i="2"/>
  <c r="H3648" i="2" s="1"/>
  <c r="F3628" i="2"/>
  <c r="F3629" i="2"/>
  <c r="F3630" i="2"/>
  <c r="F3631" i="2"/>
  <c r="F3632" i="2"/>
  <c r="F3633" i="2"/>
  <c r="F3634" i="2"/>
  <c r="F3635" i="2"/>
  <c r="F3636" i="2"/>
  <c r="F3637" i="2"/>
  <c r="F3638" i="2"/>
  <c r="F3639" i="2"/>
  <c r="F3640" i="2"/>
  <c r="F3641" i="2"/>
  <c r="F3642" i="2"/>
  <c r="F3643" i="2"/>
  <c r="F3644" i="2"/>
  <c r="F3645" i="2"/>
  <c r="F3646" i="2"/>
  <c r="F3647" i="2"/>
  <c r="F3648" i="2"/>
  <c r="G3628" i="2"/>
  <c r="G3629" i="2"/>
  <c r="G3630" i="2"/>
  <c r="G3631" i="2"/>
  <c r="G3632" i="2"/>
  <c r="G3633" i="2"/>
  <c r="G3634" i="2"/>
  <c r="G3635" i="2"/>
  <c r="G3636" i="2"/>
  <c r="G3637" i="2"/>
  <c r="G3638" i="2"/>
  <c r="G3639" i="2"/>
  <c r="G3640" i="2"/>
  <c r="G3641" i="2"/>
  <c r="G3642" i="2"/>
  <c r="G3643" i="2"/>
  <c r="G3644" i="2"/>
  <c r="G3645" i="2"/>
  <c r="G3646" i="2"/>
  <c r="G3647" i="2"/>
  <c r="G3648" i="2"/>
  <c r="H3631" i="2"/>
  <c r="I3628" i="2"/>
  <c r="I3629" i="2"/>
  <c r="I3630" i="2"/>
  <c r="I3631" i="2"/>
  <c r="I3632" i="2"/>
  <c r="I3633" i="2"/>
  <c r="I3634" i="2"/>
  <c r="I3635" i="2"/>
  <c r="I3636" i="2"/>
  <c r="I3637" i="2"/>
  <c r="I3638" i="2"/>
  <c r="I3639" i="2"/>
  <c r="I3640" i="2"/>
  <c r="I3641" i="2"/>
  <c r="I3642" i="2"/>
  <c r="I3643" i="2"/>
  <c r="I3644" i="2"/>
  <c r="I3645" i="2"/>
  <c r="I3646" i="2"/>
  <c r="I3647" i="2"/>
  <c r="I3648" i="2"/>
  <c r="E3607" i="2"/>
  <c r="H3607" i="2" s="1"/>
  <c r="E3608" i="2"/>
  <c r="H3608" i="2" s="1"/>
  <c r="E3609" i="2"/>
  <c r="H3609" i="2" s="1"/>
  <c r="E3610" i="2"/>
  <c r="H3610" i="2" s="1"/>
  <c r="E3611" i="2"/>
  <c r="H3611" i="2" s="1"/>
  <c r="E3612" i="2"/>
  <c r="H3612" i="2" s="1"/>
  <c r="E3613" i="2"/>
  <c r="H3613" i="2" s="1"/>
  <c r="E3614" i="2"/>
  <c r="H3614" i="2" s="1"/>
  <c r="E3615" i="2"/>
  <c r="H3615" i="2" s="1"/>
  <c r="E3616" i="2"/>
  <c r="H3616" i="2" s="1"/>
  <c r="E3617" i="2"/>
  <c r="H3617" i="2" s="1"/>
  <c r="E3618" i="2"/>
  <c r="H3618" i="2" s="1"/>
  <c r="E3619" i="2"/>
  <c r="H3619" i="2" s="1"/>
  <c r="E3620" i="2"/>
  <c r="H3620" i="2" s="1"/>
  <c r="E3621" i="2"/>
  <c r="H3621" i="2" s="1"/>
  <c r="E3622" i="2"/>
  <c r="H3622" i="2" s="1"/>
  <c r="E3623" i="2"/>
  <c r="H3623" i="2" s="1"/>
  <c r="E3624" i="2"/>
  <c r="H3624" i="2" s="1"/>
  <c r="E3625" i="2"/>
  <c r="H3625" i="2" s="1"/>
  <c r="E3626" i="2"/>
  <c r="H3626" i="2" s="1"/>
  <c r="E3627" i="2"/>
  <c r="H3627" i="2" s="1"/>
  <c r="F3607" i="2"/>
  <c r="F3608" i="2"/>
  <c r="F3609" i="2"/>
  <c r="F3610" i="2"/>
  <c r="F3611" i="2"/>
  <c r="F3612" i="2"/>
  <c r="F3613" i="2"/>
  <c r="F3614" i="2"/>
  <c r="F3615" i="2"/>
  <c r="F3616" i="2"/>
  <c r="F3617" i="2"/>
  <c r="F3618" i="2"/>
  <c r="F3619" i="2"/>
  <c r="F3620" i="2"/>
  <c r="F3621" i="2"/>
  <c r="F3622" i="2"/>
  <c r="F3623" i="2"/>
  <c r="F3624" i="2"/>
  <c r="F3625" i="2"/>
  <c r="F3626" i="2"/>
  <c r="F3627" i="2"/>
  <c r="G3607" i="2"/>
  <c r="G3608" i="2"/>
  <c r="G3609" i="2"/>
  <c r="G3610" i="2"/>
  <c r="G3611" i="2"/>
  <c r="G3612" i="2"/>
  <c r="G3613" i="2"/>
  <c r="G3614" i="2"/>
  <c r="G3615" i="2"/>
  <c r="G3616" i="2"/>
  <c r="G3617" i="2"/>
  <c r="G3618" i="2"/>
  <c r="G3619" i="2"/>
  <c r="G3620" i="2"/>
  <c r="G3621" i="2"/>
  <c r="G3622" i="2"/>
  <c r="G3623" i="2"/>
  <c r="G3624" i="2"/>
  <c r="G3625" i="2"/>
  <c r="G3626" i="2"/>
  <c r="G3627" i="2"/>
  <c r="I3607" i="2"/>
  <c r="I3608" i="2"/>
  <c r="I3609" i="2"/>
  <c r="I3610" i="2"/>
  <c r="I3611" i="2"/>
  <c r="I3612" i="2"/>
  <c r="I3613" i="2"/>
  <c r="I3614" i="2"/>
  <c r="I3615" i="2"/>
  <c r="I3616" i="2"/>
  <c r="I3617" i="2"/>
  <c r="I3618" i="2"/>
  <c r="I3619" i="2"/>
  <c r="I3620" i="2"/>
  <c r="I3621" i="2"/>
  <c r="I3622" i="2"/>
  <c r="I3623" i="2"/>
  <c r="I3624" i="2"/>
  <c r="I3625" i="2"/>
  <c r="I3626" i="2"/>
  <c r="I3627" i="2"/>
  <c r="C52" i="4"/>
  <c r="D52" i="4" s="1"/>
  <c r="E52" i="4" s="1"/>
  <c r="E3593" i="2"/>
  <c r="H3593" i="2" s="1"/>
  <c r="E3594" i="2"/>
  <c r="H3594" i="2" s="1"/>
  <c r="E3595" i="2"/>
  <c r="H3595" i="2" s="1"/>
  <c r="E3596" i="2"/>
  <c r="H3596" i="2" s="1"/>
  <c r="E3597" i="2"/>
  <c r="H3597" i="2" s="1"/>
  <c r="E3598" i="2"/>
  <c r="H3598" i="2" s="1"/>
  <c r="E3599" i="2"/>
  <c r="H3599" i="2" s="1"/>
  <c r="E3600" i="2"/>
  <c r="H3600" i="2" s="1"/>
  <c r="E3601" i="2"/>
  <c r="H3601" i="2" s="1"/>
  <c r="E3602" i="2"/>
  <c r="H3602" i="2" s="1"/>
  <c r="E3603" i="2"/>
  <c r="H3603" i="2" s="1"/>
  <c r="E3604" i="2"/>
  <c r="H3604" i="2" s="1"/>
  <c r="E3605" i="2"/>
  <c r="H3605" i="2" s="1"/>
  <c r="E3606" i="2"/>
  <c r="H3606" i="2" s="1"/>
  <c r="F3593" i="2"/>
  <c r="F3594" i="2"/>
  <c r="F3595" i="2"/>
  <c r="F3596" i="2"/>
  <c r="F3597" i="2"/>
  <c r="F3598" i="2"/>
  <c r="F3599" i="2"/>
  <c r="F3600" i="2"/>
  <c r="F3601" i="2"/>
  <c r="F3602" i="2"/>
  <c r="F3603" i="2"/>
  <c r="F3604" i="2"/>
  <c r="F3605" i="2"/>
  <c r="F3606" i="2"/>
  <c r="G3593" i="2"/>
  <c r="G3594" i="2"/>
  <c r="G3595" i="2"/>
  <c r="G3596" i="2"/>
  <c r="G3597" i="2"/>
  <c r="G3598" i="2"/>
  <c r="G3599" i="2"/>
  <c r="G3600" i="2"/>
  <c r="G3601" i="2"/>
  <c r="G3602" i="2"/>
  <c r="G3603" i="2"/>
  <c r="G3604" i="2"/>
  <c r="G3605" i="2"/>
  <c r="G3606" i="2"/>
  <c r="I3593" i="2"/>
  <c r="I3594" i="2"/>
  <c r="I3595" i="2"/>
  <c r="I3596" i="2"/>
  <c r="I3597" i="2"/>
  <c r="I3598" i="2"/>
  <c r="I3599" i="2"/>
  <c r="I3600" i="2"/>
  <c r="I3601" i="2"/>
  <c r="I3602" i="2"/>
  <c r="I3603" i="2"/>
  <c r="I3604" i="2"/>
  <c r="I3605" i="2"/>
  <c r="I3606" i="2"/>
  <c r="E3574" i="2"/>
  <c r="H3574" i="2" s="1"/>
  <c r="E3575" i="2"/>
  <c r="H3575" i="2" s="1"/>
  <c r="E3576" i="2"/>
  <c r="H3576" i="2" s="1"/>
  <c r="E3577" i="2"/>
  <c r="H3577" i="2" s="1"/>
  <c r="E3578" i="2"/>
  <c r="H3578" i="2" s="1"/>
  <c r="E3579" i="2"/>
  <c r="H3579" i="2" s="1"/>
  <c r="E3580" i="2"/>
  <c r="H3580" i="2" s="1"/>
  <c r="E3581" i="2"/>
  <c r="H3581" i="2" s="1"/>
  <c r="E3582" i="2"/>
  <c r="H3582" i="2" s="1"/>
  <c r="E3583" i="2"/>
  <c r="H3583" i="2" s="1"/>
  <c r="E3584" i="2"/>
  <c r="H3584" i="2" s="1"/>
  <c r="E3585" i="2"/>
  <c r="H3585" i="2" s="1"/>
  <c r="E3586" i="2"/>
  <c r="H3586" i="2" s="1"/>
  <c r="E3587" i="2"/>
  <c r="H3587" i="2" s="1"/>
  <c r="E3588" i="2"/>
  <c r="H3588" i="2" s="1"/>
  <c r="E3589" i="2"/>
  <c r="H3589" i="2" s="1"/>
  <c r="E3590" i="2"/>
  <c r="H3590" i="2" s="1"/>
  <c r="E3591" i="2"/>
  <c r="H3591" i="2" s="1"/>
  <c r="E3592" i="2"/>
  <c r="H3592" i="2" s="1"/>
  <c r="F3574" i="2"/>
  <c r="F3575" i="2"/>
  <c r="F3576" i="2"/>
  <c r="F3577" i="2"/>
  <c r="F3578" i="2"/>
  <c r="F3579" i="2"/>
  <c r="F3580" i="2"/>
  <c r="F3581" i="2"/>
  <c r="F3582" i="2"/>
  <c r="F3583" i="2"/>
  <c r="F3584" i="2"/>
  <c r="F3585" i="2"/>
  <c r="F3586" i="2"/>
  <c r="F3587" i="2"/>
  <c r="F3588" i="2"/>
  <c r="F3589" i="2"/>
  <c r="F3590" i="2"/>
  <c r="F3591" i="2"/>
  <c r="F3592" i="2"/>
  <c r="G3574" i="2"/>
  <c r="G3575" i="2"/>
  <c r="G3576" i="2"/>
  <c r="G3577" i="2"/>
  <c r="G3578" i="2"/>
  <c r="G3579" i="2"/>
  <c r="G3580" i="2"/>
  <c r="G3581" i="2"/>
  <c r="G3582" i="2"/>
  <c r="G3583" i="2"/>
  <c r="G3584" i="2"/>
  <c r="G3585" i="2"/>
  <c r="G3586" i="2"/>
  <c r="G3587" i="2"/>
  <c r="G3588" i="2"/>
  <c r="G3589" i="2"/>
  <c r="G3590" i="2"/>
  <c r="G3591" i="2"/>
  <c r="G3592" i="2"/>
  <c r="I3574" i="2"/>
  <c r="I3575" i="2"/>
  <c r="I3576" i="2"/>
  <c r="I3577" i="2"/>
  <c r="I3578" i="2"/>
  <c r="I3579" i="2"/>
  <c r="I3580" i="2"/>
  <c r="I3581" i="2"/>
  <c r="I3582" i="2"/>
  <c r="I3583" i="2"/>
  <c r="I3584" i="2"/>
  <c r="I3585" i="2"/>
  <c r="I3586" i="2"/>
  <c r="I3587" i="2"/>
  <c r="I3588" i="2"/>
  <c r="I3589" i="2"/>
  <c r="I3590" i="2"/>
  <c r="I3591" i="2"/>
  <c r="I3592" i="2"/>
  <c r="E3551" i="2"/>
  <c r="H3551" i="2" s="1"/>
  <c r="E3552" i="2"/>
  <c r="H3552" i="2" s="1"/>
  <c r="E3553" i="2"/>
  <c r="H3553" i="2" s="1"/>
  <c r="E3554" i="2"/>
  <c r="H3554" i="2" s="1"/>
  <c r="E3555" i="2"/>
  <c r="H3555" i="2" s="1"/>
  <c r="E3556" i="2"/>
  <c r="H3556" i="2" s="1"/>
  <c r="E3557" i="2"/>
  <c r="H3557" i="2" s="1"/>
  <c r="E3558" i="2"/>
  <c r="H3558" i="2" s="1"/>
  <c r="E3559" i="2"/>
  <c r="H3559" i="2" s="1"/>
  <c r="E3560" i="2"/>
  <c r="H3560" i="2" s="1"/>
  <c r="E3561" i="2"/>
  <c r="H3561" i="2" s="1"/>
  <c r="E3562" i="2"/>
  <c r="H3562" i="2" s="1"/>
  <c r="E3563" i="2"/>
  <c r="H3563" i="2" s="1"/>
  <c r="E3564" i="2"/>
  <c r="H3564" i="2" s="1"/>
  <c r="E3565" i="2"/>
  <c r="H3565" i="2" s="1"/>
  <c r="E3566" i="2"/>
  <c r="H3566" i="2" s="1"/>
  <c r="E3567" i="2"/>
  <c r="H3567" i="2" s="1"/>
  <c r="E3568" i="2"/>
  <c r="H3568" i="2" s="1"/>
  <c r="E3569" i="2"/>
  <c r="H3569" i="2" s="1"/>
  <c r="E3570" i="2"/>
  <c r="H3570" i="2" s="1"/>
  <c r="E3571" i="2"/>
  <c r="H3571" i="2" s="1"/>
  <c r="E3572" i="2"/>
  <c r="H3572" i="2" s="1"/>
  <c r="E3573" i="2"/>
  <c r="H3573" i="2" s="1"/>
  <c r="F3551" i="2"/>
  <c r="F3552" i="2"/>
  <c r="F3553" i="2"/>
  <c r="F3554" i="2"/>
  <c r="F3555" i="2"/>
  <c r="F3556" i="2"/>
  <c r="F3557" i="2"/>
  <c r="F3558" i="2"/>
  <c r="F3559" i="2"/>
  <c r="F3560" i="2"/>
  <c r="F3561" i="2"/>
  <c r="F3562" i="2"/>
  <c r="F3563" i="2"/>
  <c r="F3564" i="2"/>
  <c r="F3565" i="2"/>
  <c r="F3566" i="2"/>
  <c r="F3567" i="2"/>
  <c r="F3568" i="2"/>
  <c r="F3569" i="2"/>
  <c r="F3570" i="2"/>
  <c r="F3571" i="2"/>
  <c r="F3572" i="2"/>
  <c r="F3573" i="2"/>
  <c r="G3551" i="2"/>
  <c r="G3552" i="2"/>
  <c r="G3553" i="2"/>
  <c r="G3554" i="2"/>
  <c r="G3555" i="2"/>
  <c r="G3556" i="2"/>
  <c r="G3557" i="2"/>
  <c r="G3558" i="2"/>
  <c r="G3559" i="2"/>
  <c r="G3560" i="2"/>
  <c r="G3561" i="2"/>
  <c r="G3562" i="2"/>
  <c r="G3563" i="2"/>
  <c r="G3564" i="2"/>
  <c r="G3565" i="2"/>
  <c r="G3566" i="2"/>
  <c r="G3567" i="2"/>
  <c r="G3568" i="2"/>
  <c r="G3569" i="2"/>
  <c r="G3570" i="2"/>
  <c r="G3571" i="2"/>
  <c r="G3572" i="2"/>
  <c r="G3573" i="2"/>
  <c r="I3551" i="2"/>
  <c r="I3552" i="2"/>
  <c r="I3553" i="2"/>
  <c r="I3554" i="2"/>
  <c r="I3555" i="2"/>
  <c r="I3556" i="2"/>
  <c r="I3557" i="2"/>
  <c r="I3558" i="2"/>
  <c r="I3559" i="2"/>
  <c r="I3560" i="2"/>
  <c r="I3561" i="2"/>
  <c r="I3562" i="2"/>
  <c r="I3563" i="2"/>
  <c r="I3564" i="2"/>
  <c r="I3565" i="2"/>
  <c r="I3566" i="2"/>
  <c r="I3567" i="2"/>
  <c r="I3568" i="2"/>
  <c r="I3569" i="2"/>
  <c r="I3570" i="2"/>
  <c r="I3571" i="2"/>
  <c r="I3572" i="2"/>
  <c r="I3573" i="2"/>
  <c r="C144" i="4"/>
  <c r="D144" i="4" s="1"/>
  <c r="E144" i="4" s="1"/>
  <c r="E3522" i="2"/>
  <c r="H3522" i="2" s="1"/>
  <c r="E3523" i="2"/>
  <c r="H3523" i="2" s="1"/>
  <c r="E3524" i="2"/>
  <c r="H3524" i="2" s="1"/>
  <c r="E3525" i="2"/>
  <c r="H3525" i="2" s="1"/>
  <c r="E3526" i="2"/>
  <c r="H3526" i="2" s="1"/>
  <c r="E3527" i="2"/>
  <c r="H3527" i="2" s="1"/>
  <c r="E3528" i="2"/>
  <c r="H3528" i="2" s="1"/>
  <c r="E3529" i="2"/>
  <c r="H3529" i="2" s="1"/>
  <c r="E3530" i="2"/>
  <c r="H3530" i="2" s="1"/>
  <c r="E3531" i="2"/>
  <c r="H3531" i="2" s="1"/>
  <c r="E3532" i="2"/>
  <c r="H3532" i="2" s="1"/>
  <c r="E3533" i="2"/>
  <c r="H3533" i="2" s="1"/>
  <c r="E3534" i="2"/>
  <c r="H3534" i="2" s="1"/>
  <c r="E3535" i="2"/>
  <c r="H3535" i="2" s="1"/>
  <c r="E3536" i="2"/>
  <c r="H3536" i="2" s="1"/>
  <c r="E3537" i="2"/>
  <c r="H3537" i="2" s="1"/>
  <c r="E3538" i="2"/>
  <c r="H3538" i="2" s="1"/>
  <c r="E3539" i="2"/>
  <c r="H3539" i="2" s="1"/>
  <c r="E3540" i="2"/>
  <c r="H3540" i="2" s="1"/>
  <c r="E3541" i="2"/>
  <c r="H3541" i="2" s="1"/>
  <c r="E3542" i="2"/>
  <c r="H3542" i="2" s="1"/>
  <c r="E3543" i="2"/>
  <c r="H3543" i="2" s="1"/>
  <c r="E3544" i="2"/>
  <c r="H3544" i="2" s="1"/>
  <c r="E3545" i="2"/>
  <c r="H3545" i="2" s="1"/>
  <c r="E3546" i="2"/>
  <c r="H3546" i="2" s="1"/>
  <c r="E3547" i="2"/>
  <c r="H3547" i="2" s="1"/>
  <c r="E3548" i="2"/>
  <c r="H3548" i="2" s="1"/>
  <c r="E3549" i="2"/>
  <c r="H3549" i="2" s="1"/>
  <c r="E3550" i="2"/>
  <c r="H3550" i="2" s="1"/>
  <c r="F3522" i="2"/>
  <c r="F3523" i="2"/>
  <c r="F3524" i="2"/>
  <c r="F3525" i="2"/>
  <c r="F3526" i="2"/>
  <c r="F3527" i="2"/>
  <c r="F3528" i="2"/>
  <c r="F3529" i="2"/>
  <c r="F3530" i="2"/>
  <c r="F3531" i="2"/>
  <c r="F3532" i="2"/>
  <c r="F3533" i="2"/>
  <c r="F3534" i="2"/>
  <c r="F3535" i="2"/>
  <c r="F3536" i="2"/>
  <c r="F3537" i="2"/>
  <c r="F3538" i="2"/>
  <c r="F3539" i="2"/>
  <c r="F3540" i="2"/>
  <c r="F3541" i="2"/>
  <c r="F3542" i="2"/>
  <c r="F3543" i="2"/>
  <c r="F3544" i="2"/>
  <c r="F3545" i="2"/>
  <c r="F3546" i="2"/>
  <c r="F3547" i="2"/>
  <c r="F3548" i="2"/>
  <c r="F3549" i="2"/>
  <c r="F3550" i="2"/>
  <c r="G3522" i="2"/>
  <c r="G3523" i="2"/>
  <c r="G3524" i="2"/>
  <c r="G3525" i="2"/>
  <c r="G3526" i="2"/>
  <c r="G3527" i="2"/>
  <c r="G3528" i="2"/>
  <c r="G3529" i="2"/>
  <c r="G3530" i="2"/>
  <c r="G3531" i="2"/>
  <c r="G3532" i="2"/>
  <c r="G3533" i="2"/>
  <c r="G3534" i="2"/>
  <c r="G3535" i="2"/>
  <c r="G3536" i="2"/>
  <c r="G3537" i="2"/>
  <c r="G3538" i="2"/>
  <c r="G3539" i="2"/>
  <c r="G3540" i="2"/>
  <c r="G3541" i="2"/>
  <c r="G3542" i="2"/>
  <c r="G3543" i="2"/>
  <c r="G3544" i="2"/>
  <c r="G3545" i="2"/>
  <c r="G3546" i="2"/>
  <c r="G3547" i="2"/>
  <c r="G3548" i="2"/>
  <c r="G3549" i="2"/>
  <c r="G3550" i="2"/>
  <c r="I3522" i="2"/>
  <c r="I3523" i="2"/>
  <c r="I3524" i="2"/>
  <c r="I3525" i="2"/>
  <c r="I3526" i="2"/>
  <c r="I3527" i="2"/>
  <c r="I3528" i="2"/>
  <c r="I3529" i="2"/>
  <c r="I3530" i="2"/>
  <c r="I3531" i="2"/>
  <c r="I3532" i="2"/>
  <c r="I3533" i="2"/>
  <c r="I3534" i="2"/>
  <c r="I3535" i="2"/>
  <c r="I3536" i="2"/>
  <c r="I3537" i="2"/>
  <c r="I3538" i="2"/>
  <c r="I3539" i="2"/>
  <c r="I3540" i="2"/>
  <c r="I3541" i="2"/>
  <c r="I3542" i="2"/>
  <c r="I3543" i="2"/>
  <c r="I3544" i="2"/>
  <c r="I3545" i="2"/>
  <c r="I3546" i="2"/>
  <c r="I3547" i="2"/>
  <c r="I3548" i="2"/>
  <c r="I3549" i="2"/>
  <c r="I3550" i="2"/>
  <c r="E3495" i="2"/>
  <c r="H3495" i="2" s="1"/>
  <c r="E3498" i="2"/>
  <c r="H3498" i="2" s="1"/>
  <c r="E3497" i="2"/>
  <c r="H3497" i="2" s="1"/>
  <c r="E3518" i="2"/>
  <c r="H3518" i="2" s="1"/>
  <c r="E3499" i="2"/>
  <c r="H3499" i="2" s="1"/>
  <c r="E3500" i="2"/>
  <c r="H3500" i="2" s="1"/>
  <c r="E3501" i="2"/>
  <c r="H3501" i="2" s="1"/>
  <c r="E3502" i="2"/>
  <c r="H3502" i="2" s="1"/>
  <c r="E3503" i="2"/>
  <c r="H3503" i="2" s="1"/>
  <c r="E3504" i="2"/>
  <c r="H3504" i="2" s="1"/>
  <c r="E3505" i="2"/>
  <c r="H3505" i="2" s="1"/>
  <c r="E3506" i="2"/>
  <c r="H3506" i="2" s="1"/>
  <c r="E3507" i="2"/>
  <c r="H3507" i="2" s="1"/>
  <c r="E3508" i="2"/>
  <c r="H3508" i="2" s="1"/>
  <c r="E3509" i="2"/>
  <c r="H3509" i="2" s="1"/>
  <c r="E3510" i="2"/>
  <c r="H3510" i="2" s="1"/>
  <c r="E3511" i="2"/>
  <c r="H3511" i="2" s="1"/>
  <c r="E3512" i="2"/>
  <c r="H3512" i="2" s="1"/>
  <c r="E3513" i="2"/>
  <c r="H3513" i="2" s="1"/>
  <c r="E3514" i="2"/>
  <c r="H3514" i="2" s="1"/>
  <c r="E3515" i="2"/>
  <c r="H3515" i="2" s="1"/>
  <c r="E3516" i="2"/>
  <c r="H3516" i="2" s="1"/>
  <c r="E3517" i="2"/>
  <c r="H3517" i="2" s="1"/>
  <c r="E3496" i="2"/>
  <c r="H3496" i="2" s="1"/>
  <c r="E3519" i="2"/>
  <c r="H3519" i="2" s="1"/>
  <c r="E3520" i="2"/>
  <c r="H3520" i="2" s="1"/>
  <c r="E3521" i="2"/>
  <c r="H3521" i="2" s="1"/>
  <c r="F3495" i="2"/>
  <c r="F3498" i="2"/>
  <c r="F3497" i="2"/>
  <c r="F3518" i="2"/>
  <c r="F3499" i="2"/>
  <c r="F3500" i="2"/>
  <c r="F3501" i="2"/>
  <c r="F3502" i="2"/>
  <c r="F3503" i="2"/>
  <c r="F3504" i="2"/>
  <c r="F3505" i="2"/>
  <c r="F3506" i="2"/>
  <c r="F3507" i="2"/>
  <c r="F3508" i="2"/>
  <c r="F3509" i="2"/>
  <c r="F3510" i="2"/>
  <c r="F3511" i="2"/>
  <c r="F3512" i="2"/>
  <c r="F3513" i="2"/>
  <c r="F3514" i="2"/>
  <c r="F3515" i="2"/>
  <c r="F3516" i="2"/>
  <c r="F3517" i="2"/>
  <c r="F3496" i="2"/>
  <c r="F3519" i="2"/>
  <c r="F3520" i="2"/>
  <c r="F3521" i="2"/>
  <c r="G3495" i="2"/>
  <c r="G3498" i="2"/>
  <c r="G3497" i="2"/>
  <c r="G3518" i="2"/>
  <c r="G3499" i="2"/>
  <c r="G3500" i="2"/>
  <c r="G3501" i="2"/>
  <c r="G3502" i="2"/>
  <c r="G3503" i="2"/>
  <c r="G3504" i="2"/>
  <c r="G3505" i="2"/>
  <c r="G3506" i="2"/>
  <c r="G3507" i="2"/>
  <c r="G3508" i="2"/>
  <c r="G3509" i="2"/>
  <c r="G3510" i="2"/>
  <c r="G3511" i="2"/>
  <c r="G3512" i="2"/>
  <c r="G3513" i="2"/>
  <c r="G3514" i="2"/>
  <c r="G3515" i="2"/>
  <c r="G3516" i="2"/>
  <c r="G3517" i="2"/>
  <c r="G3496" i="2"/>
  <c r="G3519" i="2"/>
  <c r="G3520" i="2"/>
  <c r="G3521" i="2"/>
  <c r="I3495" i="2"/>
  <c r="I3498" i="2"/>
  <c r="I3497" i="2"/>
  <c r="I3518" i="2"/>
  <c r="I3499" i="2"/>
  <c r="I3500" i="2"/>
  <c r="I3501" i="2"/>
  <c r="I3502" i="2"/>
  <c r="I3503" i="2"/>
  <c r="I3504" i="2"/>
  <c r="I3505" i="2"/>
  <c r="I3506" i="2"/>
  <c r="I3507" i="2"/>
  <c r="I3508" i="2"/>
  <c r="I3509" i="2"/>
  <c r="I3510" i="2"/>
  <c r="I3511" i="2"/>
  <c r="I3512" i="2"/>
  <c r="I3513" i="2"/>
  <c r="I3514" i="2"/>
  <c r="I3515" i="2"/>
  <c r="I3516" i="2"/>
  <c r="I3517" i="2"/>
  <c r="I3496" i="2"/>
  <c r="I3519" i="2"/>
  <c r="I3520" i="2"/>
  <c r="I3521" i="2"/>
  <c r="E3479" i="2"/>
  <c r="H3479" i="2" s="1"/>
  <c r="E3480" i="2"/>
  <c r="H3480" i="2" s="1"/>
  <c r="E3481" i="2"/>
  <c r="H3481" i="2" s="1"/>
  <c r="E3482" i="2"/>
  <c r="H3482" i="2" s="1"/>
  <c r="E3483" i="2"/>
  <c r="H3483" i="2" s="1"/>
  <c r="E3484" i="2"/>
  <c r="H3484" i="2" s="1"/>
  <c r="E3485" i="2"/>
  <c r="H3485" i="2" s="1"/>
  <c r="E3486" i="2"/>
  <c r="H3486" i="2" s="1"/>
  <c r="E3487" i="2"/>
  <c r="H3487" i="2" s="1"/>
  <c r="E3488" i="2"/>
  <c r="H3488" i="2" s="1"/>
  <c r="E3489" i="2"/>
  <c r="H3489" i="2" s="1"/>
  <c r="E3490" i="2"/>
  <c r="H3490" i="2" s="1"/>
  <c r="E3491" i="2"/>
  <c r="H3491" i="2" s="1"/>
  <c r="E3492" i="2"/>
  <c r="H3492" i="2" s="1"/>
  <c r="E3493" i="2"/>
  <c r="H3493" i="2" s="1"/>
  <c r="E3494" i="2"/>
  <c r="H3494" i="2" s="1"/>
  <c r="F3479" i="2"/>
  <c r="F3480" i="2"/>
  <c r="F3481" i="2"/>
  <c r="F3482" i="2"/>
  <c r="F3483" i="2"/>
  <c r="F3484" i="2"/>
  <c r="F3485" i="2"/>
  <c r="F3486" i="2"/>
  <c r="F3487" i="2"/>
  <c r="F3488" i="2"/>
  <c r="F3489" i="2"/>
  <c r="F3490" i="2"/>
  <c r="F3491" i="2"/>
  <c r="F3492" i="2"/>
  <c r="F3493" i="2"/>
  <c r="F3494" i="2"/>
  <c r="G3479" i="2"/>
  <c r="G3480" i="2"/>
  <c r="G3481" i="2"/>
  <c r="G3482" i="2"/>
  <c r="G3483" i="2"/>
  <c r="G3484" i="2"/>
  <c r="G3485" i="2"/>
  <c r="G3486" i="2"/>
  <c r="G3487" i="2"/>
  <c r="G3488" i="2"/>
  <c r="G3489" i="2"/>
  <c r="G3490" i="2"/>
  <c r="G3491" i="2"/>
  <c r="G3492" i="2"/>
  <c r="G3493" i="2"/>
  <c r="G3494" i="2"/>
  <c r="I3479" i="2"/>
  <c r="I3480" i="2"/>
  <c r="I3481" i="2"/>
  <c r="I3482" i="2"/>
  <c r="I3483" i="2"/>
  <c r="I3484" i="2"/>
  <c r="I3485" i="2"/>
  <c r="I3486" i="2"/>
  <c r="I3487" i="2"/>
  <c r="I3488" i="2"/>
  <c r="I3489" i="2"/>
  <c r="I3490" i="2"/>
  <c r="I3491" i="2"/>
  <c r="I3492" i="2"/>
  <c r="I3493" i="2"/>
  <c r="I3494" i="2"/>
  <c r="E3461" i="2"/>
  <c r="H3461" i="2" s="1"/>
  <c r="E3462" i="2"/>
  <c r="H3462" i="2" s="1"/>
  <c r="E3463" i="2"/>
  <c r="E3464" i="2"/>
  <c r="E3465" i="2"/>
  <c r="H3465" i="2" s="1"/>
  <c r="E3466" i="2"/>
  <c r="H3466" i="2" s="1"/>
  <c r="E3467" i="2"/>
  <c r="H3467" i="2" s="1"/>
  <c r="E3468" i="2"/>
  <c r="H3468" i="2" s="1"/>
  <c r="E3469" i="2"/>
  <c r="H3469" i="2" s="1"/>
  <c r="E3470" i="2"/>
  <c r="H3470" i="2" s="1"/>
  <c r="E3471" i="2"/>
  <c r="H3471" i="2" s="1"/>
  <c r="E3472" i="2"/>
  <c r="H3472" i="2" s="1"/>
  <c r="E3473" i="2"/>
  <c r="H3473" i="2" s="1"/>
  <c r="E3474" i="2"/>
  <c r="H3474" i="2" s="1"/>
  <c r="E3475" i="2"/>
  <c r="H3475" i="2" s="1"/>
  <c r="E3476" i="2"/>
  <c r="H3476" i="2" s="1"/>
  <c r="E3477" i="2"/>
  <c r="H3477" i="2" s="1"/>
  <c r="E3478" i="2"/>
  <c r="H3478" i="2" s="1"/>
  <c r="F3461" i="2"/>
  <c r="F3462" i="2"/>
  <c r="F3463" i="2"/>
  <c r="F3464" i="2"/>
  <c r="F3465" i="2"/>
  <c r="F3466" i="2"/>
  <c r="F3467" i="2"/>
  <c r="F3468" i="2"/>
  <c r="F3469" i="2"/>
  <c r="F3470" i="2"/>
  <c r="F3471" i="2"/>
  <c r="F3472" i="2"/>
  <c r="F3473" i="2"/>
  <c r="F3474" i="2"/>
  <c r="F3475" i="2"/>
  <c r="F3476" i="2"/>
  <c r="F3477" i="2"/>
  <c r="F3478" i="2"/>
  <c r="G3461" i="2"/>
  <c r="G3462" i="2"/>
  <c r="G3463" i="2"/>
  <c r="G3464" i="2"/>
  <c r="G3465" i="2"/>
  <c r="G3466" i="2"/>
  <c r="G3467" i="2"/>
  <c r="G3468" i="2"/>
  <c r="G3469" i="2"/>
  <c r="G3470" i="2"/>
  <c r="G3471" i="2"/>
  <c r="G3472" i="2"/>
  <c r="G3473" i="2"/>
  <c r="G3474" i="2"/>
  <c r="G3475" i="2"/>
  <c r="G3476" i="2"/>
  <c r="G3477" i="2"/>
  <c r="G3478" i="2"/>
  <c r="H3463" i="2"/>
  <c r="H3464" i="2"/>
  <c r="I3461" i="2"/>
  <c r="I3462" i="2"/>
  <c r="I3463" i="2"/>
  <c r="I3464" i="2"/>
  <c r="I3465" i="2"/>
  <c r="I3466" i="2"/>
  <c r="I3467" i="2"/>
  <c r="I3468" i="2"/>
  <c r="I3469" i="2"/>
  <c r="I3470" i="2"/>
  <c r="I3471" i="2"/>
  <c r="I3472" i="2"/>
  <c r="I3473" i="2"/>
  <c r="I3474" i="2"/>
  <c r="I3475" i="2"/>
  <c r="I3476" i="2"/>
  <c r="I3477" i="2"/>
  <c r="I3478" i="2"/>
  <c r="E3443" i="2"/>
  <c r="H3443" i="2" s="1"/>
  <c r="E3444" i="2"/>
  <c r="H3444" i="2" s="1"/>
  <c r="E3445" i="2"/>
  <c r="H3445" i="2" s="1"/>
  <c r="E3446" i="2"/>
  <c r="H3446" i="2" s="1"/>
  <c r="E3447" i="2"/>
  <c r="H3447" i="2" s="1"/>
  <c r="E3448" i="2"/>
  <c r="H3448" i="2" s="1"/>
  <c r="E3449" i="2"/>
  <c r="H3449" i="2" s="1"/>
  <c r="E3450" i="2"/>
  <c r="H3450" i="2" s="1"/>
  <c r="E3451" i="2"/>
  <c r="H3451" i="2" s="1"/>
  <c r="E3452" i="2"/>
  <c r="H3452" i="2" s="1"/>
  <c r="E3453" i="2"/>
  <c r="H3453" i="2" s="1"/>
  <c r="E3454" i="2"/>
  <c r="H3454" i="2" s="1"/>
  <c r="E3455" i="2"/>
  <c r="H3455" i="2" s="1"/>
  <c r="E3456" i="2"/>
  <c r="H3456" i="2" s="1"/>
  <c r="E3457" i="2"/>
  <c r="H3457" i="2" s="1"/>
  <c r="E3458" i="2"/>
  <c r="H3458" i="2" s="1"/>
  <c r="E3459" i="2"/>
  <c r="H3459" i="2" s="1"/>
  <c r="E3460" i="2"/>
  <c r="H3460" i="2" s="1"/>
  <c r="F3443" i="2"/>
  <c r="F3444" i="2"/>
  <c r="F3445" i="2"/>
  <c r="F3446" i="2"/>
  <c r="F3447" i="2"/>
  <c r="F3448" i="2"/>
  <c r="F3449" i="2"/>
  <c r="F3450" i="2"/>
  <c r="F3451" i="2"/>
  <c r="F3452" i="2"/>
  <c r="F3453" i="2"/>
  <c r="F3454" i="2"/>
  <c r="F3455" i="2"/>
  <c r="F3456" i="2"/>
  <c r="F3457" i="2"/>
  <c r="F3458" i="2"/>
  <c r="F3459" i="2"/>
  <c r="F3460" i="2"/>
  <c r="G3443" i="2"/>
  <c r="G3444" i="2"/>
  <c r="G3445" i="2"/>
  <c r="G3446" i="2"/>
  <c r="G3447" i="2"/>
  <c r="G3448" i="2"/>
  <c r="G3449" i="2"/>
  <c r="G3450" i="2"/>
  <c r="G3451" i="2"/>
  <c r="G3452" i="2"/>
  <c r="G3453" i="2"/>
  <c r="G3454" i="2"/>
  <c r="G3455" i="2"/>
  <c r="G3456" i="2"/>
  <c r="G3457" i="2"/>
  <c r="G3458" i="2"/>
  <c r="G3459" i="2"/>
  <c r="G3460" i="2"/>
  <c r="I3443" i="2"/>
  <c r="I3444" i="2"/>
  <c r="I3445" i="2"/>
  <c r="I3446" i="2"/>
  <c r="I3447" i="2"/>
  <c r="I3448" i="2"/>
  <c r="I3449" i="2"/>
  <c r="I3450" i="2"/>
  <c r="I3451" i="2"/>
  <c r="I3452" i="2"/>
  <c r="I3453" i="2"/>
  <c r="I3454" i="2"/>
  <c r="I3455" i="2"/>
  <c r="I3456" i="2"/>
  <c r="I3457" i="2"/>
  <c r="I3458" i="2"/>
  <c r="I3459" i="2"/>
  <c r="I3460" i="2"/>
  <c r="E3412" i="2"/>
  <c r="H3412" i="2" s="1"/>
  <c r="E3413" i="2"/>
  <c r="H3413" i="2" s="1"/>
  <c r="E3414" i="2"/>
  <c r="H3414" i="2" s="1"/>
  <c r="E3415" i="2"/>
  <c r="H3415" i="2" s="1"/>
  <c r="E3416" i="2"/>
  <c r="H3416" i="2" s="1"/>
  <c r="E3417" i="2"/>
  <c r="H3417" i="2" s="1"/>
  <c r="E3418" i="2"/>
  <c r="H3418" i="2" s="1"/>
  <c r="E3419" i="2"/>
  <c r="H3419" i="2" s="1"/>
  <c r="E3420" i="2"/>
  <c r="H3420" i="2" s="1"/>
  <c r="E3421" i="2"/>
  <c r="H3421" i="2" s="1"/>
  <c r="E3422" i="2"/>
  <c r="H3422" i="2" s="1"/>
  <c r="E3423" i="2"/>
  <c r="H3423" i="2" s="1"/>
  <c r="E3424" i="2"/>
  <c r="H3424" i="2" s="1"/>
  <c r="E3425" i="2"/>
  <c r="H3425" i="2" s="1"/>
  <c r="E3426" i="2"/>
  <c r="H3426" i="2" s="1"/>
  <c r="E3427" i="2"/>
  <c r="H3427" i="2" s="1"/>
  <c r="E3428" i="2"/>
  <c r="H3428" i="2" s="1"/>
  <c r="E3429" i="2"/>
  <c r="H3429" i="2" s="1"/>
  <c r="E3430" i="2"/>
  <c r="H3430" i="2" s="1"/>
  <c r="E3431" i="2"/>
  <c r="H3431" i="2" s="1"/>
  <c r="E3432" i="2"/>
  <c r="H3432" i="2" s="1"/>
  <c r="E3433" i="2"/>
  <c r="H3433" i="2" s="1"/>
  <c r="E3434" i="2"/>
  <c r="H3434" i="2" s="1"/>
  <c r="E3435" i="2"/>
  <c r="H3435" i="2" s="1"/>
  <c r="E3436" i="2"/>
  <c r="H3436" i="2" s="1"/>
  <c r="E3437" i="2"/>
  <c r="H3437" i="2" s="1"/>
  <c r="E3438" i="2"/>
  <c r="H3438" i="2" s="1"/>
  <c r="E3439" i="2"/>
  <c r="H3439" i="2" s="1"/>
  <c r="E3440" i="2"/>
  <c r="H3440" i="2" s="1"/>
  <c r="E3441" i="2"/>
  <c r="H3441" i="2" s="1"/>
  <c r="E3442" i="2"/>
  <c r="H3442" i="2" s="1"/>
  <c r="F3412" i="2"/>
  <c r="F3413" i="2"/>
  <c r="F3414" i="2"/>
  <c r="F3415" i="2"/>
  <c r="F3416" i="2"/>
  <c r="F3417" i="2"/>
  <c r="F3418" i="2"/>
  <c r="F3419" i="2"/>
  <c r="F3420" i="2"/>
  <c r="F3421" i="2"/>
  <c r="F3422" i="2"/>
  <c r="F3423" i="2"/>
  <c r="F3424" i="2"/>
  <c r="F3425" i="2"/>
  <c r="F3426" i="2"/>
  <c r="F3427" i="2"/>
  <c r="F3428" i="2"/>
  <c r="F3429" i="2"/>
  <c r="F3430" i="2"/>
  <c r="F3431" i="2"/>
  <c r="F3432" i="2"/>
  <c r="F3433" i="2"/>
  <c r="F3434" i="2"/>
  <c r="F3435" i="2"/>
  <c r="F3436" i="2"/>
  <c r="F3437" i="2"/>
  <c r="F3438" i="2"/>
  <c r="F3439" i="2"/>
  <c r="F3440" i="2"/>
  <c r="F3441" i="2"/>
  <c r="F3442" i="2"/>
  <c r="G3412" i="2"/>
  <c r="G3413" i="2"/>
  <c r="G3414" i="2"/>
  <c r="G3415" i="2"/>
  <c r="G3416" i="2"/>
  <c r="G3417" i="2"/>
  <c r="G3418" i="2"/>
  <c r="G3419" i="2"/>
  <c r="G3420" i="2"/>
  <c r="G3421" i="2"/>
  <c r="G3422" i="2"/>
  <c r="G3423" i="2"/>
  <c r="G3424" i="2"/>
  <c r="G3425" i="2"/>
  <c r="G3426" i="2"/>
  <c r="G3427" i="2"/>
  <c r="G3428" i="2"/>
  <c r="G3429" i="2"/>
  <c r="G3430" i="2"/>
  <c r="G3431" i="2"/>
  <c r="G3432" i="2"/>
  <c r="G3433" i="2"/>
  <c r="G3434" i="2"/>
  <c r="G3435" i="2"/>
  <c r="G3436" i="2"/>
  <c r="G3437" i="2"/>
  <c r="G3438" i="2"/>
  <c r="G3439" i="2"/>
  <c r="G3440" i="2"/>
  <c r="G3441" i="2"/>
  <c r="G3442" i="2"/>
  <c r="I3412" i="2"/>
  <c r="I3413" i="2"/>
  <c r="I3414" i="2"/>
  <c r="I3415" i="2"/>
  <c r="I3416" i="2"/>
  <c r="I3417" i="2"/>
  <c r="I3418" i="2"/>
  <c r="I3419" i="2"/>
  <c r="I3420" i="2"/>
  <c r="I3421" i="2"/>
  <c r="I3422" i="2"/>
  <c r="I3423" i="2"/>
  <c r="I3424" i="2"/>
  <c r="I3425" i="2"/>
  <c r="I3426" i="2"/>
  <c r="I3427" i="2"/>
  <c r="I3428" i="2"/>
  <c r="I3429" i="2"/>
  <c r="I3430" i="2"/>
  <c r="I3431" i="2"/>
  <c r="I3432" i="2"/>
  <c r="I3433" i="2"/>
  <c r="I3434" i="2"/>
  <c r="I3435" i="2"/>
  <c r="I3436" i="2"/>
  <c r="I3437" i="2"/>
  <c r="I3438" i="2"/>
  <c r="I3439" i="2"/>
  <c r="I3440" i="2"/>
  <c r="I3441" i="2"/>
  <c r="I3442" i="2"/>
  <c r="E3397" i="2"/>
  <c r="H3397" i="2" s="1"/>
  <c r="E3398" i="2"/>
  <c r="H3398" i="2" s="1"/>
  <c r="E3399" i="2"/>
  <c r="H3399" i="2" s="1"/>
  <c r="E3400" i="2"/>
  <c r="H3400" i="2" s="1"/>
  <c r="E3401" i="2"/>
  <c r="H3401" i="2" s="1"/>
  <c r="E3402" i="2"/>
  <c r="H3402" i="2" s="1"/>
  <c r="E3403" i="2"/>
  <c r="H3403" i="2" s="1"/>
  <c r="E3404" i="2"/>
  <c r="H3404" i="2" s="1"/>
  <c r="E3405" i="2"/>
  <c r="H3405" i="2" s="1"/>
  <c r="E3406" i="2"/>
  <c r="H3406" i="2" s="1"/>
  <c r="E3407" i="2"/>
  <c r="H3407" i="2" s="1"/>
  <c r="E3408" i="2"/>
  <c r="H3408" i="2" s="1"/>
  <c r="E3409" i="2"/>
  <c r="H3409" i="2" s="1"/>
  <c r="E3410" i="2"/>
  <c r="H3410" i="2" s="1"/>
  <c r="E3411" i="2"/>
  <c r="H3411" i="2" s="1"/>
  <c r="F3397" i="2"/>
  <c r="F3398" i="2"/>
  <c r="F3399" i="2"/>
  <c r="F3400" i="2"/>
  <c r="F3401" i="2"/>
  <c r="F3402" i="2"/>
  <c r="F3403" i="2"/>
  <c r="F3404" i="2"/>
  <c r="F3405" i="2"/>
  <c r="F3406" i="2"/>
  <c r="F3407" i="2"/>
  <c r="F3408" i="2"/>
  <c r="F3409" i="2"/>
  <c r="F3410" i="2"/>
  <c r="F3411" i="2"/>
  <c r="G3397" i="2"/>
  <c r="G3398" i="2"/>
  <c r="G3399" i="2"/>
  <c r="G3400" i="2"/>
  <c r="G3401" i="2"/>
  <c r="G3402" i="2"/>
  <c r="G3403" i="2"/>
  <c r="G3404" i="2"/>
  <c r="G3405" i="2"/>
  <c r="G3406" i="2"/>
  <c r="G3407" i="2"/>
  <c r="G3408" i="2"/>
  <c r="G3409" i="2"/>
  <c r="G3410" i="2"/>
  <c r="G3411" i="2"/>
  <c r="I3397" i="2"/>
  <c r="I3398" i="2"/>
  <c r="I3399" i="2"/>
  <c r="I3400" i="2"/>
  <c r="I3401" i="2"/>
  <c r="I3402" i="2"/>
  <c r="I3403" i="2"/>
  <c r="I3404" i="2"/>
  <c r="I3405" i="2"/>
  <c r="I3406" i="2"/>
  <c r="I3407" i="2"/>
  <c r="I3408" i="2"/>
  <c r="I3409" i="2"/>
  <c r="I3410" i="2"/>
  <c r="I3411" i="2"/>
  <c r="C280" i="4"/>
  <c r="D280" i="4" s="1"/>
  <c r="E280" i="4" s="1"/>
  <c r="E3378" i="2"/>
  <c r="H3378" i="2" s="1"/>
  <c r="E3379" i="2"/>
  <c r="H3379" i="2" s="1"/>
  <c r="E3380" i="2"/>
  <c r="H3380" i="2" s="1"/>
  <c r="E3381" i="2"/>
  <c r="H3381" i="2" s="1"/>
  <c r="E3382" i="2"/>
  <c r="H3382" i="2" s="1"/>
  <c r="E3383" i="2"/>
  <c r="H3383" i="2" s="1"/>
  <c r="E3384" i="2"/>
  <c r="H3384" i="2" s="1"/>
  <c r="E3385" i="2"/>
  <c r="H3385" i="2" s="1"/>
  <c r="E3386" i="2"/>
  <c r="H3386" i="2" s="1"/>
  <c r="E3387" i="2"/>
  <c r="H3387" i="2" s="1"/>
  <c r="E3388" i="2"/>
  <c r="H3388" i="2" s="1"/>
  <c r="E3389" i="2"/>
  <c r="H3389" i="2" s="1"/>
  <c r="E3390" i="2"/>
  <c r="H3390" i="2" s="1"/>
  <c r="E3391" i="2"/>
  <c r="H3391" i="2" s="1"/>
  <c r="E3392" i="2"/>
  <c r="H3392" i="2" s="1"/>
  <c r="E3393" i="2"/>
  <c r="H3393" i="2" s="1"/>
  <c r="E3394" i="2"/>
  <c r="H3394" i="2" s="1"/>
  <c r="E3395" i="2"/>
  <c r="H3395" i="2" s="1"/>
  <c r="E3396" i="2"/>
  <c r="H3396" i="2" s="1"/>
  <c r="F3378" i="2"/>
  <c r="F3379" i="2"/>
  <c r="F3380" i="2"/>
  <c r="F3381" i="2"/>
  <c r="F3382" i="2"/>
  <c r="F3383" i="2"/>
  <c r="F3384" i="2"/>
  <c r="F3385" i="2"/>
  <c r="F3386" i="2"/>
  <c r="F3387" i="2"/>
  <c r="F3388" i="2"/>
  <c r="F3389" i="2"/>
  <c r="F3390" i="2"/>
  <c r="F3391" i="2"/>
  <c r="F3392" i="2"/>
  <c r="F3393" i="2"/>
  <c r="F3394" i="2"/>
  <c r="F3395" i="2"/>
  <c r="F3396" i="2"/>
  <c r="G3378" i="2"/>
  <c r="G3379" i="2"/>
  <c r="G3380" i="2"/>
  <c r="G3381" i="2"/>
  <c r="G3382" i="2"/>
  <c r="G3383" i="2"/>
  <c r="G3384" i="2"/>
  <c r="G3385" i="2"/>
  <c r="G3386" i="2"/>
  <c r="G3387" i="2"/>
  <c r="G3388" i="2"/>
  <c r="G3389" i="2"/>
  <c r="G3390" i="2"/>
  <c r="G3391" i="2"/>
  <c r="G3392" i="2"/>
  <c r="G3393" i="2"/>
  <c r="G3394" i="2"/>
  <c r="G3395" i="2"/>
  <c r="G3396" i="2"/>
  <c r="I3378" i="2"/>
  <c r="I3379" i="2"/>
  <c r="I3380" i="2"/>
  <c r="I3381" i="2"/>
  <c r="I3382" i="2"/>
  <c r="I3383" i="2"/>
  <c r="I3384" i="2"/>
  <c r="I3385" i="2"/>
  <c r="I3386" i="2"/>
  <c r="I3387" i="2"/>
  <c r="I3388" i="2"/>
  <c r="I3389" i="2"/>
  <c r="I3390" i="2"/>
  <c r="I3391" i="2"/>
  <c r="I3392" i="2"/>
  <c r="I3393" i="2"/>
  <c r="I3394" i="2"/>
  <c r="I3395" i="2"/>
  <c r="I3396" i="2"/>
  <c r="E3341" i="2"/>
  <c r="H3341" i="2" s="1"/>
  <c r="E3342" i="2"/>
  <c r="H3342" i="2" s="1"/>
  <c r="E3343" i="2"/>
  <c r="H3343" i="2" s="1"/>
  <c r="E3344" i="2"/>
  <c r="H3344" i="2" s="1"/>
  <c r="E3345" i="2"/>
  <c r="H3345" i="2" s="1"/>
  <c r="E3346" i="2"/>
  <c r="H3346" i="2" s="1"/>
  <c r="E3347" i="2"/>
  <c r="H3347" i="2" s="1"/>
  <c r="E3348" i="2"/>
  <c r="H3348" i="2" s="1"/>
  <c r="E3349" i="2"/>
  <c r="H3349" i="2" s="1"/>
  <c r="E3350" i="2"/>
  <c r="H3350" i="2" s="1"/>
  <c r="E3351" i="2"/>
  <c r="H3351" i="2" s="1"/>
  <c r="E3352" i="2"/>
  <c r="H3352" i="2" s="1"/>
  <c r="E3353" i="2"/>
  <c r="H3353" i="2" s="1"/>
  <c r="E3354" i="2"/>
  <c r="H3354" i="2" s="1"/>
  <c r="E3355" i="2"/>
  <c r="H3355" i="2" s="1"/>
  <c r="E3356" i="2"/>
  <c r="H3356" i="2" s="1"/>
  <c r="E3357" i="2"/>
  <c r="H3357" i="2" s="1"/>
  <c r="E3358" i="2"/>
  <c r="H3358" i="2" s="1"/>
  <c r="E3359" i="2"/>
  <c r="H3359" i="2" s="1"/>
  <c r="E3360" i="2"/>
  <c r="H3360" i="2" s="1"/>
  <c r="E3361" i="2"/>
  <c r="H3361" i="2" s="1"/>
  <c r="E3362" i="2"/>
  <c r="H3362" i="2" s="1"/>
  <c r="E3363" i="2"/>
  <c r="H3363" i="2" s="1"/>
  <c r="E3364" i="2"/>
  <c r="H3364" i="2" s="1"/>
  <c r="E3365" i="2"/>
  <c r="H3365" i="2" s="1"/>
  <c r="E3366" i="2"/>
  <c r="H3366" i="2" s="1"/>
  <c r="E3367" i="2"/>
  <c r="H3367" i="2" s="1"/>
  <c r="E3368" i="2"/>
  <c r="H3368" i="2" s="1"/>
  <c r="E3369" i="2"/>
  <c r="H3369" i="2" s="1"/>
  <c r="E3370" i="2"/>
  <c r="H3370" i="2" s="1"/>
  <c r="E3371" i="2"/>
  <c r="H3371" i="2" s="1"/>
  <c r="E3372" i="2"/>
  <c r="H3372" i="2" s="1"/>
  <c r="E3373" i="2"/>
  <c r="H3373" i="2" s="1"/>
  <c r="E3374" i="2"/>
  <c r="H3374" i="2" s="1"/>
  <c r="E3375" i="2"/>
  <c r="H3375" i="2" s="1"/>
  <c r="E3376" i="2"/>
  <c r="H3376" i="2" s="1"/>
  <c r="E3377" i="2"/>
  <c r="H3377" i="2" s="1"/>
  <c r="F3341" i="2"/>
  <c r="F3342" i="2"/>
  <c r="F3343" i="2"/>
  <c r="F3344" i="2"/>
  <c r="F3345" i="2"/>
  <c r="F3346" i="2"/>
  <c r="F3347" i="2"/>
  <c r="F3348" i="2"/>
  <c r="F3349" i="2"/>
  <c r="F3350" i="2"/>
  <c r="F3351" i="2"/>
  <c r="F3352" i="2"/>
  <c r="F3353" i="2"/>
  <c r="F3354" i="2"/>
  <c r="F3355" i="2"/>
  <c r="F3356" i="2"/>
  <c r="F3357" i="2"/>
  <c r="F3358" i="2"/>
  <c r="F3359" i="2"/>
  <c r="F3360" i="2"/>
  <c r="F3361" i="2"/>
  <c r="F3362" i="2"/>
  <c r="F3363" i="2"/>
  <c r="F3364" i="2"/>
  <c r="F3365" i="2"/>
  <c r="F3366" i="2"/>
  <c r="F3367" i="2"/>
  <c r="F3368" i="2"/>
  <c r="F3369" i="2"/>
  <c r="F3370" i="2"/>
  <c r="F3371" i="2"/>
  <c r="F3372" i="2"/>
  <c r="F3373" i="2"/>
  <c r="F3374" i="2"/>
  <c r="F3375" i="2"/>
  <c r="F3376" i="2"/>
  <c r="F3377" i="2"/>
  <c r="G3341" i="2"/>
  <c r="G3342" i="2"/>
  <c r="G3343" i="2"/>
  <c r="G3344" i="2"/>
  <c r="G3345" i="2"/>
  <c r="G3346" i="2"/>
  <c r="G3347" i="2"/>
  <c r="G3348" i="2"/>
  <c r="G3349" i="2"/>
  <c r="G3350" i="2"/>
  <c r="G3351" i="2"/>
  <c r="G3352" i="2"/>
  <c r="G3353" i="2"/>
  <c r="G3354" i="2"/>
  <c r="G3355" i="2"/>
  <c r="G3356" i="2"/>
  <c r="G3357" i="2"/>
  <c r="G3358" i="2"/>
  <c r="G3359" i="2"/>
  <c r="G3360" i="2"/>
  <c r="G3361" i="2"/>
  <c r="G3362" i="2"/>
  <c r="G3363" i="2"/>
  <c r="G3364" i="2"/>
  <c r="G3365" i="2"/>
  <c r="G3366" i="2"/>
  <c r="G3367" i="2"/>
  <c r="G3368" i="2"/>
  <c r="G3369" i="2"/>
  <c r="G3370" i="2"/>
  <c r="G3371" i="2"/>
  <c r="G3372" i="2"/>
  <c r="G3373" i="2"/>
  <c r="G3374" i="2"/>
  <c r="G3375" i="2"/>
  <c r="G3376" i="2"/>
  <c r="G3377" i="2"/>
  <c r="I3341" i="2"/>
  <c r="I3342" i="2"/>
  <c r="I3343" i="2"/>
  <c r="I3344" i="2"/>
  <c r="I3345" i="2"/>
  <c r="I3346" i="2"/>
  <c r="I3347" i="2"/>
  <c r="I3348" i="2"/>
  <c r="I3349" i="2"/>
  <c r="I3350" i="2"/>
  <c r="I3351" i="2"/>
  <c r="I3352" i="2"/>
  <c r="I3353" i="2"/>
  <c r="I3354" i="2"/>
  <c r="I3355" i="2"/>
  <c r="I3356" i="2"/>
  <c r="I3357" i="2"/>
  <c r="I3358" i="2"/>
  <c r="I3359" i="2"/>
  <c r="I3360" i="2"/>
  <c r="I3361" i="2"/>
  <c r="I3362" i="2"/>
  <c r="I3363" i="2"/>
  <c r="I3364" i="2"/>
  <c r="I3365" i="2"/>
  <c r="I3366" i="2"/>
  <c r="I3367" i="2"/>
  <c r="I3368" i="2"/>
  <c r="I3369" i="2"/>
  <c r="I3370" i="2"/>
  <c r="I3371" i="2"/>
  <c r="I3372" i="2"/>
  <c r="I3373" i="2"/>
  <c r="I3374" i="2"/>
  <c r="I3375" i="2"/>
  <c r="I3376" i="2"/>
  <c r="I3377" i="2"/>
  <c r="E3308" i="2"/>
  <c r="H3308" i="2" s="1"/>
  <c r="E3309" i="2"/>
  <c r="H3309" i="2" s="1"/>
  <c r="E3310" i="2"/>
  <c r="H3310" i="2" s="1"/>
  <c r="E3311" i="2"/>
  <c r="H3311" i="2" s="1"/>
  <c r="E3312" i="2"/>
  <c r="H3312" i="2" s="1"/>
  <c r="E3313" i="2"/>
  <c r="H3313" i="2" s="1"/>
  <c r="E3314" i="2"/>
  <c r="H3314" i="2" s="1"/>
  <c r="E3315" i="2"/>
  <c r="H3315" i="2" s="1"/>
  <c r="E3316" i="2"/>
  <c r="H3316" i="2" s="1"/>
  <c r="E3317" i="2"/>
  <c r="H3317" i="2" s="1"/>
  <c r="E3318" i="2"/>
  <c r="H3318" i="2" s="1"/>
  <c r="E3319" i="2"/>
  <c r="H3319" i="2" s="1"/>
  <c r="E3320" i="2"/>
  <c r="H3320" i="2" s="1"/>
  <c r="E3321" i="2"/>
  <c r="H3321" i="2" s="1"/>
  <c r="E3322" i="2"/>
  <c r="H3322" i="2" s="1"/>
  <c r="E3323" i="2"/>
  <c r="H3323" i="2" s="1"/>
  <c r="E3324" i="2"/>
  <c r="H3324" i="2" s="1"/>
  <c r="E3325" i="2"/>
  <c r="H3325" i="2" s="1"/>
  <c r="E3326" i="2"/>
  <c r="H3326" i="2" s="1"/>
  <c r="E3327" i="2"/>
  <c r="H3327" i="2" s="1"/>
  <c r="E3328" i="2"/>
  <c r="H3328" i="2" s="1"/>
  <c r="E3329" i="2"/>
  <c r="H3329" i="2" s="1"/>
  <c r="E3330" i="2"/>
  <c r="H3330" i="2" s="1"/>
  <c r="E3331" i="2"/>
  <c r="H3331" i="2" s="1"/>
  <c r="E3332" i="2"/>
  <c r="H3332" i="2" s="1"/>
  <c r="E3333" i="2"/>
  <c r="H3333" i="2" s="1"/>
  <c r="E3334" i="2"/>
  <c r="H3334" i="2" s="1"/>
  <c r="E3335" i="2"/>
  <c r="H3335" i="2" s="1"/>
  <c r="E3336" i="2"/>
  <c r="H3336" i="2" s="1"/>
  <c r="E3337" i="2"/>
  <c r="H3337" i="2" s="1"/>
  <c r="E3338" i="2"/>
  <c r="H3338" i="2" s="1"/>
  <c r="E3339" i="2"/>
  <c r="H3339" i="2" s="1"/>
  <c r="E3340" i="2"/>
  <c r="H3340" i="2" s="1"/>
  <c r="F3308" i="2"/>
  <c r="F3309" i="2"/>
  <c r="F3310" i="2"/>
  <c r="F3311" i="2"/>
  <c r="F3312" i="2"/>
  <c r="F3313" i="2"/>
  <c r="F3314" i="2"/>
  <c r="F3315" i="2"/>
  <c r="F3316" i="2"/>
  <c r="F3317" i="2"/>
  <c r="F3318" i="2"/>
  <c r="F3319" i="2"/>
  <c r="F3320" i="2"/>
  <c r="F3321" i="2"/>
  <c r="F3322" i="2"/>
  <c r="F3323" i="2"/>
  <c r="F3324" i="2"/>
  <c r="F3325" i="2"/>
  <c r="F3326" i="2"/>
  <c r="F3327" i="2"/>
  <c r="F3328" i="2"/>
  <c r="F3329" i="2"/>
  <c r="F3330" i="2"/>
  <c r="F3331" i="2"/>
  <c r="F3332" i="2"/>
  <c r="F3333" i="2"/>
  <c r="F3334" i="2"/>
  <c r="F3335" i="2"/>
  <c r="F3336" i="2"/>
  <c r="F3337" i="2"/>
  <c r="F3338" i="2"/>
  <c r="F3339" i="2"/>
  <c r="F3340" i="2"/>
  <c r="G3308" i="2"/>
  <c r="G3309" i="2"/>
  <c r="G3310" i="2"/>
  <c r="G3311" i="2"/>
  <c r="G3312" i="2"/>
  <c r="G3313" i="2"/>
  <c r="G3314" i="2"/>
  <c r="G3315" i="2"/>
  <c r="G3316" i="2"/>
  <c r="G3317" i="2"/>
  <c r="G3318" i="2"/>
  <c r="G3319" i="2"/>
  <c r="G3320" i="2"/>
  <c r="G3321" i="2"/>
  <c r="G3322" i="2"/>
  <c r="G3323" i="2"/>
  <c r="G3324" i="2"/>
  <c r="G3325" i="2"/>
  <c r="G3326" i="2"/>
  <c r="G3327" i="2"/>
  <c r="G3328" i="2"/>
  <c r="G3329" i="2"/>
  <c r="G3330" i="2"/>
  <c r="G3331" i="2"/>
  <c r="G3332" i="2"/>
  <c r="G3333" i="2"/>
  <c r="G3334" i="2"/>
  <c r="G3335" i="2"/>
  <c r="G3336" i="2"/>
  <c r="G3337" i="2"/>
  <c r="G3338" i="2"/>
  <c r="G3339" i="2"/>
  <c r="G3340" i="2"/>
  <c r="I3308" i="2"/>
  <c r="I3309" i="2"/>
  <c r="I3310" i="2"/>
  <c r="I3311" i="2"/>
  <c r="I3312" i="2"/>
  <c r="I3313" i="2"/>
  <c r="I3314" i="2"/>
  <c r="I3315" i="2"/>
  <c r="I3316" i="2"/>
  <c r="I3317" i="2"/>
  <c r="I3318" i="2"/>
  <c r="I3319" i="2"/>
  <c r="I3320" i="2"/>
  <c r="I3321" i="2"/>
  <c r="I3322" i="2"/>
  <c r="I3323" i="2"/>
  <c r="I3324" i="2"/>
  <c r="I3325" i="2"/>
  <c r="I3326" i="2"/>
  <c r="I3327" i="2"/>
  <c r="I3328" i="2"/>
  <c r="I3329" i="2"/>
  <c r="I3330" i="2"/>
  <c r="I3331" i="2"/>
  <c r="I3332" i="2"/>
  <c r="I3333" i="2"/>
  <c r="I3334" i="2"/>
  <c r="I3335" i="2"/>
  <c r="I3336" i="2"/>
  <c r="I3337" i="2"/>
  <c r="I3338" i="2"/>
  <c r="I3339" i="2"/>
  <c r="I3340" i="2"/>
  <c r="E3284" i="2"/>
  <c r="E3285" i="2"/>
  <c r="E3286" i="2"/>
  <c r="H3286" i="2" s="1"/>
  <c r="E3287" i="2"/>
  <c r="H3287" i="2" s="1"/>
  <c r="E3288" i="2"/>
  <c r="H3288" i="2" s="1"/>
  <c r="E3289" i="2"/>
  <c r="H3289" i="2" s="1"/>
  <c r="E3290" i="2"/>
  <c r="H3290" i="2" s="1"/>
  <c r="E3291" i="2"/>
  <c r="H3291" i="2" s="1"/>
  <c r="E3292" i="2"/>
  <c r="H3292" i="2" s="1"/>
  <c r="E3293" i="2"/>
  <c r="H3293" i="2" s="1"/>
  <c r="E3294" i="2"/>
  <c r="H3294" i="2" s="1"/>
  <c r="E3295" i="2"/>
  <c r="H3295" i="2" s="1"/>
  <c r="E3296" i="2"/>
  <c r="H3296" i="2" s="1"/>
  <c r="E3297" i="2"/>
  <c r="H3297" i="2" s="1"/>
  <c r="E3298" i="2"/>
  <c r="H3298" i="2" s="1"/>
  <c r="E3299" i="2"/>
  <c r="H3299" i="2" s="1"/>
  <c r="E3300" i="2"/>
  <c r="H3300" i="2" s="1"/>
  <c r="E3301" i="2"/>
  <c r="H3301" i="2" s="1"/>
  <c r="E3302" i="2"/>
  <c r="H3302" i="2" s="1"/>
  <c r="E3303" i="2"/>
  <c r="H3303" i="2" s="1"/>
  <c r="E3304" i="2"/>
  <c r="H3304" i="2" s="1"/>
  <c r="E3305" i="2"/>
  <c r="H3305" i="2" s="1"/>
  <c r="E3306" i="2"/>
  <c r="H3306" i="2" s="1"/>
  <c r="E3307" i="2"/>
  <c r="H3307" i="2" s="1"/>
  <c r="F3284" i="2"/>
  <c r="F3285" i="2"/>
  <c r="F3286" i="2"/>
  <c r="F3287" i="2"/>
  <c r="F3288" i="2"/>
  <c r="F3289" i="2"/>
  <c r="F3290" i="2"/>
  <c r="F3291" i="2"/>
  <c r="F3292" i="2"/>
  <c r="F3293" i="2"/>
  <c r="F3294" i="2"/>
  <c r="F3295" i="2"/>
  <c r="F3296" i="2"/>
  <c r="F3297" i="2"/>
  <c r="F3298" i="2"/>
  <c r="F3299" i="2"/>
  <c r="F3300" i="2"/>
  <c r="F3301" i="2"/>
  <c r="F3302" i="2"/>
  <c r="F3303" i="2"/>
  <c r="F3304" i="2"/>
  <c r="F3305" i="2"/>
  <c r="F3306" i="2"/>
  <c r="F3307" i="2"/>
  <c r="G3284" i="2"/>
  <c r="G3285" i="2"/>
  <c r="G3286" i="2"/>
  <c r="G3287" i="2"/>
  <c r="G3288" i="2"/>
  <c r="G3289" i="2"/>
  <c r="G3290" i="2"/>
  <c r="G3291" i="2"/>
  <c r="G3292" i="2"/>
  <c r="G3293" i="2"/>
  <c r="G3294" i="2"/>
  <c r="G3295" i="2"/>
  <c r="G3296" i="2"/>
  <c r="G3297" i="2"/>
  <c r="G3298" i="2"/>
  <c r="G3299" i="2"/>
  <c r="G3300" i="2"/>
  <c r="G3301" i="2"/>
  <c r="G3302" i="2"/>
  <c r="G3303" i="2"/>
  <c r="G3304" i="2"/>
  <c r="G3305" i="2"/>
  <c r="G3306" i="2"/>
  <c r="G3307" i="2"/>
  <c r="H3284" i="2"/>
  <c r="H3285" i="2"/>
  <c r="I3284" i="2"/>
  <c r="I3285" i="2"/>
  <c r="I3286" i="2"/>
  <c r="I3287" i="2"/>
  <c r="I3288" i="2"/>
  <c r="I3289" i="2"/>
  <c r="I3290" i="2"/>
  <c r="I3291" i="2"/>
  <c r="I3292" i="2"/>
  <c r="I3293" i="2"/>
  <c r="I3294" i="2"/>
  <c r="I3295" i="2"/>
  <c r="I3296" i="2"/>
  <c r="I3297" i="2"/>
  <c r="I3298" i="2"/>
  <c r="I3299" i="2"/>
  <c r="I3300" i="2"/>
  <c r="I3301" i="2"/>
  <c r="I3302" i="2"/>
  <c r="I3303" i="2"/>
  <c r="I3304" i="2"/>
  <c r="I3305" i="2"/>
  <c r="I3306" i="2"/>
  <c r="I3307" i="2"/>
  <c r="G2" i="2"/>
  <c r="G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3" i="2"/>
  <c r="G94" i="2"/>
  <c r="G96" i="2"/>
  <c r="G97" i="2"/>
  <c r="G98" i="2"/>
  <c r="G99" i="2"/>
  <c r="G100" i="2"/>
  <c r="G101" i="2"/>
  <c r="G102" i="2"/>
  <c r="G104" i="2"/>
  <c r="G105" i="2"/>
  <c r="G107" i="2"/>
  <c r="G108" i="2"/>
  <c r="G110" i="2"/>
  <c r="G111" i="2"/>
  <c r="G112" i="2"/>
  <c r="G113" i="2"/>
  <c r="G115" i="2"/>
  <c r="G116" i="2"/>
  <c r="G117" i="2"/>
  <c r="G118" i="2"/>
  <c r="G119" i="2"/>
  <c r="G120" i="2"/>
  <c r="G121" i="2"/>
  <c r="G122" i="2"/>
  <c r="G123" i="2"/>
  <c r="G124" i="2"/>
  <c r="G125" i="2"/>
  <c r="G126" i="2"/>
  <c r="G127" i="2"/>
  <c r="G128" i="2"/>
  <c r="G129" i="2"/>
  <c r="G130" i="2"/>
  <c r="G131" i="2"/>
  <c r="G132" i="2"/>
  <c r="G133" i="2"/>
  <c r="G134" i="2"/>
  <c r="G135" i="2"/>
  <c r="G136" i="2"/>
  <c r="G137" i="2"/>
  <c r="G138" i="2"/>
  <c r="G139" i="2"/>
  <c r="G140" i="2"/>
  <c r="G141" i="2"/>
  <c r="G142" i="2"/>
  <c r="G143" i="2"/>
  <c r="G144" i="2"/>
  <c r="G145" i="2"/>
  <c r="G146" i="2"/>
  <c r="G147" i="2"/>
  <c r="G148" i="2"/>
  <c r="G149" i="2"/>
  <c r="G150" i="2"/>
  <c r="G151" i="2"/>
  <c r="G152" i="2"/>
  <c r="G153" i="2"/>
  <c r="G154" i="2"/>
  <c r="G155" i="2"/>
  <c r="G156" i="2"/>
  <c r="G157" i="2"/>
  <c r="G158" i="2"/>
  <c r="G159" i="2"/>
  <c r="G160" i="2"/>
  <c r="G161" i="2"/>
  <c r="G162" i="2"/>
  <c r="G163" i="2"/>
  <c r="G164" i="2"/>
  <c r="G165" i="2"/>
  <c r="G166" i="2"/>
  <c r="G167" i="2"/>
  <c r="G168" i="2"/>
  <c r="G169" i="2"/>
  <c r="G170" i="2"/>
  <c r="G171" i="2"/>
  <c r="G172" i="2"/>
  <c r="G173" i="2"/>
  <c r="G174" i="2"/>
  <c r="G175" i="2"/>
  <c r="G176" i="2"/>
  <c r="G177" i="2"/>
  <c r="G178" i="2"/>
  <c r="G179" i="2"/>
  <c r="G180" i="2"/>
  <c r="G181" i="2"/>
  <c r="G182" i="2"/>
  <c r="G183" i="2"/>
  <c r="G184" i="2"/>
  <c r="G185" i="2"/>
  <c r="G186" i="2"/>
  <c r="G187" i="2"/>
  <c r="G188" i="2"/>
  <c r="G189" i="2"/>
  <c r="G190" i="2"/>
  <c r="G191" i="2"/>
  <c r="G192" i="2"/>
  <c r="G193" i="2"/>
  <c r="G194" i="2"/>
  <c r="G195" i="2"/>
  <c r="G196" i="2"/>
  <c r="G197" i="2"/>
  <c r="G198" i="2"/>
  <c r="G199" i="2"/>
  <c r="G200" i="2"/>
  <c r="G201" i="2"/>
  <c r="G202" i="2"/>
  <c r="G203" i="2"/>
  <c r="G204" i="2"/>
  <c r="G205" i="2"/>
  <c r="G206" i="2"/>
  <c r="G207" i="2"/>
  <c r="G208" i="2"/>
  <c r="G209" i="2"/>
  <c r="G210" i="2"/>
  <c r="G211" i="2"/>
  <c r="G212" i="2"/>
  <c r="G213" i="2"/>
  <c r="G214" i="2"/>
  <c r="G215" i="2"/>
  <c r="G216" i="2"/>
  <c r="G217" i="2"/>
  <c r="G218" i="2"/>
  <c r="G219" i="2"/>
  <c r="G220" i="2"/>
  <c r="G221" i="2"/>
  <c r="G222" i="2"/>
  <c r="G223" i="2"/>
  <c r="G224" i="2"/>
  <c r="G225" i="2"/>
  <c r="G226" i="2"/>
  <c r="G227" i="2"/>
  <c r="G228" i="2"/>
  <c r="G229" i="2"/>
  <c r="G230" i="2"/>
  <c r="G231" i="2"/>
  <c r="G232" i="2"/>
  <c r="G233" i="2"/>
  <c r="G234" i="2"/>
  <c r="G235" i="2"/>
  <c r="G236" i="2"/>
  <c r="G237" i="2"/>
  <c r="G238" i="2"/>
  <c r="G239" i="2"/>
  <c r="G240" i="2"/>
  <c r="G241" i="2"/>
  <c r="G242" i="2"/>
  <c r="G243" i="2"/>
  <c r="G244" i="2"/>
  <c r="G245" i="2"/>
  <c r="G246" i="2"/>
  <c r="G247" i="2"/>
  <c r="G248" i="2"/>
  <c r="G249" i="2"/>
  <c r="G250" i="2"/>
  <c r="G251" i="2"/>
  <c r="G252" i="2"/>
  <c r="G253" i="2"/>
  <c r="G254" i="2"/>
  <c r="G255" i="2"/>
  <c r="G256" i="2"/>
  <c r="G257" i="2"/>
  <c r="G258" i="2"/>
  <c r="G259" i="2"/>
  <c r="G260" i="2"/>
  <c r="G261" i="2"/>
  <c r="G262" i="2"/>
  <c r="G263" i="2"/>
  <c r="G264" i="2"/>
  <c r="G265" i="2"/>
  <c r="G266" i="2"/>
  <c r="G267" i="2"/>
  <c r="G268" i="2"/>
  <c r="G270" i="2"/>
  <c r="G272" i="2"/>
  <c r="G273" i="2"/>
  <c r="G274" i="2"/>
  <c r="G275" i="2"/>
  <c r="G276" i="2"/>
  <c r="G277" i="2"/>
  <c r="G278" i="2"/>
  <c r="G279" i="2"/>
  <c r="G280" i="2"/>
  <c r="G281" i="2"/>
  <c r="G282" i="2"/>
  <c r="G283" i="2"/>
  <c r="G284" i="2"/>
  <c r="G285" i="2"/>
  <c r="G286" i="2"/>
  <c r="G287" i="2"/>
  <c r="G288" i="2"/>
  <c r="G289" i="2"/>
  <c r="G290" i="2"/>
  <c r="G291" i="2"/>
  <c r="G292" i="2"/>
  <c r="G293" i="2"/>
  <c r="G294" i="2"/>
  <c r="G295" i="2"/>
  <c r="G296" i="2"/>
  <c r="G297" i="2"/>
  <c r="G298" i="2"/>
  <c r="G299" i="2"/>
  <c r="G300" i="2"/>
  <c r="G301" i="2"/>
  <c r="G302" i="2"/>
  <c r="G303" i="2"/>
  <c r="G304" i="2"/>
  <c r="G305" i="2"/>
  <c r="G306" i="2"/>
  <c r="G307" i="2"/>
  <c r="G308" i="2"/>
  <c r="G309" i="2"/>
  <c r="G310" i="2"/>
  <c r="G311" i="2"/>
  <c r="G312" i="2"/>
  <c r="G313" i="2"/>
  <c r="G314" i="2"/>
  <c r="G315" i="2"/>
  <c r="G316" i="2"/>
  <c r="G317" i="2"/>
  <c r="G318" i="2"/>
  <c r="G319" i="2"/>
  <c r="G320" i="2"/>
  <c r="G321" i="2"/>
  <c r="G322" i="2"/>
  <c r="G323" i="2"/>
  <c r="G324" i="2"/>
  <c r="G325" i="2"/>
  <c r="G326" i="2"/>
  <c r="G328" i="2"/>
  <c r="G329" i="2"/>
  <c r="G330" i="2"/>
  <c r="G331" i="2"/>
  <c r="G332" i="2"/>
  <c r="G333" i="2"/>
  <c r="G334" i="2"/>
  <c r="G335" i="2"/>
  <c r="G336" i="2"/>
  <c r="G337" i="2"/>
  <c r="G338" i="2"/>
  <c r="G339" i="2"/>
  <c r="G340" i="2"/>
  <c r="G341" i="2"/>
  <c r="G342" i="2"/>
  <c r="G343" i="2"/>
  <c r="G344" i="2"/>
  <c r="G345" i="2"/>
  <c r="G346" i="2"/>
  <c r="G347" i="2"/>
  <c r="G348" i="2"/>
  <c r="G349" i="2"/>
  <c r="G350" i="2"/>
  <c r="G351" i="2"/>
  <c r="G352" i="2"/>
  <c r="G353" i="2"/>
  <c r="G354" i="2"/>
  <c r="G355" i="2"/>
  <c r="G356" i="2"/>
  <c r="G357" i="2"/>
  <c r="G358" i="2"/>
  <c r="G359" i="2"/>
  <c r="G360" i="2"/>
  <c r="G361" i="2"/>
  <c r="G362" i="2"/>
  <c r="G364" i="2"/>
  <c r="G365" i="2"/>
  <c r="G366" i="2"/>
  <c r="G367" i="2"/>
  <c r="G368" i="2"/>
  <c r="G369" i="2"/>
  <c r="G370" i="2"/>
  <c r="G371" i="2"/>
  <c r="G372" i="2"/>
  <c r="G373" i="2"/>
  <c r="G374" i="2"/>
  <c r="G375" i="2"/>
  <c r="G376" i="2"/>
  <c r="G377" i="2"/>
  <c r="G378" i="2"/>
  <c r="G379" i="2"/>
  <c r="G380" i="2"/>
  <c r="G381" i="2"/>
  <c r="G382" i="2"/>
  <c r="G383" i="2"/>
  <c r="G384" i="2"/>
  <c r="G385" i="2"/>
  <c r="G386" i="2"/>
  <c r="G387" i="2"/>
  <c r="G388" i="2"/>
  <c r="G389" i="2"/>
  <c r="G390" i="2"/>
  <c r="G391" i="2"/>
  <c r="G392" i="2"/>
  <c r="G393" i="2"/>
  <c r="G394" i="2"/>
  <c r="G395" i="2"/>
  <c r="G396" i="2"/>
  <c r="G397" i="2"/>
  <c r="G398" i="2"/>
  <c r="G399" i="2"/>
  <c r="G400" i="2"/>
  <c r="G401" i="2"/>
  <c r="G402" i="2"/>
  <c r="G403" i="2"/>
  <c r="G404" i="2"/>
  <c r="G405" i="2"/>
  <c r="G406" i="2"/>
  <c r="G407" i="2"/>
  <c r="G408" i="2"/>
  <c r="G409" i="2"/>
  <c r="G410" i="2"/>
  <c r="G411" i="2"/>
  <c r="G412" i="2"/>
  <c r="G413" i="2"/>
  <c r="G414" i="2"/>
  <c r="G415" i="2"/>
  <c r="G416" i="2"/>
  <c r="G417" i="2"/>
  <c r="G418" i="2"/>
  <c r="G419" i="2"/>
  <c r="G420" i="2"/>
  <c r="G421" i="2"/>
  <c r="G422" i="2"/>
  <c r="G423" i="2"/>
  <c r="G424" i="2"/>
  <c r="G425" i="2"/>
  <c r="G426" i="2"/>
  <c r="G427" i="2"/>
  <c r="G428" i="2"/>
  <c r="G429" i="2"/>
  <c r="G430" i="2"/>
  <c r="G431" i="2"/>
  <c r="G432" i="2"/>
  <c r="G433" i="2"/>
  <c r="G434" i="2"/>
  <c r="G435" i="2"/>
  <c r="G436" i="2"/>
  <c r="G437" i="2"/>
  <c r="G438" i="2"/>
  <c r="G439" i="2"/>
  <c r="G440" i="2"/>
  <c r="G441" i="2"/>
  <c r="G442" i="2"/>
  <c r="G443" i="2"/>
  <c r="G444" i="2"/>
  <c r="G445" i="2"/>
  <c r="G446" i="2"/>
  <c r="G447" i="2"/>
  <c r="G448" i="2"/>
  <c r="G449" i="2"/>
  <c r="G450" i="2"/>
  <c r="G451" i="2"/>
  <c r="G452" i="2"/>
  <c r="G453" i="2"/>
  <c r="G454" i="2"/>
  <c r="G455" i="2"/>
  <c r="G456" i="2"/>
  <c r="G457" i="2"/>
  <c r="G458" i="2"/>
  <c r="G459" i="2"/>
  <c r="G460" i="2"/>
  <c r="G461" i="2"/>
  <c r="G462" i="2"/>
  <c r="G463" i="2"/>
  <c r="G464" i="2"/>
  <c r="G465" i="2"/>
  <c r="G466" i="2"/>
  <c r="G467" i="2"/>
  <c r="G468" i="2"/>
  <c r="G469" i="2"/>
  <c r="G470" i="2"/>
  <c r="G471" i="2"/>
  <c r="G472" i="2"/>
  <c r="G473" i="2"/>
  <c r="G474" i="2"/>
  <c r="G475" i="2"/>
  <c r="G476" i="2"/>
  <c r="G477" i="2"/>
  <c r="G478" i="2"/>
  <c r="G479" i="2"/>
  <c r="G480" i="2"/>
  <c r="G481" i="2"/>
  <c r="G482" i="2"/>
  <c r="G483" i="2"/>
  <c r="G484" i="2"/>
  <c r="G485" i="2"/>
  <c r="G486" i="2"/>
  <c r="G487" i="2"/>
  <c r="G488" i="2"/>
  <c r="G489" i="2"/>
  <c r="G490" i="2"/>
  <c r="G491" i="2"/>
  <c r="G492" i="2"/>
  <c r="G493" i="2"/>
  <c r="G494" i="2"/>
  <c r="G495" i="2"/>
  <c r="G496" i="2"/>
  <c r="G497" i="2"/>
  <c r="G498" i="2"/>
  <c r="G499" i="2"/>
  <c r="G500" i="2"/>
  <c r="G501" i="2"/>
  <c r="G502" i="2"/>
  <c r="G503" i="2"/>
  <c r="G504" i="2"/>
  <c r="G505" i="2"/>
  <c r="G506" i="2"/>
  <c r="G507" i="2"/>
  <c r="G508" i="2"/>
  <c r="G509" i="2"/>
  <c r="G510" i="2"/>
  <c r="G511" i="2"/>
  <c r="G512" i="2"/>
  <c r="G513" i="2"/>
  <c r="G514" i="2"/>
  <c r="G515" i="2"/>
  <c r="G516" i="2"/>
  <c r="G517" i="2"/>
  <c r="G518" i="2"/>
  <c r="G519" i="2"/>
  <c r="G520" i="2"/>
  <c r="G521" i="2"/>
  <c r="G522" i="2"/>
  <c r="G523" i="2"/>
  <c r="G524" i="2"/>
  <c r="G525" i="2"/>
  <c r="G526" i="2"/>
  <c r="G527" i="2"/>
  <c r="G528" i="2"/>
  <c r="G529" i="2"/>
  <c r="G530" i="2"/>
  <c r="G531" i="2"/>
  <c r="G532" i="2"/>
  <c r="G533" i="2"/>
  <c r="G534" i="2"/>
  <c r="G535" i="2"/>
  <c r="G536" i="2"/>
  <c r="G537" i="2"/>
  <c r="G538" i="2"/>
  <c r="G539" i="2"/>
  <c r="G540" i="2"/>
  <c r="G541" i="2"/>
  <c r="G542" i="2"/>
  <c r="G543" i="2"/>
  <c r="G544" i="2"/>
  <c r="G545" i="2"/>
  <c r="G546" i="2"/>
  <c r="G547" i="2"/>
  <c r="G548" i="2"/>
  <c r="G549" i="2"/>
  <c r="G550" i="2"/>
  <c r="G551" i="2"/>
  <c r="G552" i="2"/>
  <c r="G553" i="2"/>
  <c r="G554" i="2"/>
  <c r="G555" i="2"/>
  <c r="G556" i="2"/>
  <c r="G557" i="2"/>
  <c r="G558" i="2"/>
  <c r="G559" i="2"/>
  <c r="G560" i="2"/>
  <c r="G561" i="2"/>
  <c r="G562" i="2"/>
  <c r="G563" i="2"/>
  <c r="G564" i="2"/>
  <c r="G565" i="2"/>
  <c r="G566" i="2"/>
  <c r="G567" i="2"/>
  <c r="G568" i="2"/>
  <c r="G569" i="2"/>
  <c r="G570" i="2"/>
  <c r="G571" i="2"/>
  <c r="G572" i="2"/>
  <c r="G573" i="2"/>
  <c r="G574" i="2"/>
  <c r="G575" i="2"/>
  <c r="G576" i="2"/>
  <c r="G577" i="2"/>
  <c r="G578" i="2"/>
  <c r="G579" i="2"/>
  <c r="G580" i="2"/>
  <c r="G581" i="2"/>
  <c r="G582" i="2"/>
  <c r="G583" i="2"/>
  <c r="G584" i="2"/>
  <c r="G585" i="2"/>
  <c r="G586" i="2"/>
  <c r="G587" i="2"/>
  <c r="G588" i="2"/>
  <c r="G589" i="2"/>
  <c r="G590" i="2"/>
  <c r="G591" i="2"/>
  <c r="G592" i="2"/>
  <c r="G593" i="2"/>
  <c r="G594" i="2"/>
  <c r="G595" i="2"/>
  <c r="G596" i="2"/>
  <c r="G597" i="2"/>
  <c r="G598" i="2"/>
  <c r="G599" i="2"/>
  <c r="G600" i="2"/>
  <c r="G601" i="2"/>
  <c r="G602" i="2"/>
  <c r="G603" i="2"/>
  <c r="G604" i="2"/>
  <c r="G605" i="2"/>
  <c r="G606" i="2"/>
  <c r="G607" i="2"/>
  <c r="G608" i="2"/>
  <c r="G609" i="2"/>
  <c r="G610" i="2"/>
  <c r="G611" i="2"/>
  <c r="G612" i="2"/>
  <c r="G613" i="2"/>
  <c r="G614" i="2"/>
  <c r="G615" i="2"/>
  <c r="G616" i="2"/>
  <c r="G617" i="2"/>
  <c r="G618" i="2"/>
  <c r="G619" i="2"/>
  <c r="G620" i="2"/>
  <c r="G621" i="2"/>
  <c r="G622" i="2"/>
  <c r="G623" i="2"/>
  <c r="G624" i="2"/>
  <c r="G625" i="2"/>
  <c r="G626" i="2"/>
  <c r="G627" i="2"/>
  <c r="G628" i="2"/>
  <c r="G629" i="2"/>
  <c r="G630" i="2"/>
  <c r="G631" i="2"/>
  <c r="G632" i="2"/>
  <c r="G633" i="2"/>
  <c r="G634" i="2"/>
  <c r="G635" i="2"/>
  <c r="G636" i="2"/>
  <c r="G637" i="2"/>
  <c r="G638" i="2"/>
  <c r="G639" i="2"/>
  <c r="G640" i="2"/>
  <c r="G641" i="2"/>
  <c r="G642" i="2"/>
  <c r="G643" i="2"/>
  <c r="G644" i="2"/>
  <c r="G645" i="2"/>
  <c r="G646" i="2"/>
  <c r="G647" i="2"/>
  <c r="G648" i="2"/>
  <c r="G649" i="2"/>
  <c r="G650" i="2"/>
  <c r="G651" i="2"/>
  <c r="G652" i="2"/>
  <c r="G653" i="2"/>
  <c r="G654" i="2"/>
  <c r="G655" i="2"/>
  <c r="G656" i="2"/>
  <c r="G657" i="2"/>
  <c r="G658" i="2"/>
  <c r="G659" i="2"/>
  <c r="G660" i="2"/>
  <c r="G661" i="2"/>
  <c r="G662" i="2"/>
  <c r="G663" i="2"/>
  <c r="G664" i="2"/>
  <c r="G665" i="2"/>
  <c r="G666" i="2"/>
  <c r="G667" i="2"/>
  <c r="G668" i="2"/>
  <c r="G669" i="2"/>
  <c r="G670" i="2"/>
  <c r="G671" i="2"/>
  <c r="G672" i="2"/>
  <c r="G673" i="2"/>
  <c r="G674" i="2"/>
  <c r="G675" i="2"/>
  <c r="G676" i="2"/>
  <c r="G677" i="2"/>
  <c r="G678" i="2"/>
  <c r="G679" i="2"/>
  <c r="G680" i="2"/>
  <c r="G681" i="2"/>
  <c r="G682" i="2"/>
  <c r="G683" i="2"/>
  <c r="G684" i="2"/>
  <c r="G685" i="2"/>
  <c r="G686" i="2"/>
  <c r="G687" i="2"/>
  <c r="G688" i="2"/>
  <c r="G689" i="2"/>
  <c r="G690" i="2"/>
  <c r="G691" i="2"/>
  <c r="G692" i="2"/>
  <c r="G693" i="2"/>
  <c r="G694" i="2"/>
  <c r="G695" i="2"/>
  <c r="G696" i="2"/>
  <c r="G697" i="2"/>
  <c r="G698" i="2"/>
  <c r="G699" i="2"/>
  <c r="G700" i="2"/>
  <c r="G701" i="2"/>
  <c r="G702" i="2"/>
  <c r="G703" i="2"/>
  <c r="G704" i="2"/>
  <c r="G705" i="2"/>
  <c r="G706" i="2"/>
  <c r="G707" i="2"/>
  <c r="G708" i="2"/>
  <c r="G709" i="2"/>
  <c r="G710" i="2"/>
  <c r="G711" i="2"/>
  <c r="G712" i="2"/>
  <c r="G713" i="2"/>
  <c r="G714" i="2"/>
  <c r="G715" i="2"/>
  <c r="G716" i="2"/>
  <c r="G717" i="2"/>
  <c r="G718" i="2"/>
  <c r="G719" i="2"/>
  <c r="G720" i="2"/>
  <c r="G721" i="2"/>
  <c r="G722" i="2"/>
  <c r="G723" i="2"/>
  <c r="G724" i="2"/>
  <c r="G725" i="2"/>
  <c r="G726" i="2"/>
  <c r="G727" i="2"/>
  <c r="G728" i="2"/>
  <c r="G729" i="2"/>
  <c r="G730" i="2"/>
  <c r="G731" i="2"/>
  <c r="G732" i="2"/>
  <c r="G733" i="2"/>
  <c r="G734" i="2"/>
  <c r="G735" i="2"/>
  <c r="G736" i="2"/>
  <c r="G737" i="2"/>
  <c r="G738" i="2"/>
  <c r="G739" i="2"/>
  <c r="G740" i="2"/>
  <c r="G741" i="2"/>
  <c r="G742" i="2"/>
  <c r="G743" i="2"/>
  <c r="G744" i="2"/>
  <c r="G745" i="2"/>
  <c r="G746" i="2"/>
  <c r="G747" i="2"/>
  <c r="G748" i="2"/>
  <c r="G749" i="2"/>
  <c r="G750" i="2"/>
  <c r="G751" i="2"/>
  <c r="G752" i="2"/>
  <c r="G753" i="2"/>
  <c r="G754" i="2"/>
  <c r="G755" i="2"/>
  <c r="G756" i="2"/>
  <c r="G757" i="2"/>
  <c r="G758" i="2"/>
  <c r="G759" i="2"/>
  <c r="G760" i="2"/>
  <c r="G761" i="2"/>
  <c r="G762" i="2"/>
  <c r="G763" i="2"/>
  <c r="G764" i="2"/>
  <c r="G765" i="2"/>
  <c r="G766" i="2"/>
  <c r="G767" i="2"/>
  <c r="G768" i="2"/>
  <c r="G769" i="2"/>
  <c r="G770" i="2"/>
  <c r="G771" i="2"/>
  <c r="G772" i="2"/>
  <c r="G773" i="2"/>
  <c r="G774" i="2"/>
  <c r="G775" i="2"/>
  <c r="G776" i="2"/>
  <c r="G777" i="2"/>
  <c r="G778" i="2"/>
  <c r="G779" i="2"/>
  <c r="G780" i="2"/>
  <c r="G781" i="2"/>
  <c r="G782" i="2"/>
  <c r="G783" i="2"/>
  <c r="G784" i="2"/>
  <c r="G785" i="2"/>
  <c r="G786" i="2"/>
  <c r="G787" i="2"/>
  <c r="G788" i="2"/>
  <c r="G789" i="2"/>
  <c r="G790" i="2"/>
  <c r="G791" i="2"/>
  <c r="G792" i="2"/>
  <c r="G793" i="2"/>
  <c r="G794" i="2"/>
  <c r="G795" i="2"/>
  <c r="G796" i="2"/>
  <c r="G797" i="2"/>
  <c r="G798" i="2"/>
  <c r="G799" i="2"/>
  <c r="G800" i="2"/>
  <c r="G801" i="2"/>
  <c r="G802" i="2"/>
  <c r="G803" i="2"/>
  <c r="G804" i="2"/>
  <c r="G805" i="2"/>
  <c r="G806" i="2"/>
  <c r="G807" i="2"/>
  <c r="G808" i="2"/>
  <c r="G809" i="2"/>
  <c r="G810" i="2"/>
  <c r="G811" i="2"/>
  <c r="G812" i="2"/>
  <c r="G813" i="2"/>
  <c r="G814" i="2"/>
  <c r="G815" i="2"/>
  <c r="G816" i="2"/>
  <c r="G817" i="2"/>
  <c r="G818" i="2"/>
  <c r="G819" i="2"/>
  <c r="G820" i="2"/>
  <c r="G821" i="2"/>
  <c r="G822" i="2"/>
  <c r="G823" i="2"/>
  <c r="G824" i="2"/>
  <c r="G825" i="2"/>
  <c r="G826" i="2"/>
  <c r="G827" i="2"/>
  <c r="G828" i="2"/>
  <c r="G829" i="2"/>
  <c r="G830" i="2"/>
  <c r="G831" i="2"/>
  <c r="G832" i="2"/>
  <c r="G833" i="2"/>
  <c r="G834" i="2"/>
  <c r="G835" i="2"/>
  <c r="G836" i="2"/>
  <c r="G837" i="2"/>
  <c r="G838" i="2"/>
  <c r="G839" i="2"/>
  <c r="G840" i="2"/>
  <c r="G841" i="2"/>
  <c r="G842" i="2"/>
  <c r="G843" i="2"/>
  <c r="G844" i="2"/>
  <c r="G845" i="2"/>
  <c r="G846" i="2"/>
  <c r="G847" i="2"/>
  <c r="G848" i="2"/>
  <c r="G849" i="2"/>
  <c r="G850" i="2"/>
  <c r="G851" i="2"/>
  <c r="G852" i="2"/>
  <c r="G853" i="2"/>
  <c r="G854" i="2"/>
  <c r="G855" i="2"/>
  <c r="G856" i="2"/>
  <c r="G857" i="2"/>
  <c r="G858" i="2"/>
  <c r="G859" i="2"/>
  <c r="G860" i="2"/>
  <c r="G861" i="2"/>
  <c r="G862" i="2"/>
  <c r="G863" i="2"/>
  <c r="G864" i="2"/>
  <c r="G865" i="2"/>
  <c r="G866" i="2"/>
  <c r="G867" i="2"/>
  <c r="G868" i="2"/>
  <c r="G869" i="2"/>
  <c r="G870" i="2"/>
  <c r="G871" i="2"/>
  <c r="G872" i="2"/>
  <c r="G873" i="2"/>
  <c r="G874" i="2"/>
  <c r="G875" i="2"/>
  <c r="G876" i="2"/>
  <c r="G877" i="2"/>
  <c r="G878" i="2"/>
  <c r="G879" i="2"/>
  <c r="G880" i="2"/>
  <c r="G881" i="2"/>
  <c r="G882" i="2"/>
  <c r="G883" i="2"/>
  <c r="G884" i="2"/>
  <c r="G885" i="2"/>
  <c r="G886" i="2"/>
  <c r="G887" i="2"/>
  <c r="G888" i="2"/>
  <c r="G889" i="2"/>
  <c r="G890" i="2"/>
  <c r="G891" i="2"/>
  <c r="G892" i="2"/>
  <c r="G893" i="2"/>
  <c r="G894" i="2"/>
  <c r="G895" i="2"/>
  <c r="G896" i="2"/>
  <c r="G897" i="2"/>
  <c r="G898" i="2"/>
  <c r="G899" i="2"/>
  <c r="G900" i="2"/>
  <c r="G901" i="2"/>
  <c r="G902" i="2"/>
  <c r="G903" i="2"/>
  <c r="G904" i="2"/>
  <c r="G905" i="2"/>
  <c r="G906" i="2"/>
  <c r="G907" i="2"/>
  <c r="G908" i="2"/>
  <c r="G909" i="2"/>
  <c r="G910" i="2"/>
  <c r="G911" i="2"/>
  <c r="G912" i="2"/>
  <c r="G913" i="2"/>
  <c r="G914" i="2"/>
  <c r="G915" i="2"/>
  <c r="G916" i="2"/>
  <c r="G917" i="2"/>
  <c r="G918" i="2"/>
  <c r="G919" i="2"/>
  <c r="G920" i="2"/>
  <c r="G921" i="2"/>
  <c r="G922" i="2"/>
  <c r="G923" i="2"/>
  <c r="G924" i="2"/>
  <c r="G925" i="2"/>
  <c r="G926" i="2"/>
  <c r="G927" i="2"/>
  <c r="G928" i="2"/>
  <c r="G929" i="2"/>
  <c r="G930" i="2"/>
  <c r="G931" i="2"/>
  <c r="G932" i="2"/>
  <c r="G933" i="2"/>
  <c r="G934" i="2"/>
  <c r="G935" i="2"/>
  <c r="G936" i="2"/>
  <c r="G937" i="2"/>
  <c r="G938" i="2"/>
  <c r="G939" i="2"/>
  <c r="G940" i="2"/>
  <c r="G941" i="2"/>
  <c r="G942" i="2"/>
  <c r="G943" i="2"/>
  <c r="G944" i="2"/>
  <c r="G945" i="2"/>
  <c r="G946" i="2"/>
  <c r="G947" i="2"/>
  <c r="G948" i="2"/>
  <c r="G949" i="2"/>
  <c r="G950" i="2"/>
  <c r="G951" i="2"/>
  <c r="G952" i="2"/>
  <c r="G953" i="2"/>
  <c r="G954" i="2"/>
  <c r="G955" i="2"/>
  <c r="G956" i="2"/>
  <c r="G957" i="2"/>
  <c r="G958" i="2"/>
  <c r="G959" i="2"/>
  <c r="G960" i="2"/>
  <c r="G961" i="2"/>
  <c r="G962" i="2"/>
  <c r="G963" i="2"/>
  <c r="G964" i="2"/>
  <c r="G965" i="2"/>
  <c r="G966" i="2"/>
  <c r="G967" i="2"/>
  <c r="G968" i="2"/>
  <c r="G969" i="2"/>
  <c r="G970" i="2"/>
  <c r="G971" i="2"/>
  <c r="G972" i="2"/>
  <c r="G973" i="2"/>
  <c r="G974" i="2"/>
  <c r="G975" i="2"/>
  <c r="G976" i="2"/>
  <c r="G977" i="2"/>
  <c r="G978" i="2"/>
  <c r="G979" i="2"/>
  <c r="G980" i="2"/>
  <c r="G981" i="2"/>
  <c r="G982" i="2"/>
  <c r="G983" i="2"/>
  <c r="G984" i="2"/>
  <c r="G985" i="2"/>
  <c r="G986" i="2"/>
  <c r="G987" i="2"/>
  <c r="G988" i="2"/>
  <c r="G989" i="2"/>
  <c r="G990" i="2"/>
  <c r="G991" i="2"/>
  <c r="G992" i="2"/>
  <c r="G993" i="2"/>
  <c r="G994" i="2"/>
  <c r="G995" i="2"/>
  <c r="G996" i="2"/>
  <c r="G997" i="2"/>
  <c r="G998" i="2"/>
  <c r="G999" i="2"/>
  <c r="G1000" i="2"/>
  <c r="G1001" i="2"/>
  <c r="G1002" i="2"/>
  <c r="G1003" i="2"/>
  <c r="G1004" i="2"/>
  <c r="G1005" i="2"/>
  <c r="G1006" i="2"/>
  <c r="G1007" i="2"/>
  <c r="G1008" i="2"/>
  <c r="G1009" i="2"/>
  <c r="G1010" i="2"/>
  <c r="G1011" i="2"/>
  <c r="G1012" i="2"/>
  <c r="G1013" i="2"/>
  <c r="G1014" i="2"/>
  <c r="G1015" i="2"/>
  <c r="G1016" i="2"/>
  <c r="G1017" i="2"/>
  <c r="G1018" i="2"/>
  <c r="G1019" i="2"/>
  <c r="G1020" i="2"/>
  <c r="G1021" i="2"/>
  <c r="G1022" i="2"/>
  <c r="G1023" i="2"/>
  <c r="G1024" i="2"/>
  <c r="G1025" i="2"/>
  <c r="G1026" i="2"/>
  <c r="G1027" i="2"/>
  <c r="G1028" i="2"/>
  <c r="G1029" i="2"/>
  <c r="G1030" i="2"/>
  <c r="G1031" i="2"/>
  <c r="G1032" i="2"/>
  <c r="G1033" i="2"/>
  <c r="G1034" i="2"/>
  <c r="G1035" i="2"/>
  <c r="G1036" i="2"/>
  <c r="G1037" i="2"/>
  <c r="G1038" i="2"/>
  <c r="G1039" i="2"/>
  <c r="G1040" i="2"/>
  <c r="G1041" i="2"/>
  <c r="G1042" i="2"/>
  <c r="G1043" i="2"/>
  <c r="G1044" i="2"/>
  <c r="G1045" i="2"/>
  <c r="G1046" i="2"/>
  <c r="G1047" i="2"/>
  <c r="G1048" i="2"/>
  <c r="G1049" i="2"/>
  <c r="G1050" i="2"/>
  <c r="G1051" i="2"/>
  <c r="G1052" i="2"/>
  <c r="G1053" i="2"/>
  <c r="G1054" i="2"/>
  <c r="G1055" i="2"/>
  <c r="G1056" i="2"/>
  <c r="G1057" i="2"/>
  <c r="G1058" i="2"/>
  <c r="G1059" i="2"/>
  <c r="G1060" i="2"/>
  <c r="G1061" i="2"/>
  <c r="G1062" i="2"/>
  <c r="G1063" i="2"/>
  <c r="G1064" i="2"/>
  <c r="G1065" i="2"/>
  <c r="G1066" i="2"/>
  <c r="G1067" i="2"/>
  <c r="G1068" i="2"/>
  <c r="G1069" i="2"/>
  <c r="G1070" i="2"/>
  <c r="G1071" i="2"/>
  <c r="G1072" i="2"/>
  <c r="G1073" i="2"/>
  <c r="G1074" i="2"/>
  <c r="G1075" i="2"/>
  <c r="G1076" i="2"/>
  <c r="G1077" i="2"/>
  <c r="G1078" i="2"/>
  <c r="G1079" i="2"/>
  <c r="G1080" i="2"/>
  <c r="G1081" i="2"/>
  <c r="G1082" i="2"/>
  <c r="G1083" i="2"/>
  <c r="G1084" i="2"/>
  <c r="G1085" i="2"/>
  <c r="G1086" i="2"/>
  <c r="G1087" i="2"/>
  <c r="G1088" i="2"/>
  <c r="G1089" i="2"/>
  <c r="G1090" i="2"/>
  <c r="G1091" i="2"/>
  <c r="G1092" i="2"/>
  <c r="G1093" i="2"/>
  <c r="G1094" i="2"/>
  <c r="G1095" i="2"/>
  <c r="G1096" i="2"/>
  <c r="G1097" i="2"/>
  <c r="G1098" i="2"/>
  <c r="G1099" i="2"/>
  <c r="G1100" i="2"/>
  <c r="G1101" i="2"/>
  <c r="G1102" i="2"/>
  <c r="G1103" i="2"/>
  <c r="G1104" i="2"/>
  <c r="G1105" i="2"/>
  <c r="G1106" i="2"/>
  <c r="G1107" i="2"/>
  <c r="G1108" i="2"/>
  <c r="G1109" i="2"/>
  <c r="G1110" i="2"/>
  <c r="G1111" i="2"/>
  <c r="G1112" i="2"/>
  <c r="G1113" i="2"/>
  <c r="G1114" i="2"/>
  <c r="G1115" i="2"/>
  <c r="G1116" i="2"/>
  <c r="G1117" i="2"/>
  <c r="G1118" i="2"/>
  <c r="G1119" i="2"/>
  <c r="G1120" i="2"/>
  <c r="G1121" i="2"/>
  <c r="G1122" i="2"/>
  <c r="G1123" i="2"/>
  <c r="G1124" i="2"/>
  <c r="G1125" i="2"/>
  <c r="G1126" i="2"/>
  <c r="G1127" i="2"/>
  <c r="G1128" i="2"/>
  <c r="G1129" i="2"/>
  <c r="G1130" i="2"/>
  <c r="G1131" i="2"/>
  <c r="G1132" i="2"/>
  <c r="G1133" i="2"/>
  <c r="G1134" i="2"/>
  <c r="G1135" i="2"/>
  <c r="G1136" i="2"/>
  <c r="G1137" i="2"/>
  <c r="G1138" i="2"/>
  <c r="G1139" i="2"/>
  <c r="G1140" i="2"/>
  <c r="G1141" i="2"/>
  <c r="G1142" i="2"/>
  <c r="G1143" i="2"/>
  <c r="G1144" i="2"/>
  <c r="G1145" i="2"/>
  <c r="G1146" i="2"/>
  <c r="G1147" i="2"/>
  <c r="G1148" i="2"/>
  <c r="G1149" i="2"/>
  <c r="G1150" i="2"/>
  <c r="G1151" i="2"/>
  <c r="G1152" i="2"/>
  <c r="G1153" i="2"/>
  <c r="G1154" i="2"/>
  <c r="G1155" i="2"/>
  <c r="G1156" i="2"/>
  <c r="G1157" i="2"/>
  <c r="G1158" i="2"/>
  <c r="G1159" i="2"/>
  <c r="G1160" i="2"/>
  <c r="G1161" i="2"/>
  <c r="G1162" i="2"/>
  <c r="G1163" i="2"/>
  <c r="G1164" i="2"/>
  <c r="G1165" i="2"/>
  <c r="G1166" i="2"/>
  <c r="G1167" i="2"/>
  <c r="G1168" i="2"/>
  <c r="G1169" i="2"/>
  <c r="G1170" i="2"/>
  <c r="G1171" i="2"/>
  <c r="G1172" i="2"/>
  <c r="G1173" i="2"/>
  <c r="G1174" i="2"/>
  <c r="G1175" i="2"/>
  <c r="G1176" i="2"/>
  <c r="G1177" i="2"/>
  <c r="G1178" i="2"/>
  <c r="G1179" i="2"/>
  <c r="G1180" i="2"/>
  <c r="G1181" i="2"/>
  <c r="G1182" i="2"/>
  <c r="G1183" i="2"/>
  <c r="G1184" i="2"/>
  <c r="G1185" i="2"/>
  <c r="G1186" i="2"/>
  <c r="G1187" i="2"/>
  <c r="G1188" i="2"/>
  <c r="G1189" i="2"/>
  <c r="G1190" i="2"/>
  <c r="G1191" i="2"/>
  <c r="G1192" i="2"/>
  <c r="G1193" i="2"/>
  <c r="G1194" i="2"/>
  <c r="G1195" i="2"/>
  <c r="G1196" i="2"/>
  <c r="G1197" i="2"/>
  <c r="G1198" i="2"/>
  <c r="G1199" i="2"/>
  <c r="G1200" i="2"/>
  <c r="G1201" i="2"/>
  <c r="G1202" i="2"/>
  <c r="G1203" i="2"/>
  <c r="G1204" i="2"/>
  <c r="G1205" i="2"/>
  <c r="G1206" i="2"/>
  <c r="G1207" i="2"/>
  <c r="G1208" i="2"/>
  <c r="G1209" i="2"/>
  <c r="G1210" i="2"/>
  <c r="G1211" i="2"/>
  <c r="G1212" i="2"/>
  <c r="G1213" i="2"/>
  <c r="G1214" i="2"/>
  <c r="G1215" i="2"/>
  <c r="G1216" i="2"/>
  <c r="G1217" i="2"/>
  <c r="G1218" i="2"/>
  <c r="G1219" i="2"/>
  <c r="G1220" i="2"/>
  <c r="G1221" i="2"/>
  <c r="G1222" i="2"/>
  <c r="G1223" i="2"/>
  <c r="G1224" i="2"/>
  <c r="G1225" i="2"/>
  <c r="G1226" i="2"/>
  <c r="G1227" i="2"/>
  <c r="G1228" i="2"/>
  <c r="G1229" i="2"/>
  <c r="G1230" i="2"/>
  <c r="G1231" i="2"/>
  <c r="G1232" i="2"/>
  <c r="G1233" i="2"/>
  <c r="G1234" i="2"/>
  <c r="G1235" i="2"/>
  <c r="G1236" i="2"/>
  <c r="G1237" i="2"/>
  <c r="G1238" i="2"/>
  <c r="G1239" i="2"/>
  <c r="G1240" i="2"/>
  <c r="G1241" i="2"/>
  <c r="G1242" i="2"/>
  <c r="G1243" i="2"/>
  <c r="G1244" i="2"/>
  <c r="G1245" i="2"/>
  <c r="G1246" i="2"/>
  <c r="G1247" i="2"/>
  <c r="G1248" i="2"/>
  <c r="G1249" i="2"/>
  <c r="G1250" i="2"/>
  <c r="G1251" i="2"/>
  <c r="G1252" i="2"/>
  <c r="G1253" i="2"/>
  <c r="G1254" i="2"/>
  <c r="G1255" i="2"/>
  <c r="G1256" i="2"/>
  <c r="G1257" i="2"/>
  <c r="G1258" i="2"/>
  <c r="G1259" i="2"/>
  <c r="G1260" i="2"/>
  <c r="G1261" i="2"/>
  <c r="G1262" i="2"/>
  <c r="G1263" i="2"/>
  <c r="G1264" i="2"/>
  <c r="G1265" i="2"/>
  <c r="G1266" i="2"/>
  <c r="G1267" i="2"/>
  <c r="G1268" i="2"/>
  <c r="G1269" i="2"/>
  <c r="G1270" i="2"/>
  <c r="G1271" i="2"/>
  <c r="G1272" i="2"/>
  <c r="G1273" i="2"/>
  <c r="G1274" i="2"/>
  <c r="G1275" i="2"/>
  <c r="G1276" i="2"/>
  <c r="G1277" i="2"/>
  <c r="G1278" i="2"/>
  <c r="G1279" i="2"/>
  <c r="G1280" i="2"/>
  <c r="G1281" i="2"/>
  <c r="G1282" i="2"/>
  <c r="G1283" i="2"/>
  <c r="G1284" i="2"/>
  <c r="G1285" i="2"/>
  <c r="G1286" i="2"/>
  <c r="G1287" i="2"/>
  <c r="G1288" i="2"/>
  <c r="G1289" i="2"/>
  <c r="G1290" i="2"/>
  <c r="G1291" i="2"/>
  <c r="G1292" i="2"/>
  <c r="G1293" i="2"/>
  <c r="G1294" i="2"/>
  <c r="G1295" i="2"/>
  <c r="G1296" i="2"/>
  <c r="G1297" i="2"/>
  <c r="G1298" i="2"/>
  <c r="G1299" i="2"/>
  <c r="G1300" i="2"/>
  <c r="G1301" i="2"/>
  <c r="G1302" i="2"/>
  <c r="G1303" i="2"/>
  <c r="G1304" i="2"/>
  <c r="G1305" i="2"/>
  <c r="G1306" i="2"/>
  <c r="G1307" i="2"/>
  <c r="G1308" i="2"/>
  <c r="G1309" i="2"/>
  <c r="G1310" i="2"/>
  <c r="G1311" i="2"/>
  <c r="G1312" i="2"/>
  <c r="G1313" i="2"/>
  <c r="G1314" i="2"/>
  <c r="G1315" i="2"/>
  <c r="G1316" i="2"/>
  <c r="G1317" i="2"/>
  <c r="G1318" i="2"/>
  <c r="G1319" i="2"/>
  <c r="G1320" i="2"/>
  <c r="G1321" i="2"/>
  <c r="G1322" i="2"/>
  <c r="G1323" i="2"/>
  <c r="G1324" i="2"/>
  <c r="G1325" i="2"/>
  <c r="G1326" i="2"/>
  <c r="G1327" i="2"/>
  <c r="G1328" i="2"/>
  <c r="G1329" i="2"/>
  <c r="G1330" i="2"/>
  <c r="G1331" i="2"/>
  <c r="G1332" i="2"/>
  <c r="G1333" i="2"/>
  <c r="G1334" i="2"/>
  <c r="G1335" i="2"/>
  <c r="G1336" i="2"/>
  <c r="G1337" i="2"/>
  <c r="G1338" i="2"/>
  <c r="G1339" i="2"/>
  <c r="G1340" i="2"/>
  <c r="G1341" i="2"/>
  <c r="G1342" i="2"/>
  <c r="G1343" i="2"/>
  <c r="G1344" i="2"/>
  <c r="G1345" i="2"/>
  <c r="G1346" i="2"/>
  <c r="G1347" i="2"/>
  <c r="G1348" i="2"/>
  <c r="G1349" i="2"/>
  <c r="G1350" i="2"/>
  <c r="G1351" i="2"/>
  <c r="G1352" i="2"/>
  <c r="G1353" i="2"/>
  <c r="G1354" i="2"/>
  <c r="G1355" i="2"/>
  <c r="G1356" i="2"/>
  <c r="G1357" i="2"/>
  <c r="G1358" i="2"/>
  <c r="G1359" i="2"/>
  <c r="G1360" i="2"/>
  <c r="G1361" i="2"/>
  <c r="G1362" i="2"/>
  <c r="G1363" i="2"/>
  <c r="G1364" i="2"/>
  <c r="G1365" i="2"/>
  <c r="G1366" i="2"/>
  <c r="G1367" i="2"/>
  <c r="G1368" i="2"/>
  <c r="G1369" i="2"/>
  <c r="G1370" i="2"/>
  <c r="G1371" i="2"/>
  <c r="G1372" i="2"/>
  <c r="G1373" i="2"/>
  <c r="G1374" i="2"/>
  <c r="G1375" i="2"/>
  <c r="G1376" i="2"/>
  <c r="G1377" i="2"/>
  <c r="G1378" i="2"/>
  <c r="G1379" i="2"/>
  <c r="G1380" i="2"/>
  <c r="G1381" i="2"/>
  <c r="G1382" i="2"/>
  <c r="G1383" i="2"/>
  <c r="G1384" i="2"/>
  <c r="G1385" i="2"/>
  <c r="G1386" i="2"/>
  <c r="G1387" i="2"/>
  <c r="G1388" i="2"/>
  <c r="G1389" i="2"/>
  <c r="G1390" i="2"/>
  <c r="G1391" i="2"/>
  <c r="G1392" i="2"/>
  <c r="G1393" i="2"/>
  <c r="G1394" i="2"/>
  <c r="G1395" i="2"/>
  <c r="G1396" i="2"/>
  <c r="G1397" i="2"/>
  <c r="G1398" i="2"/>
  <c r="G1399" i="2"/>
  <c r="G1400" i="2"/>
  <c r="G1401" i="2"/>
  <c r="G1402" i="2"/>
  <c r="G1403" i="2"/>
  <c r="G1404" i="2"/>
  <c r="G1405" i="2"/>
  <c r="G1406" i="2"/>
  <c r="G1407" i="2"/>
  <c r="G1408" i="2"/>
  <c r="G1409" i="2"/>
  <c r="G1410" i="2"/>
  <c r="G1411" i="2"/>
  <c r="G1412" i="2"/>
  <c r="G1413" i="2"/>
  <c r="G1414" i="2"/>
  <c r="G1415" i="2"/>
  <c r="G1416" i="2"/>
  <c r="G1417" i="2"/>
  <c r="G1418" i="2"/>
  <c r="G1419" i="2"/>
  <c r="G1420" i="2"/>
  <c r="G1421" i="2"/>
  <c r="G1422" i="2"/>
  <c r="G1423" i="2"/>
  <c r="G1424" i="2"/>
  <c r="G1425" i="2"/>
  <c r="G1426" i="2"/>
  <c r="G1427" i="2"/>
  <c r="G1428" i="2"/>
  <c r="G1429" i="2"/>
  <c r="G1430" i="2"/>
  <c r="G1431" i="2"/>
  <c r="G1432" i="2"/>
  <c r="G1433" i="2"/>
  <c r="G1434" i="2"/>
  <c r="G1435" i="2"/>
  <c r="G1436" i="2"/>
  <c r="G1437" i="2"/>
  <c r="G1438" i="2"/>
  <c r="G1439" i="2"/>
  <c r="G1440" i="2"/>
  <c r="G1441" i="2"/>
  <c r="G1442" i="2"/>
  <c r="G1443" i="2"/>
  <c r="G1444" i="2"/>
  <c r="G1445" i="2"/>
  <c r="G1446" i="2"/>
  <c r="G1447" i="2"/>
  <c r="G1448" i="2"/>
  <c r="G1449" i="2"/>
  <c r="G1450" i="2"/>
  <c r="G1451" i="2"/>
  <c r="G1452" i="2"/>
  <c r="G1453" i="2"/>
  <c r="G1454" i="2"/>
  <c r="G1455" i="2"/>
  <c r="G1456" i="2"/>
  <c r="G1457" i="2"/>
  <c r="G1458" i="2"/>
  <c r="G1459" i="2"/>
  <c r="G1460" i="2"/>
  <c r="G1461" i="2"/>
  <c r="G1462" i="2"/>
  <c r="G1463" i="2"/>
  <c r="G1464" i="2"/>
  <c r="G1465" i="2"/>
  <c r="G1466" i="2"/>
  <c r="G1467" i="2"/>
  <c r="G1468" i="2"/>
  <c r="G1469" i="2"/>
  <c r="G1470" i="2"/>
  <c r="G1471" i="2"/>
  <c r="G1472" i="2"/>
  <c r="G1473" i="2"/>
  <c r="G1474" i="2"/>
  <c r="G1475" i="2"/>
  <c r="G1476" i="2"/>
  <c r="G1477" i="2"/>
  <c r="G1478" i="2"/>
  <c r="G1479" i="2"/>
  <c r="G1480" i="2"/>
  <c r="G1481" i="2"/>
  <c r="G1482" i="2"/>
  <c r="G1483" i="2"/>
  <c r="G1484" i="2"/>
  <c r="G1485" i="2"/>
  <c r="G1486" i="2"/>
  <c r="G1487" i="2"/>
  <c r="G1488" i="2"/>
  <c r="G1489" i="2"/>
  <c r="G1490" i="2"/>
  <c r="G1491" i="2"/>
  <c r="G1492" i="2"/>
  <c r="G1493" i="2"/>
  <c r="G1494" i="2"/>
  <c r="G1495" i="2"/>
  <c r="G1496" i="2"/>
  <c r="G1497" i="2"/>
  <c r="G1498" i="2"/>
  <c r="G1499" i="2"/>
  <c r="G1500" i="2"/>
  <c r="G1501" i="2"/>
  <c r="G1502" i="2"/>
  <c r="G1503" i="2"/>
  <c r="G1504" i="2"/>
  <c r="G1505" i="2"/>
  <c r="G1506" i="2"/>
  <c r="G1507" i="2"/>
  <c r="G1508" i="2"/>
  <c r="G1509" i="2"/>
  <c r="G1510" i="2"/>
  <c r="G1511" i="2"/>
  <c r="G1512" i="2"/>
  <c r="G1513" i="2"/>
  <c r="G1514" i="2"/>
  <c r="G1515" i="2"/>
  <c r="G1516" i="2"/>
  <c r="G1517" i="2"/>
  <c r="G1518" i="2"/>
  <c r="G1519" i="2"/>
  <c r="G1520" i="2"/>
  <c r="G1521" i="2"/>
  <c r="G1522" i="2"/>
  <c r="G1523" i="2"/>
  <c r="G1524" i="2"/>
  <c r="G1525" i="2"/>
  <c r="G1526" i="2"/>
  <c r="G1527" i="2"/>
  <c r="G1528" i="2"/>
  <c r="G1529" i="2"/>
  <c r="G1530" i="2"/>
  <c r="G1531" i="2"/>
  <c r="G1532" i="2"/>
  <c r="G1533" i="2"/>
  <c r="G1534" i="2"/>
  <c r="G1535" i="2"/>
  <c r="G1536" i="2"/>
  <c r="G1537" i="2"/>
  <c r="G1538" i="2"/>
  <c r="G1539" i="2"/>
  <c r="G1540" i="2"/>
  <c r="G1541" i="2"/>
  <c r="G1542" i="2"/>
  <c r="G1543" i="2"/>
  <c r="G1544" i="2"/>
  <c r="G1545" i="2"/>
  <c r="G1546" i="2"/>
  <c r="G1547" i="2"/>
  <c r="G1548" i="2"/>
  <c r="G1549" i="2"/>
  <c r="G1550" i="2"/>
  <c r="G1551" i="2"/>
  <c r="G1552" i="2"/>
  <c r="G1553" i="2"/>
  <c r="G1554" i="2"/>
  <c r="G1555" i="2"/>
  <c r="G1556" i="2"/>
  <c r="G1557" i="2"/>
  <c r="G1558" i="2"/>
  <c r="G1559" i="2"/>
  <c r="G1560" i="2"/>
  <c r="G1561" i="2"/>
  <c r="G1562" i="2"/>
  <c r="G1563" i="2"/>
  <c r="G1564" i="2"/>
  <c r="G1565" i="2"/>
  <c r="G1566" i="2"/>
  <c r="G1567" i="2"/>
  <c r="G1568" i="2"/>
  <c r="G1569" i="2"/>
  <c r="G1570" i="2"/>
  <c r="G1571" i="2"/>
  <c r="G1572" i="2"/>
  <c r="G1573" i="2"/>
  <c r="G1574" i="2"/>
  <c r="G1575" i="2"/>
  <c r="G1576" i="2"/>
  <c r="G1577" i="2"/>
  <c r="G1578" i="2"/>
  <c r="G1579" i="2"/>
  <c r="G1580" i="2"/>
  <c r="G1581" i="2"/>
  <c r="G1582" i="2"/>
  <c r="G1583" i="2"/>
  <c r="G1584" i="2"/>
  <c r="G1585" i="2"/>
  <c r="G1586" i="2"/>
  <c r="G1587" i="2"/>
  <c r="G1588" i="2"/>
  <c r="G1589" i="2"/>
  <c r="G1590" i="2"/>
  <c r="G1591" i="2"/>
  <c r="G1592" i="2"/>
  <c r="G1593" i="2"/>
  <c r="G1594" i="2"/>
  <c r="G1595" i="2"/>
  <c r="G1596" i="2"/>
  <c r="G1597" i="2"/>
  <c r="G1598" i="2"/>
  <c r="G1599" i="2"/>
  <c r="G1600" i="2"/>
  <c r="G1601" i="2"/>
  <c r="G1602" i="2"/>
  <c r="G1603" i="2"/>
  <c r="G1604" i="2"/>
  <c r="G1605" i="2"/>
  <c r="G1606" i="2"/>
  <c r="G1607" i="2"/>
  <c r="G1608" i="2"/>
  <c r="G1609" i="2"/>
  <c r="G1610" i="2"/>
  <c r="G1611" i="2"/>
  <c r="G1612" i="2"/>
  <c r="G1613" i="2"/>
  <c r="G1614" i="2"/>
  <c r="G1615" i="2"/>
  <c r="G1616" i="2"/>
  <c r="G1617" i="2"/>
  <c r="G1618" i="2"/>
  <c r="G1619" i="2"/>
  <c r="G1620" i="2"/>
  <c r="G1621" i="2"/>
  <c r="G1622" i="2"/>
  <c r="G1623" i="2"/>
  <c r="G1624" i="2"/>
  <c r="G1625" i="2"/>
  <c r="G1626" i="2"/>
  <c r="G1627" i="2"/>
  <c r="G1628" i="2"/>
  <c r="G1629" i="2"/>
  <c r="G1630" i="2"/>
  <c r="G1631" i="2"/>
  <c r="G1632" i="2"/>
  <c r="G1633" i="2"/>
  <c r="G1634" i="2"/>
  <c r="G1635" i="2"/>
  <c r="G1636" i="2"/>
  <c r="G1637" i="2"/>
  <c r="G1638" i="2"/>
  <c r="G1639" i="2"/>
  <c r="G1640" i="2"/>
  <c r="G1641" i="2"/>
  <c r="G1642" i="2"/>
  <c r="G1643" i="2"/>
  <c r="G1644" i="2"/>
  <c r="G1645" i="2"/>
  <c r="G1646" i="2"/>
  <c r="G1647" i="2"/>
  <c r="G1648" i="2"/>
  <c r="G1649" i="2"/>
  <c r="G1650" i="2"/>
  <c r="G1651" i="2"/>
  <c r="G1652" i="2"/>
  <c r="G1653" i="2"/>
  <c r="G1654" i="2"/>
  <c r="G1655" i="2"/>
  <c r="G1656" i="2"/>
  <c r="G1657" i="2"/>
  <c r="G1658" i="2"/>
  <c r="G1659" i="2"/>
  <c r="G1660" i="2"/>
  <c r="G1661" i="2"/>
  <c r="G1662" i="2"/>
  <c r="G1663" i="2"/>
  <c r="G1664" i="2"/>
  <c r="G1665" i="2"/>
  <c r="G1666" i="2"/>
  <c r="G1667" i="2"/>
  <c r="G1668" i="2"/>
  <c r="G1669" i="2"/>
  <c r="G1670" i="2"/>
  <c r="G1671" i="2"/>
  <c r="G1672" i="2"/>
  <c r="G1673" i="2"/>
  <c r="G1674" i="2"/>
  <c r="G1675" i="2"/>
  <c r="G1676" i="2"/>
  <c r="G1677" i="2"/>
  <c r="G1678" i="2"/>
  <c r="G1679" i="2"/>
  <c r="G1680" i="2"/>
  <c r="G1681" i="2"/>
  <c r="G1682" i="2"/>
  <c r="G1683" i="2"/>
  <c r="G1684" i="2"/>
  <c r="G1685" i="2"/>
  <c r="G1686" i="2"/>
  <c r="G1687" i="2"/>
  <c r="G1688" i="2"/>
  <c r="G1689" i="2"/>
  <c r="G1690" i="2"/>
  <c r="G1691" i="2"/>
  <c r="G1692" i="2"/>
  <c r="G1693" i="2"/>
  <c r="G1694" i="2"/>
  <c r="G1695" i="2"/>
  <c r="G1696" i="2"/>
  <c r="G1697" i="2"/>
  <c r="G1698" i="2"/>
  <c r="G1699" i="2"/>
  <c r="G1700" i="2"/>
  <c r="G1701" i="2"/>
  <c r="G1702" i="2"/>
  <c r="G1703" i="2"/>
  <c r="G1704" i="2"/>
  <c r="G1705" i="2"/>
  <c r="G1706" i="2"/>
  <c r="G1707" i="2"/>
  <c r="G1708" i="2"/>
  <c r="G1709" i="2"/>
  <c r="G1710" i="2"/>
  <c r="G1711" i="2"/>
  <c r="G1712" i="2"/>
  <c r="G1713" i="2"/>
  <c r="G1714" i="2"/>
  <c r="G1715" i="2"/>
  <c r="G1716" i="2"/>
  <c r="G1717" i="2"/>
  <c r="G1718" i="2"/>
  <c r="G1719" i="2"/>
  <c r="G1720" i="2"/>
  <c r="G1721" i="2"/>
  <c r="G1722" i="2"/>
  <c r="G1723" i="2"/>
  <c r="G1724" i="2"/>
  <c r="G1725" i="2"/>
  <c r="G1726" i="2"/>
  <c r="G1727" i="2"/>
  <c r="G1728" i="2"/>
  <c r="G1729" i="2"/>
  <c r="G1730" i="2"/>
  <c r="G1731" i="2"/>
  <c r="G1732" i="2"/>
  <c r="G1733" i="2"/>
  <c r="G1734" i="2"/>
  <c r="G1735" i="2"/>
  <c r="G1736" i="2"/>
  <c r="G1737" i="2"/>
  <c r="G1738" i="2"/>
  <c r="G1739" i="2"/>
  <c r="G1740" i="2"/>
  <c r="G1741" i="2"/>
  <c r="G1742" i="2"/>
  <c r="G1743" i="2"/>
  <c r="G1744" i="2"/>
  <c r="G1745" i="2"/>
  <c r="G1746" i="2"/>
  <c r="G1747" i="2"/>
  <c r="G1748" i="2"/>
  <c r="G1749" i="2"/>
  <c r="G1750" i="2"/>
  <c r="G1751" i="2"/>
  <c r="G1752" i="2"/>
  <c r="G1753" i="2"/>
  <c r="G1754" i="2"/>
  <c r="G1755" i="2"/>
  <c r="G1756" i="2"/>
  <c r="G1757" i="2"/>
  <c r="G1758" i="2"/>
  <c r="G1759" i="2"/>
  <c r="G1760" i="2"/>
  <c r="G1761" i="2"/>
  <c r="G1762" i="2"/>
  <c r="G1763" i="2"/>
  <c r="G1764" i="2"/>
  <c r="G1765" i="2"/>
  <c r="G1766" i="2"/>
  <c r="G1767" i="2"/>
  <c r="G1768" i="2"/>
  <c r="G1769" i="2"/>
  <c r="G1770" i="2"/>
  <c r="G1771" i="2"/>
  <c r="G1772" i="2"/>
  <c r="G1773" i="2"/>
  <c r="G1774" i="2"/>
  <c r="G1775" i="2"/>
  <c r="G1776" i="2"/>
  <c r="G1777" i="2"/>
  <c r="G1778" i="2"/>
  <c r="G1779" i="2"/>
  <c r="G1780" i="2"/>
  <c r="G1781" i="2"/>
  <c r="G1782" i="2"/>
  <c r="G1783" i="2"/>
  <c r="G1784" i="2"/>
  <c r="G1785" i="2"/>
  <c r="G1786" i="2"/>
  <c r="G1787" i="2"/>
  <c r="G1788" i="2"/>
  <c r="G1789" i="2"/>
  <c r="G1790" i="2"/>
  <c r="G1791" i="2"/>
  <c r="G1792" i="2"/>
  <c r="G1793" i="2"/>
  <c r="G1794" i="2"/>
  <c r="G1795" i="2"/>
  <c r="G1796" i="2"/>
  <c r="G1797" i="2"/>
  <c r="G1798" i="2"/>
  <c r="G1799" i="2"/>
  <c r="G1800" i="2"/>
  <c r="G1801" i="2"/>
  <c r="G1802" i="2"/>
  <c r="G1803" i="2"/>
  <c r="G1804" i="2"/>
  <c r="G1805" i="2"/>
  <c r="G1806" i="2"/>
  <c r="G1807" i="2"/>
  <c r="G1808" i="2"/>
  <c r="G1809" i="2"/>
  <c r="G1810" i="2"/>
  <c r="G1811" i="2"/>
  <c r="G1812" i="2"/>
  <c r="G1813" i="2"/>
  <c r="G1814" i="2"/>
  <c r="G1815" i="2"/>
  <c r="G1816" i="2"/>
  <c r="G1817" i="2"/>
  <c r="G1818" i="2"/>
  <c r="G1819" i="2"/>
  <c r="G1820" i="2"/>
  <c r="G1821" i="2"/>
  <c r="G1822" i="2"/>
  <c r="G1823" i="2"/>
  <c r="G1824" i="2"/>
  <c r="G1825" i="2"/>
  <c r="G1826" i="2"/>
  <c r="G1827" i="2"/>
  <c r="G1828" i="2"/>
  <c r="G1829" i="2"/>
  <c r="G1830" i="2"/>
  <c r="G1831" i="2"/>
  <c r="G1832" i="2"/>
  <c r="G1833" i="2"/>
  <c r="G1834" i="2"/>
  <c r="G1835" i="2"/>
  <c r="G1836" i="2"/>
  <c r="G1837" i="2"/>
  <c r="G1838" i="2"/>
  <c r="G1839" i="2"/>
  <c r="G1840" i="2"/>
  <c r="G1841" i="2"/>
  <c r="G1842" i="2"/>
  <c r="G1843" i="2"/>
  <c r="G1844" i="2"/>
  <c r="G1845" i="2"/>
  <c r="G1846" i="2"/>
  <c r="G1847" i="2"/>
  <c r="G1848" i="2"/>
  <c r="G1849" i="2"/>
  <c r="G1850" i="2"/>
  <c r="G1851" i="2"/>
  <c r="G1852" i="2"/>
  <c r="G1853" i="2"/>
  <c r="G1854" i="2"/>
  <c r="G1855" i="2"/>
  <c r="G1856" i="2"/>
  <c r="G1857" i="2"/>
  <c r="G1858" i="2"/>
  <c r="G1859" i="2"/>
  <c r="G1860" i="2"/>
  <c r="G1861" i="2"/>
  <c r="G1862" i="2"/>
  <c r="G1863" i="2"/>
  <c r="G1864" i="2"/>
  <c r="G1865" i="2"/>
  <c r="G1866" i="2"/>
  <c r="G1867" i="2"/>
  <c r="G1868" i="2"/>
  <c r="G1869" i="2"/>
  <c r="G1870" i="2"/>
  <c r="G1871" i="2"/>
  <c r="G1872" i="2"/>
  <c r="G1873" i="2"/>
  <c r="G1874" i="2"/>
  <c r="G1875" i="2"/>
  <c r="G1876" i="2"/>
  <c r="G1877" i="2"/>
  <c r="G1878" i="2"/>
  <c r="G1879" i="2"/>
  <c r="G1880" i="2"/>
  <c r="G1881" i="2"/>
  <c r="G1882" i="2"/>
  <c r="G1883" i="2"/>
  <c r="G1884" i="2"/>
  <c r="G1885" i="2"/>
  <c r="G1886" i="2"/>
  <c r="G1887" i="2"/>
  <c r="G1888" i="2"/>
  <c r="G1889" i="2"/>
  <c r="G1890" i="2"/>
  <c r="G1891" i="2"/>
  <c r="G1892" i="2"/>
  <c r="G1893" i="2"/>
  <c r="G1894" i="2"/>
  <c r="G1895" i="2"/>
  <c r="G1896" i="2"/>
  <c r="G1897" i="2"/>
  <c r="G1898" i="2"/>
  <c r="G1899" i="2"/>
  <c r="G1900" i="2"/>
  <c r="G1901" i="2"/>
  <c r="G1902" i="2"/>
  <c r="G1903" i="2"/>
  <c r="G1904" i="2"/>
  <c r="G1905" i="2"/>
  <c r="G1906" i="2"/>
  <c r="G1907" i="2"/>
  <c r="G1908" i="2"/>
  <c r="G1909" i="2"/>
  <c r="G1910" i="2"/>
  <c r="G1911" i="2"/>
  <c r="G1912" i="2"/>
  <c r="G1913" i="2"/>
  <c r="G1914" i="2"/>
  <c r="G1915" i="2"/>
  <c r="G1916" i="2"/>
  <c r="G1917" i="2"/>
  <c r="G1918" i="2"/>
  <c r="G1919" i="2"/>
  <c r="G1920" i="2"/>
  <c r="G1921" i="2"/>
  <c r="G1922" i="2"/>
  <c r="G1923" i="2"/>
  <c r="G1924" i="2"/>
  <c r="G1925" i="2"/>
  <c r="G1926" i="2"/>
  <c r="G1927" i="2"/>
  <c r="G1928" i="2"/>
  <c r="G1929" i="2"/>
  <c r="G1930" i="2"/>
  <c r="G1931" i="2"/>
  <c r="G1932" i="2"/>
  <c r="G1933" i="2"/>
  <c r="G1934" i="2"/>
  <c r="G1935" i="2"/>
  <c r="G1936" i="2"/>
  <c r="G1937" i="2"/>
  <c r="G1938" i="2"/>
  <c r="G1939" i="2"/>
  <c r="G1940" i="2"/>
  <c r="G1941" i="2"/>
  <c r="G1942" i="2"/>
  <c r="G1943" i="2"/>
  <c r="G1944" i="2"/>
  <c r="G1945" i="2"/>
  <c r="G1946" i="2"/>
  <c r="G1947" i="2"/>
  <c r="G1948" i="2"/>
  <c r="G1949" i="2"/>
  <c r="G1950" i="2"/>
  <c r="G1951" i="2"/>
  <c r="G1952" i="2"/>
  <c r="G1953" i="2"/>
  <c r="G1954" i="2"/>
  <c r="G1955" i="2"/>
  <c r="G1956" i="2"/>
  <c r="G1957" i="2"/>
  <c r="G1958" i="2"/>
  <c r="G1959" i="2"/>
  <c r="G1960" i="2"/>
  <c r="G1961" i="2"/>
  <c r="G1962" i="2"/>
  <c r="G1963" i="2"/>
  <c r="G1964" i="2"/>
  <c r="G1965" i="2"/>
  <c r="G1966" i="2"/>
  <c r="G1967" i="2"/>
  <c r="G1968" i="2"/>
  <c r="G1969" i="2"/>
  <c r="G1970" i="2"/>
  <c r="G1971" i="2"/>
  <c r="G1972" i="2"/>
  <c r="G1973" i="2"/>
  <c r="G1974" i="2"/>
  <c r="G1975" i="2"/>
  <c r="G1976" i="2"/>
  <c r="G1977" i="2"/>
  <c r="G1978" i="2"/>
  <c r="G1979" i="2"/>
  <c r="G1980" i="2"/>
  <c r="G1981" i="2"/>
  <c r="G1982" i="2"/>
  <c r="G1983" i="2"/>
  <c r="G1984" i="2"/>
  <c r="G1985" i="2"/>
  <c r="G1986" i="2"/>
  <c r="G1987" i="2"/>
  <c r="G1988" i="2"/>
  <c r="G1989" i="2"/>
  <c r="G1990" i="2"/>
  <c r="G1991" i="2"/>
  <c r="G1992" i="2"/>
  <c r="G1993" i="2"/>
  <c r="G1994" i="2"/>
  <c r="G1995" i="2"/>
  <c r="G1996" i="2"/>
  <c r="G1997" i="2"/>
  <c r="G1998" i="2"/>
  <c r="G1999" i="2"/>
  <c r="G2000" i="2"/>
  <c r="G2001" i="2"/>
  <c r="G2002" i="2"/>
  <c r="G2003" i="2"/>
  <c r="G2004" i="2"/>
  <c r="G2005" i="2"/>
  <c r="G2006" i="2"/>
  <c r="G2007" i="2"/>
  <c r="G2008" i="2"/>
  <c r="G2009" i="2"/>
  <c r="G2010" i="2"/>
  <c r="G2011" i="2"/>
  <c r="G2012" i="2"/>
  <c r="G2013" i="2"/>
  <c r="G2014" i="2"/>
  <c r="G2015" i="2"/>
  <c r="G2016" i="2"/>
  <c r="G2017" i="2"/>
  <c r="G2018" i="2"/>
  <c r="G2019" i="2"/>
  <c r="G2020" i="2"/>
  <c r="G2021" i="2"/>
  <c r="G2022" i="2"/>
  <c r="G2023" i="2"/>
  <c r="G2024" i="2"/>
  <c r="G2025" i="2"/>
  <c r="G2026" i="2"/>
  <c r="G2027" i="2"/>
  <c r="G2028" i="2"/>
  <c r="G2029" i="2"/>
  <c r="G2030" i="2"/>
  <c r="G2031" i="2"/>
  <c r="G2032" i="2"/>
  <c r="G2033" i="2"/>
  <c r="G2034" i="2"/>
  <c r="G2035" i="2"/>
  <c r="G2036" i="2"/>
  <c r="G2037" i="2"/>
  <c r="G2038" i="2"/>
  <c r="G2039" i="2"/>
  <c r="G2040" i="2"/>
  <c r="G2041" i="2"/>
  <c r="G2042" i="2"/>
  <c r="G2043" i="2"/>
  <c r="G2044" i="2"/>
  <c r="G2045" i="2"/>
  <c r="G2046" i="2"/>
  <c r="G2047" i="2"/>
  <c r="G2048" i="2"/>
  <c r="G2049" i="2"/>
  <c r="G2050" i="2"/>
  <c r="G2051" i="2"/>
  <c r="G2052" i="2"/>
  <c r="G2053" i="2"/>
  <c r="G2054" i="2"/>
  <c r="G2055" i="2"/>
  <c r="G2056" i="2"/>
  <c r="G2057" i="2"/>
  <c r="G2058" i="2"/>
  <c r="G2059" i="2"/>
  <c r="G2060" i="2"/>
  <c r="G2061" i="2"/>
  <c r="G2062" i="2"/>
  <c r="G2063" i="2"/>
  <c r="G2064" i="2"/>
  <c r="G2065" i="2"/>
  <c r="G2066" i="2"/>
  <c r="G2067" i="2"/>
  <c r="G2068" i="2"/>
  <c r="G2069" i="2"/>
  <c r="G2070" i="2"/>
  <c r="G2071" i="2"/>
  <c r="G2072" i="2"/>
  <c r="G2073" i="2"/>
  <c r="G2074" i="2"/>
  <c r="G2075" i="2"/>
  <c r="G2076" i="2"/>
  <c r="G2077" i="2"/>
  <c r="G2078" i="2"/>
  <c r="G2079" i="2"/>
  <c r="G2080" i="2"/>
  <c r="G2081" i="2"/>
  <c r="G2082" i="2"/>
  <c r="G2083" i="2"/>
  <c r="G2084" i="2"/>
  <c r="G2085" i="2"/>
  <c r="G2086" i="2"/>
  <c r="G2087" i="2"/>
  <c r="G2088" i="2"/>
  <c r="G2089" i="2"/>
  <c r="G2090" i="2"/>
  <c r="G2091" i="2"/>
  <c r="G2092" i="2"/>
  <c r="G2093" i="2"/>
  <c r="G2094" i="2"/>
  <c r="G2095" i="2"/>
  <c r="G2096" i="2"/>
  <c r="G2097" i="2"/>
  <c r="G2098" i="2"/>
  <c r="G2099" i="2"/>
  <c r="G2100" i="2"/>
  <c r="G2101" i="2"/>
  <c r="G2102" i="2"/>
  <c r="G2103" i="2"/>
  <c r="G2104" i="2"/>
  <c r="G2105" i="2"/>
  <c r="G2106" i="2"/>
  <c r="G2107" i="2"/>
  <c r="G2108" i="2"/>
  <c r="G2109" i="2"/>
  <c r="G2110" i="2"/>
  <c r="G2111" i="2"/>
  <c r="G2112" i="2"/>
  <c r="G2113" i="2"/>
  <c r="G2114" i="2"/>
  <c r="G2115" i="2"/>
  <c r="G2116" i="2"/>
  <c r="G2117" i="2"/>
  <c r="G2118" i="2"/>
  <c r="G2119" i="2"/>
  <c r="G2120" i="2"/>
  <c r="G2121" i="2"/>
  <c r="G2122" i="2"/>
  <c r="G2123" i="2"/>
  <c r="G2124" i="2"/>
  <c r="G2125" i="2"/>
  <c r="G2126" i="2"/>
  <c r="G2127" i="2"/>
  <c r="G2128" i="2"/>
  <c r="G2129" i="2"/>
  <c r="G2130" i="2"/>
  <c r="G2131" i="2"/>
  <c r="G2132" i="2"/>
  <c r="G2133" i="2"/>
  <c r="G2134" i="2"/>
  <c r="G2135" i="2"/>
  <c r="G2136" i="2"/>
  <c r="G2137" i="2"/>
  <c r="G2138" i="2"/>
  <c r="G2139" i="2"/>
  <c r="G2140" i="2"/>
  <c r="G2141" i="2"/>
  <c r="G2142" i="2"/>
  <c r="G2143" i="2"/>
  <c r="G2144" i="2"/>
  <c r="G2145" i="2"/>
  <c r="G2146" i="2"/>
  <c r="G2147" i="2"/>
  <c r="G2148" i="2"/>
  <c r="G2149" i="2"/>
  <c r="G2150" i="2"/>
  <c r="G2151" i="2"/>
  <c r="G2152" i="2"/>
  <c r="G2153" i="2"/>
  <c r="G2154" i="2"/>
  <c r="G2155" i="2"/>
  <c r="G2156" i="2"/>
  <c r="G2157" i="2"/>
  <c r="G2158" i="2"/>
  <c r="G2159" i="2"/>
  <c r="G2160" i="2"/>
  <c r="G2161" i="2"/>
  <c r="G2162" i="2"/>
  <c r="G2163" i="2"/>
  <c r="G2164" i="2"/>
  <c r="G2165" i="2"/>
  <c r="G2166" i="2"/>
  <c r="G2167" i="2"/>
  <c r="G2168" i="2"/>
  <c r="G2169" i="2"/>
  <c r="G2170" i="2"/>
  <c r="G2171" i="2"/>
  <c r="G2172" i="2"/>
  <c r="G2173" i="2"/>
  <c r="G2174" i="2"/>
  <c r="G2175" i="2"/>
  <c r="G2176" i="2"/>
  <c r="G2177" i="2"/>
  <c r="G2178" i="2"/>
  <c r="G2179" i="2"/>
  <c r="G2180" i="2"/>
  <c r="G2181" i="2"/>
  <c r="G2182" i="2"/>
  <c r="G2183" i="2"/>
  <c r="G2184" i="2"/>
  <c r="G2185" i="2"/>
  <c r="G2186" i="2"/>
  <c r="G2187" i="2"/>
  <c r="G2188" i="2"/>
  <c r="G2189" i="2"/>
  <c r="G2190" i="2"/>
  <c r="G2191" i="2"/>
  <c r="G2192" i="2"/>
  <c r="G2193" i="2"/>
  <c r="G2194" i="2"/>
  <c r="G2195" i="2"/>
  <c r="G2196" i="2"/>
  <c r="G2197" i="2"/>
  <c r="G2198" i="2"/>
  <c r="G2199" i="2"/>
  <c r="G2200" i="2"/>
  <c r="G2201" i="2"/>
  <c r="G2202" i="2"/>
  <c r="G2203" i="2"/>
  <c r="G2204" i="2"/>
  <c r="G2205" i="2"/>
  <c r="G2206" i="2"/>
  <c r="G2207" i="2"/>
  <c r="G2208" i="2"/>
  <c r="G2209" i="2"/>
  <c r="G2210" i="2"/>
  <c r="G2211" i="2"/>
  <c r="G2212" i="2"/>
  <c r="G2213" i="2"/>
  <c r="G2214" i="2"/>
  <c r="G2215" i="2"/>
  <c r="G2216" i="2"/>
  <c r="G2217" i="2"/>
  <c r="G2218" i="2"/>
  <c r="G2219" i="2"/>
  <c r="G2220" i="2"/>
  <c r="G2221" i="2"/>
  <c r="G2222" i="2"/>
  <c r="G2223" i="2"/>
  <c r="G2224" i="2"/>
  <c r="G2225" i="2"/>
  <c r="G2226" i="2"/>
  <c r="G2227" i="2"/>
  <c r="G2228" i="2"/>
  <c r="G2229" i="2"/>
  <c r="G2230" i="2"/>
  <c r="G2231" i="2"/>
  <c r="G2232" i="2"/>
  <c r="G2233" i="2"/>
  <c r="G2234" i="2"/>
  <c r="G2235" i="2"/>
  <c r="G2236" i="2"/>
  <c r="G2237" i="2"/>
  <c r="G2238" i="2"/>
  <c r="G2239" i="2"/>
  <c r="G2240" i="2"/>
  <c r="G2241" i="2"/>
  <c r="G2242" i="2"/>
  <c r="G2243" i="2"/>
  <c r="G2244" i="2"/>
  <c r="G2245" i="2"/>
  <c r="G2246" i="2"/>
  <c r="G2247" i="2"/>
  <c r="G2248" i="2"/>
  <c r="G2249" i="2"/>
  <c r="G2250" i="2"/>
  <c r="G2251" i="2"/>
  <c r="G2252" i="2"/>
  <c r="G2253" i="2"/>
  <c r="G2254" i="2"/>
  <c r="G2255" i="2"/>
  <c r="G2256" i="2"/>
  <c r="G2257" i="2"/>
  <c r="G2258" i="2"/>
  <c r="G2259" i="2"/>
  <c r="G2260" i="2"/>
  <c r="G2261" i="2"/>
  <c r="G2262" i="2"/>
  <c r="G2263" i="2"/>
  <c r="G2264" i="2"/>
  <c r="G2265" i="2"/>
  <c r="G2266" i="2"/>
  <c r="G2267" i="2"/>
  <c r="G2268" i="2"/>
  <c r="G2269" i="2"/>
  <c r="G2270" i="2"/>
  <c r="G2271" i="2"/>
  <c r="G2272" i="2"/>
  <c r="G2273" i="2"/>
  <c r="G2274" i="2"/>
  <c r="G2275" i="2"/>
  <c r="G2276" i="2"/>
  <c r="G2277" i="2"/>
  <c r="G2278" i="2"/>
  <c r="G2279" i="2"/>
  <c r="G2280" i="2"/>
  <c r="G2281" i="2"/>
  <c r="G2282" i="2"/>
  <c r="G2283" i="2"/>
  <c r="G2284" i="2"/>
  <c r="G2285" i="2"/>
  <c r="G2286" i="2"/>
  <c r="G2287" i="2"/>
  <c r="G2288" i="2"/>
  <c r="G2289" i="2"/>
  <c r="G2290" i="2"/>
  <c r="G2291" i="2"/>
  <c r="G2292" i="2"/>
  <c r="G2293" i="2"/>
  <c r="G2294" i="2"/>
  <c r="G2295" i="2"/>
  <c r="G2296" i="2"/>
  <c r="G2297" i="2"/>
  <c r="G2298" i="2"/>
  <c r="G2299" i="2"/>
  <c r="G2300" i="2"/>
  <c r="G2301" i="2"/>
  <c r="G2302" i="2"/>
  <c r="G2303" i="2"/>
  <c r="G2304" i="2"/>
  <c r="G2305" i="2"/>
  <c r="G2306" i="2"/>
  <c r="G2307" i="2"/>
  <c r="G2308" i="2"/>
  <c r="G2309" i="2"/>
  <c r="G2310" i="2"/>
  <c r="G2311" i="2"/>
  <c r="G2312" i="2"/>
  <c r="G2313" i="2"/>
  <c r="G2314" i="2"/>
  <c r="G2315" i="2"/>
  <c r="G2316" i="2"/>
  <c r="G2317" i="2"/>
  <c r="G2318" i="2"/>
  <c r="G2319" i="2"/>
  <c r="G2320" i="2"/>
  <c r="G2321" i="2"/>
  <c r="G2322" i="2"/>
  <c r="G2323" i="2"/>
  <c r="G2324" i="2"/>
  <c r="G2325" i="2"/>
  <c r="G2326" i="2"/>
  <c r="G2327" i="2"/>
  <c r="G2328" i="2"/>
  <c r="G2329" i="2"/>
  <c r="G2330" i="2"/>
  <c r="G2331" i="2"/>
  <c r="G2332" i="2"/>
  <c r="G2333" i="2"/>
  <c r="G2334" i="2"/>
  <c r="G2335" i="2"/>
  <c r="G2336" i="2"/>
  <c r="G2337" i="2"/>
  <c r="G2338" i="2"/>
  <c r="G2339" i="2"/>
  <c r="G2340" i="2"/>
  <c r="G2341" i="2"/>
  <c r="G2342" i="2"/>
  <c r="G2343" i="2"/>
  <c r="G2344" i="2"/>
  <c r="G2345" i="2"/>
  <c r="G2346" i="2"/>
  <c r="G2347" i="2"/>
  <c r="G2348" i="2"/>
  <c r="G2349" i="2"/>
  <c r="G2350" i="2"/>
  <c r="G2351" i="2"/>
  <c r="G2352" i="2"/>
  <c r="G2353" i="2"/>
  <c r="G2354" i="2"/>
  <c r="G2355" i="2"/>
  <c r="G2356" i="2"/>
  <c r="G2357" i="2"/>
  <c r="G2358" i="2"/>
  <c r="G2359" i="2"/>
  <c r="G2360" i="2"/>
  <c r="G2361" i="2"/>
  <c r="G2362" i="2"/>
  <c r="G2363" i="2"/>
  <c r="G2364" i="2"/>
  <c r="G2365" i="2"/>
  <c r="G2366" i="2"/>
  <c r="G2367" i="2"/>
  <c r="G2368" i="2"/>
  <c r="G2369" i="2"/>
  <c r="G2370" i="2"/>
  <c r="G2371" i="2"/>
  <c r="G2372" i="2"/>
  <c r="G2373" i="2"/>
  <c r="G2374" i="2"/>
  <c r="G2375" i="2"/>
  <c r="G2376" i="2"/>
  <c r="G2377" i="2"/>
  <c r="G2378" i="2"/>
  <c r="G2379" i="2"/>
  <c r="G2380" i="2"/>
  <c r="G2381" i="2"/>
  <c r="G2382" i="2"/>
  <c r="G2383" i="2"/>
  <c r="G2384" i="2"/>
  <c r="G2385" i="2"/>
  <c r="G2386" i="2"/>
  <c r="G2387" i="2"/>
  <c r="G2388" i="2"/>
  <c r="G2389" i="2"/>
  <c r="G2390" i="2"/>
  <c r="G2391" i="2"/>
  <c r="G2392" i="2"/>
  <c r="G2393" i="2"/>
  <c r="G2394" i="2"/>
  <c r="G2395" i="2"/>
  <c r="G2396" i="2"/>
  <c r="G2397" i="2"/>
  <c r="G2398" i="2"/>
  <c r="G2399" i="2"/>
  <c r="G2400" i="2"/>
  <c r="G2401" i="2"/>
  <c r="G2402" i="2"/>
  <c r="G2403" i="2"/>
  <c r="G2404" i="2"/>
  <c r="G2405" i="2"/>
  <c r="G2406" i="2"/>
  <c r="G2407" i="2"/>
  <c r="G2408" i="2"/>
  <c r="G2409" i="2"/>
  <c r="G2410" i="2"/>
  <c r="G2411" i="2"/>
  <c r="G2412" i="2"/>
  <c r="G2413" i="2"/>
  <c r="G2414" i="2"/>
  <c r="G2415" i="2"/>
  <c r="G2416" i="2"/>
  <c r="G2417" i="2"/>
  <c r="G2418" i="2"/>
  <c r="G2419" i="2"/>
  <c r="G2420" i="2"/>
  <c r="G2421" i="2"/>
  <c r="G2422" i="2"/>
  <c r="G2423" i="2"/>
  <c r="G2424" i="2"/>
  <c r="G2425" i="2"/>
  <c r="G2426" i="2"/>
  <c r="G2427" i="2"/>
  <c r="G2428" i="2"/>
  <c r="G2429" i="2"/>
  <c r="G2430" i="2"/>
  <c r="G2431" i="2"/>
  <c r="G2432" i="2"/>
  <c r="G2433" i="2"/>
  <c r="G2434" i="2"/>
  <c r="G2435" i="2"/>
  <c r="G2436" i="2"/>
  <c r="G2437" i="2"/>
  <c r="G2438" i="2"/>
  <c r="G2439" i="2"/>
  <c r="G2440" i="2"/>
  <c r="G2441" i="2"/>
  <c r="G2442" i="2"/>
  <c r="G2443" i="2"/>
  <c r="G2444" i="2"/>
  <c r="G2445" i="2"/>
  <c r="G2446" i="2"/>
  <c r="G2447" i="2"/>
  <c r="G2448" i="2"/>
  <c r="G2449" i="2"/>
  <c r="G2450" i="2"/>
  <c r="G2451" i="2"/>
  <c r="G2452" i="2"/>
  <c r="G2453" i="2"/>
  <c r="G2454" i="2"/>
  <c r="G2455" i="2"/>
  <c r="G2456" i="2"/>
  <c r="G2457" i="2"/>
  <c r="G2458" i="2"/>
  <c r="G2459" i="2"/>
  <c r="G2460" i="2"/>
  <c r="G2461" i="2"/>
  <c r="G2462" i="2"/>
  <c r="G2463" i="2"/>
  <c r="G2464" i="2"/>
  <c r="G2465" i="2"/>
  <c r="G2466" i="2"/>
  <c r="G2467" i="2"/>
  <c r="G2468" i="2"/>
  <c r="G2469" i="2"/>
  <c r="G2470" i="2"/>
  <c r="G2471" i="2"/>
  <c r="G2472" i="2"/>
  <c r="G2473" i="2"/>
  <c r="G2474" i="2"/>
  <c r="G2475" i="2"/>
  <c r="G2476" i="2"/>
  <c r="G2477" i="2"/>
  <c r="G2478" i="2"/>
  <c r="G2479" i="2"/>
  <c r="G2480" i="2"/>
  <c r="G2481" i="2"/>
  <c r="G2482" i="2"/>
  <c r="G2483" i="2"/>
  <c r="G2484" i="2"/>
  <c r="G2601" i="2"/>
  <c r="G2485" i="2"/>
  <c r="G2486" i="2"/>
  <c r="G2487" i="2"/>
  <c r="G2488" i="2"/>
  <c r="G2489" i="2"/>
  <c r="G2490" i="2"/>
  <c r="G2491" i="2"/>
  <c r="G2492" i="2"/>
  <c r="G2493" i="2"/>
  <c r="G2494" i="2"/>
  <c r="G2495" i="2"/>
  <c r="G2496" i="2"/>
  <c r="G2497" i="2"/>
  <c r="G2498" i="2"/>
  <c r="G2499" i="2"/>
  <c r="G2500" i="2"/>
  <c r="G2501" i="2"/>
  <c r="G2502" i="2"/>
  <c r="G2503" i="2"/>
  <c r="G2504" i="2"/>
  <c r="G2505" i="2"/>
  <c r="G2506" i="2"/>
  <c r="G2507" i="2"/>
  <c r="G2508" i="2"/>
  <c r="G2509" i="2"/>
  <c r="G2510" i="2"/>
  <c r="G2511" i="2"/>
  <c r="G2512" i="2"/>
  <c r="G2513" i="2"/>
  <c r="G2514" i="2"/>
  <c r="G2515" i="2"/>
  <c r="G2516" i="2"/>
  <c r="G2517" i="2"/>
  <c r="G2518" i="2"/>
  <c r="G2519" i="2"/>
  <c r="G2520" i="2"/>
  <c r="G2521" i="2"/>
  <c r="G2522" i="2"/>
  <c r="G2523" i="2"/>
  <c r="G2524" i="2"/>
  <c r="G2525" i="2"/>
  <c r="G2526" i="2"/>
  <c r="G2527" i="2"/>
  <c r="G2528" i="2"/>
  <c r="G2529" i="2"/>
  <c r="G2530" i="2"/>
  <c r="G2531" i="2"/>
  <c r="G2532" i="2"/>
  <c r="G2533" i="2"/>
  <c r="G2534" i="2"/>
  <c r="G2535" i="2"/>
  <c r="G2536" i="2"/>
  <c r="G2537" i="2"/>
  <c r="G2538" i="2"/>
  <c r="G2539" i="2"/>
  <c r="G2540" i="2"/>
  <c r="G2541" i="2"/>
  <c r="G2542" i="2"/>
  <c r="G2543" i="2"/>
  <c r="G2544" i="2"/>
  <c r="G2545" i="2"/>
  <c r="G2546" i="2"/>
  <c r="G2547" i="2"/>
  <c r="G2548" i="2"/>
  <c r="G2549" i="2"/>
  <c r="G2550" i="2"/>
  <c r="G2551" i="2"/>
  <c r="G2552" i="2"/>
  <c r="G2553" i="2"/>
  <c r="G2554" i="2"/>
  <c r="G2555" i="2"/>
  <c r="G2556" i="2"/>
  <c r="G2557" i="2"/>
  <c r="G2558" i="2"/>
  <c r="G2559" i="2"/>
  <c r="G2560" i="2"/>
  <c r="G2561" i="2"/>
  <c r="G2562" i="2"/>
  <c r="G2563" i="2"/>
  <c r="G2564" i="2"/>
  <c r="G2565" i="2"/>
  <c r="G2566" i="2"/>
  <c r="G2567" i="2"/>
  <c r="G2568" i="2"/>
  <c r="G2569" i="2"/>
  <c r="G2570" i="2"/>
  <c r="G2571" i="2"/>
  <c r="G2572" i="2"/>
  <c r="G2573" i="2"/>
  <c r="G2574" i="2"/>
  <c r="G2575" i="2"/>
  <c r="G2576" i="2"/>
  <c r="G2577" i="2"/>
  <c r="G2578" i="2"/>
  <c r="G2579" i="2"/>
  <c r="G2580" i="2"/>
  <c r="G2581" i="2"/>
  <c r="G2582" i="2"/>
  <c r="G2583" i="2"/>
  <c r="G2584" i="2"/>
  <c r="G2585" i="2"/>
  <c r="G2586" i="2"/>
  <c r="G2587" i="2"/>
  <c r="G2588" i="2"/>
  <c r="G2589" i="2"/>
  <c r="G2590" i="2"/>
  <c r="G2591" i="2"/>
  <c r="G2592" i="2"/>
  <c r="G2593" i="2"/>
  <c r="G2594" i="2"/>
  <c r="G2595" i="2"/>
  <c r="G2596" i="2"/>
  <c r="G2597" i="2"/>
  <c r="G2598" i="2"/>
  <c r="G2599" i="2"/>
  <c r="G2602" i="2"/>
  <c r="G2603" i="2"/>
  <c r="G2604" i="2"/>
  <c r="G2605" i="2"/>
  <c r="G2606" i="2"/>
  <c r="G2607" i="2"/>
  <c r="G2608" i="2"/>
  <c r="G2609" i="2"/>
  <c r="G2610" i="2"/>
  <c r="G2611" i="2"/>
  <c r="G2612" i="2"/>
  <c r="G2613" i="2"/>
  <c r="G2614" i="2"/>
  <c r="G2615" i="2"/>
  <c r="G2616" i="2"/>
  <c r="G2617" i="2"/>
  <c r="G2618" i="2"/>
  <c r="G2619" i="2"/>
  <c r="G2620" i="2"/>
  <c r="G2621" i="2"/>
  <c r="G2622" i="2"/>
  <c r="G2623" i="2"/>
  <c r="G2624" i="2"/>
  <c r="G2625" i="2"/>
  <c r="G2626" i="2"/>
  <c r="G2627" i="2"/>
  <c r="G2628" i="2"/>
  <c r="G2629" i="2"/>
  <c r="G2630" i="2"/>
  <c r="G2631" i="2"/>
  <c r="G2632" i="2"/>
  <c r="G2633" i="2"/>
  <c r="G2634" i="2"/>
  <c r="G2635" i="2"/>
  <c r="G2636" i="2"/>
  <c r="G2637" i="2"/>
  <c r="G2638" i="2"/>
  <c r="G2639" i="2"/>
  <c r="G2640" i="2"/>
  <c r="G2641" i="2"/>
  <c r="G2642" i="2"/>
  <c r="G2643" i="2"/>
  <c r="G2644" i="2"/>
  <c r="G2645" i="2"/>
  <c r="G2646" i="2"/>
  <c r="G2647" i="2"/>
  <c r="G2648" i="2"/>
  <c r="G2649" i="2"/>
  <c r="G2650" i="2"/>
  <c r="G2651" i="2"/>
  <c r="G2652" i="2"/>
  <c r="G2653" i="2"/>
  <c r="G2654" i="2"/>
  <c r="G2655" i="2"/>
  <c r="G2656" i="2"/>
  <c r="G2657" i="2"/>
  <c r="G2658" i="2"/>
  <c r="G2659" i="2"/>
  <c r="G2660" i="2"/>
  <c r="G2661" i="2"/>
  <c r="G2662" i="2"/>
  <c r="G2663" i="2"/>
  <c r="G2664" i="2"/>
  <c r="G2665" i="2"/>
  <c r="G2666" i="2"/>
  <c r="G2667" i="2"/>
  <c r="G2668" i="2"/>
  <c r="G2669" i="2"/>
  <c r="G2670" i="2"/>
  <c r="G2671" i="2"/>
  <c r="G2672" i="2"/>
  <c r="G2673" i="2"/>
  <c r="G2674" i="2"/>
  <c r="G2675" i="2"/>
  <c r="G2676" i="2"/>
  <c r="G2677" i="2"/>
  <c r="G2678" i="2"/>
  <c r="G2679" i="2"/>
  <c r="G2680" i="2"/>
  <c r="G2681" i="2"/>
  <c r="G2682" i="2"/>
  <c r="G2683" i="2"/>
  <c r="G2684" i="2"/>
  <c r="G2685" i="2"/>
  <c r="G2686" i="2"/>
  <c r="G2687" i="2"/>
  <c r="G2688" i="2"/>
  <c r="G2689" i="2"/>
  <c r="G2690" i="2"/>
  <c r="G2691" i="2"/>
  <c r="G2692" i="2"/>
  <c r="G2693" i="2"/>
  <c r="G2694" i="2"/>
  <c r="G2695" i="2"/>
  <c r="G2696" i="2"/>
  <c r="G2697" i="2"/>
  <c r="G2698" i="2"/>
  <c r="G2699" i="2"/>
  <c r="G2700" i="2"/>
  <c r="G2701" i="2"/>
  <c r="G2702" i="2"/>
  <c r="G2703" i="2"/>
  <c r="G2704" i="2"/>
  <c r="G2705" i="2"/>
  <c r="G2706" i="2"/>
  <c r="G2707" i="2"/>
  <c r="G2708" i="2"/>
  <c r="G2709" i="2"/>
  <c r="G2710" i="2"/>
  <c r="G2711" i="2"/>
  <c r="G2712" i="2"/>
  <c r="G2713" i="2"/>
  <c r="G2714" i="2"/>
  <c r="G2715" i="2"/>
  <c r="G2716" i="2"/>
  <c r="G2717" i="2"/>
  <c r="G2718" i="2"/>
  <c r="G2719" i="2"/>
  <c r="G2720" i="2"/>
  <c r="G2721" i="2"/>
  <c r="G2722" i="2"/>
  <c r="G2723" i="2"/>
  <c r="G2724" i="2"/>
  <c r="G2725" i="2"/>
  <c r="G2726" i="2"/>
  <c r="G2727" i="2"/>
  <c r="G2728" i="2"/>
  <c r="G2729" i="2"/>
  <c r="G2730" i="2"/>
  <c r="G2731" i="2"/>
  <c r="G2732" i="2"/>
  <c r="G2733" i="2"/>
  <c r="G2734" i="2"/>
  <c r="G2735" i="2"/>
  <c r="G2736" i="2"/>
  <c r="G2737" i="2"/>
  <c r="G2738" i="2"/>
  <c r="G2739" i="2"/>
  <c r="G2740" i="2"/>
  <c r="G2741" i="2"/>
  <c r="G2742" i="2"/>
  <c r="G2743" i="2"/>
  <c r="G2744" i="2"/>
  <c r="G2745" i="2"/>
  <c r="G2746" i="2"/>
  <c r="G2747" i="2"/>
  <c r="G2748" i="2"/>
  <c r="G2749" i="2"/>
  <c r="G2750" i="2"/>
  <c r="G2751" i="2"/>
  <c r="G2752" i="2"/>
  <c r="G2753" i="2"/>
  <c r="G2754" i="2"/>
  <c r="G2755" i="2"/>
  <c r="G2756" i="2"/>
  <c r="G2757" i="2"/>
  <c r="G2758" i="2"/>
  <c r="G2759" i="2"/>
  <c r="G2760" i="2"/>
  <c r="G2761" i="2"/>
  <c r="G2762" i="2"/>
  <c r="G2763" i="2"/>
  <c r="G2764" i="2"/>
  <c r="G2765" i="2"/>
  <c r="G2766" i="2"/>
  <c r="G2767" i="2"/>
  <c r="G2768" i="2"/>
  <c r="G2769" i="2"/>
  <c r="G2770" i="2"/>
  <c r="G2771" i="2"/>
  <c r="G2772" i="2"/>
  <c r="G2773" i="2"/>
  <c r="G2774" i="2"/>
  <c r="G2775" i="2"/>
  <c r="G2776" i="2"/>
  <c r="G2777" i="2"/>
  <c r="G2778" i="2"/>
  <c r="G2779" i="2"/>
  <c r="G2780" i="2"/>
  <c r="G2781" i="2"/>
  <c r="G2782" i="2"/>
  <c r="G2783" i="2"/>
  <c r="G2784" i="2"/>
  <c r="G2785" i="2"/>
  <c r="G2786" i="2"/>
  <c r="G2787" i="2"/>
  <c r="G2788" i="2"/>
  <c r="G2789" i="2"/>
  <c r="G2790" i="2"/>
  <c r="G2791" i="2"/>
  <c r="G2792" i="2"/>
  <c r="G2793" i="2"/>
  <c r="G2794" i="2"/>
  <c r="G2795" i="2"/>
  <c r="G2796" i="2"/>
  <c r="G2797" i="2"/>
  <c r="G2798" i="2"/>
  <c r="G2799" i="2"/>
  <c r="G2800" i="2"/>
  <c r="G2801" i="2"/>
  <c r="G2802" i="2"/>
  <c r="G2803" i="2"/>
  <c r="G2804" i="2"/>
  <c r="G2805" i="2"/>
  <c r="G2806" i="2"/>
  <c r="G2807" i="2"/>
  <c r="G2808" i="2"/>
  <c r="G2809" i="2"/>
  <c r="G2810" i="2"/>
  <c r="G2811" i="2"/>
  <c r="G2812" i="2"/>
  <c r="G2813" i="2"/>
  <c r="G2814" i="2"/>
  <c r="G2815" i="2"/>
  <c r="G2816" i="2"/>
  <c r="G2817" i="2"/>
  <c r="G2818" i="2"/>
  <c r="G2819" i="2"/>
  <c r="G2820" i="2"/>
  <c r="G2821" i="2"/>
  <c r="G2822" i="2"/>
  <c r="G2823" i="2"/>
  <c r="G2824" i="2"/>
  <c r="G2825" i="2"/>
  <c r="G2826" i="2"/>
  <c r="G2827" i="2"/>
  <c r="G2828" i="2"/>
  <c r="G2829" i="2"/>
  <c r="G2830" i="2"/>
  <c r="G2831" i="2"/>
  <c r="G2832" i="2"/>
  <c r="G2833" i="2"/>
  <c r="G2834" i="2"/>
  <c r="G2835" i="2"/>
  <c r="G2836" i="2"/>
  <c r="G2837" i="2"/>
  <c r="G2838" i="2"/>
  <c r="G2839" i="2"/>
  <c r="G2840" i="2"/>
  <c r="G2841" i="2"/>
  <c r="G2842" i="2"/>
  <c r="G2843" i="2"/>
  <c r="G2844" i="2"/>
  <c r="G2845" i="2"/>
  <c r="G2846" i="2"/>
  <c r="G2847" i="2"/>
  <c r="G2848" i="2"/>
  <c r="G2849" i="2"/>
  <c r="G2850" i="2"/>
  <c r="G2851" i="2"/>
  <c r="G2852" i="2"/>
  <c r="G2853" i="2"/>
  <c r="G2854" i="2"/>
  <c r="G2855" i="2"/>
  <c r="G2856" i="2"/>
  <c r="G2857" i="2"/>
  <c r="G2858" i="2"/>
  <c r="G2859" i="2"/>
  <c r="G2860" i="2"/>
  <c r="G2861" i="2"/>
  <c r="G2862" i="2"/>
  <c r="G2863" i="2"/>
  <c r="G2864" i="2"/>
  <c r="G2865" i="2"/>
  <c r="G2866" i="2"/>
  <c r="G2867" i="2"/>
  <c r="G2868" i="2"/>
  <c r="G2869" i="2"/>
  <c r="G2870" i="2"/>
  <c r="G2871" i="2"/>
  <c r="G2872" i="2"/>
  <c r="G2873" i="2"/>
  <c r="G2874" i="2"/>
  <c r="G2875" i="2"/>
  <c r="G2876" i="2"/>
  <c r="G2877" i="2"/>
  <c r="G2878" i="2"/>
  <c r="G2879" i="2"/>
  <c r="G2880" i="2"/>
  <c r="G2881" i="2"/>
  <c r="G2882" i="2"/>
  <c r="G2883" i="2"/>
  <c r="G2884" i="2"/>
  <c r="G2885" i="2"/>
  <c r="G2886" i="2"/>
  <c r="G2887" i="2"/>
  <c r="G2888" i="2"/>
  <c r="G2889" i="2"/>
  <c r="G2890" i="2"/>
  <c r="G2891" i="2"/>
  <c r="G2600" i="2"/>
  <c r="G2892" i="2"/>
  <c r="G2893" i="2"/>
  <c r="G2894" i="2"/>
  <c r="G2895" i="2"/>
  <c r="G2896" i="2"/>
  <c r="G2897" i="2"/>
  <c r="G2898" i="2"/>
  <c r="G2899" i="2"/>
  <c r="G2900" i="2"/>
  <c r="G2901" i="2"/>
  <c r="G2902" i="2"/>
  <c r="G2903" i="2"/>
  <c r="G2904" i="2"/>
  <c r="G2905" i="2"/>
  <c r="G2906" i="2"/>
  <c r="G2907" i="2"/>
  <c r="G2908" i="2"/>
  <c r="G2909" i="2"/>
  <c r="G2910" i="2"/>
  <c r="G2911" i="2"/>
  <c r="G2912" i="2"/>
  <c r="G2913" i="2"/>
  <c r="G2914" i="2"/>
  <c r="G2915" i="2"/>
  <c r="G2916" i="2"/>
  <c r="G2917" i="2"/>
  <c r="G2918" i="2"/>
  <c r="G2919" i="2"/>
  <c r="G2920" i="2"/>
  <c r="G2921" i="2"/>
  <c r="G2922" i="2"/>
  <c r="G2923" i="2"/>
  <c r="G2924" i="2"/>
  <c r="G2925" i="2"/>
  <c r="G2926" i="2"/>
  <c r="G2927" i="2"/>
  <c r="G2928" i="2"/>
  <c r="G2929" i="2"/>
  <c r="G2930" i="2"/>
  <c r="G2931" i="2"/>
  <c r="G2932" i="2"/>
  <c r="G2933" i="2"/>
  <c r="G2934" i="2"/>
  <c r="G2935" i="2"/>
  <c r="G2936" i="2"/>
  <c r="G2937" i="2"/>
  <c r="G2938" i="2"/>
  <c r="G2939" i="2"/>
  <c r="G2940" i="2"/>
  <c r="G2941" i="2"/>
  <c r="G2942" i="2"/>
  <c r="G2943" i="2"/>
  <c r="G2944" i="2"/>
  <c r="G2945" i="2"/>
  <c r="G2946" i="2"/>
  <c r="G2947" i="2"/>
  <c r="G2948" i="2"/>
  <c r="G2949" i="2"/>
  <c r="G2950" i="2"/>
  <c r="G2951" i="2"/>
  <c r="G2952" i="2"/>
  <c r="G2953" i="2"/>
  <c r="G2954" i="2"/>
  <c r="G2955" i="2"/>
  <c r="G2956" i="2"/>
  <c r="G2957" i="2"/>
  <c r="G2958" i="2"/>
  <c r="G2959" i="2"/>
  <c r="G2960" i="2"/>
  <c r="G2961" i="2"/>
  <c r="G2962" i="2"/>
  <c r="G2963" i="2"/>
  <c r="G2964" i="2"/>
  <c r="G2965" i="2"/>
  <c r="G2966" i="2"/>
  <c r="G2967" i="2"/>
  <c r="G2968" i="2"/>
  <c r="G2969" i="2"/>
  <c r="G2970" i="2"/>
  <c r="G2971" i="2"/>
  <c r="G2972" i="2"/>
  <c r="G2973" i="2"/>
  <c r="G2974" i="2"/>
  <c r="G2975" i="2"/>
  <c r="G2976" i="2"/>
  <c r="G2977" i="2"/>
  <c r="G2978" i="2"/>
  <c r="G2979" i="2"/>
  <c r="G2980" i="2"/>
  <c r="G2981" i="2"/>
  <c r="G2982" i="2"/>
  <c r="G2983" i="2"/>
  <c r="G2984" i="2"/>
  <c r="G2985" i="2"/>
  <c r="G2986" i="2"/>
  <c r="G2987" i="2"/>
  <c r="G2988" i="2"/>
  <c r="G2989" i="2"/>
  <c r="G2990" i="2"/>
  <c r="G2991" i="2"/>
  <c r="G2992" i="2"/>
  <c r="G2993" i="2"/>
  <c r="G2994" i="2"/>
  <c r="G2995" i="2"/>
  <c r="G2996" i="2"/>
  <c r="G2997" i="2"/>
  <c r="G2998" i="2"/>
  <c r="G2999" i="2"/>
  <c r="G3000" i="2"/>
  <c r="G3001" i="2"/>
  <c r="G3002" i="2"/>
  <c r="G3003" i="2"/>
  <c r="G3004" i="2"/>
  <c r="G3005" i="2"/>
  <c r="G3006" i="2"/>
  <c r="G3007" i="2"/>
  <c r="G3008" i="2"/>
  <c r="G3009" i="2"/>
  <c r="G3010" i="2"/>
  <c r="G3011" i="2"/>
  <c r="G3012" i="2"/>
  <c r="G3013" i="2"/>
  <c r="G3014" i="2"/>
  <c r="G3015" i="2"/>
  <c r="G3016" i="2"/>
  <c r="G3017" i="2"/>
  <c r="G3018" i="2"/>
  <c r="G3019" i="2"/>
  <c r="G3020" i="2"/>
  <c r="G3021" i="2"/>
  <c r="G3022" i="2"/>
  <c r="G3023" i="2"/>
  <c r="G3024" i="2"/>
  <c r="G3025" i="2"/>
  <c r="G3026" i="2"/>
  <c r="G3027" i="2"/>
  <c r="G3028" i="2"/>
  <c r="G3029" i="2"/>
  <c r="G3030" i="2"/>
  <c r="G3031" i="2"/>
  <c r="G3032" i="2"/>
  <c r="G3033" i="2"/>
  <c r="G3034" i="2"/>
  <c r="G3035" i="2"/>
  <c r="G3036" i="2"/>
  <c r="G3037" i="2"/>
  <c r="G3038" i="2"/>
  <c r="G3039" i="2"/>
  <c r="G3040" i="2"/>
  <c r="G3041" i="2"/>
  <c r="G3042" i="2"/>
  <c r="G3043" i="2"/>
  <c r="G3044" i="2"/>
  <c r="G3045" i="2"/>
  <c r="G3046" i="2"/>
  <c r="G3047" i="2"/>
  <c r="G3048" i="2"/>
  <c r="G3049" i="2"/>
  <c r="G3050" i="2"/>
  <c r="G3051" i="2"/>
  <c r="G3052" i="2"/>
  <c r="G3053" i="2"/>
  <c r="G3054" i="2"/>
  <c r="G3055" i="2"/>
  <c r="G3056" i="2"/>
  <c r="G3057" i="2"/>
  <c r="G3058" i="2"/>
  <c r="G3059" i="2"/>
  <c r="G3060" i="2"/>
  <c r="G3061" i="2"/>
  <c r="G3062" i="2"/>
  <c r="G3063" i="2"/>
  <c r="G3064" i="2"/>
  <c r="G3065" i="2"/>
  <c r="G3066" i="2"/>
  <c r="G3067" i="2"/>
  <c r="G3068" i="2"/>
  <c r="G3069" i="2"/>
  <c r="G3070" i="2"/>
  <c r="G3071" i="2"/>
  <c r="G3072" i="2"/>
  <c r="G3073" i="2"/>
  <c r="G3074" i="2"/>
  <c r="G3075" i="2"/>
  <c r="G3076" i="2"/>
  <c r="G3077" i="2"/>
  <c r="G3078" i="2"/>
  <c r="G3079" i="2"/>
  <c r="G3080" i="2"/>
  <c r="G3081" i="2"/>
  <c r="G3082" i="2"/>
  <c r="G3083" i="2"/>
  <c r="G3084" i="2"/>
  <c r="G3085" i="2"/>
  <c r="G3086" i="2"/>
  <c r="G3087" i="2"/>
  <c r="G3088" i="2"/>
  <c r="G3089" i="2"/>
  <c r="G3090" i="2"/>
  <c r="G3091" i="2"/>
  <c r="G3092" i="2"/>
  <c r="G3093" i="2"/>
  <c r="G3094" i="2"/>
  <c r="G3095" i="2"/>
  <c r="G3096" i="2"/>
  <c r="G3097" i="2"/>
  <c r="G3098" i="2"/>
  <c r="G3099" i="2"/>
  <c r="G3100" i="2"/>
  <c r="G3101" i="2"/>
  <c r="G3102" i="2"/>
  <c r="G3103" i="2"/>
  <c r="G3104" i="2"/>
  <c r="G3105" i="2"/>
  <c r="G3106" i="2"/>
  <c r="G3107" i="2"/>
  <c r="G3108" i="2"/>
  <c r="G3109" i="2"/>
  <c r="G3110" i="2"/>
  <c r="G3111" i="2"/>
  <c r="G3112" i="2"/>
  <c r="G3113" i="2"/>
  <c r="G3114" i="2"/>
  <c r="G3115" i="2"/>
  <c r="G3116" i="2"/>
  <c r="G3117" i="2"/>
  <c r="G3118" i="2"/>
  <c r="G3119" i="2"/>
  <c r="G3120" i="2"/>
  <c r="G3121" i="2"/>
  <c r="G3122" i="2"/>
  <c r="G3123" i="2"/>
  <c r="G3124" i="2"/>
  <c r="G3125" i="2"/>
  <c r="G3126" i="2"/>
  <c r="G3127" i="2"/>
  <c r="G3128" i="2"/>
  <c r="G3129" i="2"/>
  <c r="G3130" i="2"/>
  <c r="G3131" i="2"/>
  <c r="G3132" i="2"/>
  <c r="G3133" i="2"/>
  <c r="G3134" i="2"/>
  <c r="G3135" i="2"/>
  <c r="G3136" i="2"/>
  <c r="G3137" i="2"/>
  <c r="G3138" i="2"/>
  <c r="G3139" i="2"/>
  <c r="G3140" i="2"/>
  <c r="G3141" i="2"/>
  <c r="G3142" i="2"/>
  <c r="G3143" i="2"/>
  <c r="G3144" i="2"/>
  <c r="G3145" i="2"/>
  <c r="G3146" i="2"/>
  <c r="G3147" i="2"/>
  <c r="G3148" i="2"/>
  <c r="G3149" i="2"/>
  <c r="G3150" i="2"/>
  <c r="G3151" i="2"/>
  <c r="G3152" i="2"/>
  <c r="G3153" i="2"/>
  <c r="G3154" i="2"/>
  <c r="G3155" i="2"/>
  <c r="G3156" i="2"/>
  <c r="G3157" i="2"/>
  <c r="G3158" i="2"/>
  <c r="G3159" i="2"/>
  <c r="G3160" i="2"/>
  <c r="G3161" i="2"/>
  <c r="G3162" i="2"/>
  <c r="G3163" i="2"/>
  <c r="G3164" i="2"/>
  <c r="G3165" i="2"/>
  <c r="G3166" i="2"/>
  <c r="G3167" i="2"/>
  <c r="G3168" i="2"/>
  <c r="G3169" i="2"/>
  <c r="G3170" i="2"/>
  <c r="G3171" i="2"/>
  <c r="G3172" i="2"/>
  <c r="G3173" i="2"/>
  <c r="G3174" i="2"/>
  <c r="G3175" i="2"/>
  <c r="G3176" i="2"/>
  <c r="G3177" i="2"/>
  <c r="G3178" i="2"/>
  <c r="G3179" i="2"/>
  <c r="G3180" i="2"/>
  <c r="G3181" i="2"/>
  <c r="G3182" i="2"/>
  <c r="G3183" i="2"/>
  <c r="G3184" i="2"/>
  <c r="G3185" i="2"/>
  <c r="G3186" i="2"/>
  <c r="G3187" i="2"/>
  <c r="G3188" i="2"/>
  <c r="G3189" i="2"/>
  <c r="G3190" i="2"/>
  <c r="G3191" i="2"/>
  <c r="G3192" i="2"/>
  <c r="G3193" i="2"/>
  <c r="G3194" i="2"/>
  <c r="G3195" i="2"/>
  <c r="G3196" i="2"/>
  <c r="G3197" i="2"/>
  <c r="G3198" i="2"/>
  <c r="G3199" i="2"/>
  <c r="G3200" i="2"/>
  <c r="G3201" i="2"/>
  <c r="G3202" i="2"/>
  <c r="G3203" i="2"/>
  <c r="G3204" i="2"/>
  <c r="G3205" i="2"/>
  <c r="G3206" i="2"/>
  <c r="G3207" i="2"/>
  <c r="G3208" i="2"/>
  <c r="G3209" i="2"/>
  <c r="G3210" i="2"/>
  <c r="G3211" i="2"/>
  <c r="G3212" i="2"/>
  <c r="G3213" i="2"/>
  <c r="G3214" i="2"/>
  <c r="G3215" i="2"/>
  <c r="G3216" i="2"/>
  <c r="G3217" i="2"/>
  <c r="G3218" i="2"/>
  <c r="G3219" i="2"/>
  <c r="G3220" i="2"/>
  <c r="G3221" i="2"/>
  <c r="G3222" i="2"/>
  <c r="G3223" i="2"/>
  <c r="G3224" i="2"/>
  <c r="G3225" i="2"/>
  <c r="G3226" i="2"/>
  <c r="G3227" i="2"/>
  <c r="G3228" i="2"/>
  <c r="G3229" i="2"/>
  <c r="G3230" i="2"/>
  <c r="G3231" i="2"/>
  <c r="G3232" i="2"/>
  <c r="G3233" i="2"/>
  <c r="G3234" i="2"/>
  <c r="G3235" i="2"/>
  <c r="G3236" i="2"/>
  <c r="G3237" i="2"/>
  <c r="G3238" i="2"/>
  <c r="G3239" i="2"/>
  <c r="G3240" i="2"/>
  <c r="G3241" i="2"/>
  <c r="G3242" i="2"/>
  <c r="G3243" i="2"/>
  <c r="G3244" i="2"/>
  <c r="G3245" i="2"/>
  <c r="G3246" i="2"/>
  <c r="G3247" i="2"/>
  <c r="G3248" i="2"/>
  <c r="G3249" i="2"/>
  <c r="G3250" i="2"/>
  <c r="G3251" i="2"/>
  <c r="G3252" i="2"/>
  <c r="G3253" i="2"/>
  <c r="G3254" i="2"/>
  <c r="G3255" i="2"/>
  <c r="G3256" i="2"/>
  <c r="G3257" i="2"/>
  <c r="G3258" i="2"/>
  <c r="G3259" i="2"/>
  <c r="G3260" i="2"/>
  <c r="G3261" i="2"/>
  <c r="G3262" i="2"/>
  <c r="G3263" i="2"/>
  <c r="G3264" i="2"/>
  <c r="G3265" i="2"/>
  <c r="G3266" i="2"/>
  <c r="G3267" i="2"/>
  <c r="G3268" i="2"/>
  <c r="G3269" i="2"/>
  <c r="G3270" i="2"/>
  <c r="G3271" i="2"/>
  <c r="G3272" i="2"/>
  <c r="G3273" i="2"/>
  <c r="G3274" i="2"/>
  <c r="G3275" i="2"/>
  <c r="G3276" i="2"/>
  <c r="G3277" i="2"/>
  <c r="G3278" i="2"/>
  <c r="G3279" i="2"/>
  <c r="G3280" i="2"/>
  <c r="G3281" i="2"/>
  <c r="G3282" i="2"/>
  <c r="G3283" i="2"/>
  <c r="F2" i="2"/>
  <c r="F3" i="2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3" i="2"/>
  <c r="F94" i="2"/>
  <c r="F96" i="2"/>
  <c r="F97" i="2"/>
  <c r="F98" i="2"/>
  <c r="F99" i="2"/>
  <c r="F100" i="2"/>
  <c r="F101" i="2"/>
  <c r="F102" i="2"/>
  <c r="F104" i="2"/>
  <c r="F105" i="2"/>
  <c r="F107" i="2"/>
  <c r="F108" i="2"/>
  <c r="F110" i="2"/>
  <c r="F111" i="2"/>
  <c r="F112" i="2"/>
  <c r="F113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203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70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F316" i="2"/>
  <c r="F317" i="2"/>
  <c r="F318" i="2"/>
  <c r="F319" i="2"/>
  <c r="F320" i="2"/>
  <c r="F321" i="2"/>
  <c r="F322" i="2"/>
  <c r="F323" i="2"/>
  <c r="F324" i="2"/>
  <c r="F325" i="2"/>
  <c r="F326" i="2"/>
  <c r="F328" i="2"/>
  <c r="F329" i="2"/>
  <c r="F330" i="2"/>
  <c r="F331" i="2"/>
  <c r="F332" i="2"/>
  <c r="F333" i="2"/>
  <c r="F334" i="2"/>
  <c r="F335" i="2"/>
  <c r="F336" i="2"/>
  <c r="F337" i="2"/>
  <c r="F338" i="2"/>
  <c r="F339" i="2"/>
  <c r="F340" i="2"/>
  <c r="F341" i="2"/>
  <c r="F342" i="2"/>
  <c r="F343" i="2"/>
  <c r="F344" i="2"/>
  <c r="F345" i="2"/>
  <c r="F346" i="2"/>
  <c r="F347" i="2"/>
  <c r="F348" i="2"/>
  <c r="F349" i="2"/>
  <c r="F350" i="2"/>
  <c r="F351" i="2"/>
  <c r="F352" i="2"/>
  <c r="F353" i="2"/>
  <c r="F354" i="2"/>
  <c r="F355" i="2"/>
  <c r="F356" i="2"/>
  <c r="F357" i="2"/>
  <c r="F358" i="2"/>
  <c r="F359" i="2"/>
  <c r="F360" i="2"/>
  <c r="F361" i="2"/>
  <c r="F362" i="2"/>
  <c r="F364" i="2"/>
  <c r="F365" i="2"/>
  <c r="F366" i="2"/>
  <c r="F367" i="2"/>
  <c r="F368" i="2"/>
  <c r="F369" i="2"/>
  <c r="F370" i="2"/>
  <c r="F371" i="2"/>
  <c r="F372" i="2"/>
  <c r="F373" i="2"/>
  <c r="F374" i="2"/>
  <c r="F375" i="2"/>
  <c r="F376" i="2"/>
  <c r="F377" i="2"/>
  <c r="F378" i="2"/>
  <c r="F379" i="2"/>
  <c r="F380" i="2"/>
  <c r="F381" i="2"/>
  <c r="F382" i="2"/>
  <c r="F383" i="2"/>
  <c r="F384" i="2"/>
  <c r="F385" i="2"/>
  <c r="F386" i="2"/>
  <c r="F387" i="2"/>
  <c r="F388" i="2"/>
  <c r="F389" i="2"/>
  <c r="F390" i="2"/>
  <c r="F391" i="2"/>
  <c r="F392" i="2"/>
  <c r="F393" i="2"/>
  <c r="F394" i="2"/>
  <c r="F395" i="2"/>
  <c r="F396" i="2"/>
  <c r="F397" i="2"/>
  <c r="F398" i="2"/>
  <c r="F399" i="2"/>
  <c r="F400" i="2"/>
  <c r="F401" i="2"/>
  <c r="F402" i="2"/>
  <c r="F403" i="2"/>
  <c r="F404" i="2"/>
  <c r="F405" i="2"/>
  <c r="F406" i="2"/>
  <c r="F407" i="2"/>
  <c r="F408" i="2"/>
  <c r="F409" i="2"/>
  <c r="F410" i="2"/>
  <c r="F411" i="2"/>
  <c r="F412" i="2"/>
  <c r="F413" i="2"/>
  <c r="F414" i="2"/>
  <c r="F415" i="2"/>
  <c r="F416" i="2"/>
  <c r="F417" i="2"/>
  <c r="F418" i="2"/>
  <c r="F419" i="2"/>
  <c r="F420" i="2"/>
  <c r="F421" i="2"/>
  <c r="F422" i="2"/>
  <c r="F423" i="2"/>
  <c r="F424" i="2"/>
  <c r="F425" i="2"/>
  <c r="F426" i="2"/>
  <c r="F427" i="2"/>
  <c r="F428" i="2"/>
  <c r="F429" i="2"/>
  <c r="F430" i="2"/>
  <c r="F431" i="2"/>
  <c r="F432" i="2"/>
  <c r="F433" i="2"/>
  <c r="F434" i="2"/>
  <c r="F435" i="2"/>
  <c r="F436" i="2"/>
  <c r="F437" i="2"/>
  <c r="F438" i="2"/>
  <c r="F439" i="2"/>
  <c r="F440" i="2"/>
  <c r="F441" i="2"/>
  <c r="F442" i="2"/>
  <c r="F443" i="2"/>
  <c r="F444" i="2"/>
  <c r="F445" i="2"/>
  <c r="F446" i="2"/>
  <c r="F447" i="2"/>
  <c r="F448" i="2"/>
  <c r="F449" i="2"/>
  <c r="F450" i="2"/>
  <c r="F451" i="2"/>
  <c r="F452" i="2"/>
  <c r="F453" i="2"/>
  <c r="F454" i="2"/>
  <c r="F455" i="2"/>
  <c r="F456" i="2"/>
  <c r="F457" i="2"/>
  <c r="F458" i="2"/>
  <c r="F459" i="2"/>
  <c r="F460" i="2"/>
  <c r="F461" i="2"/>
  <c r="F462" i="2"/>
  <c r="F463" i="2"/>
  <c r="F464" i="2"/>
  <c r="F465" i="2"/>
  <c r="F466" i="2"/>
  <c r="F467" i="2"/>
  <c r="F468" i="2"/>
  <c r="F469" i="2"/>
  <c r="F470" i="2"/>
  <c r="F471" i="2"/>
  <c r="F472" i="2"/>
  <c r="F473" i="2"/>
  <c r="F474" i="2"/>
  <c r="F475" i="2"/>
  <c r="F476" i="2"/>
  <c r="F477" i="2"/>
  <c r="F478" i="2"/>
  <c r="F479" i="2"/>
  <c r="F480" i="2"/>
  <c r="F481" i="2"/>
  <c r="F482" i="2"/>
  <c r="F483" i="2"/>
  <c r="F484" i="2"/>
  <c r="F485" i="2"/>
  <c r="F486" i="2"/>
  <c r="F487" i="2"/>
  <c r="F488" i="2"/>
  <c r="F489" i="2"/>
  <c r="F490" i="2"/>
  <c r="F491" i="2"/>
  <c r="F492" i="2"/>
  <c r="F493" i="2"/>
  <c r="F494" i="2"/>
  <c r="F495" i="2"/>
  <c r="F496" i="2"/>
  <c r="F497" i="2"/>
  <c r="F498" i="2"/>
  <c r="F499" i="2"/>
  <c r="F500" i="2"/>
  <c r="F501" i="2"/>
  <c r="F502" i="2"/>
  <c r="F503" i="2"/>
  <c r="F504" i="2"/>
  <c r="F505" i="2"/>
  <c r="F506" i="2"/>
  <c r="F507" i="2"/>
  <c r="F508" i="2"/>
  <c r="F509" i="2"/>
  <c r="F510" i="2"/>
  <c r="F511" i="2"/>
  <c r="F512" i="2"/>
  <c r="F513" i="2"/>
  <c r="F514" i="2"/>
  <c r="F515" i="2"/>
  <c r="F516" i="2"/>
  <c r="F517" i="2"/>
  <c r="F518" i="2"/>
  <c r="F519" i="2"/>
  <c r="F520" i="2"/>
  <c r="F521" i="2"/>
  <c r="F522" i="2"/>
  <c r="F523" i="2"/>
  <c r="F524" i="2"/>
  <c r="F525" i="2"/>
  <c r="F526" i="2"/>
  <c r="F527" i="2"/>
  <c r="F528" i="2"/>
  <c r="F529" i="2"/>
  <c r="F530" i="2"/>
  <c r="F531" i="2"/>
  <c r="F532" i="2"/>
  <c r="F533" i="2"/>
  <c r="F534" i="2"/>
  <c r="F535" i="2"/>
  <c r="F536" i="2"/>
  <c r="F537" i="2"/>
  <c r="F538" i="2"/>
  <c r="F539" i="2"/>
  <c r="F540" i="2"/>
  <c r="F541" i="2"/>
  <c r="F542" i="2"/>
  <c r="F543" i="2"/>
  <c r="F544" i="2"/>
  <c r="F545" i="2"/>
  <c r="F546" i="2"/>
  <c r="F547" i="2"/>
  <c r="F548" i="2"/>
  <c r="F549" i="2"/>
  <c r="F550" i="2"/>
  <c r="F551" i="2"/>
  <c r="F552" i="2"/>
  <c r="F553" i="2"/>
  <c r="F554" i="2"/>
  <c r="F555" i="2"/>
  <c r="F556" i="2"/>
  <c r="F557" i="2"/>
  <c r="F558" i="2"/>
  <c r="F559" i="2"/>
  <c r="F560" i="2"/>
  <c r="F561" i="2"/>
  <c r="F562" i="2"/>
  <c r="F563" i="2"/>
  <c r="F564" i="2"/>
  <c r="F565" i="2"/>
  <c r="F566" i="2"/>
  <c r="F567" i="2"/>
  <c r="F568" i="2"/>
  <c r="F569" i="2"/>
  <c r="F570" i="2"/>
  <c r="F571" i="2"/>
  <c r="F572" i="2"/>
  <c r="F573" i="2"/>
  <c r="F574" i="2"/>
  <c r="F575" i="2"/>
  <c r="F576" i="2"/>
  <c r="F577" i="2"/>
  <c r="F578" i="2"/>
  <c r="F579" i="2"/>
  <c r="F580" i="2"/>
  <c r="F581" i="2"/>
  <c r="F582" i="2"/>
  <c r="F583" i="2"/>
  <c r="F584" i="2"/>
  <c r="F585" i="2"/>
  <c r="F586" i="2"/>
  <c r="F587" i="2"/>
  <c r="F588" i="2"/>
  <c r="F589" i="2"/>
  <c r="F590" i="2"/>
  <c r="F591" i="2"/>
  <c r="F592" i="2"/>
  <c r="F593" i="2"/>
  <c r="F594" i="2"/>
  <c r="F595" i="2"/>
  <c r="F596" i="2"/>
  <c r="F597" i="2"/>
  <c r="F598" i="2"/>
  <c r="F599" i="2"/>
  <c r="F600" i="2"/>
  <c r="F601" i="2"/>
  <c r="F602" i="2"/>
  <c r="F603" i="2"/>
  <c r="F604" i="2"/>
  <c r="F605" i="2"/>
  <c r="F606" i="2"/>
  <c r="F607" i="2"/>
  <c r="F608" i="2"/>
  <c r="F609" i="2"/>
  <c r="F610" i="2"/>
  <c r="F611" i="2"/>
  <c r="F612" i="2"/>
  <c r="F613" i="2"/>
  <c r="F614" i="2"/>
  <c r="F615" i="2"/>
  <c r="F616" i="2"/>
  <c r="F617" i="2"/>
  <c r="F618" i="2"/>
  <c r="F619" i="2"/>
  <c r="F620" i="2"/>
  <c r="F621" i="2"/>
  <c r="F622" i="2"/>
  <c r="F623" i="2"/>
  <c r="F624" i="2"/>
  <c r="F625" i="2"/>
  <c r="F626" i="2"/>
  <c r="F627" i="2"/>
  <c r="F628" i="2"/>
  <c r="F629" i="2"/>
  <c r="F630" i="2"/>
  <c r="F631" i="2"/>
  <c r="F632" i="2"/>
  <c r="F633" i="2"/>
  <c r="F634" i="2"/>
  <c r="F635" i="2"/>
  <c r="F636" i="2"/>
  <c r="F637" i="2"/>
  <c r="F638" i="2"/>
  <c r="F639" i="2"/>
  <c r="F640" i="2"/>
  <c r="F641" i="2"/>
  <c r="F642" i="2"/>
  <c r="F643" i="2"/>
  <c r="F644" i="2"/>
  <c r="F645" i="2"/>
  <c r="F646" i="2"/>
  <c r="F647" i="2"/>
  <c r="F648" i="2"/>
  <c r="F649" i="2"/>
  <c r="F650" i="2"/>
  <c r="F651" i="2"/>
  <c r="F652" i="2"/>
  <c r="F653" i="2"/>
  <c r="F654" i="2"/>
  <c r="F655" i="2"/>
  <c r="F656" i="2"/>
  <c r="F657" i="2"/>
  <c r="F658" i="2"/>
  <c r="F659" i="2"/>
  <c r="F660" i="2"/>
  <c r="F661" i="2"/>
  <c r="F662" i="2"/>
  <c r="F663" i="2"/>
  <c r="F664" i="2"/>
  <c r="F665" i="2"/>
  <c r="F666" i="2"/>
  <c r="F667" i="2"/>
  <c r="F668" i="2"/>
  <c r="F669" i="2"/>
  <c r="F670" i="2"/>
  <c r="F671" i="2"/>
  <c r="F672" i="2"/>
  <c r="F673" i="2"/>
  <c r="F674" i="2"/>
  <c r="F675" i="2"/>
  <c r="F676" i="2"/>
  <c r="F677" i="2"/>
  <c r="F678" i="2"/>
  <c r="F679" i="2"/>
  <c r="F680" i="2"/>
  <c r="F681" i="2"/>
  <c r="F682" i="2"/>
  <c r="F683" i="2"/>
  <c r="F684" i="2"/>
  <c r="F685" i="2"/>
  <c r="F686" i="2"/>
  <c r="F687" i="2"/>
  <c r="F688" i="2"/>
  <c r="F689" i="2"/>
  <c r="F690" i="2"/>
  <c r="F691" i="2"/>
  <c r="F692" i="2"/>
  <c r="F693" i="2"/>
  <c r="F694" i="2"/>
  <c r="F695" i="2"/>
  <c r="F696" i="2"/>
  <c r="F697" i="2"/>
  <c r="F698" i="2"/>
  <c r="F699" i="2"/>
  <c r="F700" i="2"/>
  <c r="F701" i="2"/>
  <c r="F702" i="2"/>
  <c r="F703" i="2"/>
  <c r="F704" i="2"/>
  <c r="F705" i="2"/>
  <c r="F706" i="2"/>
  <c r="F707" i="2"/>
  <c r="F708" i="2"/>
  <c r="F709" i="2"/>
  <c r="F710" i="2"/>
  <c r="F711" i="2"/>
  <c r="F712" i="2"/>
  <c r="F713" i="2"/>
  <c r="F714" i="2"/>
  <c r="F715" i="2"/>
  <c r="F716" i="2"/>
  <c r="F717" i="2"/>
  <c r="F718" i="2"/>
  <c r="F719" i="2"/>
  <c r="F720" i="2"/>
  <c r="F721" i="2"/>
  <c r="F722" i="2"/>
  <c r="F723" i="2"/>
  <c r="F724" i="2"/>
  <c r="F725" i="2"/>
  <c r="F726" i="2"/>
  <c r="F727" i="2"/>
  <c r="F728" i="2"/>
  <c r="F729" i="2"/>
  <c r="F730" i="2"/>
  <c r="F731" i="2"/>
  <c r="F732" i="2"/>
  <c r="F733" i="2"/>
  <c r="F734" i="2"/>
  <c r="F735" i="2"/>
  <c r="F736" i="2"/>
  <c r="F737" i="2"/>
  <c r="F738" i="2"/>
  <c r="F739" i="2"/>
  <c r="F740" i="2"/>
  <c r="F741" i="2"/>
  <c r="F742" i="2"/>
  <c r="F743" i="2"/>
  <c r="F744" i="2"/>
  <c r="F745" i="2"/>
  <c r="F746" i="2"/>
  <c r="F747" i="2"/>
  <c r="F748" i="2"/>
  <c r="F749" i="2"/>
  <c r="F750" i="2"/>
  <c r="F751" i="2"/>
  <c r="F752" i="2"/>
  <c r="F753" i="2"/>
  <c r="F754" i="2"/>
  <c r="F755" i="2"/>
  <c r="F756" i="2"/>
  <c r="F757" i="2"/>
  <c r="F758" i="2"/>
  <c r="F759" i="2"/>
  <c r="F760" i="2"/>
  <c r="F761" i="2"/>
  <c r="F762" i="2"/>
  <c r="F763" i="2"/>
  <c r="F764" i="2"/>
  <c r="F765" i="2"/>
  <c r="F766" i="2"/>
  <c r="F767" i="2"/>
  <c r="F768" i="2"/>
  <c r="F769" i="2"/>
  <c r="F770" i="2"/>
  <c r="F771" i="2"/>
  <c r="F772" i="2"/>
  <c r="F773" i="2"/>
  <c r="F774" i="2"/>
  <c r="F775" i="2"/>
  <c r="F776" i="2"/>
  <c r="F777" i="2"/>
  <c r="F778" i="2"/>
  <c r="F779" i="2"/>
  <c r="F780" i="2"/>
  <c r="F781" i="2"/>
  <c r="F782" i="2"/>
  <c r="F783" i="2"/>
  <c r="F784" i="2"/>
  <c r="F785" i="2"/>
  <c r="F786" i="2"/>
  <c r="F787" i="2"/>
  <c r="F788" i="2"/>
  <c r="F789" i="2"/>
  <c r="F790" i="2"/>
  <c r="F791" i="2"/>
  <c r="F792" i="2"/>
  <c r="F793" i="2"/>
  <c r="F794" i="2"/>
  <c r="F795" i="2"/>
  <c r="F796" i="2"/>
  <c r="F797" i="2"/>
  <c r="F798" i="2"/>
  <c r="F799" i="2"/>
  <c r="F800" i="2"/>
  <c r="F801" i="2"/>
  <c r="F802" i="2"/>
  <c r="F803" i="2"/>
  <c r="F804" i="2"/>
  <c r="F805" i="2"/>
  <c r="F806" i="2"/>
  <c r="F807" i="2"/>
  <c r="F808" i="2"/>
  <c r="F809" i="2"/>
  <c r="F810" i="2"/>
  <c r="F811" i="2"/>
  <c r="F812" i="2"/>
  <c r="F813" i="2"/>
  <c r="F814" i="2"/>
  <c r="F815" i="2"/>
  <c r="F816" i="2"/>
  <c r="F817" i="2"/>
  <c r="F818" i="2"/>
  <c r="F819" i="2"/>
  <c r="F820" i="2"/>
  <c r="F821" i="2"/>
  <c r="F822" i="2"/>
  <c r="F823" i="2"/>
  <c r="F824" i="2"/>
  <c r="F825" i="2"/>
  <c r="F826" i="2"/>
  <c r="F827" i="2"/>
  <c r="F828" i="2"/>
  <c r="F829" i="2"/>
  <c r="F830" i="2"/>
  <c r="F831" i="2"/>
  <c r="F832" i="2"/>
  <c r="F833" i="2"/>
  <c r="F834" i="2"/>
  <c r="F835" i="2"/>
  <c r="F836" i="2"/>
  <c r="F837" i="2"/>
  <c r="F838" i="2"/>
  <c r="F839" i="2"/>
  <c r="F840" i="2"/>
  <c r="F841" i="2"/>
  <c r="F842" i="2"/>
  <c r="F843" i="2"/>
  <c r="F844" i="2"/>
  <c r="F845" i="2"/>
  <c r="F846" i="2"/>
  <c r="F847" i="2"/>
  <c r="F848" i="2"/>
  <c r="F849" i="2"/>
  <c r="F850" i="2"/>
  <c r="F851" i="2"/>
  <c r="F852" i="2"/>
  <c r="F853" i="2"/>
  <c r="F854" i="2"/>
  <c r="F855" i="2"/>
  <c r="F856" i="2"/>
  <c r="F857" i="2"/>
  <c r="F858" i="2"/>
  <c r="F859" i="2"/>
  <c r="F860" i="2"/>
  <c r="F861" i="2"/>
  <c r="F862" i="2"/>
  <c r="F863" i="2"/>
  <c r="F864" i="2"/>
  <c r="F865" i="2"/>
  <c r="F866" i="2"/>
  <c r="F867" i="2"/>
  <c r="F868" i="2"/>
  <c r="F869" i="2"/>
  <c r="F870" i="2"/>
  <c r="F871" i="2"/>
  <c r="F872" i="2"/>
  <c r="F873" i="2"/>
  <c r="F874" i="2"/>
  <c r="F875" i="2"/>
  <c r="F876" i="2"/>
  <c r="F877" i="2"/>
  <c r="F878" i="2"/>
  <c r="F879" i="2"/>
  <c r="F880" i="2"/>
  <c r="F881" i="2"/>
  <c r="F882" i="2"/>
  <c r="F883" i="2"/>
  <c r="F884" i="2"/>
  <c r="F885" i="2"/>
  <c r="F886" i="2"/>
  <c r="F887" i="2"/>
  <c r="F888" i="2"/>
  <c r="F889" i="2"/>
  <c r="F890" i="2"/>
  <c r="F891" i="2"/>
  <c r="F892" i="2"/>
  <c r="F893" i="2"/>
  <c r="F894" i="2"/>
  <c r="F895" i="2"/>
  <c r="F896" i="2"/>
  <c r="F897" i="2"/>
  <c r="F898" i="2"/>
  <c r="F899" i="2"/>
  <c r="F900" i="2"/>
  <c r="F901" i="2"/>
  <c r="F902" i="2"/>
  <c r="F903" i="2"/>
  <c r="F904" i="2"/>
  <c r="F905" i="2"/>
  <c r="F906" i="2"/>
  <c r="F907" i="2"/>
  <c r="F908" i="2"/>
  <c r="F909" i="2"/>
  <c r="F910" i="2"/>
  <c r="F911" i="2"/>
  <c r="F912" i="2"/>
  <c r="F913" i="2"/>
  <c r="F914" i="2"/>
  <c r="F915" i="2"/>
  <c r="F916" i="2"/>
  <c r="F917" i="2"/>
  <c r="F918" i="2"/>
  <c r="F919" i="2"/>
  <c r="F920" i="2"/>
  <c r="F921" i="2"/>
  <c r="F922" i="2"/>
  <c r="F923" i="2"/>
  <c r="F924" i="2"/>
  <c r="F925" i="2"/>
  <c r="F926" i="2"/>
  <c r="F927" i="2"/>
  <c r="F928" i="2"/>
  <c r="F929" i="2"/>
  <c r="F930" i="2"/>
  <c r="F931" i="2"/>
  <c r="F932" i="2"/>
  <c r="F933" i="2"/>
  <c r="F934" i="2"/>
  <c r="F935" i="2"/>
  <c r="F936" i="2"/>
  <c r="F937" i="2"/>
  <c r="F938" i="2"/>
  <c r="F939" i="2"/>
  <c r="F940" i="2"/>
  <c r="F941" i="2"/>
  <c r="F942" i="2"/>
  <c r="F943" i="2"/>
  <c r="F944" i="2"/>
  <c r="F945" i="2"/>
  <c r="F946" i="2"/>
  <c r="F947" i="2"/>
  <c r="F948" i="2"/>
  <c r="F949" i="2"/>
  <c r="F950" i="2"/>
  <c r="F951" i="2"/>
  <c r="F952" i="2"/>
  <c r="F953" i="2"/>
  <c r="F954" i="2"/>
  <c r="F955" i="2"/>
  <c r="F956" i="2"/>
  <c r="F957" i="2"/>
  <c r="F958" i="2"/>
  <c r="F959" i="2"/>
  <c r="F960" i="2"/>
  <c r="F961" i="2"/>
  <c r="F962" i="2"/>
  <c r="F963" i="2"/>
  <c r="F964" i="2"/>
  <c r="F965" i="2"/>
  <c r="F966" i="2"/>
  <c r="F967" i="2"/>
  <c r="F968" i="2"/>
  <c r="F969" i="2"/>
  <c r="F970" i="2"/>
  <c r="F971" i="2"/>
  <c r="F972" i="2"/>
  <c r="F973" i="2"/>
  <c r="F974" i="2"/>
  <c r="F975" i="2"/>
  <c r="F976" i="2"/>
  <c r="F977" i="2"/>
  <c r="F978" i="2"/>
  <c r="F979" i="2"/>
  <c r="F980" i="2"/>
  <c r="F981" i="2"/>
  <c r="F982" i="2"/>
  <c r="F983" i="2"/>
  <c r="F984" i="2"/>
  <c r="F985" i="2"/>
  <c r="F986" i="2"/>
  <c r="F987" i="2"/>
  <c r="F988" i="2"/>
  <c r="F989" i="2"/>
  <c r="F990" i="2"/>
  <c r="F991" i="2"/>
  <c r="F992" i="2"/>
  <c r="F993" i="2"/>
  <c r="F994" i="2"/>
  <c r="F995" i="2"/>
  <c r="F996" i="2"/>
  <c r="F997" i="2"/>
  <c r="F998" i="2"/>
  <c r="F999" i="2"/>
  <c r="F1000" i="2"/>
  <c r="F1001" i="2"/>
  <c r="F1002" i="2"/>
  <c r="F1003" i="2"/>
  <c r="F1004" i="2"/>
  <c r="F1005" i="2"/>
  <c r="F1006" i="2"/>
  <c r="F1007" i="2"/>
  <c r="F1008" i="2"/>
  <c r="F1009" i="2"/>
  <c r="F1010" i="2"/>
  <c r="F1011" i="2"/>
  <c r="F1012" i="2"/>
  <c r="F1013" i="2"/>
  <c r="F1014" i="2"/>
  <c r="F1015" i="2"/>
  <c r="F1016" i="2"/>
  <c r="F1017" i="2"/>
  <c r="F1018" i="2"/>
  <c r="F1019" i="2"/>
  <c r="F1020" i="2"/>
  <c r="F1021" i="2"/>
  <c r="F1022" i="2"/>
  <c r="F1023" i="2"/>
  <c r="F1024" i="2"/>
  <c r="F1025" i="2"/>
  <c r="F1026" i="2"/>
  <c r="F1027" i="2"/>
  <c r="F1028" i="2"/>
  <c r="F1029" i="2"/>
  <c r="F1030" i="2"/>
  <c r="F1031" i="2"/>
  <c r="F1032" i="2"/>
  <c r="F1033" i="2"/>
  <c r="F1034" i="2"/>
  <c r="F1035" i="2"/>
  <c r="F1036" i="2"/>
  <c r="F1037" i="2"/>
  <c r="F1038" i="2"/>
  <c r="F1039" i="2"/>
  <c r="F1040" i="2"/>
  <c r="F1041" i="2"/>
  <c r="F1042" i="2"/>
  <c r="F1043" i="2"/>
  <c r="F1044" i="2"/>
  <c r="F1045" i="2"/>
  <c r="F1046" i="2"/>
  <c r="F1047" i="2"/>
  <c r="F1048" i="2"/>
  <c r="F1049" i="2"/>
  <c r="F1050" i="2"/>
  <c r="F1051" i="2"/>
  <c r="F1052" i="2"/>
  <c r="F1053" i="2"/>
  <c r="F1054" i="2"/>
  <c r="F1055" i="2"/>
  <c r="F1056" i="2"/>
  <c r="F1057" i="2"/>
  <c r="F1058" i="2"/>
  <c r="F1059" i="2"/>
  <c r="F1060" i="2"/>
  <c r="F1061" i="2"/>
  <c r="F1062" i="2"/>
  <c r="F1063" i="2"/>
  <c r="F1064" i="2"/>
  <c r="F1065" i="2"/>
  <c r="F1066" i="2"/>
  <c r="F1067" i="2"/>
  <c r="F1068" i="2"/>
  <c r="F1069" i="2"/>
  <c r="F1070" i="2"/>
  <c r="F1071" i="2"/>
  <c r="F1072" i="2"/>
  <c r="F1073" i="2"/>
  <c r="F1074" i="2"/>
  <c r="F1075" i="2"/>
  <c r="F1076" i="2"/>
  <c r="F1077" i="2"/>
  <c r="F1078" i="2"/>
  <c r="F1079" i="2"/>
  <c r="F1080" i="2"/>
  <c r="F1081" i="2"/>
  <c r="F1082" i="2"/>
  <c r="F1083" i="2"/>
  <c r="F1084" i="2"/>
  <c r="F1085" i="2"/>
  <c r="F1086" i="2"/>
  <c r="F1087" i="2"/>
  <c r="F1088" i="2"/>
  <c r="F1089" i="2"/>
  <c r="F1090" i="2"/>
  <c r="F1091" i="2"/>
  <c r="F1092" i="2"/>
  <c r="F1093" i="2"/>
  <c r="F1094" i="2"/>
  <c r="F1095" i="2"/>
  <c r="F1096" i="2"/>
  <c r="F1097" i="2"/>
  <c r="F1098" i="2"/>
  <c r="F1099" i="2"/>
  <c r="F1100" i="2"/>
  <c r="F1101" i="2"/>
  <c r="F1102" i="2"/>
  <c r="F1103" i="2"/>
  <c r="F1104" i="2"/>
  <c r="F1105" i="2"/>
  <c r="F1106" i="2"/>
  <c r="F1107" i="2"/>
  <c r="F1108" i="2"/>
  <c r="F1109" i="2"/>
  <c r="F1110" i="2"/>
  <c r="F1111" i="2"/>
  <c r="F1112" i="2"/>
  <c r="F1113" i="2"/>
  <c r="F1114" i="2"/>
  <c r="F1115" i="2"/>
  <c r="F1116" i="2"/>
  <c r="F1117" i="2"/>
  <c r="F1118" i="2"/>
  <c r="F1119" i="2"/>
  <c r="F1120" i="2"/>
  <c r="F1121" i="2"/>
  <c r="F1122" i="2"/>
  <c r="F1123" i="2"/>
  <c r="F1124" i="2"/>
  <c r="F1125" i="2"/>
  <c r="F1126" i="2"/>
  <c r="F1127" i="2"/>
  <c r="F1128" i="2"/>
  <c r="F1129" i="2"/>
  <c r="F1130" i="2"/>
  <c r="F1131" i="2"/>
  <c r="F1132" i="2"/>
  <c r="F1133" i="2"/>
  <c r="F1134" i="2"/>
  <c r="F1135" i="2"/>
  <c r="F1136" i="2"/>
  <c r="F1137" i="2"/>
  <c r="F1138" i="2"/>
  <c r="F1139" i="2"/>
  <c r="F1140" i="2"/>
  <c r="F1141" i="2"/>
  <c r="F1142" i="2"/>
  <c r="F1143" i="2"/>
  <c r="F1144" i="2"/>
  <c r="F1145" i="2"/>
  <c r="F1146" i="2"/>
  <c r="F1147" i="2"/>
  <c r="F1148" i="2"/>
  <c r="F1149" i="2"/>
  <c r="F1150" i="2"/>
  <c r="F1151" i="2"/>
  <c r="F1152" i="2"/>
  <c r="F1153" i="2"/>
  <c r="F1154" i="2"/>
  <c r="F1155" i="2"/>
  <c r="F1156" i="2"/>
  <c r="F1157" i="2"/>
  <c r="F1158" i="2"/>
  <c r="F1159" i="2"/>
  <c r="F1160" i="2"/>
  <c r="F1161" i="2"/>
  <c r="F1162" i="2"/>
  <c r="F1163" i="2"/>
  <c r="F1164" i="2"/>
  <c r="F1165" i="2"/>
  <c r="F1166" i="2"/>
  <c r="F1167" i="2"/>
  <c r="F1168" i="2"/>
  <c r="F1169" i="2"/>
  <c r="F1170" i="2"/>
  <c r="F1171" i="2"/>
  <c r="F1172" i="2"/>
  <c r="F1173" i="2"/>
  <c r="F1174" i="2"/>
  <c r="F1175" i="2"/>
  <c r="F1176" i="2"/>
  <c r="F1177" i="2"/>
  <c r="F1178" i="2"/>
  <c r="F1179" i="2"/>
  <c r="F1180" i="2"/>
  <c r="F1181" i="2"/>
  <c r="F1182" i="2"/>
  <c r="F1183" i="2"/>
  <c r="F1184" i="2"/>
  <c r="F1185" i="2"/>
  <c r="F1186" i="2"/>
  <c r="F1187" i="2"/>
  <c r="F1188" i="2"/>
  <c r="F1189" i="2"/>
  <c r="F1190" i="2"/>
  <c r="F1191" i="2"/>
  <c r="F1192" i="2"/>
  <c r="F1193" i="2"/>
  <c r="F1194" i="2"/>
  <c r="F1195" i="2"/>
  <c r="F1196" i="2"/>
  <c r="F1197" i="2"/>
  <c r="F1198" i="2"/>
  <c r="F1199" i="2"/>
  <c r="F1200" i="2"/>
  <c r="F1201" i="2"/>
  <c r="F1202" i="2"/>
  <c r="F1203" i="2"/>
  <c r="F1204" i="2"/>
  <c r="F1205" i="2"/>
  <c r="F1206" i="2"/>
  <c r="F1207" i="2"/>
  <c r="F1208" i="2"/>
  <c r="F1209" i="2"/>
  <c r="F1210" i="2"/>
  <c r="F1211" i="2"/>
  <c r="F1212" i="2"/>
  <c r="F1213" i="2"/>
  <c r="F1214" i="2"/>
  <c r="F1215" i="2"/>
  <c r="F1216" i="2"/>
  <c r="F1217" i="2"/>
  <c r="F1218" i="2"/>
  <c r="F1219" i="2"/>
  <c r="F1220" i="2"/>
  <c r="F1221" i="2"/>
  <c r="F1222" i="2"/>
  <c r="F1223" i="2"/>
  <c r="F1224" i="2"/>
  <c r="F1225" i="2"/>
  <c r="F1226" i="2"/>
  <c r="F1227" i="2"/>
  <c r="F1228" i="2"/>
  <c r="F1229" i="2"/>
  <c r="F1230" i="2"/>
  <c r="F1231" i="2"/>
  <c r="F1232" i="2"/>
  <c r="F1233" i="2"/>
  <c r="F1234" i="2"/>
  <c r="F1235" i="2"/>
  <c r="F1236" i="2"/>
  <c r="F1237" i="2"/>
  <c r="F1238" i="2"/>
  <c r="F1239" i="2"/>
  <c r="F1240" i="2"/>
  <c r="F1241" i="2"/>
  <c r="F1242" i="2"/>
  <c r="F1243" i="2"/>
  <c r="F1244" i="2"/>
  <c r="F1245" i="2"/>
  <c r="F1246" i="2"/>
  <c r="F1247" i="2"/>
  <c r="F1248" i="2"/>
  <c r="F1249" i="2"/>
  <c r="F1250" i="2"/>
  <c r="F1251" i="2"/>
  <c r="F1252" i="2"/>
  <c r="F1253" i="2"/>
  <c r="F1254" i="2"/>
  <c r="F1255" i="2"/>
  <c r="F1256" i="2"/>
  <c r="F1257" i="2"/>
  <c r="F1258" i="2"/>
  <c r="F1259" i="2"/>
  <c r="F1260" i="2"/>
  <c r="F1261" i="2"/>
  <c r="F1262" i="2"/>
  <c r="F1263" i="2"/>
  <c r="F1264" i="2"/>
  <c r="F1265" i="2"/>
  <c r="F1266" i="2"/>
  <c r="F1267" i="2"/>
  <c r="F1268" i="2"/>
  <c r="F1269" i="2"/>
  <c r="F1270" i="2"/>
  <c r="F1271" i="2"/>
  <c r="F1272" i="2"/>
  <c r="F1273" i="2"/>
  <c r="F1274" i="2"/>
  <c r="F1275" i="2"/>
  <c r="F1276" i="2"/>
  <c r="F1277" i="2"/>
  <c r="F1278" i="2"/>
  <c r="F1279" i="2"/>
  <c r="F1280" i="2"/>
  <c r="F1281" i="2"/>
  <c r="F1282" i="2"/>
  <c r="F1283" i="2"/>
  <c r="F1284" i="2"/>
  <c r="F1285" i="2"/>
  <c r="F1286" i="2"/>
  <c r="F1287" i="2"/>
  <c r="F1288" i="2"/>
  <c r="F1289" i="2"/>
  <c r="F1290" i="2"/>
  <c r="F1291" i="2"/>
  <c r="F1292" i="2"/>
  <c r="F1293" i="2"/>
  <c r="F1294" i="2"/>
  <c r="F1295" i="2"/>
  <c r="F1296" i="2"/>
  <c r="F1297" i="2"/>
  <c r="F1298" i="2"/>
  <c r="F1299" i="2"/>
  <c r="F1300" i="2"/>
  <c r="F1301" i="2"/>
  <c r="F1302" i="2"/>
  <c r="F1303" i="2"/>
  <c r="F1304" i="2"/>
  <c r="F1305" i="2"/>
  <c r="F1306" i="2"/>
  <c r="F1307" i="2"/>
  <c r="F1308" i="2"/>
  <c r="F1309" i="2"/>
  <c r="F1310" i="2"/>
  <c r="F1311" i="2"/>
  <c r="F1312" i="2"/>
  <c r="F1313" i="2"/>
  <c r="F1314" i="2"/>
  <c r="F1315" i="2"/>
  <c r="F1316" i="2"/>
  <c r="F1317" i="2"/>
  <c r="F1318" i="2"/>
  <c r="F1319" i="2"/>
  <c r="F1320" i="2"/>
  <c r="F1321" i="2"/>
  <c r="F1322" i="2"/>
  <c r="F1323" i="2"/>
  <c r="F1324" i="2"/>
  <c r="F1325" i="2"/>
  <c r="F1326" i="2"/>
  <c r="F1327" i="2"/>
  <c r="F1328" i="2"/>
  <c r="F1329" i="2"/>
  <c r="F1330" i="2"/>
  <c r="F1331" i="2"/>
  <c r="F1332" i="2"/>
  <c r="F1333" i="2"/>
  <c r="F1334" i="2"/>
  <c r="F1335" i="2"/>
  <c r="F1336" i="2"/>
  <c r="F1337" i="2"/>
  <c r="F1338" i="2"/>
  <c r="F1339" i="2"/>
  <c r="F1340" i="2"/>
  <c r="F1341" i="2"/>
  <c r="F1342" i="2"/>
  <c r="F1343" i="2"/>
  <c r="F1344" i="2"/>
  <c r="F1345" i="2"/>
  <c r="F1346" i="2"/>
  <c r="F1347" i="2"/>
  <c r="F1348" i="2"/>
  <c r="F1349" i="2"/>
  <c r="F1350" i="2"/>
  <c r="F1351" i="2"/>
  <c r="F1352" i="2"/>
  <c r="F1353" i="2"/>
  <c r="F1354" i="2"/>
  <c r="F1355" i="2"/>
  <c r="F1356" i="2"/>
  <c r="F1357" i="2"/>
  <c r="F1358" i="2"/>
  <c r="F1359" i="2"/>
  <c r="F1360" i="2"/>
  <c r="F1361" i="2"/>
  <c r="F1362" i="2"/>
  <c r="F1363" i="2"/>
  <c r="F1364" i="2"/>
  <c r="F1365" i="2"/>
  <c r="F1366" i="2"/>
  <c r="F1367" i="2"/>
  <c r="F1368" i="2"/>
  <c r="F1369" i="2"/>
  <c r="F1370" i="2"/>
  <c r="F1371" i="2"/>
  <c r="F1372" i="2"/>
  <c r="F1373" i="2"/>
  <c r="F1374" i="2"/>
  <c r="F1375" i="2"/>
  <c r="F1376" i="2"/>
  <c r="F1377" i="2"/>
  <c r="F1378" i="2"/>
  <c r="F1379" i="2"/>
  <c r="F1380" i="2"/>
  <c r="F1381" i="2"/>
  <c r="F1382" i="2"/>
  <c r="F1383" i="2"/>
  <c r="F1384" i="2"/>
  <c r="F1385" i="2"/>
  <c r="F1386" i="2"/>
  <c r="F1387" i="2"/>
  <c r="F1388" i="2"/>
  <c r="F1389" i="2"/>
  <c r="F1390" i="2"/>
  <c r="F1391" i="2"/>
  <c r="F1392" i="2"/>
  <c r="F1393" i="2"/>
  <c r="F1394" i="2"/>
  <c r="F1395" i="2"/>
  <c r="F1396" i="2"/>
  <c r="F1397" i="2"/>
  <c r="F1398" i="2"/>
  <c r="F1399" i="2"/>
  <c r="F1400" i="2"/>
  <c r="F1401" i="2"/>
  <c r="F1402" i="2"/>
  <c r="F1403" i="2"/>
  <c r="F1404" i="2"/>
  <c r="F1405" i="2"/>
  <c r="F1406" i="2"/>
  <c r="F1407" i="2"/>
  <c r="F1408" i="2"/>
  <c r="F1409" i="2"/>
  <c r="F1410" i="2"/>
  <c r="F1411" i="2"/>
  <c r="F1412" i="2"/>
  <c r="F1413" i="2"/>
  <c r="F1414" i="2"/>
  <c r="F1415" i="2"/>
  <c r="F1416" i="2"/>
  <c r="F1417" i="2"/>
  <c r="F1418" i="2"/>
  <c r="F1419" i="2"/>
  <c r="F1420" i="2"/>
  <c r="F1421" i="2"/>
  <c r="F1422" i="2"/>
  <c r="F1423" i="2"/>
  <c r="F1424" i="2"/>
  <c r="F1425" i="2"/>
  <c r="F1426" i="2"/>
  <c r="F1427" i="2"/>
  <c r="F1428" i="2"/>
  <c r="F1429" i="2"/>
  <c r="F1430" i="2"/>
  <c r="F1431" i="2"/>
  <c r="F1432" i="2"/>
  <c r="F1433" i="2"/>
  <c r="F1434" i="2"/>
  <c r="F1435" i="2"/>
  <c r="F1436" i="2"/>
  <c r="F1437" i="2"/>
  <c r="F1438" i="2"/>
  <c r="F1439" i="2"/>
  <c r="F1440" i="2"/>
  <c r="F1441" i="2"/>
  <c r="F1442" i="2"/>
  <c r="F1443" i="2"/>
  <c r="F1444" i="2"/>
  <c r="F1445" i="2"/>
  <c r="F1446" i="2"/>
  <c r="F1447" i="2"/>
  <c r="F1448" i="2"/>
  <c r="F1449" i="2"/>
  <c r="F1450" i="2"/>
  <c r="F1451" i="2"/>
  <c r="F1452" i="2"/>
  <c r="F1453" i="2"/>
  <c r="F1454" i="2"/>
  <c r="F1455" i="2"/>
  <c r="F1456" i="2"/>
  <c r="F1457" i="2"/>
  <c r="F1458" i="2"/>
  <c r="F1459" i="2"/>
  <c r="F1460" i="2"/>
  <c r="F1461" i="2"/>
  <c r="F1462" i="2"/>
  <c r="F1463" i="2"/>
  <c r="F1464" i="2"/>
  <c r="F1465" i="2"/>
  <c r="F1466" i="2"/>
  <c r="F1467" i="2"/>
  <c r="F1468" i="2"/>
  <c r="F1469" i="2"/>
  <c r="F1470" i="2"/>
  <c r="F1471" i="2"/>
  <c r="F1472" i="2"/>
  <c r="F1473" i="2"/>
  <c r="F1474" i="2"/>
  <c r="F1475" i="2"/>
  <c r="F1476" i="2"/>
  <c r="F1477" i="2"/>
  <c r="F1478" i="2"/>
  <c r="F1479" i="2"/>
  <c r="F1480" i="2"/>
  <c r="F1481" i="2"/>
  <c r="F1482" i="2"/>
  <c r="F1483" i="2"/>
  <c r="F1484" i="2"/>
  <c r="F1485" i="2"/>
  <c r="F1486" i="2"/>
  <c r="F1487" i="2"/>
  <c r="F1488" i="2"/>
  <c r="F1489" i="2"/>
  <c r="F1490" i="2"/>
  <c r="F1491" i="2"/>
  <c r="F1492" i="2"/>
  <c r="F1493" i="2"/>
  <c r="F1494" i="2"/>
  <c r="F1495" i="2"/>
  <c r="F1496" i="2"/>
  <c r="F1497" i="2"/>
  <c r="F1498" i="2"/>
  <c r="F1499" i="2"/>
  <c r="F1500" i="2"/>
  <c r="F1501" i="2"/>
  <c r="F1502" i="2"/>
  <c r="F1503" i="2"/>
  <c r="F1504" i="2"/>
  <c r="F1505" i="2"/>
  <c r="F1506" i="2"/>
  <c r="F1507" i="2"/>
  <c r="F1508" i="2"/>
  <c r="F1509" i="2"/>
  <c r="F1510" i="2"/>
  <c r="F1511" i="2"/>
  <c r="F1512" i="2"/>
  <c r="F1513" i="2"/>
  <c r="F1514" i="2"/>
  <c r="F1515" i="2"/>
  <c r="F1516" i="2"/>
  <c r="F1517" i="2"/>
  <c r="F1518" i="2"/>
  <c r="F1519" i="2"/>
  <c r="F1520" i="2"/>
  <c r="F1521" i="2"/>
  <c r="F1522" i="2"/>
  <c r="F1523" i="2"/>
  <c r="F1524" i="2"/>
  <c r="F1525" i="2"/>
  <c r="F1526" i="2"/>
  <c r="F1527" i="2"/>
  <c r="F1528" i="2"/>
  <c r="F1529" i="2"/>
  <c r="F1530" i="2"/>
  <c r="F1531" i="2"/>
  <c r="F1532" i="2"/>
  <c r="F1533" i="2"/>
  <c r="F1534" i="2"/>
  <c r="F1535" i="2"/>
  <c r="F1536" i="2"/>
  <c r="F1537" i="2"/>
  <c r="F1538" i="2"/>
  <c r="F1539" i="2"/>
  <c r="F1540" i="2"/>
  <c r="F1541" i="2"/>
  <c r="F1542" i="2"/>
  <c r="F1543" i="2"/>
  <c r="F1544" i="2"/>
  <c r="F1545" i="2"/>
  <c r="F1546" i="2"/>
  <c r="F1547" i="2"/>
  <c r="F1548" i="2"/>
  <c r="F1549" i="2"/>
  <c r="F1550" i="2"/>
  <c r="F1551" i="2"/>
  <c r="F1552" i="2"/>
  <c r="F1553" i="2"/>
  <c r="F1554" i="2"/>
  <c r="F1555" i="2"/>
  <c r="F1556" i="2"/>
  <c r="F1557" i="2"/>
  <c r="F1558" i="2"/>
  <c r="F1559" i="2"/>
  <c r="F1560" i="2"/>
  <c r="F1561" i="2"/>
  <c r="F1562" i="2"/>
  <c r="F1563" i="2"/>
  <c r="F1564" i="2"/>
  <c r="F1565" i="2"/>
  <c r="F1566" i="2"/>
  <c r="F1567" i="2"/>
  <c r="F1568" i="2"/>
  <c r="F1569" i="2"/>
  <c r="F1570" i="2"/>
  <c r="F1571" i="2"/>
  <c r="F1572" i="2"/>
  <c r="F1573" i="2"/>
  <c r="F1574" i="2"/>
  <c r="F1575" i="2"/>
  <c r="F1576" i="2"/>
  <c r="F1577" i="2"/>
  <c r="F1578" i="2"/>
  <c r="F1579" i="2"/>
  <c r="F1580" i="2"/>
  <c r="F1581" i="2"/>
  <c r="F1582" i="2"/>
  <c r="F1583" i="2"/>
  <c r="F1584" i="2"/>
  <c r="F1585" i="2"/>
  <c r="F1586" i="2"/>
  <c r="F1587" i="2"/>
  <c r="F1588" i="2"/>
  <c r="F1589" i="2"/>
  <c r="F1590" i="2"/>
  <c r="F1591" i="2"/>
  <c r="F1592" i="2"/>
  <c r="F1593" i="2"/>
  <c r="F1594" i="2"/>
  <c r="F1595" i="2"/>
  <c r="F1596" i="2"/>
  <c r="F1597" i="2"/>
  <c r="F1598" i="2"/>
  <c r="F1599" i="2"/>
  <c r="F1600" i="2"/>
  <c r="F1601" i="2"/>
  <c r="F1602" i="2"/>
  <c r="F1603" i="2"/>
  <c r="F1604" i="2"/>
  <c r="F1605" i="2"/>
  <c r="F1606" i="2"/>
  <c r="F1607" i="2"/>
  <c r="F1608" i="2"/>
  <c r="F1609" i="2"/>
  <c r="F1610" i="2"/>
  <c r="F1611" i="2"/>
  <c r="F1612" i="2"/>
  <c r="F1613" i="2"/>
  <c r="F1614" i="2"/>
  <c r="F1615" i="2"/>
  <c r="F1616" i="2"/>
  <c r="F1617" i="2"/>
  <c r="F1618" i="2"/>
  <c r="F1619" i="2"/>
  <c r="F1620" i="2"/>
  <c r="F1621" i="2"/>
  <c r="F1622" i="2"/>
  <c r="F1623" i="2"/>
  <c r="F1624" i="2"/>
  <c r="F1625" i="2"/>
  <c r="F1626" i="2"/>
  <c r="F1627" i="2"/>
  <c r="F1628" i="2"/>
  <c r="F1629" i="2"/>
  <c r="F1630" i="2"/>
  <c r="F1631" i="2"/>
  <c r="F1632" i="2"/>
  <c r="F1633" i="2"/>
  <c r="F1634" i="2"/>
  <c r="F1635" i="2"/>
  <c r="F1636" i="2"/>
  <c r="F1637" i="2"/>
  <c r="F1638" i="2"/>
  <c r="F1639" i="2"/>
  <c r="F1640" i="2"/>
  <c r="F1641" i="2"/>
  <c r="F1642" i="2"/>
  <c r="F1643" i="2"/>
  <c r="F1644" i="2"/>
  <c r="F1645" i="2"/>
  <c r="F1646" i="2"/>
  <c r="F1647" i="2"/>
  <c r="F1648" i="2"/>
  <c r="F1649" i="2"/>
  <c r="F1650" i="2"/>
  <c r="F1651" i="2"/>
  <c r="F1652" i="2"/>
  <c r="F1653" i="2"/>
  <c r="F1654" i="2"/>
  <c r="F1655" i="2"/>
  <c r="F1656" i="2"/>
  <c r="F1657" i="2"/>
  <c r="F1658" i="2"/>
  <c r="F1659" i="2"/>
  <c r="F1660" i="2"/>
  <c r="F1661" i="2"/>
  <c r="F1662" i="2"/>
  <c r="F1663" i="2"/>
  <c r="F1664" i="2"/>
  <c r="F1665" i="2"/>
  <c r="F1666" i="2"/>
  <c r="F1667" i="2"/>
  <c r="F1668" i="2"/>
  <c r="F1669" i="2"/>
  <c r="F1670" i="2"/>
  <c r="F1671" i="2"/>
  <c r="F1672" i="2"/>
  <c r="F1673" i="2"/>
  <c r="F1674" i="2"/>
  <c r="F1675" i="2"/>
  <c r="F1676" i="2"/>
  <c r="F1677" i="2"/>
  <c r="F1678" i="2"/>
  <c r="F1679" i="2"/>
  <c r="F1680" i="2"/>
  <c r="F1681" i="2"/>
  <c r="F1682" i="2"/>
  <c r="F1683" i="2"/>
  <c r="F1684" i="2"/>
  <c r="F1685" i="2"/>
  <c r="F1686" i="2"/>
  <c r="F1687" i="2"/>
  <c r="F1688" i="2"/>
  <c r="F1689" i="2"/>
  <c r="F1690" i="2"/>
  <c r="F1691" i="2"/>
  <c r="F1692" i="2"/>
  <c r="F1693" i="2"/>
  <c r="F1694" i="2"/>
  <c r="F1695" i="2"/>
  <c r="F1696" i="2"/>
  <c r="F1697" i="2"/>
  <c r="F1698" i="2"/>
  <c r="F1699" i="2"/>
  <c r="F1700" i="2"/>
  <c r="F1701" i="2"/>
  <c r="F1702" i="2"/>
  <c r="F1703" i="2"/>
  <c r="F1704" i="2"/>
  <c r="F1705" i="2"/>
  <c r="F1706" i="2"/>
  <c r="F1707" i="2"/>
  <c r="F1708" i="2"/>
  <c r="F1709" i="2"/>
  <c r="F1710" i="2"/>
  <c r="F1711" i="2"/>
  <c r="F1712" i="2"/>
  <c r="F1713" i="2"/>
  <c r="F1714" i="2"/>
  <c r="F1715" i="2"/>
  <c r="F1716" i="2"/>
  <c r="F1717" i="2"/>
  <c r="F1718" i="2"/>
  <c r="F1719" i="2"/>
  <c r="F1720" i="2"/>
  <c r="F1721" i="2"/>
  <c r="F1722" i="2"/>
  <c r="F1723" i="2"/>
  <c r="F1724" i="2"/>
  <c r="F1725" i="2"/>
  <c r="F1726" i="2"/>
  <c r="F1727" i="2"/>
  <c r="F1728" i="2"/>
  <c r="F1729" i="2"/>
  <c r="F1730" i="2"/>
  <c r="F1731" i="2"/>
  <c r="F1732" i="2"/>
  <c r="F1733" i="2"/>
  <c r="F1734" i="2"/>
  <c r="F1735" i="2"/>
  <c r="F1736" i="2"/>
  <c r="F1737" i="2"/>
  <c r="F1738" i="2"/>
  <c r="F1739" i="2"/>
  <c r="F1740" i="2"/>
  <c r="F1741" i="2"/>
  <c r="F1742" i="2"/>
  <c r="F1743" i="2"/>
  <c r="F1744" i="2"/>
  <c r="F1745" i="2"/>
  <c r="F1746" i="2"/>
  <c r="F1747" i="2"/>
  <c r="F1748" i="2"/>
  <c r="F1749" i="2"/>
  <c r="F1750" i="2"/>
  <c r="F1751" i="2"/>
  <c r="F1752" i="2"/>
  <c r="F1753" i="2"/>
  <c r="F1754" i="2"/>
  <c r="F1755" i="2"/>
  <c r="F1756" i="2"/>
  <c r="F1757" i="2"/>
  <c r="F1758" i="2"/>
  <c r="F1759" i="2"/>
  <c r="F1760" i="2"/>
  <c r="F1761" i="2"/>
  <c r="F1762" i="2"/>
  <c r="F1763" i="2"/>
  <c r="F1764" i="2"/>
  <c r="F1765" i="2"/>
  <c r="F1766" i="2"/>
  <c r="F1767" i="2"/>
  <c r="F1768" i="2"/>
  <c r="F1769" i="2"/>
  <c r="F1770" i="2"/>
  <c r="F1771" i="2"/>
  <c r="F1772" i="2"/>
  <c r="F1773" i="2"/>
  <c r="F1774" i="2"/>
  <c r="F1775" i="2"/>
  <c r="F1776" i="2"/>
  <c r="F1777" i="2"/>
  <c r="F1778" i="2"/>
  <c r="F1779" i="2"/>
  <c r="F1780" i="2"/>
  <c r="F1781" i="2"/>
  <c r="F1782" i="2"/>
  <c r="F1783" i="2"/>
  <c r="F1784" i="2"/>
  <c r="F1785" i="2"/>
  <c r="F1786" i="2"/>
  <c r="F1787" i="2"/>
  <c r="F1788" i="2"/>
  <c r="F1789" i="2"/>
  <c r="F1790" i="2"/>
  <c r="F1791" i="2"/>
  <c r="F1792" i="2"/>
  <c r="F1793" i="2"/>
  <c r="F1794" i="2"/>
  <c r="F1795" i="2"/>
  <c r="F1796" i="2"/>
  <c r="F1797" i="2"/>
  <c r="F1798" i="2"/>
  <c r="F1799" i="2"/>
  <c r="F1800" i="2"/>
  <c r="F1801" i="2"/>
  <c r="F1802" i="2"/>
  <c r="F1803" i="2"/>
  <c r="F1804" i="2"/>
  <c r="F1805" i="2"/>
  <c r="F1806" i="2"/>
  <c r="F1807" i="2"/>
  <c r="F1808" i="2"/>
  <c r="F1809" i="2"/>
  <c r="F1810" i="2"/>
  <c r="F1811" i="2"/>
  <c r="F1812" i="2"/>
  <c r="F1813" i="2"/>
  <c r="F1814" i="2"/>
  <c r="F1815" i="2"/>
  <c r="F1816" i="2"/>
  <c r="F1817" i="2"/>
  <c r="F1818" i="2"/>
  <c r="F1819" i="2"/>
  <c r="F1820" i="2"/>
  <c r="F1821" i="2"/>
  <c r="F1822" i="2"/>
  <c r="F1823" i="2"/>
  <c r="F1824" i="2"/>
  <c r="F1825" i="2"/>
  <c r="F1826" i="2"/>
  <c r="F1827" i="2"/>
  <c r="F1828" i="2"/>
  <c r="F1829" i="2"/>
  <c r="F1830" i="2"/>
  <c r="F1831" i="2"/>
  <c r="F1832" i="2"/>
  <c r="F1833" i="2"/>
  <c r="F1834" i="2"/>
  <c r="F1835" i="2"/>
  <c r="F1836" i="2"/>
  <c r="F1837" i="2"/>
  <c r="F1838" i="2"/>
  <c r="F1839" i="2"/>
  <c r="F1840" i="2"/>
  <c r="F1841" i="2"/>
  <c r="F1842" i="2"/>
  <c r="F1843" i="2"/>
  <c r="F1844" i="2"/>
  <c r="F1845" i="2"/>
  <c r="F1846" i="2"/>
  <c r="F1847" i="2"/>
  <c r="F1848" i="2"/>
  <c r="F1849" i="2"/>
  <c r="F1850" i="2"/>
  <c r="F1851" i="2"/>
  <c r="F1852" i="2"/>
  <c r="F1853" i="2"/>
  <c r="F1854" i="2"/>
  <c r="F1855" i="2"/>
  <c r="F1856" i="2"/>
  <c r="F1857" i="2"/>
  <c r="F1858" i="2"/>
  <c r="F1859" i="2"/>
  <c r="F1860" i="2"/>
  <c r="F1861" i="2"/>
  <c r="F1862" i="2"/>
  <c r="F1863" i="2"/>
  <c r="F1864" i="2"/>
  <c r="F1865" i="2"/>
  <c r="F1866" i="2"/>
  <c r="F1867" i="2"/>
  <c r="F1868" i="2"/>
  <c r="F1869" i="2"/>
  <c r="F1870" i="2"/>
  <c r="F1871" i="2"/>
  <c r="F1872" i="2"/>
  <c r="F1873" i="2"/>
  <c r="F1874" i="2"/>
  <c r="F1875" i="2"/>
  <c r="F1876" i="2"/>
  <c r="F1877" i="2"/>
  <c r="F1878" i="2"/>
  <c r="F1879" i="2"/>
  <c r="F1880" i="2"/>
  <c r="F1881" i="2"/>
  <c r="F1882" i="2"/>
  <c r="F1883" i="2"/>
  <c r="F1884" i="2"/>
  <c r="F1885" i="2"/>
  <c r="F1886" i="2"/>
  <c r="F1887" i="2"/>
  <c r="F1888" i="2"/>
  <c r="F1889" i="2"/>
  <c r="F1890" i="2"/>
  <c r="F1891" i="2"/>
  <c r="F1892" i="2"/>
  <c r="F1893" i="2"/>
  <c r="F1894" i="2"/>
  <c r="F1895" i="2"/>
  <c r="F1896" i="2"/>
  <c r="F1897" i="2"/>
  <c r="F1898" i="2"/>
  <c r="F1899" i="2"/>
  <c r="F1900" i="2"/>
  <c r="F1901" i="2"/>
  <c r="F1902" i="2"/>
  <c r="F1903" i="2"/>
  <c r="F1904" i="2"/>
  <c r="F1905" i="2"/>
  <c r="F1906" i="2"/>
  <c r="F1907" i="2"/>
  <c r="F1908" i="2"/>
  <c r="F1909" i="2"/>
  <c r="F1910" i="2"/>
  <c r="F1911" i="2"/>
  <c r="F1912" i="2"/>
  <c r="F1913" i="2"/>
  <c r="F1914" i="2"/>
  <c r="F1915" i="2"/>
  <c r="F1916" i="2"/>
  <c r="F1917" i="2"/>
  <c r="F1918" i="2"/>
  <c r="F1919" i="2"/>
  <c r="F1920" i="2"/>
  <c r="F1921" i="2"/>
  <c r="F1922" i="2"/>
  <c r="F1923" i="2"/>
  <c r="F1924" i="2"/>
  <c r="F1925" i="2"/>
  <c r="F1926" i="2"/>
  <c r="F1927" i="2"/>
  <c r="F1928" i="2"/>
  <c r="F1929" i="2"/>
  <c r="F1930" i="2"/>
  <c r="F1931" i="2"/>
  <c r="F1932" i="2"/>
  <c r="F1933" i="2"/>
  <c r="F1934" i="2"/>
  <c r="F1935" i="2"/>
  <c r="F1936" i="2"/>
  <c r="F1937" i="2"/>
  <c r="F1938" i="2"/>
  <c r="F1939" i="2"/>
  <c r="F1940" i="2"/>
  <c r="F1941" i="2"/>
  <c r="F1942" i="2"/>
  <c r="F1943" i="2"/>
  <c r="F1944" i="2"/>
  <c r="F1945" i="2"/>
  <c r="F1946" i="2"/>
  <c r="F1947" i="2"/>
  <c r="F1948" i="2"/>
  <c r="F1949" i="2"/>
  <c r="F1950" i="2"/>
  <c r="F1951" i="2"/>
  <c r="F1952" i="2"/>
  <c r="F1953" i="2"/>
  <c r="F1954" i="2"/>
  <c r="F1955" i="2"/>
  <c r="F1956" i="2"/>
  <c r="F1957" i="2"/>
  <c r="F1958" i="2"/>
  <c r="F1959" i="2"/>
  <c r="F1960" i="2"/>
  <c r="F1961" i="2"/>
  <c r="F1962" i="2"/>
  <c r="F1963" i="2"/>
  <c r="F1964" i="2"/>
  <c r="F1965" i="2"/>
  <c r="F1966" i="2"/>
  <c r="F1967" i="2"/>
  <c r="F1968" i="2"/>
  <c r="F1969" i="2"/>
  <c r="F1970" i="2"/>
  <c r="F1971" i="2"/>
  <c r="F1972" i="2"/>
  <c r="F1973" i="2"/>
  <c r="F1974" i="2"/>
  <c r="F1975" i="2"/>
  <c r="F1976" i="2"/>
  <c r="F1977" i="2"/>
  <c r="F1978" i="2"/>
  <c r="F1979" i="2"/>
  <c r="F1980" i="2"/>
  <c r="F1981" i="2"/>
  <c r="F1982" i="2"/>
  <c r="F1983" i="2"/>
  <c r="F1984" i="2"/>
  <c r="F1985" i="2"/>
  <c r="F1986" i="2"/>
  <c r="F1987" i="2"/>
  <c r="F1988" i="2"/>
  <c r="F1989" i="2"/>
  <c r="F1990" i="2"/>
  <c r="F1991" i="2"/>
  <c r="F1992" i="2"/>
  <c r="F1993" i="2"/>
  <c r="F1994" i="2"/>
  <c r="F1995" i="2"/>
  <c r="F1996" i="2"/>
  <c r="F1997" i="2"/>
  <c r="F1998" i="2"/>
  <c r="F1999" i="2"/>
  <c r="F2000" i="2"/>
  <c r="F2001" i="2"/>
  <c r="F2002" i="2"/>
  <c r="F2003" i="2"/>
  <c r="F2004" i="2"/>
  <c r="F2005" i="2"/>
  <c r="F2006" i="2"/>
  <c r="F2007" i="2"/>
  <c r="F2008" i="2"/>
  <c r="F2009" i="2"/>
  <c r="F2010" i="2"/>
  <c r="F2011" i="2"/>
  <c r="F2012" i="2"/>
  <c r="F2013" i="2"/>
  <c r="F2014" i="2"/>
  <c r="F2015" i="2"/>
  <c r="F2016" i="2"/>
  <c r="F2017" i="2"/>
  <c r="F2018" i="2"/>
  <c r="F2019" i="2"/>
  <c r="F2020" i="2"/>
  <c r="F2021" i="2"/>
  <c r="F2022" i="2"/>
  <c r="F2023" i="2"/>
  <c r="F2024" i="2"/>
  <c r="F2025" i="2"/>
  <c r="F2026" i="2"/>
  <c r="F2027" i="2"/>
  <c r="F2028" i="2"/>
  <c r="F2029" i="2"/>
  <c r="F2030" i="2"/>
  <c r="F2031" i="2"/>
  <c r="F2032" i="2"/>
  <c r="F2033" i="2"/>
  <c r="F2034" i="2"/>
  <c r="F2035" i="2"/>
  <c r="F2036" i="2"/>
  <c r="F2037" i="2"/>
  <c r="F2038" i="2"/>
  <c r="F2039" i="2"/>
  <c r="F2040" i="2"/>
  <c r="F2041" i="2"/>
  <c r="F2042" i="2"/>
  <c r="F2043" i="2"/>
  <c r="F2044" i="2"/>
  <c r="F2045" i="2"/>
  <c r="F2046" i="2"/>
  <c r="F2047" i="2"/>
  <c r="F2048" i="2"/>
  <c r="F2049" i="2"/>
  <c r="F2050" i="2"/>
  <c r="F2051" i="2"/>
  <c r="F2052" i="2"/>
  <c r="F2053" i="2"/>
  <c r="F2054" i="2"/>
  <c r="F2055" i="2"/>
  <c r="F2056" i="2"/>
  <c r="F2057" i="2"/>
  <c r="F2058" i="2"/>
  <c r="F2059" i="2"/>
  <c r="F2060" i="2"/>
  <c r="F2061" i="2"/>
  <c r="F2062" i="2"/>
  <c r="F2063" i="2"/>
  <c r="F2064" i="2"/>
  <c r="F2065" i="2"/>
  <c r="F2066" i="2"/>
  <c r="F2067" i="2"/>
  <c r="F2068" i="2"/>
  <c r="F2069" i="2"/>
  <c r="F2070" i="2"/>
  <c r="F2071" i="2"/>
  <c r="F2072" i="2"/>
  <c r="F2073" i="2"/>
  <c r="F2074" i="2"/>
  <c r="F2075" i="2"/>
  <c r="F2076" i="2"/>
  <c r="F2077" i="2"/>
  <c r="F2078" i="2"/>
  <c r="F2079" i="2"/>
  <c r="F2080" i="2"/>
  <c r="F2081" i="2"/>
  <c r="F2082" i="2"/>
  <c r="F2083" i="2"/>
  <c r="F2084" i="2"/>
  <c r="F2085" i="2"/>
  <c r="F2086" i="2"/>
  <c r="F2087" i="2"/>
  <c r="F2088" i="2"/>
  <c r="F2089" i="2"/>
  <c r="F2090" i="2"/>
  <c r="F2091" i="2"/>
  <c r="F2092" i="2"/>
  <c r="F2093" i="2"/>
  <c r="F2094" i="2"/>
  <c r="F2095" i="2"/>
  <c r="F2096" i="2"/>
  <c r="F2097" i="2"/>
  <c r="F2098" i="2"/>
  <c r="F2099" i="2"/>
  <c r="F2100" i="2"/>
  <c r="F2101" i="2"/>
  <c r="F2102" i="2"/>
  <c r="F2103" i="2"/>
  <c r="F2104" i="2"/>
  <c r="F2105" i="2"/>
  <c r="F2106" i="2"/>
  <c r="F2107" i="2"/>
  <c r="F2108" i="2"/>
  <c r="F2109" i="2"/>
  <c r="F2110" i="2"/>
  <c r="F2111" i="2"/>
  <c r="F2112" i="2"/>
  <c r="F2113" i="2"/>
  <c r="F2114" i="2"/>
  <c r="F2115" i="2"/>
  <c r="F2116" i="2"/>
  <c r="F2117" i="2"/>
  <c r="F2118" i="2"/>
  <c r="F2119" i="2"/>
  <c r="F2120" i="2"/>
  <c r="F2121" i="2"/>
  <c r="F2122" i="2"/>
  <c r="F2123" i="2"/>
  <c r="F2124" i="2"/>
  <c r="F2125" i="2"/>
  <c r="F2126" i="2"/>
  <c r="F2127" i="2"/>
  <c r="F2128" i="2"/>
  <c r="F2129" i="2"/>
  <c r="F2130" i="2"/>
  <c r="F2131" i="2"/>
  <c r="F2132" i="2"/>
  <c r="F2133" i="2"/>
  <c r="F2134" i="2"/>
  <c r="F2135" i="2"/>
  <c r="F2136" i="2"/>
  <c r="F2137" i="2"/>
  <c r="F2138" i="2"/>
  <c r="F2139" i="2"/>
  <c r="F2140" i="2"/>
  <c r="F2141" i="2"/>
  <c r="F2142" i="2"/>
  <c r="F2143" i="2"/>
  <c r="F2144" i="2"/>
  <c r="F2145" i="2"/>
  <c r="F2146" i="2"/>
  <c r="F2147" i="2"/>
  <c r="F2148" i="2"/>
  <c r="F2149" i="2"/>
  <c r="F2150" i="2"/>
  <c r="F2151" i="2"/>
  <c r="F2152" i="2"/>
  <c r="F2153" i="2"/>
  <c r="F2154" i="2"/>
  <c r="F2155" i="2"/>
  <c r="F2156" i="2"/>
  <c r="F2157" i="2"/>
  <c r="F2158" i="2"/>
  <c r="F2159" i="2"/>
  <c r="F2160" i="2"/>
  <c r="F2161" i="2"/>
  <c r="F2162" i="2"/>
  <c r="F2163" i="2"/>
  <c r="F2164" i="2"/>
  <c r="F2165" i="2"/>
  <c r="F2166" i="2"/>
  <c r="F2167" i="2"/>
  <c r="F2168" i="2"/>
  <c r="F2169" i="2"/>
  <c r="F2170" i="2"/>
  <c r="F2171" i="2"/>
  <c r="F2172" i="2"/>
  <c r="F2173" i="2"/>
  <c r="F2174" i="2"/>
  <c r="F2175" i="2"/>
  <c r="F2176" i="2"/>
  <c r="F2177" i="2"/>
  <c r="F2178" i="2"/>
  <c r="F2179" i="2"/>
  <c r="F2180" i="2"/>
  <c r="F2181" i="2"/>
  <c r="F2182" i="2"/>
  <c r="F2183" i="2"/>
  <c r="F2184" i="2"/>
  <c r="F2185" i="2"/>
  <c r="F2186" i="2"/>
  <c r="F2187" i="2"/>
  <c r="F2188" i="2"/>
  <c r="F2189" i="2"/>
  <c r="F2190" i="2"/>
  <c r="F2191" i="2"/>
  <c r="F2192" i="2"/>
  <c r="F2193" i="2"/>
  <c r="F2194" i="2"/>
  <c r="F2195" i="2"/>
  <c r="F2196" i="2"/>
  <c r="F2197" i="2"/>
  <c r="F2198" i="2"/>
  <c r="F2199" i="2"/>
  <c r="F2200" i="2"/>
  <c r="F2201" i="2"/>
  <c r="F2202" i="2"/>
  <c r="F2203" i="2"/>
  <c r="F2204" i="2"/>
  <c r="F2205" i="2"/>
  <c r="F2206" i="2"/>
  <c r="F2207" i="2"/>
  <c r="F2208" i="2"/>
  <c r="F2209" i="2"/>
  <c r="F2210" i="2"/>
  <c r="F2211" i="2"/>
  <c r="F2212" i="2"/>
  <c r="F2213" i="2"/>
  <c r="F2214" i="2"/>
  <c r="F2215" i="2"/>
  <c r="F2216" i="2"/>
  <c r="F2217" i="2"/>
  <c r="F2218" i="2"/>
  <c r="F2219" i="2"/>
  <c r="F2220" i="2"/>
  <c r="F2221" i="2"/>
  <c r="F2222" i="2"/>
  <c r="F2223" i="2"/>
  <c r="F2224" i="2"/>
  <c r="F2225" i="2"/>
  <c r="F2226" i="2"/>
  <c r="F2227" i="2"/>
  <c r="F2228" i="2"/>
  <c r="F2229" i="2"/>
  <c r="F2230" i="2"/>
  <c r="F2231" i="2"/>
  <c r="F2232" i="2"/>
  <c r="F2233" i="2"/>
  <c r="F2234" i="2"/>
  <c r="F2235" i="2"/>
  <c r="F2236" i="2"/>
  <c r="F2237" i="2"/>
  <c r="F2238" i="2"/>
  <c r="F2239" i="2"/>
  <c r="F2240" i="2"/>
  <c r="F2241" i="2"/>
  <c r="F2242" i="2"/>
  <c r="F2243" i="2"/>
  <c r="F2244" i="2"/>
  <c r="F2245" i="2"/>
  <c r="F2246" i="2"/>
  <c r="F2247" i="2"/>
  <c r="F2248" i="2"/>
  <c r="F2249" i="2"/>
  <c r="F2250" i="2"/>
  <c r="F2251" i="2"/>
  <c r="F2252" i="2"/>
  <c r="F2253" i="2"/>
  <c r="F2254" i="2"/>
  <c r="F2255" i="2"/>
  <c r="F2256" i="2"/>
  <c r="F2257" i="2"/>
  <c r="F2258" i="2"/>
  <c r="F2259" i="2"/>
  <c r="F2260" i="2"/>
  <c r="F2261" i="2"/>
  <c r="F2262" i="2"/>
  <c r="F2263" i="2"/>
  <c r="F2264" i="2"/>
  <c r="F2265" i="2"/>
  <c r="F2266" i="2"/>
  <c r="F2267" i="2"/>
  <c r="F2268" i="2"/>
  <c r="F2269" i="2"/>
  <c r="F2270" i="2"/>
  <c r="F2271" i="2"/>
  <c r="F2272" i="2"/>
  <c r="F2273" i="2"/>
  <c r="F2274" i="2"/>
  <c r="F2275" i="2"/>
  <c r="F2276" i="2"/>
  <c r="F2277" i="2"/>
  <c r="F2278" i="2"/>
  <c r="F2279" i="2"/>
  <c r="F2280" i="2"/>
  <c r="F2281" i="2"/>
  <c r="F2282" i="2"/>
  <c r="F2283" i="2"/>
  <c r="F2284" i="2"/>
  <c r="F2285" i="2"/>
  <c r="F2286" i="2"/>
  <c r="F2287" i="2"/>
  <c r="F2288" i="2"/>
  <c r="F2289" i="2"/>
  <c r="F2290" i="2"/>
  <c r="F2291" i="2"/>
  <c r="F2292" i="2"/>
  <c r="F2293" i="2"/>
  <c r="F2294" i="2"/>
  <c r="F2295" i="2"/>
  <c r="F2296" i="2"/>
  <c r="F2297" i="2"/>
  <c r="F2298" i="2"/>
  <c r="F2299" i="2"/>
  <c r="F2300" i="2"/>
  <c r="F2301" i="2"/>
  <c r="F2302" i="2"/>
  <c r="F2303" i="2"/>
  <c r="F2304" i="2"/>
  <c r="F2305" i="2"/>
  <c r="F2306" i="2"/>
  <c r="F2307" i="2"/>
  <c r="F2308" i="2"/>
  <c r="F2309" i="2"/>
  <c r="F2310" i="2"/>
  <c r="F2311" i="2"/>
  <c r="F2312" i="2"/>
  <c r="F2313" i="2"/>
  <c r="F2314" i="2"/>
  <c r="F2315" i="2"/>
  <c r="F2316" i="2"/>
  <c r="F2317" i="2"/>
  <c r="F2318" i="2"/>
  <c r="F2319" i="2"/>
  <c r="F2320" i="2"/>
  <c r="F2321" i="2"/>
  <c r="F2322" i="2"/>
  <c r="F2323" i="2"/>
  <c r="F2324" i="2"/>
  <c r="F2325" i="2"/>
  <c r="F2326" i="2"/>
  <c r="F2327" i="2"/>
  <c r="F2328" i="2"/>
  <c r="F2329" i="2"/>
  <c r="F2330" i="2"/>
  <c r="F2331" i="2"/>
  <c r="F2332" i="2"/>
  <c r="F2333" i="2"/>
  <c r="F2334" i="2"/>
  <c r="F2335" i="2"/>
  <c r="F2336" i="2"/>
  <c r="F2337" i="2"/>
  <c r="F2338" i="2"/>
  <c r="F2339" i="2"/>
  <c r="F2340" i="2"/>
  <c r="F2341" i="2"/>
  <c r="F2342" i="2"/>
  <c r="F2343" i="2"/>
  <c r="F2344" i="2"/>
  <c r="F2345" i="2"/>
  <c r="F2346" i="2"/>
  <c r="F2347" i="2"/>
  <c r="F2348" i="2"/>
  <c r="F2349" i="2"/>
  <c r="F2350" i="2"/>
  <c r="F2351" i="2"/>
  <c r="F2352" i="2"/>
  <c r="F2353" i="2"/>
  <c r="F2354" i="2"/>
  <c r="F2355" i="2"/>
  <c r="F2356" i="2"/>
  <c r="F2357" i="2"/>
  <c r="F2358" i="2"/>
  <c r="F2359" i="2"/>
  <c r="F2360" i="2"/>
  <c r="F2361" i="2"/>
  <c r="F2362" i="2"/>
  <c r="F2363" i="2"/>
  <c r="F2364" i="2"/>
  <c r="F2365" i="2"/>
  <c r="F2366" i="2"/>
  <c r="F2367" i="2"/>
  <c r="F2368" i="2"/>
  <c r="F2369" i="2"/>
  <c r="F2370" i="2"/>
  <c r="F2371" i="2"/>
  <c r="F2372" i="2"/>
  <c r="F2373" i="2"/>
  <c r="F2374" i="2"/>
  <c r="F2375" i="2"/>
  <c r="F2376" i="2"/>
  <c r="F2377" i="2"/>
  <c r="F2378" i="2"/>
  <c r="F2379" i="2"/>
  <c r="F2380" i="2"/>
  <c r="F2381" i="2"/>
  <c r="F2382" i="2"/>
  <c r="F2383" i="2"/>
  <c r="F2384" i="2"/>
  <c r="F2385" i="2"/>
  <c r="F2386" i="2"/>
  <c r="F2387" i="2"/>
  <c r="F2388" i="2"/>
  <c r="F2389" i="2"/>
  <c r="F2390" i="2"/>
  <c r="F2391" i="2"/>
  <c r="F2392" i="2"/>
  <c r="F2393" i="2"/>
  <c r="F2394" i="2"/>
  <c r="F2395" i="2"/>
  <c r="F2396" i="2"/>
  <c r="F2397" i="2"/>
  <c r="F2398" i="2"/>
  <c r="F2399" i="2"/>
  <c r="F2400" i="2"/>
  <c r="F2401" i="2"/>
  <c r="F2402" i="2"/>
  <c r="F2403" i="2"/>
  <c r="F2404" i="2"/>
  <c r="F2405" i="2"/>
  <c r="F2406" i="2"/>
  <c r="F2407" i="2"/>
  <c r="F2408" i="2"/>
  <c r="F2409" i="2"/>
  <c r="F2410" i="2"/>
  <c r="F2411" i="2"/>
  <c r="F2412" i="2"/>
  <c r="F2413" i="2"/>
  <c r="F2414" i="2"/>
  <c r="F2415" i="2"/>
  <c r="F2416" i="2"/>
  <c r="F2417" i="2"/>
  <c r="F2418" i="2"/>
  <c r="F2419" i="2"/>
  <c r="F2420" i="2"/>
  <c r="F2421" i="2"/>
  <c r="F2422" i="2"/>
  <c r="F2423" i="2"/>
  <c r="F2424" i="2"/>
  <c r="F2425" i="2"/>
  <c r="F2426" i="2"/>
  <c r="F2427" i="2"/>
  <c r="F2428" i="2"/>
  <c r="F2429" i="2"/>
  <c r="F2430" i="2"/>
  <c r="F2431" i="2"/>
  <c r="F2432" i="2"/>
  <c r="F2433" i="2"/>
  <c r="F2434" i="2"/>
  <c r="F2435" i="2"/>
  <c r="F2436" i="2"/>
  <c r="F2437" i="2"/>
  <c r="F2438" i="2"/>
  <c r="F2439" i="2"/>
  <c r="F2440" i="2"/>
  <c r="F2441" i="2"/>
  <c r="F2442" i="2"/>
  <c r="F2443" i="2"/>
  <c r="F2444" i="2"/>
  <c r="F2445" i="2"/>
  <c r="F2446" i="2"/>
  <c r="F2447" i="2"/>
  <c r="F2448" i="2"/>
  <c r="F2449" i="2"/>
  <c r="F2450" i="2"/>
  <c r="F2451" i="2"/>
  <c r="F2452" i="2"/>
  <c r="F2453" i="2"/>
  <c r="F2454" i="2"/>
  <c r="F2455" i="2"/>
  <c r="F2456" i="2"/>
  <c r="F2457" i="2"/>
  <c r="F2458" i="2"/>
  <c r="F2459" i="2"/>
  <c r="F2460" i="2"/>
  <c r="F2461" i="2"/>
  <c r="F2462" i="2"/>
  <c r="F2463" i="2"/>
  <c r="F2464" i="2"/>
  <c r="F2465" i="2"/>
  <c r="F2466" i="2"/>
  <c r="F2467" i="2"/>
  <c r="F2468" i="2"/>
  <c r="F2469" i="2"/>
  <c r="F2470" i="2"/>
  <c r="F2471" i="2"/>
  <c r="F2472" i="2"/>
  <c r="F2473" i="2"/>
  <c r="F2474" i="2"/>
  <c r="F2475" i="2"/>
  <c r="F2476" i="2"/>
  <c r="F2477" i="2"/>
  <c r="F2478" i="2"/>
  <c r="F2479" i="2"/>
  <c r="F2480" i="2"/>
  <c r="F2481" i="2"/>
  <c r="F2482" i="2"/>
  <c r="F2483" i="2"/>
  <c r="F2484" i="2"/>
  <c r="F2601" i="2"/>
  <c r="F2485" i="2"/>
  <c r="F2486" i="2"/>
  <c r="F2487" i="2"/>
  <c r="F2488" i="2"/>
  <c r="F2489" i="2"/>
  <c r="F2490" i="2"/>
  <c r="F2491" i="2"/>
  <c r="F2492" i="2"/>
  <c r="F2493" i="2"/>
  <c r="F2494" i="2"/>
  <c r="F2495" i="2"/>
  <c r="F2496" i="2"/>
  <c r="F2497" i="2"/>
  <c r="F2498" i="2"/>
  <c r="F2499" i="2"/>
  <c r="F2500" i="2"/>
  <c r="F2501" i="2"/>
  <c r="F2502" i="2"/>
  <c r="F2503" i="2"/>
  <c r="F2504" i="2"/>
  <c r="F2505" i="2"/>
  <c r="F2506" i="2"/>
  <c r="F2507" i="2"/>
  <c r="F2508" i="2"/>
  <c r="F2509" i="2"/>
  <c r="F2510" i="2"/>
  <c r="F2511" i="2"/>
  <c r="F2512" i="2"/>
  <c r="F2513" i="2"/>
  <c r="F2514" i="2"/>
  <c r="F2515" i="2"/>
  <c r="F2516" i="2"/>
  <c r="F2517" i="2"/>
  <c r="F2518" i="2"/>
  <c r="F2519" i="2"/>
  <c r="F2520" i="2"/>
  <c r="F2521" i="2"/>
  <c r="F2522" i="2"/>
  <c r="F2523" i="2"/>
  <c r="F2524" i="2"/>
  <c r="F2525" i="2"/>
  <c r="F2526" i="2"/>
  <c r="F2527" i="2"/>
  <c r="F2528" i="2"/>
  <c r="F2529" i="2"/>
  <c r="F2530" i="2"/>
  <c r="F2531" i="2"/>
  <c r="F2532" i="2"/>
  <c r="F2533" i="2"/>
  <c r="F2534" i="2"/>
  <c r="F2535" i="2"/>
  <c r="F2536" i="2"/>
  <c r="F2537" i="2"/>
  <c r="F2538" i="2"/>
  <c r="F2539" i="2"/>
  <c r="F2540" i="2"/>
  <c r="F2541" i="2"/>
  <c r="F2542" i="2"/>
  <c r="F2543" i="2"/>
  <c r="F2544" i="2"/>
  <c r="F2545" i="2"/>
  <c r="F2546" i="2"/>
  <c r="F2547" i="2"/>
  <c r="F2548" i="2"/>
  <c r="F2549" i="2"/>
  <c r="F2550" i="2"/>
  <c r="F2551" i="2"/>
  <c r="F2552" i="2"/>
  <c r="F2553" i="2"/>
  <c r="F2554" i="2"/>
  <c r="F2555" i="2"/>
  <c r="F2556" i="2"/>
  <c r="F2557" i="2"/>
  <c r="F2558" i="2"/>
  <c r="F2559" i="2"/>
  <c r="F2560" i="2"/>
  <c r="F2561" i="2"/>
  <c r="F2562" i="2"/>
  <c r="F2563" i="2"/>
  <c r="F2564" i="2"/>
  <c r="F2565" i="2"/>
  <c r="F2566" i="2"/>
  <c r="F2567" i="2"/>
  <c r="F2568" i="2"/>
  <c r="F2569" i="2"/>
  <c r="F2570" i="2"/>
  <c r="F2571" i="2"/>
  <c r="F2572" i="2"/>
  <c r="F2573" i="2"/>
  <c r="F2574" i="2"/>
  <c r="F2575" i="2"/>
  <c r="F2576" i="2"/>
  <c r="F2577" i="2"/>
  <c r="F2578" i="2"/>
  <c r="F2579" i="2"/>
  <c r="F2580" i="2"/>
  <c r="F2581" i="2"/>
  <c r="F2582" i="2"/>
  <c r="F2583" i="2"/>
  <c r="F2584" i="2"/>
  <c r="F2585" i="2"/>
  <c r="F2586" i="2"/>
  <c r="F2587" i="2"/>
  <c r="F2588" i="2"/>
  <c r="F2589" i="2"/>
  <c r="F2590" i="2"/>
  <c r="F2591" i="2"/>
  <c r="F2592" i="2"/>
  <c r="F2593" i="2"/>
  <c r="F2594" i="2"/>
  <c r="F2595" i="2"/>
  <c r="F2596" i="2"/>
  <c r="F2597" i="2"/>
  <c r="F2598" i="2"/>
  <c r="F2599" i="2"/>
  <c r="F2602" i="2"/>
  <c r="F2603" i="2"/>
  <c r="F2604" i="2"/>
  <c r="F2605" i="2"/>
  <c r="F2606" i="2"/>
  <c r="F2607" i="2"/>
  <c r="F2608" i="2"/>
  <c r="F2609" i="2"/>
  <c r="F2610" i="2"/>
  <c r="F2611" i="2"/>
  <c r="F2612" i="2"/>
  <c r="F2613" i="2"/>
  <c r="F2614" i="2"/>
  <c r="F2615" i="2"/>
  <c r="F2616" i="2"/>
  <c r="F2617" i="2"/>
  <c r="F2618" i="2"/>
  <c r="F2619" i="2"/>
  <c r="F2620" i="2"/>
  <c r="F2621" i="2"/>
  <c r="F2622" i="2"/>
  <c r="F2623" i="2"/>
  <c r="F2624" i="2"/>
  <c r="F2625" i="2"/>
  <c r="F2626" i="2"/>
  <c r="F2627" i="2"/>
  <c r="F2628" i="2"/>
  <c r="F2629" i="2"/>
  <c r="F2630" i="2"/>
  <c r="F2631" i="2"/>
  <c r="F2632" i="2"/>
  <c r="F2633" i="2"/>
  <c r="F2634" i="2"/>
  <c r="F2635" i="2"/>
  <c r="F2636" i="2"/>
  <c r="F2637" i="2"/>
  <c r="F2638" i="2"/>
  <c r="F2639" i="2"/>
  <c r="F2640" i="2"/>
  <c r="F2641" i="2"/>
  <c r="F2642" i="2"/>
  <c r="F2643" i="2"/>
  <c r="F2644" i="2"/>
  <c r="F2645" i="2"/>
  <c r="F2646" i="2"/>
  <c r="F2647" i="2"/>
  <c r="F2648" i="2"/>
  <c r="F2649" i="2"/>
  <c r="F2650" i="2"/>
  <c r="F2651" i="2"/>
  <c r="F2652" i="2"/>
  <c r="F2653" i="2"/>
  <c r="F2654" i="2"/>
  <c r="F2655" i="2"/>
  <c r="F2656" i="2"/>
  <c r="F2657" i="2"/>
  <c r="F2658" i="2"/>
  <c r="F2659" i="2"/>
  <c r="F2660" i="2"/>
  <c r="F2661" i="2"/>
  <c r="F2662" i="2"/>
  <c r="F2663" i="2"/>
  <c r="F2664" i="2"/>
  <c r="F2665" i="2"/>
  <c r="F2666" i="2"/>
  <c r="F2667" i="2"/>
  <c r="F2668" i="2"/>
  <c r="F2669" i="2"/>
  <c r="F2670" i="2"/>
  <c r="F2671" i="2"/>
  <c r="F2672" i="2"/>
  <c r="F2673" i="2"/>
  <c r="F2674" i="2"/>
  <c r="F2675" i="2"/>
  <c r="F2676" i="2"/>
  <c r="F2677" i="2"/>
  <c r="F2678" i="2"/>
  <c r="F2679" i="2"/>
  <c r="F2680" i="2"/>
  <c r="F2681" i="2"/>
  <c r="F2682" i="2"/>
  <c r="F2683" i="2"/>
  <c r="F2684" i="2"/>
  <c r="F2685" i="2"/>
  <c r="F2686" i="2"/>
  <c r="F2687" i="2"/>
  <c r="F2688" i="2"/>
  <c r="F2689" i="2"/>
  <c r="F2690" i="2"/>
  <c r="F2691" i="2"/>
  <c r="F2692" i="2"/>
  <c r="F2693" i="2"/>
  <c r="F2694" i="2"/>
  <c r="F2695" i="2"/>
  <c r="F2696" i="2"/>
  <c r="F2697" i="2"/>
  <c r="F2698" i="2"/>
  <c r="F2699" i="2"/>
  <c r="F2700" i="2"/>
  <c r="F2701" i="2"/>
  <c r="F2702" i="2"/>
  <c r="F2703" i="2"/>
  <c r="F2704" i="2"/>
  <c r="F2705" i="2"/>
  <c r="F2706" i="2"/>
  <c r="F2707" i="2"/>
  <c r="F2708" i="2"/>
  <c r="F2709" i="2"/>
  <c r="F2710" i="2"/>
  <c r="F2711" i="2"/>
  <c r="F2712" i="2"/>
  <c r="F2713" i="2"/>
  <c r="F2714" i="2"/>
  <c r="F2715" i="2"/>
  <c r="F2716" i="2"/>
  <c r="F2717" i="2"/>
  <c r="F2718" i="2"/>
  <c r="F2719" i="2"/>
  <c r="F2720" i="2"/>
  <c r="F2721" i="2"/>
  <c r="F2722" i="2"/>
  <c r="F2723" i="2"/>
  <c r="F2724" i="2"/>
  <c r="F2725" i="2"/>
  <c r="F2726" i="2"/>
  <c r="F2727" i="2"/>
  <c r="F2728" i="2"/>
  <c r="F2729" i="2"/>
  <c r="F2730" i="2"/>
  <c r="F2731" i="2"/>
  <c r="F2732" i="2"/>
  <c r="F2733" i="2"/>
  <c r="F2734" i="2"/>
  <c r="F2735" i="2"/>
  <c r="F2736" i="2"/>
  <c r="F2737" i="2"/>
  <c r="F2738" i="2"/>
  <c r="F2739" i="2"/>
  <c r="F2740" i="2"/>
  <c r="F2741" i="2"/>
  <c r="F2742" i="2"/>
  <c r="F2743" i="2"/>
  <c r="F2744" i="2"/>
  <c r="F2745" i="2"/>
  <c r="F2746" i="2"/>
  <c r="F2747" i="2"/>
  <c r="F2748" i="2"/>
  <c r="F2749" i="2"/>
  <c r="F2750" i="2"/>
  <c r="F2751" i="2"/>
  <c r="F2752" i="2"/>
  <c r="F2753" i="2"/>
  <c r="F2754" i="2"/>
  <c r="F2755" i="2"/>
  <c r="F2756" i="2"/>
  <c r="F2757" i="2"/>
  <c r="F2758" i="2"/>
  <c r="F2759" i="2"/>
  <c r="F2760" i="2"/>
  <c r="F2761" i="2"/>
  <c r="F2762" i="2"/>
  <c r="F2763" i="2"/>
  <c r="F2764" i="2"/>
  <c r="F2765" i="2"/>
  <c r="F2766" i="2"/>
  <c r="F2767" i="2"/>
  <c r="F2768" i="2"/>
  <c r="F2769" i="2"/>
  <c r="F2770" i="2"/>
  <c r="F2771" i="2"/>
  <c r="F2772" i="2"/>
  <c r="F2773" i="2"/>
  <c r="F2774" i="2"/>
  <c r="F2775" i="2"/>
  <c r="F2776" i="2"/>
  <c r="F2777" i="2"/>
  <c r="F2778" i="2"/>
  <c r="F2779" i="2"/>
  <c r="F2780" i="2"/>
  <c r="F2781" i="2"/>
  <c r="F2782" i="2"/>
  <c r="F2783" i="2"/>
  <c r="F2784" i="2"/>
  <c r="F2785" i="2"/>
  <c r="F2786" i="2"/>
  <c r="F2787" i="2"/>
  <c r="F2788" i="2"/>
  <c r="F2789" i="2"/>
  <c r="F2790" i="2"/>
  <c r="F2791" i="2"/>
  <c r="F2792" i="2"/>
  <c r="F2793" i="2"/>
  <c r="F2794" i="2"/>
  <c r="F2795" i="2"/>
  <c r="F2796" i="2"/>
  <c r="F2797" i="2"/>
  <c r="F2798" i="2"/>
  <c r="F2799" i="2"/>
  <c r="F2800" i="2"/>
  <c r="F2801" i="2"/>
  <c r="F2802" i="2"/>
  <c r="F2803" i="2"/>
  <c r="F2804" i="2"/>
  <c r="F2805" i="2"/>
  <c r="F2806" i="2"/>
  <c r="F2807" i="2"/>
  <c r="F2808" i="2"/>
  <c r="F2809" i="2"/>
  <c r="F2810" i="2"/>
  <c r="F2811" i="2"/>
  <c r="F2812" i="2"/>
  <c r="F2813" i="2"/>
  <c r="F2814" i="2"/>
  <c r="F2815" i="2"/>
  <c r="F2816" i="2"/>
  <c r="F2817" i="2"/>
  <c r="F2818" i="2"/>
  <c r="F2819" i="2"/>
  <c r="F2820" i="2"/>
  <c r="F2821" i="2"/>
  <c r="F2822" i="2"/>
  <c r="F2823" i="2"/>
  <c r="F2824" i="2"/>
  <c r="F2825" i="2"/>
  <c r="F2826" i="2"/>
  <c r="F2827" i="2"/>
  <c r="F2828" i="2"/>
  <c r="F2829" i="2"/>
  <c r="F2830" i="2"/>
  <c r="F2831" i="2"/>
  <c r="F2832" i="2"/>
  <c r="F2833" i="2"/>
  <c r="F2834" i="2"/>
  <c r="F2835" i="2"/>
  <c r="F2836" i="2"/>
  <c r="F2837" i="2"/>
  <c r="F2838" i="2"/>
  <c r="F2839" i="2"/>
  <c r="F2840" i="2"/>
  <c r="F2841" i="2"/>
  <c r="F2842" i="2"/>
  <c r="F2843" i="2"/>
  <c r="F2844" i="2"/>
  <c r="F2845" i="2"/>
  <c r="F2846" i="2"/>
  <c r="F2847" i="2"/>
  <c r="F2848" i="2"/>
  <c r="F2849" i="2"/>
  <c r="F2850" i="2"/>
  <c r="F2851" i="2"/>
  <c r="F2852" i="2"/>
  <c r="F2853" i="2"/>
  <c r="F2854" i="2"/>
  <c r="F2855" i="2"/>
  <c r="F2856" i="2"/>
  <c r="F2857" i="2"/>
  <c r="F2858" i="2"/>
  <c r="F2859" i="2"/>
  <c r="F2860" i="2"/>
  <c r="F2861" i="2"/>
  <c r="F2862" i="2"/>
  <c r="F2863" i="2"/>
  <c r="F2864" i="2"/>
  <c r="F2865" i="2"/>
  <c r="F2866" i="2"/>
  <c r="F2867" i="2"/>
  <c r="F2868" i="2"/>
  <c r="F2869" i="2"/>
  <c r="F2870" i="2"/>
  <c r="F2871" i="2"/>
  <c r="F2872" i="2"/>
  <c r="F2873" i="2"/>
  <c r="F2874" i="2"/>
  <c r="F2875" i="2"/>
  <c r="F2876" i="2"/>
  <c r="F2877" i="2"/>
  <c r="F2878" i="2"/>
  <c r="F2879" i="2"/>
  <c r="F2880" i="2"/>
  <c r="F2881" i="2"/>
  <c r="F2882" i="2"/>
  <c r="F2883" i="2"/>
  <c r="F2884" i="2"/>
  <c r="F2885" i="2"/>
  <c r="F2886" i="2"/>
  <c r="F2887" i="2"/>
  <c r="F2888" i="2"/>
  <c r="F2889" i="2"/>
  <c r="F2890" i="2"/>
  <c r="F2891" i="2"/>
  <c r="F2600" i="2"/>
  <c r="F2892" i="2"/>
  <c r="F2893" i="2"/>
  <c r="F2894" i="2"/>
  <c r="F2895" i="2"/>
  <c r="F2896" i="2"/>
  <c r="F2897" i="2"/>
  <c r="F2898" i="2"/>
  <c r="F2899" i="2"/>
  <c r="F2900" i="2"/>
  <c r="F2901" i="2"/>
  <c r="F2902" i="2"/>
  <c r="F2903" i="2"/>
  <c r="F2904" i="2"/>
  <c r="F2905" i="2"/>
  <c r="F2906" i="2"/>
  <c r="F2907" i="2"/>
  <c r="F2908" i="2"/>
  <c r="F2909" i="2"/>
  <c r="F2910" i="2"/>
  <c r="F2911" i="2"/>
  <c r="F2912" i="2"/>
  <c r="F2913" i="2"/>
  <c r="F2914" i="2"/>
  <c r="F2915" i="2"/>
  <c r="F2916" i="2"/>
  <c r="F2917" i="2"/>
  <c r="F2918" i="2"/>
  <c r="F2919" i="2"/>
  <c r="F2920" i="2"/>
  <c r="F2921" i="2"/>
  <c r="F2922" i="2"/>
  <c r="F2923" i="2"/>
  <c r="F2924" i="2"/>
  <c r="F2925" i="2"/>
  <c r="F2926" i="2"/>
  <c r="F2927" i="2"/>
  <c r="F2928" i="2"/>
  <c r="F2929" i="2"/>
  <c r="F2930" i="2"/>
  <c r="F2931" i="2"/>
  <c r="F2932" i="2"/>
  <c r="F2933" i="2"/>
  <c r="F2934" i="2"/>
  <c r="F2935" i="2"/>
  <c r="F2936" i="2"/>
  <c r="F2937" i="2"/>
  <c r="F2938" i="2"/>
  <c r="F2939" i="2"/>
  <c r="F2940" i="2"/>
  <c r="F2941" i="2"/>
  <c r="F2942" i="2"/>
  <c r="F2943" i="2"/>
  <c r="F2944" i="2"/>
  <c r="F2945" i="2"/>
  <c r="F2946" i="2"/>
  <c r="F2947" i="2"/>
  <c r="F2948" i="2"/>
  <c r="F2949" i="2"/>
  <c r="F2950" i="2"/>
  <c r="F2951" i="2"/>
  <c r="F2952" i="2"/>
  <c r="F2953" i="2"/>
  <c r="F2954" i="2"/>
  <c r="F2955" i="2"/>
  <c r="F2956" i="2"/>
  <c r="F2957" i="2"/>
  <c r="F2958" i="2"/>
  <c r="F2959" i="2"/>
  <c r="F2960" i="2"/>
  <c r="F2961" i="2"/>
  <c r="F2962" i="2"/>
  <c r="F2963" i="2"/>
  <c r="F2964" i="2"/>
  <c r="F2965" i="2"/>
  <c r="F2966" i="2"/>
  <c r="F2967" i="2"/>
  <c r="F2968" i="2"/>
  <c r="F2969" i="2"/>
  <c r="F2970" i="2"/>
  <c r="F2971" i="2"/>
  <c r="F2972" i="2"/>
  <c r="F2973" i="2"/>
  <c r="F2974" i="2"/>
  <c r="F2975" i="2"/>
  <c r="F2976" i="2"/>
  <c r="F2977" i="2"/>
  <c r="F2978" i="2"/>
  <c r="F2979" i="2"/>
  <c r="F2980" i="2"/>
  <c r="F2981" i="2"/>
  <c r="F2982" i="2"/>
  <c r="F2983" i="2"/>
  <c r="F2984" i="2"/>
  <c r="F2985" i="2"/>
  <c r="F2986" i="2"/>
  <c r="F2987" i="2"/>
  <c r="F2988" i="2"/>
  <c r="F2989" i="2"/>
  <c r="F2990" i="2"/>
  <c r="F2991" i="2"/>
  <c r="F2992" i="2"/>
  <c r="F2993" i="2"/>
  <c r="F2994" i="2"/>
  <c r="F2995" i="2"/>
  <c r="F2996" i="2"/>
  <c r="F2997" i="2"/>
  <c r="F2998" i="2"/>
  <c r="F2999" i="2"/>
  <c r="F3000" i="2"/>
  <c r="F3001" i="2"/>
  <c r="F3002" i="2"/>
  <c r="F3003" i="2"/>
  <c r="F3004" i="2"/>
  <c r="F3005" i="2"/>
  <c r="F3006" i="2"/>
  <c r="F3007" i="2"/>
  <c r="F3008" i="2"/>
  <c r="F3009" i="2"/>
  <c r="F3010" i="2"/>
  <c r="F3011" i="2"/>
  <c r="F3012" i="2"/>
  <c r="F3013" i="2"/>
  <c r="F3014" i="2"/>
  <c r="F3015" i="2"/>
  <c r="F3016" i="2"/>
  <c r="F3017" i="2"/>
  <c r="F3018" i="2"/>
  <c r="F3019" i="2"/>
  <c r="F3020" i="2"/>
  <c r="F3021" i="2"/>
  <c r="F3022" i="2"/>
  <c r="F3023" i="2"/>
  <c r="F3024" i="2"/>
  <c r="F3025" i="2"/>
  <c r="F3026" i="2"/>
  <c r="F3027" i="2"/>
  <c r="F3028" i="2"/>
  <c r="F3029" i="2"/>
  <c r="F3030" i="2"/>
  <c r="F3031" i="2"/>
  <c r="F3032" i="2"/>
  <c r="F3033" i="2"/>
  <c r="F3034" i="2"/>
  <c r="F3035" i="2"/>
  <c r="F3036" i="2"/>
  <c r="F3037" i="2"/>
  <c r="F3038" i="2"/>
  <c r="F3039" i="2"/>
  <c r="F3040" i="2"/>
  <c r="F3041" i="2"/>
  <c r="F3042" i="2"/>
  <c r="F3043" i="2"/>
  <c r="F3044" i="2"/>
  <c r="F3045" i="2"/>
  <c r="F3046" i="2"/>
  <c r="F3047" i="2"/>
  <c r="F3048" i="2"/>
  <c r="F3049" i="2"/>
  <c r="F3050" i="2"/>
  <c r="F3051" i="2"/>
  <c r="F3052" i="2"/>
  <c r="F3053" i="2"/>
  <c r="F3054" i="2"/>
  <c r="F3055" i="2"/>
  <c r="F3056" i="2"/>
  <c r="F3057" i="2"/>
  <c r="F3058" i="2"/>
  <c r="F3059" i="2"/>
  <c r="F3060" i="2"/>
  <c r="F3061" i="2"/>
  <c r="F3062" i="2"/>
  <c r="F3063" i="2"/>
  <c r="F3064" i="2"/>
  <c r="F3065" i="2"/>
  <c r="F3066" i="2"/>
  <c r="F3067" i="2"/>
  <c r="F3068" i="2"/>
  <c r="F3069" i="2"/>
  <c r="F3070" i="2"/>
  <c r="F3071" i="2"/>
  <c r="F3072" i="2"/>
  <c r="F3073" i="2"/>
  <c r="F3074" i="2"/>
  <c r="F3075" i="2"/>
  <c r="F3076" i="2"/>
  <c r="F3077" i="2"/>
  <c r="F3078" i="2"/>
  <c r="F3079" i="2"/>
  <c r="F3080" i="2"/>
  <c r="F3081" i="2"/>
  <c r="F3082" i="2"/>
  <c r="F3083" i="2"/>
  <c r="F3084" i="2"/>
  <c r="F3085" i="2"/>
  <c r="F3086" i="2"/>
  <c r="F3087" i="2"/>
  <c r="F3088" i="2"/>
  <c r="F3089" i="2"/>
  <c r="F3090" i="2"/>
  <c r="F3091" i="2"/>
  <c r="F3092" i="2"/>
  <c r="F3093" i="2"/>
  <c r="F3094" i="2"/>
  <c r="F3095" i="2"/>
  <c r="F3096" i="2"/>
  <c r="F3097" i="2"/>
  <c r="F3098" i="2"/>
  <c r="F3099" i="2"/>
  <c r="F3100" i="2"/>
  <c r="F3101" i="2"/>
  <c r="F3102" i="2"/>
  <c r="F3103" i="2"/>
  <c r="F3104" i="2"/>
  <c r="F3105" i="2"/>
  <c r="F3106" i="2"/>
  <c r="F3107" i="2"/>
  <c r="F3108" i="2"/>
  <c r="F3109" i="2"/>
  <c r="F3110" i="2"/>
  <c r="F3111" i="2"/>
  <c r="F3112" i="2"/>
  <c r="F3113" i="2"/>
  <c r="F3114" i="2"/>
  <c r="F3115" i="2"/>
  <c r="F3116" i="2"/>
  <c r="F3117" i="2"/>
  <c r="F3118" i="2"/>
  <c r="F3119" i="2"/>
  <c r="F3120" i="2"/>
  <c r="F3121" i="2"/>
  <c r="F3122" i="2"/>
  <c r="F3123" i="2"/>
  <c r="F3124" i="2"/>
  <c r="F3125" i="2"/>
  <c r="F3126" i="2"/>
  <c r="F3127" i="2"/>
  <c r="F3128" i="2"/>
  <c r="F3129" i="2"/>
  <c r="F3130" i="2"/>
  <c r="F3131" i="2"/>
  <c r="F3132" i="2"/>
  <c r="F3133" i="2"/>
  <c r="F3134" i="2"/>
  <c r="F3135" i="2"/>
  <c r="F3136" i="2"/>
  <c r="F3137" i="2"/>
  <c r="F3138" i="2"/>
  <c r="F3139" i="2"/>
  <c r="F3140" i="2"/>
  <c r="F3141" i="2"/>
  <c r="F3142" i="2"/>
  <c r="F3143" i="2"/>
  <c r="F3144" i="2"/>
  <c r="F3145" i="2"/>
  <c r="F3146" i="2"/>
  <c r="F3147" i="2"/>
  <c r="F3148" i="2"/>
  <c r="F3149" i="2"/>
  <c r="F3150" i="2"/>
  <c r="F3151" i="2"/>
  <c r="F3152" i="2"/>
  <c r="F3153" i="2"/>
  <c r="F3154" i="2"/>
  <c r="F3155" i="2"/>
  <c r="F3156" i="2"/>
  <c r="F3157" i="2"/>
  <c r="F3158" i="2"/>
  <c r="F3159" i="2"/>
  <c r="F3160" i="2"/>
  <c r="F3161" i="2"/>
  <c r="F3162" i="2"/>
  <c r="F3163" i="2"/>
  <c r="F3164" i="2"/>
  <c r="F3165" i="2"/>
  <c r="F3166" i="2"/>
  <c r="F3167" i="2"/>
  <c r="F3168" i="2"/>
  <c r="F3169" i="2"/>
  <c r="F3170" i="2"/>
  <c r="F3171" i="2"/>
  <c r="F3172" i="2"/>
  <c r="F3173" i="2"/>
  <c r="F3174" i="2"/>
  <c r="F3175" i="2"/>
  <c r="F3176" i="2"/>
  <c r="F3177" i="2"/>
  <c r="F3178" i="2"/>
  <c r="F3179" i="2"/>
  <c r="F3180" i="2"/>
  <c r="F3181" i="2"/>
  <c r="F3182" i="2"/>
  <c r="F3183" i="2"/>
  <c r="F3184" i="2"/>
  <c r="F3185" i="2"/>
  <c r="F3186" i="2"/>
  <c r="F3187" i="2"/>
  <c r="F3188" i="2"/>
  <c r="F3189" i="2"/>
  <c r="F3190" i="2"/>
  <c r="F3191" i="2"/>
  <c r="F3192" i="2"/>
  <c r="F3193" i="2"/>
  <c r="F3194" i="2"/>
  <c r="F3195" i="2"/>
  <c r="F3196" i="2"/>
  <c r="F3197" i="2"/>
  <c r="F3198" i="2"/>
  <c r="F3199" i="2"/>
  <c r="F3200" i="2"/>
  <c r="F3201" i="2"/>
  <c r="F3202" i="2"/>
  <c r="F3203" i="2"/>
  <c r="F3204" i="2"/>
  <c r="F3205" i="2"/>
  <c r="F3206" i="2"/>
  <c r="F3207" i="2"/>
  <c r="F3208" i="2"/>
  <c r="F3209" i="2"/>
  <c r="F3210" i="2"/>
  <c r="F3211" i="2"/>
  <c r="F3212" i="2"/>
  <c r="F3213" i="2"/>
  <c r="F3214" i="2"/>
  <c r="F3215" i="2"/>
  <c r="F3216" i="2"/>
  <c r="F3217" i="2"/>
  <c r="F3218" i="2"/>
  <c r="F3219" i="2"/>
  <c r="F3220" i="2"/>
  <c r="F3221" i="2"/>
  <c r="F3222" i="2"/>
  <c r="F3223" i="2"/>
  <c r="F3224" i="2"/>
  <c r="F3225" i="2"/>
  <c r="F3226" i="2"/>
  <c r="F3227" i="2"/>
  <c r="F3228" i="2"/>
  <c r="F3229" i="2"/>
  <c r="F3230" i="2"/>
  <c r="F3231" i="2"/>
  <c r="F3232" i="2"/>
  <c r="F3233" i="2"/>
  <c r="F3234" i="2"/>
  <c r="F3235" i="2"/>
  <c r="F3236" i="2"/>
  <c r="F3237" i="2"/>
  <c r="F3238" i="2"/>
  <c r="F3239" i="2"/>
  <c r="F3240" i="2"/>
  <c r="F3241" i="2"/>
  <c r="F3242" i="2"/>
  <c r="F3243" i="2"/>
  <c r="F3244" i="2"/>
  <c r="F3245" i="2"/>
  <c r="F3246" i="2"/>
  <c r="F3247" i="2"/>
  <c r="F3248" i="2"/>
  <c r="F3249" i="2"/>
  <c r="F3250" i="2"/>
  <c r="F3251" i="2"/>
  <c r="F3252" i="2"/>
  <c r="F3253" i="2"/>
  <c r="F3254" i="2"/>
  <c r="F3255" i="2"/>
  <c r="F3256" i="2"/>
  <c r="F3257" i="2"/>
  <c r="F3258" i="2"/>
  <c r="F3259" i="2"/>
  <c r="F3260" i="2"/>
  <c r="F3261" i="2"/>
  <c r="F3262" i="2"/>
  <c r="F3263" i="2"/>
  <c r="F3264" i="2"/>
  <c r="F3265" i="2"/>
  <c r="F3266" i="2"/>
  <c r="F3267" i="2"/>
  <c r="F3268" i="2"/>
  <c r="F3269" i="2"/>
  <c r="F3270" i="2"/>
  <c r="F3271" i="2"/>
  <c r="F3272" i="2"/>
  <c r="F3273" i="2"/>
  <c r="F3274" i="2"/>
  <c r="F3275" i="2"/>
  <c r="F3276" i="2"/>
  <c r="F3277" i="2"/>
  <c r="F3278" i="2"/>
  <c r="F3279" i="2"/>
  <c r="F3280" i="2"/>
  <c r="F3281" i="2"/>
  <c r="F3282" i="2"/>
  <c r="F3283" i="2"/>
  <c r="C210" i="4"/>
  <c r="D210" i="4" s="1"/>
  <c r="E210" i="4" s="1"/>
  <c r="C229" i="4"/>
  <c r="D229" i="4" s="1"/>
  <c r="E229" i="4" s="1"/>
  <c r="E3262" i="2" l="1"/>
  <c r="H3262" i="2" s="1"/>
  <c r="E3263" i="2"/>
  <c r="H3263" i="2" s="1"/>
  <c r="E3264" i="2"/>
  <c r="E3265" i="2"/>
  <c r="H3265" i="2" s="1"/>
  <c r="E3266" i="2"/>
  <c r="H3266" i="2" s="1"/>
  <c r="E3267" i="2"/>
  <c r="H3267" i="2" s="1"/>
  <c r="E3268" i="2"/>
  <c r="H3268" i="2" s="1"/>
  <c r="E3269" i="2"/>
  <c r="H3269" i="2" s="1"/>
  <c r="E3270" i="2"/>
  <c r="H3270" i="2" s="1"/>
  <c r="E3271" i="2"/>
  <c r="H3271" i="2" s="1"/>
  <c r="E3272" i="2"/>
  <c r="H3272" i="2" s="1"/>
  <c r="E3273" i="2"/>
  <c r="H3273" i="2" s="1"/>
  <c r="E3274" i="2"/>
  <c r="H3274" i="2" s="1"/>
  <c r="E3275" i="2"/>
  <c r="H3275" i="2" s="1"/>
  <c r="E3276" i="2"/>
  <c r="H3276" i="2" s="1"/>
  <c r="E3277" i="2"/>
  <c r="H3277" i="2" s="1"/>
  <c r="E3278" i="2"/>
  <c r="H3278" i="2" s="1"/>
  <c r="E3279" i="2"/>
  <c r="H3279" i="2" s="1"/>
  <c r="E3280" i="2"/>
  <c r="H3280" i="2" s="1"/>
  <c r="E3281" i="2"/>
  <c r="H3281" i="2" s="1"/>
  <c r="E3282" i="2"/>
  <c r="H3282" i="2" s="1"/>
  <c r="E3283" i="2"/>
  <c r="H3283" i="2" s="1"/>
  <c r="H3264" i="2"/>
  <c r="I3262" i="2"/>
  <c r="I3263" i="2"/>
  <c r="I3264" i="2"/>
  <c r="I3265" i="2"/>
  <c r="I3266" i="2"/>
  <c r="I3267" i="2"/>
  <c r="I3268" i="2"/>
  <c r="I3269" i="2"/>
  <c r="I3270" i="2"/>
  <c r="I3271" i="2"/>
  <c r="I3272" i="2"/>
  <c r="I3273" i="2"/>
  <c r="I3274" i="2"/>
  <c r="I3275" i="2"/>
  <c r="I3276" i="2"/>
  <c r="I3277" i="2"/>
  <c r="I3278" i="2"/>
  <c r="I3279" i="2"/>
  <c r="I3280" i="2"/>
  <c r="I3281" i="2"/>
  <c r="I3282" i="2"/>
  <c r="I3283" i="2"/>
  <c r="E3242" i="2"/>
  <c r="E3243" i="2"/>
  <c r="H3243" i="2" s="1"/>
  <c r="E3244" i="2"/>
  <c r="H3244" i="2" s="1"/>
  <c r="E3245" i="2"/>
  <c r="H3245" i="2" s="1"/>
  <c r="E3246" i="2"/>
  <c r="H3246" i="2" s="1"/>
  <c r="E3247" i="2"/>
  <c r="E3248" i="2"/>
  <c r="E3249" i="2"/>
  <c r="E3250" i="2"/>
  <c r="H3250" i="2" s="1"/>
  <c r="E3251" i="2"/>
  <c r="H3251" i="2" s="1"/>
  <c r="E3252" i="2"/>
  <c r="H3252" i="2" s="1"/>
  <c r="E3253" i="2"/>
  <c r="H3253" i="2" s="1"/>
  <c r="E3254" i="2"/>
  <c r="H3254" i="2" s="1"/>
  <c r="E3255" i="2"/>
  <c r="H3255" i="2" s="1"/>
  <c r="E3256" i="2"/>
  <c r="H3256" i="2" s="1"/>
  <c r="E3257" i="2"/>
  <c r="H3257" i="2" s="1"/>
  <c r="E3258" i="2"/>
  <c r="H3258" i="2" s="1"/>
  <c r="E3259" i="2"/>
  <c r="H3259" i="2" s="1"/>
  <c r="E3260" i="2"/>
  <c r="H3260" i="2" s="1"/>
  <c r="E3261" i="2"/>
  <c r="H3261" i="2" s="1"/>
  <c r="H3242" i="2"/>
  <c r="H3247" i="2"/>
  <c r="H3248" i="2"/>
  <c r="H3249" i="2"/>
  <c r="I3242" i="2"/>
  <c r="I3243" i="2"/>
  <c r="I3244" i="2"/>
  <c r="I3245" i="2"/>
  <c r="I3246" i="2"/>
  <c r="I3247" i="2"/>
  <c r="I3248" i="2"/>
  <c r="I3249" i="2"/>
  <c r="I3250" i="2"/>
  <c r="I3251" i="2"/>
  <c r="I3252" i="2"/>
  <c r="I3253" i="2"/>
  <c r="I3254" i="2"/>
  <c r="I3255" i="2"/>
  <c r="I3256" i="2"/>
  <c r="I3257" i="2"/>
  <c r="I3258" i="2"/>
  <c r="I3259" i="2"/>
  <c r="I3260" i="2"/>
  <c r="I3261" i="2"/>
  <c r="E3222" i="2"/>
  <c r="E3223" i="2"/>
  <c r="E3224" i="2"/>
  <c r="E3225" i="2"/>
  <c r="E3226" i="2"/>
  <c r="E3227" i="2"/>
  <c r="E3228" i="2"/>
  <c r="E3229" i="2"/>
  <c r="E3230" i="2"/>
  <c r="H3230" i="2" s="1"/>
  <c r="E3231" i="2"/>
  <c r="H3231" i="2" s="1"/>
  <c r="E3232" i="2"/>
  <c r="H3232" i="2" s="1"/>
  <c r="E3233" i="2"/>
  <c r="H3233" i="2" s="1"/>
  <c r="E3234" i="2"/>
  <c r="H3234" i="2" s="1"/>
  <c r="E3235" i="2"/>
  <c r="H3235" i="2" s="1"/>
  <c r="E3236" i="2"/>
  <c r="H3236" i="2" s="1"/>
  <c r="E3237" i="2"/>
  <c r="H3237" i="2" s="1"/>
  <c r="E3238" i="2"/>
  <c r="H3238" i="2" s="1"/>
  <c r="E3239" i="2"/>
  <c r="H3239" i="2" s="1"/>
  <c r="E3240" i="2"/>
  <c r="H3240" i="2" s="1"/>
  <c r="E3241" i="2"/>
  <c r="H3241" i="2" s="1"/>
  <c r="H3222" i="2"/>
  <c r="H3223" i="2"/>
  <c r="H3224" i="2"/>
  <c r="H3225" i="2"/>
  <c r="H3226" i="2"/>
  <c r="H3227" i="2"/>
  <c r="H3228" i="2"/>
  <c r="H3229" i="2"/>
  <c r="I3222" i="2"/>
  <c r="I3223" i="2"/>
  <c r="I3224" i="2"/>
  <c r="I3225" i="2"/>
  <c r="I3226" i="2"/>
  <c r="I3227" i="2"/>
  <c r="I3228" i="2"/>
  <c r="I3229" i="2"/>
  <c r="I3230" i="2"/>
  <c r="I3231" i="2"/>
  <c r="I3232" i="2"/>
  <c r="I3233" i="2"/>
  <c r="I3234" i="2"/>
  <c r="I3235" i="2"/>
  <c r="I3236" i="2"/>
  <c r="I3237" i="2"/>
  <c r="I3238" i="2"/>
  <c r="I3239" i="2"/>
  <c r="I3240" i="2"/>
  <c r="I3241" i="2"/>
  <c r="E3203" i="2"/>
  <c r="H3203" i="2" s="1"/>
  <c r="E3204" i="2"/>
  <c r="H3204" i="2" s="1"/>
  <c r="E3205" i="2"/>
  <c r="H3205" i="2" s="1"/>
  <c r="E3206" i="2"/>
  <c r="H3206" i="2" s="1"/>
  <c r="E3207" i="2"/>
  <c r="H3207" i="2" s="1"/>
  <c r="E3208" i="2"/>
  <c r="H3208" i="2" s="1"/>
  <c r="E3209" i="2"/>
  <c r="H3209" i="2" s="1"/>
  <c r="E3210" i="2"/>
  <c r="H3210" i="2" s="1"/>
  <c r="E3211" i="2"/>
  <c r="H3211" i="2" s="1"/>
  <c r="E3212" i="2"/>
  <c r="H3212" i="2" s="1"/>
  <c r="E3213" i="2"/>
  <c r="H3213" i="2" s="1"/>
  <c r="E3214" i="2"/>
  <c r="H3214" i="2" s="1"/>
  <c r="E3215" i="2"/>
  <c r="H3215" i="2" s="1"/>
  <c r="E3216" i="2"/>
  <c r="H3216" i="2" s="1"/>
  <c r="E3217" i="2"/>
  <c r="H3217" i="2" s="1"/>
  <c r="E3218" i="2"/>
  <c r="H3218" i="2" s="1"/>
  <c r="E3219" i="2"/>
  <c r="H3219" i="2" s="1"/>
  <c r="E3220" i="2"/>
  <c r="H3220" i="2" s="1"/>
  <c r="E3221" i="2"/>
  <c r="H3221" i="2" s="1"/>
  <c r="I3203" i="2"/>
  <c r="I3204" i="2"/>
  <c r="I3205" i="2"/>
  <c r="I3206" i="2"/>
  <c r="I3207" i="2"/>
  <c r="I3208" i="2"/>
  <c r="I3209" i="2"/>
  <c r="I3210" i="2"/>
  <c r="I3211" i="2"/>
  <c r="I3212" i="2"/>
  <c r="I3213" i="2"/>
  <c r="I3214" i="2"/>
  <c r="I3215" i="2"/>
  <c r="I3216" i="2"/>
  <c r="I3217" i="2"/>
  <c r="I3218" i="2"/>
  <c r="I3219" i="2"/>
  <c r="I3220" i="2"/>
  <c r="I3221" i="2"/>
  <c r="E3164" i="2"/>
  <c r="H3164" i="2" s="1"/>
  <c r="E3165" i="2"/>
  <c r="H3165" i="2" s="1"/>
  <c r="E3166" i="2"/>
  <c r="H3166" i="2" s="1"/>
  <c r="E3167" i="2"/>
  <c r="H3167" i="2" s="1"/>
  <c r="E3168" i="2"/>
  <c r="H3168" i="2" s="1"/>
  <c r="E3169" i="2"/>
  <c r="H3169" i="2" s="1"/>
  <c r="E3170" i="2"/>
  <c r="H3170" i="2" s="1"/>
  <c r="E3171" i="2"/>
  <c r="H3171" i="2" s="1"/>
  <c r="E3172" i="2"/>
  <c r="H3172" i="2" s="1"/>
  <c r="E3173" i="2"/>
  <c r="H3173" i="2" s="1"/>
  <c r="E3174" i="2"/>
  <c r="H3174" i="2" s="1"/>
  <c r="E3175" i="2"/>
  <c r="H3175" i="2" s="1"/>
  <c r="E3176" i="2"/>
  <c r="H3176" i="2" s="1"/>
  <c r="E3177" i="2"/>
  <c r="H3177" i="2" s="1"/>
  <c r="E3178" i="2"/>
  <c r="H3178" i="2" s="1"/>
  <c r="E3179" i="2"/>
  <c r="H3179" i="2" s="1"/>
  <c r="E3180" i="2"/>
  <c r="H3180" i="2" s="1"/>
  <c r="E3181" i="2"/>
  <c r="H3181" i="2" s="1"/>
  <c r="E3182" i="2"/>
  <c r="H3182" i="2" s="1"/>
  <c r="E3183" i="2"/>
  <c r="E3184" i="2"/>
  <c r="H3184" i="2" s="1"/>
  <c r="E3185" i="2"/>
  <c r="H3185" i="2" s="1"/>
  <c r="E3186" i="2"/>
  <c r="H3186" i="2" s="1"/>
  <c r="E3187" i="2"/>
  <c r="H3187" i="2" s="1"/>
  <c r="E3188" i="2"/>
  <c r="H3188" i="2" s="1"/>
  <c r="E3189" i="2"/>
  <c r="H3189" i="2" s="1"/>
  <c r="E3190" i="2"/>
  <c r="H3190" i="2" s="1"/>
  <c r="E3191" i="2"/>
  <c r="H3191" i="2" s="1"/>
  <c r="E3192" i="2"/>
  <c r="H3192" i="2" s="1"/>
  <c r="E3193" i="2"/>
  <c r="H3193" i="2" s="1"/>
  <c r="E3194" i="2"/>
  <c r="H3194" i="2" s="1"/>
  <c r="E3195" i="2"/>
  <c r="H3195" i="2" s="1"/>
  <c r="E3196" i="2"/>
  <c r="H3196" i="2" s="1"/>
  <c r="E3197" i="2"/>
  <c r="H3197" i="2" s="1"/>
  <c r="E3198" i="2"/>
  <c r="H3198" i="2" s="1"/>
  <c r="E3199" i="2"/>
  <c r="H3199" i="2" s="1"/>
  <c r="E3200" i="2"/>
  <c r="H3200" i="2" s="1"/>
  <c r="E3201" i="2"/>
  <c r="H3201" i="2" s="1"/>
  <c r="E3202" i="2"/>
  <c r="H3202" i="2" s="1"/>
  <c r="H3183" i="2"/>
  <c r="I3164" i="2"/>
  <c r="I3165" i="2"/>
  <c r="I3166" i="2"/>
  <c r="I3167" i="2"/>
  <c r="I3168" i="2"/>
  <c r="I3169" i="2"/>
  <c r="I3170" i="2"/>
  <c r="I3171" i="2"/>
  <c r="I3172" i="2"/>
  <c r="I3173" i="2"/>
  <c r="I3174" i="2"/>
  <c r="I3175" i="2"/>
  <c r="I3176" i="2"/>
  <c r="I3177" i="2"/>
  <c r="I3178" i="2"/>
  <c r="I3179" i="2"/>
  <c r="I3180" i="2"/>
  <c r="I3181" i="2"/>
  <c r="I3182" i="2"/>
  <c r="I3183" i="2"/>
  <c r="I3184" i="2"/>
  <c r="I3185" i="2"/>
  <c r="I3186" i="2"/>
  <c r="I3187" i="2"/>
  <c r="I3188" i="2"/>
  <c r="I3189" i="2"/>
  <c r="I3190" i="2"/>
  <c r="I3191" i="2"/>
  <c r="I3192" i="2"/>
  <c r="I3193" i="2"/>
  <c r="I3194" i="2"/>
  <c r="I3195" i="2"/>
  <c r="I3196" i="2"/>
  <c r="I3197" i="2"/>
  <c r="I3198" i="2"/>
  <c r="I3199" i="2"/>
  <c r="I3200" i="2"/>
  <c r="I3201" i="2"/>
  <c r="I3202" i="2"/>
  <c r="E3146" i="2"/>
  <c r="H3146" i="2" s="1"/>
  <c r="E3147" i="2"/>
  <c r="H3147" i="2" s="1"/>
  <c r="E3148" i="2"/>
  <c r="H3148" i="2" s="1"/>
  <c r="E3149" i="2"/>
  <c r="H3149" i="2" s="1"/>
  <c r="E3150" i="2"/>
  <c r="H3150" i="2" s="1"/>
  <c r="E3151" i="2"/>
  <c r="H3151" i="2" s="1"/>
  <c r="E3152" i="2"/>
  <c r="H3152" i="2" s="1"/>
  <c r="E3153" i="2"/>
  <c r="H3153" i="2" s="1"/>
  <c r="E3154" i="2"/>
  <c r="H3154" i="2" s="1"/>
  <c r="E3155" i="2"/>
  <c r="H3155" i="2" s="1"/>
  <c r="E3156" i="2"/>
  <c r="H3156" i="2" s="1"/>
  <c r="E3157" i="2"/>
  <c r="H3157" i="2" s="1"/>
  <c r="E3158" i="2"/>
  <c r="H3158" i="2" s="1"/>
  <c r="E3159" i="2"/>
  <c r="H3159" i="2" s="1"/>
  <c r="E3160" i="2"/>
  <c r="H3160" i="2" s="1"/>
  <c r="E3161" i="2"/>
  <c r="H3161" i="2" s="1"/>
  <c r="E3162" i="2"/>
  <c r="H3162" i="2" s="1"/>
  <c r="E3163" i="2"/>
  <c r="H3163" i="2" s="1"/>
  <c r="I3146" i="2"/>
  <c r="I3147" i="2"/>
  <c r="I3148" i="2"/>
  <c r="I3149" i="2"/>
  <c r="I3150" i="2"/>
  <c r="I3151" i="2"/>
  <c r="I3152" i="2"/>
  <c r="I3153" i="2"/>
  <c r="I3154" i="2"/>
  <c r="I3155" i="2"/>
  <c r="I3156" i="2"/>
  <c r="I3157" i="2"/>
  <c r="I3158" i="2"/>
  <c r="I3159" i="2"/>
  <c r="I3160" i="2"/>
  <c r="I3161" i="2"/>
  <c r="I3162" i="2"/>
  <c r="I3163" i="2"/>
  <c r="E3130" i="2"/>
  <c r="H3130" i="2" s="1"/>
  <c r="E3131" i="2"/>
  <c r="H3131" i="2" s="1"/>
  <c r="E3132" i="2"/>
  <c r="H3132" i="2" s="1"/>
  <c r="E3133" i="2"/>
  <c r="H3133" i="2" s="1"/>
  <c r="E3134" i="2"/>
  <c r="H3134" i="2" s="1"/>
  <c r="E3135" i="2"/>
  <c r="H3135" i="2" s="1"/>
  <c r="E3136" i="2"/>
  <c r="H3136" i="2" s="1"/>
  <c r="E3137" i="2"/>
  <c r="H3137" i="2" s="1"/>
  <c r="E3138" i="2"/>
  <c r="H3138" i="2" s="1"/>
  <c r="E3139" i="2"/>
  <c r="H3139" i="2" s="1"/>
  <c r="E3140" i="2"/>
  <c r="H3140" i="2" s="1"/>
  <c r="E3141" i="2"/>
  <c r="H3141" i="2" s="1"/>
  <c r="E3142" i="2"/>
  <c r="H3142" i="2" s="1"/>
  <c r="E3143" i="2"/>
  <c r="H3143" i="2" s="1"/>
  <c r="E3144" i="2"/>
  <c r="H3144" i="2" s="1"/>
  <c r="E3145" i="2"/>
  <c r="H3145" i="2" s="1"/>
  <c r="I3130" i="2"/>
  <c r="I3131" i="2"/>
  <c r="I3132" i="2"/>
  <c r="I3133" i="2"/>
  <c r="I3134" i="2"/>
  <c r="I3135" i="2"/>
  <c r="I3136" i="2"/>
  <c r="I3137" i="2"/>
  <c r="I3138" i="2"/>
  <c r="I3139" i="2"/>
  <c r="I3140" i="2"/>
  <c r="I3141" i="2"/>
  <c r="I3142" i="2"/>
  <c r="I3143" i="2"/>
  <c r="I3144" i="2"/>
  <c r="I3145" i="2"/>
  <c r="E3118" i="2"/>
  <c r="H3118" i="2" s="1"/>
  <c r="E3119" i="2"/>
  <c r="H3119" i="2" s="1"/>
  <c r="E3120" i="2"/>
  <c r="H3120" i="2" s="1"/>
  <c r="E3121" i="2"/>
  <c r="H3121" i="2" s="1"/>
  <c r="E3122" i="2"/>
  <c r="H3122" i="2" s="1"/>
  <c r="E3123" i="2"/>
  <c r="H3123" i="2" s="1"/>
  <c r="E3124" i="2"/>
  <c r="H3124" i="2" s="1"/>
  <c r="E3125" i="2"/>
  <c r="H3125" i="2" s="1"/>
  <c r="E3126" i="2"/>
  <c r="H3126" i="2" s="1"/>
  <c r="E3127" i="2"/>
  <c r="H3127" i="2" s="1"/>
  <c r="E3128" i="2"/>
  <c r="H3128" i="2" s="1"/>
  <c r="E3129" i="2"/>
  <c r="H3129" i="2" s="1"/>
  <c r="I3118" i="2"/>
  <c r="I3119" i="2"/>
  <c r="I3120" i="2"/>
  <c r="I3121" i="2"/>
  <c r="I3122" i="2"/>
  <c r="I3123" i="2"/>
  <c r="I3124" i="2"/>
  <c r="I3125" i="2"/>
  <c r="I3126" i="2"/>
  <c r="I3127" i="2"/>
  <c r="I3128" i="2"/>
  <c r="I3129" i="2"/>
  <c r="C3" i="4"/>
  <c r="C4" i="4"/>
  <c r="C5" i="4"/>
  <c r="C6" i="4"/>
  <c r="D6" i="4" s="1"/>
  <c r="E6" i="4" s="1"/>
  <c r="C8" i="4"/>
  <c r="C9" i="4"/>
  <c r="C10" i="4"/>
  <c r="D10" i="4" s="1"/>
  <c r="E10" i="4" s="1"/>
  <c r="C11" i="4"/>
  <c r="D11" i="4" s="1"/>
  <c r="E11" i="4" s="1"/>
  <c r="C12" i="4"/>
  <c r="C13" i="4"/>
  <c r="D13" i="4" s="1"/>
  <c r="E13" i="4" s="1"/>
  <c r="C14" i="4"/>
  <c r="D14" i="4" s="1"/>
  <c r="E14" i="4" s="1"/>
  <c r="C15" i="4"/>
  <c r="D15" i="4" s="1"/>
  <c r="E15" i="4" s="1"/>
  <c r="C16" i="4"/>
  <c r="C17" i="4"/>
  <c r="D17" i="4" s="1"/>
  <c r="E17" i="4" s="1"/>
  <c r="C18" i="4"/>
  <c r="C19" i="4"/>
  <c r="D19" i="4" s="1"/>
  <c r="E19" i="4" s="1"/>
  <c r="C20" i="4"/>
  <c r="C279" i="4"/>
  <c r="D279" i="4" s="1"/>
  <c r="E279" i="4" s="1"/>
  <c r="C22" i="4"/>
  <c r="D22" i="4" s="1"/>
  <c r="E22" i="4" s="1"/>
  <c r="C23" i="4"/>
  <c r="D23" i="4" s="1"/>
  <c r="E23" i="4" s="1"/>
  <c r="C24" i="4"/>
  <c r="C25" i="4"/>
  <c r="D25" i="4" s="1"/>
  <c r="E25" i="4" s="1"/>
  <c r="C26" i="4"/>
  <c r="C27" i="4"/>
  <c r="D27" i="4" s="1"/>
  <c r="E27" i="4" s="1"/>
  <c r="C28" i="4"/>
  <c r="C29" i="4"/>
  <c r="D29" i="4" s="1"/>
  <c r="E29" i="4" s="1"/>
  <c r="C30" i="4"/>
  <c r="D30" i="4" s="1"/>
  <c r="E30" i="4" s="1"/>
  <c r="C31" i="4"/>
  <c r="D31" i="4" s="1"/>
  <c r="E31" i="4" s="1"/>
  <c r="C34" i="4"/>
  <c r="C35" i="4"/>
  <c r="D35" i="4" s="1"/>
  <c r="E35" i="4" s="1"/>
  <c r="C36" i="4"/>
  <c r="D36" i="4" s="1"/>
  <c r="E36" i="4" s="1"/>
  <c r="C37" i="4"/>
  <c r="D37" i="4" s="1"/>
  <c r="E37" i="4" s="1"/>
  <c r="C38" i="4"/>
  <c r="D38" i="4" s="1"/>
  <c r="E38" i="4" s="1"/>
  <c r="C39" i="4"/>
  <c r="D39" i="4" s="1"/>
  <c r="E39" i="4" s="1"/>
  <c r="C40" i="4"/>
  <c r="D40" i="4" s="1"/>
  <c r="E40" i="4" s="1"/>
  <c r="C41" i="4"/>
  <c r="D41" i="4" s="1"/>
  <c r="E41" i="4" s="1"/>
  <c r="C42" i="4"/>
  <c r="D42" i="4" s="1"/>
  <c r="E42" i="4" s="1"/>
  <c r="C43" i="4"/>
  <c r="D43" i="4" s="1"/>
  <c r="E43" i="4" s="1"/>
  <c r="C44" i="4"/>
  <c r="D44" i="4" s="1"/>
  <c r="E44" i="4" s="1"/>
  <c r="C45" i="4"/>
  <c r="D45" i="4" s="1"/>
  <c r="E45" i="4" s="1"/>
  <c r="C46" i="4"/>
  <c r="D46" i="4" s="1"/>
  <c r="E46" i="4" s="1"/>
  <c r="C47" i="4"/>
  <c r="D47" i="4" s="1"/>
  <c r="E47" i="4" s="1"/>
  <c r="C48" i="4"/>
  <c r="D48" i="4" s="1"/>
  <c r="E48" i="4" s="1"/>
  <c r="C49" i="4"/>
  <c r="D49" i="4" s="1"/>
  <c r="E49" i="4" s="1"/>
  <c r="C50" i="4"/>
  <c r="D50" i="4" s="1"/>
  <c r="E50" i="4" s="1"/>
  <c r="C51" i="4"/>
  <c r="D51" i="4" s="1"/>
  <c r="E51" i="4" s="1"/>
  <c r="C53" i="4"/>
  <c r="D53" i="4" s="1"/>
  <c r="E53" i="4" s="1"/>
  <c r="C54" i="4"/>
  <c r="D54" i="4" s="1"/>
  <c r="E54" i="4" s="1"/>
  <c r="C55" i="4"/>
  <c r="D55" i="4" s="1"/>
  <c r="E55" i="4" s="1"/>
  <c r="C56" i="4"/>
  <c r="D56" i="4" s="1"/>
  <c r="E56" i="4" s="1"/>
  <c r="C57" i="4"/>
  <c r="D57" i="4" s="1"/>
  <c r="E57" i="4" s="1"/>
  <c r="C58" i="4"/>
  <c r="D58" i="4" s="1"/>
  <c r="E58" i="4" s="1"/>
  <c r="C59" i="4"/>
  <c r="D59" i="4" s="1"/>
  <c r="E59" i="4" s="1"/>
  <c r="C60" i="4"/>
  <c r="D60" i="4" s="1"/>
  <c r="E60" i="4" s="1"/>
  <c r="C61" i="4"/>
  <c r="D61" i="4" s="1"/>
  <c r="E61" i="4" s="1"/>
  <c r="C62" i="4"/>
  <c r="D62" i="4" s="1"/>
  <c r="E62" i="4" s="1"/>
  <c r="C63" i="4"/>
  <c r="D63" i="4" s="1"/>
  <c r="E63" i="4" s="1"/>
  <c r="C64" i="4"/>
  <c r="D64" i="4" s="1"/>
  <c r="E64" i="4" s="1"/>
  <c r="C65" i="4"/>
  <c r="D65" i="4" s="1"/>
  <c r="E65" i="4" s="1"/>
  <c r="C66" i="4"/>
  <c r="D66" i="4" s="1"/>
  <c r="E66" i="4" s="1"/>
  <c r="C67" i="4"/>
  <c r="D67" i="4" s="1"/>
  <c r="E67" i="4" s="1"/>
  <c r="C68" i="4"/>
  <c r="D68" i="4" s="1"/>
  <c r="E68" i="4" s="1"/>
  <c r="C69" i="4"/>
  <c r="D69" i="4" s="1"/>
  <c r="E69" i="4" s="1"/>
  <c r="C70" i="4"/>
  <c r="D70" i="4" s="1"/>
  <c r="E70" i="4" s="1"/>
  <c r="C71" i="4"/>
  <c r="D71" i="4" s="1"/>
  <c r="E71" i="4" s="1"/>
  <c r="C72" i="4"/>
  <c r="D72" i="4" s="1"/>
  <c r="E72" i="4" s="1"/>
  <c r="C73" i="4"/>
  <c r="D73" i="4" s="1"/>
  <c r="E73" i="4" s="1"/>
  <c r="C74" i="4"/>
  <c r="D74" i="4" s="1"/>
  <c r="E74" i="4" s="1"/>
  <c r="C75" i="4"/>
  <c r="D75" i="4" s="1"/>
  <c r="E75" i="4" s="1"/>
  <c r="C76" i="4"/>
  <c r="D76" i="4" s="1"/>
  <c r="E76" i="4" s="1"/>
  <c r="C77" i="4"/>
  <c r="D77" i="4" s="1"/>
  <c r="E77" i="4" s="1"/>
  <c r="C78" i="4"/>
  <c r="D78" i="4" s="1"/>
  <c r="E78" i="4" s="1"/>
  <c r="C79" i="4"/>
  <c r="D79" i="4" s="1"/>
  <c r="E79" i="4" s="1"/>
  <c r="C80" i="4"/>
  <c r="D80" i="4" s="1"/>
  <c r="E80" i="4" s="1"/>
  <c r="C81" i="4"/>
  <c r="D81" i="4" s="1"/>
  <c r="E81" i="4" s="1"/>
  <c r="C82" i="4"/>
  <c r="D82" i="4" s="1"/>
  <c r="E82" i="4" s="1"/>
  <c r="C83" i="4"/>
  <c r="D83" i="4" s="1"/>
  <c r="E83" i="4" s="1"/>
  <c r="C84" i="4"/>
  <c r="D84" i="4" s="1"/>
  <c r="E84" i="4" s="1"/>
  <c r="C85" i="4"/>
  <c r="D85" i="4" s="1"/>
  <c r="E85" i="4" s="1"/>
  <c r="C86" i="4"/>
  <c r="D86" i="4" s="1"/>
  <c r="E86" i="4" s="1"/>
  <c r="C87" i="4"/>
  <c r="D87" i="4" s="1"/>
  <c r="E87" i="4" s="1"/>
  <c r="C88" i="4"/>
  <c r="D88" i="4" s="1"/>
  <c r="E88" i="4" s="1"/>
  <c r="C89" i="4"/>
  <c r="D89" i="4" s="1"/>
  <c r="E89" i="4" s="1"/>
  <c r="C90" i="4"/>
  <c r="D90" i="4" s="1"/>
  <c r="E90" i="4" s="1"/>
  <c r="C91" i="4"/>
  <c r="D91" i="4" s="1"/>
  <c r="E91" i="4" s="1"/>
  <c r="C92" i="4"/>
  <c r="D92" i="4" s="1"/>
  <c r="E92" i="4" s="1"/>
  <c r="C93" i="4"/>
  <c r="D93" i="4" s="1"/>
  <c r="E93" i="4" s="1"/>
  <c r="C94" i="4"/>
  <c r="D94" i="4" s="1"/>
  <c r="E94" i="4" s="1"/>
  <c r="C95" i="4"/>
  <c r="D95" i="4" s="1"/>
  <c r="E95" i="4" s="1"/>
  <c r="C96" i="4"/>
  <c r="D96" i="4" s="1"/>
  <c r="E96" i="4" s="1"/>
  <c r="C97" i="4"/>
  <c r="D97" i="4" s="1"/>
  <c r="E97" i="4" s="1"/>
  <c r="C98" i="4"/>
  <c r="D98" i="4" s="1"/>
  <c r="E98" i="4" s="1"/>
  <c r="C99" i="4"/>
  <c r="D99" i="4" s="1"/>
  <c r="E99" i="4" s="1"/>
  <c r="C303" i="4"/>
  <c r="D303" i="4" s="1"/>
  <c r="E303" i="4" s="1"/>
  <c r="C101" i="4"/>
  <c r="D101" i="4" s="1"/>
  <c r="E101" i="4" s="1"/>
  <c r="C102" i="4"/>
  <c r="D102" i="4" s="1"/>
  <c r="E102" i="4" s="1"/>
  <c r="C103" i="4"/>
  <c r="D103" i="4" s="1"/>
  <c r="E103" i="4" s="1"/>
  <c r="C104" i="4"/>
  <c r="D104" i="4" s="1"/>
  <c r="E104" i="4" s="1"/>
  <c r="C105" i="4"/>
  <c r="D105" i="4" s="1"/>
  <c r="E105" i="4" s="1"/>
  <c r="C203" i="4"/>
  <c r="D203" i="4" s="1"/>
  <c r="E203" i="4" s="1"/>
  <c r="C106" i="4"/>
  <c r="D106" i="4" s="1"/>
  <c r="E106" i="4" s="1"/>
  <c r="C108" i="4"/>
  <c r="D108" i="4" s="1"/>
  <c r="E108" i="4" s="1"/>
  <c r="C109" i="4"/>
  <c r="D109" i="4" s="1"/>
  <c r="E109" i="4" s="1"/>
  <c r="C110" i="4"/>
  <c r="D110" i="4" s="1"/>
  <c r="E110" i="4" s="1"/>
  <c r="C111" i="4"/>
  <c r="D111" i="4" s="1"/>
  <c r="E111" i="4" s="1"/>
  <c r="C112" i="4"/>
  <c r="D112" i="4" s="1"/>
  <c r="E112" i="4" s="1"/>
  <c r="C113" i="4"/>
  <c r="D113" i="4" s="1"/>
  <c r="E113" i="4" s="1"/>
  <c r="C114" i="4"/>
  <c r="D114" i="4" s="1"/>
  <c r="E114" i="4" s="1"/>
  <c r="C115" i="4"/>
  <c r="D115" i="4" s="1"/>
  <c r="E115" i="4" s="1"/>
  <c r="C116" i="4"/>
  <c r="D116" i="4" s="1"/>
  <c r="E116" i="4" s="1"/>
  <c r="C117" i="4"/>
  <c r="D117" i="4" s="1"/>
  <c r="E117" i="4" s="1"/>
  <c r="C118" i="4"/>
  <c r="D118" i="4" s="1"/>
  <c r="E118" i="4" s="1"/>
  <c r="C119" i="4"/>
  <c r="D119" i="4" s="1"/>
  <c r="E119" i="4" s="1"/>
  <c r="C120" i="4"/>
  <c r="D120" i="4" s="1"/>
  <c r="E120" i="4" s="1"/>
  <c r="C121" i="4"/>
  <c r="D121" i="4" s="1"/>
  <c r="E121" i="4" s="1"/>
  <c r="C122" i="4"/>
  <c r="D122" i="4" s="1"/>
  <c r="E122" i="4" s="1"/>
  <c r="C123" i="4"/>
  <c r="D123" i="4" s="1"/>
  <c r="E123" i="4" s="1"/>
  <c r="C124" i="4"/>
  <c r="D124" i="4" s="1"/>
  <c r="E124" i="4" s="1"/>
  <c r="C125" i="4"/>
  <c r="D125" i="4" s="1"/>
  <c r="E125" i="4" s="1"/>
  <c r="C126" i="4"/>
  <c r="D126" i="4" s="1"/>
  <c r="E126" i="4" s="1"/>
  <c r="C127" i="4"/>
  <c r="D127" i="4" s="1"/>
  <c r="E127" i="4" s="1"/>
  <c r="C128" i="4"/>
  <c r="D128" i="4" s="1"/>
  <c r="E128" i="4" s="1"/>
  <c r="C129" i="4"/>
  <c r="D129" i="4" s="1"/>
  <c r="E129" i="4" s="1"/>
  <c r="C130" i="4"/>
  <c r="D130" i="4" s="1"/>
  <c r="E130" i="4" s="1"/>
  <c r="C131" i="4"/>
  <c r="D131" i="4" s="1"/>
  <c r="E131" i="4" s="1"/>
  <c r="C107" i="4"/>
  <c r="D107" i="4" s="1"/>
  <c r="E107" i="4" s="1"/>
  <c r="C133" i="4"/>
  <c r="D133" i="4" s="1"/>
  <c r="E133" i="4" s="1"/>
  <c r="C134" i="4"/>
  <c r="D134" i="4" s="1"/>
  <c r="E134" i="4" s="1"/>
  <c r="C135" i="4"/>
  <c r="D135" i="4" s="1"/>
  <c r="E135" i="4" s="1"/>
  <c r="C136" i="4"/>
  <c r="D136" i="4" s="1"/>
  <c r="E136" i="4" s="1"/>
  <c r="C137" i="4"/>
  <c r="D137" i="4" s="1"/>
  <c r="E137" i="4" s="1"/>
  <c r="C138" i="4"/>
  <c r="D138" i="4" s="1"/>
  <c r="E138" i="4" s="1"/>
  <c r="C139" i="4"/>
  <c r="D139" i="4" s="1"/>
  <c r="E139" i="4" s="1"/>
  <c r="C140" i="4"/>
  <c r="D140" i="4" s="1"/>
  <c r="E140" i="4" s="1"/>
  <c r="C141" i="4"/>
  <c r="D141" i="4" s="1"/>
  <c r="E141" i="4" s="1"/>
  <c r="C142" i="4"/>
  <c r="D142" i="4" s="1"/>
  <c r="E142" i="4" s="1"/>
  <c r="C143" i="4"/>
  <c r="D143" i="4" s="1"/>
  <c r="E143" i="4" s="1"/>
  <c r="C145" i="4"/>
  <c r="D145" i="4" s="1"/>
  <c r="E145" i="4" s="1"/>
  <c r="C146" i="4"/>
  <c r="C147" i="4"/>
  <c r="D147" i="4" s="1"/>
  <c r="E147" i="4" s="1"/>
  <c r="C148" i="4"/>
  <c r="D148" i="4" s="1"/>
  <c r="E148" i="4" s="1"/>
  <c r="C149" i="4"/>
  <c r="D149" i="4" s="1"/>
  <c r="E149" i="4" s="1"/>
  <c r="C150" i="4"/>
  <c r="D150" i="4" s="1"/>
  <c r="E150" i="4" s="1"/>
  <c r="C151" i="4"/>
  <c r="D151" i="4" s="1"/>
  <c r="E151" i="4" s="1"/>
  <c r="C152" i="4"/>
  <c r="D152" i="4" s="1"/>
  <c r="E152" i="4" s="1"/>
  <c r="C153" i="4"/>
  <c r="D153" i="4" s="1"/>
  <c r="E153" i="4" s="1"/>
  <c r="C154" i="4"/>
  <c r="D154" i="4" s="1"/>
  <c r="E154" i="4" s="1"/>
  <c r="C155" i="4"/>
  <c r="D155" i="4" s="1"/>
  <c r="E155" i="4" s="1"/>
  <c r="C156" i="4"/>
  <c r="D156" i="4" s="1"/>
  <c r="E156" i="4" s="1"/>
  <c r="C157" i="4"/>
  <c r="D157" i="4" s="1"/>
  <c r="E157" i="4" s="1"/>
  <c r="C158" i="4"/>
  <c r="D158" i="4" s="1"/>
  <c r="E158" i="4" s="1"/>
  <c r="C159" i="4"/>
  <c r="D159" i="4" s="1"/>
  <c r="E159" i="4" s="1"/>
  <c r="C160" i="4"/>
  <c r="D160" i="4" s="1"/>
  <c r="E160" i="4" s="1"/>
  <c r="C161" i="4"/>
  <c r="D161" i="4" s="1"/>
  <c r="E161" i="4" s="1"/>
  <c r="C162" i="4"/>
  <c r="D162" i="4" s="1"/>
  <c r="E162" i="4" s="1"/>
  <c r="C163" i="4"/>
  <c r="D163" i="4" s="1"/>
  <c r="E163" i="4" s="1"/>
  <c r="C164" i="4"/>
  <c r="D164" i="4" s="1"/>
  <c r="E164" i="4" s="1"/>
  <c r="C165" i="4"/>
  <c r="D165" i="4" s="1"/>
  <c r="E165" i="4" s="1"/>
  <c r="C166" i="4"/>
  <c r="D166" i="4" s="1"/>
  <c r="E166" i="4" s="1"/>
  <c r="C167" i="4"/>
  <c r="D167" i="4" s="1"/>
  <c r="E167" i="4" s="1"/>
  <c r="C168" i="4"/>
  <c r="D168" i="4" s="1"/>
  <c r="E168" i="4" s="1"/>
  <c r="C169" i="4"/>
  <c r="D169" i="4" s="1"/>
  <c r="E169" i="4" s="1"/>
  <c r="C170" i="4"/>
  <c r="D170" i="4" s="1"/>
  <c r="E170" i="4" s="1"/>
  <c r="C171" i="4"/>
  <c r="D171" i="4" s="1"/>
  <c r="E171" i="4" s="1"/>
  <c r="C172" i="4"/>
  <c r="D172" i="4" s="1"/>
  <c r="E172" i="4" s="1"/>
  <c r="C173" i="4"/>
  <c r="D173" i="4" s="1"/>
  <c r="E173" i="4" s="1"/>
  <c r="C174" i="4"/>
  <c r="D174" i="4" s="1"/>
  <c r="E174" i="4" s="1"/>
  <c r="C175" i="4"/>
  <c r="D175" i="4" s="1"/>
  <c r="E175" i="4" s="1"/>
  <c r="C176" i="4"/>
  <c r="D176" i="4" s="1"/>
  <c r="E176" i="4" s="1"/>
  <c r="C177" i="4"/>
  <c r="D177" i="4" s="1"/>
  <c r="E177" i="4" s="1"/>
  <c r="C178" i="4"/>
  <c r="D178" i="4" s="1"/>
  <c r="E178" i="4" s="1"/>
  <c r="C179" i="4"/>
  <c r="D179" i="4" s="1"/>
  <c r="E179" i="4" s="1"/>
  <c r="C180" i="4"/>
  <c r="D180" i="4" s="1"/>
  <c r="E180" i="4" s="1"/>
  <c r="C181" i="4"/>
  <c r="D181" i="4" s="1"/>
  <c r="E181" i="4" s="1"/>
  <c r="C182" i="4"/>
  <c r="D182" i="4" s="1"/>
  <c r="E182" i="4" s="1"/>
  <c r="C206" i="4"/>
  <c r="D206" i="4" s="1"/>
  <c r="E206" i="4" s="1"/>
  <c r="C184" i="4"/>
  <c r="D184" i="4" s="1"/>
  <c r="E184" i="4" s="1"/>
  <c r="C185" i="4"/>
  <c r="D185" i="4" s="1"/>
  <c r="E185" i="4" s="1"/>
  <c r="C186" i="4"/>
  <c r="D186" i="4" s="1"/>
  <c r="E186" i="4" s="1"/>
  <c r="C187" i="4"/>
  <c r="D187" i="4" s="1"/>
  <c r="E187" i="4" s="1"/>
  <c r="C188" i="4"/>
  <c r="D188" i="4" s="1"/>
  <c r="E188" i="4" s="1"/>
  <c r="C189" i="4"/>
  <c r="D189" i="4" s="1"/>
  <c r="E189" i="4" s="1"/>
  <c r="C190" i="4"/>
  <c r="D190" i="4" s="1"/>
  <c r="E190" i="4" s="1"/>
  <c r="C191" i="4"/>
  <c r="D191" i="4" s="1"/>
  <c r="E191" i="4" s="1"/>
  <c r="C192" i="4"/>
  <c r="D192" i="4" s="1"/>
  <c r="E192" i="4" s="1"/>
  <c r="C193" i="4"/>
  <c r="D193" i="4" s="1"/>
  <c r="E193" i="4" s="1"/>
  <c r="C194" i="4"/>
  <c r="D194" i="4" s="1"/>
  <c r="E194" i="4" s="1"/>
  <c r="C195" i="4"/>
  <c r="D195" i="4" s="1"/>
  <c r="E195" i="4" s="1"/>
  <c r="C197" i="4"/>
  <c r="D197" i="4" s="1"/>
  <c r="E197" i="4" s="1"/>
  <c r="C198" i="4"/>
  <c r="D198" i="4" s="1"/>
  <c r="E198" i="4" s="1"/>
  <c r="C199" i="4"/>
  <c r="D199" i="4" s="1"/>
  <c r="E199" i="4" s="1"/>
  <c r="C200" i="4"/>
  <c r="D200" i="4" s="1"/>
  <c r="E200" i="4" s="1"/>
  <c r="C201" i="4"/>
  <c r="D201" i="4" s="1"/>
  <c r="E201" i="4" s="1"/>
  <c r="C202" i="4"/>
  <c r="D202" i="4" s="1"/>
  <c r="E202" i="4" s="1"/>
  <c r="C289" i="4"/>
  <c r="D289" i="4" s="1"/>
  <c r="E289" i="4" s="1"/>
  <c r="C204" i="4"/>
  <c r="D204" i="4" s="1"/>
  <c r="E204" i="4" s="1"/>
  <c r="C205" i="4"/>
  <c r="D205" i="4" s="1"/>
  <c r="E205" i="4" s="1"/>
  <c r="C281" i="4"/>
  <c r="D281" i="4" s="1"/>
  <c r="E281" i="4" s="1"/>
  <c r="C207" i="4"/>
  <c r="D207" i="4" s="1"/>
  <c r="E207" i="4" s="1"/>
  <c r="C208" i="4"/>
  <c r="D208" i="4" s="1"/>
  <c r="E208" i="4" s="1"/>
  <c r="C209" i="4"/>
  <c r="D209" i="4" s="1"/>
  <c r="E209" i="4" s="1"/>
  <c r="C212" i="4"/>
  <c r="D212" i="4" s="1"/>
  <c r="E212" i="4" s="1"/>
  <c r="C213" i="4"/>
  <c r="D213" i="4" s="1"/>
  <c r="E213" i="4" s="1"/>
  <c r="C214" i="4"/>
  <c r="D214" i="4" s="1"/>
  <c r="E214" i="4" s="1"/>
  <c r="C215" i="4"/>
  <c r="D215" i="4" s="1"/>
  <c r="E215" i="4" s="1"/>
  <c r="C269" i="4"/>
  <c r="D269" i="4" s="1"/>
  <c r="E269" i="4" s="1"/>
  <c r="C217" i="4"/>
  <c r="D217" i="4" s="1"/>
  <c r="E217" i="4" s="1"/>
  <c r="C218" i="4"/>
  <c r="D218" i="4" s="1"/>
  <c r="E218" i="4" s="1"/>
  <c r="C219" i="4"/>
  <c r="D219" i="4" s="1"/>
  <c r="E219" i="4" s="1"/>
  <c r="C21" i="4"/>
  <c r="D21" i="4" s="1"/>
  <c r="E21" i="4" s="1"/>
  <c r="C221" i="4"/>
  <c r="D221" i="4" s="1"/>
  <c r="E221" i="4" s="1"/>
  <c r="C222" i="4"/>
  <c r="D222" i="4" s="1"/>
  <c r="E222" i="4" s="1"/>
  <c r="C223" i="4"/>
  <c r="D223" i="4" s="1"/>
  <c r="E223" i="4" s="1"/>
  <c r="C224" i="4"/>
  <c r="D224" i="4" s="1"/>
  <c r="E224" i="4" s="1"/>
  <c r="C225" i="4"/>
  <c r="D225" i="4" s="1"/>
  <c r="E225" i="4" s="1"/>
  <c r="C226" i="4"/>
  <c r="D226" i="4" s="1"/>
  <c r="E226" i="4" s="1"/>
  <c r="C227" i="4"/>
  <c r="D227" i="4" s="1"/>
  <c r="E227" i="4" s="1"/>
  <c r="C228" i="4"/>
  <c r="D228" i="4" s="1"/>
  <c r="E228" i="4" s="1"/>
  <c r="C230" i="4"/>
  <c r="D230" i="4" s="1"/>
  <c r="E230" i="4" s="1"/>
  <c r="C231" i="4"/>
  <c r="D231" i="4" s="1"/>
  <c r="E231" i="4" s="1"/>
  <c r="C232" i="4"/>
  <c r="D232" i="4" s="1"/>
  <c r="E232" i="4" s="1"/>
  <c r="C233" i="4"/>
  <c r="D233" i="4" s="1"/>
  <c r="E233" i="4" s="1"/>
  <c r="C234" i="4"/>
  <c r="D234" i="4" s="1"/>
  <c r="E234" i="4" s="1"/>
  <c r="C235" i="4"/>
  <c r="D235" i="4" s="1"/>
  <c r="E235" i="4" s="1"/>
  <c r="C236" i="4"/>
  <c r="D236" i="4" s="1"/>
  <c r="E236" i="4" s="1"/>
  <c r="C237" i="4"/>
  <c r="D237" i="4" s="1"/>
  <c r="E237" i="4" s="1"/>
  <c r="C238" i="4"/>
  <c r="D238" i="4" s="1"/>
  <c r="E238" i="4" s="1"/>
  <c r="C239" i="4"/>
  <c r="D239" i="4" s="1"/>
  <c r="E239" i="4" s="1"/>
  <c r="C240" i="4"/>
  <c r="D240" i="4" s="1"/>
  <c r="E240" i="4" s="1"/>
  <c r="C241" i="4"/>
  <c r="D241" i="4" s="1"/>
  <c r="E241" i="4" s="1"/>
  <c r="C242" i="4"/>
  <c r="D242" i="4" s="1"/>
  <c r="E242" i="4" s="1"/>
  <c r="C243" i="4"/>
  <c r="D243" i="4" s="1"/>
  <c r="E243" i="4" s="1"/>
  <c r="C244" i="4"/>
  <c r="D244" i="4" s="1"/>
  <c r="E244" i="4" s="1"/>
  <c r="C245" i="4"/>
  <c r="D245" i="4" s="1"/>
  <c r="E245" i="4" s="1"/>
  <c r="C246" i="4"/>
  <c r="D246" i="4" s="1"/>
  <c r="E246" i="4" s="1"/>
  <c r="C247" i="4"/>
  <c r="D247" i="4" s="1"/>
  <c r="E247" i="4" s="1"/>
  <c r="C248" i="4"/>
  <c r="D248" i="4" s="1"/>
  <c r="E248" i="4" s="1"/>
  <c r="C249" i="4"/>
  <c r="D249" i="4" s="1"/>
  <c r="E249" i="4" s="1"/>
  <c r="C250" i="4"/>
  <c r="D250" i="4" s="1"/>
  <c r="E250" i="4" s="1"/>
  <c r="C251" i="4"/>
  <c r="D251" i="4" s="1"/>
  <c r="E251" i="4" s="1"/>
  <c r="C252" i="4"/>
  <c r="D252" i="4" s="1"/>
  <c r="E252" i="4" s="1"/>
  <c r="C253" i="4"/>
  <c r="D253" i="4" s="1"/>
  <c r="E253" i="4" s="1"/>
  <c r="C254" i="4"/>
  <c r="D254" i="4" s="1"/>
  <c r="E254" i="4" s="1"/>
  <c r="C255" i="4"/>
  <c r="D255" i="4" s="1"/>
  <c r="E255" i="4" s="1"/>
  <c r="C256" i="4"/>
  <c r="D256" i="4" s="1"/>
  <c r="E256" i="4" s="1"/>
  <c r="C257" i="4"/>
  <c r="D257" i="4" s="1"/>
  <c r="E257" i="4" s="1"/>
  <c r="C258" i="4"/>
  <c r="D258" i="4" s="1"/>
  <c r="E258" i="4" s="1"/>
  <c r="C259" i="4"/>
  <c r="D259" i="4" s="1"/>
  <c r="E259" i="4" s="1"/>
  <c r="C260" i="4"/>
  <c r="D260" i="4" s="1"/>
  <c r="E260" i="4" s="1"/>
  <c r="C261" i="4"/>
  <c r="D261" i="4" s="1"/>
  <c r="E261" i="4" s="1"/>
  <c r="C262" i="4"/>
  <c r="D262" i="4" s="1"/>
  <c r="E262" i="4" s="1"/>
  <c r="C263" i="4"/>
  <c r="D263" i="4" s="1"/>
  <c r="E263" i="4" s="1"/>
  <c r="C264" i="4"/>
  <c r="D264" i="4" s="1"/>
  <c r="E264" i="4" s="1"/>
  <c r="C265" i="4"/>
  <c r="D265" i="4" s="1"/>
  <c r="E265" i="4" s="1"/>
  <c r="C266" i="4"/>
  <c r="D266" i="4" s="1"/>
  <c r="E266" i="4" s="1"/>
  <c r="C267" i="4"/>
  <c r="D267" i="4" s="1"/>
  <c r="E267" i="4" s="1"/>
  <c r="C268" i="4"/>
  <c r="D268" i="4" s="1"/>
  <c r="E268" i="4" s="1"/>
  <c r="C100" i="4"/>
  <c r="D100" i="4" s="1"/>
  <c r="E100" i="4" s="1"/>
  <c r="C270" i="4"/>
  <c r="D270" i="4" s="1"/>
  <c r="E270" i="4" s="1"/>
  <c r="C271" i="4"/>
  <c r="D271" i="4" s="1"/>
  <c r="E271" i="4" s="1"/>
  <c r="C272" i="4"/>
  <c r="D272" i="4" s="1"/>
  <c r="E272" i="4" s="1"/>
  <c r="C273" i="4"/>
  <c r="D273" i="4" s="1"/>
  <c r="E273" i="4" s="1"/>
  <c r="C274" i="4"/>
  <c r="D274" i="4" s="1"/>
  <c r="E274" i="4" s="1"/>
  <c r="C275" i="4"/>
  <c r="D275" i="4" s="1"/>
  <c r="E275" i="4" s="1"/>
  <c r="C276" i="4"/>
  <c r="D276" i="4" s="1"/>
  <c r="E276" i="4" s="1"/>
  <c r="C277" i="4"/>
  <c r="D277" i="4" s="1"/>
  <c r="E277" i="4" s="1"/>
  <c r="C278" i="4"/>
  <c r="D278" i="4" s="1"/>
  <c r="E278" i="4" s="1"/>
  <c r="C216" i="4"/>
  <c r="D216" i="4" s="1"/>
  <c r="E216" i="4" s="1"/>
  <c r="C220" i="4"/>
  <c r="D220" i="4" s="1"/>
  <c r="E220" i="4" s="1"/>
  <c r="C284" i="4"/>
  <c r="D284" i="4" s="1"/>
  <c r="E284" i="4" s="1"/>
  <c r="C285" i="4"/>
  <c r="D285" i="4" s="1"/>
  <c r="E285" i="4" s="1"/>
  <c r="C286" i="4"/>
  <c r="D286" i="4" s="1"/>
  <c r="E286" i="4" s="1"/>
  <c r="C287" i="4"/>
  <c r="D287" i="4" s="1"/>
  <c r="E287" i="4" s="1"/>
  <c r="C288" i="4"/>
  <c r="D288" i="4" s="1"/>
  <c r="E288" i="4" s="1"/>
  <c r="C183" i="4"/>
  <c r="D183" i="4" s="1"/>
  <c r="E183" i="4" s="1"/>
  <c r="C290" i="4"/>
  <c r="D290" i="4" s="1"/>
  <c r="E290" i="4" s="1"/>
  <c r="C291" i="4"/>
  <c r="D291" i="4" s="1"/>
  <c r="E291" i="4" s="1"/>
  <c r="C292" i="4"/>
  <c r="D292" i="4" s="1"/>
  <c r="E292" i="4" s="1"/>
  <c r="C293" i="4"/>
  <c r="D293" i="4" s="1"/>
  <c r="E293" i="4" s="1"/>
  <c r="C294" i="4"/>
  <c r="D294" i="4" s="1"/>
  <c r="E294" i="4" s="1"/>
  <c r="C295" i="4"/>
  <c r="D295" i="4" s="1"/>
  <c r="E295" i="4" s="1"/>
  <c r="C296" i="4"/>
  <c r="D296" i="4" s="1"/>
  <c r="E296" i="4" s="1"/>
  <c r="C297" i="4"/>
  <c r="D297" i="4" s="1"/>
  <c r="E297" i="4" s="1"/>
  <c r="C298" i="4"/>
  <c r="D298" i="4" s="1"/>
  <c r="E298" i="4" s="1"/>
  <c r="C299" i="4"/>
  <c r="D299" i="4" s="1"/>
  <c r="E299" i="4" s="1"/>
  <c r="C300" i="4"/>
  <c r="D300" i="4" s="1"/>
  <c r="E300" i="4" s="1"/>
  <c r="C301" i="4"/>
  <c r="D301" i="4" s="1"/>
  <c r="E301" i="4" s="1"/>
  <c r="C302" i="4"/>
  <c r="D302" i="4" s="1"/>
  <c r="E302" i="4" s="1"/>
  <c r="C132" i="4"/>
  <c r="D132" i="4" s="1"/>
  <c r="E132" i="4" s="1"/>
  <c r="C304" i="4"/>
  <c r="D304" i="4" s="1"/>
  <c r="E304" i="4" s="1"/>
  <c r="C305" i="4"/>
  <c r="D305" i="4" s="1"/>
  <c r="E305" i="4" s="1"/>
  <c r="C306" i="4"/>
  <c r="D306" i="4" s="1"/>
  <c r="E306" i="4" s="1"/>
  <c r="C307" i="4"/>
  <c r="D307" i="4" s="1"/>
  <c r="E307" i="4" s="1"/>
  <c r="C308" i="4"/>
  <c r="D308" i="4" s="1"/>
  <c r="E308" i="4" s="1"/>
  <c r="C309" i="4"/>
  <c r="D309" i="4" s="1"/>
  <c r="E309" i="4" s="1"/>
  <c r="C310" i="4"/>
  <c r="D310" i="4" s="1"/>
  <c r="E310" i="4" s="1"/>
  <c r="C311" i="4"/>
  <c r="D311" i="4" s="1"/>
  <c r="E311" i="4" s="1"/>
  <c r="C312" i="4"/>
  <c r="D312" i="4" s="1"/>
  <c r="E312" i="4" s="1"/>
  <c r="C313" i="4"/>
  <c r="D313" i="4" s="1"/>
  <c r="E313" i="4" s="1"/>
  <c r="C314" i="4"/>
  <c r="D314" i="4" s="1"/>
  <c r="E314" i="4" s="1"/>
  <c r="C315" i="4"/>
  <c r="D315" i="4" s="1"/>
  <c r="E315" i="4" s="1"/>
  <c r="C316" i="4"/>
  <c r="C317" i="4"/>
  <c r="D317" i="4" s="1"/>
  <c r="E317" i="4" s="1"/>
  <c r="C318" i="4"/>
  <c r="D318" i="4" s="1"/>
  <c r="E318" i="4" s="1"/>
  <c r="C319" i="4"/>
  <c r="D319" i="4" s="1"/>
  <c r="E319" i="4" s="1"/>
  <c r="C320" i="4"/>
  <c r="D320" i="4" s="1"/>
  <c r="E320" i="4" s="1"/>
  <c r="C321" i="4"/>
  <c r="D321" i="4" s="1"/>
  <c r="E321" i="4" s="1"/>
  <c r="C322" i="4"/>
  <c r="D322" i="4" s="1"/>
  <c r="E322" i="4" s="1"/>
  <c r="C323" i="4"/>
  <c r="D323" i="4" s="1"/>
  <c r="E323" i="4" s="1"/>
  <c r="C324" i="4"/>
  <c r="D324" i="4" s="1"/>
  <c r="E324" i="4" s="1"/>
  <c r="C7" i="4"/>
  <c r="D7" i="4" s="1"/>
  <c r="E7" i="4" s="1"/>
  <c r="C282" i="4"/>
  <c r="D282" i="4" s="1"/>
  <c r="E282" i="4" s="1"/>
  <c r="C32" i="4"/>
  <c r="D32" i="4" s="1"/>
  <c r="E32" i="4" s="1"/>
  <c r="C283" i="4"/>
  <c r="D283" i="4" s="1"/>
  <c r="E283" i="4" s="1"/>
  <c r="C33" i="4"/>
  <c r="D33" i="4" s="1"/>
  <c r="E33" i="4" s="1"/>
  <c r="C196" i="4"/>
  <c r="D196" i="4" s="1"/>
  <c r="E196" i="4" s="1"/>
  <c r="C2" i="4"/>
  <c r="D2" i="4" s="1"/>
  <c r="E2" i="4" s="1"/>
  <c r="D316" i="4"/>
  <c r="E316" i="4" s="1"/>
  <c r="D146" i="4"/>
  <c r="E146" i="4" s="1"/>
  <c r="D34" i="4"/>
  <c r="E34" i="4" s="1"/>
  <c r="D28" i="4"/>
  <c r="E28" i="4" s="1"/>
  <c r="D26" i="4"/>
  <c r="E26" i="4" s="1"/>
  <c r="D24" i="4"/>
  <c r="E24" i="4" s="1"/>
  <c r="D20" i="4"/>
  <c r="E20" i="4" s="1"/>
  <c r="D18" i="4"/>
  <c r="E18" i="4" s="1"/>
  <c r="D16" i="4"/>
  <c r="E16" i="4" s="1"/>
  <c r="D12" i="4"/>
  <c r="E12" i="4" s="1"/>
  <c r="D9" i="4"/>
  <c r="E9" i="4" s="1"/>
  <c r="D8" i="4"/>
  <c r="E8" i="4" s="1"/>
  <c r="D5" i="4"/>
  <c r="E5" i="4" s="1"/>
  <c r="D4" i="4"/>
  <c r="E4" i="4" s="1"/>
  <c r="D3" i="4"/>
  <c r="E3" i="4" s="1"/>
  <c r="E3099" i="2" l="1"/>
  <c r="H3099" i="2" s="1"/>
  <c r="E3100" i="2"/>
  <c r="H3100" i="2" s="1"/>
  <c r="E3101" i="2"/>
  <c r="H3101" i="2" s="1"/>
  <c r="E3102" i="2"/>
  <c r="H3102" i="2" s="1"/>
  <c r="E3103" i="2"/>
  <c r="H3103" i="2" s="1"/>
  <c r="E3104" i="2"/>
  <c r="H3104" i="2" s="1"/>
  <c r="E3105" i="2"/>
  <c r="H3105" i="2" s="1"/>
  <c r="E3106" i="2"/>
  <c r="H3106" i="2" s="1"/>
  <c r="E3107" i="2"/>
  <c r="H3107" i="2" s="1"/>
  <c r="E3108" i="2"/>
  <c r="H3108" i="2" s="1"/>
  <c r="E3109" i="2"/>
  <c r="H3109" i="2" s="1"/>
  <c r="E3110" i="2"/>
  <c r="H3110" i="2" s="1"/>
  <c r="E3111" i="2"/>
  <c r="H3111" i="2" s="1"/>
  <c r="E3112" i="2"/>
  <c r="H3112" i="2" s="1"/>
  <c r="E3113" i="2"/>
  <c r="H3113" i="2" s="1"/>
  <c r="E3114" i="2"/>
  <c r="H3114" i="2" s="1"/>
  <c r="E3115" i="2"/>
  <c r="H3115" i="2" s="1"/>
  <c r="E3116" i="2"/>
  <c r="H3116" i="2" s="1"/>
  <c r="E3117" i="2"/>
  <c r="H3117" i="2" s="1"/>
  <c r="I3099" i="2"/>
  <c r="I3100" i="2"/>
  <c r="I3101" i="2"/>
  <c r="I3102" i="2"/>
  <c r="I3103" i="2"/>
  <c r="I3104" i="2"/>
  <c r="I3105" i="2"/>
  <c r="I3106" i="2"/>
  <c r="I3107" i="2"/>
  <c r="I3108" i="2"/>
  <c r="I3109" i="2"/>
  <c r="I3110" i="2"/>
  <c r="I3111" i="2"/>
  <c r="I3112" i="2"/>
  <c r="I3113" i="2"/>
  <c r="I3114" i="2"/>
  <c r="I3115" i="2"/>
  <c r="I3116" i="2"/>
  <c r="I3117" i="2"/>
  <c r="E3069" i="2"/>
  <c r="H3069" i="2" s="1"/>
  <c r="E3070" i="2"/>
  <c r="H3070" i="2" s="1"/>
  <c r="E3071" i="2"/>
  <c r="H3071" i="2" s="1"/>
  <c r="E3072" i="2"/>
  <c r="H3072" i="2" s="1"/>
  <c r="E3073" i="2"/>
  <c r="H3073" i="2" s="1"/>
  <c r="E3074" i="2"/>
  <c r="H3074" i="2" s="1"/>
  <c r="E3075" i="2"/>
  <c r="H3075" i="2" s="1"/>
  <c r="E3076" i="2"/>
  <c r="H3076" i="2" s="1"/>
  <c r="E3077" i="2"/>
  <c r="H3077" i="2" s="1"/>
  <c r="E3078" i="2"/>
  <c r="H3078" i="2" s="1"/>
  <c r="E3079" i="2"/>
  <c r="H3079" i="2" s="1"/>
  <c r="E3080" i="2"/>
  <c r="H3080" i="2" s="1"/>
  <c r="E3081" i="2"/>
  <c r="H3081" i="2" s="1"/>
  <c r="E3082" i="2"/>
  <c r="H3082" i="2" s="1"/>
  <c r="E3083" i="2"/>
  <c r="H3083" i="2" s="1"/>
  <c r="E3084" i="2"/>
  <c r="H3084" i="2" s="1"/>
  <c r="E3085" i="2"/>
  <c r="H3085" i="2" s="1"/>
  <c r="E3086" i="2"/>
  <c r="H3086" i="2" s="1"/>
  <c r="E3087" i="2"/>
  <c r="H3087" i="2" s="1"/>
  <c r="E3088" i="2"/>
  <c r="H3088" i="2" s="1"/>
  <c r="E3089" i="2"/>
  <c r="H3089" i="2" s="1"/>
  <c r="E3090" i="2"/>
  <c r="H3090" i="2" s="1"/>
  <c r="E3091" i="2"/>
  <c r="H3091" i="2" s="1"/>
  <c r="E3092" i="2"/>
  <c r="H3092" i="2" s="1"/>
  <c r="E3093" i="2"/>
  <c r="H3093" i="2" s="1"/>
  <c r="E3094" i="2"/>
  <c r="H3094" i="2" s="1"/>
  <c r="E3095" i="2"/>
  <c r="H3095" i="2" s="1"/>
  <c r="E3096" i="2"/>
  <c r="H3096" i="2" s="1"/>
  <c r="E3097" i="2"/>
  <c r="H3097" i="2" s="1"/>
  <c r="E3098" i="2"/>
  <c r="H3098" i="2" s="1"/>
  <c r="I3069" i="2"/>
  <c r="I3070" i="2"/>
  <c r="I3071" i="2"/>
  <c r="I3072" i="2"/>
  <c r="I3073" i="2"/>
  <c r="I3074" i="2"/>
  <c r="I3075" i="2"/>
  <c r="I3076" i="2"/>
  <c r="I3077" i="2"/>
  <c r="I3078" i="2"/>
  <c r="I3079" i="2"/>
  <c r="I3080" i="2"/>
  <c r="I3081" i="2"/>
  <c r="I3082" i="2"/>
  <c r="I3083" i="2"/>
  <c r="I3084" i="2"/>
  <c r="I3085" i="2"/>
  <c r="I3086" i="2"/>
  <c r="I3087" i="2"/>
  <c r="I3088" i="2"/>
  <c r="I3089" i="2"/>
  <c r="I3090" i="2"/>
  <c r="I3091" i="2"/>
  <c r="I3092" i="2"/>
  <c r="I3093" i="2"/>
  <c r="I3094" i="2"/>
  <c r="I3095" i="2"/>
  <c r="I3096" i="2"/>
  <c r="I3097" i="2"/>
  <c r="I3098" i="2"/>
  <c r="E3044" i="2" l="1"/>
  <c r="H3044" i="2" s="1"/>
  <c r="E3045" i="2"/>
  <c r="H3045" i="2" s="1"/>
  <c r="E3046" i="2"/>
  <c r="H3046" i="2" s="1"/>
  <c r="E3047" i="2"/>
  <c r="H3047" i="2" s="1"/>
  <c r="E3048" i="2"/>
  <c r="H3048" i="2" s="1"/>
  <c r="E3049" i="2"/>
  <c r="H3049" i="2" s="1"/>
  <c r="E3050" i="2"/>
  <c r="H3050" i="2" s="1"/>
  <c r="E3051" i="2"/>
  <c r="H3051" i="2" s="1"/>
  <c r="E3052" i="2"/>
  <c r="H3052" i="2" s="1"/>
  <c r="E3053" i="2"/>
  <c r="H3053" i="2" s="1"/>
  <c r="E3054" i="2"/>
  <c r="H3054" i="2" s="1"/>
  <c r="E3055" i="2"/>
  <c r="H3055" i="2" s="1"/>
  <c r="E3056" i="2"/>
  <c r="H3056" i="2" s="1"/>
  <c r="E3057" i="2"/>
  <c r="H3057" i="2" s="1"/>
  <c r="E3058" i="2"/>
  <c r="H3058" i="2" s="1"/>
  <c r="E3059" i="2"/>
  <c r="H3059" i="2" s="1"/>
  <c r="E3060" i="2"/>
  <c r="H3060" i="2" s="1"/>
  <c r="E3061" i="2"/>
  <c r="H3061" i="2" s="1"/>
  <c r="E3062" i="2"/>
  <c r="H3062" i="2" s="1"/>
  <c r="E3063" i="2"/>
  <c r="H3063" i="2" s="1"/>
  <c r="E3064" i="2"/>
  <c r="H3064" i="2" s="1"/>
  <c r="E3065" i="2"/>
  <c r="H3065" i="2" s="1"/>
  <c r="E3066" i="2"/>
  <c r="H3066" i="2" s="1"/>
  <c r="E3067" i="2"/>
  <c r="H3067" i="2" s="1"/>
  <c r="E3068" i="2"/>
  <c r="H3068" i="2" s="1"/>
  <c r="I3044" i="2"/>
  <c r="I3045" i="2"/>
  <c r="I3046" i="2"/>
  <c r="I3047" i="2"/>
  <c r="I3048" i="2"/>
  <c r="I3049" i="2"/>
  <c r="I3050" i="2"/>
  <c r="I3051" i="2"/>
  <c r="I3052" i="2"/>
  <c r="I3053" i="2"/>
  <c r="I3054" i="2"/>
  <c r="I3055" i="2"/>
  <c r="I3056" i="2"/>
  <c r="I3057" i="2"/>
  <c r="I3058" i="2"/>
  <c r="I3059" i="2"/>
  <c r="I3060" i="2"/>
  <c r="I3061" i="2"/>
  <c r="I3062" i="2"/>
  <c r="I3063" i="2"/>
  <c r="I3064" i="2"/>
  <c r="I3065" i="2"/>
  <c r="I3066" i="2"/>
  <c r="I3067" i="2"/>
  <c r="I3068" i="2"/>
  <c r="E3025" i="2"/>
  <c r="H3025" i="2" s="1"/>
  <c r="E3026" i="2"/>
  <c r="H3026" i="2" s="1"/>
  <c r="E3027" i="2"/>
  <c r="H3027" i="2" s="1"/>
  <c r="E3028" i="2"/>
  <c r="H3028" i="2" s="1"/>
  <c r="E3029" i="2"/>
  <c r="H3029" i="2" s="1"/>
  <c r="E3030" i="2"/>
  <c r="H3030" i="2" s="1"/>
  <c r="E3031" i="2"/>
  <c r="H3031" i="2" s="1"/>
  <c r="E3032" i="2"/>
  <c r="H3032" i="2" s="1"/>
  <c r="E3033" i="2"/>
  <c r="H3033" i="2" s="1"/>
  <c r="E3034" i="2"/>
  <c r="H3034" i="2" s="1"/>
  <c r="E3035" i="2"/>
  <c r="H3035" i="2" s="1"/>
  <c r="E3036" i="2"/>
  <c r="H3036" i="2" s="1"/>
  <c r="E3037" i="2"/>
  <c r="H3037" i="2" s="1"/>
  <c r="E3038" i="2"/>
  <c r="H3038" i="2" s="1"/>
  <c r="E3039" i="2"/>
  <c r="H3039" i="2" s="1"/>
  <c r="E3040" i="2"/>
  <c r="H3040" i="2" s="1"/>
  <c r="E3041" i="2"/>
  <c r="H3041" i="2" s="1"/>
  <c r="E3042" i="2"/>
  <c r="H3042" i="2" s="1"/>
  <c r="E3043" i="2"/>
  <c r="H3043" i="2" s="1"/>
  <c r="I3025" i="2"/>
  <c r="I3026" i="2"/>
  <c r="I3027" i="2"/>
  <c r="I3028" i="2"/>
  <c r="I3029" i="2"/>
  <c r="I3030" i="2"/>
  <c r="I3031" i="2"/>
  <c r="I3032" i="2"/>
  <c r="I3033" i="2"/>
  <c r="I3034" i="2"/>
  <c r="I3035" i="2"/>
  <c r="I3036" i="2"/>
  <c r="I3037" i="2"/>
  <c r="I3038" i="2"/>
  <c r="I3039" i="2"/>
  <c r="I3040" i="2"/>
  <c r="I3041" i="2"/>
  <c r="I3042" i="2"/>
  <c r="I3043" i="2"/>
  <c r="E3002" i="2"/>
  <c r="H3002" i="2" s="1"/>
  <c r="E3003" i="2"/>
  <c r="H3003" i="2" s="1"/>
  <c r="E3004" i="2"/>
  <c r="H3004" i="2" s="1"/>
  <c r="E3005" i="2"/>
  <c r="H3005" i="2" s="1"/>
  <c r="E3006" i="2"/>
  <c r="H3006" i="2" s="1"/>
  <c r="E3007" i="2"/>
  <c r="H3007" i="2" s="1"/>
  <c r="E3008" i="2"/>
  <c r="H3008" i="2" s="1"/>
  <c r="E3009" i="2"/>
  <c r="H3009" i="2" s="1"/>
  <c r="E3010" i="2"/>
  <c r="H3010" i="2" s="1"/>
  <c r="E3011" i="2"/>
  <c r="H3011" i="2" s="1"/>
  <c r="E3012" i="2"/>
  <c r="H3012" i="2" s="1"/>
  <c r="E3013" i="2"/>
  <c r="H3013" i="2" s="1"/>
  <c r="E3014" i="2"/>
  <c r="H3014" i="2" s="1"/>
  <c r="E3015" i="2"/>
  <c r="H3015" i="2" s="1"/>
  <c r="E3016" i="2"/>
  <c r="H3016" i="2" s="1"/>
  <c r="E3017" i="2"/>
  <c r="H3017" i="2" s="1"/>
  <c r="E3018" i="2"/>
  <c r="H3018" i="2" s="1"/>
  <c r="E3019" i="2"/>
  <c r="H3019" i="2" s="1"/>
  <c r="E3020" i="2"/>
  <c r="H3020" i="2" s="1"/>
  <c r="E3021" i="2"/>
  <c r="H3021" i="2" s="1"/>
  <c r="E3022" i="2"/>
  <c r="H3022" i="2" s="1"/>
  <c r="E3023" i="2"/>
  <c r="H3023" i="2" s="1"/>
  <c r="E3024" i="2"/>
  <c r="H3024" i="2" s="1"/>
  <c r="I3002" i="2"/>
  <c r="I3003" i="2"/>
  <c r="I3004" i="2"/>
  <c r="I3005" i="2"/>
  <c r="I3006" i="2"/>
  <c r="I3007" i="2"/>
  <c r="I3008" i="2"/>
  <c r="I3009" i="2"/>
  <c r="I3010" i="2"/>
  <c r="I3011" i="2"/>
  <c r="I3012" i="2"/>
  <c r="I3013" i="2"/>
  <c r="I3014" i="2"/>
  <c r="I3015" i="2"/>
  <c r="I3016" i="2"/>
  <c r="I3017" i="2"/>
  <c r="I3018" i="2"/>
  <c r="I3019" i="2"/>
  <c r="I3020" i="2"/>
  <c r="I3021" i="2"/>
  <c r="I3022" i="2"/>
  <c r="I3023" i="2"/>
  <c r="I3024" i="2"/>
  <c r="E2979" i="2"/>
  <c r="H2979" i="2" s="1"/>
  <c r="E2980" i="2"/>
  <c r="H2980" i="2" s="1"/>
  <c r="E2981" i="2"/>
  <c r="H2981" i="2" s="1"/>
  <c r="E2982" i="2"/>
  <c r="H2982" i="2" s="1"/>
  <c r="E2983" i="2"/>
  <c r="H2983" i="2" s="1"/>
  <c r="E2984" i="2"/>
  <c r="H2984" i="2" s="1"/>
  <c r="E2985" i="2"/>
  <c r="H2985" i="2" s="1"/>
  <c r="E2986" i="2"/>
  <c r="H2986" i="2" s="1"/>
  <c r="E2987" i="2"/>
  <c r="H2987" i="2" s="1"/>
  <c r="E2988" i="2"/>
  <c r="H2988" i="2" s="1"/>
  <c r="E2989" i="2"/>
  <c r="H2989" i="2" s="1"/>
  <c r="E2990" i="2"/>
  <c r="H2990" i="2" s="1"/>
  <c r="E2991" i="2"/>
  <c r="H2991" i="2" s="1"/>
  <c r="E2992" i="2"/>
  <c r="H2992" i="2" s="1"/>
  <c r="E2993" i="2"/>
  <c r="H2993" i="2" s="1"/>
  <c r="E2994" i="2"/>
  <c r="H2994" i="2" s="1"/>
  <c r="E2995" i="2"/>
  <c r="H2995" i="2" s="1"/>
  <c r="E2996" i="2"/>
  <c r="H2996" i="2" s="1"/>
  <c r="E2997" i="2"/>
  <c r="H2997" i="2" s="1"/>
  <c r="E2998" i="2"/>
  <c r="H2998" i="2" s="1"/>
  <c r="E2999" i="2"/>
  <c r="H2999" i="2" s="1"/>
  <c r="E3000" i="2"/>
  <c r="H3000" i="2" s="1"/>
  <c r="E3001" i="2"/>
  <c r="H3001" i="2" s="1"/>
  <c r="I2979" i="2"/>
  <c r="I2980" i="2"/>
  <c r="I2981" i="2"/>
  <c r="I2982" i="2"/>
  <c r="I2983" i="2"/>
  <c r="I2984" i="2"/>
  <c r="I2985" i="2"/>
  <c r="I2986" i="2"/>
  <c r="I2987" i="2"/>
  <c r="I2988" i="2"/>
  <c r="I2989" i="2"/>
  <c r="I2990" i="2"/>
  <c r="I2991" i="2"/>
  <c r="I2992" i="2"/>
  <c r="I2993" i="2"/>
  <c r="I2994" i="2"/>
  <c r="I2995" i="2"/>
  <c r="I2996" i="2"/>
  <c r="I2997" i="2"/>
  <c r="I2998" i="2"/>
  <c r="I2999" i="2"/>
  <c r="I3000" i="2"/>
  <c r="I3001" i="2"/>
  <c r="E2957" i="2"/>
  <c r="H2957" i="2" s="1"/>
  <c r="E2958" i="2"/>
  <c r="H2958" i="2" s="1"/>
  <c r="E2959" i="2"/>
  <c r="H2959" i="2" s="1"/>
  <c r="E2960" i="2"/>
  <c r="H2960" i="2" s="1"/>
  <c r="E2961" i="2"/>
  <c r="H2961" i="2" s="1"/>
  <c r="E2962" i="2"/>
  <c r="H2962" i="2" s="1"/>
  <c r="E2963" i="2"/>
  <c r="H2963" i="2" s="1"/>
  <c r="E2964" i="2"/>
  <c r="H2964" i="2" s="1"/>
  <c r="E2965" i="2"/>
  <c r="H2965" i="2" s="1"/>
  <c r="E2966" i="2"/>
  <c r="H2966" i="2" s="1"/>
  <c r="E2967" i="2"/>
  <c r="E2968" i="2"/>
  <c r="H2968" i="2" s="1"/>
  <c r="E2969" i="2"/>
  <c r="H2969" i="2" s="1"/>
  <c r="E2970" i="2"/>
  <c r="H2970" i="2" s="1"/>
  <c r="E2971" i="2"/>
  <c r="H2971" i="2" s="1"/>
  <c r="E2972" i="2"/>
  <c r="H2972" i="2" s="1"/>
  <c r="E2973" i="2"/>
  <c r="H2973" i="2" s="1"/>
  <c r="E2974" i="2"/>
  <c r="H2974" i="2" s="1"/>
  <c r="E2975" i="2"/>
  <c r="H2975" i="2" s="1"/>
  <c r="E2976" i="2"/>
  <c r="H2976" i="2" s="1"/>
  <c r="E2977" i="2"/>
  <c r="H2977" i="2" s="1"/>
  <c r="E2978" i="2"/>
  <c r="H2978" i="2" s="1"/>
  <c r="H2967" i="2"/>
  <c r="I2957" i="2"/>
  <c r="I2958" i="2"/>
  <c r="I2959" i="2"/>
  <c r="I2960" i="2"/>
  <c r="I2961" i="2"/>
  <c r="I2962" i="2"/>
  <c r="I2963" i="2"/>
  <c r="I2964" i="2"/>
  <c r="I2965" i="2"/>
  <c r="I2966" i="2"/>
  <c r="I2967" i="2"/>
  <c r="I2968" i="2"/>
  <c r="I2969" i="2"/>
  <c r="I2970" i="2"/>
  <c r="I2971" i="2"/>
  <c r="I2972" i="2"/>
  <c r="I2973" i="2"/>
  <c r="I2974" i="2"/>
  <c r="I2975" i="2"/>
  <c r="I2976" i="2"/>
  <c r="I2977" i="2"/>
  <c r="I2978" i="2"/>
  <c r="E2933" i="2"/>
  <c r="E2934" i="2"/>
  <c r="E2935" i="2"/>
  <c r="E2936" i="2"/>
  <c r="E2937" i="2"/>
  <c r="E2938" i="2"/>
  <c r="E2939" i="2"/>
  <c r="E2940" i="2"/>
  <c r="E2941" i="2"/>
  <c r="H2941" i="2" s="1"/>
  <c r="E2942" i="2"/>
  <c r="H2942" i="2" s="1"/>
  <c r="E2943" i="2"/>
  <c r="H2943" i="2" s="1"/>
  <c r="E2944" i="2"/>
  <c r="H2944" i="2" s="1"/>
  <c r="E2945" i="2"/>
  <c r="H2945" i="2" s="1"/>
  <c r="E2946" i="2"/>
  <c r="H2946" i="2" s="1"/>
  <c r="E2947" i="2"/>
  <c r="H2947" i="2" s="1"/>
  <c r="E2948" i="2"/>
  <c r="H2948" i="2" s="1"/>
  <c r="E2949" i="2"/>
  <c r="H2949" i="2" s="1"/>
  <c r="E2950" i="2"/>
  <c r="H2950" i="2" s="1"/>
  <c r="E2951" i="2"/>
  <c r="H2951" i="2" s="1"/>
  <c r="E2952" i="2"/>
  <c r="H2952" i="2" s="1"/>
  <c r="E2953" i="2"/>
  <c r="H2953" i="2" s="1"/>
  <c r="E2954" i="2"/>
  <c r="H2954" i="2" s="1"/>
  <c r="E2955" i="2"/>
  <c r="H2955" i="2" s="1"/>
  <c r="E2956" i="2"/>
  <c r="H2956" i="2" s="1"/>
  <c r="H2933" i="2"/>
  <c r="H2934" i="2"/>
  <c r="H2935" i="2"/>
  <c r="H2936" i="2"/>
  <c r="H2937" i="2"/>
  <c r="H2938" i="2"/>
  <c r="H2939" i="2"/>
  <c r="H2940" i="2"/>
  <c r="I2933" i="2"/>
  <c r="I2934" i="2"/>
  <c r="I2935" i="2"/>
  <c r="I2936" i="2"/>
  <c r="I2937" i="2"/>
  <c r="I2938" i="2"/>
  <c r="I2939" i="2"/>
  <c r="I2940" i="2"/>
  <c r="I2941" i="2"/>
  <c r="I2942" i="2"/>
  <c r="I2943" i="2"/>
  <c r="I2944" i="2"/>
  <c r="I2945" i="2"/>
  <c r="I2946" i="2"/>
  <c r="I2947" i="2"/>
  <c r="I2948" i="2"/>
  <c r="I2949" i="2"/>
  <c r="I2950" i="2"/>
  <c r="I2951" i="2"/>
  <c r="I2952" i="2"/>
  <c r="I2953" i="2"/>
  <c r="I2954" i="2"/>
  <c r="I2955" i="2"/>
  <c r="I2956" i="2"/>
  <c r="E2916" i="2"/>
  <c r="H2916" i="2" s="1"/>
  <c r="E2917" i="2"/>
  <c r="H2917" i="2" s="1"/>
  <c r="E2918" i="2"/>
  <c r="H2918" i="2" s="1"/>
  <c r="E2919" i="2"/>
  <c r="H2919" i="2" s="1"/>
  <c r="E2920" i="2"/>
  <c r="H2920" i="2" s="1"/>
  <c r="E2921" i="2"/>
  <c r="H2921" i="2" s="1"/>
  <c r="E2922" i="2"/>
  <c r="H2922" i="2" s="1"/>
  <c r="E2923" i="2"/>
  <c r="H2923" i="2" s="1"/>
  <c r="E2924" i="2"/>
  <c r="H2924" i="2" s="1"/>
  <c r="E2925" i="2"/>
  <c r="H2925" i="2" s="1"/>
  <c r="E2926" i="2"/>
  <c r="H2926" i="2" s="1"/>
  <c r="E2927" i="2"/>
  <c r="H2927" i="2" s="1"/>
  <c r="E2928" i="2"/>
  <c r="H2928" i="2" s="1"/>
  <c r="E2929" i="2"/>
  <c r="H2929" i="2" s="1"/>
  <c r="E2930" i="2"/>
  <c r="H2930" i="2" s="1"/>
  <c r="E2931" i="2"/>
  <c r="H2931" i="2" s="1"/>
  <c r="E2932" i="2"/>
  <c r="H2932" i="2" s="1"/>
  <c r="I2916" i="2"/>
  <c r="I2917" i="2"/>
  <c r="I2918" i="2"/>
  <c r="I2919" i="2"/>
  <c r="I2920" i="2"/>
  <c r="I2921" i="2"/>
  <c r="I2922" i="2"/>
  <c r="I2923" i="2"/>
  <c r="I2924" i="2"/>
  <c r="I2925" i="2"/>
  <c r="I2926" i="2"/>
  <c r="I2927" i="2"/>
  <c r="I2928" i="2"/>
  <c r="I2929" i="2"/>
  <c r="I2930" i="2"/>
  <c r="I2931" i="2"/>
  <c r="I2932" i="2"/>
  <c r="E2893" i="2"/>
  <c r="H2893" i="2" s="1"/>
  <c r="E2894" i="2"/>
  <c r="H2894" i="2" s="1"/>
  <c r="E2895" i="2"/>
  <c r="H2895" i="2" s="1"/>
  <c r="E2896" i="2"/>
  <c r="H2896" i="2" s="1"/>
  <c r="E2897" i="2"/>
  <c r="H2897" i="2" s="1"/>
  <c r="E2898" i="2"/>
  <c r="H2898" i="2" s="1"/>
  <c r="E2899" i="2"/>
  <c r="H2899" i="2" s="1"/>
  <c r="E2900" i="2"/>
  <c r="H2900" i="2" s="1"/>
  <c r="E2901" i="2"/>
  <c r="H2901" i="2" s="1"/>
  <c r="E2902" i="2"/>
  <c r="H2902" i="2" s="1"/>
  <c r="E2903" i="2"/>
  <c r="H2903" i="2" s="1"/>
  <c r="E2904" i="2"/>
  <c r="H2904" i="2" s="1"/>
  <c r="E2905" i="2"/>
  <c r="H2905" i="2" s="1"/>
  <c r="E2906" i="2"/>
  <c r="H2906" i="2" s="1"/>
  <c r="E2907" i="2"/>
  <c r="H2907" i="2" s="1"/>
  <c r="E2908" i="2"/>
  <c r="H2908" i="2" s="1"/>
  <c r="E2909" i="2"/>
  <c r="H2909" i="2" s="1"/>
  <c r="E2910" i="2"/>
  <c r="H2910" i="2" s="1"/>
  <c r="E2911" i="2"/>
  <c r="H2911" i="2" s="1"/>
  <c r="E2912" i="2"/>
  <c r="H2912" i="2" s="1"/>
  <c r="E2913" i="2"/>
  <c r="H2913" i="2" s="1"/>
  <c r="E2914" i="2"/>
  <c r="H2914" i="2" s="1"/>
  <c r="E2915" i="2"/>
  <c r="H2915" i="2" s="1"/>
  <c r="I2893" i="2"/>
  <c r="I2894" i="2"/>
  <c r="I2895" i="2"/>
  <c r="I2896" i="2"/>
  <c r="I2897" i="2"/>
  <c r="I2898" i="2"/>
  <c r="I2899" i="2"/>
  <c r="I2900" i="2"/>
  <c r="I2901" i="2"/>
  <c r="I2902" i="2"/>
  <c r="I2903" i="2"/>
  <c r="I2904" i="2"/>
  <c r="I2905" i="2"/>
  <c r="I2906" i="2"/>
  <c r="I2907" i="2"/>
  <c r="I2908" i="2"/>
  <c r="I2909" i="2"/>
  <c r="I2910" i="2"/>
  <c r="I2911" i="2"/>
  <c r="I2912" i="2"/>
  <c r="I2913" i="2"/>
  <c r="I2914" i="2"/>
  <c r="I2915" i="2"/>
  <c r="E2862" i="2"/>
  <c r="E2863" i="2"/>
  <c r="E2864" i="2"/>
  <c r="E2865" i="2"/>
  <c r="H2865" i="2" s="1"/>
  <c r="E2866" i="2"/>
  <c r="H2866" i="2" s="1"/>
  <c r="E2867" i="2"/>
  <c r="H2867" i="2" s="1"/>
  <c r="E2868" i="2"/>
  <c r="H2868" i="2" s="1"/>
  <c r="E2869" i="2"/>
  <c r="H2869" i="2" s="1"/>
  <c r="E2870" i="2"/>
  <c r="H2870" i="2" s="1"/>
  <c r="E2871" i="2"/>
  <c r="H2871" i="2" s="1"/>
  <c r="E2872" i="2"/>
  <c r="H2872" i="2" s="1"/>
  <c r="E2873" i="2"/>
  <c r="H2873" i="2" s="1"/>
  <c r="E2874" i="2"/>
  <c r="H2874" i="2" s="1"/>
  <c r="E2875" i="2"/>
  <c r="H2875" i="2" s="1"/>
  <c r="E2876" i="2"/>
  <c r="H2876" i="2" s="1"/>
  <c r="E2877" i="2"/>
  <c r="H2877" i="2" s="1"/>
  <c r="E2878" i="2"/>
  <c r="H2878" i="2" s="1"/>
  <c r="E2879" i="2"/>
  <c r="H2879" i="2" s="1"/>
  <c r="E2880" i="2"/>
  <c r="H2880" i="2" s="1"/>
  <c r="E2881" i="2"/>
  <c r="H2881" i="2" s="1"/>
  <c r="E2882" i="2"/>
  <c r="H2882" i="2" s="1"/>
  <c r="E2883" i="2"/>
  <c r="H2883" i="2" s="1"/>
  <c r="E2884" i="2"/>
  <c r="H2884" i="2" s="1"/>
  <c r="E2885" i="2"/>
  <c r="H2885" i="2" s="1"/>
  <c r="E2886" i="2"/>
  <c r="H2886" i="2" s="1"/>
  <c r="E2887" i="2"/>
  <c r="H2887" i="2" s="1"/>
  <c r="E2888" i="2"/>
  <c r="H2888" i="2" s="1"/>
  <c r="E2889" i="2"/>
  <c r="H2889" i="2" s="1"/>
  <c r="E2890" i="2"/>
  <c r="H2890" i="2" s="1"/>
  <c r="E2891" i="2"/>
  <c r="H2891" i="2" s="1"/>
  <c r="E2601" i="2"/>
  <c r="H2601" i="2" s="1"/>
  <c r="E2892" i="2"/>
  <c r="H2892" i="2" s="1"/>
  <c r="H2862" i="2"/>
  <c r="H2863" i="2"/>
  <c r="H2864" i="2"/>
  <c r="I2862" i="2"/>
  <c r="I2863" i="2"/>
  <c r="I2864" i="2"/>
  <c r="I2865" i="2"/>
  <c r="I2866" i="2"/>
  <c r="I2867" i="2"/>
  <c r="I2868" i="2"/>
  <c r="I2869" i="2"/>
  <c r="I2870" i="2"/>
  <c r="I2871" i="2"/>
  <c r="I2872" i="2"/>
  <c r="I2873" i="2"/>
  <c r="I2874" i="2"/>
  <c r="I2875" i="2"/>
  <c r="I2876" i="2"/>
  <c r="I2877" i="2"/>
  <c r="I2878" i="2"/>
  <c r="I2879" i="2"/>
  <c r="I2880" i="2"/>
  <c r="I2881" i="2"/>
  <c r="I2882" i="2"/>
  <c r="I2883" i="2"/>
  <c r="I2884" i="2"/>
  <c r="I2885" i="2"/>
  <c r="I2886" i="2"/>
  <c r="I2887" i="2"/>
  <c r="I2888" i="2"/>
  <c r="I2889" i="2"/>
  <c r="I2890" i="2"/>
  <c r="I2891" i="2"/>
  <c r="I2601" i="2"/>
  <c r="I2892" i="2"/>
  <c r="E2840" i="2"/>
  <c r="H2840" i="2" s="1"/>
  <c r="E2841" i="2"/>
  <c r="H2841" i="2" s="1"/>
  <c r="E2842" i="2"/>
  <c r="H2842" i="2" s="1"/>
  <c r="E2843" i="2"/>
  <c r="H2843" i="2" s="1"/>
  <c r="E2844" i="2"/>
  <c r="H2844" i="2" s="1"/>
  <c r="E2845" i="2"/>
  <c r="H2845" i="2" s="1"/>
  <c r="E2846" i="2"/>
  <c r="H2846" i="2" s="1"/>
  <c r="E2847" i="2"/>
  <c r="H2847" i="2" s="1"/>
  <c r="E2848" i="2"/>
  <c r="H2848" i="2" s="1"/>
  <c r="E2849" i="2"/>
  <c r="H2849" i="2" s="1"/>
  <c r="E2850" i="2"/>
  <c r="H2850" i="2" s="1"/>
  <c r="E2851" i="2"/>
  <c r="H2851" i="2" s="1"/>
  <c r="E2852" i="2"/>
  <c r="H2852" i="2" s="1"/>
  <c r="E2853" i="2"/>
  <c r="H2853" i="2" s="1"/>
  <c r="E2854" i="2"/>
  <c r="H2854" i="2" s="1"/>
  <c r="E2855" i="2"/>
  <c r="H2855" i="2" s="1"/>
  <c r="E2856" i="2"/>
  <c r="H2856" i="2" s="1"/>
  <c r="E2857" i="2"/>
  <c r="H2857" i="2" s="1"/>
  <c r="E2858" i="2"/>
  <c r="H2858" i="2" s="1"/>
  <c r="E2859" i="2"/>
  <c r="H2859" i="2" s="1"/>
  <c r="E2860" i="2"/>
  <c r="H2860" i="2" s="1"/>
  <c r="E2861" i="2"/>
  <c r="H2861" i="2" s="1"/>
  <c r="I2840" i="2"/>
  <c r="I2841" i="2"/>
  <c r="I2842" i="2"/>
  <c r="I2843" i="2"/>
  <c r="I2844" i="2"/>
  <c r="I2845" i="2"/>
  <c r="I2846" i="2"/>
  <c r="I2847" i="2"/>
  <c r="I2848" i="2"/>
  <c r="I2849" i="2"/>
  <c r="I2850" i="2"/>
  <c r="I2851" i="2"/>
  <c r="I2852" i="2"/>
  <c r="I2853" i="2"/>
  <c r="I2854" i="2"/>
  <c r="I2855" i="2"/>
  <c r="I2856" i="2"/>
  <c r="I2857" i="2"/>
  <c r="I2858" i="2"/>
  <c r="I2859" i="2"/>
  <c r="I2860" i="2"/>
  <c r="I2861" i="2"/>
  <c r="E2830" i="2"/>
  <c r="H2830" i="2" s="1"/>
  <c r="E2831" i="2"/>
  <c r="H2831" i="2" s="1"/>
  <c r="E2832" i="2"/>
  <c r="H2832" i="2" s="1"/>
  <c r="E2833" i="2"/>
  <c r="H2833" i="2" s="1"/>
  <c r="E2834" i="2"/>
  <c r="H2834" i="2" s="1"/>
  <c r="E2835" i="2"/>
  <c r="H2835" i="2" s="1"/>
  <c r="E2836" i="2"/>
  <c r="H2836" i="2" s="1"/>
  <c r="E2837" i="2"/>
  <c r="H2837" i="2" s="1"/>
  <c r="E2838" i="2"/>
  <c r="H2838" i="2" s="1"/>
  <c r="E2839" i="2"/>
  <c r="H2839" i="2" s="1"/>
  <c r="I2830" i="2"/>
  <c r="I2831" i="2"/>
  <c r="I2832" i="2"/>
  <c r="I2833" i="2"/>
  <c r="I2834" i="2"/>
  <c r="I2835" i="2"/>
  <c r="I2836" i="2"/>
  <c r="I2837" i="2"/>
  <c r="I2838" i="2"/>
  <c r="I2839" i="2"/>
  <c r="E2826" i="2"/>
  <c r="H2826" i="2" s="1"/>
  <c r="E2822" i="2"/>
  <c r="H2822" i="2" s="1"/>
  <c r="E2818" i="2"/>
  <c r="H2818" i="2" s="1"/>
  <c r="E2812" i="2"/>
  <c r="H2812" i="2" s="1"/>
  <c r="E2813" i="2"/>
  <c r="H2813" i="2" s="1"/>
  <c r="E2815" i="2"/>
  <c r="H2815" i="2" s="1"/>
  <c r="E2816" i="2"/>
  <c r="H2816" i="2" s="1"/>
  <c r="E2817" i="2"/>
  <c r="H2817" i="2" s="1"/>
  <c r="E2819" i="2"/>
  <c r="H2819" i="2" s="1"/>
  <c r="E2820" i="2"/>
  <c r="H2820" i="2" s="1"/>
  <c r="E2821" i="2"/>
  <c r="H2821" i="2" s="1"/>
  <c r="E2823" i="2"/>
  <c r="H2823" i="2" s="1"/>
  <c r="E2824" i="2"/>
  <c r="H2824" i="2" s="1"/>
  <c r="E2825" i="2"/>
  <c r="H2825" i="2" s="1"/>
  <c r="E2827" i="2"/>
  <c r="H2827" i="2" s="1"/>
  <c r="E2828" i="2"/>
  <c r="H2828" i="2" s="1"/>
  <c r="I2812" i="2"/>
  <c r="I2813" i="2"/>
  <c r="I2815" i="2"/>
  <c r="I2816" i="2"/>
  <c r="I2817" i="2"/>
  <c r="I2819" i="2"/>
  <c r="I2820" i="2"/>
  <c r="I2821" i="2"/>
  <c r="I2823" i="2"/>
  <c r="I2824" i="2"/>
  <c r="I2825" i="2"/>
  <c r="I2827" i="2"/>
  <c r="I2828" i="2"/>
  <c r="E2799" i="2"/>
  <c r="H2799" i="2" s="1"/>
  <c r="E2800" i="2"/>
  <c r="H2800" i="2" s="1"/>
  <c r="E2801" i="2"/>
  <c r="H2801" i="2" s="1"/>
  <c r="E2802" i="2"/>
  <c r="H2802" i="2" s="1"/>
  <c r="E2803" i="2"/>
  <c r="H2803" i="2" s="1"/>
  <c r="E2804" i="2"/>
  <c r="H2804" i="2" s="1"/>
  <c r="E2805" i="2"/>
  <c r="H2805" i="2" s="1"/>
  <c r="E2806" i="2"/>
  <c r="H2806" i="2" s="1"/>
  <c r="E2807" i="2"/>
  <c r="H2807" i="2" s="1"/>
  <c r="E2808" i="2"/>
  <c r="H2808" i="2" s="1"/>
  <c r="E2809" i="2"/>
  <c r="H2809" i="2" s="1"/>
  <c r="E2810" i="2"/>
  <c r="H2810" i="2" s="1"/>
  <c r="E2811" i="2"/>
  <c r="H2811" i="2" s="1"/>
  <c r="I2799" i="2"/>
  <c r="I2800" i="2"/>
  <c r="I2801" i="2"/>
  <c r="I2802" i="2"/>
  <c r="I2803" i="2"/>
  <c r="I2804" i="2"/>
  <c r="I2805" i="2"/>
  <c r="I2806" i="2"/>
  <c r="I2807" i="2"/>
  <c r="I2808" i="2"/>
  <c r="I2809" i="2"/>
  <c r="I2810" i="2"/>
  <c r="I2811" i="2"/>
  <c r="E2774" i="2"/>
  <c r="H2774" i="2" s="1"/>
  <c r="E2775" i="2"/>
  <c r="H2775" i="2" s="1"/>
  <c r="E2776" i="2"/>
  <c r="H2776" i="2" s="1"/>
  <c r="E2777" i="2"/>
  <c r="H2777" i="2" s="1"/>
  <c r="E2778" i="2"/>
  <c r="H2778" i="2" s="1"/>
  <c r="E2779" i="2"/>
  <c r="H2779" i="2" s="1"/>
  <c r="E2780" i="2"/>
  <c r="H2780" i="2" s="1"/>
  <c r="E2781" i="2"/>
  <c r="H2781" i="2" s="1"/>
  <c r="E2782" i="2"/>
  <c r="H2782" i="2" s="1"/>
  <c r="E2783" i="2"/>
  <c r="H2783" i="2" s="1"/>
  <c r="E2784" i="2"/>
  <c r="H2784" i="2" s="1"/>
  <c r="E2785" i="2"/>
  <c r="H2785" i="2" s="1"/>
  <c r="E2786" i="2"/>
  <c r="H2786" i="2" s="1"/>
  <c r="E2787" i="2"/>
  <c r="H2787" i="2" s="1"/>
  <c r="E2788" i="2"/>
  <c r="H2788" i="2" s="1"/>
  <c r="E2789" i="2"/>
  <c r="H2789" i="2" s="1"/>
  <c r="E2790" i="2"/>
  <c r="H2790" i="2" s="1"/>
  <c r="E2791" i="2"/>
  <c r="H2791" i="2" s="1"/>
  <c r="E2792" i="2"/>
  <c r="H2792" i="2" s="1"/>
  <c r="E2793" i="2"/>
  <c r="H2793" i="2" s="1"/>
  <c r="E2794" i="2"/>
  <c r="H2794" i="2" s="1"/>
  <c r="E2795" i="2"/>
  <c r="H2795" i="2" s="1"/>
  <c r="E2796" i="2"/>
  <c r="H2796" i="2" s="1"/>
  <c r="E2797" i="2"/>
  <c r="H2797" i="2" s="1"/>
  <c r="E2798" i="2"/>
  <c r="H2798" i="2" s="1"/>
  <c r="I2774" i="2"/>
  <c r="I2775" i="2"/>
  <c r="I2776" i="2"/>
  <c r="I2777" i="2"/>
  <c r="I2778" i="2"/>
  <c r="I2779" i="2"/>
  <c r="I2780" i="2"/>
  <c r="I2781" i="2"/>
  <c r="I2782" i="2"/>
  <c r="I2783" i="2"/>
  <c r="I2784" i="2"/>
  <c r="I2785" i="2"/>
  <c r="I2786" i="2"/>
  <c r="I2787" i="2"/>
  <c r="I2788" i="2"/>
  <c r="I2789" i="2"/>
  <c r="I2790" i="2"/>
  <c r="I2791" i="2"/>
  <c r="I2792" i="2"/>
  <c r="I2793" i="2"/>
  <c r="I2794" i="2"/>
  <c r="I2795" i="2"/>
  <c r="I2796" i="2"/>
  <c r="I2797" i="2"/>
  <c r="I2798" i="2"/>
  <c r="E2766" i="2"/>
  <c r="H2766" i="2" s="1"/>
  <c r="E2767" i="2"/>
  <c r="H2767" i="2" s="1"/>
  <c r="E2768" i="2"/>
  <c r="H2768" i="2" s="1"/>
  <c r="E2769" i="2"/>
  <c r="H2769" i="2" s="1"/>
  <c r="E2770" i="2"/>
  <c r="H2770" i="2" s="1"/>
  <c r="E2771" i="2"/>
  <c r="H2771" i="2" s="1"/>
  <c r="E2772" i="2"/>
  <c r="H2772" i="2" s="1"/>
  <c r="E2773" i="2"/>
  <c r="H2773" i="2" s="1"/>
  <c r="I2766" i="2"/>
  <c r="I2767" i="2"/>
  <c r="I2768" i="2"/>
  <c r="I2769" i="2"/>
  <c r="I2770" i="2"/>
  <c r="I2771" i="2"/>
  <c r="I2772" i="2"/>
  <c r="I2773" i="2"/>
  <c r="E2748" i="2"/>
  <c r="H2748" i="2" s="1"/>
  <c r="E2749" i="2"/>
  <c r="H2749" i="2" s="1"/>
  <c r="E2750" i="2"/>
  <c r="H2750" i="2" s="1"/>
  <c r="E2751" i="2"/>
  <c r="H2751" i="2" s="1"/>
  <c r="E2752" i="2"/>
  <c r="H2752" i="2" s="1"/>
  <c r="E2753" i="2"/>
  <c r="H2753" i="2" s="1"/>
  <c r="E2754" i="2"/>
  <c r="H2754" i="2" s="1"/>
  <c r="E2755" i="2"/>
  <c r="H2755" i="2" s="1"/>
  <c r="E2756" i="2"/>
  <c r="H2756" i="2" s="1"/>
  <c r="E2757" i="2"/>
  <c r="H2757" i="2" s="1"/>
  <c r="E2758" i="2"/>
  <c r="H2758" i="2" s="1"/>
  <c r="E2759" i="2"/>
  <c r="H2759" i="2" s="1"/>
  <c r="E2760" i="2"/>
  <c r="H2760" i="2" s="1"/>
  <c r="E2761" i="2"/>
  <c r="H2761" i="2" s="1"/>
  <c r="E2762" i="2"/>
  <c r="H2762" i="2" s="1"/>
  <c r="E2763" i="2"/>
  <c r="H2763" i="2" s="1"/>
  <c r="E2764" i="2"/>
  <c r="H2764" i="2" s="1"/>
  <c r="E2765" i="2"/>
  <c r="H2765" i="2" s="1"/>
  <c r="I2748" i="2"/>
  <c r="I2749" i="2"/>
  <c r="I2750" i="2"/>
  <c r="I2751" i="2"/>
  <c r="I2752" i="2"/>
  <c r="I2753" i="2"/>
  <c r="I2754" i="2"/>
  <c r="I2755" i="2"/>
  <c r="I2756" i="2"/>
  <c r="I2757" i="2"/>
  <c r="I2758" i="2"/>
  <c r="I2759" i="2"/>
  <c r="I2760" i="2"/>
  <c r="I2761" i="2"/>
  <c r="I2762" i="2"/>
  <c r="I2763" i="2"/>
  <c r="I2764" i="2"/>
  <c r="I2765" i="2"/>
  <c r="E2736" i="2"/>
  <c r="H2736" i="2" s="1"/>
  <c r="E2737" i="2"/>
  <c r="H2737" i="2" s="1"/>
  <c r="E2738" i="2"/>
  <c r="H2738" i="2" s="1"/>
  <c r="E2739" i="2"/>
  <c r="H2739" i="2" s="1"/>
  <c r="E2740" i="2"/>
  <c r="H2740" i="2" s="1"/>
  <c r="E2741" i="2"/>
  <c r="H2741" i="2" s="1"/>
  <c r="E2742" i="2"/>
  <c r="H2742" i="2" s="1"/>
  <c r="E2743" i="2"/>
  <c r="H2743" i="2" s="1"/>
  <c r="E2744" i="2"/>
  <c r="H2744" i="2" s="1"/>
  <c r="E2745" i="2"/>
  <c r="H2745" i="2" s="1"/>
  <c r="E2746" i="2"/>
  <c r="H2746" i="2" s="1"/>
  <c r="E2747" i="2"/>
  <c r="H2747" i="2" s="1"/>
  <c r="I2736" i="2"/>
  <c r="I2737" i="2"/>
  <c r="I2738" i="2"/>
  <c r="I2739" i="2"/>
  <c r="I2740" i="2"/>
  <c r="I2741" i="2"/>
  <c r="I2742" i="2"/>
  <c r="I2743" i="2"/>
  <c r="I2744" i="2"/>
  <c r="I2745" i="2"/>
  <c r="I2746" i="2"/>
  <c r="I2747" i="2"/>
  <c r="E2723" i="2"/>
  <c r="H2723" i="2" s="1"/>
  <c r="E2724" i="2"/>
  <c r="H2724" i="2" s="1"/>
  <c r="E2725" i="2"/>
  <c r="H2725" i="2" s="1"/>
  <c r="E2726" i="2"/>
  <c r="H2726" i="2" s="1"/>
  <c r="E2727" i="2"/>
  <c r="H2727" i="2" s="1"/>
  <c r="E2728" i="2"/>
  <c r="H2728" i="2" s="1"/>
  <c r="E2729" i="2"/>
  <c r="H2729" i="2" s="1"/>
  <c r="E2730" i="2"/>
  <c r="H2730" i="2" s="1"/>
  <c r="E2731" i="2"/>
  <c r="H2731" i="2" s="1"/>
  <c r="E2732" i="2"/>
  <c r="H2732" i="2" s="1"/>
  <c r="E2733" i="2"/>
  <c r="H2733" i="2" s="1"/>
  <c r="E2734" i="2"/>
  <c r="H2734" i="2" s="1"/>
  <c r="E2735" i="2"/>
  <c r="H2735" i="2" s="1"/>
  <c r="I2723" i="2"/>
  <c r="I2724" i="2"/>
  <c r="I2725" i="2"/>
  <c r="I2726" i="2"/>
  <c r="I2727" i="2"/>
  <c r="I2728" i="2"/>
  <c r="I2729" i="2"/>
  <c r="I2730" i="2"/>
  <c r="I2731" i="2"/>
  <c r="I2732" i="2"/>
  <c r="I2733" i="2"/>
  <c r="I2734" i="2"/>
  <c r="I2735" i="2"/>
  <c r="D92" i="2"/>
  <c r="D95" i="2"/>
  <c r="D103" i="2"/>
  <c r="D106" i="2"/>
  <c r="D109" i="2"/>
  <c r="D114" i="2"/>
  <c r="D269" i="2"/>
  <c r="D271" i="2"/>
  <c r="D327" i="2"/>
  <c r="D363" i="2"/>
  <c r="G269" i="2" l="1"/>
  <c r="G226" i="4"/>
  <c r="F226" i="4"/>
  <c r="G103" i="2"/>
  <c r="F189" i="4"/>
  <c r="G189" i="4"/>
  <c r="G363" i="2"/>
  <c r="F301" i="4"/>
  <c r="G301" i="4"/>
  <c r="G114" i="2"/>
  <c r="F93" i="4"/>
  <c r="G93" i="4"/>
  <c r="G95" i="2"/>
  <c r="G43" i="4"/>
  <c r="F43" i="4"/>
  <c r="G327" i="2"/>
  <c r="F241" i="4"/>
  <c r="G241" i="4"/>
  <c r="G109" i="2"/>
  <c r="G310" i="4"/>
  <c r="F310" i="4"/>
  <c r="G92" i="2"/>
  <c r="F145" i="4"/>
  <c r="G145" i="4"/>
  <c r="G271" i="2"/>
  <c r="G312" i="4"/>
  <c r="F312" i="4"/>
  <c r="G106" i="2"/>
  <c r="G79" i="4"/>
  <c r="F79" i="4"/>
  <c r="F269" i="2"/>
  <c r="F114" i="2"/>
  <c r="F103" i="2"/>
  <c r="F363" i="2"/>
  <c r="F95" i="2"/>
  <c r="F327" i="2"/>
  <c r="F109" i="2"/>
  <c r="F92" i="2"/>
  <c r="F271" i="2"/>
  <c r="F106" i="2"/>
  <c r="E2829" i="2"/>
  <c r="H2829" i="2" s="1"/>
  <c r="I2829" i="2"/>
  <c r="E2814" i="2"/>
  <c r="H2814" i="2" s="1"/>
  <c r="I2826" i="2"/>
  <c r="I2822" i="2"/>
  <c r="I2818" i="2"/>
  <c r="I2814" i="2"/>
  <c r="E2695" i="2"/>
  <c r="E2696" i="2"/>
  <c r="E2697" i="2"/>
  <c r="H2697" i="2" s="1"/>
  <c r="E2698" i="2"/>
  <c r="H2698" i="2" s="1"/>
  <c r="E2699" i="2"/>
  <c r="H2699" i="2" s="1"/>
  <c r="E2700" i="2"/>
  <c r="H2700" i="2" s="1"/>
  <c r="E2701" i="2"/>
  <c r="H2701" i="2" s="1"/>
  <c r="E2702" i="2"/>
  <c r="H2702" i="2" s="1"/>
  <c r="E2703" i="2"/>
  <c r="H2703" i="2" s="1"/>
  <c r="E2704" i="2"/>
  <c r="H2704" i="2" s="1"/>
  <c r="E2705" i="2"/>
  <c r="H2705" i="2" s="1"/>
  <c r="E2706" i="2"/>
  <c r="H2706" i="2" s="1"/>
  <c r="E2707" i="2"/>
  <c r="H2707" i="2" s="1"/>
  <c r="E2708" i="2"/>
  <c r="H2708" i="2" s="1"/>
  <c r="E2709" i="2"/>
  <c r="H2709" i="2" s="1"/>
  <c r="E2710" i="2"/>
  <c r="H2710" i="2" s="1"/>
  <c r="E2711" i="2"/>
  <c r="H2711" i="2" s="1"/>
  <c r="E2712" i="2"/>
  <c r="H2712" i="2" s="1"/>
  <c r="E2713" i="2"/>
  <c r="H2713" i="2" s="1"/>
  <c r="E2714" i="2"/>
  <c r="H2714" i="2" s="1"/>
  <c r="E2715" i="2"/>
  <c r="H2715" i="2" s="1"/>
  <c r="E2716" i="2"/>
  <c r="H2716" i="2" s="1"/>
  <c r="E2717" i="2"/>
  <c r="H2717" i="2" s="1"/>
  <c r="E2718" i="2"/>
  <c r="H2718" i="2" s="1"/>
  <c r="E2719" i="2"/>
  <c r="H2719" i="2" s="1"/>
  <c r="E2720" i="2"/>
  <c r="H2720" i="2" s="1"/>
  <c r="E2721" i="2"/>
  <c r="H2721" i="2" s="1"/>
  <c r="E2722" i="2"/>
  <c r="H2722" i="2" s="1"/>
  <c r="H2695" i="2"/>
  <c r="H2696" i="2"/>
  <c r="I2695" i="2"/>
  <c r="I2696" i="2"/>
  <c r="I2697" i="2"/>
  <c r="I2698" i="2"/>
  <c r="I2699" i="2"/>
  <c r="I2700" i="2"/>
  <c r="I2701" i="2"/>
  <c r="I2702" i="2"/>
  <c r="I2703" i="2"/>
  <c r="I2704" i="2"/>
  <c r="I2705" i="2"/>
  <c r="I2706" i="2"/>
  <c r="I2707" i="2"/>
  <c r="I2708" i="2"/>
  <c r="I2709" i="2"/>
  <c r="I2710" i="2"/>
  <c r="I2711" i="2"/>
  <c r="I2712" i="2"/>
  <c r="I2713" i="2"/>
  <c r="I2714" i="2"/>
  <c r="I2715" i="2"/>
  <c r="I2716" i="2"/>
  <c r="I2717" i="2"/>
  <c r="I2718" i="2"/>
  <c r="I2719" i="2"/>
  <c r="I2720" i="2"/>
  <c r="I2721" i="2"/>
  <c r="I2722" i="2"/>
  <c r="E2678" i="2"/>
  <c r="H2678" i="2" s="1"/>
  <c r="E2679" i="2"/>
  <c r="H2679" i="2" s="1"/>
  <c r="E2680" i="2"/>
  <c r="H2680" i="2" s="1"/>
  <c r="E2681" i="2"/>
  <c r="H2681" i="2" s="1"/>
  <c r="E2682" i="2"/>
  <c r="H2682" i="2" s="1"/>
  <c r="E2683" i="2"/>
  <c r="H2683" i="2" s="1"/>
  <c r="E2684" i="2"/>
  <c r="H2684" i="2" s="1"/>
  <c r="E2685" i="2"/>
  <c r="H2685" i="2" s="1"/>
  <c r="E2686" i="2"/>
  <c r="H2686" i="2" s="1"/>
  <c r="E2687" i="2"/>
  <c r="H2687" i="2" s="1"/>
  <c r="E2688" i="2"/>
  <c r="H2688" i="2" s="1"/>
  <c r="E2689" i="2"/>
  <c r="H2689" i="2" s="1"/>
  <c r="E2690" i="2"/>
  <c r="H2690" i="2" s="1"/>
  <c r="E2691" i="2"/>
  <c r="H2691" i="2" s="1"/>
  <c r="E2692" i="2"/>
  <c r="H2692" i="2" s="1"/>
  <c r="E2693" i="2"/>
  <c r="H2693" i="2" s="1"/>
  <c r="E2694" i="2"/>
  <c r="H2694" i="2" s="1"/>
  <c r="I2678" i="2"/>
  <c r="I2679" i="2"/>
  <c r="I2680" i="2"/>
  <c r="I2681" i="2"/>
  <c r="I2682" i="2"/>
  <c r="I2683" i="2"/>
  <c r="I2684" i="2"/>
  <c r="I2685" i="2"/>
  <c r="I2686" i="2"/>
  <c r="I2687" i="2"/>
  <c r="I2688" i="2"/>
  <c r="I2689" i="2"/>
  <c r="I2690" i="2"/>
  <c r="I2691" i="2"/>
  <c r="I2692" i="2"/>
  <c r="I2693" i="2"/>
  <c r="I2694" i="2"/>
  <c r="E2668" i="2"/>
  <c r="H2668" i="2" s="1"/>
  <c r="E2669" i="2"/>
  <c r="H2669" i="2" s="1"/>
  <c r="E2670" i="2"/>
  <c r="H2670" i="2" s="1"/>
  <c r="E2671" i="2"/>
  <c r="H2671" i="2" s="1"/>
  <c r="E2672" i="2"/>
  <c r="H2672" i="2" s="1"/>
  <c r="E2673" i="2"/>
  <c r="H2673" i="2" s="1"/>
  <c r="E2674" i="2"/>
  <c r="H2674" i="2" s="1"/>
  <c r="E2675" i="2"/>
  <c r="H2675" i="2" s="1"/>
  <c r="E2676" i="2"/>
  <c r="H2676" i="2" s="1"/>
  <c r="E2677" i="2"/>
  <c r="H2677" i="2" s="1"/>
  <c r="I2668" i="2"/>
  <c r="I2669" i="2"/>
  <c r="I2670" i="2"/>
  <c r="I2671" i="2"/>
  <c r="I2672" i="2"/>
  <c r="I2673" i="2"/>
  <c r="I2674" i="2"/>
  <c r="I2675" i="2"/>
  <c r="I2676" i="2"/>
  <c r="I2677" i="2"/>
  <c r="E2655" i="2"/>
  <c r="H2655" i="2" s="1"/>
  <c r="E2656" i="2"/>
  <c r="H2656" i="2" s="1"/>
  <c r="E2657" i="2"/>
  <c r="H2657" i="2" s="1"/>
  <c r="E2658" i="2"/>
  <c r="H2658" i="2" s="1"/>
  <c r="E2659" i="2"/>
  <c r="H2659" i="2" s="1"/>
  <c r="E2660" i="2"/>
  <c r="H2660" i="2" s="1"/>
  <c r="E2661" i="2"/>
  <c r="H2661" i="2" s="1"/>
  <c r="E2662" i="2"/>
  <c r="H2662" i="2" s="1"/>
  <c r="E2663" i="2"/>
  <c r="H2663" i="2" s="1"/>
  <c r="E2664" i="2"/>
  <c r="H2664" i="2" s="1"/>
  <c r="E2665" i="2"/>
  <c r="H2665" i="2" s="1"/>
  <c r="E2666" i="2"/>
  <c r="H2666" i="2" s="1"/>
  <c r="E2667" i="2"/>
  <c r="H2667" i="2" s="1"/>
  <c r="I2655" i="2"/>
  <c r="I2656" i="2"/>
  <c r="I2657" i="2"/>
  <c r="I2658" i="2"/>
  <c r="I2659" i="2"/>
  <c r="I2660" i="2"/>
  <c r="I2661" i="2"/>
  <c r="I2662" i="2"/>
  <c r="I2663" i="2"/>
  <c r="I2664" i="2"/>
  <c r="I2665" i="2"/>
  <c r="I2666" i="2"/>
  <c r="I2667" i="2"/>
  <c r="E2631" i="2"/>
  <c r="E2632" i="2"/>
  <c r="E2633" i="2"/>
  <c r="H2633" i="2" s="1"/>
  <c r="E2634" i="2"/>
  <c r="H2634" i="2" s="1"/>
  <c r="E2635" i="2"/>
  <c r="H2635" i="2" s="1"/>
  <c r="E2636" i="2"/>
  <c r="H2636" i="2" s="1"/>
  <c r="E2637" i="2"/>
  <c r="H2637" i="2" s="1"/>
  <c r="E2638" i="2"/>
  <c r="H2638" i="2" s="1"/>
  <c r="E2639" i="2"/>
  <c r="H2639" i="2" s="1"/>
  <c r="E2640" i="2"/>
  <c r="H2640" i="2" s="1"/>
  <c r="E2641" i="2"/>
  <c r="H2641" i="2" s="1"/>
  <c r="E2642" i="2"/>
  <c r="H2642" i="2" s="1"/>
  <c r="E2643" i="2"/>
  <c r="H2643" i="2" s="1"/>
  <c r="E2644" i="2"/>
  <c r="H2644" i="2" s="1"/>
  <c r="E2645" i="2"/>
  <c r="H2645" i="2" s="1"/>
  <c r="E2646" i="2"/>
  <c r="H2646" i="2" s="1"/>
  <c r="E2647" i="2"/>
  <c r="H2647" i="2" s="1"/>
  <c r="E2648" i="2"/>
  <c r="H2648" i="2" s="1"/>
  <c r="E2649" i="2"/>
  <c r="H2649" i="2" s="1"/>
  <c r="E2650" i="2"/>
  <c r="H2650" i="2" s="1"/>
  <c r="E2651" i="2"/>
  <c r="H2651" i="2" s="1"/>
  <c r="E2652" i="2"/>
  <c r="H2652" i="2" s="1"/>
  <c r="E2653" i="2"/>
  <c r="H2653" i="2" s="1"/>
  <c r="E2654" i="2"/>
  <c r="H2654" i="2" s="1"/>
  <c r="H2631" i="2"/>
  <c r="H2632" i="2"/>
  <c r="I2631" i="2"/>
  <c r="I2632" i="2"/>
  <c r="I2633" i="2"/>
  <c r="I2634" i="2"/>
  <c r="I2635" i="2"/>
  <c r="I2636" i="2"/>
  <c r="I2637" i="2"/>
  <c r="I2638" i="2"/>
  <c r="I2639" i="2"/>
  <c r="I2640" i="2"/>
  <c r="I2641" i="2"/>
  <c r="I2642" i="2"/>
  <c r="I2643" i="2"/>
  <c r="I2644" i="2"/>
  <c r="I2645" i="2"/>
  <c r="I2646" i="2"/>
  <c r="I2647" i="2"/>
  <c r="I2648" i="2"/>
  <c r="I2649" i="2"/>
  <c r="I2650" i="2"/>
  <c r="I2651" i="2"/>
  <c r="I2652" i="2"/>
  <c r="I2653" i="2"/>
  <c r="I2654" i="2"/>
  <c r="E2602" i="2"/>
  <c r="H2602" i="2" s="1"/>
  <c r="E2603" i="2"/>
  <c r="H2603" i="2" s="1"/>
  <c r="E2604" i="2"/>
  <c r="H2604" i="2" s="1"/>
  <c r="E2605" i="2"/>
  <c r="H2605" i="2" s="1"/>
  <c r="E2606" i="2"/>
  <c r="H2606" i="2" s="1"/>
  <c r="E2607" i="2"/>
  <c r="H2607" i="2" s="1"/>
  <c r="E2608" i="2"/>
  <c r="H2608" i="2" s="1"/>
  <c r="E2609" i="2"/>
  <c r="H2609" i="2" s="1"/>
  <c r="E2610" i="2"/>
  <c r="H2610" i="2" s="1"/>
  <c r="E2611" i="2"/>
  <c r="H2611" i="2" s="1"/>
  <c r="E2612" i="2"/>
  <c r="H2612" i="2" s="1"/>
  <c r="E2613" i="2"/>
  <c r="H2613" i="2" s="1"/>
  <c r="E2614" i="2"/>
  <c r="H2614" i="2" s="1"/>
  <c r="E2615" i="2"/>
  <c r="H2615" i="2" s="1"/>
  <c r="E2616" i="2"/>
  <c r="H2616" i="2" s="1"/>
  <c r="E2617" i="2"/>
  <c r="H2617" i="2" s="1"/>
  <c r="E2618" i="2"/>
  <c r="H2618" i="2" s="1"/>
  <c r="E2619" i="2"/>
  <c r="H2619" i="2" s="1"/>
  <c r="E2620" i="2"/>
  <c r="H2620" i="2" s="1"/>
  <c r="E2621" i="2"/>
  <c r="H2621" i="2" s="1"/>
  <c r="E2622" i="2"/>
  <c r="H2622" i="2" s="1"/>
  <c r="E2623" i="2"/>
  <c r="H2623" i="2" s="1"/>
  <c r="E2624" i="2"/>
  <c r="H2624" i="2" s="1"/>
  <c r="E2625" i="2"/>
  <c r="H2625" i="2" s="1"/>
  <c r="E2626" i="2"/>
  <c r="H2626" i="2" s="1"/>
  <c r="E2627" i="2"/>
  <c r="H2627" i="2" s="1"/>
  <c r="E2628" i="2"/>
  <c r="H2628" i="2" s="1"/>
  <c r="E2629" i="2"/>
  <c r="H2629" i="2" s="1"/>
  <c r="E2630" i="2"/>
  <c r="H2630" i="2" s="1"/>
  <c r="I2602" i="2"/>
  <c r="I2603" i="2"/>
  <c r="I2604" i="2"/>
  <c r="I2605" i="2"/>
  <c r="I2606" i="2"/>
  <c r="I2607" i="2"/>
  <c r="I2608" i="2"/>
  <c r="I2609" i="2"/>
  <c r="I2610" i="2"/>
  <c r="I2611" i="2"/>
  <c r="I2612" i="2"/>
  <c r="I2613" i="2"/>
  <c r="I2614" i="2"/>
  <c r="I2615" i="2"/>
  <c r="I2616" i="2"/>
  <c r="I2617" i="2"/>
  <c r="I2618" i="2"/>
  <c r="I2619" i="2"/>
  <c r="I2620" i="2"/>
  <c r="I2621" i="2"/>
  <c r="I2622" i="2"/>
  <c r="I2623" i="2"/>
  <c r="I2624" i="2"/>
  <c r="I2625" i="2"/>
  <c r="I2626" i="2"/>
  <c r="I2627" i="2"/>
  <c r="I2628" i="2"/>
  <c r="I2629" i="2"/>
  <c r="I2630" i="2"/>
  <c r="I2599" i="2"/>
  <c r="E2599" i="2"/>
  <c r="H2599" i="2" s="1"/>
  <c r="I2598" i="2"/>
  <c r="E2598" i="2"/>
  <c r="H2598" i="2" s="1"/>
  <c r="I2597" i="2"/>
  <c r="E2597" i="2"/>
  <c r="H2597" i="2" s="1"/>
  <c r="I2596" i="2"/>
  <c r="E2596" i="2"/>
  <c r="H2596" i="2" s="1"/>
  <c r="I2595" i="2"/>
  <c r="E2595" i="2"/>
  <c r="H2595" i="2" s="1"/>
  <c r="I2594" i="2"/>
  <c r="E2594" i="2"/>
  <c r="H2594" i="2" s="1"/>
  <c r="I2593" i="2"/>
  <c r="E2593" i="2"/>
  <c r="H2593" i="2" s="1"/>
  <c r="I2592" i="2"/>
  <c r="E2592" i="2"/>
  <c r="H2592" i="2" s="1"/>
  <c r="I2591" i="2"/>
  <c r="E2591" i="2"/>
  <c r="H2591" i="2" s="1"/>
  <c r="I2590" i="2"/>
  <c r="E2590" i="2"/>
  <c r="H2590" i="2" s="1"/>
  <c r="I2589" i="2"/>
  <c r="E2589" i="2"/>
  <c r="H2589" i="2" s="1"/>
  <c r="I2588" i="2"/>
  <c r="E2588" i="2"/>
  <c r="H2588" i="2" s="1"/>
  <c r="I2587" i="2"/>
  <c r="E2587" i="2"/>
  <c r="H2587" i="2" s="1"/>
  <c r="I2586" i="2"/>
  <c r="E2586" i="2"/>
  <c r="H2586" i="2" s="1"/>
  <c r="I2585" i="2"/>
  <c r="E2585" i="2"/>
  <c r="H2585" i="2" s="1"/>
  <c r="I2584" i="2"/>
  <c r="E2584" i="2"/>
  <c r="H2584" i="2" s="1"/>
  <c r="I2583" i="2"/>
  <c r="E2583" i="2"/>
  <c r="H2583" i="2" s="1"/>
  <c r="I2582" i="2"/>
  <c r="E2582" i="2"/>
  <c r="H2582" i="2" s="1"/>
  <c r="I2581" i="2"/>
  <c r="E2581" i="2"/>
  <c r="H2581" i="2" s="1"/>
  <c r="I2580" i="2"/>
  <c r="E2580" i="2"/>
  <c r="H2580" i="2" s="1"/>
  <c r="I2579" i="2"/>
  <c r="E2579" i="2"/>
  <c r="H2579" i="2" s="1"/>
  <c r="I2578" i="2"/>
  <c r="E2578" i="2"/>
  <c r="H2578" i="2" s="1"/>
  <c r="I2577" i="2"/>
  <c r="E2577" i="2"/>
  <c r="H2577" i="2" s="1"/>
  <c r="I2576" i="2"/>
  <c r="E2576" i="2"/>
  <c r="H2576" i="2" s="1"/>
  <c r="I2575" i="2"/>
  <c r="E2575" i="2"/>
  <c r="H2575" i="2" s="1"/>
  <c r="I2574" i="2"/>
  <c r="E2574" i="2"/>
  <c r="H2574" i="2" s="1"/>
  <c r="I2573" i="2"/>
  <c r="E2573" i="2"/>
  <c r="H2573" i="2" s="1"/>
  <c r="I2572" i="2"/>
  <c r="E2572" i="2"/>
  <c r="H2572" i="2" s="1"/>
  <c r="I2571" i="2"/>
  <c r="E2571" i="2"/>
  <c r="H2571" i="2" s="1"/>
  <c r="I2570" i="2"/>
  <c r="E2570" i="2"/>
  <c r="H2570" i="2" s="1"/>
  <c r="I2600" i="2"/>
  <c r="E2600" i="2"/>
  <c r="H2600" i="2" s="1"/>
  <c r="I2568" i="2"/>
  <c r="E2568" i="2"/>
  <c r="H2568" i="2" s="1"/>
  <c r="I2567" i="2"/>
  <c r="E2567" i="2"/>
  <c r="H2567" i="2" s="1"/>
  <c r="I2566" i="2"/>
  <c r="E2566" i="2"/>
  <c r="H2566" i="2" s="1"/>
  <c r="I2565" i="2"/>
  <c r="E2565" i="2"/>
  <c r="H2565" i="2" s="1"/>
  <c r="I2564" i="2"/>
  <c r="E2564" i="2"/>
  <c r="H2564" i="2" s="1"/>
  <c r="I2563" i="2"/>
  <c r="E2563" i="2"/>
  <c r="H2563" i="2" s="1"/>
  <c r="I2562" i="2"/>
  <c r="E2562" i="2"/>
  <c r="H2562" i="2" s="1"/>
  <c r="I2561" i="2"/>
  <c r="E2561" i="2"/>
  <c r="H2561" i="2" s="1"/>
  <c r="I2560" i="2"/>
  <c r="E2560" i="2"/>
  <c r="H2560" i="2" s="1"/>
  <c r="I2391" i="2"/>
  <c r="E2391" i="2"/>
  <c r="H2391" i="2" s="1"/>
  <c r="I2558" i="2"/>
  <c r="E2558" i="2"/>
  <c r="H2558" i="2" s="1"/>
  <c r="I2557" i="2"/>
  <c r="E2557" i="2"/>
  <c r="H2557" i="2" s="1"/>
  <c r="I2556" i="2"/>
  <c r="E2556" i="2"/>
  <c r="H2556" i="2" s="1"/>
  <c r="I2555" i="2"/>
  <c r="E2555" i="2"/>
  <c r="H2555" i="2" s="1"/>
  <c r="I2554" i="2"/>
  <c r="E2554" i="2"/>
  <c r="H2554" i="2" s="1"/>
  <c r="I2553" i="2"/>
  <c r="E2553" i="2"/>
  <c r="H2553" i="2" s="1"/>
  <c r="I2552" i="2"/>
  <c r="E2552" i="2"/>
  <c r="H2552" i="2" s="1"/>
  <c r="I2551" i="2"/>
  <c r="E2551" i="2"/>
  <c r="H2551" i="2" s="1"/>
  <c r="I2550" i="2"/>
  <c r="E2550" i="2"/>
  <c r="H2550" i="2" s="1"/>
  <c r="I2549" i="2"/>
  <c r="E2549" i="2"/>
  <c r="H2549" i="2" s="1"/>
  <c r="I2548" i="2"/>
  <c r="E2548" i="2"/>
  <c r="H2548" i="2" s="1"/>
  <c r="I2547" i="2"/>
  <c r="E2547" i="2"/>
  <c r="H2547" i="2" s="1"/>
  <c r="I2546" i="2"/>
  <c r="E2546" i="2"/>
  <c r="H2546" i="2" s="1"/>
  <c r="I2545" i="2"/>
  <c r="E2545" i="2"/>
  <c r="H2545" i="2" s="1"/>
  <c r="I2544" i="2"/>
  <c r="E2544" i="2"/>
  <c r="H2544" i="2" s="1"/>
  <c r="I2543" i="2"/>
  <c r="E2543" i="2"/>
  <c r="H2543" i="2" s="1"/>
  <c r="I2542" i="2"/>
  <c r="E2542" i="2"/>
  <c r="H2542" i="2" s="1"/>
  <c r="I2541" i="2"/>
  <c r="E2541" i="2"/>
  <c r="H2541" i="2" s="1"/>
  <c r="I2540" i="2"/>
  <c r="E2540" i="2"/>
  <c r="H2540" i="2" s="1"/>
  <c r="I2539" i="2"/>
  <c r="E2539" i="2"/>
  <c r="H2539" i="2" s="1"/>
  <c r="I2538" i="2"/>
  <c r="E2538" i="2"/>
  <c r="H2538" i="2" s="1"/>
  <c r="I2537" i="2"/>
  <c r="E2537" i="2"/>
  <c r="H2537" i="2" s="1"/>
  <c r="I2536" i="2"/>
  <c r="E2536" i="2"/>
  <c r="H2536" i="2" s="1"/>
  <c r="I2535" i="2"/>
  <c r="E2535" i="2"/>
  <c r="H2535" i="2" s="1"/>
  <c r="I2534" i="2"/>
  <c r="E2534" i="2"/>
  <c r="H2534" i="2" s="1"/>
  <c r="I2533" i="2"/>
  <c r="E2533" i="2"/>
  <c r="H2533" i="2" s="1"/>
  <c r="I2532" i="2"/>
  <c r="E2532" i="2"/>
  <c r="H2532" i="2" s="1"/>
  <c r="I2531" i="2"/>
  <c r="E2531" i="2"/>
  <c r="H2531" i="2" s="1"/>
  <c r="I2530" i="2"/>
  <c r="E2530" i="2"/>
  <c r="H2530" i="2" s="1"/>
  <c r="I2529" i="2"/>
  <c r="E2529" i="2"/>
  <c r="H2529" i="2" s="1"/>
  <c r="I2569" i="2"/>
  <c r="E2569" i="2"/>
  <c r="H2569" i="2" s="1"/>
  <c r="I2390" i="2"/>
  <c r="E2390" i="2"/>
  <c r="H2390" i="2" s="1"/>
  <c r="I2526" i="2"/>
  <c r="E2526" i="2"/>
  <c r="H2526" i="2" s="1"/>
  <c r="I2525" i="2"/>
  <c r="E2525" i="2"/>
  <c r="H2525" i="2" s="1"/>
  <c r="I2524" i="2"/>
  <c r="E2524" i="2"/>
  <c r="H2524" i="2" s="1"/>
  <c r="I2523" i="2"/>
  <c r="E2523" i="2"/>
  <c r="H2523" i="2" s="1"/>
  <c r="I2522" i="2"/>
  <c r="E2522" i="2"/>
  <c r="H2522" i="2" s="1"/>
  <c r="I2521" i="2"/>
  <c r="E2521" i="2"/>
  <c r="H2521" i="2" s="1"/>
  <c r="I2520" i="2"/>
  <c r="E2520" i="2"/>
  <c r="H2520" i="2" s="1"/>
  <c r="I2519" i="2"/>
  <c r="E2519" i="2"/>
  <c r="H2519" i="2" s="1"/>
  <c r="I2518" i="2"/>
  <c r="E2518" i="2"/>
  <c r="H2518" i="2" s="1"/>
  <c r="I2517" i="2"/>
  <c r="E2517" i="2"/>
  <c r="H2517" i="2" s="1"/>
  <c r="I2516" i="2"/>
  <c r="E2516" i="2"/>
  <c r="H2516" i="2" s="1"/>
  <c r="I2515" i="2"/>
  <c r="E2515" i="2"/>
  <c r="H2515" i="2" s="1"/>
  <c r="I2514" i="2"/>
  <c r="E2514" i="2"/>
  <c r="H2514" i="2" s="1"/>
  <c r="I2513" i="2"/>
  <c r="E2513" i="2"/>
  <c r="H2513" i="2" s="1"/>
  <c r="I2512" i="2"/>
  <c r="E2512" i="2"/>
  <c r="H2512" i="2" s="1"/>
  <c r="I2511" i="2"/>
  <c r="E2511" i="2"/>
  <c r="H2511" i="2" s="1"/>
  <c r="I2510" i="2"/>
  <c r="E2510" i="2"/>
  <c r="H2510" i="2" s="1"/>
  <c r="I2509" i="2"/>
  <c r="E2509" i="2"/>
  <c r="H2509" i="2" s="1"/>
  <c r="I2508" i="2"/>
  <c r="E2508" i="2"/>
  <c r="H2508" i="2" s="1"/>
  <c r="I2507" i="2"/>
  <c r="E2507" i="2"/>
  <c r="H2507" i="2" s="1"/>
  <c r="I2506" i="2"/>
  <c r="E2506" i="2"/>
  <c r="H2506" i="2" s="1"/>
  <c r="I2505" i="2"/>
  <c r="E2505" i="2"/>
  <c r="H2505" i="2" s="1"/>
  <c r="I2504" i="2"/>
  <c r="E2504" i="2"/>
  <c r="H2504" i="2" s="1"/>
  <c r="I2503" i="2"/>
  <c r="E2503" i="2"/>
  <c r="H2503" i="2" s="1"/>
  <c r="I2502" i="2"/>
  <c r="E2502" i="2"/>
  <c r="H2502" i="2" s="1"/>
  <c r="I2501" i="2"/>
  <c r="E2501" i="2"/>
  <c r="H2501" i="2" s="1"/>
  <c r="I2500" i="2"/>
  <c r="E2500" i="2"/>
  <c r="H2500" i="2" s="1"/>
  <c r="I2499" i="2"/>
  <c r="E2499" i="2"/>
  <c r="H2499" i="2" s="1"/>
  <c r="I2559" i="2"/>
  <c r="E2559" i="2"/>
  <c r="H2559" i="2" s="1"/>
  <c r="I2497" i="2"/>
  <c r="E2497" i="2"/>
  <c r="H2497" i="2" s="1"/>
  <c r="I2496" i="2"/>
  <c r="E2496" i="2"/>
  <c r="H2496" i="2" s="1"/>
  <c r="I2495" i="2"/>
  <c r="E2495" i="2"/>
  <c r="H2495" i="2" s="1"/>
  <c r="I2494" i="2"/>
  <c r="E2494" i="2"/>
  <c r="H2494" i="2" s="1"/>
  <c r="I2493" i="2"/>
  <c r="E2493" i="2"/>
  <c r="H2493" i="2" s="1"/>
  <c r="I2492" i="2"/>
  <c r="E2492" i="2"/>
  <c r="H2492" i="2" s="1"/>
  <c r="I2491" i="2"/>
  <c r="E2491" i="2"/>
  <c r="H2491" i="2" s="1"/>
  <c r="I2490" i="2"/>
  <c r="E2490" i="2"/>
  <c r="H2490" i="2" s="1"/>
  <c r="I2489" i="2"/>
  <c r="E2489" i="2"/>
  <c r="H2489" i="2" s="1"/>
  <c r="I2488" i="2"/>
  <c r="E2488" i="2"/>
  <c r="H2488" i="2" s="1"/>
  <c r="I2487" i="2"/>
  <c r="E2487" i="2"/>
  <c r="H2487" i="2" s="1"/>
  <c r="I2486" i="2"/>
  <c r="E2486" i="2"/>
  <c r="H2486" i="2" s="1"/>
  <c r="I2485" i="2"/>
  <c r="E2485" i="2"/>
  <c r="H2485" i="2" s="1"/>
  <c r="I2373" i="2"/>
  <c r="E2373" i="2"/>
  <c r="H2373" i="2" s="1"/>
  <c r="I2484" i="2"/>
  <c r="E2484" i="2"/>
  <c r="H2484" i="2" s="1"/>
  <c r="I2483" i="2"/>
  <c r="E2483" i="2"/>
  <c r="H2483" i="2" s="1"/>
  <c r="I2482" i="2"/>
  <c r="E2482" i="2"/>
  <c r="H2482" i="2" s="1"/>
  <c r="I2481" i="2"/>
  <c r="E2481" i="2"/>
  <c r="H2481" i="2" s="1"/>
  <c r="I2480" i="2"/>
  <c r="E2480" i="2"/>
  <c r="H2480" i="2" s="1"/>
  <c r="I2479" i="2"/>
  <c r="E2479" i="2"/>
  <c r="H2479" i="2" s="1"/>
  <c r="I2478" i="2"/>
  <c r="E2478" i="2"/>
  <c r="H2478" i="2" s="1"/>
  <c r="I2477" i="2"/>
  <c r="E2477" i="2"/>
  <c r="H2477" i="2" s="1"/>
  <c r="I2476" i="2"/>
  <c r="E2476" i="2"/>
  <c r="H2476" i="2" s="1"/>
  <c r="I2475" i="2"/>
  <c r="E2475" i="2"/>
  <c r="H2475" i="2" s="1"/>
  <c r="I2474" i="2"/>
  <c r="E2474" i="2"/>
  <c r="H2474" i="2" s="1"/>
  <c r="I2473" i="2"/>
  <c r="E2473" i="2"/>
  <c r="H2473" i="2" s="1"/>
  <c r="I2472" i="2"/>
  <c r="E2472" i="2"/>
  <c r="H2472" i="2" s="1"/>
  <c r="I2471" i="2"/>
  <c r="E2471" i="2"/>
  <c r="H2471" i="2" s="1"/>
  <c r="I2470" i="2"/>
  <c r="E2470" i="2"/>
  <c r="H2470" i="2" s="1"/>
  <c r="I2469" i="2"/>
  <c r="E2469" i="2"/>
  <c r="H2469" i="2" s="1"/>
  <c r="I2468" i="2"/>
  <c r="E2468" i="2"/>
  <c r="H2468" i="2" s="1"/>
  <c r="I2467" i="2"/>
  <c r="E2467" i="2"/>
  <c r="H2467" i="2" s="1"/>
  <c r="I2466" i="2"/>
  <c r="E2466" i="2"/>
  <c r="H2466" i="2" s="1"/>
  <c r="I2465" i="2"/>
  <c r="E2465" i="2"/>
  <c r="H2465" i="2" s="1"/>
  <c r="I2464" i="2"/>
  <c r="E2464" i="2"/>
  <c r="H2464" i="2" s="1"/>
  <c r="I2463" i="2"/>
  <c r="E2463" i="2"/>
  <c r="H2463" i="2" s="1"/>
  <c r="I2462" i="2"/>
  <c r="E2462" i="2"/>
  <c r="H2462" i="2" s="1"/>
  <c r="I2461" i="2"/>
  <c r="E2461" i="2"/>
  <c r="H2461" i="2" s="1"/>
  <c r="I2460" i="2"/>
  <c r="E2460" i="2"/>
  <c r="H2460" i="2" s="1"/>
  <c r="I2459" i="2"/>
  <c r="E2459" i="2"/>
  <c r="H2459" i="2" s="1"/>
  <c r="I2458" i="2"/>
  <c r="E2458" i="2"/>
  <c r="H2458" i="2" s="1"/>
  <c r="I2457" i="2"/>
  <c r="E2457" i="2"/>
  <c r="H2457" i="2" s="1"/>
  <c r="I2456" i="2"/>
  <c r="E2456" i="2"/>
  <c r="H2456" i="2" s="1"/>
  <c r="I2455" i="2"/>
  <c r="E2455" i="2"/>
  <c r="H2455" i="2" s="1"/>
  <c r="I2454" i="2"/>
  <c r="E2454" i="2"/>
  <c r="H2454" i="2" s="1"/>
  <c r="I2453" i="2"/>
  <c r="E2453" i="2"/>
  <c r="H2453" i="2" s="1"/>
  <c r="I2452" i="2"/>
  <c r="E2452" i="2"/>
  <c r="H2452" i="2" s="1"/>
  <c r="I2451" i="2"/>
  <c r="E2451" i="2"/>
  <c r="H2451" i="2" s="1"/>
  <c r="I2450" i="2"/>
  <c r="E2450" i="2"/>
  <c r="H2450" i="2" s="1"/>
  <c r="I2449" i="2"/>
  <c r="E2449" i="2"/>
  <c r="H2449" i="2" s="1"/>
  <c r="I2448" i="2"/>
  <c r="E2448" i="2"/>
  <c r="H2448" i="2" s="1"/>
  <c r="I2447" i="2"/>
  <c r="E2447" i="2"/>
  <c r="H2447" i="2" s="1"/>
  <c r="I2446" i="2"/>
  <c r="E2446" i="2"/>
  <c r="H2446" i="2" s="1"/>
  <c r="I2445" i="2"/>
  <c r="E2445" i="2"/>
  <c r="H2445" i="2" s="1"/>
  <c r="I2444" i="2"/>
  <c r="E2444" i="2"/>
  <c r="H2444" i="2" s="1"/>
  <c r="I2443" i="2"/>
  <c r="E2443" i="2"/>
  <c r="H2443" i="2" s="1"/>
  <c r="I2442" i="2"/>
  <c r="E2442" i="2"/>
  <c r="H2442" i="2" s="1"/>
  <c r="I2441" i="2"/>
  <c r="E2441" i="2"/>
  <c r="H2441" i="2" s="1"/>
  <c r="I2440" i="2"/>
  <c r="E2440" i="2"/>
  <c r="H2440" i="2" s="1"/>
  <c r="I2439" i="2"/>
  <c r="E2439" i="2"/>
  <c r="H2439" i="2" s="1"/>
  <c r="I2438" i="2"/>
  <c r="E2438" i="2"/>
  <c r="H2438" i="2" s="1"/>
  <c r="I2437" i="2"/>
  <c r="E2437" i="2"/>
  <c r="H2437" i="2" s="1"/>
  <c r="I2436" i="2"/>
  <c r="E2436" i="2"/>
  <c r="H2436" i="2" s="1"/>
  <c r="I2435" i="2"/>
  <c r="E2435" i="2"/>
  <c r="H2435" i="2" s="1"/>
  <c r="I2434" i="2"/>
  <c r="E2434" i="2"/>
  <c r="H2434" i="2" s="1"/>
  <c r="I2433" i="2"/>
  <c r="E2433" i="2"/>
  <c r="H2433" i="2" s="1"/>
  <c r="I2432" i="2"/>
  <c r="E2432" i="2"/>
  <c r="H2432" i="2" s="1"/>
  <c r="I2431" i="2"/>
  <c r="E2431" i="2"/>
  <c r="H2431" i="2" s="1"/>
  <c r="I2430" i="2"/>
  <c r="E2430" i="2"/>
  <c r="H2430" i="2" s="1"/>
  <c r="I2429" i="2"/>
  <c r="E2429" i="2"/>
  <c r="H2429" i="2" s="1"/>
  <c r="I2428" i="2"/>
  <c r="E2428" i="2"/>
  <c r="H2428" i="2" s="1"/>
  <c r="I2427" i="2"/>
  <c r="E2427" i="2"/>
  <c r="H2427" i="2" s="1"/>
  <c r="I2426" i="2"/>
  <c r="E2426" i="2"/>
  <c r="H2426" i="2" s="1"/>
  <c r="I2425" i="2"/>
  <c r="E2425" i="2"/>
  <c r="H2425" i="2" s="1"/>
  <c r="I2424" i="2"/>
  <c r="E2424" i="2"/>
  <c r="H2424" i="2" s="1"/>
  <c r="I2423" i="2"/>
  <c r="E2423" i="2"/>
  <c r="H2423" i="2" s="1"/>
  <c r="I2422" i="2"/>
  <c r="E2422" i="2"/>
  <c r="H2422" i="2" s="1"/>
  <c r="I2421" i="2"/>
  <c r="E2421" i="2"/>
  <c r="H2421" i="2" s="1"/>
  <c r="I2420" i="2"/>
  <c r="E2420" i="2"/>
  <c r="H2420" i="2" s="1"/>
  <c r="I2419" i="2"/>
  <c r="E2419" i="2"/>
  <c r="H2419" i="2" s="1"/>
  <c r="I2418" i="2"/>
  <c r="E2418" i="2"/>
  <c r="H2418" i="2" s="1"/>
  <c r="I2417" i="2"/>
  <c r="E2417" i="2"/>
  <c r="H2417" i="2" s="1"/>
  <c r="I2416" i="2"/>
  <c r="E2416" i="2"/>
  <c r="H2416" i="2" s="1"/>
  <c r="I2415" i="2"/>
  <c r="E2415" i="2"/>
  <c r="H2415" i="2" s="1"/>
  <c r="I2414" i="2"/>
  <c r="E2414" i="2"/>
  <c r="H2414" i="2" s="1"/>
  <c r="I2413" i="2"/>
  <c r="E2413" i="2"/>
  <c r="H2413" i="2" s="1"/>
  <c r="I2412" i="2"/>
  <c r="E2412" i="2"/>
  <c r="H2412" i="2" s="1"/>
  <c r="I2411" i="2"/>
  <c r="E2411" i="2"/>
  <c r="H2411" i="2" s="1"/>
  <c r="I2410" i="2"/>
  <c r="E2410" i="2"/>
  <c r="H2410" i="2" s="1"/>
  <c r="I2409" i="2"/>
  <c r="E2409" i="2"/>
  <c r="H2409" i="2" s="1"/>
  <c r="I2408" i="2"/>
  <c r="E2408" i="2"/>
  <c r="H2408" i="2" s="1"/>
  <c r="I2407" i="2"/>
  <c r="E2407" i="2"/>
  <c r="H2407" i="2" s="1"/>
  <c r="I2406" i="2"/>
  <c r="E2406" i="2"/>
  <c r="H2406" i="2" s="1"/>
  <c r="I2405" i="2"/>
  <c r="E2405" i="2"/>
  <c r="H2405" i="2" s="1"/>
  <c r="I2404" i="2"/>
  <c r="E2404" i="2"/>
  <c r="H2404" i="2" s="1"/>
  <c r="I2403" i="2"/>
  <c r="E2403" i="2"/>
  <c r="H2403" i="2" s="1"/>
  <c r="I2402" i="2"/>
  <c r="E2402" i="2"/>
  <c r="H2402" i="2" s="1"/>
  <c r="I2401" i="2"/>
  <c r="E2401" i="2"/>
  <c r="H2401" i="2" s="1"/>
  <c r="I2400" i="2"/>
  <c r="E2400" i="2"/>
  <c r="H2400" i="2" s="1"/>
  <c r="I2399" i="2"/>
  <c r="E2399" i="2"/>
  <c r="H2399" i="2" s="1"/>
  <c r="I2398" i="2"/>
  <c r="E2398" i="2"/>
  <c r="H2398" i="2" s="1"/>
  <c r="I2397" i="2"/>
  <c r="E2397" i="2"/>
  <c r="H2397" i="2" s="1"/>
  <c r="I2396" i="2"/>
  <c r="E2396" i="2"/>
  <c r="H2396" i="2" s="1"/>
  <c r="I2395" i="2"/>
  <c r="E2395" i="2"/>
  <c r="H2395" i="2" s="1"/>
  <c r="I2394" i="2"/>
  <c r="E2394" i="2"/>
  <c r="H2394" i="2" s="1"/>
  <c r="I2393" i="2"/>
  <c r="E2393" i="2"/>
  <c r="H2393" i="2" s="1"/>
  <c r="I2392" i="2"/>
  <c r="E2392" i="2"/>
  <c r="H2392" i="2" s="1"/>
  <c r="I2528" i="2"/>
  <c r="E2528" i="2"/>
  <c r="H2528" i="2" s="1"/>
  <c r="I2313" i="2"/>
  <c r="E2313" i="2"/>
  <c r="H2313" i="2" s="1"/>
  <c r="I2389" i="2"/>
  <c r="E2389" i="2"/>
  <c r="H2389" i="2" s="1"/>
  <c r="I2388" i="2"/>
  <c r="E2388" i="2"/>
  <c r="H2388" i="2" s="1"/>
  <c r="I2387" i="2"/>
  <c r="E2387" i="2"/>
  <c r="H2387" i="2" s="1"/>
  <c r="I2386" i="2"/>
  <c r="E2386" i="2"/>
  <c r="H2386" i="2" s="1"/>
  <c r="I2385" i="2"/>
  <c r="E2385" i="2"/>
  <c r="H2385" i="2" s="1"/>
  <c r="I2384" i="2"/>
  <c r="E2384" i="2"/>
  <c r="H2384" i="2" s="1"/>
  <c r="I2383" i="2"/>
  <c r="E2383" i="2"/>
  <c r="H2383" i="2" s="1"/>
  <c r="I2382" i="2"/>
  <c r="E2382" i="2"/>
  <c r="H2382" i="2" s="1"/>
  <c r="I2381" i="2"/>
  <c r="E2381" i="2"/>
  <c r="H2381" i="2" s="1"/>
  <c r="I2380" i="2"/>
  <c r="E2380" i="2"/>
  <c r="H2380" i="2" s="1"/>
  <c r="I2379" i="2"/>
  <c r="E2379" i="2"/>
  <c r="H2379" i="2" s="1"/>
  <c r="I2378" i="2"/>
  <c r="E2378" i="2"/>
  <c r="H2378" i="2" s="1"/>
  <c r="I2377" i="2"/>
  <c r="E2377" i="2"/>
  <c r="H2377" i="2" s="1"/>
  <c r="I2376" i="2"/>
  <c r="E2376" i="2"/>
  <c r="H2376" i="2" s="1"/>
  <c r="I2375" i="2"/>
  <c r="E2375" i="2"/>
  <c r="H2375" i="2" s="1"/>
  <c r="I2374" i="2"/>
  <c r="E2374" i="2"/>
  <c r="H2374" i="2" s="1"/>
  <c r="I2219" i="2"/>
  <c r="E2219" i="2"/>
  <c r="H2219" i="2" s="1"/>
  <c r="I2372" i="2"/>
  <c r="E2372" i="2"/>
  <c r="H2372" i="2" s="1"/>
  <c r="I2371" i="2"/>
  <c r="E2371" i="2"/>
  <c r="H2371" i="2" s="1"/>
  <c r="I2370" i="2"/>
  <c r="E2370" i="2"/>
  <c r="H2370" i="2" s="1"/>
  <c r="I2369" i="2"/>
  <c r="E2369" i="2"/>
  <c r="H2369" i="2" s="1"/>
  <c r="I2368" i="2"/>
  <c r="E2368" i="2"/>
  <c r="H2368" i="2" s="1"/>
  <c r="I2367" i="2"/>
  <c r="E2367" i="2"/>
  <c r="H2367" i="2" s="1"/>
  <c r="I2366" i="2"/>
  <c r="E2366" i="2"/>
  <c r="H2366" i="2" s="1"/>
  <c r="I2365" i="2"/>
  <c r="E2365" i="2"/>
  <c r="H2365" i="2" s="1"/>
  <c r="I2364" i="2"/>
  <c r="E2364" i="2"/>
  <c r="H2364" i="2" s="1"/>
  <c r="I2363" i="2"/>
  <c r="E2363" i="2"/>
  <c r="H2363" i="2" s="1"/>
  <c r="I2362" i="2"/>
  <c r="E2362" i="2"/>
  <c r="H2362" i="2" s="1"/>
  <c r="I2361" i="2"/>
  <c r="E2361" i="2"/>
  <c r="H2361" i="2" s="1"/>
  <c r="I2360" i="2"/>
  <c r="E2360" i="2"/>
  <c r="H2360" i="2" s="1"/>
  <c r="I2359" i="2"/>
  <c r="E2359" i="2"/>
  <c r="H2359" i="2" s="1"/>
  <c r="I2358" i="2"/>
  <c r="E2358" i="2"/>
  <c r="H2358" i="2" s="1"/>
  <c r="I2357" i="2"/>
  <c r="E2357" i="2"/>
  <c r="H2357" i="2" s="1"/>
  <c r="I2356" i="2"/>
  <c r="E2356" i="2"/>
  <c r="H2356" i="2" s="1"/>
  <c r="I2355" i="2"/>
  <c r="E2355" i="2"/>
  <c r="H2355" i="2" s="1"/>
  <c r="I2354" i="2"/>
  <c r="E2354" i="2"/>
  <c r="H2354" i="2" s="1"/>
  <c r="I2353" i="2"/>
  <c r="E2353" i="2"/>
  <c r="H2353" i="2" s="1"/>
  <c r="I2352" i="2"/>
  <c r="E2352" i="2"/>
  <c r="H2352" i="2" s="1"/>
  <c r="I2351" i="2"/>
  <c r="E2351" i="2"/>
  <c r="H2351" i="2" s="1"/>
  <c r="I2350" i="2"/>
  <c r="E2350" i="2"/>
  <c r="H2350" i="2" s="1"/>
  <c r="I2349" i="2"/>
  <c r="E2349" i="2"/>
  <c r="H2349" i="2" s="1"/>
  <c r="I2348" i="2"/>
  <c r="E2348" i="2"/>
  <c r="H2348" i="2" s="1"/>
  <c r="I2347" i="2"/>
  <c r="E2347" i="2"/>
  <c r="H2347" i="2" s="1"/>
  <c r="I2346" i="2"/>
  <c r="E2346" i="2"/>
  <c r="H2346" i="2" s="1"/>
  <c r="I2345" i="2"/>
  <c r="E2345" i="2"/>
  <c r="H2345" i="2" s="1"/>
  <c r="I2344" i="2"/>
  <c r="E2344" i="2"/>
  <c r="H2344" i="2" s="1"/>
  <c r="I2343" i="2"/>
  <c r="E2343" i="2"/>
  <c r="H2343" i="2" s="1"/>
  <c r="I2342" i="2"/>
  <c r="E2342" i="2"/>
  <c r="H2342" i="2" s="1"/>
  <c r="I2341" i="2"/>
  <c r="E2341" i="2"/>
  <c r="H2341" i="2" s="1"/>
  <c r="I2340" i="2"/>
  <c r="E2340" i="2"/>
  <c r="H2340" i="2" s="1"/>
  <c r="I2339" i="2"/>
  <c r="E2339" i="2"/>
  <c r="H2339" i="2" s="1"/>
  <c r="I2338" i="2"/>
  <c r="E2338" i="2"/>
  <c r="H2338" i="2" s="1"/>
  <c r="I2337" i="2"/>
  <c r="E2337" i="2"/>
  <c r="H2337" i="2" s="1"/>
  <c r="I2336" i="2"/>
  <c r="E2336" i="2"/>
  <c r="H2336" i="2" s="1"/>
  <c r="I2335" i="2"/>
  <c r="E2335" i="2"/>
  <c r="H2335" i="2" s="1"/>
  <c r="I2334" i="2"/>
  <c r="E2334" i="2"/>
  <c r="H2334" i="2" s="1"/>
  <c r="I2333" i="2"/>
  <c r="E2333" i="2"/>
  <c r="H2333" i="2" s="1"/>
  <c r="I2332" i="2"/>
  <c r="E2332" i="2"/>
  <c r="H2332" i="2" s="1"/>
  <c r="I2331" i="2"/>
  <c r="E2331" i="2"/>
  <c r="H2331" i="2" s="1"/>
  <c r="I2330" i="2"/>
  <c r="E2330" i="2"/>
  <c r="H2330" i="2" s="1"/>
  <c r="I2329" i="2"/>
  <c r="E2329" i="2"/>
  <c r="H2329" i="2" s="1"/>
  <c r="I2328" i="2"/>
  <c r="E2328" i="2"/>
  <c r="H2328" i="2" s="1"/>
  <c r="I2327" i="2"/>
  <c r="E2327" i="2"/>
  <c r="H2327" i="2" s="1"/>
  <c r="I2326" i="2"/>
  <c r="E2326" i="2"/>
  <c r="H2326" i="2" s="1"/>
  <c r="I2325" i="2"/>
  <c r="E2325" i="2"/>
  <c r="H2325" i="2" s="1"/>
  <c r="I2324" i="2"/>
  <c r="E2324" i="2"/>
  <c r="H2324" i="2" s="1"/>
  <c r="I2323" i="2"/>
  <c r="E2323" i="2"/>
  <c r="H2323" i="2" s="1"/>
  <c r="I2322" i="2"/>
  <c r="E2322" i="2"/>
  <c r="H2322" i="2" s="1"/>
  <c r="I2321" i="2"/>
  <c r="E2321" i="2"/>
  <c r="H2321" i="2" s="1"/>
  <c r="I2320" i="2"/>
  <c r="E2320" i="2"/>
  <c r="H2320" i="2" s="1"/>
  <c r="I2319" i="2"/>
  <c r="E2319" i="2"/>
  <c r="H2319" i="2" s="1"/>
  <c r="I2318" i="2"/>
  <c r="E2318" i="2"/>
  <c r="H2318" i="2" s="1"/>
  <c r="I2317" i="2"/>
  <c r="E2317" i="2"/>
  <c r="H2317" i="2" s="1"/>
  <c r="I2316" i="2"/>
  <c r="E2316" i="2"/>
  <c r="H2316" i="2" s="1"/>
  <c r="I2315" i="2"/>
  <c r="E2315" i="2"/>
  <c r="H2315" i="2" s="1"/>
  <c r="I2314" i="2"/>
  <c r="E2314" i="2"/>
  <c r="H2314" i="2" s="1"/>
  <c r="I2527" i="2"/>
  <c r="E2527" i="2"/>
  <c r="H2527" i="2" s="1"/>
  <c r="I2312" i="2"/>
  <c r="E2312" i="2"/>
  <c r="H2312" i="2" s="1"/>
  <c r="I2311" i="2"/>
  <c r="E2311" i="2"/>
  <c r="H2311" i="2" s="1"/>
  <c r="I2310" i="2"/>
  <c r="E2310" i="2"/>
  <c r="H2310" i="2" s="1"/>
  <c r="I2309" i="2"/>
  <c r="E2309" i="2"/>
  <c r="H2309" i="2" s="1"/>
  <c r="I2308" i="2"/>
  <c r="E2308" i="2"/>
  <c r="H2308" i="2" s="1"/>
  <c r="I2307" i="2"/>
  <c r="E2307" i="2"/>
  <c r="H2307" i="2" s="1"/>
  <c r="I2306" i="2"/>
  <c r="E2306" i="2"/>
  <c r="H2306" i="2" s="1"/>
  <c r="I2305" i="2"/>
  <c r="E2305" i="2"/>
  <c r="H2305" i="2" s="1"/>
  <c r="I2304" i="2"/>
  <c r="E2304" i="2"/>
  <c r="H2304" i="2" s="1"/>
  <c r="I2303" i="2"/>
  <c r="E2303" i="2"/>
  <c r="H2303" i="2" s="1"/>
  <c r="I2302" i="2"/>
  <c r="E2302" i="2"/>
  <c r="H2302" i="2" s="1"/>
  <c r="I2301" i="2"/>
  <c r="E2301" i="2"/>
  <c r="H2301" i="2" s="1"/>
  <c r="I2300" i="2"/>
  <c r="E2300" i="2"/>
  <c r="H2300" i="2" s="1"/>
  <c r="I2299" i="2"/>
  <c r="E2299" i="2"/>
  <c r="H2299" i="2" s="1"/>
  <c r="I2298" i="2"/>
  <c r="E2298" i="2"/>
  <c r="H2298" i="2" s="1"/>
  <c r="I2297" i="2"/>
  <c r="E2297" i="2"/>
  <c r="H2297" i="2" s="1"/>
  <c r="I2296" i="2"/>
  <c r="E2296" i="2"/>
  <c r="H2296" i="2" s="1"/>
  <c r="I2295" i="2"/>
  <c r="E2295" i="2"/>
  <c r="H2295" i="2" s="1"/>
  <c r="I2294" i="2"/>
  <c r="E2294" i="2"/>
  <c r="H2294" i="2" s="1"/>
  <c r="I2293" i="2"/>
  <c r="E2293" i="2"/>
  <c r="H2293" i="2" s="1"/>
  <c r="I2292" i="2"/>
  <c r="E2292" i="2"/>
  <c r="H2292" i="2" s="1"/>
  <c r="I2291" i="2"/>
  <c r="E2291" i="2"/>
  <c r="H2291" i="2" s="1"/>
  <c r="I2290" i="2"/>
  <c r="E2290" i="2"/>
  <c r="H2290" i="2" s="1"/>
  <c r="I2289" i="2"/>
  <c r="E2289" i="2"/>
  <c r="H2289" i="2" s="1"/>
  <c r="I2288" i="2"/>
  <c r="E2288" i="2"/>
  <c r="H2288" i="2" s="1"/>
  <c r="I2287" i="2"/>
  <c r="E2287" i="2"/>
  <c r="H2287" i="2" s="1"/>
  <c r="I2286" i="2"/>
  <c r="E2286" i="2"/>
  <c r="H2286" i="2" s="1"/>
  <c r="I2285" i="2"/>
  <c r="E2285" i="2"/>
  <c r="H2285" i="2" s="1"/>
  <c r="I2284" i="2"/>
  <c r="E2284" i="2"/>
  <c r="H2284" i="2" s="1"/>
  <c r="I2283" i="2"/>
  <c r="E2283" i="2"/>
  <c r="H2283" i="2" s="1"/>
  <c r="I2282" i="2"/>
  <c r="E2282" i="2"/>
  <c r="H2282" i="2" s="1"/>
  <c r="I2281" i="2"/>
  <c r="E2281" i="2"/>
  <c r="H2281" i="2" s="1"/>
  <c r="I2280" i="2"/>
  <c r="E2280" i="2"/>
  <c r="H2280" i="2" s="1"/>
  <c r="I2279" i="2"/>
  <c r="E2279" i="2"/>
  <c r="H2279" i="2" s="1"/>
  <c r="I2278" i="2"/>
  <c r="E2278" i="2"/>
  <c r="H2278" i="2" s="1"/>
  <c r="I2277" i="2"/>
  <c r="E2277" i="2"/>
  <c r="H2277" i="2" s="1"/>
  <c r="I2276" i="2"/>
  <c r="E2276" i="2"/>
  <c r="H2276" i="2" s="1"/>
  <c r="I2275" i="2"/>
  <c r="E2275" i="2"/>
  <c r="H2275" i="2" s="1"/>
  <c r="I2274" i="2"/>
  <c r="E2274" i="2"/>
  <c r="H2274" i="2" s="1"/>
  <c r="I2273" i="2"/>
  <c r="E2273" i="2"/>
  <c r="H2273" i="2" s="1"/>
  <c r="I2272" i="2"/>
  <c r="E2272" i="2"/>
  <c r="H2272" i="2" s="1"/>
  <c r="I2271" i="2"/>
  <c r="E2271" i="2"/>
  <c r="H2271" i="2" s="1"/>
  <c r="I2270" i="2"/>
  <c r="E2270" i="2"/>
  <c r="H2270" i="2" s="1"/>
  <c r="I2269" i="2"/>
  <c r="E2269" i="2"/>
  <c r="H2269" i="2" s="1"/>
  <c r="I2268" i="2"/>
  <c r="E2268" i="2"/>
  <c r="H2268" i="2" s="1"/>
  <c r="I2267" i="2"/>
  <c r="E2267" i="2"/>
  <c r="H2267" i="2" s="1"/>
  <c r="I2266" i="2"/>
  <c r="E2266" i="2"/>
  <c r="H2266" i="2" s="1"/>
  <c r="I2265" i="2"/>
  <c r="E2265" i="2"/>
  <c r="H2265" i="2" s="1"/>
  <c r="I2264" i="2"/>
  <c r="E2264" i="2"/>
  <c r="H2264" i="2" s="1"/>
  <c r="I2263" i="2"/>
  <c r="E2263" i="2"/>
  <c r="H2263" i="2" s="1"/>
  <c r="I2262" i="2"/>
  <c r="E2262" i="2"/>
  <c r="H2262" i="2" s="1"/>
  <c r="I2261" i="2"/>
  <c r="E2261" i="2"/>
  <c r="H2261" i="2" s="1"/>
  <c r="I2260" i="2"/>
  <c r="E2260" i="2"/>
  <c r="H2260" i="2" s="1"/>
  <c r="I2259" i="2"/>
  <c r="E2259" i="2"/>
  <c r="H2259" i="2" s="1"/>
  <c r="I2258" i="2"/>
  <c r="E2258" i="2"/>
  <c r="H2258" i="2" s="1"/>
  <c r="I2257" i="2"/>
  <c r="E2257" i="2"/>
  <c r="H2257" i="2" s="1"/>
  <c r="I2256" i="2"/>
  <c r="E2256" i="2"/>
  <c r="H2256" i="2" s="1"/>
  <c r="I2255" i="2"/>
  <c r="E2255" i="2"/>
  <c r="H2255" i="2" s="1"/>
  <c r="I2254" i="2"/>
  <c r="E2254" i="2"/>
  <c r="H2254" i="2" s="1"/>
  <c r="I2253" i="2"/>
  <c r="E2253" i="2"/>
  <c r="H2253" i="2" s="1"/>
  <c r="I2252" i="2"/>
  <c r="E2252" i="2"/>
  <c r="H2252" i="2" s="1"/>
  <c r="I2251" i="2"/>
  <c r="E2251" i="2"/>
  <c r="H2251" i="2" s="1"/>
  <c r="I2250" i="2"/>
  <c r="E2250" i="2"/>
  <c r="H2250" i="2" s="1"/>
  <c r="I2249" i="2"/>
  <c r="E2249" i="2"/>
  <c r="H2249" i="2" s="1"/>
  <c r="I2248" i="2"/>
  <c r="E2248" i="2"/>
  <c r="H2248" i="2" s="1"/>
  <c r="I2247" i="2"/>
  <c r="E2247" i="2"/>
  <c r="H2247" i="2" s="1"/>
  <c r="I2246" i="2"/>
  <c r="E2246" i="2"/>
  <c r="H2246" i="2" s="1"/>
  <c r="I2245" i="2"/>
  <c r="E2245" i="2"/>
  <c r="H2245" i="2" s="1"/>
  <c r="I2244" i="2"/>
  <c r="E2244" i="2"/>
  <c r="H2244" i="2" s="1"/>
  <c r="I2243" i="2"/>
  <c r="E2243" i="2"/>
  <c r="H2243" i="2" s="1"/>
  <c r="I2242" i="2"/>
  <c r="E2242" i="2"/>
  <c r="H2242" i="2" s="1"/>
  <c r="I2241" i="2"/>
  <c r="E2241" i="2"/>
  <c r="H2241" i="2" s="1"/>
  <c r="I2240" i="2"/>
  <c r="E2240" i="2"/>
  <c r="H2240" i="2" s="1"/>
  <c r="I2239" i="2"/>
  <c r="E2239" i="2"/>
  <c r="H2239" i="2" s="1"/>
  <c r="I2238" i="2"/>
  <c r="E2238" i="2"/>
  <c r="H2238" i="2" s="1"/>
  <c r="I2237" i="2"/>
  <c r="E2237" i="2"/>
  <c r="H2237" i="2" s="1"/>
  <c r="I2236" i="2"/>
  <c r="E2236" i="2"/>
  <c r="H2236" i="2" s="1"/>
  <c r="I2235" i="2"/>
  <c r="E2235" i="2"/>
  <c r="H2235" i="2" s="1"/>
  <c r="I2234" i="2"/>
  <c r="E2234" i="2"/>
  <c r="H2234" i="2" s="1"/>
  <c r="I2233" i="2"/>
  <c r="E2233" i="2"/>
  <c r="H2233" i="2" s="1"/>
  <c r="I2232" i="2"/>
  <c r="E2232" i="2"/>
  <c r="H2232" i="2" s="1"/>
  <c r="I2231" i="2"/>
  <c r="E2231" i="2"/>
  <c r="H2231" i="2" s="1"/>
  <c r="I2230" i="2"/>
  <c r="E2230" i="2"/>
  <c r="H2230" i="2" s="1"/>
  <c r="I2229" i="2"/>
  <c r="E2229" i="2"/>
  <c r="H2229" i="2" s="1"/>
  <c r="I2228" i="2"/>
  <c r="E2228" i="2"/>
  <c r="H2228" i="2" s="1"/>
  <c r="I2227" i="2"/>
  <c r="E2227" i="2"/>
  <c r="H2227" i="2" s="1"/>
  <c r="I2226" i="2"/>
  <c r="E2226" i="2"/>
  <c r="H2226" i="2" s="1"/>
  <c r="I2225" i="2"/>
  <c r="E2225" i="2"/>
  <c r="H2225" i="2" s="1"/>
  <c r="I2224" i="2"/>
  <c r="E2224" i="2"/>
  <c r="H2224" i="2" s="1"/>
  <c r="I2223" i="2"/>
  <c r="E2223" i="2"/>
  <c r="H2223" i="2" s="1"/>
  <c r="I2222" i="2"/>
  <c r="E2222" i="2"/>
  <c r="H2222" i="2" s="1"/>
  <c r="I2221" i="2"/>
  <c r="E2221" i="2"/>
  <c r="H2221" i="2" s="1"/>
  <c r="I2220" i="2"/>
  <c r="E2220" i="2"/>
  <c r="H2220" i="2" s="1"/>
  <c r="I2498" i="2"/>
  <c r="E2498" i="2"/>
  <c r="H2498" i="2" s="1"/>
  <c r="I2218" i="2"/>
  <c r="E2218" i="2"/>
  <c r="H2218" i="2" s="1"/>
  <c r="I2217" i="2"/>
  <c r="E2217" i="2"/>
  <c r="H2217" i="2" s="1"/>
  <c r="I2216" i="2"/>
  <c r="E2216" i="2"/>
  <c r="H2216" i="2" s="1"/>
  <c r="I2215" i="2"/>
  <c r="E2215" i="2"/>
  <c r="H2215" i="2" s="1"/>
  <c r="I2214" i="2"/>
  <c r="E2214" i="2"/>
  <c r="H2214" i="2" s="1"/>
  <c r="I2213" i="2"/>
  <c r="E2213" i="2"/>
  <c r="H2213" i="2" s="1"/>
  <c r="I2212" i="2"/>
  <c r="E2212" i="2"/>
  <c r="H2212" i="2" s="1"/>
  <c r="I2211" i="2"/>
  <c r="E2211" i="2"/>
  <c r="H2211" i="2" s="1"/>
  <c r="I2210" i="2"/>
  <c r="E2210" i="2"/>
  <c r="H2210" i="2" s="1"/>
  <c r="I2209" i="2"/>
  <c r="E2209" i="2"/>
  <c r="H2209" i="2" s="1"/>
  <c r="I2208" i="2"/>
  <c r="E2208" i="2"/>
  <c r="H2208" i="2" s="1"/>
  <c r="I2207" i="2"/>
  <c r="E2207" i="2"/>
  <c r="H2207" i="2" s="1"/>
  <c r="I2206" i="2"/>
  <c r="E2206" i="2"/>
  <c r="H2206" i="2" s="1"/>
  <c r="I2205" i="2"/>
  <c r="E2205" i="2"/>
  <c r="H2205" i="2" s="1"/>
  <c r="I2204" i="2"/>
  <c r="E2204" i="2"/>
  <c r="H2204" i="2" s="1"/>
  <c r="I2203" i="2"/>
  <c r="E2203" i="2"/>
  <c r="H2203" i="2" s="1"/>
  <c r="I2202" i="2"/>
  <c r="E2202" i="2"/>
  <c r="H2202" i="2" s="1"/>
  <c r="I2201" i="2"/>
  <c r="E2201" i="2"/>
  <c r="H2201" i="2" s="1"/>
  <c r="I2200" i="2"/>
  <c r="E2200" i="2"/>
  <c r="H2200" i="2" s="1"/>
  <c r="I2199" i="2"/>
  <c r="E2199" i="2"/>
  <c r="H2199" i="2" s="1"/>
  <c r="I2198" i="2"/>
  <c r="E2198" i="2"/>
  <c r="H2198" i="2" s="1"/>
  <c r="I2197" i="2"/>
  <c r="E2197" i="2"/>
  <c r="H2197" i="2" s="1"/>
  <c r="I2196" i="2"/>
  <c r="E2196" i="2"/>
  <c r="H2196" i="2" s="1"/>
  <c r="I2195" i="2"/>
  <c r="E2195" i="2"/>
  <c r="H2195" i="2" s="1"/>
  <c r="I2194" i="2"/>
  <c r="E2194" i="2"/>
  <c r="H2194" i="2" s="1"/>
  <c r="I2193" i="2"/>
  <c r="E2193" i="2"/>
  <c r="H2193" i="2" s="1"/>
  <c r="I2192" i="2"/>
  <c r="E2192" i="2"/>
  <c r="H2192" i="2" s="1"/>
  <c r="I2191" i="2"/>
  <c r="E2191" i="2"/>
  <c r="H2191" i="2" s="1"/>
  <c r="I2190" i="2"/>
  <c r="E2190" i="2"/>
  <c r="H2190" i="2" s="1"/>
  <c r="I2189" i="2"/>
  <c r="E2189" i="2"/>
  <c r="H2189" i="2" s="1"/>
  <c r="I2188" i="2"/>
  <c r="E2188" i="2"/>
  <c r="H2188" i="2" s="1"/>
  <c r="I2187" i="2"/>
  <c r="E2187" i="2"/>
  <c r="H2187" i="2" s="1"/>
  <c r="I2186" i="2"/>
  <c r="E2186" i="2"/>
  <c r="H2186" i="2" s="1"/>
  <c r="I2185" i="2"/>
  <c r="E2185" i="2"/>
  <c r="H2185" i="2" s="1"/>
  <c r="I2184" i="2"/>
  <c r="E2184" i="2"/>
  <c r="H2184" i="2" s="1"/>
  <c r="I2183" i="2"/>
  <c r="E2183" i="2"/>
  <c r="H2183" i="2" s="1"/>
  <c r="I2182" i="2"/>
  <c r="E2182" i="2"/>
  <c r="H2182" i="2" s="1"/>
  <c r="I2181" i="2"/>
  <c r="E2181" i="2"/>
  <c r="H2181" i="2" s="1"/>
  <c r="I2180" i="2"/>
  <c r="E2180" i="2"/>
  <c r="H2180" i="2" s="1"/>
  <c r="I2179" i="2"/>
  <c r="E2179" i="2"/>
  <c r="H2179" i="2" s="1"/>
  <c r="I2178" i="2"/>
  <c r="E2178" i="2"/>
  <c r="H2178" i="2" s="1"/>
  <c r="I2177" i="2"/>
  <c r="E2177" i="2"/>
  <c r="H2177" i="2" s="1"/>
  <c r="I2176" i="2"/>
  <c r="E2176" i="2"/>
  <c r="H2176" i="2" s="1"/>
  <c r="I2175" i="2"/>
  <c r="E2175" i="2"/>
  <c r="H2175" i="2" s="1"/>
  <c r="I2174" i="2"/>
  <c r="E2174" i="2"/>
  <c r="H2174" i="2" s="1"/>
  <c r="I2173" i="2"/>
  <c r="E2173" i="2"/>
  <c r="H2173" i="2" s="1"/>
  <c r="I2172" i="2"/>
  <c r="E2172" i="2"/>
  <c r="H2172" i="2" s="1"/>
  <c r="I2171" i="2"/>
  <c r="E2171" i="2"/>
  <c r="H2171" i="2" s="1"/>
  <c r="I2170" i="2"/>
  <c r="E2170" i="2"/>
  <c r="H2170" i="2" s="1"/>
  <c r="I2169" i="2"/>
  <c r="E2169" i="2"/>
  <c r="H2169" i="2" s="1"/>
  <c r="I2168" i="2"/>
  <c r="E2168" i="2"/>
  <c r="H2168" i="2" s="1"/>
  <c r="I2167" i="2"/>
  <c r="E2167" i="2"/>
  <c r="H2167" i="2" s="1"/>
  <c r="I2166" i="2"/>
  <c r="E2166" i="2"/>
  <c r="H2166" i="2" s="1"/>
  <c r="I2165" i="2"/>
  <c r="E2165" i="2"/>
  <c r="H2165" i="2" s="1"/>
  <c r="I2164" i="2"/>
  <c r="E2164" i="2"/>
  <c r="H2164" i="2" s="1"/>
  <c r="I2163" i="2"/>
  <c r="E2163" i="2"/>
  <c r="H2163" i="2" s="1"/>
  <c r="I2162" i="2"/>
  <c r="E2162" i="2"/>
  <c r="H2162" i="2" s="1"/>
  <c r="I2161" i="2"/>
  <c r="E2161" i="2"/>
  <c r="H2161" i="2" s="1"/>
  <c r="I2160" i="2"/>
  <c r="E2160" i="2"/>
  <c r="H2160" i="2" s="1"/>
  <c r="I2159" i="2"/>
  <c r="E2159" i="2"/>
  <c r="H2159" i="2" s="1"/>
  <c r="I2158" i="2"/>
  <c r="E2158" i="2"/>
  <c r="H2158" i="2" s="1"/>
  <c r="I2157" i="2"/>
  <c r="E2157" i="2"/>
  <c r="H2157" i="2" s="1"/>
  <c r="I2156" i="2"/>
  <c r="E2156" i="2"/>
  <c r="H2156" i="2" s="1"/>
  <c r="I2155" i="2"/>
  <c r="E2155" i="2"/>
  <c r="H2155" i="2" s="1"/>
  <c r="I2154" i="2"/>
  <c r="E2154" i="2"/>
  <c r="H2154" i="2" s="1"/>
  <c r="I2153" i="2"/>
  <c r="E2153" i="2"/>
  <c r="H2153" i="2" s="1"/>
  <c r="I2152" i="2"/>
  <c r="E2152" i="2"/>
  <c r="H2152" i="2" s="1"/>
  <c r="I2151" i="2"/>
  <c r="E2151" i="2"/>
  <c r="H2151" i="2" s="1"/>
  <c r="I2150" i="2"/>
  <c r="E2150" i="2"/>
  <c r="H2150" i="2" s="1"/>
  <c r="I2149" i="2"/>
  <c r="E2149" i="2"/>
  <c r="H2149" i="2" s="1"/>
  <c r="I2148" i="2"/>
  <c r="E2148" i="2"/>
  <c r="H2148" i="2" s="1"/>
  <c r="I2147" i="2"/>
  <c r="E2147" i="2"/>
  <c r="H2147" i="2" s="1"/>
  <c r="I2146" i="2"/>
  <c r="E2146" i="2"/>
  <c r="H2146" i="2" s="1"/>
  <c r="I2145" i="2"/>
  <c r="E2145" i="2"/>
  <c r="H2145" i="2" s="1"/>
  <c r="I2144" i="2"/>
  <c r="E2144" i="2"/>
  <c r="H2144" i="2" s="1"/>
  <c r="I2143" i="2"/>
  <c r="E2143" i="2"/>
  <c r="H2143" i="2" s="1"/>
  <c r="I2142" i="2"/>
  <c r="E2142" i="2"/>
  <c r="H2142" i="2" s="1"/>
  <c r="I2141" i="2"/>
  <c r="E2141" i="2"/>
  <c r="H2141" i="2" s="1"/>
  <c r="I2140" i="2"/>
  <c r="E2140" i="2"/>
  <c r="H2140" i="2" s="1"/>
  <c r="I2139" i="2"/>
  <c r="E2139" i="2"/>
  <c r="H2139" i="2" s="1"/>
  <c r="I2138" i="2"/>
  <c r="E2138" i="2"/>
  <c r="H2138" i="2" s="1"/>
  <c r="I2137" i="2"/>
  <c r="E2137" i="2"/>
  <c r="H2137" i="2" s="1"/>
  <c r="I2136" i="2"/>
  <c r="E2136" i="2"/>
  <c r="H2136" i="2" s="1"/>
  <c r="I2135" i="2"/>
  <c r="E2135" i="2"/>
  <c r="H2135" i="2" s="1"/>
  <c r="I2134" i="2"/>
  <c r="H2134" i="2"/>
  <c r="I2133" i="2"/>
  <c r="E2133" i="2"/>
  <c r="H2133" i="2" s="1"/>
  <c r="I2132" i="2"/>
  <c r="E2132" i="2"/>
  <c r="H2132" i="2" s="1"/>
  <c r="I2131" i="2"/>
  <c r="E2131" i="2"/>
  <c r="H2131" i="2" s="1"/>
  <c r="I2130" i="2"/>
  <c r="E2130" i="2"/>
  <c r="H2130" i="2" s="1"/>
  <c r="I2129" i="2"/>
  <c r="E2129" i="2"/>
  <c r="H2129" i="2" s="1"/>
  <c r="I2128" i="2"/>
  <c r="E2128" i="2"/>
  <c r="H2128" i="2" s="1"/>
  <c r="I2127" i="2"/>
  <c r="E2127" i="2"/>
  <c r="H2127" i="2" s="1"/>
  <c r="I2126" i="2"/>
  <c r="E2126" i="2"/>
  <c r="H2126" i="2" s="1"/>
  <c r="I2125" i="2"/>
  <c r="E2125" i="2"/>
  <c r="H2125" i="2" s="1"/>
  <c r="I2124" i="2"/>
  <c r="E2124" i="2"/>
  <c r="H2124" i="2" s="1"/>
  <c r="I2123" i="2"/>
  <c r="E2123" i="2"/>
  <c r="H2123" i="2" s="1"/>
  <c r="I2122" i="2"/>
  <c r="E2122" i="2"/>
  <c r="H2122" i="2" s="1"/>
  <c r="I2121" i="2"/>
  <c r="E2121" i="2"/>
  <c r="H2121" i="2" s="1"/>
  <c r="I2120" i="2"/>
  <c r="E2120" i="2"/>
  <c r="H2120" i="2" s="1"/>
  <c r="I2119" i="2"/>
  <c r="E2119" i="2"/>
  <c r="H2119" i="2" s="1"/>
  <c r="I2118" i="2"/>
  <c r="H2118" i="2"/>
  <c r="I2117" i="2"/>
  <c r="H2117" i="2"/>
  <c r="I2116" i="2"/>
  <c r="E2116" i="2"/>
  <c r="H2116" i="2" s="1"/>
  <c r="I2115" i="2"/>
  <c r="E2115" i="2"/>
  <c r="H2115" i="2" s="1"/>
  <c r="I2114" i="2"/>
  <c r="E2114" i="2"/>
  <c r="H2114" i="2" s="1"/>
  <c r="I2113" i="2"/>
  <c r="E2113" i="2"/>
  <c r="H2113" i="2" s="1"/>
  <c r="I2112" i="2"/>
  <c r="E2112" i="2"/>
  <c r="H2112" i="2" s="1"/>
  <c r="I2111" i="2"/>
  <c r="E2111" i="2"/>
  <c r="H2111" i="2" s="1"/>
  <c r="I2110" i="2"/>
  <c r="E2110" i="2"/>
  <c r="H2110" i="2" s="1"/>
  <c r="I2109" i="2"/>
  <c r="E2109" i="2"/>
  <c r="H2109" i="2" s="1"/>
  <c r="I2108" i="2"/>
  <c r="E2108" i="2"/>
  <c r="H2108" i="2" s="1"/>
  <c r="I2107" i="2"/>
  <c r="E2107" i="2"/>
  <c r="H2107" i="2" s="1"/>
  <c r="I2106" i="2"/>
  <c r="E2106" i="2"/>
  <c r="H2106" i="2" s="1"/>
  <c r="I2105" i="2"/>
  <c r="E2105" i="2"/>
  <c r="H2105" i="2" s="1"/>
  <c r="I2104" i="2"/>
  <c r="E2104" i="2"/>
  <c r="H2104" i="2" s="1"/>
  <c r="I2103" i="2"/>
  <c r="E2103" i="2"/>
  <c r="H2103" i="2" s="1"/>
  <c r="I2102" i="2"/>
  <c r="E2102" i="2"/>
  <c r="H2102" i="2" s="1"/>
  <c r="I2101" i="2"/>
  <c r="E2101" i="2"/>
  <c r="H2101" i="2" s="1"/>
  <c r="I2100" i="2"/>
  <c r="E2100" i="2"/>
  <c r="H2100" i="2" s="1"/>
  <c r="I2099" i="2"/>
  <c r="E2099" i="2"/>
  <c r="H2099" i="2" s="1"/>
  <c r="I2098" i="2"/>
  <c r="E2098" i="2"/>
  <c r="H2098" i="2" s="1"/>
  <c r="I2097" i="2"/>
  <c r="E2097" i="2"/>
  <c r="H2097" i="2" s="1"/>
  <c r="I2096" i="2"/>
  <c r="E2096" i="2"/>
  <c r="H2096" i="2" s="1"/>
  <c r="I2095" i="2"/>
  <c r="H2095" i="2"/>
  <c r="I2094" i="2"/>
  <c r="H2094" i="2"/>
  <c r="I2093" i="2"/>
  <c r="H2093" i="2"/>
  <c r="I2092" i="2"/>
  <c r="E2092" i="2"/>
  <c r="H2092" i="2" s="1"/>
  <c r="I2091" i="2"/>
  <c r="E2091" i="2"/>
  <c r="H2091" i="2" s="1"/>
  <c r="I2090" i="2"/>
  <c r="E2090" i="2"/>
  <c r="H2090" i="2" s="1"/>
  <c r="I2089" i="2"/>
  <c r="E2089" i="2"/>
  <c r="H2089" i="2" s="1"/>
  <c r="I2088" i="2"/>
  <c r="E2088" i="2"/>
  <c r="H2088" i="2" s="1"/>
  <c r="I2087" i="2"/>
  <c r="E2087" i="2"/>
  <c r="H2087" i="2" s="1"/>
  <c r="I2086" i="2"/>
  <c r="E2086" i="2"/>
  <c r="H2086" i="2" s="1"/>
  <c r="I2085" i="2"/>
  <c r="E2085" i="2"/>
  <c r="H2085" i="2" s="1"/>
  <c r="I2084" i="2"/>
  <c r="E2084" i="2"/>
  <c r="H2084" i="2" s="1"/>
  <c r="I2083" i="2"/>
  <c r="E2083" i="2"/>
  <c r="H2083" i="2" s="1"/>
  <c r="I2082" i="2"/>
  <c r="E2082" i="2"/>
  <c r="H2082" i="2" s="1"/>
  <c r="I2081" i="2"/>
  <c r="E2081" i="2"/>
  <c r="H2081" i="2" s="1"/>
  <c r="I2080" i="2"/>
  <c r="E2080" i="2"/>
  <c r="H2080" i="2" s="1"/>
  <c r="I2079" i="2"/>
  <c r="E2079" i="2"/>
  <c r="H2079" i="2" s="1"/>
  <c r="I2078" i="2"/>
  <c r="E2078" i="2"/>
  <c r="H2078" i="2" s="1"/>
  <c r="I2077" i="2"/>
  <c r="E2077" i="2"/>
  <c r="H2077" i="2" s="1"/>
  <c r="I2076" i="2"/>
  <c r="E2076" i="2"/>
  <c r="H2076" i="2" s="1"/>
  <c r="I2075" i="2"/>
  <c r="E2075" i="2"/>
  <c r="H2075" i="2" s="1"/>
  <c r="I2074" i="2"/>
  <c r="E2074" i="2"/>
  <c r="H2074" i="2" s="1"/>
  <c r="I2073" i="2"/>
  <c r="E2073" i="2"/>
  <c r="H2073" i="2" s="1"/>
  <c r="I2072" i="2"/>
  <c r="E2072" i="2"/>
  <c r="H2072" i="2" s="1"/>
  <c r="I2071" i="2"/>
  <c r="E2071" i="2"/>
  <c r="H2071" i="2" s="1"/>
  <c r="I2070" i="2"/>
  <c r="E2070" i="2"/>
  <c r="H2070" i="2" s="1"/>
  <c r="I2069" i="2"/>
  <c r="H2069" i="2"/>
  <c r="I2068" i="2"/>
  <c r="E2068" i="2"/>
  <c r="H2068" i="2" s="1"/>
  <c r="I2067" i="2"/>
  <c r="E2067" i="2"/>
  <c r="H2067" i="2" s="1"/>
  <c r="I2066" i="2"/>
  <c r="E2066" i="2"/>
  <c r="H2066" i="2" s="1"/>
  <c r="I2065" i="2"/>
  <c r="E2065" i="2"/>
  <c r="H2065" i="2" s="1"/>
  <c r="I2064" i="2"/>
  <c r="E2064" i="2"/>
  <c r="H2064" i="2" s="1"/>
  <c r="I2063" i="2"/>
  <c r="E2063" i="2"/>
  <c r="H2063" i="2" s="1"/>
  <c r="I2062" i="2"/>
  <c r="E2062" i="2"/>
  <c r="H2062" i="2" s="1"/>
  <c r="I2061" i="2"/>
  <c r="E2061" i="2"/>
  <c r="H2061" i="2" s="1"/>
  <c r="I2060" i="2"/>
  <c r="E2060" i="2"/>
  <c r="H2060" i="2" s="1"/>
  <c r="I2059" i="2"/>
  <c r="E2059" i="2"/>
  <c r="H2059" i="2" s="1"/>
  <c r="I2058" i="2"/>
  <c r="E2058" i="2"/>
  <c r="H2058" i="2" s="1"/>
  <c r="I2057" i="2"/>
  <c r="E2057" i="2"/>
  <c r="H2057" i="2" s="1"/>
  <c r="I2056" i="2"/>
  <c r="E2056" i="2"/>
  <c r="H2056" i="2" s="1"/>
  <c r="I2055" i="2"/>
  <c r="E2055" i="2"/>
  <c r="H2055" i="2" s="1"/>
  <c r="I2054" i="2"/>
  <c r="E2054" i="2"/>
  <c r="H2054" i="2" s="1"/>
  <c r="I2053" i="2"/>
  <c r="E2053" i="2"/>
  <c r="H2053" i="2" s="1"/>
  <c r="I2052" i="2"/>
  <c r="E2052" i="2"/>
  <c r="H2052" i="2" s="1"/>
  <c r="I2051" i="2"/>
  <c r="E2051" i="2"/>
  <c r="H2051" i="2" s="1"/>
  <c r="I2050" i="2"/>
  <c r="E2050" i="2"/>
  <c r="H2050" i="2" s="1"/>
  <c r="I2049" i="2"/>
  <c r="E2049" i="2"/>
  <c r="H2049" i="2" s="1"/>
  <c r="I2048" i="2"/>
  <c r="E2048" i="2"/>
  <c r="H2048" i="2" s="1"/>
  <c r="I2047" i="2"/>
  <c r="E2047" i="2"/>
  <c r="H2047" i="2" s="1"/>
  <c r="I2046" i="2"/>
  <c r="E2046" i="2"/>
  <c r="H2046" i="2" s="1"/>
  <c r="I2045" i="2"/>
  <c r="E2045" i="2"/>
  <c r="H2045" i="2" s="1"/>
  <c r="I2044" i="2"/>
  <c r="E2044" i="2"/>
  <c r="H2044" i="2" s="1"/>
  <c r="I2043" i="2"/>
  <c r="E2043" i="2"/>
  <c r="H2043" i="2" s="1"/>
  <c r="I2042" i="2"/>
  <c r="E2042" i="2"/>
  <c r="H2042" i="2" s="1"/>
  <c r="I2041" i="2"/>
  <c r="E2041" i="2"/>
  <c r="H2041" i="2" s="1"/>
  <c r="I2040" i="2"/>
  <c r="E2040" i="2"/>
  <c r="H2040" i="2" s="1"/>
  <c r="I2039" i="2"/>
  <c r="E2039" i="2"/>
  <c r="H2039" i="2" s="1"/>
  <c r="I2038" i="2"/>
  <c r="E2038" i="2"/>
  <c r="H2038" i="2" s="1"/>
  <c r="I2037" i="2"/>
  <c r="E2037" i="2"/>
  <c r="H2037" i="2" s="1"/>
  <c r="I2036" i="2"/>
  <c r="E2036" i="2"/>
  <c r="H2036" i="2" s="1"/>
  <c r="I2035" i="2"/>
  <c r="E2035" i="2"/>
  <c r="H2035" i="2" s="1"/>
  <c r="I2034" i="2"/>
  <c r="E2034" i="2"/>
  <c r="H2034" i="2" s="1"/>
  <c r="I2033" i="2"/>
  <c r="E2033" i="2"/>
  <c r="H2033" i="2" s="1"/>
  <c r="I2032" i="2"/>
  <c r="E2032" i="2"/>
  <c r="H2032" i="2" s="1"/>
  <c r="I2031" i="2"/>
  <c r="E2031" i="2"/>
  <c r="H2031" i="2" s="1"/>
  <c r="I2030" i="2"/>
  <c r="E2030" i="2"/>
  <c r="H2030" i="2" s="1"/>
  <c r="I2029" i="2"/>
  <c r="E2029" i="2"/>
  <c r="H2029" i="2" s="1"/>
  <c r="I2028" i="2"/>
  <c r="H2028" i="2"/>
  <c r="I2027" i="2"/>
  <c r="H2027" i="2"/>
  <c r="I2026" i="2"/>
  <c r="E2026" i="2"/>
  <c r="H2026" i="2" s="1"/>
  <c r="I2025" i="2"/>
  <c r="E2025" i="2"/>
  <c r="H2025" i="2" s="1"/>
  <c r="I2024" i="2"/>
  <c r="E2024" i="2"/>
  <c r="H2024" i="2" s="1"/>
  <c r="I2023" i="2"/>
  <c r="E2023" i="2"/>
  <c r="H2023" i="2" s="1"/>
  <c r="I2022" i="2"/>
  <c r="E2022" i="2"/>
  <c r="H2022" i="2" s="1"/>
  <c r="I2021" i="2"/>
  <c r="E2021" i="2"/>
  <c r="H2021" i="2" s="1"/>
  <c r="I2020" i="2"/>
  <c r="E2020" i="2"/>
  <c r="H2020" i="2" s="1"/>
  <c r="I2019" i="2"/>
  <c r="E2019" i="2"/>
  <c r="H2019" i="2" s="1"/>
  <c r="I2018" i="2"/>
  <c r="E2018" i="2"/>
  <c r="H2018" i="2" s="1"/>
  <c r="I2017" i="2"/>
  <c r="E2017" i="2"/>
  <c r="H2017" i="2" s="1"/>
  <c r="I2016" i="2"/>
  <c r="E2016" i="2"/>
  <c r="H2016" i="2" s="1"/>
  <c r="I2015" i="2"/>
  <c r="E2015" i="2"/>
  <c r="H2015" i="2" s="1"/>
  <c r="I2014" i="2"/>
  <c r="E2014" i="2"/>
  <c r="H2014" i="2" s="1"/>
  <c r="I2013" i="2"/>
  <c r="E2013" i="2"/>
  <c r="H2013" i="2" s="1"/>
  <c r="I2012" i="2"/>
  <c r="E2012" i="2"/>
  <c r="H2012" i="2" s="1"/>
  <c r="I2011" i="2"/>
  <c r="E2011" i="2"/>
  <c r="H2011" i="2" s="1"/>
  <c r="I2010" i="2"/>
  <c r="E2010" i="2"/>
  <c r="H2010" i="2" s="1"/>
  <c r="I2009" i="2"/>
  <c r="E2009" i="2"/>
  <c r="H2009" i="2" s="1"/>
  <c r="I2008" i="2"/>
  <c r="E2008" i="2"/>
  <c r="H2008" i="2" s="1"/>
  <c r="I2007" i="2"/>
  <c r="E2007" i="2"/>
  <c r="H2007" i="2" s="1"/>
  <c r="I2006" i="2"/>
  <c r="E2006" i="2"/>
  <c r="H2006" i="2" s="1"/>
  <c r="I2005" i="2"/>
  <c r="E2005" i="2"/>
  <c r="H2005" i="2" s="1"/>
  <c r="I2004" i="2"/>
  <c r="E2004" i="2"/>
  <c r="H2004" i="2" s="1"/>
  <c r="I2003" i="2"/>
  <c r="E2003" i="2"/>
  <c r="H2003" i="2" s="1"/>
  <c r="I2002" i="2"/>
  <c r="E2002" i="2"/>
  <c r="H2002" i="2" s="1"/>
  <c r="I2001" i="2"/>
  <c r="E2001" i="2"/>
  <c r="H2001" i="2" s="1"/>
  <c r="I2000" i="2"/>
  <c r="E2000" i="2"/>
  <c r="H2000" i="2" s="1"/>
  <c r="I1999" i="2"/>
  <c r="E1999" i="2"/>
  <c r="H1999" i="2" s="1"/>
  <c r="I1998" i="2"/>
  <c r="E1998" i="2"/>
  <c r="H1998" i="2" s="1"/>
  <c r="I1997" i="2"/>
  <c r="E1997" i="2"/>
  <c r="H1997" i="2" s="1"/>
  <c r="I1996" i="2"/>
  <c r="E1996" i="2"/>
  <c r="H1996" i="2" s="1"/>
  <c r="I1995" i="2"/>
  <c r="E1995" i="2"/>
  <c r="H1995" i="2" s="1"/>
  <c r="I1994" i="2"/>
  <c r="E1994" i="2"/>
  <c r="H1994" i="2" s="1"/>
  <c r="I1993" i="2"/>
  <c r="E1993" i="2"/>
  <c r="H1993" i="2" s="1"/>
  <c r="I1992" i="2"/>
  <c r="E1992" i="2"/>
  <c r="H1992" i="2" s="1"/>
  <c r="I1991" i="2"/>
  <c r="E1991" i="2"/>
  <c r="H1991" i="2" s="1"/>
  <c r="I1990" i="2"/>
  <c r="E1990" i="2"/>
  <c r="H1990" i="2" s="1"/>
  <c r="I1989" i="2"/>
  <c r="E1989" i="2"/>
  <c r="H1989" i="2" s="1"/>
  <c r="I1988" i="2"/>
  <c r="E1988" i="2"/>
  <c r="H1988" i="2" s="1"/>
  <c r="I1987" i="2"/>
  <c r="E1987" i="2"/>
  <c r="H1987" i="2" s="1"/>
  <c r="I1986" i="2"/>
  <c r="E1986" i="2"/>
  <c r="H1986" i="2" s="1"/>
  <c r="I1985" i="2"/>
  <c r="E1985" i="2"/>
  <c r="H1985" i="2" s="1"/>
  <c r="I1984" i="2"/>
  <c r="E1984" i="2"/>
  <c r="H1984" i="2" s="1"/>
  <c r="I1983" i="2"/>
  <c r="E1983" i="2"/>
  <c r="H1983" i="2" s="1"/>
  <c r="I1982" i="2"/>
  <c r="E1982" i="2"/>
  <c r="H1982" i="2" s="1"/>
  <c r="I1981" i="2"/>
  <c r="H1981" i="2"/>
  <c r="I1980" i="2"/>
  <c r="H1980" i="2"/>
  <c r="I1979" i="2"/>
  <c r="E1979" i="2"/>
  <c r="H1979" i="2" s="1"/>
  <c r="I1978" i="2"/>
  <c r="E1978" i="2"/>
  <c r="H1978" i="2" s="1"/>
  <c r="I1977" i="2"/>
  <c r="E1977" i="2"/>
  <c r="H1977" i="2" s="1"/>
  <c r="I1976" i="2"/>
  <c r="E1976" i="2"/>
  <c r="H1976" i="2" s="1"/>
  <c r="I1975" i="2"/>
  <c r="E1975" i="2"/>
  <c r="H1975" i="2" s="1"/>
  <c r="I1974" i="2"/>
  <c r="E1974" i="2"/>
  <c r="H1974" i="2" s="1"/>
  <c r="I1973" i="2"/>
  <c r="E1973" i="2"/>
  <c r="H1973" i="2" s="1"/>
  <c r="I1972" i="2"/>
  <c r="E1972" i="2"/>
  <c r="H1972" i="2" s="1"/>
  <c r="I1971" i="2"/>
  <c r="E1971" i="2"/>
  <c r="H1971" i="2" s="1"/>
  <c r="I1970" i="2"/>
  <c r="E1970" i="2"/>
  <c r="H1970" i="2" s="1"/>
  <c r="I1969" i="2"/>
  <c r="E1969" i="2"/>
  <c r="H1969" i="2" s="1"/>
  <c r="I1968" i="2"/>
  <c r="E1968" i="2"/>
  <c r="H1968" i="2" s="1"/>
  <c r="I1967" i="2"/>
  <c r="E1967" i="2"/>
  <c r="H1967" i="2" s="1"/>
  <c r="I1966" i="2"/>
  <c r="E1966" i="2"/>
  <c r="H1966" i="2" s="1"/>
  <c r="I1965" i="2"/>
  <c r="E1965" i="2"/>
  <c r="H1965" i="2" s="1"/>
  <c r="I1964" i="2"/>
  <c r="E1964" i="2"/>
  <c r="H1964" i="2" s="1"/>
  <c r="I1963" i="2"/>
  <c r="E1963" i="2"/>
  <c r="H1963" i="2" s="1"/>
  <c r="I1962" i="2"/>
  <c r="E1962" i="2"/>
  <c r="H1962" i="2" s="1"/>
  <c r="I1961" i="2"/>
  <c r="E1961" i="2"/>
  <c r="H1961" i="2" s="1"/>
  <c r="I1960" i="2"/>
  <c r="E1960" i="2"/>
  <c r="H1960" i="2" s="1"/>
  <c r="I1959" i="2"/>
  <c r="E1959" i="2"/>
  <c r="H1959" i="2" s="1"/>
  <c r="I1958" i="2"/>
  <c r="E1958" i="2"/>
  <c r="H1958" i="2" s="1"/>
  <c r="I1957" i="2"/>
  <c r="E1957" i="2"/>
  <c r="H1957" i="2" s="1"/>
  <c r="I1956" i="2"/>
  <c r="E1956" i="2"/>
  <c r="H1956" i="2" s="1"/>
  <c r="I1955" i="2"/>
  <c r="E1955" i="2"/>
  <c r="H1955" i="2" s="1"/>
  <c r="I1954" i="2"/>
  <c r="E1954" i="2"/>
  <c r="H1954" i="2" s="1"/>
  <c r="I1953" i="2"/>
  <c r="E1953" i="2"/>
  <c r="H1953" i="2" s="1"/>
  <c r="I1952" i="2"/>
  <c r="E1952" i="2"/>
  <c r="H1952" i="2" s="1"/>
  <c r="I1951" i="2"/>
  <c r="E1951" i="2"/>
  <c r="H1951" i="2" s="1"/>
  <c r="I1950" i="2"/>
  <c r="E1950" i="2"/>
  <c r="H1950" i="2" s="1"/>
  <c r="I1949" i="2"/>
  <c r="E1949" i="2"/>
  <c r="H1949" i="2" s="1"/>
  <c r="I1948" i="2"/>
  <c r="E1948" i="2"/>
  <c r="H1948" i="2" s="1"/>
  <c r="I1947" i="2"/>
  <c r="E1947" i="2"/>
  <c r="H1947" i="2" s="1"/>
  <c r="I1946" i="2"/>
  <c r="E1946" i="2"/>
  <c r="H1946" i="2" s="1"/>
  <c r="I1945" i="2"/>
  <c r="E1945" i="2"/>
  <c r="H1945" i="2" s="1"/>
  <c r="I1944" i="2"/>
  <c r="E1944" i="2"/>
  <c r="H1944" i="2" s="1"/>
  <c r="I1943" i="2"/>
  <c r="E1943" i="2"/>
  <c r="H1943" i="2" s="1"/>
  <c r="I1942" i="2"/>
  <c r="E1942" i="2"/>
  <c r="H1942" i="2" s="1"/>
  <c r="I1941" i="2"/>
  <c r="E1941" i="2"/>
  <c r="H1941" i="2" s="1"/>
  <c r="I1940" i="2"/>
  <c r="E1940" i="2"/>
  <c r="H1940" i="2" s="1"/>
  <c r="I1939" i="2"/>
  <c r="E1939" i="2"/>
  <c r="H1939" i="2" s="1"/>
  <c r="I1938" i="2"/>
  <c r="E1938" i="2"/>
  <c r="H1938" i="2" s="1"/>
  <c r="I1937" i="2"/>
  <c r="E1937" i="2"/>
  <c r="H1937" i="2" s="1"/>
  <c r="I1936" i="2"/>
  <c r="E1936" i="2"/>
  <c r="H1936" i="2" s="1"/>
  <c r="I1935" i="2"/>
  <c r="E1935" i="2"/>
  <c r="H1935" i="2" s="1"/>
  <c r="I1934" i="2"/>
  <c r="E1934" i="2"/>
  <c r="H1934" i="2" s="1"/>
  <c r="I1933" i="2"/>
  <c r="E1933" i="2"/>
  <c r="H1933" i="2" s="1"/>
  <c r="I1932" i="2"/>
  <c r="H1932" i="2"/>
  <c r="I1931" i="2"/>
  <c r="E1931" i="2"/>
  <c r="H1931" i="2" s="1"/>
  <c r="I1930" i="2"/>
  <c r="E1930" i="2"/>
  <c r="H1930" i="2" s="1"/>
  <c r="I1929" i="2"/>
  <c r="E1929" i="2"/>
  <c r="H1929" i="2" s="1"/>
  <c r="I1928" i="2"/>
  <c r="E1928" i="2"/>
  <c r="H1928" i="2" s="1"/>
  <c r="I1927" i="2"/>
  <c r="E1927" i="2"/>
  <c r="H1927" i="2" s="1"/>
  <c r="I1926" i="2"/>
  <c r="E1926" i="2"/>
  <c r="H1926" i="2" s="1"/>
  <c r="I1925" i="2"/>
  <c r="E1925" i="2"/>
  <c r="H1925" i="2" s="1"/>
  <c r="I1924" i="2"/>
  <c r="E1924" i="2"/>
  <c r="H1924" i="2" s="1"/>
  <c r="I1923" i="2"/>
  <c r="E1923" i="2"/>
  <c r="H1923" i="2" s="1"/>
  <c r="I1922" i="2"/>
  <c r="E1922" i="2"/>
  <c r="H1922" i="2" s="1"/>
  <c r="I1921" i="2"/>
  <c r="E1921" i="2"/>
  <c r="H1921" i="2" s="1"/>
  <c r="I1920" i="2"/>
  <c r="E1920" i="2"/>
  <c r="H1920" i="2" s="1"/>
  <c r="I1919" i="2"/>
  <c r="E1919" i="2"/>
  <c r="H1919" i="2" s="1"/>
  <c r="I1918" i="2"/>
  <c r="E1918" i="2"/>
  <c r="H1918" i="2" s="1"/>
  <c r="I1917" i="2"/>
  <c r="E1917" i="2"/>
  <c r="H1917" i="2" s="1"/>
  <c r="I1916" i="2"/>
  <c r="E1916" i="2"/>
  <c r="H1916" i="2" s="1"/>
  <c r="I1915" i="2"/>
  <c r="E1915" i="2"/>
  <c r="H1915" i="2" s="1"/>
  <c r="I1914" i="2"/>
  <c r="E1914" i="2"/>
  <c r="H1914" i="2" s="1"/>
  <c r="I1913" i="2"/>
  <c r="E1913" i="2"/>
  <c r="H1913" i="2" s="1"/>
  <c r="I1912" i="2"/>
  <c r="E1912" i="2"/>
  <c r="H1912" i="2" s="1"/>
  <c r="I1911" i="2"/>
  <c r="E1911" i="2"/>
  <c r="H1911" i="2" s="1"/>
  <c r="I1910" i="2"/>
  <c r="E1910" i="2"/>
  <c r="H1910" i="2" s="1"/>
  <c r="I1909" i="2"/>
  <c r="E1909" i="2"/>
  <c r="H1909" i="2" s="1"/>
  <c r="I1908" i="2"/>
  <c r="E1908" i="2"/>
  <c r="H1908" i="2" s="1"/>
  <c r="I1907" i="2"/>
  <c r="E1907" i="2"/>
  <c r="H1907" i="2" s="1"/>
  <c r="I1906" i="2"/>
  <c r="E1906" i="2"/>
  <c r="H1906" i="2" s="1"/>
  <c r="I1905" i="2"/>
  <c r="E1905" i="2"/>
  <c r="H1905" i="2" s="1"/>
  <c r="I1904" i="2"/>
  <c r="H1904" i="2"/>
  <c r="I1903" i="2"/>
  <c r="E1903" i="2"/>
  <c r="H1903" i="2" s="1"/>
  <c r="I1902" i="2"/>
  <c r="E1902" i="2"/>
  <c r="H1902" i="2" s="1"/>
  <c r="I1901" i="2"/>
  <c r="E1901" i="2"/>
  <c r="H1901" i="2" s="1"/>
  <c r="I1900" i="2"/>
  <c r="E1900" i="2"/>
  <c r="H1900" i="2" s="1"/>
  <c r="I1899" i="2"/>
  <c r="E1899" i="2"/>
  <c r="H1899" i="2" s="1"/>
  <c r="I1898" i="2"/>
  <c r="E1898" i="2"/>
  <c r="H1898" i="2" s="1"/>
  <c r="I1897" i="2"/>
  <c r="E1897" i="2"/>
  <c r="H1897" i="2" s="1"/>
  <c r="I1896" i="2"/>
  <c r="E1896" i="2"/>
  <c r="H1896" i="2" s="1"/>
  <c r="I1895" i="2"/>
  <c r="E1895" i="2"/>
  <c r="H1895" i="2" s="1"/>
  <c r="I1894" i="2"/>
  <c r="E1894" i="2"/>
  <c r="H1894" i="2" s="1"/>
  <c r="I1893" i="2"/>
  <c r="E1893" i="2"/>
  <c r="H1893" i="2" s="1"/>
  <c r="I1892" i="2"/>
  <c r="E1892" i="2"/>
  <c r="H1892" i="2" s="1"/>
  <c r="I1891" i="2"/>
  <c r="E1891" i="2"/>
  <c r="H1891" i="2" s="1"/>
  <c r="I1890" i="2"/>
  <c r="E1890" i="2"/>
  <c r="H1890" i="2" s="1"/>
  <c r="I1889" i="2"/>
  <c r="E1889" i="2"/>
  <c r="H1889" i="2" s="1"/>
  <c r="I1888" i="2"/>
  <c r="E1888" i="2"/>
  <c r="H1888" i="2" s="1"/>
  <c r="I1887" i="2"/>
  <c r="E1887" i="2"/>
  <c r="H1887" i="2" s="1"/>
  <c r="I1886" i="2"/>
  <c r="E1886" i="2"/>
  <c r="H1886" i="2" s="1"/>
  <c r="I1885" i="2"/>
  <c r="E1885" i="2"/>
  <c r="H1885" i="2" s="1"/>
  <c r="I1884" i="2"/>
  <c r="H1884" i="2"/>
  <c r="I1883" i="2"/>
  <c r="E1883" i="2"/>
  <c r="H1883" i="2" s="1"/>
  <c r="I1882" i="2"/>
  <c r="E1882" i="2"/>
  <c r="H1882" i="2" s="1"/>
  <c r="I1881" i="2"/>
  <c r="E1881" i="2"/>
  <c r="H1881" i="2" s="1"/>
  <c r="I1880" i="2"/>
  <c r="E1880" i="2"/>
  <c r="H1880" i="2" s="1"/>
  <c r="I1879" i="2"/>
  <c r="E1879" i="2"/>
  <c r="H1879" i="2" s="1"/>
  <c r="I1878" i="2"/>
  <c r="E1878" i="2"/>
  <c r="H1878" i="2" s="1"/>
  <c r="I1877" i="2"/>
  <c r="E1877" i="2"/>
  <c r="H1877" i="2" s="1"/>
  <c r="I1876" i="2"/>
  <c r="E1876" i="2"/>
  <c r="H1876" i="2" s="1"/>
  <c r="I1875" i="2"/>
  <c r="E1875" i="2"/>
  <c r="H1875" i="2" s="1"/>
  <c r="I1874" i="2"/>
  <c r="E1874" i="2"/>
  <c r="H1874" i="2" s="1"/>
  <c r="I1873" i="2"/>
  <c r="E1873" i="2"/>
  <c r="H1873" i="2" s="1"/>
  <c r="I1872" i="2"/>
  <c r="E1872" i="2"/>
  <c r="H1872" i="2" s="1"/>
  <c r="I1871" i="2"/>
  <c r="E1871" i="2"/>
  <c r="H1871" i="2" s="1"/>
  <c r="I1870" i="2"/>
  <c r="E1870" i="2"/>
  <c r="H1870" i="2" s="1"/>
  <c r="I1869" i="2"/>
  <c r="E1869" i="2"/>
  <c r="H1869" i="2" s="1"/>
  <c r="I1868" i="2"/>
  <c r="E1868" i="2"/>
  <c r="H1868" i="2" s="1"/>
  <c r="I1867" i="2"/>
  <c r="H1867" i="2"/>
  <c r="I1866" i="2"/>
  <c r="H1866" i="2"/>
  <c r="I1865" i="2"/>
  <c r="E1865" i="2"/>
  <c r="H1865" i="2" s="1"/>
  <c r="I1864" i="2"/>
  <c r="E1864" i="2"/>
  <c r="H1864" i="2" s="1"/>
  <c r="I1863" i="2"/>
  <c r="E1863" i="2"/>
  <c r="H1863" i="2" s="1"/>
  <c r="I1862" i="2"/>
  <c r="E1862" i="2"/>
  <c r="H1862" i="2" s="1"/>
  <c r="I1861" i="2"/>
  <c r="E1861" i="2"/>
  <c r="H1861" i="2" s="1"/>
  <c r="I1860" i="2"/>
  <c r="E1860" i="2"/>
  <c r="H1860" i="2" s="1"/>
  <c r="I1859" i="2"/>
  <c r="E1859" i="2"/>
  <c r="H1859" i="2" s="1"/>
  <c r="I1858" i="2"/>
  <c r="E1858" i="2"/>
  <c r="H1858" i="2" s="1"/>
  <c r="I1857" i="2"/>
  <c r="E1857" i="2"/>
  <c r="H1857" i="2" s="1"/>
  <c r="I1856" i="2"/>
  <c r="E1856" i="2"/>
  <c r="H1856" i="2" s="1"/>
  <c r="I1855" i="2"/>
  <c r="E1855" i="2"/>
  <c r="H1855" i="2" s="1"/>
  <c r="I1854" i="2"/>
  <c r="E1854" i="2"/>
  <c r="H1854" i="2" s="1"/>
  <c r="I1853" i="2"/>
  <c r="E1853" i="2"/>
  <c r="H1853" i="2" s="1"/>
  <c r="I1852" i="2"/>
  <c r="E1852" i="2"/>
  <c r="H1852" i="2" s="1"/>
  <c r="I1851" i="2"/>
  <c r="H1851" i="2"/>
  <c r="I1850" i="2"/>
  <c r="H1850" i="2"/>
  <c r="I1849" i="2"/>
  <c r="E1849" i="2"/>
  <c r="H1849" i="2" s="1"/>
  <c r="I1848" i="2"/>
  <c r="E1848" i="2"/>
  <c r="H1848" i="2" s="1"/>
  <c r="I1847" i="2"/>
  <c r="E1847" i="2"/>
  <c r="H1847" i="2" s="1"/>
  <c r="I1846" i="2"/>
  <c r="E1846" i="2"/>
  <c r="H1846" i="2" s="1"/>
  <c r="I1845" i="2"/>
  <c r="E1845" i="2"/>
  <c r="H1845" i="2" s="1"/>
  <c r="I1844" i="2"/>
  <c r="E1844" i="2"/>
  <c r="H1844" i="2" s="1"/>
  <c r="I1843" i="2"/>
  <c r="E1843" i="2"/>
  <c r="H1843" i="2" s="1"/>
  <c r="I1842" i="2"/>
  <c r="E1842" i="2"/>
  <c r="H1842" i="2" s="1"/>
  <c r="I1841" i="2"/>
  <c r="E1841" i="2"/>
  <c r="H1841" i="2" s="1"/>
  <c r="I1840" i="2"/>
  <c r="E1840" i="2"/>
  <c r="H1840" i="2" s="1"/>
  <c r="I1839" i="2"/>
  <c r="E1839" i="2"/>
  <c r="H1839" i="2" s="1"/>
  <c r="I1838" i="2"/>
  <c r="E1838" i="2"/>
  <c r="H1838" i="2" s="1"/>
  <c r="I1837" i="2"/>
  <c r="E1837" i="2"/>
  <c r="H1837" i="2" s="1"/>
  <c r="I1836" i="2"/>
  <c r="E1836" i="2"/>
  <c r="H1836" i="2" s="1"/>
  <c r="I1835" i="2"/>
  <c r="E1835" i="2"/>
  <c r="H1835" i="2" s="1"/>
  <c r="I1834" i="2"/>
  <c r="H1834" i="2"/>
  <c r="I1833" i="2"/>
  <c r="H1833" i="2"/>
  <c r="I1832" i="2"/>
  <c r="E1832" i="2"/>
  <c r="H1832" i="2" s="1"/>
  <c r="I1831" i="2"/>
  <c r="E1831" i="2"/>
  <c r="H1831" i="2" s="1"/>
  <c r="I1830" i="2"/>
  <c r="E1830" i="2"/>
  <c r="H1830" i="2" s="1"/>
  <c r="I1829" i="2"/>
  <c r="E1829" i="2"/>
  <c r="H1829" i="2" s="1"/>
  <c r="I1828" i="2"/>
  <c r="E1828" i="2"/>
  <c r="H1828" i="2" s="1"/>
  <c r="I1827" i="2"/>
  <c r="E1827" i="2"/>
  <c r="H1827" i="2" s="1"/>
  <c r="I1826" i="2"/>
  <c r="E1826" i="2"/>
  <c r="H1826" i="2" s="1"/>
  <c r="I1825" i="2"/>
  <c r="E1825" i="2"/>
  <c r="H1825" i="2" s="1"/>
  <c r="I1824" i="2"/>
  <c r="E1824" i="2"/>
  <c r="H1824" i="2" s="1"/>
  <c r="I1823" i="2"/>
  <c r="E1823" i="2"/>
  <c r="H1823" i="2" s="1"/>
  <c r="I1822" i="2"/>
  <c r="E1822" i="2"/>
  <c r="H1822" i="2" s="1"/>
  <c r="I1821" i="2"/>
  <c r="E1821" i="2"/>
  <c r="H1821" i="2" s="1"/>
  <c r="I1820" i="2"/>
  <c r="E1820" i="2"/>
  <c r="H1820" i="2" s="1"/>
  <c r="I1819" i="2"/>
  <c r="E1819" i="2"/>
  <c r="H1819" i="2" s="1"/>
  <c r="I1818" i="2"/>
  <c r="E1818" i="2"/>
  <c r="H1818" i="2" s="1"/>
  <c r="I1817" i="2"/>
  <c r="E1817" i="2"/>
  <c r="H1817" i="2" s="1"/>
  <c r="I1816" i="2"/>
  <c r="E1816" i="2"/>
  <c r="H1816" i="2" s="1"/>
  <c r="I1815" i="2"/>
  <c r="E1815" i="2"/>
  <c r="H1815" i="2" s="1"/>
  <c r="I1814" i="2"/>
  <c r="E1814" i="2"/>
  <c r="H1814" i="2" s="1"/>
  <c r="I1813" i="2"/>
  <c r="E1813" i="2"/>
  <c r="H1813" i="2" s="1"/>
  <c r="I1812" i="2"/>
  <c r="H1812" i="2"/>
  <c r="I1811" i="2"/>
  <c r="E1811" i="2"/>
  <c r="H1811" i="2" s="1"/>
  <c r="I1810" i="2"/>
  <c r="E1810" i="2"/>
  <c r="H1810" i="2" s="1"/>
  <c r="I1809" i="2"/>
  <c r="E1809" i="2"/>
  <c r="H1809" i="2" s="1"/>
  <c r="I1808" i="2"/>
  <c r="E1808" i="2"/>
  <c r="H1808" i="2" s="1"/>
  <c r="I1807" i="2"/>
  <c r="E1807" i="2"/>
  <c r="H1807" i="2" s="1"/>
  <c r="I1806" i="2"/>
  <c r="E1806" i="2"/>
  <c r="H1806" i="2" s="1"/>
  <c r="I1805" i="2"/>
  <c r="E1805" i="2"/>
  <c r="H1805" i="2" s="1"/>
  <c r="I1804" i="2"/>
  <c r="E1804" i="2"/>
  <c r="H1804" i="2" s="1"/>
  <c r="I1803" i="2"/>
  <c r="E1803" i="2"/>
  <c r="H1803" i="2" s="1"/>
  <c r="I1802" i="2"/>
  <c r="E1802" i="2"/>
  <c r="H1802" i="2" s="1"/>
  <c r="I1801" i="2"/>
  <c r="E1801" i="2"/>
  <c r="H1801" i="2" s="1"/>
  <c r="I1800" i="2"/>
  <c r="E1800" i="2"/>
  <c r="H1800" i="2" s="1"/>
  <c r="I1799" i="2"/>
  <c r="E1799" i="2"/>
  <c r="H1799" i="2" s="1"/>
  <c r="I1798" i="2"/>
  <c r="E1798" i="2"/>
  <c r="H1798" i="2" s="1"/>
  <c r="I1797" i="2"/>
  <c r="E1797" i="2"/>
  <c r="H1797" i="2" s="1"/>
  <c r="I1796" i="2"/>
  <c r="E1796" i="2"/>
  <c r="H1796" i="2" s="1"/>
  <c r="I1795" i="2"/>
  <c r="E1795" i="2"/>
  <c r="H1795" i="2" s="1"/>
  <c r="I1794" i="2"/>
  <c r="E1794" i="2"/>
  <c r="H1794" i="2" s="1"/>
  <c r="I1793" i="2"/>
  <c r="E1793" i="2"/>
  <c r="H1793" i="2" s="1"/>
  <c r="I1792" i="2"/>
  <c r="H1792" i="2"/>
  <c r="I1791" i="2"/>
  <c r="H1791" i="2"/>
  <c r="I1790" i="2"/>
  <c r="E1790" i="2"/>
  <c r="H1790" i="2" s="1"/>
  <c r="I1789" i="2"/>
  <c r="E1789" i="2"/>
  <c r="H1789" i="2" s="1"/>
  <c r="I1788" i="2"/>
  <c r="E1788" i="2"/>
  <c r="H1788" i="2" s="1"/>
  <c r="I1787" i="2"/>
  <c r="E1787" i="2"/>
  <c r="H1787" i="2" s="1"/>
  <c r="I1786" i="2"/>
  <c r="E1786" i="2"/>
  <c r="H1786" i="2" s="1"/>
  <c r="I1785" i="2"/>
  <c r="E1785" i="2"/>
  <c r="H1785" i="2" s="1"/>
  <c r="I1784" i="2"/>
  <c r="E1784" i="2"/>
  <c r="H1784" i="2" s="1"/>
  <c r="I1783" i="2"/>
  <c r="E1783" i="2"/>
  <c r="H1783" i="2" s="1"/>
  <c r="I1782" i="2"/>
  <c r="E1782" i="2"/>
  <c r="H1782" i="2" s="1"/>
  <c r="I1781" i="2"/>
  <c r="E1781" i="2"/>
  <c r="H1781" i="2" s="1"/>
  <c r="I1780" i="2"/>
  <c r="E1780" i="2"/>
  <c r="H1780" i="2" s="1"/>
  <c r="I1779" i="2"/>
  <c r="E1779" i="2"/>
  <c r="H1779" i="2" s="1"/>
  <c r="I1778" i="2"/>
  <c r="E1778" i="2"/>
  <c r="H1778" i="2" s="1"/>
  <c r="I1777" i="2"/>
  <c r="E1777" i="2"/>
  <c r="H1777" i="2" s="1"/>
  <c r="I1776" i="2"/>
  <c r="E1776" i="2"/>
  <c r="H1776" i="2" s="1"/>
  <c r="I1775" i="2"/>
  <c r="E1775" i="2"/>
  <c r="H1775" i="2" s="1"/>
  <c r="I1774" i="2"/>
  <c r="E1774" i="2"/>
  <c r="H1774" i="2" s="1"/>
  <c r="I1773" i="2"/>
  <c r="H1773" i="2"/>
  <c r="I1772" i="2"/>
  <c r="E1772" i="2"/>
  <c r="H1772" i="2" s="1"/>
  <c r="I1771" i="2"/>
  <c r="E1771" i="2"/>
  <c r="H1771" i="2" s="1"/>
  <c r="I1770" i="2"/>
  <c r="E1770" i="2"/>
  <c r="H1770" i="2" s="1"/>
  <c r="I1769" i="2"/>
  <c r="E1769" i="2"/>
  <c r="H1769" i="2" s="1"/>
  <c r="I1768" i="2"/>
  <c r="E1768" i="2"/>
  <c r="H1768" i="2" s="1"/>
  <c r="I1767" i="2"/>
  <c r="E1767" i="2"/>
  <c r="H1767" i="2" s="1"/>
  <c r="I1766" i="2"/>
  <c r="E1766" i="2"/>
  <c r="H1766" i="2" s="1"/>
  <c r="I1765" i="2"/>
  <c r="E1765" i="2"/>
  <c r="H1765" i="2" s="1"/>
  <c r="I1764" i="2"/>
  <c r="E1764" i="2"/>
  <c r="H1764" i="2" s="1"/>
  <c r="I1763" i="2"/>
  <c r="E1763" i="2"/>
  <c r="H1763" i="2" s="1"/>
  <c r="I1762" i="2"/>
  <c r="E1762" i="2"/>
  <c r="H1762" i="2" s="1"/>
  <c r="I1761" i="2"/>
  <c r="H1761" i="2"/>
  <c r="I1760" i="2"/>
  <c r="E1760" i="2"/>
  <c r="H1760" i="2" s="1"/>
  <c r="I1759" i="2"/>
  <c r="E1759" i="2"/>
  <c r="H1759" i="2" s="1"/>
  <c r="I1758" i="2"/>
  <c r="E1758" i="2"/>
  <c r="H1758" i="2" s="1"/>
  <c r="I1757" i="2"/>
  <c r="E1757" i="2"/>
  <c r="H1757" i="2" s="1"/>
  <c r="I1756" i="2"/>
  <c r="E1756" i="2"/>
  <c r="H1756" i="2" s="1"/>
  <c r="I1755" i="2"/>
  <c r="E1755" i="2"/>
  <c r="H1755" i="2" s="1"/>
  <c r="I1754" i="2"/>
  <c r="H1754" i="2"/>
  <c r="I1753" i="2"/>
  <c r="E1753" i="2"/>
  <c r="H1753" i="2" s="1"/>
  <c r="I1752" i="2"/>
  <c r="E1752" i="2"/>
  <c r="H1752" i="2" s="1"/>
  <c r="I1751" i="2"/>
  <c r="E1751" i="2"/>
  <c r="H1751" i="2" s="1"/>
  <c r="I1750" i="2"/>
  <c r="E1750" i="2"/>
  <c r="H1750" i="2" s="1"/>
  <c r="I1749" i="2"/>
  <c r="E1749" i="2"/>
  <c r="H1749" i="2" s="1"/>
  <c r="I1748" i="2"/>
  <c r="E1748" i="2"/>
  <c r="H1748" i="2" s="1"/>
  <c r="I1747" i="2"/>
  <c r="E1747" i="2"/>
  <c r="H1747" i="2" s="1"/>
  <c r="I1746" i="2"/>
  <c r="E1746" i="2"/>
  <c r="H1746" i="2" s="1"/>
  <c r="I1745" i="2"/>
  <c r="E1745" i="2"/>
  <c r="H1745" i="2" s="1"/>
  <c r="I1744" i="2"/>
  <c r="E1744" i="2"/>
  <c r="H1744" i="2" s="1"/>
  <c r="I1743" i="2"/>
  <c r="E1743" i="2"/>
  <c r="H1743" i="2" s="1"/>
  <c r="I1742" i="2"/>
  <c r="E1742" i="2"/>
  <c r="H1742" i="2" s="1"/>
  <c r="I1741" i="2"/>
  <c r="E1741" i="2"/>
  <c r="H1741" i="2" s="1"/>
  <c r="I1740" i="2"/>
  <c r="E1740" i="2"/>
  <c r="H1740" i="2" s="1"/>
  <c r="I1739" i="2"/>
  <c r="E1739" i="2"/>
  <c r="H1739" i="2" s="1"/>
  <c r="I1738" i="2"/>
  <c r="E1738" i="2"/>
  <c r="H1738" i="2" s="1"/>
  <c r="I1737" i="2"/>
  <c r="E1737" i="2"/>
  <c r="H1737" i="2" s="1"/>
  <c r="I1736" i="2"/>
  <c r="E1736" i="2"/>
  <c r="H1736" i="2" s="1"/>
  <c r="I1735" i="2"/>
  <c r="E1735" i="2"/>
  <c r="H1735" i="2" s="1"/>
  <c r="I1734" i="2"/>
  <c r="H1734" i="2"/>
  <c r="I1733" i="2"/>
  <c r="E1733" i="2"/>
  <c r="H1733" i="2" s="1"/>
  <c r="I1732" i="2"/>
  <c r="E1732" i="2"/>
  <c r="H1732" i="2" s="1"/>
  <c r="I1731" i="2"/>
  <c r="E1731" i="2"/>
  <c r="H1731" i="2" s="1"/>
  <c r="I1730" i="2"/>
  <c r="E1730" i="2"/>
  <c r="H1730" i="2" s="1"/>
  <c r="I1729" i="2"/>
  <c r="E1729" i="2"/>
  <c r="H1729" i="2" s="1"/>
  <c r="I1728" i="2"/>
  <c r="E1728" i="2"/>
  <c r="H1728" i="2" s="1"/>
  <c r="I1727" i="2"/>
  <c r="E1727" i="2"/>
  <c r="H1727" i="2" s="1"/>
  <c r="I1726" i="2"/>
  <c r="E1726" i="2"/>
  <c r="H1726" i="2" s="1"/>
  <c r="I1725" i="2"/>
  <c r="E1725" i="2"/>
  <c r="H1725" i="2" s="1"/>
  <c r="I1724" i="2"/>
  <c r="E1724" i="2"/>
  <c r="H1724" i="2" s="1"/>
  <c r="I1723" i="2"/>
  <c r="E1723" i="2"/>
  <c r="H1723" i="2" s="1"/>
  <c r="I1722" i="2"/>
  <c r="E1722" i="2"/>
  <c r="H1722" i="2" s="1"/>
  <c r="I1721" i="2"/>
  <c r="E1721" i="2"/>
  <c r="H1721" i="2" s="1"/>
  <c r="I1720" i="2"/>
  <c r="E1720" i="2"/>
  <c r="H1720" i="2" s="1"/>
  <c r="I1719" i="2"/>
  <c r="E1719" i="2"/>
  <c r="H1719" i="2" s="1"/>
  <c r="I1718" i="2"/>
  <c r="E1718" i="2"/>
  <c r="H1718" i="2" s="1"/>
  <c r="I1717" i="2"/>
  <c r="E1717" i="2"/>
  <c r="H1717" i="2" s="1"/>
  <c r="I1716" i="2"/>
  <c r="E1716" i="2"/>
  <c r="H1716" i="2" s="1"/>
  <c r="I1715" i="2"/>
  <c r="E1715" i="2"/>
  <c r="H1715" i="2" s="1"/>
  <c r="I1714" i="2"/>
  <c r="E1714" i="2"/>
  <c r="H1714" i="2" s="1"/>
  <c r="I1713" i="2"/>
  <c r="E1713" i="2"/>
  <c r="H1713" i="2" s="1"/>
  <c r="I1712" i="2"/>
  <c r="E1712" i="2"/>
  <c r="H1712" i="2" s="1"/>
  <c r="I1711" i="2"/>
  <c r="H1711" i="2"/>
  <c r="I1710" i="2"/>
  <c r="H1710" i="2"/>
  <c r="I1709" i="2"/>
  <c r="E1709" i="2"/>
  <c r="H1709" i="2" s="1"/>
  <c r="I1708" i="2"/>
  <c r="E1708" i="2"/>
  <c r="H1708" i="2" s="1"/>
  <c r="I1707" i="2"/>
  <c r="E1707" i="2"/>
  <c r="H1707" i="2" s="1"/>
  <c r="I1706" i="2"/>
  <c r="E1706" i="2"/>
  <c r="H1706" i="2" s="1"/>
  <c r="I1705" i="2"/>
  <c r="E1705" i="2"/>
  <c r="H1705" i="2" s="1"/>
  <c r="I1704" i="2"/>
  <c r="E1704" i="2"/>
  <c r="H1704" i="2" s="1"/>
  <c r="I1703" i="2"/>
  <c r="E1703" i="2"/>
  <c r="H1703" i="2" s="1"/>
  <c r="I1702" i="2"/>
  <c r="E1702" i="2"/>
  <c r="H1702" i="2" s="1"/>
  <c r="I1701" i="2"/>
  <c r="E1701" i="2"/>
  <c r="H1701" i="2" s="1"/>
  <c r="I1700" i="2"/>
  <c r="E1700" i="2"/>
  <c r="H1700" i="2" s="1"/>
  <c r="I1699" i="2"/>
  <c r="E1699" i="2"/>
  <c r="H1699" i="2" s="1"/>
  <c r="I1698" i="2"/>
  <c r="E1698" i="2"/>
  <c r="H1698" i="2" s="1"/>
  <c r="I1697" i="2"/>
  <c r="E1697" i="2"/>
  <c r="H1697" i="2" s="1"/>
  <c r="I1696" i="2"/>
  <c r="E1696" i="2"/>
  <c r="H1696" i="2" s="1"/>
  <c r="I1695" i="2"/>
  <c r="E1695" i="2"/>
  <c r="H1695" i="2" s="1"/>
  <c r="I1694" i="2"/>
  <c r="E1694" i="2"/>
  <c r="H1694" i="2" s="1"/>
  <c r="I1693" i="2"/>
  <c r="E1693" i="2"/>
  <c r="H1693" i="2" s="1"/>
  <c r="I1692" i="2"/>
  <c r="E1692" i="2"/>
  <c r="H1692" i="2" s="1"/>
  <c r="I1691" i="2"/>
  <c r="E1691" i="2"/>
  <c r="H1691" i="2" s="1"/>
  <c r="I1690" i="2"/>
  <c r="E1690" i="2"/>
  <c r="H1690" i="2" s="1"/>
  <c r="I1689" i="2"/>
  <c r="E1689" i="2"/>
  <c r="H1689" i="2" s="1"/>
  <c r="I1688" i="2"/>
  <c r="E1688" i="2"/>
  <c r="H1688" i="2" s="1"/>
  <c r="I1687" i="2"/>
  <c r="H1687" i="2"/>
  <c r="I1686" i="2"/>
  <c r="E1686" i="2"/>
  <c r="H1686" i="2" s="1"/>
  <c r="I1685" i="2"/>
  <c r="E1685" i="2"/>
  <c r="H1685" i="2" s="1"/>
  <c r="I1684" i="2"/>
  <c r="E1684" i="2"/>
  <c r="H1684" i="2" s="1"/>
  <c r="I1683" i="2"/>
  <c r="E1683" i="2"/>
  <c r="H1683" i="2" s="1"/>
  <c r="I1682" i="2"/>
  <c r="E1682" i="2"/>
  <c r="H1682" i="2" s="1"/>
  <c r="I1681" i="2"/>
  <c r="E1681" i="2"/>
  <c r="H1681" i="2" s="1"/>
  <c r="I1680" i="2"/>
  <c r="E1680" i="2"/>
  <c r="H1680" i="2" s="1"/>
  <c r="I1679" i="2"/>
  <c r="E1679" i="2"/>
  <c r="H1679" i="2" s="1"/>
  <c r="I1678" i="2"/>
  <c r="E1678" i="2"/>
  <c r="H1678" i="2" s="1"/>
  <c r="I1677" i="2"/>
  <c r="E1677" i="2"/>
  <c r="H1677" i="2" s="1"/>
  <c r="I1676" i="2"/>
  <c r="E1676" i="2"/>
  <c r="H1676" i="2" s="1"/>
  <c r="I1675" i="2"/>
  <c r="H1675" i="2"/>
  <c r="I1674" i="2"/>
  <c r="H1674" i="2"/>
  <c r="I1673" i="2"/>
  <c r="H1673" i="2"/>
  <c r="I1672" i="2"/>
  <c r="H1672" i="2"/>
  <c r="I1671" i="2"/>
  <c r="H1671" i="2"/>
  <c r="I1670" i="2"/>
  <c r="H1670" i="2"/>
  <c r="I1669" i="2"/>
  <c r="E1669" i="2"/>
  <c r="H1669" i="2" s="1"/>
  <c r="I1668" i="2"/>
  <c r="E1668" i="2"/>
  <c r="H1668" i="2" s="1"/>
  <c r="I1667" i="2"/>
  <c r="E1667" i="2"/>
  <c r="H1667" i="2" s="1"/>
  <c r="I1666" i="2"/>
  <c r="E1666" i="2"/>
  <c r="H1666" i="2" s="1"/>
  <c r="I1665" i="2"/>
  <c r="E1665" i="2"/>
  <c r="H1665" i="2" s="1"/>
  <c r="I1664" i="2"/>
  <c r="E1664" i="2"/>
  <c r="H1664" i="2" s="1"/>
  <c r="I1663" i="2"/>
  <c r="E1663" i="2"/>
  <c r="H1663" i="2" s="1"/>
  <c r="I1662" i="2"/>
  <c r="E1662" i="2"/>
  <c r="H1662" i="2" s="1"/>
  <c r="I1661" i="2"/>
  <c r="E1661" i="2"/>
  <c r="H1661" i="2" s="1"/>
  <c r="I1660" i="2"/>
  <c r="E1660" i="2"/>
  <c r="H1660" i="2" s="1"/>
  <c r="I1659" i="2"/>
  <c r="E1659" i="2"/>
  <c r="H1659" i="2" s="1"/>
  <c r="I1658" i="2"/>
  <c r="E1658" i="2"/>
  <c r="H1658" i="2" s="1"/>
  <c r="I1657" i="2"/>
  <c r="E1657" i="2"/>
  <c r="H1657" i="2" s="1"/>
  <c r="I1656" i="2"/>
  <c r="E1656" i="2"/>
  <c r="H1656" i="2" s="1"/>
  <c r="I1655" i="2"/>
  <c r="E1655" i="2"/>
  <c r="H1655" i="2" s="1"/>
  <c r="I1654" i="2"/>
  <c r="E1654" i="2"/>
  <c r="H1654" i="2" s="1"/>
  <c r="I1653" i="2"/>
  <c r="E1653" i="2"/>
  <c r="H1653" i="2" s="1"/>
  <c r="I1652" i="2"/>
  <c r="E1652" i="2"/>
  <c r="H1652" i="2" s="1"/>
  <c r="I1651" i="2"/>
  <c r="E1651" i="2"/>
  <c r="H1651" i="2" s="1"/>
  <c r="I1650" i="2"/>
  <c r="E1650" i="2"/>
  <c r="H1650" i="2" s="1"/>
  <c r="I1649" i="2"/>
  <c r="E1649" i="2"/>
  <c r="H1649" i="2" s="1"/>
  <c r="I1648" i="2"/>
  <c r="E1648" i="2"/>
  <c r="H1648" i="2" s="1"/>
  <c r="I1647" i="2"/>
  <c r="E1647" i="2"/>
  <c r="H1647" i="2" s="1"/>
  <c r="I1646" i="2"/>
  <c r="E1646" i="2"/>
  <c r="H1646" i="2" s="1"/>
  <c r="I1645" i="2"/>
  <c r="E1645" i="2"/>
  <c r="H1645" i="2" s="1"/>
  <c r="I1644" i="2"/>
  <c r="E1644" i="2"/>
  <c r="H1644" i="2" s="1"/>
  <c r="I1643" i="2"/>
  <c r="E1643" i="2"/>
  <c r="H1643" i="2" s="1"/>
  <c r="I1642" i="2"/>
  <c r="E1642" i="2"/>
  <c r="H1642" i="2" s="1"/>
  <c r="I1641" i="2"/>
  <c r="E1641" i="2"/>
  <c r="H1641" i="2" s="1"/>
  <c r="I1640" i="2"/>
  <c r="E1640" i="2"/>
  <c r="H1640" i="2" s="1"/>
  <c r="I1639" i="2"/>
  <c r="E1639" i="2"/>
  <c r="H1639" i="2" s="1"/>
  <c r="I1638" i="2"/>
  <c r="E1638" i="2"/>
  <c r="H1638" i="2" s="1"/>
  <c r="I1637" i="2"/>
  <c r="E1637" i="2"/>
  <c r="H1637" i="2" s="1"/>
  <c r="I1636" i="2"/>
  <c r="E1636" i="2"/>
  <c r="H1636" i="2" s="1"/>
  <c r="I1635" i="2"/>
  <c r="H1635" i="2"/>
  <c r="I1634" i="2"/>
  <c r="H1634" i="2"/>
  <c r="I1633" i="2"/>
  <c r="H1633" i="2"/>
  <c r="I1632" i="2"/>
  <c r="H1632" i="2"/>
  <c r="I1631" i="2"/>
  <c r="H1631" i="2"/>
  <c r="I1630" i="2"/>
  <c r="H1630" i="2"/>
  <c r="I1629" i="2"/>
  <c r="H1629" i="2"/>
  <c r="I1628" i="2"/>
  <c r="H1628" i="2"/>
  <c r="I1627" i="2"/>
  <c r="H1627" i="2"/>
  <c r="I1626" i="2"/>
  <c r="H1626" i="2"/>
  <c r="I1625" i="2"/>
  <c r="H1625" i="2"/>
  <c r="I1624" i="2"/>
  <c r="H1624" i="2"/>
  <c r="I1623" i="2"/>
  <c r="H1623" i="2"/>
  <c r="I1622" i="2"/>
  <c r="H1622" i="2"/>
  <c r="I1621" i="2"/>
  <c r="H1621" i="2"/>
  <c r="I1620" i="2"/>
  <c r="H1620" i="2"/>
  <c r="I1619" i="2"/>
  <c r="H1619" i="2"/>
  <c r="I1618" i="2"/>
  <c r="H1618" i="2"/>
  <c r="I1617" i="2"/>
  <c r="H1617" i="2"/>
  <c r="I1616" i="2"/>
  <c r="H1616" i="2"/>
  <c r="I1615" i="2"/>
  <c r="H1615" i="2"/>
  <c r="I1614" i="2"/>
  <c r="H1614" i="2"/>
  <c r="I1613" i="2"/>
  <c r="E1613" i="2"/>
  <c r="H1613" i="2" s="1"/>
  <c r="I1612" i="2"/>
  <c r="E1612" i="2"/>
  <c r="H1612" i="2" s="1"/>
  <c r="I1611" i="2"/>
  <c r="E1611" i="2"/>
  <c r="H1611" i="2" s="1"/>
  <c r="I1610" i="2"/>
  <c r="H1610" i="2"/>
  <c r="I1609" i="2"/>
  <c r="H1609" i="2"/>
  <c r="I1608" i="2"/>
  <c r="H1608" i="2"/>
  <c r="I1607" i="2"/>
  <c r="H1607" i="2"/>
  <c r="I1606" i="2"/>
  <c r="H1606" i="2"/>
  <c r="I1605" i="2"/>
  <c r="H1605" i="2"/>
  <c r="I1604" i="2"/>
  <c r="H1604" i="2"/>
  <c r="I1603" i="2"/>
  <c r="H1603" i="2"/>
  <c r="I1602" i="2"/>
  <c r="H1602" i="2"/>
  <c r="I1601" i="2"/>
  <c r="H1601" i="2"/>
  <c r="I1600" i="2"/>
  <c r="H1600" i="2"/>
  <c r="I1599" i="2"/>
  <c r="H1599" i="2"/>
  <c r="I1598" i="2"/>
  <c r="H1598" i="2"/>
  <c r="I1597" i="2"/>
  <c r="H1597" i="2"/>
  <c r="I1596" i="2"/>
  <c r="H1596" i="2"/>
  <c r="I1595" i="2"/>
  <c r="E1595" i="2"/>
  <c r="H1595" i="2" s="1"/>
  <c r="I1594" i="2"/>
  <c r="E1594" i="2"/>
  <c r="H1594" i="2" s="1"/>
  <c r="I1593" i="2"/>
  <c r="H1593" i="2"/>
  <c r="I1592" i="2"/>
  <c r="H1592" i="2"/>
  <c r="I1591" i="2"/>
  <c r="H1591" i="2"/>
  <c r="I1590" i="2"/>
  <c r="H1590" i="2"/>
  <c r="I1589" i="2"/>
  <c r="H1589" i="2"/>
  <c r="I1588" i="2"/>
  <c r="H1588" i="2"/>
  <c r="I1587" i="2"/>
  <c r="H1587" i="2"/>
  <c r="I1586" i="2"/>
  <c r="H1586" i="2"/>
  <c r="I1585" i="2"/>
  <c r="H1585" i="2"/>
  <c r="I1584" i="2"/>
  <c r="H1584" i="2"/>
  <c r="I1583" i="2"/>
  <c r="H1583" i="2"/>
  <c r="I1582" i="2"/>
  <c r="H1582" i="2"/>
  <c r="I1581" i="2"/>
  <c r="H1581" i="2"/>
  <c r="I1580" i="2"/>
  <c r="H1580" i="2"/>
  <c r="I1579" i="2"/>
  <c r="H1579" i="2"/>
  <c r="I1578" i="2"/>
  <c r="H1578" i="2"/>
  <c r="I1577" i="2"/>
  <c r="H1577" i="2"/>
  <c r="I1576" i="2"/>
  <c r="H1576" i="2"/>
  <c r="I1575" i="2"/>
  <c r="H1575" i="2"/>
  <c r="I1574" i="2"/>
  <c r="H1574" i="2"/>
  <c r="I1573" i="2"/>
  <c r="H1573" i="2"/>
  <c r="I1572" i="2"/>
  <c r="H1572" i="2"/>
  <c r="I1571" i="2"/>
  <c r="E1571" i="2"/>
  <c r="H1571" i="2" s="1"/>
  <c r="I1570" i="2"/>
  <c r="E1570" i="2"/>
  <c r="H1570" i="2" s="1"/>
  <c r="I1569" i="2"/>
  <c r="H1569" i="2"/>
  <c r="I1568" i="2"/>
  <c r="E1568" i="2"/>
  <c r="H1568" i="2" s="1"/>
  <c r="I1567" i="2"/>
  <c r="E1567" i="2"/>
  <c r="H1567" i="2" s="1"/>
  <c r="I1566" i="2"/>
  <c r="E1566" i="2"/>
  <c r="H1566" i="2" s="1"/>
  <c r="I1565" i="2"/>
  <c r="E1565" i="2"/>
  <c r="H1565" i="2" s="1"/>
  <c r="I1564" i="2"/>
  <c r="E1564" i="2"/>
  <c r="H1564" i="2" s="1"/>
  <c r="I1563" i="2"/>
  <c r="E1563" i="2"/>
  <c r="H1563" i="2" s="1"/>
  <c r="I1562" i="2"/>
  <c r="E1562" i="2"/>
  <c r="H1562" i="2" s="1"/>
  <c r="I1561" i="2"/>
  <c r="E1561" i="2"/>
  <c r="H1561" i="2" s="1"/>
  <c r="I1560" i="2"/>
  <c r="E1560" i="2"/>
  <c r="H1560" i="2" s="1"/>
  <c r="I1559" i="2"/>
  <c r="E1559" i="2"/>
  <c r="H1559" i="2" s="1"/>
  <c r="I1558" i="2"/>
  <c r="E1558" i="2"/>
  <c r="H1558" i="2" s="1"/>
  <c r="I1557" i="2"/>
  <c r="E1557" i="2"/>
  <c r="H1557" i="2" s="1"/>
  <c r="I1556" i="2"/>
  <c r="E1556" i="2"/>
  <c r="H1556" i="2" s="1"/>
  <c r="I1555" i="2"/>
  <c r="E1555" i="2"/>
  <c r="H1555" i="2" s="1"/>
  <c r="I1554" i="2"/>
  <c r="E1554" i="2"/>
  <c r="H1554" i="2" s="1"/>
  <c r="I1553" i="2"/>
  <c r="E1553" i="2"/>
  <c r="H1553" i="2" s="1"/>
  <c r="I1552" i="2"/>
  <c r="E1552" i="2"/>
  <c r="H1552" i="2" s="1"/>
  <c r="I1551" i="2"/>
  <c r="E1551" i="2"/>
  <c r="H1551" i="2" s="1"/>
  <c r="I1550" i="2"/>
  <c r="E1550" i="2"/>
  <c r="H1550" i="2" s="1"/>
  <c r="I1549" i="2"/>
  <c r="E1549" i="2"/>
  <c r="H1549" i="2" s="1"/>
  <c r="I1548" i="2"/>
  <c r="E1548" i="2"/>
  <c r="H1548" i="2" s="1"/>
  <c r="I1547" i="2"/>
  <c r="E1547" i="2"/>
  <c r="H1547" i="2" s="1"/>
  <c r="I1546" i="2"/>
  <c r="E1546" i="2"/>
  <c r="H1546" i="2" s="1"/>
  <c r="I1545" i="2"/>
  <c r="E1545" i="2"/>
  <c r="H1545" i="2" s="1"/>
  <c r="I1544" i="2"/>
  <c r="E1544" i="2"/>
  <c r="H1544" i="2" s="1"/>
  <c r="I1543" i="2"/>
  <c r="E1543" i="2"/>
  <c r="H1543" i="2" s="1"/>
  <c r="I1542" i="2"/>
  <c r="E1542" i="2"/>
  <c r="H1542" i="2" s="1"/>
  <c r="I1541" i="2"/>
  <c r="E1541" i="2"/>
  <c r="H1541" i="2" s="1"/>
  <c r="I1540" i="2"/>
  <c r="E1540" i="2"/>
  <c r="H1540" i="2" s="1"/>
  <c r="I1539" i="2"/>
  <c r="E1539" i="2"/>
  <c r="H1539" i="2" s="1"/>
  <c r="I1538" i="2"/>
  <c r="E1538" i="2"/>
  <c r="H1538" i="2" s="1"/>
  <c r="I1537" i="2"/>
  <c r="E1537" i="2"/>
  <c r="H1537" i="2" s="1"/>
  <c r="I1536" i="2"/>
  <c r="E1536" i="2"/>
  <c r="H1536" i="2" s="1"/>
  <c r="I1535" i="2"/>
  <c r="E1535" i="2"/>
  <c r="H1535" i="2" s="1"/>
  <c r="I1534" i="2"/>
  <c r="E1534" i="2"/>
  <c r="H1534" i="2" s="1"/>
  <c r="I1533" i="2"/>
  <c r="E1533" i="2"/>
  <c r="H1533" i="2" s="1"/>
  <c r="I1532" i="2"/>
  <c r="E1532" i="2"/>
  <c r="H1532" i="2" s="1"/>
  <c r="I1531" i="2"/>
  <c r="E1531" i="2"/>
  <c r="H1531" i="2" s="1"/>
  <c r="I1530" i="2"/>
  <c r="E1530" i="2"/>
  <c r="H1530" i="2" s="1"/>
  <c r="I1529" i="2"/>
  <c r="E1529" i="2"/>
  <c r="H1529" i="2" s="1"/>
  <c r="I1528" i="2"/>
  <c r="E1528" i="2"/>
  <c r="H1528" i="2" s="1"/>
  <c r="I1527" i="2"/>
  <c r="E1527" i="2"/>
  <c r="H1527" i="2" s="1"/>
  <c r="I1526" i="2"/>
  <c r="E1526" i="2"/>
  <c r="H1526" i="2" s="1"/>
  <c r="I1525" i="2"/>
  <c r="E1525" i="2"/>
  <c r="H1525" i="2" s="1"/>
  <c r="I1524" i="2"/>
  <c r="E1524" i="2"/>
  <c r="H1524" i="2" s="1"/>
  <c r="I1523" i="2"/>
  <c r="H1523" i="2"/>
  <c r="I1522" i="2"/>
  <c r="E1522" i="2"/>
  <c r="H1522" i="2" s="1"/>
  <c r="I1521" i="2"/>
  <c r="E1521" i="2"/>
  <c r="H1521" i="2" s="1"/>
  <c r="I1520" i="2"/>
  <c r="E1520" i="2"/>
  <c r="H1520" i="2" s="1"/>
  <c r="I1519" i="2"/>
  <c r="E1519" i="2"/>
  <c r="H1519" i="2" s="1"/>
  <c r="I1518" i="2"/>
  <c r="E1518" i="2"/>
  <c r="H1518" i="2" s="1"/>
  <c r="I1517" i="2"/>
  <c r="E1517" i="2"/>
  <c r="H1517" i="2" s="1"/>
  <c r="I1516" i="2"/>
  <c r="E1516" i="2"/>
  <c r="H1516" i="2" s="1"/>
  <c r="I1515" i="2"/>
  <c r="E1515" i="2"/>
  <c r="H1515" i="2" s="1"/>
  <c r="I1514" i="2"/>
  <c r="E1514" i="2"/>
  <c r="H1514" i="2" s="1"/>
  <c r="I1513" i="2"/>
  <c r="E1513" i="2"/>
  <c r="H1513" i="2" s="1"/>
  <c r="I1512" i="2"/>
  <c r="E1512" i="2"/>
  <c r="H1512" i="2" s="1"/>
  <c r="I1511" i="2"/>
  <c r="E1511" i="2"/>
  <c r="H1511" i="2" s="1"/>
  <c r="I1510" i="2"/>
  <c r="E1510" i="2"/>
  <c r="H1510" i="2" s="1"/>
  <c r="I1509" i="2"/>
  <c r="E1509" i="2"/>
  <c r="H1509" i="2" s="1"/>
  <c r="I1508" i="2"/>
  <c r="H1508" i="2"/>
  <c r="I1507" i="2"/>
  <c r="E1507" i="2"/>
  <c r="H1507" i="2" s="1"/>
  <c r="I1506" i="2"/>
  <c r="E1506" i="2"/>
  <c r="H1506" i="2" s="1"/>
  <c r="I1505" i="2"/>
  <c r="E1505" i="2"/>
  <c r="H1505" i="2" s="1"/>
  <c r="I1504" i="2"/>
  <c r="E1504" i="2"/>
  <c r="H1504" i="2" s="1"/>
  <c r="I1503" i="2"/>
  <c r="E1503" i="2"/>
  <c r="H1503" i="2" s="1"/>
  <c r="I1502" i="2"/>
  <c r="E1502" i="2"/>
  <c r="H1502" i="2" s="1"/>
  <c r="I1501" i="2"/>
  <c r="E1501" i="2"/>
  <c r="H1501" i="2" s="1"/>
  <c r="I1500" i="2"/>
  <c r="E1500" i="2"/>
  <c r="H1500" i="2" s="1"/>
  <c r="I1499" i="2"/>
  <c r="E1499" i="2"/>
  <c r="H1499" i="2" s="1"/>
  <c r="I1498" i="2"/>
  <c r="E1498" i="2"/>
  <c r="H1498" i="2" s="1"/>
  <c r="I1497" i="2"/>
  <c r="E1497" i="2"/>
  <c r="H1497" i="2" s="1"/>
  <c r="I1496" i="2"/>
  <c r="E1496" i="2"/>
  <c r="H1496" i="2" s="1"/>
  <c r="I1495" i="2"/>
  <c r="E1495" i="2"/>
  <c r="H1495" i="2" s="1"/>
  <c r="I1494" i="2"/>
  <c r="E1494" i="2"/>
  <c r="H1494" i="2" s="1"/>
  <c r="I1493" i="2"/>
  <c r="E1493" i="2"/>
  <c r="H1493" i="2" s="1"/>
  <c r="I1492" i="2"/>
  <c r="E1492" i="2"/>
  <c r="H1492" i="2" s="1"/>
  <c r="I1491" i="2"/>
  <c r="E1491" i="2"/>
  <c r="H1491" i="2" s="1"/>
  <c r="I1490" i="2"/>
  <c r="H1490" i="2"/>
  <c r="I1489" i="2"/>
  <c r="E1489" i="2"/>
  <c r="H1489" i="2" s="1"/>
  <c r="I1488" i="2"/>
  <c r="E1488" i="2"/>
  <c r="H1488" i="2" s="1"/>
  <c r="I1487" i="2"/>
  <c r="E1487" i="2"/>
  <c r="H1487" i="2" s="1"/>
  <c r="I1486" i="2"/>
  <c r="E1486" i="2"/>
  <c r="H1486" i="2" s="1"/>
  <c r="I1485" i="2"/>
  <c r="E1485" i="2"/>
  <c r="H1485" i="2" s="1"/>
  <c r="I1484" i="2"/>
  <c r="E1484" i="2"/>
  <c r="H1484" i="2" s="1"/>
  <c r="I1483" i="2"/>
  <c r="E1483" i="2"/>
  <c r="H1483" i="2" s="1"/>
  <c r="I1482" i="2"/>
  <c r="E1482" i="2"/>
  <c r="H1482" i="2" s="1"/>
  <c r="I1481" i="2"/>
  <c r="E1481" i="2"/>
  <c r="H1481" i="2" s="1"/>
  <c r="I1480" i="2"/>
  <c r="E1480" i="2"/>
  <c r="H1480" i="2" s="1"/>
  <c r="I1479" i="2"/>
  <c r="E1479" i="2"/>
  <c r="H1479" i="2" s="1"/>
  <c r="I1478" i="2"/>
  <c r="E1478" i="2"/>
  <c r="H1478" i="2" s="1"/>
  <c r="I1477" i="2"/>
  <c r="E1477" i="2"/>
  <c r="H1477" i="2" s="1"/>
  <c r="I1476" i="2"/>
  <c r="E1476" i="2"/>
  <c r="H1476" i="2" s="1"/>
  <c r="I1475" i="2"/>
  <c r="E1475" i="2"/>
  <c r="H1475" i="2" s="1"/>
  <c r="I1474" i="2"/>
  <c r="E1474" i="2"/>
  <c r="H1474" i="2" s="1"/>
  <c r="I1473" i="2"/>
  <c r="E1473" i="2"/>
  <c r="H1473" i="2" s="1"/>
  <c r="I1472" i="2"/>
  <c r="E1472" i="2"/>
  <c r="H1472" i="2" s="1"/>
  <c r="I1471" i="2"/>
  <c r="E1471" i="2"/>
  <c r="H1471" i="2" s="1"/>
  <c r="I1470" i="2"/>
  <c r="E1470" i="2"/>
  <c r="H1470" i="2" s="1"/>
  <c r="I1469" i="2"/>
  <c r="E1469" i="2"/>
  <c r="H1469" i="2" s="1"/>
  <c r="I1468" i="2"/>
  <c r="E1468" i="2"/>
  <c r="H1468" i="2" s="1"/>
  <c r="I1467" i="2"/>
  <c r="E1467" i="2"/>
  <c r="H1467" i="2" s="1"/>
  <c r="I1466" i="2"/>
  <c r="E1466" i="2"/>
  <c r="H1466" i="2" s="1"/>
  <c r="I1465" i="2"/>
  <c r="E1465" i="2"/>
  <c r="H1465" i="2" s="1"/>
  <c r="I1464" i="2"/>
  <c r="E1464" i="2"/>
  <c r="H1464" i="2" s="1"/>
  <c r="I1463" i="2"/>
  <c r="E1463" i="2"/>
  <c r="H1463" i="2" s="1"/>
  <c r="I1462" i="2"/>
  <c r="E1462" i="2"/>
  <c r="H1462" i="2" s="1"/>
  <c r="I1461" i="2"/>
  <c r="E1461" i="2"/>
  <c r="H1461" i="2" s="1"/>
  <c r="I1460" i="2"/>
  <c r="E1460" i="2"/>
  <c r="H1460" i="2" s="1"/>
  <c r="I1459" i="2"/>
  <c r="E1459" i="2"/>
  <c r="H1459" i="2" s="1"/>
  <c r="I1458" i="2"/>
  <c r="E1458" i="2"/>
  <c r="H1458" i="2" s="1"/>
  <c r="I1457" i="2"/>
  <c r="E1457" i="2"/>
  <c r="H1457" i="2" s="1"/>
  <c r="I1456" i="2"/>
  <c r="E1456" i="2"/>
  <c r="H1456" i="2" s="1"/>
  <c r="I1455" i="2"/>
  <c r="E1455" i="2"/>
  <c r="H1455" i="2" s="1"/>
  <c r="I1454" i="2"/>
  <c r="E1454" i="2"/>
  <c r="H1454" i="2" s="1"/>
  <c r="I1453" i="2"/>
  <c r="H1453" i="2"/>
  <c r="I1452" i="2"/>
  <c r="E1452" i="2"/>
  <c r="H1452" i="2" s="1"/>
  <c r="I1451" i="2"/>
  <c r="E1451" i="2"/>
  <c r="H1451" i="2" s="1"/>
  <c r="I1450" i="2"/>
  <c r="E1450" i="2"/>
  <c r="H1450" i="2" s="1"/>
  <c r="I1449" i="2"/>
  <c r="E1449" i="2"/>
  <c r="H1449" i="2" s="1"/>
  <c r="I1448" i="2"/>
  <c r="E1448" i="2"/>
  <c r="H1448" i="2" s="1"/>
  <c r="I1447" i="2"/>
  <c r="E1447" i="2"/>
  <c r="H1447" i="2" s="1"/>
  <c r="I1446" i="2"/>
  <c r="E1446" i="2"/>
  <c r="H1446" i="2" s="1"/>
  <c r="I1445" i="2"/>
  <c r="E1445" i="2"/>
  <c r="H1445" i="2" s="1"/>
  <c r="I1444" i="2"/>
  <c r="E1444" i="2"/>
  <c r="H1444" i="2" s="1"/>
  <c r="I1443" i="2"/>
  <c r="E1443" i="2"/>
  <c r="H1443" i="2" s="1"/>
  <c r="I1442" i="2"/>
  <c r="H1442" i="2"/>
  <c r="I1441" i="2"/>
  <c r="E1441" i="2"/>
  <c r="H1441" i="2" s="1"/>
  <c r="I1440" i="2"/>
  <c r="E1440" i="2"/>
  <c r="H1440" i="2" s="1"/>
  <c r="I1439" i="2"/>
  <c r="E1439" i="2"/>
  <c r="H1439" i="2" s="1"/>
  <c r="I1438" i="2"/>
  <c r="E1438" i="2"/>
  <c r="H1438" i="2" s="1"/>
  <c r="I1437" i="2"/>
  <c r="E1437" i="2"/>
  <c r="H1437" i="2" s="1"/>
  <c r="I1436" i="2"/>
  <c r="E1436" i="2"/>
  <c r="H1436" i="2" s="1"/>
  <c r="I1435" i="2"/>
  <c r="E1435" i="2"/>
  <c r="H1435" i="2" s="1"/>
  <c r="I1434" i="2"/>
  <c r="E1434" i="2"/>
  <c r="H1434" i="2" s="1"/>
  <c r="I1433" i="2"/>
  <c r="E1433" i="2"/>
  <c r="H1433" i="2" s="1"/>
  <c r="I1432" i="2"/>
  <c r="E1432" i="2"/>
  <c r="H1432" i="2" s="1"/>
  <c r="I1431" i="2"/>
  <c r="E1431" i="2"/>
  <c r="H1431" i="2" s="1"/>
  <c r="I1430" i="2"/>
  <c r="E1430" i="2"/>
  <c r="H1430" i="2" s="1"/>
  <c r="I1429" i="2"/>
  <c r="E1429" i="2"/>
  <c r="H1429" i="2" s="1"/>
  <c r="I1428" i="2"/>
  <c r="E1428" i="2"/>
  <c r="H1428" i="2" s="1"/>
  <c r="I1427" i="2"/>
  <c r="E1427" i="2"/>
  <c r="H1427" i="2" s="1"/>
  <c r="I1426" i="2"/>
  <c r="E1426" i="2"/>
  <c r="H1426" i="2" s="1"/>
  <c r="I1425" i="2"/>
  <c r="E1425" i="2"/>
  <c r="H1425" i="2" s="1"/>
  <c r="I1424" i="2"/>
  <c r="E1424" i="2"/>
  <c r="H1424" i="2" s="1"/>
  <c r="I1423" i="2"/>
  <c r="E1423" i="2"/>
  <c r="H1423" i="2" s="1"/>
  <c r="I1422" i="2"/>
  <c r="E1422" i="2"/>
  <c r="H1422" i="2" s="1"/>
  <c r="I1421" i="2"/>
  <c r="E1421" i="2"/>
  <c r="H1421" i="2" s="1"/>
  <c r="I1420" i="2"/>
  <c r="E1420" i="2"/>
  <c r="H1420" i="2" s="1"/>
  <c r="I1419" i="2"/>
  <c r="E1419" i="2"/>
  <c r="H1419" i="2" s="1"/>
  <c r="I1418" i="2"/>
  <c r="E1418" i="2"/>
  <c r="H1418" i="2" s="1"/>
  <c r="I1417" i="2"/>
  <c r="E1417" i="2"/>
  <c r="H1417" i="2" s="1"/>
  <c r="I1416" i="2"/>
  <c r="E1416" i="2"/>
  <c r="H1416" i="2" s="1"/>
  <c r="I1415" i="2"/>
  <c r="E1415" i="2"/>
  <c r="H1415" i="2" s="1"/>
  <c r="I1414" i="2"/>
  <c r="E1414" i="2"/>
  <c r="H1414" i="2" s="1"/>
  <c r="I1413" i="2"/>
  <c r="E1413" i="2"/>
  <c r="H1413" i="2" s="1"/>
  <c r="I1412" i="2"/>
  <c r="E1412" i="2"/>
  <c r="H1412" i="2" s="1"/>
  <c r="I1411" i="2"/>
  <c r="E1411" i="2"/>
  <c r="H1411" i="2" s="1"/>
  <c r="I1410" i="2"/>
  <c r="E1410" i="2"/>
  <c r="H1410" i="2" s="1"/>
  <c r="I1409" i="2"/>
  <c r="E1409" i="2"/>
  <c r="H1409" i="2" s="1"/>
  <c r="I1408" i="2"/>
  <c r="E1408" i="2"/>
  <c r="H1408" i="2" s="1"/>
  <c r="I1407" i="2"/>
  <c r="E1407" i="2"/>
  <c r="H1407" i="2" s="1"/>
  <c r="I1406" i="2"/>
  <c r="E1406" i="2"/>
  <c r="H1406" i="2" s="1"/>
  <c r="I1405" i="2"/>
  <c r="E1405" i="2"/>
  <c r="H1405" i="2" s="1"/>
  <c r="I1404" i="2"/>
  <c r="E1404" i="2"/>
  <c r="H1404" i="2" s="1"/>
  <c r="I1403" i="2"/>
  <c r="E1403" i="2"/>
  <c r="H1403" i="2" s="1"/>
  <c r="I1402" i="2"/>
  <c r="E1402" i="2"/>
  <c r="H1402" i="2" s="1"/>
  <c r="I1401" i="2"/>
  <c r="E1401" i="2"/>
  <c r="H1401" i="2" s="1"/>
  <c r="I1400" i="2"/>
  <c r="E1400" i="2"/>
  <c r="H1400" i="2" s="1"/>
  <c r="I1399" i="2"/>
  <c r="E1399" i="2"/>
  <c r="H1399" i="2" s="1"/>
  <c r="I1398" i="2"/>
  <c r="E1398" i="2"/>
  <c r="H1398" i="2" s="1"/>
  <c r="I1397" i="2"/>
  <c r="E1397" i="2"/>
  <c r="H1397" i="2" s="1"/>
  <c r="I1396" i="2"/>
  <c r="E1396" i="2"/>
  <c r="H1396" i="2" s="1"/>
  <c r="I1395" i="2"/>
  <c r="E1395" i="2"/>
  <c r="H1395" i="2" s="1"/>
  <c r="I1394" i="2"/>
  <c r="E1394" i="2"/>
  <c r="H1394" i="2" s="1"/>
  <c r="I1393" i="2"/>
  <c r="E1393" i="2"/>
  <c r="H1393" i="2" s="1"/>
  <c r="I1392" i="2"/>
  <c r="E1392" i="2"/>
  <c r="H1392" i="2" s="1"/>
  <c r="I1391" i="2"/>
  <c r="E1391" i="2"/>
  <c r="H1391" i="2" s="1"/>
  <c r="I1390" i="2"/>
  <c r="E1390" i="2"/>
  <c r="H1390" i="2" s="1"/>
  <c r="I1389" i="2"/>
  <c r="E1389" i="2"/>
  <c r="H1389" i="2" s="1"/>
  <c r="I1388" i="2"/>
  <c r="E1388" i="2"/>
  <c r="H1388" i="2" s="1"/>
  <c r="I1387" i="2"/>
  <c r="E1387" i="2"/>
  <c r="H1387" i="2" s="1"/>
  <c r="I1386" i="2"/>
  <c r="E1386" i="2"/>
  <c r="H1386" i="2" s="1"/>
  <c r="I1385" i="2"/>
  <c r="E1385" i="2"/>
  <c r="H1385" i="2" s="1"/>
  <c r="I1384" i="2"/>
  <c r="E1384" i="2"/>
  <c r="H1384" i="2" s="1"/>
  <c r="I1383" i="2"/>
  <c r="E1383" i="2"/>
  <c r="H1383" i="2" s="1"/>
  <c r="I1382" i="2"/>
  <c r="E1382" i="2"/>
  <c r="H1382" i="2" s="1"/>
  <c r="I1381" i="2"/>
  <c r="E1381" i="2"/>
  <c r="H1381" i="2" s="1"/>
  <c r="I1380" i="2"/>
  <c r="E1380" i="2"/>
  <c r="H1380" i="2" s="1"/>
  <c r="I1379" i="2"/>
  <c r="E1379" i="2"/>
  <c r="H1379" i="2" s="1"/>
  <c r="I1378" i="2"/>
  <c r="E1378" i="2"/>
  <c r="H1378" i="2" s="1"/>
  <c r="I1377" i="2"/>
  <c r="E1377" i="2"/>
  <c r="H1377" i="2" s="1"/>
  <c r="I1376" i="2"/>
  <c r="E1376" i="2"/>
  <c r="H1376" i="2" s="1"/>
  <c r="I1375" i="2"/>
  <c r="E1375" i="2"/>
  <c r="H1375" i="2" s="1"/>
  <c r="I1374" i="2"/>
  <c r="H1374" i="2"/>
  <c r="I1373" i="2"/>
  <c r="E1373" i="2"/>
  <c r="H1373" i="2" s="1"/>
  <c r="I1372" i="2"/>
  <c r="E1372" i="2"/>
  <c r="H1372" i="2" s="1"/>
  <c r="I1371" i="2"/>
  <c r="E1371" i="2"/>
  <c r="H1371" i="2" s="1"/>
  <c r="I1370" i="2"/>
  <c r="E1370" i="2"/>
  <c r="H1370" i="2" s="1"/>
  <c r="I1369" i="2"/>
  <c r="E1369" i="2"/>
  <c r="H1369" i="2" s="1"/>
  <c r="I1368" i="2"/>
  <c r="E1368" i="2"/>
  <c r="H1368" i="2" s="1"/>
  <c r="I1367" i="2"/>
  <c r="E1367" i="2"/>
  <c r="H1367" i="2" s="1"/>
  <c r="I1366" i="2"/>
  <c r="E1366" i="2"/>
  <c r="H1366" i="2" s="1"/>
  <c r="I1365" i="2"/>
  <c r="E1365" i="2"/>
  <c r="H1365" i="2" s="1"/>
  <c r="I1364" i="2"/>
  <c r="E1364" i="2"/>
  <c r="H1364" i="2" s="1"/>
  <c r="I1363" i="2"/>
  <c r="E1363" i="2"/>
  <c r="H1363" i="2" s="1"/>
  <c r="I1362" i="2"/>
  <c r="E1362" i="2"/>
  <c r="H1362" i="2" s="1"/>
  <c r="I1361" i="2"/>
  <c r="E1361" i="2"/>
  <c r="H1361" i="2" s="1"/>
  <c r="I1360" i="2"/>
  <c r="E1360" i="2"/>
  <c r="H1360" i="2" s="1"/>
  <c r="I1359" i="2"/>
  <c r="E1359" i="2"/>
  <c r="H1359" i="2" s="1"/>
  <c r="I1358" i="2"/>
  <c r="E1358" i="2"/>
  <c r="H1358" i="2" s="1"/>
  <c r="I1357" i="2"/>
  <c r="E1357" i="2"/>
  <c r="H1357" i="2" s="1"/>
  <c r="I1356" i="2"/>
  <c r="E1356" i="2"/>
  <c r="H1356" i="2" s="1"/>
  <c r="I1355" i="2"/>
  <c r="E1355" i="2"/>
  <c r="H1355" i="2" s="1"/>
  <c r="I1354" i="2"/>
  <c r="E1354" i="2"/>
  <c r="H1354" i="2" s="1"/>
  <c r="I1353" i="2"/>
  <c r="E1353" i="2"/>
  <c r="H1353" i="2" s="1"/>
  <c r="I1352" i="2"/>
  <c r="E1352" i="2"/>
  <c r="H1352" i="2" s="1"/>
  <c r="I1351" i="2"/>
  <c r="E1351" i="2"/>
  <c r="H1351" i="2" s="1"/>
  <c r="I1350" i="2"/>
  <c r="E1350" i="2"/>
  <c r="H1350" i="2" s="1"/>
  <c r="I1349" i="2"/>
  <c r="E1349" i="2"/>
  <c r="H1349" i="2" s="1"/>
  <c r="I1348" i="2"/>
  <c r="E1348" i="2"/>
  <c r="H1348" i="2" s="1"/>
  <c r="I1347" i="2"/>
  <c r="E1347" i="2"/>
  <c r="H1347" i="2" s="1"/>
  <c r="I1346" i="2"/>
  <c r="E1346" i="2"/>
  <c r="H1346" i="2" s="1"/>
  <c r="I1345" i="2"/>
  <c r="E1345" i="2"/>
  <c r="H1345" i="2" s="1"/>
  <c r="I1344" i="2"/>
  <c r="E1344" i="2"/>
  <c r="H1344" i="2" s="1"/>
  <c r="I1343" i="2"/>
  <c r="E1343" i="2"/>
  <c r="H1343" i="2" s="1"/>
  <c r="I1342" i="2"/>
  <c r="E1342" i="2"/>
  <c r="H1342" i="2" s="1"/>
  <c r="I1341" i="2"/>
  <c r="E1341" i="2"/>
  <c r="H1341" i="2" s="1"/>
  <c r="I1340" i="2"/>
  <c r="E1340" i="2"/>
  <c r="H1340" i="2" s="1"/>
  <c r="I1339" i="2"/>
  <c r="H1339" i="2"/>
  <c r="I1338" i="2"/>
  <c r="H1338" i="2"/>
  <c r="I1337" i="2"/>
  <c r="H1337" i="2"/>
  <c r="I1336" i="2"/>
  <c r="E1336" i="2"/>
  <c r="H1336" i="2" s="1"/>
  <c r="I1335" i="2"/>
  <c r="E1335" i="2"/>
  <c r="H1335" i="2" s="1"/>
  <c r="I1334" i="2"/>
  <c r="E1334" i="2"/>
  <c r="H1334" i="2" s="1"/>
  <c r="I1333" i="2"/>
  <c r="E1333" i="2"/>
  <c r="H1333" i="2" s="1"/>
  <c r="I1332" i="2"/>
  <c r="E1332" i="2"/>
  <c r="H1332" i="2" s="1"/>
  <c r="I1331" i="2"/>
  <c r="E1331" i="2"/>
  <c r="H1331" i="2" s="1"/>
  <c r="I1330" i="2"/>
  <c r="E1330" i="2"/>
  <c r="H1330" i="2" s="1"/>
  <c r="I1329" i="2"/>
  <c r="E1329" i="2"/>
  <c r="H1329" i="2" s="1"/>
  <c r="I1328" i="2"/>
  <c r="E1328" i="2"/>
  <c r="H1328" i="2" s="1"/>
  <c r="I1327" i="2"/>
  <c r="E1327" i="2"/>
  <c r="H1327" i="2" s="1"/>
  <c r="I1326" i="2"/>
  <c r="E1326" i="2"/>
  <c r="H1326" i="2" s="1"/>
  <c r="I1325" i="2"/>
  <c r="E1325" i="2"/>
  <c r="H1325" i="2" s="1"/>
  <c r="I1324" i="2"/>
  <c r="E1324" i="2"/>
  <c r="H1324" i="2" s="1"/>
  <c r="I1323" i="2"/>
  <c r="E1323" i="2"/>
  <c r="H1323" i="2" s="1"/>
  <c r="I1322" i="2"/>
  <c r="E1322" i="2"/>
  <c r="H1322" i="2" s="1"/>
  <c r="I1321" i="2"/>
  <c r="E1321" i="2"/>
  <c r="H1321" i="2" s="1"/>
  <c r="I1320" i="2"/>
  <c r="E1320" i="2"/>
  <c r="H1320" i="2" s="1"/>
  <c r="I1319" i="2"/>
  <c r="E1319" i="2"/>
  <c r="H1319" i="2" s="1"/>
  <c r="I1318" i="2"/>
  <c r="E1318" i="2"/>
  <c r="H1318" i="2" s="1"/>
  <c r="I1317" i="2"/>
  <c r="E1317" i="2"/>
  <c r="H1317" i="2" s="1"/>
  <c r="I1316" i="2"/>
  <c r="E1316" i="2"/>
  <c r="H1316" i="2" s="1"/>
  <c r="I1315" i="2"/>
  <c r="E1315" i="2"/>
  <c r="H1315" i="2" s="1"/>
  <c r="I1314" i="2"/>
  <c r="E1314" i="2"/>
  <c r="H1314" i="2" s="1"/>
  <c r="I1313" i="2"/>
  <c r="E1313" i="2"/>
  <c r="H1313" i="2" s="1"/>
  <c r="I1312" i="2"/>
  <c r="E1312" i="2"/>
  <c r="H1312" i="2" s="1"/>
  <c r="I1311" i="2"/>
  <c r="E1311" i="2"/>
  <c r="H1311" i="2" s="1"/>
  <c r="I1310" i="2"/>
  <c r="E1310" i="2"/>
  <c r="H1310" i="2" s="1"/>
  <c r="I1309" i="2"/>
  <c r="E1309" i="2"/>
  <c r="H1309" i="2" s="1"/>
  <c r="I1308" i="2"/>
  <c r="H1308" i="2"/>
  <c r="I1307" i="2"/>
  <c r="E1307" i="2"/>
  <c r="H1307" i="2" s="1"/>
  <c r="I1306" i="2"/>
  <c r="E1306" i="2"/>
  <c r="H1306" i="2" s="1"/>
  <c r="I1305" i="2"/>
  <c r="E1305" i="2"/>
  <c r="H1305" i="2" s="1"/>
  <c r="I1304" i="2"/>
  <c r="E1304" i="2"/>
  <c r="H1304" i="2" s="1"/>
  <c r="I1303" i="2"/>
  <c r="E1303" i="2"/>
  <c r="H1303" i="2" s="1"/>
  <c r="I1302" i="2"/>
  <c r="E1302" i="2"/>
  <c r="H1302" i="2" s="1"/>
  <c r="I1301" i="2"/>
  <c r="E1301" i="2"/>
  <c r="H1301" i="2" s="1"/>
  <c r="I1300" i="2"/>
  <c r="E1300" i="2"/>
  <c r="H1300" i="2" s="1"/>
  <c r="I1299" i="2"/>
  <c r="E1299" i="2"/>
  <c r="H1299" i="2" s="1"/>
  <c r="I1298" i="2"/>
  <c r="E1298" i="2"/>
  <c r="H1298" i="2" s="1"/>
  <c r="I1297" i="2"/>
  <c r="E1297" i="2"/>
  <c r="H1297" i="2" s="1"/>
  <c r="I1296" i="2"/>
  <c r="E1296" i="2"/>
  <c r="H1296" i="2" s="1"/>
  <c r="I1295" i="2"/>
  <c r="E1295" i="2"/>
  <c r="H1295" i="2" s="1"/>
  <c r="I1294" i="2"/>
  <c r="E1294" i="2"/>
  <c r="H1294" i="2" s="1"/>
  <c r="I1293" i="2"/>
  <c r="E1293" i="2"/>
  <c r="H1293" i="2" s="1"/>
  <c r="I1292" i="2"/>
  <c r="E1292" i="2"/>
  <c r="H1292" i="2" s="1"/>
  <c r="I1291" i="2"/>
  <c r="E1291" i="2"/>
  <c r="H1291" i="2" s="1"/>
  <c r="I1290" i="2"/>
  <c r="E1290" i="2"/>
  <c r="H1290" i="2" s="1"/>
  <c r="I1289" i="2"/>
  <c r="E1289" i="2"/>
  <c r="H1289" i="2" s="1"/>
  <c r="I1288" i="2"/>
  <c r="E1288" i="2"/>
  <c r="H1288" i="2" s="1"/>
  <c r="I1287" i="2"/>
  <c r="E1287" i="2"/>
  <c r="H1287" i="2" s="1"/>
  <c r="I1286" i="2"/>
  <c r="E1286" i="2"/>
  <c r="H1286" i="2" s="1"/>
  <c r="I1285" i="2"/>
  <c r="E1285" i="2"/>
  <c r="H1285" i="2" s="1"/>
  <c r="I1284" i="2"/>
  <c r="E1284" i="2"/>
  <c r="H1284" i="2" s="1"/>
  <c r="I1283" i="2"/>
  <c r="H1283" i="2"/>
  <c r="I1282" i="2"/>
  <c r="H1282" i="2"/>
  <c r="I1281" i="2"/>
  <c r="E1281" i="2"/>
  <c r="H1281" i="2" s="1"/>
  <c r="I1280" i="2"/>
  <c r="E1280" i="2"/>
  <c r="H1280" i="2" s="1"/>
  <c r="I1279" i="2"/>
  <c r="E1279" i="2"/>
  <c r="H1279" i="2" s="1"/>
  <c r="I1278" i="2"/>
  <c r="E1278" i="2"/>
  <c r="H1278" i="2" s="1"/>
  <c r="I1277" i="2"/>
  <c r="E1277" i="2"/>
  <c r="H1277" i="2" s="1"/>
  <c r="I1276" i="2"/>
  <c r="E1276" i="2"/>
  <c r="H1276" i="2" s="1"/>
  <c r="I1275" i="2"/>
  <c r="E1275" i="2"/>
  <c r="H1275" i="2" s="1"/>
  <c r="I1274" i="2"/>
  <c r="E1274" i="2"/>
  <c r="H1274" i="2" s="1"/>
  <c r="I1273" i="2"/>
  <c r="E1273" i="2"/>
  <c r="H1273" i="2" s="1"/>
  <c r="I1272" i="2"/>
  <c r="E1272" i="2"/>
  <c r="H1272" i="2" s="1"/>
  <c r="I1271" i="2"/>
  <c r="E1271" i="2"/>
  <c r="H1271" i="2" s="1"/>
  <c r="I1270" i="2"/>
  <c r="E1270" i="2"/>
  <c r="H1270" i="2" s="1"/>
  <c r="I1269" i="2"/>
  <c r="E1269" i="2"/>
  <c r="H1269" i="2" s="1"/>
  <c r="I1268" i="2"/>
  <c r="E1268" i="2"/>
  <c r="H1268" i="2" s="1"/>
  <c r="I1267" i="2"/>
  <c r="E1267" i="2"/>
  <c r="H1267" i="2" s="1"/>
  <c r="I1266" i="2"/>
  <c r="E1266" i="2"/>
  <c r="H1266" i="2" s="1"/>
  <c r="I1265" i="2"/>
  <c r="E1265" i="2"/>
  <c r="H1265" i="2" s="1"/>
  <c r="I1264" i="2"/>
  <c r="E1264" i="2"/>
  <c r="H1264" i="2" s="1"/>
  <c r="I1263" i="2"/>
  <c r="E1263" i="2"/>
  <c r="H1263" i="2" s="1"/>
  <c r="I1262" i="2"/>
  <c r="E1262" i="2"/>
  <c r="H1262" i="2" s="1"/>
  <c r="I1261" i="2"/>
  <c r="E1261" i="2"/>
  <c r="H1261" i="2" s="1"/>
  <c r="I1260" i="2"/>
  <c r="E1260" i="2"/>
  <c r="H1260" i="2" s="1"/>
  <c r="I1259" i="2"/>
  <c r="E1259" i="2"/>
  <c r="H1259" i="2" s="1"/>
  <c r="I1258" i="2"/>
  <c r="E1258" i="2"/>
  <c r="H1258" i="2" s="1"/>
  <c r="I1257" i="2"/>
  <c r="E1257" i="2"/>
  <c r="H1257" i="2" s="1"/>
  <c r="I1256" i="2"/>
  <c r="E1256" i="2"/>
  <c r="H1256" i="2" s="1"/>
  <c r="I1255" i="2"/>
  <c r="E1255" i="2"/>
  <c r="H1255" i="2" s="1"/>
  <c r="I1254" i="2"/>
  <c r="H1254" i="2"/>
  <c r="I1253" i="2"/>
  <c r="E1253" i="2"/>
  <c r="H1253" i="2" s="1"/>
  <c r="I1252" i="2"/>
  <c r="E1252" i="2"/>
  <c r="H1252" i="2" s="1"/>
  <c r="I1251" i="2"/>
  <c r="E1251" i="2"/>
  <c r="H1251" i="2" s="1"/>
  <c r="I1250" i="2"/>
  <c r="E1250" i="2"/>
  <c r="H1250" i="2" s="1"/>
  <c r="I1249" i="2"/>
  <c r="E1249" i="2"/>
  <c r="H1249" i="2" s="1"/>
  <c r="I1248" i="2"/>
  <c r="E1248" i="2"/>
  <c r="H1248" i="2" s="1"/>
  <c r="I1247" i="2"/>
  <c r="E1247" i="2"/>
  <c r="H1247" i="2" s="1"/>
  <c r="I1246" i="2"/>
  <c r="E1246" i="2"/>
  <c r="H1246" i="2" s="1"/>
  <c r="I1245" i="2"/>
  <c r="E1245" i="2"/>
  <c r="H1245" i="2" s="1"/>
  <c r="I1244" i="2"/>
  <c r="E1244" i="2"/>
  <c r="H1244" i="2" s="1"/>
  <c r="I1243" i="2"/>
  <c r="E1243" i="2"/>
  <c r="H1243" i="2" s="1"/>
  <c r="I1242" i="2"/>
  <c r="E1242" i="2"/>
  <c r="H1242" i="2" s="1"/>
  <c r="I1241" i="2"/>
  <c r="E1241" i="2"/>
  <c r="H1241" i="2" s="1"/>
  <c r="I1240" i="2"/>
  <c r="E1240" i="2"/>
  <c r="H1240" i="2" s="1"/>
  <c r="I1239" i="2"/>
  <c r="E1239" i="2"/>
  <c r="H1239" i="2" s="1"/>
  <c r="I1238" i="2"/>
  <c r="E1238" i="2"/>
  <c r="H1238" i="2" s="1"/>
  <c r="I1237" i="2"/>
  <c r="H1237" i="2"/>
  <c r="I1236" i="2"/>
  <c r="E1236" i="2"/>
  <c r="H1236" i="2" s="1"/>
  <c r="I1235" i="2"/>
  <c r="E1235" i="2"/>
  <c r="H1235" i="2" s="1"/>
  <c r="I1234" i="2"/>
  <c r="E1234" i="2"/>
  <c r="H1234" i="2" s="1"/>
  <c r="I1233" i="2"/>
  <c r="E1233" i="2"/>
  <c r="H1233" i="2" s="1"/>
  <c r="I1232" i="2"/>
  <c r="E1232" i="2"/>
  <c r="H1232" i="2" s="1"/>
  <c r="I1231" i="2"/>
  <c r="E1231" i="2"/>
  <c r="H1231" i="2" s="1"/>
  <c r="I1230" i="2"/>
  <c r="H1230" i="2"/>
  <c r="I1229" i="2"/>
  <c r="E1229" i="2"/>
  <c r="H1229" i="2" s="1"/>
  <c r="I1228" i="2"/>
  <c r="E1228" i="2"/>
  <c r="H1228" i="2" s="1"/>
  <c r="I1227" i="2"/>
  <c r="E1227" i="2"/>
  <c r="H1227" i="2" s="1"/>
  <c r="I1226" i="2"/>
  <c r="E1226" i="2"/>
  <c r="H1226" i="2" s="1"/>
  <c r="I1225" i="2"/>
  <c r="E1225" i="2"/>
  <c r="H1225" i="2" s="1"/>
  <c r="I1224" i="2"/>
  <c r="E1224" i="2"/>
  <c r="H1224" i="2" s="1"/>
  <c r="I1223" i="2"/>
  <c r="E1223" i="2"/>
  <c r="H1223" i="2" s="1"/>
  <c r="I1222" i="2"/>
  <c r="E1222" i="2"/>
  <c r="H1222" i="2" s="1"/>
  <c r="I1221" i="2"/>
  <c r="E1221" i="2"/>
  <c r="H1221" i="2" s="1"/>
  <c r="I1220" i="2"/>
  <c r="E1220" i="2"/>
  <c r="H1220" i="2" s="1"/>
  <c r="I1219" i="2"/>
  <c r="E1219" i="2"/>
  <c r="H1219" i="2" s="1"/>
  <c r="I1218" i="2"/>
  <c r="E1218" i="2"/>
  <c r="H1218" i="2" s="1"/>
  <c r="I1217" i="2"/>
  <c r="E1217" i="2"/>
  <c r="H1217" i="2" s="1"/>
  <c r="I1216" i="2"/>
  <c r="H1216" i="2"/>
  <c r="I1215" i="2"/>
  <c r="H1215" i="2"/>
  <c r="I1214" i="2"/>
  <c r="E1214" i="2"/>
  <c r="H1214" i="2" s="1"/>
  <c r="I1213" i="2"/>
  <c r="E1213" i="2"/>
  <c r="H1213" i="2" s="1"/>
  <c r="I1212" i="2"/>
  <c r="E1212" i="2"/>
  <c r="H1212" i="2" s="1"/>
  <c r="I1211" i="2"/>
  <c r="E1211" i="2"/>
  <c r="H1211" i="2" s="1"/>
  <c r="I1210" i="2"/>
  <c r="E1210" i="2"/>
  <c r="H1210" i="2" s="1"/>
  <c r="I1209" i="2"/>
  <c r="E1209" i="2"/>
  <c r="H1209" i="2" s="1"/>
  <c r="I1208" i="2"/>
  <c r="E1208" i="2"/>
  <c r="H1208" i="2" s="1"/>
  <c r="I1207" i="2"/>
  <c r="E1207" i="2"/>
  <c r="H1207" i="2" s="1"/>
  <c r="I1206" i="2"/>
  <c r="E1206" i="2"/>
  <c r="H1206" i="2" s="1"/>
  <c r="I1205" i="2"/>
  <c r="E1205" i="2"/>
  <c r="H1205" i="2" s="1"/>
  <c r="I1204" i="2"/>
  <c r="E1204" i="2"/>
  <c r="H1204" i="2" s="1"/>
  <c r="I1203" i="2"/>
  <c r="E1203" i="2"/>
  <c r="H1203" i="2" s="1"/>
  <c r="I1202" i="2"/>
  <c r="E1202" i="2"/>
  <c r="H1202" i="2" s="1"/>
  <c r="I1201" i="2"/>
  <c r="E1201" i="2"/>
  <c r="H1201" i="2" s="1"/>
  <c r="I1200" i="2"/>
  <c r="E1200" i="2"/>
  <c r="H1200" i="2" s="1"/>
  <c r="I1199" i="2"/>
  <c r="E1199" i="2"/>
  <c r="H1199" i="2" s="1"/>
  <c r="I1198" i="2"/>
  <c r="E1198" i="2"/>
  <c r="H1198" i="2" s="1"/>
  <c r="I1197" i="2"/>
  <c r="E1197" i="2"/>
  <c r="H1197" i="2" s="1"/>
  <c r="I1196" i="2"/>
  <c r="E1196" i="2"/>
  <c r="H1196" i="2" s="1"/>
  <c r="I1195" i="2"/>
  <c r="H1195" i="2"/>
  <c r="I1194" i="2"/>
  <c r="E1194" i="2"/>
  <c r="H1194" i="2" s="1"/>
  <c r="I1193" i="2"/>
  <c r="E1193" i="2"/>
  <c r="H1193" i="2" s="1"/>
  <c r="I1192" i="2"/>
  <c r="E1192" i="2"/>
  <c r="H1192" i="2" s="1"/>
  <c r="I1191" i="2"/>
  <c r="E1191" i="2"/>
  <c r="H1191" i="2" s="1"/>
  <c r="I1190" i="2"/>
  <c r="E1190" i="2"/>
  <c r="H1190" i="2" s="1"/>
  <c r="I1189" i="2"/>
  <c r="E1189" i="2"/>
  <c r="H1189" i="2" s="1"/>
  <c r="I1188" i="2"/>
  <c r="E1188" i="2"/>
  <c r="H1188" i="2" s="1"/>
  <c r="I1187" i="2"/>
  <c r="E1187" i="2"/>
  <c r="H1187" i="2" s="1"/>
  <c r="I1186" i="2"/>
  <c r="E1186" i="2"/>
  <c r="H1186" i="2" s="1"/>
  <c r="I1185" i="2"/>
  <c r="E1185" i="2"/>
  <c r="H1185" i="2" s="1"/>
  <c r="I1184" i="2"/>
  <c r="E1184" i="2"/>
  <c r="H1184" i="2" s="1"/>
  <c r="I1183" i="2"/>
  <c r="E1183" i="2"/>
  <c r="H1183" i="2" s="1"/>
  <c r="I1182" i="2"/>
  <c r="E1182" i="2"/>
  <c r="H1182" i="2" s="1"/>
  <c r="I1181" i="2"/>
  <c r="E1181" i="2"/>
  <c r="H1181" i="2" s="1"/>
  <c r="I1180" i="2"/>
  <c r="E1180" i="2"/>
  <c r="H1180" i="2" s="1"/>
  <c r="I1179" i="2"/>
  <c r="E1179" i="2"/>
  <c r="H1179" i="2" s="1"/>
  <c r="I1178" i="2"/>
  <c r="E1178" i="2"/>
  <c r="H1178" i="2" s="1"/>
  <c r="I1177" i="2"/>
  <c r="E1177" i="2"/>
  <c r="H1177" i="2" s="1"/>
  <c r="I1176" i="2"/>
  <c r="H1176" i="2"/>
  <c r="I1175" i="2"/>
  <c r="E1175" i="2"/>
  <c r="H1175" i="2" s="1"/>
  <c r="I1174" i="2"/>
  <c r="E1174" i="2"/>
  <c r="H1174" i="2" s="1"/>
  <c r="I1173" i="2"/>
  <c r="E1173" i="2"/>
  <c r="H1173" i="2" s="1"/>
  <c r="I1172" i="2"/>
  <c r="E1172" i="2"/>
  <c r="H1172" i="2" s="1"/>
  <c r="I1171" i="2"/>
  <c r="E1171" i="2"/>
  <c r="H1171" i="2" s="1"/>
  <c r="I1170" i="2"/>
  <c r="E1170" i="2"/>
  <c r="H1170" i="2" s="1"/>
  <c r="I1169" i="2"/>
  <c r="E1169" i="2"/>
  <c r="H1169" i="2" s="1"/>
  <c r="I1168" i="2"/>
  <c r="E1168" i="2"/>
  <c r="H1168" i="2" s="1"/>
  <c r="I1167" i="2"/>
  <c r="E1167" i="2"/>
  <c r="H1167" i="2" s="1"/>
  <c r="I1166" i="2"/>
  <c r="E1166" i="2"/>
  <c r="H1166" i="2" s="1"/>
  <c r="I1165" i="2"/>
  <c r="E1165" i="2"/>
  <c r="H1165" i="2" s="1"/>
  <c r="I1164" i="2"/>
  <c r="H1164" i="2"/>
  <c r="I1163" i="2"/>
  <c r="E1163" i="2"/>
  <c r="H1163" i="2" s="1"/>
  <c r="I1162" i="2"/>
  <c r="E1162" i="2"/>
  <c r="H1162" i="2" s="1"/>
  <c r="I1161" i="2"/>
  <c r="E1161" i="2"/>
  <c r="H1161" i="2" s="1"/>
  <c r="I1160" i="2"/>
  <c r="E1160" i="2"/>
  <c r="H1160" i="2" s="1"/>
  <c r="I1159" i="2"/>
  <c r="E1159" i="2"/>
  <c r="H1159" i="2" s="1"/>
  <c r="I1158" i="2"/>
  <c r="E1158" i="2"/>
  <c r="H1158" i="2" s="1"/>
  <c r="I1157" i="2"/>
  <c r="E1157" i="2"/>
  <c r="H1157" i="2" s="1"/>
  <c r="I1156" i="2"/>
  <c r="E1156" i="2"/>
  <c r="H1156" i="2" s="1"/>
  <c r="I1155" i="2"/>
  <c r="E1155" i="2"/>
  <c r="H1155" i="2" s="1"/>
  <c r="I1154" i="2"/>
  <c r="E1154" i="2"/>
  <c r="H1154" i="2" s="1"/>
  <c r="I1153" i="2"/>
  <c r="E1153" i="2"/>
  <c r="H1153" i="2" s="1"/>
  <c r="I1152" i="2"/>
  <c r="H1152" i="2"/>
  <c r="I1151" i="2"/>
  <c r="E1151" i="2"/>
  <c r="H1151" i="2" s="1"/>
  <c r="I1150" i="2"/>
  <c r="E1150" i="2"/>
  <c r="H1150" i="2" s="1"/>
  <c r="I1149" i="2"/>
  <c r="E1149" i="2"/>
  <c r="H1149" i="2" s="1"/>
  <c r="I1148" i="2"/>
  <c r="E1148" i="2"/>
  <c r="H1148" i="2" s="1"/>
  <c r="I1147" i="2"/>
  <c r="E1147" i="2"/>
  <c r="H1147" i="2" s="1"/>
  <c r="I1146" i="2"/>
  <c r="E1146" i="2"/>
  <c r="H1146" i="2" s="1"/>
  <c r="I1145" i="2"/>
  <c r="E1145" i="2"/>
  <c r="H1145" i="2" s="1"/>
  <c r="I1144" i="2"/>
  <c r="E1144" i="2"/>
  <c r="H1144" i="2" s="1"/>
  <c r="I1143" i="2"/>
  <c r="E1143" i="2"/>
  <c r="H1143" i="2" s="1"/>
  <c r="I1142" i="2"/>
  <c r="E1142" i="2"/>
  <c r="H1142" i="2" s="1"/>
  <c r="I1141" i="2"/>
  <c r="E1141" i="2"/>
  <c r="H1141" i="2" s="1"/>
  <c r="I1140" i="2"/>
  <c r="E1140" i="2"/>
  <c r="H1140" i="2" s="1"/>
  <c r="I1139" i="2"/>
  <c r="E1139" i="2"/>
  <c r="H1139" i="2" s="1"/>
  <c r="I1138" i="2"/>
  <c r="E1138" i="2"/>
  <c r="H1138" i="2" s="1"/>
  <c r="I1137" i="2"/>
  <c r="E1137" i="2"/>
  <c r="H1137" i="2" s="1"/>
  <c r="I1136" i="2"/>
  <c r="E1136" i="2"/>
  <c r="H1136" i="2" s="1"/>
  <c r="I1135" i="2"/>
  <c r="H1135" i="2"/>
  <c r="I1134" i="2"/>
  <c r="H1134" i="2"/>
  <c r="I1133" i="2"/>
  <c r="E1133" i="2"/>
  <c r="H1133" i="2" s="1"/>
  <c r="I1132" i="2"/>
  <c r="E1132" i="2"/>
  <c r="H1132" i="2" s="1"/>
  <c r="I1131" i="2"/>
  <c r="E1131" i="2"/>
  <c r="H1131" i="2" s="1"/>
  <c r="I1130" i="2"/>
  <c r="E1130" i="2"/>
  <c r="H1130" i="2" s="1"/>
  <c r="I1129" i="2"/>
  <c r="E1129" i="2"/>
  <c r="H1129" i="2" s="1"/>
  <c r="I1128" i="2"/>
  <c r="E1128" i="2"/>
  <c r="H1128" i="2" s="1"/>
  <c r="I1127" i="2"/>
  <c r="E1127" i="2"/>
  <c r="H1127" i="2" s="1"/>
  <c r="I1126" i="2"/>
  <c r="E1126" i="2"/>
  <c r="H1126" i="2" s="1"/>
  <c r="I1125" i="2"/>
  <c r="E1125" i="2"/>
  <c r="H1125" i="2" s="1"/>
  <c r="I1124" i="2"/>
  <c r="E1124" i="2"/>
  <c r="H1124" i="2" s="1"/>
  <c r="I1123" i="2"/>
  <c r="E1123" i="2"/>
  <c r="H1123" i="2" s="1"/>
  <c r="I1122" i="2"/>
  <c r="H1122" i="2"/>
  <c r="I1121" i="2"/>
  <c r="E1121" i="2"/>
  <c r="H1121" i="2" s="1"/>
  <c r="I1120" i="2"/>
  <c r="E1120" i="2"/>
  <c r="H1120" i="2" s="1"/>
  <c r="I1119" i="2"/>
  <c r="E1119" i="2"/>
  <c r="H1119" i="2" s="1"/>
  <c r="I1118" i="2"/>
  <c r="E1118" i="2"/>
  <c r="H1118" i="2" s="1"/>
  <c r="I1117" i="2"/>
  <c r="E1117" i="2"/>
  <c r="H1117" i="2" s="1"/>
  <c r="I1116" i="2"/>
  <c r="E1116" i="2"/>
  <c r="H1116" i="2" s="1"/>
  <c r="I1115" i="2"/>
  <c r="E1115" i="2"/>
  <c r="H1115" i="2" s="1"/>
  <c r="I1114" i="2"/>
  <c r="E1114" i="2"/>
  <c r="H1114" i="2" s="1"/>
  <c r="I1113" i="2"/>
  <c r="E1113" i="2"/>
  <c r="H1113" i="2" s="1"/>
  <c r="I1112" i="2"/>
  <c r="E1112" i="2"/>
  <c r="H1112" i="2" s="1"/>
  <c r="I1111" i="2"/>
  <c r="E1111" i="2"/>
  <c r="H1111" i="2" s="1"/>
  <c r="I1110" i="2"/>
  <c r="E1110" i="2"/>
  <c r="H1110" i="2" s="1"/>
  <c r="I1109" i="2"/>
  <c r="E1109" i="2"/>
  <c r="H1109" i="2" s="1"/>
  <c r="I1108" i="2"/>
  <c r="E1108" i="2"/>
  <c r="H1108" i="2" s="1"/>
  <c r="I1107" i="2"/>
  <c r="E1107" i="2"/>
  <c r="H1107" i="2" s="1"/>
  <c r="I1106" i="2"/>
  <c r="H1106" i="2"/>
  <c r="I1105" i="2"/>
  <c r="E1105" i="2"/>
  <c r="H1105" i="2" s="1"/>
  <c r="I1104" i="2"/>
  <c r="E1104" i="2"/>
  <c r="H1104" i="2" s="1"/>
  <c r="I1103" i="2"/>
  <c r="E1103" i="2"/>
  <c r="H1103" i="2" s="1"/>
  <c r="I1102" i="2"/>
  <c r="E1102" i="2"/>
  <c r="H1102" i="2" s="1"/>
  <c r="I1101" i="2"/>
  <c r="E1101" i="2"/>
  <c r="H1101" i="2" s="1"/>
  <c r="I1100" i="2"/>
  <c r="E1100" i="2"/>
  <c r="H1100" i="2" s="1"/>
  <c r="I1099" i="2"/>
  <c r="E1099" i="2"/>
  <c r="H1099" i="2" s="1"/>
  <c r="I1098" i="2"/>
  <c r="E1098" i="2"/>
  <c r="H1098" i="2" s="1"/>
  <c r="I1097" i="2"/>
  <c r="E1097" i="2"/>
  <c r="H1097" i="2" s="1"/>
  <c r="I1096" i="2"/>
  <c r="E1096" i="2"/>
  <c r="H1096" i="2" s="1"/>
  <c r="I1095" i="2"/>
  <c r="E1095" i="2"/>
  <c r="H1095" i="2" s="1"/>
  <c r="I1094" i="2"/>
  <c r="E1094" i="2"/>
  <c r="H1094" i="2" s="1"/>
  <c r="I1093" i="2"/>
  <c r="E1093" i="2"/>
  <c r="H1093" i="2" s="1"/>
  <c r="I1092" i="2"/>
  <c r="E1092" i="2"/>
  <c r="H1092" i="2" s="1"/>
  <c r="I1091" i="2"/>
  <c r="E1091" i="2"/>
  <c r="H1091" i="2" s="1"/>
  <c r="I1090" i="2"/>
  <c r="E1090" i="2"/>
  <c r="H1090" i="2" s="1"/>
  <c r="I1089" i="2"/>
  <c r="E1089" i="2"/>
  <c r="H1089" i="2" s="1"/>
  <c r="I1088" i="2"/>
  <c r="E1088" i="2"/>
  <c r="H1088" i="2" s="1"/>
  <c r="I1087" i="2"/>
  <c r="E1087" i="2"/>
  <c r="H1087" i="2" s="1"/>
  <c r="I1086" i="2"/>
  <c r="E1086" i="2"/>
  <c r="H1086" i="2" s="1"/>
  <c r="I1085" i="2"/>
  <c r="E1085" i="2"/>
  <c r="H1085" i="2" s="1"/>
  <c r="I1084" i="2"/>
  <c r="E1084" i="2"/>
  <c r="H1084" i="2" s="1"/>
  <c r="I1083" i="2"/>
  <c r="E1083" i="2"/>
  <c r="H1083" i="2" s="1"/>
  <c r="I1082" i="2"/>
  <c r="E1082" i="2"/>
  <c r="H1082" i="2" s="1"/>
  <c r="I1081" i="2"/>
  <c r="E1081" i="2"/>
  <c r="H1081" i="2" s="1"/>
  <c r="I1080" i="2"/>
  <c r="E1080" i="2"/>
  <c r="H1080" i="2" s="1"/>
  <c r="I1079" i="2"/>
  <c r="H1079" i="2"/>
  <c r="I1078" i="2"/>
  <c r="E1078" i="2"/>
  <c r="H1078" i="2" s="1"/>
  <c r="I1077" i="2"/>
  <c r="E1077" i="2"/>
  <c r="H1077" i="2" s="1"/>
  <c r="I1076" i="2"/>
  <c r="E1076" i="2"/>
  <c r="H1076" i="2" s="1"/>
  <c r="I1075" i="2"/>
  <c r="E1075" i="2"/>
  <c r="H1075" i="2" s="1"/>
  <c r="I1074" i="2"/>
  <c r="E1074" i="2"/>
  <c r="H1074" i="2" s="1"/>
  <c r="I1073" i="2"/>
  <c r="E1073" i="2"/>
  <c r="H1073" i="2" s="1"/>
  <c r="I1072" i="2"/>
  <c r="E1072" i="2"/>
  <c r="H1072" i="2" s="1"/>
  <c r="I1071" i="2"/>
  <c r="E1071" i="2"/>
  <c r="H1071" i="2" s="1"/>
  <c r="I1070" i="2"/>
  <c r="E1070" i="2"/>
  <c r="H1070" i="2" s="1"/>
  <c r="I1069" i="2"/>
  <c r="E1069" i="2"/>
  <c r="H1069" i="2" s="1"/>
  <c r="I1068" i="2"/>
  <c r="E1068" i="2"/>
  <c r="H1068" i="2" s="1"/>
  <c r="I1067" i="2"/>
  <c r="E1067" i="2"/>
  <c r="H1067" i="2" s="1"/>
  <c r="I1066" i="2"/>
  <c r="E1066" i="2"/>
  <c r="H1066" i="2" s="1"/>
  <c r="I1065" i="2"/>
  <c r="E1065" i="2"/>
  <c r="H1065" i="2" s="1"/>
  <c r="I1064" i="2"/>
  <c r="E1064" i="2"/>
  <c r="H1064" i="2" s="1"/>
  <c r="I1063" i="2"/>
  <c r="H1063" i="2"/>
  <c r="I1062" i="2"/>
  <c r="H1062" i="2"/>
  <c r="I1061" i="2"/>
  <c r="E1061" i="2"/>
  <c r="H1061" i="2" s="1"/>
  <c r="I1060" i="2"/>
  <c r="E1060" i="2"/>
  <c r="H1060" i="2" s="1"/>
  <c r="I1059" i="2"/>
  <c r="E1059" i="2"/>
  <c r="H1059" i="2" s="1"/>
  <c r="I1058" i="2"/>
  <c r="E1058" i="2"/>
  <c r="H1058" i="2" s="1"/>
  <c r="I1057" i="2"/>
  <c r="E1057" i="2"/>
  <c r="H1057" i="2" s="1"/>
  <c r="I1056" i="2"/>
  <c r="E1056" i="2"/>
  <c r="H1056" i="2" s="1"/>
  <c r="I1055" i="2"/>
  <c r="E1055" i="2"/>
  <c r="H1055" i="2" s="1"/>
  <c r="I1054" i="2"/>
  <c r="E1054" i="2"/>
  <c r="H1054" i="2" s="1"/>
  <c r="I1053" i="2"/>
  <c r="E1053" i="2"/>
  <c r="H1053" i="2" s="1"/>
  <c r="I1052" i="2"/>
  <c r="E1052" i="2"/>
  <c r="H1052" i="2" s="1"/>
  <c r="I1051" i="2"/>
  <c r="E1051" i="2"/>
  <c r="H1051" i="2" s="1"/>
  <c r="I1050" i="2"/>
  <c r="E1050" i="2"/>
  <c r="H1050" i="2" s="1"/>
  <c r="I1049" i="2"/>
  <c r="E1049" i="2"/>
  <c r="H1049" i="2" s="1"/>
  <c r="I1048" i="2"/>
  <c r="E1048" i="2"/>
  <c r="H1048" i="2" s="1"/>
  <c r="I1047" i="2"/>
  <c r="E1047" i="2"/>
  <c r="H1047" i="2" s="1"/>
  <c r="I1046" i="2"/>
  <c r="H1046" i="2"/>
  <c r="I1045" i="2"/>
  <c r="E1045" i="2"/>
  <c r="H1045" i="2" s="1"/>
  <c r="I1044" i="2"/>
  <c r="E1044" i="2"/>
  <c r="H1044" i="2" s="1"/>
  <c r="I1043" i="2"/>
  <c r="E1043" i="2"/>
  <c r="H1043" i="2" s="1"/>
  <c r="I1042" i="2"/>
  <c r="E1042" i="2"/>
  <c r="H1042" i="2" s="1"/>
  <c r="I1041" i="2"/>
  <c r="E1041" i="2"/>
  <c r="H1041" i="2" s="1"/>
  <c r="I1040" i="2"/>
  <c r="E1040" i="2"/>
  <c r="H1040" i="2" s="1"/>
  <c r="I1039" i="2"/>
  <c r="E1039" i="2"/>
  <c r="H1039" i="2" s="1"/>
  <c r="I1038" i="2"/>
  <c r="E1038" i="2"/>
  <c r="H1038" i="2" s="1"/>
  <c r="I1037" i="2"/>
  <c r="E1037" i="2"/>
  <c r="H1037" i="2" s="1"/>
  <c r="I1036" i="2"/>
  <c r="E1036" i="2"/>
  <c r="H1036" i="2" s="1"/>
  <c r="I1035" i="2"/>
  <c r="E1035" i="2"/>
  <c r="H1035" i="2" s="1"/>
  <c r="I1034" i="2"/>
  <c r="E1034" i="2"/>
  <c r="H1034" i="2" s="1"/>
  <c r="I1033" i="2"/>
  <c r="E1033" i="2"/>
  <c r="H1033" i="2" s="1"/>
  <c r="I1032" i="2"/>
  <c r="E1032" i="2"/>
  <c r="H1032" i="2" s="1"/>
  <c r="I1031" i="2"/>
  <c r="E1031" i="2"/>
  <c r="H1031" i="2" s="1"/>
  <c r="I1030" i="2"/>
  <c r="E1030" i="2"/>
  <c r="H1030" i="2" s="1"/>
  <c r="I1029" i="2"/>
  <c r="E1029" i="2"/>
  <c r="H1029" i="2" s="1"/>
  <c r="I1028" i="2"/>
  <c r="E1028" i="2"/>
  <c r="H1028" i="2" s="1"/>
  <c r="I1027" i="2"/>
  <c r="E1027" i="2"/>
  <c r="H1027" i="2" s="1"/>
  <c r="I1026" i="2"/>
  <c r="E1026" i="2"/>
  <c r="H1026" i="2" s="1"/>
  <c r="I1025" i="2"/>
  <c r="E1025" i="2"/>
  <c r="H1025" i="2" s="1"/>
  <c r="I1024" i="2"/>
  <c r="E1024" i="2"/>
  <c r="H1024" i="2" s="1"/>
  <c r="I1023" i="2"/>
  <c r="E1023" i="2"/>
  <c r="H1023" i="2" s="1"/>
  <c r="I1022" i="2"/>
  <c r="E1022" i="2"/>
  <c r="H1022" i="2" s="1"/>
  <c r="I1021" i="2"/>
  <c r="E1021" i="2"/>
  <c r="H1021" i="2" s="1"/>
  <c r="I1020" i="2"/>
  <c r="E1020" i="2"/>
  <c r="H1020" i="2" s="1"/>
  <c r="I1019" i="2"/>
  <c r="E1019" i="2"/>
  <c r="H1019" i="2" s="1"/>
  <c r="I1018" i="2"/>
  <c r="E1018" i="2"/>
  <c r="H1018" i="2" s="1"/>
  <c r="I1017" i="2"/>
  <c r="E1017" i="2"/>
  <c r="H1017" i="2" s="1"/>
  <c r="I1016" i="2"/>
  <c r="E1016" i="2"/>
  <c r="H1016" i="2" s="1"/>
  <c r="I1015" i="2"/>
  <c r="E1015" i="2"/>
  <c r="H1015" i="2" s="1"/>
  <c r="I1014" i="2"/>
  <c r="H1014" i="2"/>
  <c r="I1013" i="2"/>
  <c r="E1013" i="2"/>
  <c r="H1013" i="2" s="1"/>
  <c r="I1012" i="2"/>
  <c r="E1012" i="2"/>
  <c r="H1012" i="2" s="1"/>
  <c r="I1011" i="2"/>
  <c r="E1011" i="2"/>
  <c r="H1011" i="2" s="1"/>
  <c r="I1010" i="2"/>
  <c r="E1010" i="2"/>
  <c r="H1010" i="2" s="1"/>
  <c r="I1009" i="2"/>
  <c r="E1009" i="2"/>
  <c r="H1009" i="2" s="1"/>
  <c r="I1008" i="2"/>
  <c r="E1008" i="2"/>
  <c r="H1008" i="2" s="1"/>
  <c r="I1007" i="2"/>
  <c r="E1007" i="2"/>
  <c r="H1007" i="2" s="1"/>
  <c r="I1006" i="2"/>
  <c r="E1006" i="2"/>
  <c r="H1006" i="2" s="1"/>
  <c r="I1005" i="2"/>
  <c r="E1005" i="2"/>
  <c r="H1005" i="2" s="1"/>
  <c r="I1004" i="2"/>
  <c r="E1004" i="2"/>
  <c r="H1004" i="2" s="1"/>
  <c r="I1003" i="2"/>
  <c r="E1003" i="2"/>
  <c r="H1003" i="2" s="1"/>
  <c r="I1002" i="2"/>
  <c r="E1002" i="2"/>
  <c r="H1002" i="2" s="1"/>
  <c r="I1001" i="2"/>
  <c r="H1001" i="2"/>
  <c r="I1000" i="2"/>
  <c r="E1000" i="2"/>
  <c r="H1000" i="2" s="1"/>
  <c r="I999" i="2"/>
  <c r="E999" i="2"/>
  <c r="H999" i="2" s="1"/>
  <c r="I998" i="2"/>
  <c r="E998" i="2"/>
  <c r="H998" i="2" s="1"/>
  <c r="I997" i="2"/>
  <c r="E997" i="2"/>
  <c r="H997" i="2" s="1"/>
  <c r="I996" i="2"/>
  <c r="E996" i="2"/>
  <c r="H996" i="2" s="1"/>
  <c r="I995" i="2"/>
  <c r="E995" i="2"/>
  <c r="H995" i="2" s="1"/>
  <c r="I994" i="2"/>
  <c r="E994" i="2"/>
  <c r="H994" i="2" s="1"/>
  <c r="I993" i="2"/>
  <c r="E993" i="2"/>
  <c r="H993" i="2" s="1"/>
  <c r="I992" i="2"/>
  <c r="E992" i="2"/>
  <c r="H992" i="2" s="1"/>
  <c r="I991" i="2"/>
  <c r="E991" i="2"/>
  <c r="H991" i="2" s="1"/>
  <c r="I990" i="2"/>
  <c r="H990" i="2"/>
  <c r="I989" i="2"/>
  <c r="E989" i="2"/>
  <c r="H989" i="2" s="1"/>
  <c r="I988" i="2"/>
  <c r="E988" i="2"/>
  <c r="H988" i="2" s="1"/>
  <c r="I987" i="2"/>
  <c r="E987" i="2"/>
  <c r="H987" i="2" s="1"/>
  <c r="I986" i="2"/>
  <c r="E986" i="2"/>
  <c r="H986" i="2" s="1"/>
  <c r="I985" i="2"/>
  <c r="E985" i="2"/>
  <c r="H985" i="2" s="1"/>
  <c r="I984" i="2"/>
  <c r="E984" i="2"/>
  <c r="H984" i="2" s="1"/>
  <c r="I983" i="2"/>
  <c r="E983" i="2"/>
  <c r="H983" i="2" s="1"/>
  <c r="I982" i="2"/>
  <c r="E982" i="2"/>
  <c r="H982" i="2" s="1"/>
  <c r="I981" i="2"/>
  <c r="E981" i="2"/>
  <c r="H981" i="2" s="1"/>
  <c r="I980" i="2"/>
  <c r="E980" i="2"/>
  <c r="H980" i="2" s="1"/>
  <c r="I979" i="2"/>
  <c r="E979" i="2"/>
  <c r="H979" i="2" s="1"/>
  <c r="I978" i="2"/>
  <c r="E978" i="2"/>
  <c r="H978" i="2" s="1"/>
  <c r="I977" i="2"/>
  <c r="H977" i="2"/>
  <c r="I976" i="2"/>
  <c r="E976" i="2"/>
  <c r="H976" i="2" s="1"/>
  <c r="I975" i="2"/>
  <c r="E975" i="2"/>
  <c r="H975" i="2" s="1"/>
  <c r="I974" i="2"/>
  <c r="E974" i="2"/>
  <c r="H974" i="2" s="1"/>
  <c r="I973" i="2"/>
  <c r="E973" i="2"/>
  <c r="H973" i="2" s="1"/>
  <c r="I972" i="2"/>
  <c r="E972" i="2"/>
  <c r="H972" i="2" s="1"/>
  <c r="I971" i="2"/>
  <c r="E971" i="2"/>
  <c r="H971" i="2" s="1"/>
  <c r="I970" i="2"/>
  <c r="E970" i="2"/>
  <c r="H970" i="2" s="1"/>
  <c r="I969" i="2"/>
  <c r="E969" i="2"/>
  <c r="H969" i="2" s="1"/>
  <c r="I968" i="2"/>
  <c r="E968" i="2"/>
  <c r="H968" i="2" s="1"/>
  <c r="I967" i="2"/>
  <c r="E967" i="2"/>
  <c r="H967" i="2" s="1"/>
  <c r="I966" i="2"/>
  <c r="E966" i="2"/>
  <c r="H966" i="2" s="1"/>
  <c r="I965" i="2"/>
  <c r="E965" i="2"/>
  <c r="H965" i="2" s="1"/>
  <c r="I964" i="2"/>
  <c r="E964" i="2"/>
  <c r="H964" i="2" s="1"/>
  <c r="I963" i="2"/>
  <c r="E963" i="2"/>
  <c r="H963" i="2" s="1"/>
  <c r="I962" i="2"/>
  <c r="E962" i="2"/>
  <c r="H962" i="2" s="1"/>
  <c r="I961" i="2"/>
  <c r="E961" i="2"/>
  <c r="H961" i="2" s="1"/>
  <c r="I960" i="2"/>
  <c r="E960" i="2"/>
  <c r="H960" i="2" s="1"/>
  <c r="I959" i="2"/>
  <c r="E959" i="2"/>
  <c r="H959" i="2" s="1"/>
  <c r="I958" i="2"/>
  <c r="E958" i="2"/>
  <c r="H958" i="2" s="1"/>
  <c r="I957" i="2"/>
  <c r="E957" i="2"/>
  <c r="H957" i="2" s="1"/>
  <c r="I956" i="2"/>
  <c r="E956" i="2"/>
  <c r="H956" i="2" s="1"/>
  <c r="I955" i="2"/>
  <c r="E955" i="2"/>
  <c r="H955" i="2" s="1"/>
  <c r="I954" i="2"/>
  <c r="E954" i="2"/>
  <c r="H954" i="2" s="1"/>
  <c r="I953" i="2"/>
  <c r="E953" i="2"/>
  <c r="H953" i="2" s="1"/>
  <c r="I952" i="2"/>
  <c r="E952" i="2"/>
  <c r="H952" i="2" s="1"/>
  <c r="I951" i="2"/>
  <c r="E951" i="2"/>
  <c r="H951" i="2" s="1"/>
  <c r="I950" i="2"/>
  <c r="E950" i="2"/>
  <c r="H950" i="2" s="1"/>
  <c r="I949" i="2"/>
  <c r="E949" i="2"/>
  <c r="H949" i="2" s="1"/>
  <c r="I948" i="2"/>
  <c r="E948" i="2"/>
  <c r="H948" i="2" s="1"/>
  <c r="I947" i="2"/>
  <c r="E947" i="2"/>
  <c r="H947" i="2" s="1"/>
  <c r="I946" i="2"/>
  <c r="E946" i="2"/>
  <c r="H946" i="2" s="1"/>
  <c r="I945" i="2"/>
  <c r="E945" i="2"/>
  <c r="H945" i="2" s="1"/>
  <c r="I944" i="2"/>
  <c r="H944" i="2"/>
  <c r="I943" i="2"/>
  <c r="H943" i="2"/>
  <c r="I942" i="2"/>
  <c r="E942" i="2"/>
  <c r="H942" i="2" s="1"/>
  <c r="I941" i="2"/>
  <c r="E941" i="2"/>
  <c r="H941" i="2" s="1"/>
  <c r="I940" i="2"/>
  <c r="E940" i="2"/>
  <c r="H940" i="2" s="1"/>
  <c r="I939" i="2"/>
  <c r="E939" i="2"/>
  <c r="H939" i="2" s="1"/>
  <c r="I938" i="2"/>
  <c r="E938" i="2"/>
  <c r="H938" i="2" s="1"/>
  <c r="I937" i="2"/>
  <c r="E937" i="2"/>
  <c r="H937" i="2" s="1"/>
  <c r="I936" i="2"/>
  <c r="E936" i="2"/>
  <c r="H936" i="2" s="1"/>
  <c r="I935" i="2"/>
  <c r="E935" i="2"/>
  <c r="H935" i="2" s="1"/>
  <c r="I934" i="2"/>
  <c r="E934" i="2"/>
  <c r="H934" i="2" s="1"/>
  <c r="I933" i="2"/>
  <c r="H933" i="2"/>
  <c r="I932" i="2"/>
  <c r="E932" i="2"/>
  <c r="H932" i="2" s="1"/>
  <c r="I931" i="2"/>
  <c r="E931" i="2"/>
  <c r="H931" i="2" s="1"/>
  <c r="I930" i="2"/>
  <c r="E930" i="2"/>
  <c r="H930" i="2" s="1"/>
  <c r="I929" i="2"/>
  <c r="E929" i="2"/>
  <c r="H929" i="2" s="1"/>
  <c r="I928" i="2"/>
  <c r="E928" i="2"/>
  <c r="H928" i="2" s="1"/>
  <c r="I927" i="2"/>
  <c r="E927" i="2"/>
  <c r="H927" i="2" s="1"/>
  <c r="I926" i="2"/>
  <c r="E926" i="2"/>
  <c r="H926" i="2" s="1"/>
  <c r="I925" i="2"/>
  <c r="E925" i="2"/>
  <c r="H925" i="2" s="1"/>
  <c r="I924" i="2"/>
  <c r="H924" i="2"/>
  <c r="I923" i="2"/>
  <c r="H923" i="2"/>
  <c r="I922" i="2"/>
  <c r="H922" i="2"/>
  <c r="I921" i="2"/>
  <c r="E921" i="2"/>
  <c r="H921" i="2" s="1"/>
  <c r="I920" i="2"/>
  <c r="E920" i="2"/>
  <c r="H920" i="2" s="1"/>
  <c r="I919" i="2"/>
  <c r="E919" i="2"/>
  <c r="H919" i="2" s="1"/>
  <c r="I918" i="2"/>
  <c r="E918" i="2"/>
  <c r="H918" i="2" s="1"/>
  <c r="I917" i="2"/>
  <c r="E917" i="2"/>
  <c r="H917" i="2" s="1"/>
  <c r="I916" i="2"/>
  <c r="E916" i="2"/>
  <c r="H916" i="2" s="1"/>
  <c r="I915" i="2"/>
  <c r="E915" i="2"/>
  <c r="H915" i="2" s="1"/>
  <c r="I914" i="2"/>
  <c r="E914" i="2"/>
  <c r="H914" i="2" s="1"/>
  <c r="I913" i="2"/>
  <c r="E913" i="2"/>
  <c r="H913" i="2" s="1"/>
  <c r="I912" i="2"/>
  <c r="E912" i="2"/>
  <c r="H912" i="2" s="1"/>
  <c r="I911" i="2"/>
  <c r="E911" i="2"/>
  <c r="H911" i="2" s="1"/>
  <c r="I910" i="2"/>
  <c r="E910" i="2"/>
  <c r="H910" i="2" s="1"/>
  <c r="I909" i="2"/>
  <c r="E909" i="2"/>
  <c r="H909" i="2" s="1"/>
  <c r="I908" i="2"/>
  <c r="E908" i="2"/>
  <c r="H908" i="2" s="1"/>
  <c r="I907" i="2"/>
  <c r="E907" i="2"/>
  <c r="H907" i="2" s="1"/>
  <c r="I906" i="2"/>
  <c r="E906" i="2"/>
  <c r="H906" i="2" s="1"/>
  <c r="I905" i="2"/>
  <c r="E905" i="2"/>
  <c r="H905" i="2" s="1"/>
  <c r="I904" i="2"/>
  <c r="E904" i="2"/>
  <c r="H904" i="2" s="1"/>
  <c r="I903" i="2"/>
  <c r="E903" i="2"/>
  <c r="H903" i="2" s="1"/>
  <c r="I902" i="2"/>
  <c r="E902" i="2"/>
  <c r="H902" i="2" s="1"/>
  <c r="I901" i="2"/>
  <c r="E901" i="2"/>
  <c r="H901" i="2" s="1"/>
  <c r="I900" i="2"/>
  <c r="E900" i="2"/>
  <c r="H900" i="2" s="1"/>
  <c r="I899" i="2"/>
  <c r="E899" i="2"/>
  <c r="H899" i="2" s="1"/>
  <c r="I898" i="2"/>
  <c r="E898" i="2"/>
  <c r="H898" i="2" s="1"/>
  <c r="I897" i="2"/>
  <c r="E897" i="2"/>
  <c r="H897" i="2" s="1"/>
  <c r="I896" i="2"/>
  <c r="E896" i="2"/>
  <c r="H896" i="2" s="1"/>
  <c r="I895" i="2"/>
  <c r="E895" i="2"/>
  <c r="H895" i="2" s="1"/>
  <c r="I894" i="2"/>
  <c r="E894" i="2"/>
  <c r="H894" i="2" s="1"/>
  <c r="I893" i="2"/>
  <c r="E893" i="2"/>
  <c r="H893" i="2" s="1"/>
  <c r="I892" i="2"/>
  <c r="E892" i="2"/>
  <c r="H892" i="2" s="1"/>
  <c r="I891" i="2"/>
  <c r="E891" i="2"/>
  <c r="H891" i="2" s="1"/>
  <c r="I890" i="2"/>
  <c r="E890" i="2"/>
  <c r="H890" i="2" s="1"/>
  <c r="I889" i="2"/>
  <c r="E889" i="2"/>
  <c r="H889" i="2" s="1"/>
  <c r="I888" i="2"/>
  <c r="H888" i="2"/>
  <c r="I887" i="2"/>
  <c r="E887" i="2"/>
  <c r="H887" i="2" s="1"/>
  <c r="I886" i="2"/>
  <c r="E886" i="2"/>
  <c r="H886" i="2" s="1"/>
  <c r="I885" i="2"/>
  <c r="E885" i="2"/>
  <c r="H885" i="2" s="1"/>
  <c r="I884" i="2"/>
  <c r="E884" i="2"/>
  <c r="H884" i="2" s="1"/>
  <c r="I883" i="2"/>
  <c r="E883" i="2"/>
  <c r="H883" i="2" s="1"/>
  <c r="I882" i="2"/>
  <c r="E882" i="2"/>
  <c r="H882" i="2" s="1"/>
  <c r="I881" i="2"/>
  <c r="E881" i="2"/>
  <c r="H881" i="2" s="1"/>
  <c r="I880" i="2"/>
  <c r="E880" i="2"/>
  <c r="H880" i="2" s="1"/>
  <c r="I879" i="2"/>
  <c r="E879" i="2"/>
  <c r="H879" i="2" s="1"/>
  <c r="I878" i="2"/>
  <c r="E878" i="2"/>
  <c r="H878" i="2" s="1"/>
  <c r="I877" i="2"/>
  <c r="E877" i="2"/>
  <c r="H877" i="2" s="1"/>
  <c r="I876" i="2"/>
  <c r="H876" i="2"/>
  <c r="I875" i="2"/>
  <c r="E875" i="2"/>
  <c r="H875" i="2" s="1"/>
  <c r="I874" i="2"/>
  <c r="E874" i="2"/>
  <c r="H874" i="2" s="1"/>
  <c r="I873" i="2"/>
  <c r="E873" i="2"/>
  <c r="H873" i="2" s="1"/>
  <c r="I872" i="2"/>
  <c r="E872" i="2"/>
  <c r="H872" i="2" s="1"/>
  <c r="I871" i="2"/>
  <c r="E871" i="2"/>
  <c r="H871" i="2" s="1"/>
  <c r="I870" i="2"/>
  <c r="E870" i="2"/>
  <c r="H870" i="2" s="1"/>
  <c r="I869" i="2"/>
  <c r="E869" i="2"/>
  <c r="H869" i="2" s="1"/>
  <c r="I868" i="2"/>
  <c r="E868" i="2"/>
  <c r="H868" i="2" s="1"/>
  <c r="I867" i="2"/>
  <c r="E867" i="2"/>
  <c r="H867" i="2" s="1"/>
  <c r="I866" i="2"/>
  <c r="E866" i="2"/>
  <c r="H866" i="2" s="1"/>
  <c r="I865" i="2"/>
  <c r="E865" i="2"/>
  <c r="H865" i="2" s="1"/>
  <c r="I864" i="2"/>
  <c r="E864" i="2"/>
  <c r="H864" i="2" s="1"/>
  <c r="I863" i="2"/>
  <c r="E863" i="2"/>
  <c r="H863" i="2" s="1"/>
  <c r="I862" i="2"/>
  <c r="E862" i="2"/>
  <c r="H862" i="2" s="1"/>
  <c r="I861" i="2"/>
  <c r="E861" i="2"/>
  <c r="H861" i="2" s="1"/>
  <c r="I860" i="2"/>
  <c r="E860" i="2"/>
  <c r="H860" i="2" s="1"/>
  <c r="I859" i="2"/>
  <c r="E859" i="2"/>
  <c r="H859" i="2" s="1"/>
  <c r="I858" i="2"/>
  <c r="E858" i="2"/>
  <c r="H858" i="2" s="1"/>
  <c r="I857" i="2"/>
  <c r="E857" i="2"/>
  <c r="H857" i="2" s="1"/>
  <c r="I856" i="2"/>
  <c r="E856" i="2"/>
  <c r="H856" i="2" s="1"/>
  <c r="I855" i="2"/>
  <c r="E855" i="2"/>
  <c r="H855" i="2" s="1"/>
  <c r="I854" i="2"/>
  <c r="E854" i="2"/>
  <c r="H854" i="2" s="1"/>
  <c r="I853" i="2"/>
  <c r="E853" i="2"/>
  <c r="H853" i="2" s="1"/>
  <c r="I852" i="2"/>
  <c r="H852" i="2"/>
  <c r="I851" i="2"/>
  <c r="E851" i="2"/>
  <c r="H851" i="2" s="1"/>
  <c r="I850" i="2"/>
  <c r="E850" i="2"/>
  <c r="H850" i="2" s="1"/>
  <c r="I849" i="2"/>
  <c r="E849" i="2"/>
  <c r="H849" i="2" s="1"/>
  <c r="I848" i="2"/>
  <c r="E848" i="2"/>
  <c r="H848" i="2" s="1"/>
  <c r="I847" i="2"/>
  <c r="E847" i="2"/>
  <c r="H847" i="2" s="1"/>
  <c r="I846" i="2"/>
  <c r="E846" i="2"/>
  <c r="H846" i="2" s="1"/>
  <c r="I845" i="2"/>
  <c r="E845" i="2"/>
  <c r="H845" i="2" s="1"/>
  <c r="I844" i="2"/>
  <c r="E844" i="2"/>
  <c r="H844" i="2" s="1"/>
  <c r="I843" i="2"/>
  <c r="E843" i="2"/>
  <c r="H843" i="2" s="1"/>
  <c r="I842" i="2"/>
  <c r="E842" i="2"/>
  <c r="H842" i="2" s="1"/>
  <c r="I841" i="2"/>
  <c r="E841" i="2"/>
  <c r="H841" i="2" s="1"/>
  <c r="I840" i="2"/>
  <c r="E840" i="2"/>
  <c r="H840" i="2" s="1"/>
  <c r="I839" i="2"/>
  <c r="E839" i="2"/>
  <c r="H839" i="2" s="1"/>
  <c r="I838" i="2"/>
  <c r="E838" i="2"/>
  <c r="H838" i="2" s="1"/>
  <c r="I837" i="2"/>
  <c r="E837" i="2"/>
  <c r="H837" i="2" s="1"/>
  <c r="I836" i="2"/>
  <c r="E836" i="2"/>
  <c r="H836" i="2" s="1"/>
  <c r="I835" i="2"/>
  <c r="E835" i="2"/>
  <c r="H835" i="2" s="1"/>
  <c r="I834" i="2"/>
  <c r="H834" i="2"/>
  <c r="I833" i="2"/>
  <c r="E833" i="2"/>
  <c r="H833" i="2" s="1"/>
  <c r="I832" i="2"/>
  <c r="E832" i="2"/>
  <c r="H832" i="2" s="1"/>
  <c r="I831" i="2"/>
  <c r="E831" i="2"/>
  <c r="H831" i="2" s="1"/>
  <c r="I830" i="2"/>
  <c r="E830" i="2"/>
  <c r="H830" i="2" s="1"/>
  <c r="I829" i="2"/>
  <c r="E829" i="2"/>
  <c r="H829" i="2" s="1"/>
  <c r="I828" i="2"/>
  <c r="E828" i="2"/>
  <c r="H828" i="2" s="1"/>
  <c r="I827" i="2"/>
  <c r="E827" i="2"/>
  <c r="H827" i="2" s="1"/>
  <c r="I826" i="2"/>
  <c r="E826" i="2"/>
  <c r="H826" i="2" s="1"/>
  <c r="I825" i="2"/>
  <c r="E825" i="2"/>
  <c r="H825" i="2" s="1"/>
  <c r="I824" i="2"/>
  <c r="E824" i="2"/>
  <c r="H824" i="2" s="1"/>
  <c r="I823" i="2"/>
  <c r="E823" i="2"/>
  <c r="H823" i="2" s="1"/>
  <c r="I822" i="2"/>
  <c r="E822" i="2"/>
  <c r="H822" i="2" s="1"/>
  <c r="I821" i="2"/>
  <c r="E821" i="2"/>
  <c r="H821" i="2" s="1"/>
  <c r="I820" i="2"/>
  <c r="E820" i="2"/>
  <c r="H820" i="2" s="1"/>
  <c r="I819" i="2"/>
  <c r="E819" i="2"/>
  <c r="H819" i="2" s="1"/>
  <c r="I818" i="2"/>
  <c r="E818" i="2"/>
  <c r="H818" i="2" s="1"/>
  <c r="I817" i="2"/>
  <c r="E817" i="2"/>
  <c r="H817" i="2" s="1"/>
  <c r="I816" i="2"/>
  <c r="H816" i="2"/>
  <c r="I815" i="2"/>
  <c r="E815" i="2"/>
  <c r="H815" i="2" s="1"/>
  <c r="I814" i="2"/>
  <c r="E814" i="2"/>
  <c r="H814" i="2" s="1"/>
  <c r="I813" i="2"/>
  <c r="E813" i="2"/>
  <c r="H813" i="2" s="1"/>
  <c r="I812" i="2"/>
  <c r="E812" i="2"/>
  <c r="H812" i="2" s="1"/>
  <c r="I811" i="2"/>
  <c r="E811" i="2"/>
  <c r="H811" i="2" s="1"/>
  <c r="I810" i="2"/>
  <c r="E810" i="2"/>
  <c r="H810" i="2" s="1"/>
  <c r="I809" i="2"/>
  <c r="E809" i="2"/>
  <c r="H809" i="2" s="1"/>
  <c r="I808" i="2"/>
  <c r="E808" i="2"/>
  <c r="H808" i="2" s="1"/>
  <c r="I807" i="2"/>
  <c r="E807" i="2"/>
  <c r="H807" i="2" s="1"/>
  <c r="I806" i="2"/>
  <c r="E806" i="2"/>
  <c r="H806" i="2" s="1"/>
  <c r="I805" i="2"/>
  <c r="E805" i="2"/>
  <c r="H805" i="2" s="1"/>
  <c r="I804" i="2"/>
  <c r="E804" i="2"/>
  <c r="H804" i="2" s="1"/>
  <c r="I803" i="2"/>
  <c r="E803" i="2"/>
  <c r="H803" i="2" s="1"/>
  <c r="I802" i="2"/>
  <c r="E802" i="2"/>
  <c r="H802" i="2" s="1"/>
  <c r="I801" i="2"/>
  <c r="E801" i="2"/>
  <c r="H801" i="2" s="1"/>
  <c r="I800" i="2"/>
  <c r="H800" i="2"/>
  <c r="I799" i="2"/>
  <c r="E799" i="2"/>
  <c r="H799" i="2" s="1"/>
  <c r="I798" i="2"/>
  <c r="E798" i="2"/>
  <c r="H798" i="2" s="1"/>
  <c r="I797" i="2"/>
  <c r="E797" i="2"/>
  <c r="H797" i="2" s="1"/>
  <c r="I796" i="2"/>
  <c r="H796" i="2"/>
  <c r="I795" i="2"/>
  <c r="E795" i="2"/>
  <c r="H795" i="2" s="1"/>
  <c r="I794" i="2"/>
  <c r="E794" i="2"/>
  <c r="H794" i="2" s="1"/>
  <c r="I793" i="2"/>
  <c r="E793" i="2"/>
  <c r="H793" i="2" s="1"/>
  <c r="I792" i="2"/>
  <c r="E792" i="2"/>
  <c r="H792" i="2" s="1"/>
  <c r="I791" i="2"/>
  <c r="E791" i="2"/>
  <c r="H791" i="2" s="1"/>
  <c r="I790" i="2"/>
  <c r="E790" i="2"/>
  <c r="H790" i="2" s="1"/>
  <c r="I789" i="2"/>
  <c r="E789" i="2"/>
  <c r="H789" i="2" s="1"/>
  <c r="I788" i="2"/>
  <c r="E788" i="2"/>
  <c r="H788" i="2" s="1"/>
  <c r="I787" i="2"/>
  <c r="E787" i="2"/>
  <c r="H787" i="2" s="1"/>
  <c r="I786" i="2"/>
  <c r="E786" i="2"/>
  <c r="H786" i="2" s="1"/>
  <c r="I785" i="2"/>
  <c r="E785" i="2"/>
  <c r="H785" i="2" s="1"/>
  <c r="I784" i="2"/>
  <c r="E784" i="2"/>
  <c r="H784" i="2" s="1"/>
  <c r="I783" i="2"/>
  <c r="E783" i="2"/>
  <c r="H783" i="2" s="1"/>
  <c r="I782" i="2"/>
  <c r="E782" i="2"/>
  <c r="H782" i="2" s="1"/>
  <c r="I781" i="2"/>
  <c r="E781" i="2"/>
  <c r="H781" i="2" s="1"/>
  <c r="I780" i="2"/>
  <c r="E780" i="2"/>
  <c r="H780" i="2" s="1"/>
  <c r="I779" i="2"/>
  <c r="E779" i="2"/>
  <c r="H779" i="2" s="1"/>
  <c r="I778" i="2"/>
  <c r="E778" i="2"/>
  <c r="H778" i="2" s="1"/>
  <c r="I777" i="2"/>
  <c r="E777" i="2"/>
  <c r="H777" i="2" s="1"/>
  <c r="I776" i="2"/>
  <c r="E776" i="2"/>
  <c r="H776" i="2" s="1"/>
  <c r="I775" i="2"/>
  <c r="E775" i="2"/>
  <c r="H775" i="2" s="1"/>
  <c r="I774" i="2"/>
  <c r="E774" i="2"/>
  <c r="H774" i="2" s="1"/>
  <c r="I773" i="2"/>
  <c r="E773" i="2"/>
  <c r="H773" i="2" s="1"/>
  <c r="I772" i="2"/>
  <c r="E772" i="2"/>
  <c r="H772" i="2" s="1"/>
  <c r="I771" i="2"/>
  <c r="E771" i="2"/>
  <c r="H771" i="2" s="1"/>
  <c r="I770" i="2"/>
  <c r="E770" i="2"/>
  <c r="H770" i="2" s="1"/>
  <c r="I769" i="2"/>
  <c r="E769" i="2"/>
  <c r="H769" i="2" s="1"/>
  <c r="I768" i="2"/>
  <c r="E768" i="2"/>
  <c r="H768" i="2" s="1"/>
  <c r="I767" i="2"/>
  <c r="E767" i="2"/>
  <c r="H767" i="2" s="1"/>
  <c r="I766" i="2"/>
  <c r="E766" i="2"/>
  <c r="H766" i="2" s="1"/>
  <c r="I765" i="2"/>
  <c r="E765" i="2"/>
  <c r="H765" i="2" s="1"/>
  <c r="I764" i="2"/>
  <c r="E764" i="2"/>
  <c r="H764" i="2" s="1"/>
  <c r="I763" i="2"/>
  <c r="E763" i="2"/>
  <c r="H763" i="2" s="1"/>
  <c r="I762" i="2"/>
  <c r="E762" i="2"/>
  <c r="H762" i="2" s="1"/>
  <c r="I761" i="2"/>
  <c r="E761" i="2"/>
  <c r="H761" i="2" s="1"/>
  <c r="I760" i="2"/>
  <c r="H760" i="2"/>
  <c r="I759" i="2"/>
  <c r="E759" i="2"/>
  <c r="H759" i="2" s="1"/>
  <c r="I758" i="2"/>
  <c r="E758" i="2"/>
  <c r="H758" i="2" s="1"/>
  <c r="I757" i="2"/>
  <c r="E757" i="2"/>
  <c r="H757" i="2" s="1"/>
  <c r="I756" i="2"/>
  <c r="E756" i="2"/>
  <c r="H756" i="2" s="1"/>
  <c r="I755" i="2"/>
  <c r="E755" i="2"/>
  <c r="H755" i="2" s="1"/>
  <c r="I754" i="2"/>
  <c r="E754" i="2"/>
  <c r="H754" i="2" s="1"/>
  <c r="I753" i="2"/>
  <c r="E753" i="2"/>
  <c r="H753" i="2" s="1"/>
  <c r="I752" i="2"/>
  <c r="E752" i="2"/>
  <c r="H752" i="2" s="1"/>
  <c r="I751" i="2"/>
  <c r="E751" i="2"/>
  <c r="H751" i="2" s="1"/>
  <c r="I750" i="2"/>
  <c r="E750" i="2"/>
  <c r="H750" i="2" s="1"/>
  <c r="I749" i="2"/>
  <c r="E749" i="2"/>
  <c r="H749" i="2" s="1"/>
  <c r="I748" i="2"/>
  <c r="E748" i="2"/>
  <c r="H748" i="2" s="1"/>
  <c r="I747" i="2"/>
  <c r="E747" i="2"/>
  <c r="H747" i="2" s="1"/>
  <c r="I746" i="2"/>
  <c r="E746" i="2"/>
  <c r="H746" i="2" s="1"/>
  <c r="I745" i="2"/>
  <c r="E745" i="2"/>
  <c r="H745" i="2" s="1"/>
  <c r="I744" i="2"/>
  <c r="E744" i="2"/>
  <c r="H744" i="2" s="1"/>
  <c r="I743" i="2"/>
  <c r="E743" i="2"/>
  <c r="H743" i="2" s="1"/>
  <c r="I742" i="2"/>
  <c r="E742" i="2"/>
  <c r="H742" i="2" s="1"/>
  <c r="I741" i="2"/>
  <c r="E741" i="2"/>
  <c r="H741" i="2" s="1"/>
  <c r="I740" i="2"/>
  <c r="E740" i="2"/>
  <c r="H740" i="2" s="1"/>
  <c r="I739" i="2"/>
  <c r="E739" i="2"/>
  <c r="H739" i="2" s="1"/>
  <c r="I738" i="2"/>
  <c r="H738" i="2"/>
  <c r="I737" i="2"/>
  <c r="H737" i="2"/>
  <c r="I736" i="2"/>
  <c r="E736" i="2"/>
  <c r="H736" i="2" s="1"/>
  <c r="I735" i="2"/>
  <c r="E735" i="2"/>
  <c r="H735" i="2" s="1"/>
  <c r="I734" i="2"/>
  <c r="E734" i="2"/>
  <c r="H734" i="2" s="1"/>
  <c r="I733" i="2"/>
  <c r="E733" i="2"/>
  <c r="H733" i="2" s="1"/>
  <c r="I732" i="2"/>
  <c r="E732" i="2"/>
  <c r="H732" i="2" s="1"/>
  <c r="I731" i="2"/>
  <c r="E731" i="2"/>
  <c r="H731" i="2" s="1"/>
  <c r="I730" i="2"/>
  <c r="E730" i="2"/>
  <c r="H730" i="2" s="1"/>
  <c r="I729" i="2"/>
  <c r="E729" i="2"/>
  <c r="H729" i="2" s="1"/>
  <c r="I728" i="2"/>
  <c r="E728" i="2"/>
  <c r="H728" i="2" s="1"/>
  <c r="I727" i="2"/>
  <c r="E727" i="2"/>
  <c r="H727" i="2" s="1"/>
  <c r="I726" i="2"/>
  <c r="E726" i="2"/>
  <c r="H726" i="2" s="1"/>
  <c r="I725" i="2"/>
  <c r="E725" i="2"/>
  <c r="H725" i="2" s="1"/>
  <c r="I724" i="2"/>
  <c r="E724" i="2"/>
  <c r="H724" i="2" s="1"/>
  <c r="I723" i="2"/>
  <c r="E723" i="2"/>
  <c r="H723" i="2" s="1"/>
  <c r="I722" i="2"/>
  <c r="E722" i="2"/>
  <c r="H722" i="2" s="1"/>
  <c r="I721" i="2"/>
  <c r="E721" i="2"/>
  <c r="H721" i="2" s="1"/>
  <c r="I720" i="2"/>
  <c r="E720" i="2"/>
  <c r="H720" i="2" s="1"/>
  <c r="I719" i="2"/>
  <c r="H719" i="2"/>
  <c r="I718" i="2"/>
  <c r="H718" i="2"/>
  <c r="I717" i="2"/>
  <c r="E717" i="2"/>
  <c r="H717" i="2" s="1"/>
  <c r="I716" i="2"/>
  <c r="E716" i="2"/>
  <c r="H716" i="2" s="1"/>
  <c r="I715" i="2"/>
  <c r="E715" i="2"/>
  <c r="H715" i="2" s="1"/>
  <c r="I714" i="2"/>
  <c r="E714" i="2"/>
  <c r="H714" i="2" s="1"/>
  <c r="I713" i="2"/>
  <c r="E713" i="2"/>
  <c r="H713" i="2" s="1"/>
  <c r="I712" i="2"/>
  <c r="E712" i="2"/>
  <c r="H712" i="2" s="1"/>
  <c r="I711" i="2"/>
  <c r="E711" i="2"/>
  <c r="H711" i="2" s="1"/>
  <c r="I710" i="2"/>
  <c r="E710" i="2"/>
  <c r="H710" i="2" s="1"/>
  <c r="I709" i="2"/>
  <c r="E709" i="2"/>
  <c r="H709" i="2" s="1"/>
  <c r="I708" i="2"/>
  <c r="E708" i="2"/>
  <c r="H708" i="2" s="1"/>
  <c r="I707" i="2"/>
  <c r="E707" i="2"/>
  <c r="H707" i="2" s="1"/>
  <c r="I706" i="2"/>
  <c r="E706" i="2"/>
  <c r="H706" i="2" s="1"/>
  <c r="I705" i="2"/>
  <c r="E705" i="2"/>
  <c r="H705" i="2" s="1"/>
  <c r="I704" i="2"/>
  <c r="E704" i="2"/>
  <c r="H704" i="2" s="1"/>
  <c r="I703" i="2"/>
  <c r="E703" i="2"/>
  <c r="H703" i="2" s="1"/>
  <c r="I702" i="2"/>
  <c r="E702" i="2"/>
  <c r="H702" i="2" s="1"/>
  <c r="I701" i="2"/>
  <c r="E701" i="2"/>
  <c r="H701" i="2" s="1"/>
  <c r="I700" i="2"/>
  <c r="E700" i="2"/>
  <c r="H700" i="2" s="1"/>
  <c r="I699" i="2"/>
  <c r="E699" i="2"/>
  <c r="H699" i="2" s="1"/>
  <c r="I698" i="2"/>
  <c r="E698" i="2"/>
  <c r="H698" i="2" s="1"/>
  <c r="I697" i="2"/>
  <c r="E697" i="2"/>
  <c r="H697" i="2" s="1"/>
  <c r="I696" i="2"/>
  <c r="E696" i="2"/>
  <c r="H696" i="2" s="1"/>
  <c r="I695" i="2"/>
  <c r="E695" i="2"/>
  <c r="H695" i="2" s="1"/>
  <c r="I694" i="2"/>
  <c r="E694" i="2"/>
  <c r="H694" i="2" s="1"/>
  <c r="I693" i="2"/>
  <c r="E693" i="2"/>
  <c r="H693" i="2" s="1"/>
  <c r="I692" i="2"/>
  <c r="E692" i="2"/>
  <c r="H692" i="2" s="1"/>
  <c r="I691" i="2"/>
  <c r="E691" i="2"/>
  <c r="H691" i="2" s="1"/>
  <c r="I690" i="2"/>
  <c r="E690" i="2"/>
  <c r="H690" i="2" s="1"/>
  <c r="I689" i="2"/>
  <c r="E689" i="2"/>
  <c r="H689" i="2" s="1"/>
  <c r="I688" i="2"/>
  <c r="E688" i="2"/>
  <c r="H688" i="2" s="1"/>
  <c r="I687" i="2"/>
  <c r="E687" i="2"/>
  <c r="H687" i="2" s="1"/>
  <c r="I686" i="2"/>
  <c r="E686" i="2"/>
  <c r="H686" i="2" s="1"/>
  <c r="I685" i="2"/>
  <c r="E685" i="2"/>
  <c r="H685" i="2" s="1"/>
  <c r="I684" i="2"/>
  <c r="E684" i="2"/>
  <c r="H684" i="2" s="1"/>
  <c r="I683" i="2"/>
  <c r="E683" i="2"/>
  <c r="H683" i="2" s="1"/>
  <c r="I682" i="2"/>
  <c r="E682" i="2"/>
  <c r="H682" i="2" s="1"/>
  <c r="I681" i="2"/>
  <c r="E681" i="2"/>
  <c r="H681" i="2" s="1"/>
  <c r="I680" i="2"/>
  <c r="E680" i="2"/>
  <c r="H680" i="2" s="1"/>
  <c r="I679" i="2"/>
  <c r="E679" i="2"/>
  <c r="H679" i="2" s="1"/>
  <c r="I678" i="2"/>
  <c r="E678" i="2"/>
  <c r="H678" i="2" s="1"/>
  <c r="I677" i="2"/>
  <c r="E677" i="2"/>
  <c r="H677" i="2" s="1"/>
  <c r="I676" i="2"/>
  <c r="E676" i="2"/>
  <c r="H676" i="2" s="1"/>
  <c r="I675" i="2"/>
  <c r="E675" i="2"/>
  <c r="H675" i="2" s="1"/>
  <c r="I674" i="2"/>
  <c r="E674" i="2"/>
  <c r="H674" i="2" s="1"/>
  <c r="I673" i="2"/>
  <c r="E673" i="2"/>
  <c r="H673" i="2" s="1"/>
  <c r="I672" i="2"/>
  <c r="E672" i="2"/>
  <c r="H672" i="2" s="1"/>
  <c r="I671" i="2"/>
  <c r="E671" i="2"/>
  <c r="H671" i="2" s="1"/>
  <c r="I670" i="2"/>
  <c r="E670" i="2"/>
  <c r="H670" i="2" s="1"/>
  <c r="I669" i="2"/>
  <c r="E669" i="2"/>
  <c r="H669" i="2" s="1"/>
  <c r="I668" i="2"/>
  <c r="E668" i="2"/>
  <c r="H668" i="2" s="1"/>
  <c r="I667" i="2"/>
  <c r="E667" i="2"/>
  <c r="H667" i="2" s="1"/>
  <c r="I666" i="2"/>
  <c r="E666" i="2"/>
  <c r="H666" i="2" s="1"/>
  <c r="I665" i="2"/>
  <c r="E665" i="2"/>
  <c r="H665" i="2" s="1"/>
  <c r="I664" i="2"/>
  <c r="E664" i="2"/>
  <c r="H664" i="2" s="1"/>
  <c r="I663" i="2"/>
  <c r="E663" i="2"/>
  <c r="H663" i="2" s="1"/>
  <c r="I662" i="2"/>
  <c r="E662" i="2"/>
  <c r="H662" i="2" s="1"/>
  <c r="I661" i="2"/>
  <c r="E661" i="2"/>
  <c r="H661" i="2" s="1"/>
  <c r="I660" i="2"/>
  <c r="E660" i="2"/>
  <c r="H660" i="2" s="1"/>
  <c r="I659" i="2"/>
  <c r="E659" i="2"/>
  <c r="H659" i="2" s="1"/>
  <c r="I658" i="2"/>
  <c r="E658" i="2"/>
  <c r="H658" i="2" s="1"/>
  <c r="I657" i="2"/>
  <c r="E657" i="2"/>
  <c r="H657" i="2" s="1"/>
  <c r="I656" i="2"/>
  <c r="E656" i="2"/>
  <c r="H656" i="2" s="1"/>
  <c r="I655" i="2"/>
  <c r="E655" i="2"/>
  <c r="H655" i="2" s="1"/>
  <c r="I654" i="2"/>
  <c r="H654" i="2"/>
  <c r="I653" i="2"/>
  <c r="H653" i="2"/>
  <c r="I652" i="2"/>
  <c r="E652" i="2"/>
  <c r="H652" i="2" s="1"/>
  <c r="I651" i="2"/>
  <c r="E651" i="2"/>
  <c r="H651" i="2" s="1"/>
  <c r="I650" i="2"/>
  <c r="E650" i="2"/>
  <c r="H650" i="2" s="1"/>
  <c r="I649" i="2"/>
  <c r="E649" i="2"/>
  <c r="H649" i="2" s="1"/>
  <c r="I648" i="2"/>
  <c r="E648" i="2"/>
  <c r="H648" i="2" s="1"/>
  <c r="I647" i="2"/>
  <c r="E647" i="2"/>
  <c r="H647" i="2" s="1"/>
  <c r="I646" i="2"/>
  <c r="H646" i="2"/>
  <c r="I645" i="2"/>
  <c r="H645" i="2"/>
  <c r="I644" i="2"/>
  <c r="E644" i="2"/>
  <c r="H644" i="2" s="1"/>
  <c r="I643" i="2"/>
  <c r="E643" i="2"/>
  <c r="H643" i="2" s="1"/>
  <c r="I642" i="2"/>
  <c r="E642" i="2"/>
  <c r="H642" i="2" s="1"/>
  <c r="I641" i="2"/>
  <c r="E641" i="2"/>
  <c r="H641" i="2" s="1"/>
  <c r="I640" i="2"/>
  <c r="E640" i="2"/>
  <c r="H640" i="2" s="1"/>
  <c r="I639" i="2"/>
  <c r="E639" i="2"/>
  <c r="H639" i="2" s="1"/>
  <c r="I638" i="2"/>
  <c r="E638" i="2"/>
  <c r="H638" i="2" s="1"/>
  <c r="I637" i="2"/>
  <c r="E637" i="2"/>
  <c r="H637" i="2" s="1"/>
  <c r="I636" i="2"/>
  <c r="E636" i="2"/>
  <c r="H636" i="2" s="1"/>
  <c r="I635" i="2"/>
  <c r="E635" i="2"/>
  <c r="H635" i="2" s="1"/>
  <c r="I634" i="2"/>
  <c r="E634" i="2"/>
  <c r="H634" i="2" s="1"/>
  <c r="I633" i="2"/>
  <c r="E633" i="2"/>
  <c r="H633" i="2" s="1"/>
  <c r="I632" i="2"/>
  <c r="E632" i="2"/>
  <c r="H632" i="2" s="1"/>
  <c r="I631" i="2"/>
  <c r="E631" i="2"/>
  <c r="H631" i="2" s="1"/>
  <c r="I630" i="2"/>
  <c r="E630" i="2"/>
  <c r="H630" i="2" s="1"/>
  <c r="I629" i="2"/>
  <c r="E629" i="2"/>
  <c r="H629" i="2" s="1"/>
  <c r="I628" i="2"/>
  <c r="E628" i="2"/>
  <c r="H628" i="2" s="1"/>
  <c r="I627" i="2"/>
  <c r="E627" i="2"/>
  <c r="H627" i="2" s="1"/>
  <c r="I626" i="2"/>
  <c r="E626" i="2"/>
  <c r="H626" i="2" s="1"/>
  <c r="I625" i="2"/>
  <c r="E625" i="2"/>
  <c r="H625" i="2" s="1"/>
  <c r="I624" i="2"/>
  <c r="E624" i="2"/>
  <c r="H624" i="2" s="1"/>
  <c r="I623" i="2"/>
  <c r="E623" i="2"/>
  <c r="H623" i="2" s="1"/>
  <c r="I622" i="2"/>
  <c r="E622" i="2"/>
  <c r="H622" i="2" s="1"/>
  <c r="I621" i="2"/>
  <c r="E621" i="2"/>
  <c r="H621" i="2" s="1"/>
  <c r="I620" i="2"/>
  <c r="E620" i="2"/>
  <c r="H620" i="2" s="1"/>
  <c r="I619" i="2"/>
  <c r="E619" i="2"/>
  <c r="H619" i="2" s="1"/>
  <c r="I618" i="2"/>
  <c r="E618" i="2"/>
  <c r="H618" i="2" s="1"/>
  <c r="I617" i="2"/>
  <c r="E617" i="2"/>
  <c r="H617" i="2" s="1"/>
  <c r="I616" i="2"/>
  <c r="E616" i="2"/>
  <c r="H616" i="2" s="1"/>
  <c r="I615" i="2"/>
  <c r="E615" i="2"/>
  <c r="H615" i="2" s="1"/>
  <c r="I614" i="2"/>
  <c r="E614" i="2"/>
  <c r="H614" i="2" s="1"/>
  <c r="I613" i="2"/>
  <c r="E613" i="2"/>
  <c r="H613" i="2" s="1"/>
  <c r="I612" i="2"/>
  <c r="E612" i="2"/>
  <c r="H612" i="2" s="1"/>
  <c r="I611" i="2"/>
  <c r="E611" i="2"/>
  <c r="H611" i="2" s="1"/>
  <c r="I610" i="2"/>
  <c r="E610" i="2"/>
  <c r="H610" i="2" s="1"/>
  <c r="I609" i="2"/>
  <c r="E609" i="2"/>
  <c r="H609" i="2" s="1"/>
  <c r="I608" i="2"/>
  <c r="E608" i="2"/>
  <c r="H608" i="2" s="1"/>
  <c r="I607" i="2"/>
  <c r="E607" i="2"/>
  <c r="H607" i="2" s="1"/>
  <c r="I606" i="2"/>
  <c r="E606" i="2"/>
  <c r="H606" i="2" s="1"/>
  <c r="I605" i="2"/>
  <c r="E605" i="2"/>
  <c r="H605" i="2" s="1"/>
  <c r="I604" i="2"/>
  <c r="E604" i="2"/>
  <c r="H604" i="2" s="1"/>
  <c r="I603" i="2"/>
  <c r="E603" i="2"/>
  <c r="H603" i="2" s="1"/>
  <c r="I602" i="2"/>
  <c r="E602" i="2"/>
  <c r="H602" i="2" s="1"/>
  <c r="I601" i="2"/>
  <c r="E601" i="2"/>
  <c r="H601" i="2" s="1"/>
  <c r="I600" i="2"/>
  <c r="E600" i="2"/>
  <c r="H600" i="2" s="1"/>
  <c r="I599" i="2"/>
  <c r="E599" i="2"/>
  <c r="H599" i="2" s="1"/>
  <c r="I598" i="2"/>
  <c r="E598" i="2"/>
  <c r="H598" i="2" s="1"/>
  <c r="I597" i="2"/>
  <c r="E597" i="2"/>
  <c r="H597" i="2" s="1"/>
  <c r="I596" i="2"/>
  <c r="E596" i="2"/>
  <c r="H596" i="2" s="1"/>
  <c r="I595" i="2"/>
  <c r="E595" i="2"/>
  <c r="H595" i="2" s="1"/>
  <c r="I594" i="2"/>
  <c r="E594" i="2"/>
  <c r="H594" i="2" s="1"/>
  <c r="I593" i="2"/>
  <c r="E593" i="2"/>
  <c r="H593" i="2" s="1"/>
  <c r="I592" i="2"/>
  <c r="E592" i="2"/>
  <c r="H592" i="2" s="1"/>
  <c r="I591" i="2"/>
  <c r="E591" i="2"/>
  <c r="H591" i="2" s="1"/>
  <c r="I590" i="2"/>
  <c r="E590" i="2"/>
  <c r="H590" i="2" s="1"/>
  <c r="I589" i="2"/>
  <c r="E589" i="2"/>
  <c r="H589" i="2" s="1"/>
  <c r="I588" i="2"/>
  <c r="E588" i="2"/>
  <c r="H588" i="2" s="1"/>
  <c r="I587" i="2"/>
  <c r="E587" i="2"/>
  <c r="H587" i="2" s="1"/>
  <c r="I586" i="2"/>
  <c r="E586" i="2"/>
  <c r="H586" i="2" s="1"/>
  <c r="I585" i="2"/>
  <c r="E585" i="2"/>
  <c r="H585" i="2" s="1"/>
  <c r="I584" i="2"/>
  <c r="H584" i="2"/>
  <c r="I583" i="2"/>
  <c r="H583" i="2"/>
  <c r="I582" i="2"/>
  <c r="E582" i="2"/>
  <c r="H582" i="2" s="1"/>
  <c r="I581" i="2"/>
  <c r="E581" i="2"/>
  <c r="H581" i="2" s="1"/>
  <c r="I580" i="2"/>
  <c r="E580" i="2"/>
  <c r="H580" i="2" s="1"/>
  <c r="I579" i="2"/>
  <c r="E579" i="2"/>
  <c r="H579" i="2" s="1"/>
  <c r="I578" i="2"/>
  <c r="E578" i="2"/>
  <c r="H578" i="2" s="1"/>
  <c r="I577" i="2"/>
  <c r="E577" i="2"/>
  <c r="H577" i="2" s="1"/>
  <c r="I576" i="2"/>
  <c r="E576" i="2"/>
  <c r="H576" i="2" s="1"/>
  <c r="I575" i="2"/>
  <c r="E575" i="2"/>
  <c r="H575" i="2" s="1"/>
  <c r="I574" i="2"/>
  <c r="E574" i="2"/>
  <c r="H574" i="2" s="1"/>
  <c r="I573" i="2"/>
  <c r="E573" i="2"/>
  <c r="H573" i="2" s="1"/>
  <c r="I572" i="2"/>
  <c r="E572" i="2"/>
  <c r="H572" i="2" s="1"/>
  <c r="I571" i="2"/>
  <c r="E571" i="2"/>
  <c r="H571" i="2" s="1"/>
  <c r="I570" i="2"/>
  <c r="E570" i="2"/>
  <c r="H570" i="2" s="1"/>
  <c r="I569" i="2"/>
  <c r="E569" i="2"/>
  <c r="H569" i="2" s="1"/>
  <c r="I568" i="2"/>
  <c r="E568" i="2"/>
  <c r="H568" i="2" s="1"/>
  <c r="I567" i="2"/>
  <c r="E567" i="2"/>
  <c r="H567" i="2" s="1"/>
  <c r="I566" i="2"/>
  <c r="E566" i="2"/>
  <c r="H566" i="2" s="1"/>
  <c r="I565" i="2"/>
  <c r="E565" i="2"/>
  <c r="H565" i="2" s="1"/>
  <c r="I564" i="2"/>
  <c r="E564" i="2"/>
  <c r="H564" i="2" s="1"/>
  <c r="I563" i="2"/>
  <c r="E563" i="2"/>
  <c r="H563" i="2" s="1"/>
  <c r="I562" i="2"/>
  <c r="E562" i="2"/>
  <c r="H562" i="2" s="1"/>
  <c r="I561" i="2"/>
  <c r="E561" i="2"/>
  <c r="H561" i="2" s="1"/>
  <c r="I560" i="2"/>
  <c r="E560" i="2"/>
  <c r="H560" i="2" s="1"/>
  <c r="I559" i="2"/>
  <c r="E559" i="2"/>
  <c r="H559" i="2" s="1"/>
  <c r="I558" i="2"/>
  <c r="E558" i="2"/>
  <c r="H558" i="2" s="1"/>
  <c r="I557" i="2"/>
  <c r="E557" i="2"/>
  <c r="H557" i="2" s="1"/>
  <c r="I556" i="2"/>
  <c r="E556" i="2"/>
  <c r="H556" i="2" s="1"/>
  <c r="I555" i="2"/>
  <c r="E555" i="2"/>
  <c r="H555" i="2" s="1"/>
  <c r="I554" i="2"/>
  <c r="E554" i="2"/>
  <c r="H554" i="2" s="1"/>
  <c r="I553" i="2"/>
  <c r="E553" i="2"/>
  <c r="H553" i="2" s="1"/>
  <c r="I552" i="2"/>
  <c r="E552" i="2"/>
  <c r="H552" i="2" s="1"/>
  <c r="I551" i="2"/>
  <c r="E551" i="2"/>
  <c r="H551" i="2" s="1"/>
  <c r="I550" i="2"/>
  <c r="E550" i="2"/>
  <c r="H550" i="2" s="1"/>
  <c r="I549" i="2"/>
  <c r="E549" i="2"/>
  <c r="H549" i="2" s="1"/>
  <c r="I548" i="2"/>
  <c r="E548" i="2"/>
  <c r="H548" i="2" s="1"/>
  <c r="I547" i="2"/>
  <c r="E547" i="2"/>
  <c r="H547" i="2" s="1"/>
  <c r="I546" i="2"/>
  <c r="E546" i="2"/>
  <c r="H546" i="2" s="1"/>
  <c r="I545" i="2"/>
  <c r="E545" i="2"/>
  <c r="H545" i="2" s="1"/>
  <c r="I544" i="2"/>
  <c r="E544" i="2"/>
  <c r="H544" i="2" s="1"/>
  <c r="I543" i="2"/>
  <c r="E543" i="2"/>
  <c r="H543" i="2" s="1"/>
  <c r="I542" i="2"/>
  <c r="E542" i="2"/>
  <c r="H542" i="2" s="1"/>
  <c r="I541" i="2"/>
  <c r="E541" i="2"/>
  <c r="H541" i="2" s="1"/>
  <c r="I540" i="2"/>
  <c r="E540" i="2"/>
  <c r="H540" i="2" s="1"/>
  <c r="I539" i="2"/>
  <c r="E539" i="2"/>
  <c r="H539" i="2" s="1"/>
  <c r="I538" i="2"/>
  <c r="E538" i="2"/>
  <c r="H538" i="2" s="1"/>
  <c r="I537" i="2"/>
  <c r="E537" i="2"/>
  <c r="H537" i="2" s="1"/>
  <c r="I536" i="2"/>
  <c r="E536" i="2"/>
  <c r="H536" i="2" s="1"/>
  <c r="I535" i="2"/>
  <c r="E535" i="2"/>
  <c r="H535" i="2" s="1"/>
  <c r="I534" i="2"/>
  <c r="E534" i="2"/>
  <c r="H534" i="2" s="1"/>
  <c r="I533" i="2"/>
  <c r="E533" i="2"/>
  <c r="H533" i="2" s="1"/>
  <c r="I532" i="2"/>
  <c r="E532" i="2"/>
  <c r="H532" i="2" s="1"/>
  <c r="I531" i="2"/>
  <c r="E531" i="2"/>
  <c r="H531" i="2" s="1"/>
  <c r="I530" i="2"/>
  <c r="E530" i="2"/>
  <c r="H530" i="2" s="1"/>
  <c r="I529" i="2"/>
  <c r="E529" i="2"/>
  <c r="H529" i="2" s="1"/>
  <c r="I528" i="2"/>
  <c r="E528" i="2"/>
  <c r="H528" i="2" s="1"/>
  <c r="I527" i="2"/>
  <c r="E527" i="2"/>
  <c r="H527" i="2" s="1"/>
  <c r="I526" i="2"/>
  <c r="E526" i="2"/>
  <c r="H526" i="2" s="1"/>
  <c r="I525" i="2"/>
  <c r="E525" i="2"/>
  <c r="H525" i="2" s="1"/>
  <c r="I524" i="2"/>
  <c r="E524" i="2"/>
  <c r="H524" i="2" s="1"/>
  <c r="I523" i="2"/>
  <c r="E523" i="2"/>
  <c r="H523" i="2" s="1"/>
  <c r="I522" i="2"/>
  <c r="E522" i="2"/>
  <c r="H522" i="2" s="1"/>
  <c r="I521" i="2"/>
  <c r="E521" i="2"/>
  <c r="H521" i="2" s="1"/>
  <c r="I520" i="2"/>
  <c r="E520" i="2"/>
  <c r="H520" i="2" s="1"/>
  <c r="I519" i="2"/>
  <c r="E519" i="2"/>
  <c r="H519" i="2" s="1"/>
  <c r="I518" i="2"/>
  <c r="E518" i="2"/>
  <c r="H518" i="2" s="1"/>
  <c r="I517" i="2"/>
  <c r="E517" i="2"/>
  <c r="H517" i="2" s="1"/>
  <c r="I516" i="2"/>
  <c r="E516" i="2"/>
  <c r="H516" i="2" s="1"/>
  <c r="I515" i="2"/>
  <c r="E515" i="2"/>
  <c r="H515" i="2" s="1"/>
  <c r="I514" i="2"/>
  <c r="E514" i="2"/>
  <c r="H514" i="2" s="1"/>
  <c r="I513" i="2"/>
  <c r="E513" i="2"/>
  <c r="H513" i="2" s="1"/>
  <c r="I512" i="2"/>
  <c r="E512" i="2"/>
  <c r="H512" i="2" s="1"/>
  <c r="I511" i="2"/>
  <c r="E511" i="2"/>
  <c r="H511" i="2" s="1"/>
  <c r="I510" i="2"/>
  <c r="E510" i="2"/>
  <c r="H510" i="2" s="1"/>
  <c r="I509" i="2"/>
  <c r="E509" i="2"/>
  <c r="H509" i="2" s="1"/>
  <c r="I508" i="2"/>
  <c r="E508" i="2"/>
  <c r="H508" i="2" s="1"/>
  <c r="I507" i="2"/>
  <c r="E507" i="2"/>
  <c r="H507" i="2" s="1"/>
  <c r="I506" i="2"/>
  <c r="E506" i="2"/>
  <c r="H506" i="2" s="1"/>
  <c r="I505" i="2"/>
  <c r="E505" i="2"/>
  <c r="H505" i="2" s="1"/>
  <c r="I504" i="2"/>
  <c r="E504" i="2"/>
  <c r="H504" i="2" s="1"/>
  <c r="I503" i="2"/>
  <c r="E503" i="2"/>
  <c r="H503" i="2" s="1"/>
  <c r="I502" i="2"/>
  <c r="E502" i="2"/>
  <c r="H502" i="2" s="1"/>
  <c r="I501" i="2"/>
  <c r="E501" i="2"/>
  <c r="H501" i="2" s="1"/>
  <c r="I500" i="2"/>
  <c r="H500" i="2"/>
  <c r="I499" i="2"/>
  <c r="E499" i="2"/>
  <c r="H499" i="2" s="1"/>
  <c r="I498" i="2"/>
  <c r="E498" i="2"/>
  <c r="H498" i="2" s="1"/>
  <c r="I497" i="2"/>
  <c r="E497" i="2"/>
  <c r="H497" i="2" s="1"/>
  <c r="I496" i="2"/>
  <c r="E496" i="2"/>
  <c r="H496" i="2" s="1"/>
  <c r="I495" i="2"/>
  <c r="E495" i="2"/>
  <c r="H495" i="2" s="1"/>
  <c r="I494" i="2"/>
  <c r="E494" i="2"/>
  <c r="H494" i="2" s="1"/>
  <c r="I493" i="2"/>
  <c r="E493" i="2"/>
  <c r="H493" i="2" s="1"/>
  <c r="I492" i="2"/>
  <c r="E492" i="2"/>
  <c r="H492" i="2" s="1"/>
  <c r="I491" i="2"/>
  <c r="E491" i="2"/>
  <c r="H491" i="2" s="1"/>
  <c r="I490" i="2"/>
  <c r="E490" i="2"/>
  <c r="H490" i="2" s="1"/>
  <c r="I489" i="2"/>
  <c r="E489" i="2"/>
  <c r="H489" i="2" s="1"/>
  <c r="I488" i="2"/>
  <c r="E488" i="2"/>
  <c r="H488" i="2" s="1"/>
  <c r="I487" i="2"/>
  <c r="E487" i="2"/>
  <c r="H487" i="2" s="1"/>
  <c r="I486" i="2"/>
  <c r="E486" i="2"/>
  <c r="H486" i="2" s="1"/>
  <c r="I485" i="2"/>
  <c r="E485" i="2"/>
  <c r="H485" i="2" s="1"/>
  <c r="I484" i="2"/>
  <c r="E484" i="2"/>
  <c r="H484" i="2" s="1"/>
  <c r="I483" i="2"/>
  <c r="E483" i="2"/>
  <c r="H483" i="2" s="1"/>
  <c r="I482" i="2"/>
  <c r="E482" i="2"/>
  <c r="H482" i="2" s="1"/>
  <c r="I481" i="2"/>
  <c r="E481" i="2"/>
  <c r="H481" i="2" s="1"/>
  <c r="I480" i="2"/>
  <c r="E480" i="2"/>
  <c r="H480" i="2" s="1"/>
  <c r="I479" i="2"/>
  <c r="E479" i="2"/>
  <c r="H479" i="2" s="1"/>
  <c r="I478" i="2"/>
  <c r="E478" i="2"/>
  <c r="H478" i="2" s="1"/>
  <c r="I477" i="2"/>
  <c r="E477" i="2"/>
  <c r="H477" i="2" s="1"/>
  <c r="I476" i="2"/>
  <c r="E476" i="2"/>
  <c r="H476" i="2" s="1"/>
  <c r="I475" i="2"/>
  <c r="E475" i="2"/>
  <c r="H475" i="2" s="1"/>
  <c r="I474" i="2"/>
  <c r="E474" i="2"/>
  <c r="H474" i="2" s="1"/>
  <c r="I473" i="2"/>
  <c r="E473" i="2"/>
  <c r="H473" i="2" s="1"/>
  <c r="I472" i="2"/>
  <c r="H472" i="2"/>
  <c r="I471" i="2"/>
  <c r="E471" i="2"/>
  <c r="H471" i="2" s="1"/>
  <c r="I470" i="2"/>
  <c r="E470" i="2"/>
  <c r="H470" i="2" s="1"/>
  <c r="I469" i="2"/>
  <c r="E469" i="2"/>
  <c r="H469" i="2" s="1"/>
  <c r="I468" i="2"/>
  <c r="E468" i="2"/>
  <c r="H468" i="2" s="1"/>
  <c r="I467" i="2"/>
  <c r="E467" i="2"/>
  <c r="H467" i="2" s="1"/>
  <c r="I466" i="2"/>
  <c r="E466" i="2"/>
  <c r="H466" i="2" s="1"/>
  <c r="I465" i="2"/>
  <c r="E465" i="2"/>
  <c r="H465" i="2" s="1"/>
  <c r="I464" i="2"/>
  <c r="E464" i="2"/>
  <c r="H464" i="2" s="1"/>
  <c r="I463" i="2"/>
  <c r="E463" i="2"/>
  <c r="H463" i="2" s="1"/>
  <c r="I462" i="2"/>
  <c r="E462" i="2"/>
  <c r="H462" i="2" s="1"/>
  <c r="I461" i="2"/>
  <c r="E461" i="2"/>
  <c r="H461" i="2" s="1"/>
  <c r="I460" i="2"/>
  <c r="E460" i="2"/>
  <c r="H460" i="2" s="1"/>
  <c r="I459" i="2"/>
  <c r="E459" i="2"/>
  <c r="H459" i="2" s="1"/>
  <c r="I458" i="2"/>
  <c r="E458" i="2"/>
  <c r="H458" i="2" s="1"/>
  <c r="I457" i="2"/>
  <c r="E457" i="2"/>
  <c r="H457" i="2" s="1"/>
  <c r="I456" i="2"/>
  <c r="E456" i="2"/>
  <c r="H456" i="2" s="1"/>
  <c r="I455" i="2"/>
  <c r="E455" i="2"/>
  <c r="H455" i="2" s="1"/>
  <c r="I454" i="2"/>
  <c r="E454" i="2"/>
  <c r="H454" i="2" s="1"/>
  <c r="I453" i="2"/>
  <c r="E453" i="2"/>
  <c r="H453" i="2" s="1"/>
  <c r="I452" i="2"/>
  <c r="E452" i="2"/>
  <c r="H452" i="2" s="1"/>
  <c r="I451" i="2"/>
  <c r="E451" i="2"/>
  <c r="H451" i="2" s="1"/>
  <c r="I450" i="2"/>
  <c r="E450" i="2"/>
  <c r="H450" i="2" s="1"/>
  <c r="I449" i="2"/>
  <c r="E449" i="2"/>
  <c r="H449" i="2" s="1"/>
  <c r="I448" i="2"/>
  <c r="E448" i="2"/>
  <c r="H448" i="2" s="1"/>
  <c r="I447" i="2"/>
  <c r="E447" i="2"/>
  <c r="H447" i="2" s="1"/>
  <c r="I446" i="2"/>
  <c r="E446" i="2"/>
  <c r="H446" i="2" s="1"/>
  <c r="I445" i="2"/>
  <c r="E445" i="2"/>
  <c r="H445" i="2" s="1"/>
  <c r="I444" i="2"/>
  <c r="E444" i="2"/>
  <c r="H444" i="2" s="1"/>
  <c r="I443" i="2"/>
  <c r="E443" i="2"/>
  <c r="H443" i="2" s="1"/>
  <c r="I442" i="2"/>
  <c r="E442" i="2"/>
  <c r="H442" i="2" s="1"/>
  <c r="I441" i="2"/>
  <c r="E441" i="2"/>
  <c r="H441" i="2" s="1"/>
  <c r="I440" i="2"/>
  <c r="E440" i="2"/>
  <c r="H440" i="2" s="1"/>
  <c r="I439" i="2"/>
  <c r="E439" i="2"/>
  <c r="H439" i="2" s="1"/>
  <c r="I438" i="2"/>
  <c r="E438" i="2"/>
  <c r="H438" i="2" s="1"/>
  <c r="I437" i="2"/>
  <c r="E437" i="2"/>
  <c r="H437" i="2" s="1"/>
  <c r="I436" i="2"/>
  <c r="E436" i="2"/>
  <c r="H436" i="2" s="1"/>
  <c r="I435" i="2"/>
  <c r="E435" i="2"/>
  <c r="H435" i="2" s="1"/>
  <c r="I434" i="2"/>
  <c r="E434" i="2"/>
  <c r="H434" i="2" s="1"/>
  <c r="I433" i="2"/>
  <c r="E433" i="2"/>
  <c r="H433" i="2" s="1"/>
  <c r="I432" i="2"/>
  <c r="H432" i="2"/>
  <c r="I431" i="2"/>
  <c r="E431" i="2"/>
  <c r="H431" i="2" s="1"/>
  <c r="I430" i="2"/>
  <c r="E430" i="2"/>
  <c r="H430" i="2" s="1"/>
  <c r="I429" i="2"/>
  <c r="E429" i="2"/>
  <c r="H429" i="2" s="1"/>
  <c r="I428" i="2"/>
  <c r="E428" i="2"/>
  <c r="H428" i="2" s="1"/>
  <c r="I427" i="2"/>
  <c r="E427" i="2"/>
  <c r="H427" i="2" s="1"/>
  <c r="I426" i="2"/>
  <c r="E426" i="2"/>
  <c r="H426" i="2" s="1"/>
  <c r="I425" i="2"/>
  <c r="E425" i="2"/>
  <c r="H425" i="2" s="1"/>
  <c r="I424" i="2"/>
  <c r="E424" i="2"/>
  <c r="H424" i="2" s="1"/>
  <c r="I423" i="2"/>
  <c r="E423" i="2"/>
  <c r="H423" i="2" s="1"/>
  <c r="I422" i="2"/>
  <c r="E422" i="2"/>
  <c r="H422" i="2" s="1"/>
  <c r="I421" i="2"/>
  <c r="E421" i="2"/>
  <c r="H421" i="2" s="1"/>
  <c r="I420" i="2"/>
  <c r="E420" i="2"/>
  <c r="H420" i="2" s="1"/>
  <c r="I419" i="2"/>
  <c r="E419" i="2"/>
  <c r="H419" i="2" s="1"/>
  <c r="I418" i="2"/>
  <c r="E418" i="2"/>
  <c r="H418" i="2" s="1"/>
  <c r="I417" i="2"/>
  <c r="E417" i="2"/>
  <c r="H417" i="2" s="1"/>
  <c r="I416" i="2"/>
  <c r="E416" i="2"/>
  <c r="H416" i="2" s="1"/>
  <c r="I415" i="2"/>
  <c r="E415" i="2"/>
  <c r="H415" i="2" s="1"/>
  <c r="I414" i="2"/>
  <c r="E414" i="2"/>
  <c r="H414" i="2" s="1"/>
  <c r="I413" i="2"/>
  <c r="E413" i="2"/>
  <c r="H413" i="2" s="1"/>
  <c r="I412" i="2"/>
  <c r="H412" i="2"/>
  <c r="I411" i="2"/>
  <c r="E411" i="2"/>
  <c r="H411" i="2" s="1"/>
  <c r="I410" i="2"/>
  <c r="E410" i="2"/>
  <c r="H410" i="2" s="1"/>
  <c r="I409" i="2"/>
  <c r="E409" i="2"/>
  <c r="H409" i="2" s="1"/>
  <c r="I408" i="2"/>
  <c r="E408" i="2"/>
  <c r="H408" i="2" s="1"/>
  <c r="I407" i="2"/>
  <c r="E407" i="2"/>
  <c r="H407" i="2" s="1"/>
  <c r="I406" i="2"/>
  <c r="E406" i="2"/>
  <c r="H406" i="2" s="1"/>
  <c r="I405" i="2"/>
  <c r="E405" i="2"/>
  <c r="H405" i="2" s="1"/>
  <c r="I404" i="2"/>
  <c r="E404" i="2"/>
  <c r="H404" i="2" s="1"/>
  <c r="I403" i="2"/>
  <c r="E403" i="2"/>
  <c r="H403" i="2" s="1"/>
  <c r="I402" i="2"/>
  <c r="E402" i="2"/>
  <c r="H402" i="2" s="1"/>
  <c r="I401" i="2"/>
  <c r="E401" i="2"/>
  <c r="H401" i="2" s="1"/>
  <c r="I400" i="2"/>
  <c r="E400" i="2"/>
  <c r="H400" i="2" s="1"/>
  <c r="I399" i="2"/>
  <c r="E399" i="2"/>
  <c r="H399" i="2" s="1"/>
  <c r="I398" i="2"/>
  <c r="E398" i="2"/>
  <c r="H398" i="2" s="1"/>
  <c r="I397" i="2"/>
  <c r="E397" i="2"/>
  <c r="H397" i="2" s="1"/>
  <c r="I396" i="2"/>
  <c r="E396" i="2"/>
  <c r="H396" i="2" s="1"/>
  <c r="I395" i="2"/>
  <c r="E395" i="2"/>
  <c r="H395" i="2" s="1"/>
  <c r="I394" i="2"/>
  <c r="E394" i="2"/>
  <c r="H394" i="2" s="1"/>
  <c r="I393" i="2"/>
  <c r="E393" i="2"/>
  <c r="H393" i="2" s="1"/>
  <c r="I392" i="2"/>
  <c r="E392" i="2"/>
  <c r="H392" i="2" s="1"/>
  <c r="I391" i="2"/>
  <c r="E391" i="2"/>
  <c r="H391" i="2" s="1"/>
  <c r="I390" i="2"/>
  <c r="E390" i="2"/>
  <c r="H390" i="2" s="1"/>
  <c r="I389" i="2"/>
  <c r="E389" i="2"/>
  <c r="H389" i="2" s="1"/>
  <c r="I388" i="2"/>
  <c r="E388" i="2"/>
  <c r="H388" i="2" s="1"/>
  <c r="I387" i="2"/>
  <c r="E387" i="2"/>
  <c r="H387" i="2" s="1"/>
  <c r="I386" i="2"/>
  <c r="H386" i="2"/>
  <c r="I385" i="2"/>
  <c r="H385" i="2"/>
  <c r="I384" i="2"/>
  <c r="E384" i="2"/>
  <c r="H384" i="2" s="1"/>
  <c r="I383" i="2"/>
  <c r="E383" i="2"/>
  <c r="H383" i="2" s="1"/>
  <c r="I382" i="2"/>
  <c r="E382" i="2"/>
  <c r="H382" i="2" s="1"/>
  <c r="I381" i="2"/>
  <c r="E381" i="2"/>
  <c r="H381" i="2" s="1"/>
  <c r="I380" i="2"/>
  <c r="E380" i="2"/>
  <c r="H380" i="2" s="1"/>
  <c r="I379" i="2"/>
  <c r="E379" i="2"/>
  <c r="H379" i="2" s="1"/>
  <c r="I378" i="2"/>
  <c r="E378" i="2"/>
  <c r="H378" i="2" s="1"/>
  <c r="I377" i="2"/>
  <c r="E377" i="2"/>
  <c r="H377" i="2" s="1"/>
  <c r="I376" i="2"/>
  <c r="E376" i="2"/>
  <c r="H376" i="2" s="1"/>
  <c r="I375" i="2"/>
  <c r="E375" i="2"/>
  <c r="H375" i="2" s="1"/>
  <c r="I374" i="2"/>
  <c r="E374" i="2"/>
  <c r="H374" i="2" s="1"/>
  <c r="I373" i="2"/>
  <c r="E373" i="2"/>
  <c r="H373" i="2" s="1"/>
  <c r="I372" i="2"/>
  <c r="E372" i="2"/>
  <c r="H372" i="2" s="1"/>
  <c r="I371" i="2"/>
  <c r="E371" i="2"/>
  <c r="H371" i="2" s="1"/>
  <c r="I370" i="2"/>
  <c r="E370" i="2"/>
  <c r="H370" i="2" s="1"/>
  <c r="I369" i="2"/>
  <c r="E369" i="2"/>
  <c r="H369" i="2" s="1"/>
  <c r="I368" i="2"/>
  <c r="E368" i="2"/>
  <c r="H368" i="2" s="1"/>
  <c r="I367" i="2"/>
  <c r="E367" i="2"/>
  <c r="H367" i="2" s="1"/>
  <c r="I366" i="2"/>
  <c r="E366" i="2"/>
  <c r="H366" i="2" s="1"/>
  <c r="I365" i="2"/>
  <c r="E365" i="2"/>
  <c r="H365" i="2" s="1"/>
  <c r="I364" i="2"/>
  <c r="E364" i="2"/>
  <c r="H364" i="2" s="1"/>
  <c r="I363" i="2"/>
  <c r="E363" i="2"/>
  <c r="H363" i="2" s="1"/>
  <c r="I362" i="2"/>
  <c r="E362" i="2"/>
  <c r="H362" i="2" s="1"/>
  <c r="I361" i="2"/>
  <c r="E361" i="2"/>
  <c r="H361" i="2" s="1"/>
  <c r="I360" i="2"/>
  <c r="E360" i="2"/>
  <c r="H360" i="2" s="1"/>
  <c r="I359" i="2"/>
  <c r="E359" i="2"/>
  <c r="H359" i="2" s="1"/>
  <c r="I358" i="2"/>
  <c r="E358" i="2"/>
  <c r="H358" i="2" s="1"/>
  <c r="I357" i="2"/>
  <c r="E357" i="2"/>
  <c r="H357" i="2" s="1"/>
  <c r="I356" i="2"/>
  <c r="E356" i="2"/>
  <c r="H356" i="2" s="1"/>
  <c r="I355" i="2"/>
  <c r="E355" i="2"/>
  <c r="H355" i="2" s="1"/>
  <c r="I354" i="2"/>
  <c r="E354" i="2"/>
  <c r="H354" i="2" s="1"/>
  <c r="I353" i="2"/>
  <c r="H353" i="2"/>
  <c r="I352" i="2"/>
  <c r="E352" i="2"/>
  <c r="H352" i="2" s="1"/>
  <c r="I351" i="2"/>
  <c r="E351" i="2"/>
  <c r="H351" i="2" s="1"/>
  <c r="I350" i="2"/>
  <c r="E350" i="2"/>
  <c r="H350" i="2" s="1"/>
  <c r="I349" i="2"/>
  <c r="E349" i="2"/>
  <c r="H349" i="2" s="1"/>
  <c r="I348" i="2"/>
  <c r="E348" i="2"/>
  <c r="H348" i="2" s="1"/>
  <c r="I347" i="2"/>
  <c r="E347" i="2"/>
  <c r="H347" i="2" s="1"/>
  <c r="I346" i="2"/>
  <c r="E346" i="2"/>
  <c r="H346" i="2" s="1"/>
  <c r="I345" i="2"/>
  <c r="E345" i="2"/>
  <c r="H345" i="2" s="1"/>
  <c r="I344" i="2"/>
  <c r="E344" i="2"/>
  <c r="H344" i="2" s="1"/>
  <c r="I343" i="2"/>
  <c r="E343" i="2"/>
  <c r="H343" i="2" s="1"/>
  <c r="I342" i="2"/>
  <c r="E342" i="2"/>
  <c r="H342" i="2" s="1"/>
  <c r="I341" i="2"/>
  <c r="E341" i="2"/>
  <c r="H341" i="2" s="1"/>
  <c r="I340" i="2"/>
  <c r="E340" i="2"/>
  <c r="H340" i="2" s="1"/>
  <c r="I339" i="2"/>
  <c r="E339" i="2"/>
  <c r="H339" i="2" s="1"/>
  <c r="I338" i="2"/>
  <c r="E338" i="2"/>
  <c r="H338" i="2" s="1"/>
  <c r="I337" i="2"/>
  <c r="E337" i="2"/>
  <c r="H337" i="2" s="1"/>
  <c r="I336" i="2"/>
  <c r="E336" i="2"/>
  <c r="H336" i="2" s="1"/>
  <c r="I335" i="2"/>
  <c r="E335" i="2"/>
  <c r="H335" i="2" s="1"/>
  <c r="I334" i="2"/>
  <c r="E334" i="2"/>
  <c r="H334" i="2" s="1"/>
  <c r="I333" i="2"/>
  <c r="E333" i="2"/>
  <c r="H333" i="2" s="1"/>
  <c r="I332" i="2"/>
  <c r="E332" i="2"/>
  <c r="H332" i="2" s="1"/>
  <c r="I331" i="2"/>
  <c r="E331" i="2"/>
  <c r="H331" i="2" s="1"/>
  <c r="I330" i="2"/>
  <c r="E330" i="2"/>
  <c r="H330" i="2" s="1"/>
  <c r="I329" i="2"/>
  <c r="E329" i="2"/>
  <c r="H329" i="2" s="1"/>
  <c r="I328" i="2"/>
  <c r="E328" i="2"/>
  <c r="H328" i="2" s="1"/>
  <c r="I327" i="2"/>
  <c r="E327" i="2"/>
  <c r="H327" i="2" s="1"/>
  <c r="I326" i="2"/>
  <c r="E326" i="2"/>
  <c r="H326" i="2" s="1"/>
  <c r="I325" i="2"/>
  <c r="E325" i="2"/>
  <c r="H325" i="2" s="1"/>
  <c r="I324" i="2"/>
  <c r="E324" i="2"/>
  <c r="H324" i="2" s="1"/>
  <c r="I323" i="2"/>
  <c r="E323" i="2"/>
  <c r="H323" i="2" s="1"/>
  <c r="I322" i="2"/>
  <c r="E322" i="2"/>
  <c r="H322" i="2" s="1"/>
  <c r="I321" i="2"/>
  <c r="E321" i="2"/>
  <c r="H321" i="2" s="1"/>
  <c r="I320" i="2"/>
  <c r="E320" i="2"/>
  <c r="H320" i="2" s="1"/>
  <c r="I319" i="2"/>
  <c r="E319" i="2"/>
  <c r="H319" i="2" s="1"/>
  <c r="I318" i="2"/>
  <c r="E318" i="2"/>
  <c r="H318" i="2" s="1"/>
  <c r="I317" i="2"/>
  <c r="E317" i="2"/>
  <c r="H317" i="2" s="1"/>
  <c r="I316" i="2"/>
  <c r="E316" i="2"/>
  <c r="H316" i="2" s="1"/>
  <c r="I315" i="2"/>
  <c r="E315" i="2"/>
  <c r="H315" i="2" s="1"/>
  <c r="I314" i="2"/>
  <c r="H314" i="2"/>
  <c r="I313" i="2"/>
  <c r="E313" i="2"/>
  <c r="H313" i="2" s="1"/>
  <c r="I312" i="2"/>
  <c r="E312" i="2"/>
  <c r="H312" i="2" s="1"/>
  <c r="I311" i="2"/>
  <c r="E311" i="2"/>
  <c r="H311" i="2" s="1"/>
  <c r="I310" i="2"/>
  <c r="E310" i="2"/>
  <c r="H310" i="2" s="1"/>
  <c r="I309" i="2"/>
  <c r="E309" i="2"/>
  <c r="H309" i="2" s="1"/>
  <c r="I308" i="2"/>
  <c r="E308" i="2"/>
  <c r="H308" i="2" s="1"/>
  <c r="I307" i="2"/>
  <c r="E307" i="2"/>
  <c r="H307" i="2" s="1"/>
  <c r="I306" i="2"/>
  <c r="E306" i="2"/>
  <c r="H306" i="2" s="1"/>
  <c r="I305" i="2"/>
  <c r="E305" i="2"/>
  <c r="H305" i="2" s="1"/>
  <c r="I304" i="2"/>
  <c r="E304" i="2"/>
  <c r="H304" i="2" s="1"/>
  <c r="I303" i="2"/>
  <c r="E303" i="2"/>
  <c r="H303" i="2" s="1"/>
  <c r="I302" i="2"/>
  <c r="E302" i="2"/>
  <c r="H302" i="2" s="1"/>
  <c r="I301" i="2"/>
  <c r="E301" i="2"/>
  <c r="H301" i="2" s="1"/>
  <c r="I300" i="2"/>
  <c r="E300" i="2"/>
  <c r="H300" i="2" s="1"/>
  <c r="I299" i="2"/>
  <c r="E299" i="2"/>
  <c r="H299" i="2" s="1"/>
  <c r="I298" i="2"/>
  <c r="E298" i="2"/>
  <c r="H298" i="2" s="1"/>
  <c r="I297" i="2"/>
  <c r="E297" i="2"/>
  <c r="H297" i="2" s="1"/>
  <c r="I296" i="2"/>
  <c r="E296" i="2"/>
  <c r="H296" i="2" s="1"/>
  <c r="I295" i="2"/>
  <c r="E295" i="2"/>
  <c r="H295" i="2" s="1"/>
  <c r="I294" i="2"/>
  <c r="E294" i="2"/>
  <c r="H294" i="2" s="1"/>
  <c r="I293" i="2"/>
  <c r="E293" i="2"/>
  <c r="H293" i="2" s="1"/>
  <c r="I292" i="2"/>
  <c r="E292" i="2"/>
  <c r="H292" i="2" s="1"/>
  <c r="I291" i="2"/>
  <c r="E291" i="2"/>
  <c r="H291" i="2" s="1"/>
  <c r="I290" i="2"/>
  <c r="E290" i="2"/>
  <c r="H290" i="2" s="1"/>
  <c r="I289" i="2"/>
  <c r="E289" i="2"/>
  <c r="H289" i="2" s="1"/>
  <c r="I288" i="2"/>
  <c r="E288" i="2"/>
  <c r="H288" i="2" s="1"/>
  <c r="I287" i="2"/>
  <c r="E287" i="2"/>
  <c r="H287" i="2" s="1"/>
  <c r="I286" i="2"/>
  <c r="E286" i="2"/>
  <c r="H286" i="2" s="1"/>
  <c r="I285" i="2"/>
  <c r="E285" i="2"/>
  <c r="H285" i="2" s="1"/>
  <c r="I284" i="2"/>
  <c r="E284" i="2"/>
  <c r="H284" i="2" s="1"/>
  <c r="I283" i="2"/>
  <c r="E283" i="2"/>
  <c r="H283" i="2" s="1"/>
  <c r="I282" i="2"/>
  <c r="E282" i="2"/>
  <c r="H282" i="2" s="1"/>
  <c r="I281" i="2"/>
  <c r="E281" i="2"/>
  <c r="H281" i="2" s="1"/>
  <c r="I280" i="2"/>
  <c r="E280" i="2"/>
  <c r="H280" i="2" s="1"/>
  <c r="I279" i="2"/>
  <c r="E279" i="2"/>
  <c r="H279" i="2" s="1"/>
  <c r="I278" i="2"/>
  <c r="E278" i="2"/>
  <c r="H278" i="2" s="1"/>
  <c r="I277" i="2"/>
  <c r="E277" i="2"/>
  <c r="H277" i="2" s="1"/>
  <c r="I276" i="2"/>
  <c r="E276" i="2"/>
  <c r="H276" i="2" s="1"/>
  <c r="I275" i="2"/>
  <c r="E275" i="2"/>
  <c r="H275" i="2" s="1"/>
  <c r="I274" i="2"/>
  <c r="E274" i="2"/>
  <c r="H274" i="2" s="1"/>
  <c r="I273" i="2"/>
  <c r="E273" i="2"/>
  <c r="H273" i="2" s="1"/>
  <c r="I272" i="2"/>
  <c r="E272" i="2"/>
  <c r="H272" i="2" s="1"/>
  <c r="I271" i="2"/>
  <c r="E271" i="2"/>
  <c r="H271" i="2" s="1"/>
  <c r="I270" i="2"/>
  <c r="E270" i="2"/>
  <c r="H270" i="2" s="1"/>
  <c r="I269" i="2"/>
  <c r="E269" i="2"/>
  <c r="H269" i="2" s="1"/>
  <c r="I268" i="2"/>
  <c r="E268" i="2"/>
  <c r="H268" i="2" s="1"/>
  <c r="I267" i="2"/>
  <c r="E267" i="2"/>
  <c r="H267" i="2" s="1"/>
  <c r="I266" i="2"/>
  <c r="E266" i="2"/>
  <c r="H266" i="2" s="1"/>
  <c r="I265" i="2"/>
  <c r="E265" i="2"/>
  <c r="H265" i="2" s="1"/>
  <c r="I264" i="2"/>
  <c r="E264" i="2"/>
  <c r="H264" i="2" s="1"/>
  <c r="I263" i="2"/>
  <c r="E263" i="2"/>
  <c r="H263" i="2" s="1"/>
  <c r="I262" i="2"/>
  <c r="H262" i="2"/>
  <c r="I261" i="2"/>
  <c r="E261" i="2"/>
  <c r="H261" i="2" s="1"/>
  <c r="I260" i="2"/>
  <c r="E260" i="2"/>
  <c r="H260" i="2" s="1"/>
  <c r="I259" i="2"/>
  <c r="E259" i="2"/>
  <c r="H259" i="2" s="1"/>
  <c r="I258" i="2"/>
  <c r="E258" i="2"/>
  <c r="H258" i="2" s="1"/>
  <c r="I257" i="2"/>
  <c r="E257" i="2"/>
  <c r="H257" i="2" s="1"/>
  <c r="I256" i="2"/>
  <c r="E256" i="2"/>
  <c r="H256" i="2" s="1"/>
  <c r="I255" i="2"/>
  <c r="E255" i="2"/>
  <c r="H255" i="2" s="1"/>
  <c r="I254" i="2"/>
  <c r="E254" i="2"/>
  <c r="H254" i="2" s="1"/>
  <c r="I253" i="2"/>
  <c r="E253" i="2"/>
  <c r="H253" i="2" s="1"/>
  <c r="I252" i="2"/>
  <c r="E252" i="2"/>
  <c r="H252" i="2" s="1"/>
  <c r="I251" i="2"/>
  <c r="E251" i="2"/>
  <c r="H251" i="2" s="1"/>
  <c r="I250" i="2"/>
  <c r="E250" i="2"/>
  <c r="H250" i="2" s="1"/>
  <c r="I249" i="2"/>
  <c r="E249" i="2"/>
  <c r="H249" i="2" s="1"/>
  <c r="I248" i="2"/>
  <c r="E248" i="2"/>
  <c r="H248" i="2" s="1"/>
  <c r="I247" i="2"/>
  <c r="E247" i="2"/>
  <c r="H247" i="2" s="1"/>
  <c r="I246" i="2"/>
  <c r="E246" i="2"/>
  <c r="H246" i="2" s="1"/>
  <c r="I245" i="2"/>
  <c r="E245" i="2"/>
  <c r="H245" i="2" s="1"/>
  <c r="I244" i="2"/>
  <c r="E244" i="2"/>
  <c r="H244" i="2" s="1"/>
  <c r="I243" i="2"/>
  <c r="E243" i="2"/>
  <c r="H243" i="2" s="1"/>
  <c r="I242" i="2"/>
  <c r="E242" i="2"/>
  <c r="H242" i="2" s="1"/>
  <c r="I241" i="2"/>
  <c r="E241" i="2"/>
  <c r="H241" i="2" s="1"/>
  <c r="I240" i="2"/>
  <c r="E240" i="2"/>
  <c r="H240" i="2" s="1"/>
  <c r="I239" i="2"/>
  <c r="E239" i="2"/>
  <c r="H239" i="2" s="1"/>
  <c r="I238" i="2"/>
  <c r="E238" i="2"/>
  <c r="H238" i="2" s="1"/>
  <c r="I237" i="2"/>
  <c r="E237" i="2"/>
  <c r="H237" i="2" s="1"/>
  <c r="I236" i="2"/>
  <c r="E236" i="2"/>
  <c r="H236" i="2" s="1"/>
  <c r="I235" i="2"/>
  <c r="E235" i="2"/>
  <c r="H235" i="2" s="1"/>
  <c r="I234" i="2"/>
  <c r="E234" i="2"/>
  <c r="H234" i="2" s="1"/>
  <c r="I233" i="2"/>
  <c r="E233" i="2"/>
  <c r="H233" i="2" s="1"/>
  <c r="I232" i="2"/>
  <c r="E232" i="2"/>
  <c r="H232" i="2" s="1"/>
  <c r="I231" i="2"/>
  <c r="E231" i="2"/>
  <c r="H231" i="2" s="1"/>
  <c r="I230" i="2"/>
  <c r="E230" i="2"/>
  <c r="H230" i="2" s="1"/>
  <c r="I229" i="2"/>
  <c r="E229" i="2"/>
  <c r="H229" i="2" s="1"/>
  <c r="I228" i="2"/>
  <c r="E228" i="2"/>
  <c r="H228" i="2" s="1"/>
  <c r="I227" i="2"/>
  <c r="E227" i="2"/>
  <c r="H227" i="2" s="1"/>
  <c r="I226" i="2"/>
  <c r="E226" i="2"/>
  <c r="H226" i="2" s="1"/>
  <c r="I225" i="2"/>
  <c r="E225" i="2"/>
  <c r="H225" i="2" s="1"/>
  <c r="I224" i="2"/>
  <c r="E224" i="2"/>
  <c r="H224" i="2" s="1"/>
  <c r="I223" i="2"/>
  <c r="E223" i="2"/>
  <c r="H223" i="2" s="1"/>
  <c r="I222" i="2"/>
  <c r="E222" i="2"/>
  <c r="H222" i="2" s="1"/>
  <c r="I221" i="2"/>
  <c r="E221" i="2"/>
  <c r="H221" i="2" s="1"/>
  <c r="I220" i="2"/>
  <c r="E220" i="2"/>
  <c r="H220" i="2" s="1"/>
  <c r="I219" i="2"/>
  <c r="E219" i="2"/>
  <c r="H219" i="2" s="1"/>
  <c r="I218" i="2"/>
  <c r="E218" i="2"/>
  <c r="H218" i="2" s="1"/>
  <c r="I217" i="2"/>
  <c r="E217" i="2"/>
  <c r="H217" i="2" s="1"/>
  <c r="I216" i="2"/>
  <c r="E216" i="2"/>
  <c r="H216" i="2" s="1"/>
  <c r="I215" i="2"/>
  <c r="E215" i="2"/>
  <c r="H215" i="2" s="1"/>
  <c r="I214" i="2"/>
  <c r="E214" i="2"/>
  <c r="H214" i="2" s="1"/>
  <c r="I213" i="2"/>
  <c r="H213" i="2"/>
  <c r="I212" i="2"/>
  <c r="E212" i="2"/>
  <c r="H212" i="2" s="1"/>
  <c r="I211" i="2"/>
  <c r="E211" i="2"/>
  <c r="H211" i="2" s="1"/>
  <c r="I210" i="2"/>
  <c r="E210" i="2"/>
  <c r="H210" i="2" s="1"/>
  <c r="I209" i="2"/>
  <c r="E209" i="2"/>
  <c r="H209" i="2" s="1"/>
  <c r="I208" i="2"/>
  <c r="E208" i="2"/>
  <c r="H208" i="2" s="1"/>
  <c r="I207" i="2"/>
  <c r="E207" i="2"/>
  <c r="H207" i="2" s="1"/>
  <c r="I206" i="2"/>
  <c r="E206" i="2"/>
  <c r="H206" i="2" s="1"/>
  <c r="I205" i="2"/>
  <c r="E205" i="2"/>
  <c r="H205" i="2" s="1"/>
  <c r="I204" i="2"/>
  <c r="E204" i="2"/>
  <c r="H204" i="2" s="1"/>
  <c r="I203" i="2"/>
  <c r="E203" i="2"/>
  <c r="H203" i="2" s="1"/>
  <c r="I202" i="2"/>
  <c r="E202" i="2"/>
  <c r="H202" i="2" s="1"/>
  <c r="I201" i="2"/>
  <c r="E201" i="2"/>
  <c r="H201" i="2" s="1"/>
  <c r="I200" i="2"/>
  <c r="H200" i="2"/>
  <c r="I199" i="2"/>
  <c r="E199" i="2"/>
  <c r="H199" i="2" s="1"/>
  <c r="I198" i="2"/>
  <c r="E198" i="2"/>
  <c r="H198" i="2" s="1"/>
  <c r="I197" i="2"/>
  <c r="E197" i="2"/>
  <c r="H197" i="2" s="1"/>
  <c r="I196" i="2"/>
  <c r="E196" i="2"/>
  <c r="H196" i="2" s="1"/>
  <c r="I195" i="2"/>
  <c r="E195" i="2"/>
  <c r="H195" i="2" s="1"/>
  <c r="I194" i="2"/>
  <c r="E194" i="2"/>
  <c r="H194" i="2" s="1"/>
  <c r="I193" i="2"/>
  <c r="E193" i="2"/>
  <c r="H193" i="2" s="1"/>
  <c r="I192" i="2"/>
  <c r="E192" i="2"/>
  <c r="H192" i="2" s="1"/>
  <c r="I191" i="2"/>
  <c r="E191" i="2"/>
  <c r="H191" i="2" s="1"/>
  <c r="I190" i="2"/>
  <c r="E190" i="2"/>
  <c r="H190" i="2" s="1"/>
  <c r="I189" i="2"/>
  <c r="E189" i="2"/>
  <c r="H189" i="2" s="1"/>
  <c r="I188" i="2"/>
  <c r="E188" i="2"/>
  <c r="H188" i="2" s="1"/>
  <c r="I187" i="2"/>
  <c r="E187" i="2"/>
  <c r="H187" i="2" s="1"/>
  <c r="I186" i="2"/>
  <c r="E186" i="2"/>
  <c r="H186" i="2" s="1"/>
  <c r="I185" i="2"/>
  <c r="E185" i="2"/>
  <c r="H185" i="2" s="1"/>
  <c r="I184" i="2"/>
  <c r="E184" i="2"/>
  <c r="H184" i="2" s="1"/>
  <c r="I183" i="2"/>
  <c r="E183" i="2"/>
  <c r="H183" i="2" s="1"/>
  <c r="I182" i="2"/>
  <c r="E182" i="2"/>
  <c r="H182" i="2" s="1"/>
  <c r="I181" i="2"/>
  <c r="E181" i="2"/>
  <c r="H181" i="2" s="1"/>
  <c r="I180" i="2"/>
  <c r="E180" i="2"/>
  <c r="H180" i="2" s="1"/>
  <c r="I179" i="2"/>
  <c r="H179" i="2"/>
  <c r="I178" i="2"/>
  <c r="H178" i="2"/>
  <c r="I177" i="2"/>
  <c r="E177" i="2"/>
  <c r="H177" i="2" s="1"/>
  <c r="I176" i="2"/>
  <c r="E176" i="2"/>
  <c r="H176" i="2" s="1"/>
  <c r="I175" i="2"/>
  <c r="E175" i="2"/>
  <c r="H175" i="2" s="1"/>
  <c r="I174" i="2"/>
  <c r="E174" i="2"/>
  <c r="H174" i="2" s="1"/>
  <c r="I173" i="2"/>
  <c r="E173" i="2"/>
  <c r="H173" i="2" s="1"/>
  <c r="I172" i="2"/>
  <c r="E172" i="2"/>
  <c r="H172" i="2" s="1"/>
  <c r="I171" i="2"/>
  <c r="E171" i="2"/>
  <c r="H171" i="2" s="1"/>
  <c r="I170" i="2"/>
  <c r="E170" i="2"/>
  <c r="H170" i="2" s="1"/>
  <c r="I169" i="2"/>
  <c r="E169" i="2"/>
  <c r="H169" i="2" s="1"/>
  <c r="I168" i="2"/>
  <c r="E168" i="2"/>
  <c r="H168" i="2" s="1"/>
  <c r="I167" i="2"/>
  <c r="E167" i="2"/>
  <c r="H167" i="2" s="1"/>
  <c r="I166" i="2"/>
  <c r="E166" i="2"/>
  <c r="H166" i="2" s="1"/>
  <c r="I165" i="2"/>
  <c r="E165" i="2"/>
  <c r="H165" i="2" s="1"/>
  <c r="I164" i="2"/>
  <c r="E164" i="2"/>
  <c r="H164" i="2" s="1"/>
  <c r="I163" i="2"/>
  <c r="E163" i="2"/>
  <c r="H163" i="2" s="1"/>
  <c r="I162" i="2"/>
  <c r="E162" i="2"/>
  <c r="H162" i="2" s="1"/>
  <c r="I161" i="2"/>
  <c r="E161" i="2"/>
  <c r="H161" i="2" s="1"/>
  <c r="I160" i="2"/>
  <c r="E160" i="2"/>
  <c r="H160" i="2" s="1"/>
  <c r="I159" i="2"/>
  <c r="E159" i="2"/>
  <c r="H159" i="2" s="1"/>
  <c r="I158" i="2"/>
  <c r="E158" i="2"/>
  <c r="H158" i="2" s="1"/>
  <c r="I157" i="2"/>
  <c r="E157" i="2"/>
  <c r="H157" i="2" s="1"/>
  <c r="I156" i="2"/>
  <c r="E156" i="2"/>
  <c r="H156" i="2" s="1"/>
  <c r="I155" i="2"/>
  <c r="E155" i="2"/>
  <c r="H155" i="2" s="1"/>
  <c r="I154" i="2"/>
  <c r="E154" i="2"/>
  <c r="H154" i="2" s="1"/>
  <c r="I153" i="2"/>
  <c r="E153" i="2"/>
  <c r="H153" i="2" s="1"/>
  <c r="I152" i="2"/>
  <c r="E152" i="2"/>
  <c r="H152" i="2" s="1"/>
  <c r="I151" i="2"/>
  <c r="E151" i="2"/>
  <c r="H151" i="2" s="1"/>
  <c r="I150" i="2"/>
  <c r="E150" i="2"/>
  <c r="H150" i="2" s="1"/>
  <c r="I149" i="2"/>
  <c r="E149" i="2"/>
  <c r="H149" i="2" s="1"/>
  <c r="I148" i="2"/>
  <c r="E148" i="2"/>
  <c r="H148" i="2" s="1"/>
  <c r="I147" i="2"/>
  <c r="E147" i="2"/>
  <c r="H147" i="2" s="1"/>
  <c r="I146" i="2"/>
  <c r="E146" i="2"/>
  <c r="H146" i="2" s="1"/>
  <c r="I145" i="2"/>
  <c r="E145" i="2"/>
  <c r="H145" i="2" s="1"/>
  <c r="I144" i="2"/>
  <c r="E144" i="2"/>
  <c r="H144" i="2" s="1"/>
  <c r="I143" i="2"/>
  <c r="E143" i="2"/>
  <c r="H143" i="2" s="1"/>
  <c r="I142" i="2"/>
  <c r="E142" i="2"/>
  <c r="H142" i="2" s="1"/>
  <c r="I141" i="2"/>
  <c r="E141" i="2"/>
  <c r="H141" i="2" s="1"/>
  <c r="I140" i="2"/>
  <c r="E140" i="2"/>
  <c r="H140" i="2" s="1"/>
  <c r="I139" i="2"/>
  <c r="E139" i="2"/>
  <c r="H139" i="2" s="1"/>
  <c r="I138" i="2"/>
  <c r="E138" i="2"/>
  <c r="H138" i="2" s="1"/>
  <c r="I137" i="2"/>
  <c r="E137" i="2"/>
  <c r="H137" i="2" s="1"/>
  <c r="I136" i="2"/>
  <c r="E136" i="2"/>
  <c r="H136" i="2" s="1"/>
  <c r="I135" i="2"/>
  <c r="E135" i="2"/>
  <c r="H135" i="2" s="1"/>
  <c r="I134" i="2"/>
  <c r="E134" i="2"/>
  <c r="H134" i="2" s="1"/>
  <c r="I133" i="2"/>
  <c r="E133" i="2"/>
  <c r="H133" i="2" s="1"/>
  <c r="I132" i="2"/>
  <c r="E132" i="2"/>
  <c r="H132" i="2" s="1"/>
  <c r="I131" i="2"/>
  <c r="H131" i="2"/>
  <c r="I130" i="2"/>
  <c r="E130" i="2"/>
  <c r="H130" i="2" s="1"/>
  <c r="I129" i="2"/>
  <c r="E129" i="2"/>
  <c r="H129" i="2" s="1"/>
  <c r="I128" i="2"/>
  <c r="E128" i="2"/>
  <c r="H128" i="2" s="1"/>
  <c r="I127" i="2"/>
  <c r="E127" i="2"/>
  <c r="H127" i="2" s="1"/>
  <c r="I126" i="2"/>
  <c r="E126" i="2"/>
  <c r="H126" i="2" s="1"/>
  <c r="I125" i="2"/>
  <c r="E125" i="2"/>
  <c r="H125" i="2" s="1"/>
  <c r="I124" i="2"/>
  <c r="E124" i="2"/>
  <c r="H124" i="2" s="1"/>
  <c r="I123" i="2"/>
  <c r="E123" i="2"/>
  <c r="H123" i="2" s="1"/>
  <c r="I122" i="2"/>
  <c r="E122" i="2"/>
  <c r="H122" i="2" s="1"/>
  <c r="I121" i="2"/>
  <c r="E121" i="2"/>
  <c r="H121" i="2" s="1"/>
  <c r="I120" i="2"/>
  <c r="E120" i="2"/>
  <c r="H120" i="2" s="1"/>
  <c r="I119" i="2"/>
  <c r="E119" i="2"/>
  <c r="H119" i="2" s="1"/>
  <c r="I118" i="2"/>
  <c r="E118" i="2"/>
  <c r="H118" i="2" s="1"/>
  <c r="I117" i="2"/>
  <c r="E117" i="2"/>
  <c r="H117" i="2" s="1"/>
  <c r="I116" i="2"/>
  <c r="E116" i="2"/>
  <c r="H116" i="2" s="1"/>
  <c r="I115" i="2"/>
  <c r="E115" i="2"/>
  <c r="H115" i="2" s="1"/>
  <c r="I114" i="2"/>
  <c r="E114" i="2"/>
  <c r="H114" i="2" s="1"/>
  <c r="I113" i="2"/>
  <c r="E113" i="2"/>
  <c r="H113" i="2" s="1"/>
  <c r="I112" i="2"/>
  <c r="E112" i="2"/>
  <c r="H112" i="2" s="1"/>
  <c r="I111" i="2"/>
  <c r="E111" i="2"/>
  <c r="H111" i="2" s="1"/>
  <c r="I110" i="2"/>
  <c r="E110" i="2"/>
  <c r="H110" i="2" s="1"/>
  <c r="I109" i="2"/>
  <c r="E109" i="2"/>
  <c r="H109" i="2" s="1"/>
  <c r="I108" i="2"/>
  <c r="E108" i="2"/>
  <c r="H108" i="2" s="1"/>
  <c r="I107" i="2"/>
  <c r="E107" i="2"/>
  <c r="H107" i="2" s="1"/>
  <c r="I106" i="2"/>
  <c r="E106" i="2"/>
  <c r="H106" i="2" s="1"/>
  <c r="I105" i="2"/>
  <c r="E105" i="2"/>
  <c r="H105" i="2" s="1"/>
  <c r="I104" i="2"/>
  <c r="E104" i="2"/>
  <c r="H104" i="2" s="1"/>
  <c r="I103" i="2"/>
  <c r="E103" i="2"/>
  <c r="H103" i="2" s="1"/>
  <c r="I102" i="2"/>
  <c r="E102" i="2"/>
  <c r="H102" i="2" s="1"/>
  <c r="I101" i="2"/>
  <c r="E101" i="2"/>
  <c r="H101" i="2" s="1"/>
  <c r="I100" i="2"/>
  <c r="E100" i="2"/>
  <c r="H100" i="2" s="1"/>
  <c r="I99" i="2"/>
  <c r="E99" i="2"/>
  <c r="H99" i="2" s="1"/>
  <c r="I98" i="2"/>
  <c r="E98" i="2"/>
  <c r="H98" i="2" s="1"/>
  <c r="I97" i="2"/>
  <c r="E97" i="2"/>
  <c r="H97" i="2" s="1"/>
  <c r="I96" i="2"/>
  <c r="E96" i="2"/>
  <c r="H96" i="2" s="1"/>
  <c r="I95" i="2"/>
  <c r="E95" i="2"/>
  <c r="H95" i="2" s="1"/>
  <c r="I94" i="2"/>
  <c r="E94" i="2"/>
  <c r="H94" i="2" s="1"/>
  <c r="I93" i="2"/>
  <c r="E93" i="2"/>
  <c r="H93" i="2" s="1"/>
  <c r="I92" i="2"/>
  <c r="E92" i="2"/>
  <c r="H92" i="2" s="1"/>
  <c r="I91" i="2"/>
  <c r="E91" i="2"/>
  <c r="H91" i="2" s="1"/>
  <c r="I90" i="2"/>
  <c r="E90" i="2"/>
  <c r="H90" i="2" s="1"/>
  <c r="I89" i="2"/>
  <c r="E89" i="2"/>
  <c r="H89" i="2" s="1"/>
  <c r="I88" i="2"/>
  <c r="E88" i="2"/>
  <c r="H88" i="2" s="1"/>
  <c r="I87" i="2"/>
  <c r="E87" i="2"/>
  <c r="H87" i="2" s="1"/>
  <c r="I86" i="2"/>
  <c r="E86" i="2"/>
  <c r="H86" i="2" s="1"/>
  <c r="I85" i="2"/>
  <c r="E85" i="2"/>
  <c r="H85" i="2" s="1"/>
  <c r="I84" i="2"/>
  <c r="E84" i="2"/>
  <c r="H84" i="2" s="1"/>
  <c r="I83" i="2"/>
  <c r="E83" i="2"/>
  <c r="H83" i="2" s="1"/>
  <c r="I82" i="2"/>
  <c r="E82" i="2"/>
  <c r="H82" i="2" s="1"/>
  <c r="I81" i="2"/>
  <c r="E81" i="2"/>
  <c r="H81" i="2" s="1"/>
  <c r="I80" i="2"/>
  <c r="E80" i="2"/>
  <c r="H80" i="2" s="1"/>
  <c r="I79" i="2"/>
  <c r="E79" i="2"/>
  <c r="H79" i="2" s="1"/>
  <c r="I78" i="2"/>
  <c r="E78" i="2"/>
  <c r="H78" i="2" s="1"/>
  <c r="I77" i="2"/>
  <c r="E77" i="2"/>
  <c r="H77" i="2" s="1"/>
  <c r="I76" i="2"/>
  <c r="E76" i="2"/>
  <c r="H76" i="2" s="1"/>
  <c r="I75" i="2"/>
  <c r="E75" i="2"/>
  <c r="H75" i="2" s="1"/>
  <c r="I74" i="2"/>
  <c r="E74" i="2"/>
  <c r="H74" i="2" s="1"/>
  <c r="I73" i="2"/>
  <c r="E73" i="2"/>
  <c r="H73" i="2" s="1"/>
  <c r="I72" i="2"/>
  <c r="E72" i="2"/>
  <c r="H72" i="2" s="1"/>
  <c r="I71" i="2"/>
  <c r="E71" i="2"/>
  <c r="H71" i="2" s="1"/>
  <c r="I70" i="2"/>
  <c r="E70" i="2"/>
  <c r="H70" i="2" s="1"/>
  <c r="I69" i="2"/>
  <c r="E69" i="2"/>
  <c r="H69" i="2" s="1"/>
  <c r="I68" i="2"/>
  <c r="H68" i="2"/>
  <c r="I67" i="2"/>
  <c r="E67" i="2"/>
  <c r="H67" i="2" s="1"/>
  <c r="I66" i="2"/>
  <c r="E66" i="2"/>
  <c r="H66" i="2" s="1"/>
  <c r="I65" i="2"/>
  <c r="E65" i="2"/>
  <c r="H65" i="2" s="1"/>
  <c r="I64" i="2"/>
  <c r="E64" i="2"/>
  <c r="H64" i="2" s="1"/>
  <c r="I63" i="2"/>
  <c r="E63" i="2"/>
  <c r="H63" i="2" s="1"/>
  <c r="I62" i="2"/>
  <c r="E62" i="2"/>
  <c r="H62" i="2" s="1"/>
  <c r="I61" i="2"/>
  <c r="E61" i="2"/>
  <c r="H61" i="2" s="1"/>
  <c r="I60" i="2"/>
  <c r="E60" i="2"/>
  <c r="H60" i="2" s="1"/>
  <c r="I59" i="2"/>
  <c r="E59" i="2"/>
  <c r="H59" i="2" s="1"/>
  <c r="I58" i="2"/>
  <c r="E58" i="2"/>
  <c r="H58" i="2" s="1"/>
  <c r="I57" i="2"/>
  <c r="E57" i="2"/>
  <c r="H57" i="2" s="1"/>
  <c r="I56" i="2"/>
  <c r="E56" i="2"/>
  <c r="H56" i="2" s="1"/>
  <c r="I55" i="2"/>
  <c r="E55" i="2"/>
  <c r="H55" i="2" s="1"/>
  <c r="I54" i="2"/>
  <c r="E54" i="2"/>
  <c r="H54" i="2" s="1"/>
  <c r="I53" i="2"/>
  <c r="E53" i="2"/>
  <c r="H53" i="2" s="1"/>
  <c r="I52" i="2"/>
  <c r="E52" i="2"/>
  <c r="H52" i="2" s="1"/>
  <c r="I51" i="2"/>
  <c r="E51" i="2"/>
  <c r="H51" i="2" s="1"/>
  <c r="I50" i="2"/>
  <c r="E50" i="2"/>
  <c r="H50" i="2" s="1"/>
  <c r="I49" i="2"/>
  <c r="E49" i="2"/>
  <c r="H49" i="2" s="1"/>
  <c r="I48" i="2"/>
  <c r="E48" i="2"/>
  <c r="H48" i="2" s="1"/>
  <c r="I47" i="2"/>
  <c r="E47" i="2"/>
  <c r="H47" i="2" s="1"/>
  <c r="I46" i="2"/>
  <c r="E46" i="2"/>
  <c r="H46" i="2" s="1"/>
  <c r="I45" i="2"/>
  <c r="E45" i="2"/>
  <c r="H45" i="2" s="1"/>
  <c r="I44" i="2"/>
  <c r="E44" i="2"/>
  <c r="H44" i="2" s="1"/>
  <c r="I43" i="2"/>
  <c r="E43" i="2"/>
  <c r="H43" i="2" s="1"/>
  <c r="I42" i="2"/>
  <c r="E42" i="2"/>
  <c r="H42" i="2" s="1"/>
  <c r="I41" i="2"/>
  <c r="E41" i="2"/>
  <c r="H41" i="2" s="1"/>
  <c r="I40" i="2"/>
  <c r="E40" i="2"/>
  <c r="H40" i="2" s="1"/>
  <c r="I39" i="2"/>
  <c r="E39" i="2"/>
  <c r="H39" i="2" s="1"/>
  <c r="I38" i="2"/>
  <c r="E38" i="2"/>
  <c r="H38" i="2" s="1"/>
  <c r="I37" i="2"/>
  <c r="E37" i="2"/>
  <c r="H37" i="2" s="1"/>
  <c r="I36" i="2"/>
  <c r="E36" i="2"/>
  <c r="H36" i="2" s="1"/>
  <c r="I35" i="2"/>
  <c r="E35" i="2"/>
  <c r="H35" i="2" s="1"/>
  <c r="I34" i="2"/>
  <c r="E34" i="2"/>
  <c r="H34" i="2" s="1"/>
  <c r="I33" i="2"/>
  <c r="E33" i="2"/>
  <c r="H33" i="2" s="1"/>
  <c r="I32" i="2"/>
  <c r="E32" i="2"/>
  <c r="H32" i="2" s="1"/>
  <c r="I31" i="2"/>
  <c r="E31" i="2"/>
  <c r="H31" i="2" s="1"/>
  <c r="I30" i="2"/>
  <c r="E30" i="2"/>
  <c r="H30" i="2" s="1"/>
  <c r="I29" i="2"/>
  <c r="E29" i="2"/>
  <c r="H29" i="2" s="1"/>
  <c r="I28" i="2"/>
  <c r="E28" i="2"/>
  <c r="H28" i="2" s="1"/>
  <c r="I27" i="2"/>
  <c r="E27" i="2"/>
  <c r="H27" i="2" s="1"/>
  <c r="I26" i="2"/>
  <c r="E26" i="2"/>
  <c r="H26" i="2" s="1"/>
  <c r="I25" i="2"/>
  <c r="E25" i="2"/>
  <c r="H25" i="2" s="1"/>
  <c r="I24" i="2"/>
  <c r="E24" i="2"/>
  <c r="H24" i="2" s="1"/>
  <c r="I23" i="2"/>
  <c r="E23" i="2"/>
  <c r="H23" i="2" s="1"/>
  <c r="I22" i="2"/>
  <c r="E22" i="2"/>
  <c r="H22" i="2" s="1"/>
  <c r="I21" i="2"/>
  <c r="E21" i="2"/>
  <c r="H21" i="2" s="1"/>
  <c r="I20" i="2"/>
  <c r="E20" i="2"/>
  <c r="H20" i="2" s="1"/>
  <c r="I19" i="2"/>
  <c r="E19" i="2"/>
  <c r="H19" i="2" s="1"/>
  <c r="I18" i="2"/>
  <c r="E18" i="2"/>
  <c r="H18" i="2" s="1"/>
  <c r="I17" i="2"/>
  <c r="E17" i="2"/>
  <c r="H17" i="2" s="1"/>
  <c r="I16" i="2"/>
  <c r="E16" i="2"/>
  <c r="H16" i="2" s="1"/>
  <c r="I15" i="2"/>
  <c r="E15" i="2"/>
  <c r="H15" i="2" s="1"/>
  <c r="I14" i="2"/>
  <c r="E14" i="2"/>
  <c r="H14" i="2" s="1"/>
  <c r="I13" i="2"/>
  <c r="E13" i="2"/>
  <c r="H13" i="2" s="1"/>
  <c r="I12" i="2"/>
  <c r="E12" i="2"/>
  <c r="H12" i="2" s="1"/>
  <c r="I11" i="2"/>
  <c r="E11" i="2"/>
  <c r="H11" i="2" s="1"/>
  <c r="I10" i="2"/>
  <c r="E10" i="2"/>
  <c r="H10" i="2" s="1"/>
  <c r="I9" i="2"/>
  <c r="E9" i="2"/>
  <c r="H9" i="2" s="1"/>
  <c r="I8" i="2"/>
  <c r="E8" i="2"/>
  <c r="H8" i="2" s="1"/>
  <c r="I7" i="2"/>
  <c r="E7" i="2"/>
  <c r="H7" i="2" s="1"/>
  <c r="I6" i="2"/>
  <c r="E6" i="2"/>
  <c r="H6" i="2" s="1"/>
  <c r="I5" i="2"/>
  <c r="E5" i="2"/>
  <c r="H5" i="2" s="1"/>
  <c r="I4" i="2"/>
  <c r="E4" i="2"/>
  <c r="H4" i="2" s="1"/>
  <c r="I3" i="2"/>
  <c r="E3" i="2"/>
  <c r="H3" i="2" s="1"/>
  <c r="I2" i="2"/>
  <c r="E2" i="2"/>
  <c r="H2" i="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A22C216-2307-483A-A2F0-28BD0A5B6CC2}" keepAlive="1" name="ThisWorkbookDataModel" description="Modelo de Dad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355D011B-3794-46CA-AA62-C2A381BC989C}" name="WorksheetConnection_Gerencie Carteira_2025_11_25.xlsm!tblDados" type="102" refreshedVersion="8" minRefreshableVersion="5">
    <extLst>
      <ext xmlns:x15="http://schemas.microsoft.com/office/spreadsheetml/2010/11/main" uri="{DE250136-89BD-433C-8126-D09CA5730AF9}">
        <x15:connection id="tblDados">
          <x15:rangePr sourceName="_xlcn.WorksheetConnection_GerencieCarteira_2025_11_25.xlsmtblDados"/>
        </x15:connection>
      </ext>
    </extLst>
  </connection>
</connections>
</file>

<file path=xl/sharedStrings.xml><?xml version="1.0" encoding="utf-8"?>
<sst xmlns="http://schemas.openxmlformats.org/spreadsheetml/2006/main" count="17504" uniqueCount="741">
  <si>
    <t>Razão Social</t>
  </si>
  <si>
    <t>(Tudo)</t>
  </si>
  <si>
    <t>Rótulos de Linha</t>
  </si>
  <si>
    <t>Total Geral</t>
  </si>
  <si>
    <t>ADMINISTRAÇÃO</t>
  </si>
  <si>
    <t>ANDERSON FRAGA</t>
  </si>
  <si>
    <t>ANTONIO CARLOS</t>
  </si>
  <si>
    <t>CELIO PIMENTA</t>
  </si>
  <si>
    <t>DIOGO AZEVEDO</t>
  </si>
  <si>
    <t>FITZ</t>
  </si>
  <si>
    <t>JOSE ROBERTO</t>
  </si>
  <si>
    <t>LIBER</t>
  </si>
  <si>
    <t>MARCIO LEONEL</t>
  </si>
  <si>
    <t xml:space="preserve">MARCUS VINICIUS </t>
  </si>
  <si>
    <t>NATALIA NUBIA</t>
  </si>
  <si>
    <t>NOELI SALETE</t>
  </si>
  <si>
    <t>POENATELA</t>
  </si>
  <si>
    <t>PRISCILA METZ</t>
  </si>
  <si>
    <t>RAFAEL PARISE</t>
  </si>
  <si>
    <t>SEM GERENTE</t>
  </si>
  <si>
    <t>WHELKYA IRIS</t>
  </si>
  <si>
    <t xml:space="preserve">ROGERIO </t>
  </si>
  <si>
    <t>PROSPECTAR</t>
  </si>
  <si>
    <t>ANTECIPA</t>
  </si>
  <si>
    <t>CAIO</t>
  </si>
  <si>
    <t>ALISSON DE SOUZA LIMA</t>
  </si>
  <si>
    <t>PROSPER</t>
  </si>
  <si>
    <t>DALVA</t>
  </si>
  <si>
    <t>ANDRE CUNHA</t>
  </si>
  <si>
    <t>CNPJ</t>
  </si>
  <si>
    <t>Alteração</t>
  </si>
  <si>
    <t>Data do recebimento do e-mail</t>
  </si>
  <si>
    <t>Gerente</t>
  </si>
  <si>
    <t>Mês e Ano</t>
  </si>
  <si>
    <t>Cedente</t>
  </si>
  <si>
    <t>EDUARDO MATOSO</t>
  </si>
  <si>
    <t xml:space="preserve">NOELI SALETE </t>
  </si>
  <si>
    <t>GRUPO OTTO</t>
  </si>
  <si>
    <t>MARCOS SOUZA</t>
  </si>
  <si>
    <t>NELSON</t>
  </si>
  <si>
    <t>EXCLUSÕES</t>
  </si>
  <si>
    <t>INCLUSÕES</t>
  </si>
  <si>
    <t>Valores</t>
  </si>
  <si>
    <t>Total de EXCLUSÕES</t>
  </si>
  <si>
    <t>Total de INCLUSÕES</t>
  </si>
  <si>
    <t>Contagem</t>
  </si>
  <si>
    <t>Primeira vez que apareceu</t>
  </si>
  <si>
    <t>CNPJ Números</t>
  </si>
  <si>
    <t>003.603.516/0001-19</t>
  </si>
  <si>
    <t>PROMEL IND COM IMP E EXP DE PRODS NATURAIS LTDA</t>
  </si>
  <si>
    <t>INCLUSAO  ANOT.INADIMPLENCIA</t>
  </si>
  <si>
    <t>008.250.872/0001-10</t>
  </si>
  <si>
    <t>TDR TRANSPORTES LOGISTICA LTDA</t>
  </si>
  <si>
    <t>INCL/EXCL ANOT.INADIMPLENCIA</t>
  </si>
  <si>
    <t>012.520.791/0001-60</t>
  </si>
  <si>
    <t>WJ CALDEIRARIA INDUSTRIA E COMERCIO LTDA ME</t>
  </si>
  <si>
    <t>020.024.081/0001-77</t>
  </si>
  <si>
    <t>RODOVIEIRA TRANSPORTE LTDA</t>
  </si>
  <si>
    <t>021.382.943/0001-04</t>
  </si>
  <si>
    <t>BIOTECH LOGISTICA LTDA</t>
  </si>
  <si>
    <t>025.825.654/0001-85</t>
  </si>
  <si>
    <t>COM IND DE CEREAIS E TRANSPORTES MACIEL LTDA</t>
  </si>
  <si>
    <t>028.393.466/0001-13</t>
  </si>
  <si>
    <t>MAPP COM IMPORTACAO EXPORTACAO IND PRODUTOS ALIMEN</t>
  </si>
  <si>
    <t>028.511.223/0001-32</t>
  </si>
  <si>
    <t>SOCIAL S/A</t>
  </si>
  <si>
    <t>EXCLUSAO  ANOT.INADIMPLENCIA</t>
  </si>
  <si>
    <t>028.650.970/0001-51</t>
  </si>
  <si>
    <t>DIOTTONI INDUSTRIA E COMERCIO DE ALIMENTOS LTDA ME</t>
  </si>
  <si>
    <t>033.249.279/0001-09</t>
  </si>
  <si>
    <t>AUTOMOTIV DO BRASIL INDUSTRIAL LTDA</t>
  </si>
  <si>
    <t>ALTERACAO ENDERECO</t>
  </si>
  <si>
    <t>035.679.705/0001-61</t>
  </si>
  <si>
    <t>SMARTCENTER SOLUCOES INTELIGENTES LTDA ME</t>
  </si>
  <si>
    <t>037.599.774/0001-90</t>
  </si>
  <si>
    <t>TP DISTRIBUIDORA DE PECAS LTDA EPP</t>
  </si>
  <si>
    <t>038.110.780/0001-03</t>
  </si>
  <si>
    <t>UNITA AUTO PECAS LTDA EPP</t>
  </si>
  <si>
    <t>ACQUION FOODTECH S/A</t>
  </si>
  <si>
    <t>BOM PASTOR PAPEIS LTDA</t>
  </si>
  <si>
    <t>IMPORTEXTIL COMERCIO DE TECIDOS LTDA</t>
  </si>
  <si>
    <t>MBIOLOG DIAGNOSTICOS LTDA</t>
  </si>
  <si>
    <t>BETMIX CONCRETO LTDA</t>
  </si>
  <si>
    <t>ARCA CONSTRUCOES E INCORPORACOES LTDA</t>
  </si>
  <si>
    <t>BIOLIFE HEALTH IMPORTACAO E DISTRIBUICAO DE PRODUT</t>
  </si>
  <si>
    <t>MASTERVET COMERCIO DE PRODUTOS AGROPECUARIOS LTDA</t>
  </si>
  <si>
    <t>MEIO OESTE PAPEIS LTDA ME</t>
  </si>
  <si>
    <t>RODOBOX TRANSPORTES E ARMAZENAGEM DE CARGAS LTDA</t>
  </si>
  <si>
    <t>TRANSNECHER COMERCIO TRANSPORTES E EMPREENDIMENTOS</t>
  </si>
  <si>
    <t>CERVEJARIA SOUZA LTDA</t>
  </si>
  <si>
    <t>GREEN FARMING FAZENDAS RENOVAVEIS LTDA</t>
  </si>
  <si>
    <t>UBERTEC SERVICE USINAGEM LTDA EPP</t>
  </si>
  <si>
    <t>CONSULOC ENGENHARIA LTDA EPP</t>
  </si>
  <si>
    <t>DIVINA INDUSTRIA DE COURO LTDA</t>
  </si>
  <si>
    <t>MEK SOL FUNDACOES E SERVICOS GEOTECNICOS LTDA EPP</t>
  </si>
  <si>
    <t>PLURIFORME INDUSTRIA E COMERCIO DE UNIFORMES LTDA</t>
  </si>
  <si>
    <t>SUPER HARD TECNOLOGIA EM TRATAMENTO DE SUPERFICIES</t>
  </si>
  <si>
    <t>ESSENZA INDUSTRIA QUIMICA LTDA</t>
  </si>
  <si>
    <t>MUTCD CENTRO DISTRIBUICAO IND FABRICANTE COSMETICO</t>
  </si>
  <si>
    <t>COLIBRI IND MEDIC SUPLEMENTOS PARA PECUARIA VETERI</t>
  </si>
  <si>
    <t>DECISION DESENVOLVIMENTO DE SISTEMAS LTDA</t>
  </si>
  <si>
    <t>RPT SOLUCOES AMBIENTAIS LTDA</t>
  </si>
  <si>
    <t>ECOPINUS INDUSTRIA E COMERCIO DE EMBALAGENS DE MAD</t>
  </si>
  <si>
    <t>MAPE TRATAMENTO DE RESIDUOS LTDA</t>
  </si>
  <si>
    <t>INDUSTRIA E CERVEJARIA ARTESANAL DE MINAS GERAIS L</t>
  </si>
  <si>
    <t>ALEXANDRE ROSA VICENTE E SERVICOS LTDA ME</t>
  </si>
  <si>
    <t>HERBAMED LABORATORIO NUTRACEUTICO LTDA</t>
  </si>
  <si>
    <t>EVOLUTION MACHINES LTDA ME</t>
  </si>
  <si>
    <t>AMP INDUSTRIA E COMERCIO DE CONDUTORES LTDA</t>
  </si>
  <si>
    <t>SIAP COMERCIO DE PRODUTOS AGROPECUARIOS LTDA</t>
  </si>
  <si>
    <t>VALENTE PRODUCOES LTDA ME</t>
  </si>
  <si>
    <t>ARTECAL ELETROCENTROS S/A</t>
  </si>
  <si>
    <t>DISPA DISTRIBUIDORA SAO PAULO LTDA ME</t>
  </si>
  <si>
    <t>ISOBASE POLIESTIRENO LTDA EPP</t>
  </si>
  <si>
    <t>COOPERATIVA TRANSP AUTON CARGAS PASSAG SERVICOS LO</t>
  </si>
  <si>
    <t>ESPECIALI INDUSTRIA DE ALIMENTOS LTDA ME</t>
  </si>
  <si>
    <t>PREMOLDADOS MATOSINHOS LTDA EPP</t>
  </si>
  <si>
    <t>VIVAN TRANSPORTES LTDA</t>
  </si>
  <si>
    <t>MINAS ALIMENTOS E FRUTAS SECAS LTDA EPP</t>
  </si>
  <si>
    <t>TRANSHENRY TRANSPORTES LTDA</t>
  </si>
  <si>
    <t>FARINELLI NUTRIMENTOS LTDA</t>
  </si>
  <si>
    <t>NOVA DISTRIBUIDORA E ATACADO DE LIMPEZA LTDA</t>
  </si>
  <si>
    <t>BIBE PRODUTOS INFANTIS LTDA</t>
  </si>
  <si>
    <t>VIC LOGISTICA LTDA EM RECUPERACAO JUDICIAL</t>
  </si>
  <si>
    <t>STONE ENGENHARIA E MONTAGENS INDUSTRIAIS LTDA</t>
  </si>
  <si>
    <t>PHOENIX LOG TRANSPORTES LTDA EPP</t>
  </si>
  <si>
    <t>ENXOVAIS MINAS LTDA ME</t>
  </si>
  <si>
    <t>MG CONSULT DIST LTDA EPP</t>
  </si>
  <si>
    <t>MOLAS ANEL POSTO DE TROCA LTDA EPP</t>
  </si>
  <si>
    <t>XEQUE MATE BEBIDAS LTDA ME</t>
  </si>
  <si>
    <t>JR X IMPORT LTDA EPP</t>
  </si>
  <si>
    <t>PALMILHADO INDUSTRIA E COMERCIO LTDA</t>
  </si>
  <si>
    <t>RODOANEL REFORMADORA DE IMPLEMENTOS RODOVIARIOS LT</t>
  </si>
  <si>
    <t>HT SERVICOS DE TRANSPORTE E LOCACAO LTDA</t>
  </si>
  <si>
    <t>MAIS DISTRIBUIDORA LTDA</t>
  </si>
  <si>
    <t>DINAMICA COM FERRAMENTAS EQUIPAMENTOS PROTECAO IND</t>
  </si>
  <si>
    <t>CONQUISTA INDUSTRIA DE MOVEIS S/A</t>
  </si>
  <si>
    <t>VLF IMPERIAL LATICINIOS LTDA ME</t>
  </si>
  <si>
    <t>ALLIAGE S A INDUSTRIAS MEDICO ODONTOLOGICA</t>
  </si>
  <si>
    <t>PREMIUMGRAF SERVICOS GRAFICOS LTDA ME</t>
  </si>
  <si>
    <t>VALADRES DIESEL LTDA EM RECUPERACAO JUDICIAL</t>
  </si>
  <si>
    <t>JMS EMBALAGENS INDUSTRIAIS LTDA</t>
  </si>
  <si>
    <t>MONTAGEM MINAS GERAIS LTDA ME</t>
  </si>
  <si>
    <t>ALBERTO H DA SILVA ME</t>
  </si>
  <si>
    <t>BOM PASTOR PAPEIS LTDA EM RECUPERACAO JUDICIAL</t>
  </si>
  <si>
    <t>MEDICAL PRIME IMP EXPORT DISTRIB PRODUTOS MEDICOS</t>
  </si>
  <si>
    <t>OLINDA IMPORTACAO E COMERCIO LTDA</t>
  </si>
  <si>
    <t>UNIVERSO INOX INDUSTRIA E COMERCIO LTDA EPP</t>
  </si>
  <si>
    <t>JF GOLD DISTRIBUIDORA LTDA EPP</t>
  </si>
  <si>
    <t>ALPS FOMENTO MERCANTIL LTDA</t>
  </si>
  <si>
    <t>POOLMAK SISTEMAS ESTRUTURAIS LTDA</t>
  </si>
  <si>
    <t>RECICOLOGY INDUSTRIA E COMERCIO DE PRODUTOS RECICL</t>
  </si>
  <si>
    <t>MOINHO DE TRIGO JM LTDA</t>
  </si>
  <si>
    <t>REI DO MILHO ATACADISTA E VAREJISTA LTDA ME</t>
  </si>
  <si>
    <t>PRIVILEGIO CONFECCOES CAMA MESA E BANHO LTDA EPP</t>
  </si>
  <si>
    <t>PARTNER SECURITY SERVICOS DE SEGURANCA LTDA</t>
  </si>
  <si>
    <t>RIMAG COMERCIO ATACADISTA DE ALIMENTOS IMPORTACAO</t>
  </si>
  <si>
    <t>SGAMAQ INOVACAO AGROINDUSTRIAL LTDA</t>
  </si>
  <si>
    <t>37 054 821 LARISSA GONTIJO AZEVEDO ME</t>
  </si>
  <si>
    <t>OXIGAS RESIDUOS ESPECIAIS LTDA EPP</t>
  </si>
  <si>
    <t>ESCUDO ADMINISTRACAO E SERVICOS LTDA EM RECUPERACA</t>
  </si>
  <si>
    <t>ESCUDO VIGILANCIA E SEGURANCA LTDA EM RECUPERACAO</t>
  </si>
  <si>
    <t>MORIA PRESTACAO DE SERVICOS LTDA ME</t>
  </si>
  <si>
    <t>TOUROS IMPLEMENTOS LTDA ME</t>
  </si>
  <si>
    <t>PROSPER MINERACAO S/A</t>
  </si>
  <si>
    <t>STA SERVICOS LTDA</t>
  </si>
  <si>
    <t>LUCCI ILUMINACAO LTDA EPP</t>
  </si>
  <si>
    <t>DETRONIC ENERGIA E SERVICOS LTDA</t>
  </si>
  <si>
    <t>MAAT COMERCIO DE VESTUARIO LTDA EPP</t>
  </si>
  <si>
    <t>GLOBAL ACO SERVICOS E PRODUTOS SIDERURGICOS LTDA E</t>
  </si>
  <si>
    <t>SAVIXX COMERCIO INTERNACIONAL S/A</t>
  </si>
  <si>
    <t>EDUARDO LUIZ SILVA DA LUZ ME</t>
  </si>
  <si>
    <t>VALADARES DIESEL LTDA EM RECUPERACAO JUDICIAL</t>
  </si>
  <si>
    <t>COMGROUP AGROINDUSTRIAL LTDA</t>
  </si>
  <si>
    <t>EXPRESSO PAV CONSTRUCOES E SERVICOS LTDA ME</t>
  </si>
  <si>
    <t>AGROINDUSTRIA FRUTAS JARDINS LTDA</t>
  </si>
  <si>
    <t>RESERVA TRADE LTDA ME</t>
  </si>
  <si>
    <t>JFIX INDUSTRIA QUIMICA LTDA ME</t>
  </si>
  <si>
    <t>LIZZENA COSMETICOS LTDA EPP</t>
  </si>
  <si>
    <t>LABOR ELETRIC INDUSTRIA E COMERCIO UNIPESSOAL LTDA</t>
  </si>
  <si>
    <t>ENCADESP LTDA ME</t>
  </si>
  <si>
    <t>SIQUEIRA E GAIPO INDUSTRIA E MATERIAIS ESPORTIVOS</t>
  </si>
  <si>
    <t>GRF JEANS WEAR LTDA ME</t>
  </si>
  <si>
    <t>REAL ESTRUTURAS E CONSTRUCOES LTDA</t>
  </si>
  <si>
    <t>FRANZAO COLCHOES LTDA EPP</t>
  </si>
  <si>
    <t>MARCAS COMERCIO LTDA ME</t>
  </si>
  <si>
    <t>CALDEM CONSTRUCOES MECANICAS LTDA EPP</t>
  </si>
  <si>
    <t>BIO HEALTH COLCHOES LTDA EPP</t>
  </si>
  <si>
    <t>OFFICER INDUSTRIA QUIMICA LTDA EPP</t>
  </si>
  <si>
    <t>AGRO INDUSTRIAL LAZZERI LTDA</t>
  </si>
  <si>
    <t>ELFRIG FRIGORIFICO ELDORADO LTDA ME</t>
  </si>
  <si>
    <t>SAFRA OURO AGRONEGOCIOS LTDA EPP</t>
  </si>
  <si>
    <t>FRUIT INDUSTRIA E COMERCIO LTDA ME</t>
  </si>
  <si>
    <t>CIA TEXTIL LTDA ME</t>
  </si>
  <si>
    <t>ALPLAST ATACADISTA E APOIO ADMINISTRATIVO LTDA EPP</t>
  </si>
  <si>
    <t>GEDIBOR RUBBER POLYURETHANE LTDA EPP</t>
  </si>
  <si>
    <t>GRF JEANS WEAR LTDA EPP</t>
  </si>
  <si>
    <t>FARBIA CHEMICALS COMERCIO IMPORTACAO E EXPORTACAO</t>
  </si>
  <si>
    <t>PARTNER SOLUCOES EMPRESARIAIS LTDA ME</t>
  </si>
  <si>
    <t>GLOBAL ACO SERV PRODUTOS SIDERURGICOS LTDA RECUPER</t>
  </si>
  <si>
    <t>ORTHOSIDE INDUSTRIA E COMERCIO LTDA EPP</t>
  </si>
  <si>
    <t>M TRATORES LTDA EPP</t>
  </si>
  <si>
    <t>FRUTAS JARDINS LTDA</t>
  </si>
  <si>
    <t>FUNDACAO DE ENSINO E PESQUISA DO SUL DE MINAS FEPE</t>
  </si>
  <si>
    <t>INDUSTRIA E COMERCIO DE CHURRASQUEIRAS BOM JESUS L</t>
  </si>
  <si>
    <t>COMERCIAL GODINHO FERREIRA LTDA</t>
  </si>
  <si>
    <t>P P DISTRIBUIDORA LTDA</t>
  </si>
  <si>
    <t>LIDER COMERCIO DE UNIFORMES E EPI S LTDA ME</t>
  </si>
  <si>
    <t>USIPARTS COMERCIO DE PECAS PARA USINAS LTDA ME</t>
  </si>
  <si>
    <t>D M RODRIGUES LTDA ME</t>
  </si>
  <si>
    <t>BEIJA FLOR COMERCIO DE TINTAS LTDA</t>
  </si>
  <si>
    <t>TREGA FILHOS EMPACOTAMENTO E DISTRIBUICAO LTDA ME</t>
  </si>
  <si>
    <t>MAIS LAR ENGENHARIA LTDA</t>
  </si>
  <si>
    <t>ORNELAS RESENDE TORRES TRANSPORTE E LOGISTICA LTDA</t>
  </si>
  <si>
    <t>METAL STAMP INDUSTRIA E COMERCIO LTDA</t>
  </si>
  <si>
    <t>QUALITY PACK INDUSTRIA E COMERCIO LTDA ME</t>
  </si>
  <si>
    <t>JABEZ SERVICOS COMPARTILHADOS LTDA ME</t>
  </si>
  <si>
    <t>MINAS CLEAN DISTRIBUIDORA DE PRODUTOS PARA LIMPEZA</t>
  </si>
  <si>
    <t>KUARA COMERCIAL E EXPORTADORA DE FRUTAS LTDA</t>
  </si>
  <si>
    <t>CNM CHICOTES ELETRICOS LTDA EPP</t>
  </si>
  <si>
    <t>A C ESPORTES S A F</t>
  </si>
  <si>
    <t>ABN CONSULTORIA E PROJETOS LTDA EPP</t>
  </si>
  <si>
    <t>CF COMEX IMPORTACAO EQUIPAMENTOS E SERVICOS LTDA</t>
  </si>
  <si>
    <t>ACO X LTDA ME</t>
  </si>
  <si>
    <t>VGS COMERCIO DE EMBALAGENS DE MADEIRAS LTDA ME</t>
  </si>
  <si>
    <t>TORQUE FERRAMENTAS LTDA ME</t>
  </si>
  <si>
    <t>S A COMERCIO E INDUSTRIA DE CALCADOS LTDA ME</t>
  </si>
  <si>
    <t>SH METALIZACOES LTDA EPP</t>
  </si>
  <si>
    <t>ORNELAS TRANSPORTE E LOGISTICA LTDA</t>
  </si>
  <si>
    <t>ELO TELECOMUNICACOES E CONSTRUCOES S/A</t>
  </si>
  <si>
    <t>ALTAG NEGOCIOS AGRICOLAS LTDA</t>
  </si>
  <si>
    <t>GRAFICA ROMANA LTDA ME</t>
  </si>
  <si>
    <t>JUATUBA MOVEIS E EMBALAGENS LTDA</t>
  </si>
  <si>
    <t>TERRAPLAST INDUSTRIA E COMERCIO DE EQUIPAMENTOS DE</t>
  </si>
  <si>
    <t>FUMEF FUNDICAO E MECANICA DE FERROS LTDA</t>
  </si>
  <si>
    <t>NUTRIENS FERTIL LTDA ME</t>
  </si>
  <si>
    <t>ONFARM BRASIL LTDA ME</t>
  </si>
  <si>
    <t>PARANAIBA FERTILIZANTES IND E COM LTDA EM RECUPERA</t>
  </si>
  <si>
    <t>IVA LOCACOES E CONSTRUCOES LTDA EPP</t>
  </si>
  <si>
    <t>RENOVAR AGRICOLA LTDA</t>
  </si>
  <si>
    <t>A 8 ENGENHARIA LTDA ME</t>
  </si>
  <si>
    <t>REAL FILTROS E ACESSORIOS AUTOMOTIVOS LTDA EPP</t>
  </si>
  <si>
    <t>GOIARTE SOLUCOES CONSTRUTIVAS EM CONCRETO LTDA</t>
  </si>
  <si>
    <t>SMARTCENTERGROUP COMERCIO DE EQUIPAMENTOS DE INFOR</t>
  </si>
  <si>
    <t>MUNDO AGRO COMERCIO E DISTRIBUICAO DE CALCADOS LTD</t>
  </si>
  <si>
    <t>REAL FILTROS E ACESSORIOS AUTOMOTIVOS LTDA</t>
  </si>
  <si>
    <t>MUTCD CENTRO DE DISTRIBUICAO DE IND FABRICANTE DE</t>
  </si>
  <si>
    <t>AZ HIDRAULICA USINAGEM LTDA EPP</t>
  </si>
  <si>
    <t>PRODUTOS PORTEIRAO COM DIST E REP LTDA EPP</t>
  </si>
  <si>
    <t>SAFRA AGRICOLA E PECUARIA LTDA EPP</t>
  </si>
  <si>
    <t>CARGA EQUIPAMENTOS RODOVIARIOS LTDA ME</t>
  </si>
  <si>
    <t>JANE FIGUEIRA CONFECCOES LTDA ME</t>
  </si>
  <si>
    <t>IBFX COMERCIO IMPORTACAO E EXPORTACAO LTDA EPP</t>
  </si>
  <si>
    <t>CLAUDINEA GOMES DA SILVA VIANA 04007455694</t>
  </si>
  <si>
    <t>SUPREMO PLASTICOS LTDA ME</t>
  </si>
  <si>
    <t>ACO COELHO INDUSTRIA E COMERCIO DE MOVEIS LTDA EPP</t>
  </si>
  <si>
    <t>SEU TRATOR LTDA EPP</t>
  </si>
  <si>
    <t>OLIVEIRA E SILVA COMERCIO DE MADEIRAS E EMBALAGENS</t>
  </si>
  <si>
    <t>PLATINUM INDUSTRIA DE CONFECCOES LTDA</t>
  </si>
  <si>
    <t>APOLO DISTRIBUIDORA LTDA</t>
  </si>
  <si>
    <t>ENGREMAT ENG PROJETO MANUTENCAO INSPECAO MONTAGENS</t>
  </si>
  <si>
    <t>ANDRADE ELETRO TECNICA LTDA EPP</t>
  </si>
  <si>
    <t>CONSTRUENGE ENGENHARIA E GERENCIAMENTO LTDA</t>
  </si>
  <si>
    <t>CONQUISTA INDUSTRIA DE MOVEIS S A EM RECUPERACAO J</t>
  </si>
  <si>
    <t>METALCROMO METALIZACAO E CROMO DURO INDUSTRIAL LTD</t>
  </si>
  <si>
    <t>TRANSPORTES TRANS BERTIN LTDA</t>
  </si>
  <si>
    <t>MECALD MECANICA E CALDEIRARIA LTDA EPP</t>
  </si>
  <si>
    <t>REAL DISTRIBUIDORA DE PRODUTOS PARA MARMORARIA LTD</t>
  </si>
  <si>
    <t>BEECORP BEM ESTAR CORPORATIVO LTDA ME</t>
  </si>
  <si>
    <t>ALPHA DISTRIBUIDORA DE PECAS LTDA ME</t>
  </si>
  <si>
    <t>FAC INDUSTRIA E SERVICOS LTDA ME</t>
  </si>
  <si>
    <t>TUBOLARES VITORIA INDUSTRIA E COMERCIO LTDA ME</t>
  </si>
  <si>
    <t>AVIAMENTOS CENTRAL LTDA ME</t>
  </si>
  <si>
    <t>PRADO MOREIRA TEXTIL LTDA ME</t>
  </si>
  <si>
    <t>ARTE FINAL INDUSTRIA E COMERCIO DE COURO LTDA</t>
  </si>
  <si>
    <t>COMERCIAL JLX DISTRIBUIDORA LTDA ME</t>
  </si>
  <si>
    <t>FILIPE AUGUSTO DO CARMO GUSMAO LTDA ME</t>
  </si>
  <si>
    <t>COMERCIAL GTS INFORMATICA LTDA EPP</t>
  </si>
  <si>
    <t>MAIS PURA AGUA MINERAL LTDA EPP</t>
  </si>
  <si>
    <t>MUNDYSERVICE COMERCIO DE PECAS E ASSISTENCIA TECNI</t>
  </si>
  <si>
    <t>STA TECHCANA LTDA</t>
  </si>
  <si>
    <t>DLTX INDUSTRIA E COMERCIO LTDA EPP</t>
  </si>
  <si>
    <t>CENTRAL DE SUPRIMENTOS INDUSTRIAIS LTDA EPP</t>
  </si>
  <si>
    <t>LTA USINAGEM LTDA EPP</t>
  </si>
  <si>
    <t>GLOBALMAX INDUSTRIA PLASTICA S/A</t>
  </si>
  <si>
    <t>NUTRIBEM SAL E RACOES LTDA</t>
  </si>
  <si>
    <t>LINGERIE E CIA LTDA ME</t>
  </si>
  <si>
    <t>SAFRA AGRICOLA E PECUARIA LTDA</t>
  </si>
  <si>
    <t>REFRACONT BRASIL LTDA</t>
  </si>
  <si>
    <t>FRAITECH INTELIGENCIA EM AUTOMACAO LTDA</t>
  </si>
  <si>
    <t>C V T O IND E COM LTDA EPP</t>
  </si>
  <si>
    <t>CENTRAL DO M R O COMERCIAL IMPORTACOES E SERVICOS</t>
  </si>
  <si>
    <t>GALLE INDUSTRIA E COMERCIO DE TINTAS E VERNIZES LT</t>
  </si>
  <si>
    <t>COMERCIAL PROGRESSO LTDA EPP</t>
  </si>
  <si>
    <t>LAF COMERCIAL LTDA ME</t>
  </si>
  <si>
    <t>BETEL UNIFORMES PROFISSIONAIS LTDA ME</t>
  </si>
  <si>
    <t>TERRA PECAS GENUINAS LTDA EPP</t>
  </si>
  <si>
    <t>REVPACK TECNOLOGIA E COMERCIO DE COMPONENTES PLAST</t>
  </si>
  <si>
    <t>ANGIOMEDIC COMERCIO DE MATERIAL MEDICO HOSPITALAR</t>
  </si>
  <si>
    <t>GAMA COMERCIO E TRANSPORTES LTDA EPP</t>
  </si>
  <si>
    <t>MINASPOL INDUSTRIA E COMERCIO DE COMPOSTOS POLIMER</t>
  </si>
  <si>
    <t>LINDINALDO ANISIO DA SILVA ME</t>
  </si>
  <si>
    <t>LOTUS DESENVOLVIMENTO IMOBILIARIO LTDA</t>
  </si>
  <si>
    <t>GRAFICA JSA LTDA EPP</t>
  </si>
  <si>
    <t>004.126.524/0001-84</t>
  </si>
  <si>
    <t>004.622.554/0001-81</t>
  </si>
  <si>
    <t>005.774.638/0001-01</t>
  </si>
  <si>
    <t>011.091.574/0001-39</t>
  </si>
  <si>
    <t>012.645.814/0001-62</t>
  </si>
  <si>
    <t>021.458.691/0001-41</t>
  </si>
  <si>
    <t>026.416.177/0001-67</t>
  </si>
  <si>
    <t>003.590.360/0001-89</t>
  </si>
  <si>
    <t>049.915.471/0001-19</t>
  </si>
  <si>
    <t>ITAQUAFER FERRAMENTAS LTDA ME</t>
  </si>
  <si>
    <t>043.515.558/0001-12</t>
  </si>
  <si>
    <t>038.405.720/0001-00</t>
  </si>
  <si>
    <t>032.925.977/0001-06</t>
  </si>
  <si>
    <t>025.094.292/0001-08</t>
  </si>
  <si>
    <t>021.420.856/0001-96</t>
  </si>
  <si>
    <t>020.066.300/0001-80</t>
  </si>
  <si>
    <t>018.608.055/0001-44</t>
  </si>
  <si>
    <t>013.749.701/0001-70</t>
  </si>
  <si>
    <t>011.173.099/0001-40</t>
  </si>
  <si>
    <t>007.561.436/0001-07</t>
  </si>
  <si>
    <t>007.102.721/0001-51</t>
  </si>
  <si>
    <t>055.979.736/0001-45</t>
  </si>
  <si>
    <t>071.350.797/0001-03</t>
  </si>
  <si>
    <t>ALTERACAO QUADRO SOCIAL</t>
  </si>
  <si>
    <t>ALTERACAO RAZAO SOCIAL</t>
  </si>
  <si>
    <t>ALTERACAO ADMINISTRADORES</t>
  </si>
  <si>
    <t>045.674.938/0001-25</t>
  </si>
  <si>
    <t>016.772.642/0001-49</t>
  </si>
  <si>
    <t>003.590.360/0001-90</t>
  </si>
  <si>
    <t>008.712.271/0001-81</t>
  </si>
  <si>
    <t>008.712.271/0001-82</t>
  </si>
  <si>
    <t>003.929.683/0001-54</t>
  </si>
  <si>
    <t>036.382.501/0001-27</t>
  </si>
  <si>
    <t>036.382.501/0001-28</t>
  </si>
  <si>
    <t>010.220.445/0001-30</t>
  </si>
  <si>
    <t>014.763.606/0001-93</t>
  </si>
  <si>
    <t>019.709.129/0001-00</t>
  </si>
  <si>
    <t>019.709.129/0001-01</t>
  </si>
  <si>
    <t>007.556.817/0001-90</t>
  </si>
  <si>
    <t>007.556.817/0001-91</t>
  </si>
  <si>
    <t>012.299.369/0001-26</t>
  </si>
  <si>
    <t>031.509.494/0001-68</t>
  </si>
  <si>
    <t>013.746.252/0001-06</t>
  </si>
  <si>
    <t>024.083.281/0001-51</t>
  </si>
  <si>
    <t>008.785.522/0001-58</t>
  </si>
  <si>
    <t>007.786.648/0001-84</t>
  </si>
  <si>
    <t>015.414.962/0001-64</t>
  </si>
  <si>
    <t>010.220.445/0001-31</t>
  </si>
  <si>
    <t>023.637.987/0001-55</t>
  </si>
  <si>
    <t>023.605.544/0001-82</t>
  </si>
  <si>
    <t>034.964.228/0001-13</t>
  </si>
  <si>
    <t>022.998.836/0001-60</t>
  </si>
  <si>
    <t>004.800.789/0001-16</t>
  </si>
  <si>
    <t>031.584.294/0001-70</t>
  </si>
  <si>
    <t>016.757.535/0001-41</t>
  </si>
  <si>
    <t>024.255.748/0001-01</t>
  </si>
  <si>
    <t>031.509.494/0001-69</t>
  </si>
  <si>
    <t>014.829.598/0001-30</t>
  </si>
  <si>
    <t>051.107.672/0001-31</t>
  </si>
  <si>
    <t>009.171.140/0001-05</t>
  </si>
  <si>
    <t>020.066.300/0001-81</t>
  </si>
  <si>
    <t>012.520.791/0001-61</t>
  </si>
  <si>
    <t>041.768.583/0001-82</t>
  </si>
  <si>
    <t>038.945.487/0001-58</t>
  </si>
  <si>
    <t>004.041.192/0001-35</t>
  </si>
  <si>
    <t>034.821.586/0001-77</t>
  </si>
  <si>
    <t>037.828.375/0001-54</t>
  </si>
  <si>
    <t>035.345.406/0001-90</t>
  </si>
  <si>
    <t>021.734.108/0001-88</t>
  </si>
  <si>
    <t>006.107.454/0001-42</t>
  </si>
  <si>
    <t>029.030.307/0001-17</t>
  </si>
  <si>
    <t>000.803.044/0001-50</t>
  </si>
  <si>
    <t>046.700.220/0001-29</t>
  </si>
  <si>
    <t>028.842.753/0001-63</t>
  </si>
  <si>
    <t>025.236.865/0001-82</t>
  </si>
  <si>
    <t>050.164.951/0001-74</t>
  </si>
  <si>
    <t>048.144.853/0001-23</t>
  </si>
  <si>
    <t>010.497.973/0001-31</t>
  </si>
  <si>
    <t>023.911.356/0001-82</t>
  </si>
  <si>
    <t>002.038.227/0001-51</t>
  </si>
  <si>
    <t>002.246.382/0001-63</t>
  </si>
  <si>
    <t>008.991.603/0001-04</t>
  </si>
  <si>
    <t>017.274.123/0001-13</t>
  </si>
  <si>
    <t>011.122.552/0001-99</t>
  </si>
  <si>
    <t>018.581.853/0001-20</t>
  </si>
  <si>
    <t>006.236.494/0001-94</t>
  </si>
  <si>
    <t>021.473.575/0001-00</t>
  </si>
  <si>
    <t>032.621.233/0001-06</t>
  </si>
  <si>
    <t>020.628.376/0001-52</t>
  </si>
  <si>
    <t>012.804.762/0001-20</t>
  </si>
  <si>
    <t>046.140.062/0001-08</t>
  </si>
  <si>
    <t>019.450.138/0001-10</t>
  </si>
  <si>
    <t>045.871.536/0001-10</t>
  </si>
  <si>
    <t>005.350.235/0001-27</t>
  </si>
  <si>
    <t>014.514.481/0001-68</t>
  </si>
  <si>
    <t>044.320.551/0001-08</t>
  </si>
  <si>
    <t>036.906.058/0001-46</t>
  </si>
  <si>
    <t>032.090.744/0001-30</t>
  </si>
  <si>
    <t>001.636.335/0001-63</t>
  </si>
  <si>
    <t>043.729.125/0001-60</t>
  </si>
  <si>
    <t>038.082.538/0001-65</t>
  </si>
  <si>
    <t>012.817.803/0001-12</t>
  </si>
  <si>
    <t>036.775.092/0001-29</t>
  </si>
  <si>
    <t>093.274.124/0001-46</t>
  </si>
  <si>
    <t>037.054.821/0001-10</t>
  </si>
  <si>
    <t>000.810.852/0001-44</t>
  </si>
  <si>
    <t>002.377.675/0001-80</t>
  </si>
  <si>
    <t>001.165.357/0001-92</t>
  </si>
  <si>
    <t>024.331.138/0001-31</t>
  </si>
  <si>
    <t>001.113.219/0001-60</t>
  </si>
  <si>
    <t>022.982.925/0001-18</t>
  </si>
  <si>
    <t>005.363.690/0001-67</t>
  </si>
  <si>
    <t>038.634.242/0001-00</t>
  </si>
  <si>
    <t>016.956.677/0001-38</t>
  </si>
  <si>
    <t>035.665.211/0001-28</t>
  </si>
  <si>
    <t>007.906.793/0001-51</t>
  </si>
  <si>
    <t>028.477.685/0001-80</t>
  </si>
  <si>
    <t>005.881.441/0001-63</t>
  </si>
  <si>
    <t>000.987.236/0001-63</t>
  </si>
  <si>
    <t>029.470.692/0001-13</t>
  </si>
  <si>
    <t>026.438.913/0001-88</t>
  </si>
  <si>
    <t>014.619.667/0001-81</t>
  </si>
  <si>
    <t>023.909.177/0001-00</t>
  </si>
  <si>
    <t>033.803.691/0001-10</t>
  </si>
  <si>
    <t>035.165.246/0001-06</t>
  </si>
  <si>
    <t>002.534.653/0001-86</t>
  </si>
  <si>
    <t>044.888.871/0001-69</t>
  </si>
  <si>
    <t>042.276.517/0001-58</t>
  </si>
  <si>
    <t>002.265.872/0001-07</t>
  </si>
  <si>
    <t>050.721.360/0001-50</t>
  </si>
  <si>
    <t>014.385.825/0001-86</t>
  </si>
  <si>
    <t>044.032.421/0001-70</t>
  </si>
  <si>
    <t>026.988.940/0001-24</t>
  </si>
  <si>
    <t>005.355.135/0001-93</t>
  </si>
  <si>
    <t>088.978.606/0001-47</t>
  </si>
  <si>
    <t>035.475.312/0001-36</t>
  </si>
  <si>
    <t>044.570.311/0001-61</t>
  </si>
  <si>
    <t>045.694.996/0001-10</t>
  </si>
  <si>
    <t>028.556.973/0001-20</t>
  </si>
  <si>
    <t>035.649.603/0001-01</t>
  </si>
  <si>
    <t>039.535.425/0001-30</t>
  </si>
  <si>
    <t>045.123.456/0001-87</t>
  </si>
  <si>
    <t>023.083.383/0001-04</t>
  </si>
  <si>
    <t>050.901.671/0001-00</t>
  </si>
  <si>
    <t>029.246.128/0001-11</t>
  </si>
  <si>
    <t>001.831.532/0001-33</t>
  </si>
  <si>
    <t>036.726.274/0001-00</t>
  </si>
  <si>
    <t>037.143.334/0001-24</t>
  </si>
  <si>
    <t>049.847.331/0001-50</t>
  </si>
  <si>
    <t>066.209.362/0001-03</t>
  </si>
  <si>
    <t>041.421.379/0001-90</t>
  </si>
  <si>
    <t>029.795.190/0001-62</t>
  </si>
  <si>
    <t>050.850.666/0001-07</t>
  </si>
  <si>
    <t>046.674.060/0001-90</t>
  </si>
  <si>
    <t>051.362.368/0001-30</t>
  </si>
  <si>
    <t>024.271.279/0001-06</t>
  </si>
  <si>
    <t>047.635.671/0001-92</t>
  </si>
  <si>
    <t>040.582.798/0001-41</t>
  </si>
  <si>
    <t>030.272.056/0001-66</t>
  </si>
  <si>
    <t>044.637.793/0001-20</t>
  </si>
  <si>
    <t>013.616.154/0001-54</t>
  </si>
  <si>
    <t>038.185.478/0001-06</t>
  </si>
  <si>
    <t>000.688.793/0001-83</t>
  </si>
  <si>
    <t>049.218.819/0001-19</t>
  </si>
  <si>
    <t>038.407.341/0001-59</t>
  </si>
  <si>
    <t>043.564.107/0001-75</t>
  </si>
  <si>
    <t>041.757.407/0001-45</t>
  </si>
  <si>
    <t>039.822.835/0001-62</t>
  </si>
  <si>
    <t>001.181.263/0001-07</t>
  </si>
  <si>
    <t>050.893.355/0001-25</t>
  </si>
  <si>
    <t>007.509.304/0001-28</t>
  </si>
  <si>
    <t>025.383.640/0001-59</t>
  </si>
  <si>
    <t>004.067.472/0001-12</t>
  </si>
  <si>
    <t>003.596.757/0001-88</t>
  </si>
  <si>
    <t>040.938.741/0001-32</t>
  </si>
  <si>
    <t>045.501.529/0001-27</t>
  </si>
  <si>
    <t>018.868.117/0001-57</t>
  </si>
  <si>
    <t>030.104.393/0001-44</t>
  </si>
  <si>
    <t>005.997.418/0001-39</t>
  </si>
  <si>
    <t>002.776.536/0001-29</t>
  </si>
  <si>
    <t>004.962.112/0001-84</t>
  </si>
  <si>
    <t>001.535.822/0001-30</t>
  </si>
  <si>
    <t>045.452.509/0001-03</t>
  </si>
  <si>
    <t>051.980.425/0001-45</t>
  </si>
  <si>
    <t>041.388.946/0001-54</t>
  </si>
  <si>
    <t>006.315.490/0001-00</t>
  </si>
  <si>
    <t>048.956.491/0001-75</t>
  </si>
  <si>
    <t>022.143.692/0001-60</t>
  </si>
  <si>
    <t>055.466.241/0001-12</t>
  </si>
  <si>
    <t>030.233.156/0001-83</t>
  </si>
  <si>
    <t>018.709.981/0001-06</t>
  </si>
  <si>
    <t>046.865.282/0001-90</t>
  </si>
  <si>
    <t>010.256.168/0001-16</t>
  </si>
  <si>
    <t>040.828.273/0001-43</t>
  </si>
  <si>
    <t>044.126.379/0001-56</t>
  </si>
  <si>
    <t>027.180.131/0001-54</t>
  </si>
  <si>
    <t>028.695.654/0001-04</t>
  </si>
  <si>
    <t>020.309.962/0001-34</t>
  </si>
  <si>
    <t>001.376.967/0001-35</t>
  </si>
  <si>
    <t>049.344.344/0001-07</t>
  </si>
  <si>
    <t>092.279.363/0001-26</t>
  </si>
  <si>
    <t>032.213.847/0001-40</t>
  </si>
  <si>
    <t>013.323.483/0001-07</t>
  </si>
  <si>
    <t>014.090.422/0001-00</t>
  </si>
  <si>
    <t>044.470.678/0001-03</t>
  </si>
  <si>
    <t>056.146.561/0001-58</t>
  </si>
  <si>
    <t>057.698.087/0001-30</t>
  </si>
  <si>
    <t>086.490.885/0001-70</t>
  </si>
  <si>
    <t>039.572.608/0001-26</t>
  </si>
  <si>
    <t>020.242.216/0001-70</t>
  </si>
  <si>
    <t>046.778.324/0001-56</t>
  </si>
  <si>
    <t>032.552.159/0001-05</t>
  </si>
  <si>
    <t>033.611.837/0001-26</t>
  </si>
  <si>
    <t>014.202.427/0001-87</t>
  </si>
  <si>
    <t>032.781.707/0001-79</t>
  </si>
  <si>
    <t>027.508.008/0001-10</t>
  </si>
  <si>
    <t>041.921.772/0001-43</t>
  </si>
  <si>
    <t>057.696.093/0001-58</t>
  </si>
  <si>
    <t>002.862.437/0001-60</t>
  </si>
  <si>
    <t>004.323.643/0001-27</t>
  </si>
  <si>
    <t>005.374.432/0001-86</t>
  </si>
  <si>
    <t>010.354.613/0001-80</t>
  </si>
  <si>
    <t>005.281.194/0001-64</t>
  </si>
  <si>
    <t>018.498.459/0001-22</t>
  </si>
  <si>
    <t>010.672.840/0001-54</t>
  </si>
  <si>
    <t>003.524.760/0001-96</t>
  </si>
  <si>
    <t>021.285.266/0001-06</t>
  </si>
  <si>
    <t>007.645.213/0001-10</t>
  </si>
  <si>
    <t>009.674.456/0001-01</t>
  </si>
  <si>
    <t>015.638.029/0001-70</t>
  </si>
  <si>
    <t>052.755.043/0001-80</t>
  </si>
  <si>
    <t>TECHNO MAG COMERCIO DE MATERIAIS E SERVICOS DE MANUTENCAO LTDA ME</t>
  </si>
  <si>
    <t>MENEGAZZO COMERCIO ATACADISTA DE TINTAS LTDA ME</t>
  </si>
  <si>
    <t>COMERCIAL SEGURANCA LTDA ME</t>
  </si>
  <si>
    <t>RGF EMPREENDIMENTOS MINERAIS LTDA EPP</t>
  </si>
  <si>
    <t>DIFARMIG LTDA</t>
  </si>
  <si>
    <t>HBEAUTY COSMETICOS LTDA ME</t>
  </si>
  <si>
    <t>JSA INDUSTRIA DE COSMETICOS LTDA EPP</t>
  </si>
  <si>
    <t>AGUIA LIDER TRANSPORTE RODOVIARIO LTDA EPP</t>
  </si>
  <si>
    <t>FENIX CAMISARIA LTDA ME</t>
  </si>
  <si>
    <t>SAGESSE TEXTIL LTDA EPP</t>
  </si>
  <si>
    <t>DISEP ALIMENTOS LTDA ME</t>
  </si>
  <si>
    <t>RJS CORREIAS E EMENDAS LTDA</t>
  </si>
  <si>
    <t>FOOD PAN INDUSTRIA ALIMENTICIA LTDA</t>
  </si>
  <si>
    <t>AGROEP PISCICULTURA LTDA ME</t>
  </si>
  <si>
    <t>PARTNER SECURITIZADORA S/A</t>
  </si>
  <si>
    <t>W M DE CASTRO NETO PRODUTOS FARMACEUTICOS EPP</t>
  </si>
  <si>
    <t>DLM COLLECTION COMERCIO LTDA ME</t>
  </si>
  <si>
    <t>NOVA CALDERARIA MONTAGEM LTDA EPP</t>
  </si>
  <si>
    <t>CALDENAS MONTAGEM DE CALDEIRARIA E SOLDAS LTDA</t>
  </si>
  <si>
    <t>JTH ASSESSORIA EMPRESARIAL LTDA ME</t>
  </si>
  <si>
    <t>LUCAS ALLA LOGISTICA LTDA</t>
  </si>
  <si>
    <t>DFJ CONSULTORIA E TECNOLOGIA LTDA EPP</t>
  </si>
  <si>
    <t>LMJJ ASSESSORIA EMPRESARIAL LTDA EPP</t>
  </si>
  <si>
    <t>ZAMARIAM MENEGAZZO LTDA ME</t>
  </si>
  <si>
    <t>JRG SOLUCOES INDUSTRIAIS LTDA</t>
  </si>
  <si>
    <t>JRG SOLUCOES EM SERVICOS LTDA ME</t>
  </si>
  <si>
    <t>TRANSPORTADORA PACHECO LTDA EPP</t>
  </si>
  <si>
    <t>BBS COMPONENTES DE AUTOMACAO CONTROLE E TRANSPORTADORES LTDA EPP</t>
  </si>
  <si>
    <t>DASG CONSULTORIA LTDA EPP</t>
  </si>
  <si>
    <t>FRUTABELLA INDUSTRIA E COMERCIO DE ALIMENTOS LTDA</t>
  </si>
  <si>
    <t>SENSORVIX INTELIGENCIA EM AUTOMACAO LTDA ME</t>
  </si>
  <si>
    <t>MILK LAT LTDA EPP</t>
  </si>
  <si>
    <t>HDR ENGENHARIA E LOCACOES LTDA ME</t>
  </si>
  <si>
    <t>DENTAL FREE MATERIAIS E SOLUCOES ODONTOLOGICAS LTDA ME</t>
  </si>
  <si>
    <t>SNT LOG LTDA ME</t>
  </si>
  <si>
    <t>NITROTEX INDUSTRIA E COMERCIO TEXTEIS LTDA ME</t>
  </si>
  <si>
    <t>PEDRA BONITA COMERCIO E MOAGEM DE COMBUSTIVEIS SOLIDOS LTDA</t>
  </si>
  <si>
    <t>MINAS CAL LOGISTICA LTDA</t>
  </si>
  <si>
    <t>HIDROCARBONETOS IMPORT LTDA</t>
  </si>
  <si>
    <t>ALCOB COMPANHIA METAIS DO BRASIL LTDA</t>
  </si>
  <si>
    <t>EMCASH SERVICOS FINANCEIROS SOCIEDADE EMPRESTIMO ENTRE PESSOAS S/A</t>
  </si>
  <si>
    <t>CARTONAGEM RODRIGUES LTDA ME</t>
  </si>
  <si>
    <t>PHOENIX LOGISTICA LTDA EPP</t>
  </si>
  <si>
    <t>BIO AROEIRA PISCINAS ACESSORIOS E EMBALAGENS LTDA ME</t>
  </si>
  <si>
    <t>CONQUISTA COMERCIO E SERVICOS DE GEOTECNIA LTDA EPP</t>
  </si>
  <si>
    <t>AVM INDUSTRIA E COMERCIO DE EMBALAGENS LTDA</t>
  </si>
  <si>
    <t>ARTECAL ELETROCENTROS SERVICOS E SOLUCOES LTDA EPP</t>
  </si>
  <si>
    <t>ENGREAMAT SERVICOS LTDA ME</t>
  </si>
  <si>
    <t>BETIM EPI E UNIFORMES LTDA EPP</t>
  </si>
  <si>
    <t>FRIGORIFICO BRAZFRIG INDUSTRIA E IMPORTACAO LTDA EPP</t>
  </si>
  <si>
    <t>E DE P BATISTA DISTRIBUIDORA ME</t>
  </si>
  <si>
    <t>PRES PECAS DE REPOSICAO PARA EQUIPAMENTOS SIDERURGICOS LTDA EPP</t>
  </si>
  <si>
    <t>CALDAS SEG INDUSTRIA E COMERCIO DE EPI S LTDA</t>
  </si>
  <si>
    <t>SAGESSE INDUSTRIAL TEXTIL LTDA</t>
  </si>
  <si>
    <t>S2 SYNERGY TECNOLOGIA EM POLIURETANO LTDA EPP</t>
  </si>
  <si>
    <t>A L M CARTONAGENS LTDA ME</t>
  </si>
  <si>
    <t>TORQUE IMPLEMENTOS E SERVICOS LTDA ME</t>
  </si>
  <si>
    <t>JFIX UNIDADE DE TINTAS E EFEITOS DECORATIVOS DO BRASIL LTDA EPP</t>
  </si>
  <si>
    <t>RODOSILVER TRANSPORTES LTDA EPP</t>
  </si>
  <si>
    <t>METALAB COMERCIO E INDUSTRIA FARMACEUTICA LTDA ME</t>
  </si>
  <si>
    <t>L H TRANSPORTES E LOCACAO LTDA ME</t>
  </si>
  <si>
    <t>SLB RECOMECO COMERCIO DE ROUPAS LTDA ME</t>
  </si>
  <si>
    <t>DIALISE SOLUCOES INDUSTRIAIS LTDA EPP</t>
  </si>
  <si>
    <t>BH BRITADORES LTDA EPP</t>
  </si>
  <si>
    <t>038.479.255/0001-51</t>
  </si>
  <si>
    <t>041.397.377/0001-03</t>
  </si>
  <si>
    <t>033.281.410/0001-07</t>
  </si>
  <si>
    <t>ALTERACAO RAMO DE ATIVIDADE</t>
  </si>
  <si>
    <t>013.918.473/0001-14</t>
  </si>
  <si>
    <t>026.628.832/0001-40</t>
  </si>
  <si>
    <t>3J FUNDICAO INDUSTRIAL LTDA</t>
  </si>
  <si>
    <t>029.258.293/0001-93</t>
  </si>
  <si>
    <t>RB DISTRIBUIDORA DE PRODUTOS DE HIGIENE LTDA</t>
  </si>
  <si>
    <t>052.432.693/0001-95</t>
  </si>
  <si>
    <t>SAGESSE INDUSTRIAL TEXTIL LTDA EPP</t>
  </si>
  <si>
    <t>042.119.428/0001-06</t>
  </si>
  <si>
    <t>TRATOR GLASS LTDA ME</t>
  </si>
  <si>
    <t>TIAGO NEVES</t>
  </si>
  <si>
    <t>035.298.171/0001-23</t>
  </si>
  <si>
    <t>028.514.938/0001-49</t>
  </si>
  <si>
    <t>SAGATEC LTDA</t>
  </si>
  <si>
    <t>035.797.639/0001-24</t>
  </si>
  <si>
    <t>DESTAK DISTRIBUIDORA PRODUTOS EQUIPAMENTOS HOSPITA</t>
  </si>
  <si>
    <t>VALERIA</t>
  </si>
  <si>
    <t>WASHINGTON</t>
  </si>
  <si>
    <t>JJPH</t>
  </si>
  <si>
    <t>CREDTEM</t>
  </si>
  <si>
    <t>044.921.612/0001-92</t>
  </si>
  <si>
    <t>051.323.061/0001-20</t>
  </si>
  <si>
    <t>A2 VIDROS INDUSTRIA E COMERCIO LTDA</t>
  </si>
  <si>
    <t>031.743.464/0001-11</t>
  </si>
  <si>
    <t>SKY JEANS LTDA ME</t>
  </si>
  <si>
    <t>FERNANDO ABRAS</t>
  </si>
  <si>
    <t>027.647.097/0001-85</t>
  </si>
  <si>
    <t>008.196.295/0001-25</t>
  </si>
  <si>
    <t>034.165.528/0001-32</t>
  </si>
  <si>
    <t>022.457.202/0001-08</t>
  </si>
  <si>
    <t>025.788.035/0001-68</t>
  </si>
  <si>
    <t>AUTO VIDROS MG INDUSTRIA E COMERCIO LTDA</t>
  </si>
  <si>
    <t>017.177.331/0001-02</t>
  </si>
  <si>
    <t>033.028.017/0001-06</t>
  </si>
  <si>
    <t>MG GLASS VIDROS PARA TRATORES E CAMINHOES LTDA ME</t>
  </si>
  <si>
    <t>081.081.028/0001-00</t>
  </si>
  <si>
    <t>019.961.036/0001-60</t>
  </si>
  <si>
    <t>011.655.076/0001-71</t>
  </si>
  <si>
    <t>Gerente'</t>
  </si>
  <si>
    <t>Semana</t>
  </si>
  <si>
    <t>016.743.404/0001-05</t>
  </si>
  <si>
    <t>MINAS MIX INDUSTRIA E COMERCIO DE PRODUTOS ALIMENT</t>
  </si>
  <si>
    <t>014.178.148/0001-25</t>
  </si>
  <si>
    <t>040.520.193/0001-26</t>
  </si>
  <si>
    <t>SIGGA LOGISTICA LTDA</t>
  </si>
  <si>
    <t>049.773.824/0001-93</t>
  </si>
  <si>
    <t>008.068.767/0001-64</t>
  </si>
  <si>
    <t>IMPORTEXTIL ASSESSORIA EMPRESARIAL LTDA</t>
  </si>
  <si>
    <t>FILTROS</t>
  </si>
  <si>
    <t>032.024.304/0001-85</t>
  </si>
  <si>
    <t>C A M DIAS SOARES LTDA EPP</t>
  </si>
  <si>
    <t>046.848.165/0001-19</t>
  </si>
  <si>
    <t>050.208.429/0001-47</t>
  </si>
  <si>
    <t>039.438.917/0001-08</t>
  </si>
  <si>
    <t>005.136.389/0001-10</t>
  </si>
  <si>
    <t>NCBA INTERMEDIACAO LTDA ME</t>
  </si>
  <si>
    <t>038.161.686/0001-75</t>
  </si>
  <si>
    <t>LEFORM PLANEJADOS LTDA ME</t>
  </si>
  <si>
    <t>007.272.884/0001-82</t>
  </si>
  <si>
    <t>038.007.528/0001-65</t>
  </si>
  <si>
    <t>LIDER DISTRIBUIDORA DE MOVEIS E EQUIPAMENTOS PARA</t>
  </si>
  <si>
    <t>013.285.987/0001-80</t>
  </si>
  <si>
    <t>PRIVILEGIO CONFECCOES LTDA ME</t>
  </si>
  <si>
    <t>000.482.073/0001-67</t>
  </si>
  <si>
    <t>CENTROAIDAR INDUSTRIA E COMERCIO DE BEBIDAS LTDA</t>
  </si>
  <si>
    <t>044.073.794/0001-99</t>
  </si>
  <si>
    <t>013.258.863/0001-05</t>
  </si>
  <si>
    <t>SUPER BULL IMPORTACAO E COMERCIO DE EQUIPAMENTOS L</t>
  </si>
  <si>
    <t>008.235.193/0001-71</t>
  </si>
  <si>
    <t>R P CINTRA LTDA EPP</t>
  </si>
  <si>
    <t>STELLA PURRI BRANT</t>
  </si>
  <si>
    <t>S A COMERCIO E INDUSTRIA DE CALCADOS LTDA</t>
  </si>
  <si>
    <t>058.450.437/0001-07</t>
  </si>
  <si>
    <t>ENXOVAIS PRIVILEGIO LTDA ME</t>
  </si>
  <si>
    <t>028.764.312/0001-90</t>
  </si>
  <si>
    <t>SACADO</t>
  </si>
  <si>
    <t>Última vez que apareceu</t>
  </si>
  <si>
    <t>MEDICAL PRIME IMP EXPORT DISTRIB PRODUTOS MEDICOS HOSPITALARES LTDA</t>
  </si>
  <si>
    <t>BIORGANICA PRODUTOS ORGANICOS LTDA</t>
  </si>
  <si>
    <t>MN GLOBAL MARKETING LTDA</t>
  </si>
  <si>
    <t>COMERCIAL COMAG LTDA</t>
  </si>
  <si>
    <t>SABORES DO TRIANGULO LTDA EPP</t>
  </si>
  <si>
    <t>AGUIA DE FOGO PREVENCAO DE INCENDIO LTDA EPP</t>
  </si>
  <si>
    <t>SINERGIKA INDUSTRIA DE ALIMENTOS LTDA</t>
  </si>
  <si>
    <t>050.777.509/0001-13</t>
  </si>
  <si>
    <t>061.008.540/0001-06</t>
  </si>
  <si>
    <t>007.181.473/0001-81</t>
  </si>
  <si>
    <t>VIC LOGISTICA LTDA</t>
  </si>
  <si>
    <t>021.090.123/0001-30</t>
  </si>
  <si>
    <t>001.542.005/0001-09</t>
  </si>
  <si>
    <t>023.339.028/0001-53</t>
  </si>
  <si>
    <t>SR LIMA PAPEIS FINOS EM RECUPERACAO JUDICIAL LTDA</t>
  </si>
  <si>
    <t>DENTAL FREE MATERIAIS E SOLUCOES ODONTOLOGICAS LTD</t>
  </si>
  <si>
    <t>GLOBAL PAPEIS EM RECUPERACAO JUDICIAL LTDA</t>
  </si>
  <si>
    <t>CONFIARE ADMINISTRADORA LTDA EPP</t>
  </si>
  <si>
    <t>001.866.592/0001-91</t>
  </si>
  <si>
    <t>012.520.929/0001-20</t>
  </si>
  <si>
    <t>FRIGORIFICO BRAZFRIG INDUSTRIA E IMPORTACAO LTDA E</t>
  </si>
  <si>
    <t>008.641.174/0001-45</t>
  </si>
  <si>
    <t>030.646.968/0001-50</t>
  </si>
  <si>
    <t>017.604.060/0001-16</t>
  </si>
  <si>
    <t>020.693.553/0001-84</t>
  </si>
  <si>
    <t>041.868.686/0001-14</t>
  </si>
  <si>
    <t>DUOPLASTIC INDUSTRIA DE MOVEIS LTDA ME</t>
  </si>
  <si>
    <t>ESPECIALI INDUSTRIA DE ALIMENTOS S/A</t>
  </si>
  <si>
    <t>TEXTIL CLUB ACADEMY LTDA EPP</t>
  </si>
  <si>
    <t>030.030.642/0001-02</t>
  </si>
  <si>
    <t>AUTO VIDROS MG LTDA</t>
  </si>
  <si>
    <t>030.582.342/0001-28</t>
  </si>
  <si>
    <t>DAVI</t>
  </si>
  <si>
    <t>Raiz CNPJ</t>
  </si>
  <si>
    <t>032.677.058/0001-60</t>
  </si>
  <si>
    <t>007.345.063/0001-29</t>
  </si>
  <si>
    <t>PRP TRANSPORTES SERVICOS E LOCACAO DE MAQUINAS LTD</t>
  </si>
  <si>
    <t>030.642.101/0001-27</t>
  </si>
  <si>
    <t>CONFIARE TERCERIZACAO LTDA EPP</t>
  </si>
  <si>
    <t>023.768.603/0001-33</t>
  </si>
  <si>
    <t>GEOTHRA GEOLOGIA GEOTECNIA LTDA EPP</t>
  </si>
  <si>
    <t>010.872.600/0001-01</t>
  </si>
  <si>
    <t>FERA DO ACO INDUSTRIA E COMERCIO LTDA EPP</t>
  </si>
  <si>
    <t>023.007.673/0001-79</t>
  </si>
  <si>
    <t>LIDER MIX CONCRETOS E AGREGADOS LTDA</t>
  </si>
  <si>
    <t>004.646.495/0001-81</t>
  </si>
  <si>
    <t>CONFIARE ADMINISTRACAO E SERVICOS LTDA ME</t>
  </si>
  <si>
    <t>012.915.648/0001-77</t>
  </si>
  <si>
    <t>MORAES TRANSPORTES RODOVIARIOS DE CARGAS LTDA</t>
  </si>
  <si>
    <t>052.718.364/0001-05</t>
  </si>
  <si>
    <t>AMERICA MASTER COMERCIO LTDA ME</t>
  </si>
  <si>
    <t>011.261.574/0001-30</t>
  </si>
  <si>
    <t>TERROIR DO SAO FRANCISCO COMERCIO E INDUSTRIA DE V</t>
  </si>
  <si>
    <t>018.068.347/0001-31</t>
  </si>
  <si>
    <t>PETRA AGRONEGOCIO LTDA</t>
  </si>
  <si>
    <t>037.830.104/0001-33</t>
  </si>
  <si>
    <t>INFINITY COMERCIO ATACADISTA DE EQUIPAMENTOS LTDA</t>
  </si>
  <si>
    <t>061.310.256/0001-90</t>
  </si>
  <si>
    <t>ELETRICA DANUBIO INDUSTRIA E COMERCIO DE MATERIAIS</t>
  </si>
  <si>
    <t>005.271.241/0001-99</t>
  </si>
  <si>
    <t>012.503.608/0001-18</t>
  </si>
  <si>
    <t>FHIORUK INDUSTRIA DE CALCADOS LTDA EM RECUPERACAO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</si>
</sst>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 tint="-0.499984740745262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</borders>
  <cellStyleXfs count="1">
    <xf numFmtId="0" fontId="0" fillId="0" borderId="0"/>
  </cellStyleXfs>
  <cellXfs count="28">
    <xf numFmtId="0" fontId="0" fillId="0" borderId="0" xfId="0"/>
    <xf numFmtId="14" fontId="0" fillId="0" borderId="0" xfId="0" applyNumberFormat="1"/>
    <xf numFmtId="0" fontId="0" fillId="0" borderId="0" xfId="0" applyAlignment="1">
      <alignment horizontal="left"/>
    </xf>
    <xf numFmtId="14" fontId="1" fillId="0" borderId="0" xfId="0" applyNumberFormat="1" applyFont="1" applyAlignment="1">
      <alignment horizontal="center" vertical="top"/>
    </xf>
    <xf numFmtId="0" fontId="1" fillId="0" borderId="0" xfId="0" applyFont="1"/>
    <xf numFmtId="0" fontId="0" fillId="0" borderId="0" xfId="0" pivotButton="1"/>
    <xf numFmtId="14" fontId="0" fillId="0" borderId="0" xfId="0" applyNumberFormat="1" applyAlignment="1">
      <alignment horizontal="center" vertical="top"/>
    </xf>
    <xf numFmtId="0" fontId="0" fillId="0" borderId="1" xfId="0" applyBorder="1"/>
    <xf numFmtId="14" fontId="0" fillId="0" borderId="0" xfId="0" applyNumberFormat="1" applyAlignment="1">
      <alignment horizontal="center"/>
    </xf>
    <xf numFmtId="0" fontId="3" fillId="0" borderId="0" xfId="0" applyFont="1" applyAlignment="1">
      <alignment horizontal="center"/>
    </xf>
    <xf numFmtId="14" fontId="3" fillId="0" borderId="0" xfId="0" applyNumberFormat="1" applyFont="1" applyAlignment="1">
      <alignment horizontal="center"/>
    </xf>
    <xf numFmtId="49" fontId="0" fillId="0" borderId="0" xfId="0" applyNumberFormat="1"/>
    <xf numFmtId="14" fontId="0" fillId="0" borderId="0" xfId="0" quotePrefix="1" applyNumberFormat="1" applyAlignment="1">
      <alignment horizontal="center" vertical="top"/>
    </xf>
    <xf numFmtId="0" fontId="5" fillId="0" borderId="0" xfId="0" applyFont="1" applyAlignment="1">
      <alignment vertical="center"/>
    </xf>
    <xf numFmtId="0" fontId="0" fillId="0" borderId="9" xfId="0" applyBorder="1" applyAlignment="1">
      <alignment horizontal="left"/>
    </xf>
    <xf numFmtId="0" fontId="0" fillId="0" borderId="4" xfId="0" applyBorder="1" applyAlignment="1">
      <alignment horizontal="left"/>
    </xf>
    <xf numFmtId="0" fontId="0" fillId="0" borderId="3" xfId="0" applyBorder="1" applyAlignment="1">
      <alignment horizontal="left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6" fillId="2" borderId="5" xfId="0" applyFont="1" applyFill="1" applyBorder="1" applyAlignment="1">
      <alignment horizontal="center"/>
    </xf>
    <xf numFmtId="0" fontId="6" fillId="2" borderId="6" xfId="0" applyFont="1" applyFill="1" applyBorder="1" applyAlignment="1">
      <alignment horizontal="center"/>
    </xf>
    <xf numFmtId="0" fontId="0" fillId="0" borderId="7" xfId="0" applyNumberFormat="1" applyBorder="1"/>
    <xf numFmtId="0" fontId="0" fillId="0" borderId="2" xfId="0" applyNumberFormat="1" applyBorder="1"/>
    <xf numFmtId="0" fontId="0" fillId="0" borderId="8" xfId="0" applyNumberFormat="1" applyBorder="1"/>
    <xf numFmtId="0" fontId="0" fillId="0" borderId="9" xfId="0" applyNumberFormat="1" applyBorder="1"/>
    <xf numFmtId="0" fontId="0" fillId="0" borderId="4" xfId="0" applyNumberFormat="1" applyBorder="1"/>
    <xf numFmtId="0" fontId="0" fillId="0" borderId="3" xfId="0" applyNumberFormat="1" applyBorder="1"/>
    <xf numFmtId="0" fontId="4" fillId="0" borderId="1" xfId="0" applyNumberFormat="1" applyFont="1" applyBorder="1"/>
  </cellXfs>
  <cellStyles count="1">
    <cellStyle name="Normal" xfId="0" builtinId="0"/>
  </cellStyles>
  <dxfs count="24"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numFmt numFmtId="19" formatCode="dd/mm/yyyy"/>
      <alignment horizontal="center" vertical="top" textRotation="0" wrapText="0" indent="0" justifyLastLine="0" shrinkToFit="0" readingOrder="0"/>
    </dxf>
    <dxf>
      <font>
        <color rgb="FFEE0000"/>
      </font>
    </dxf>
    <dxf>
      <font>
        <color rgb="FF00B004"/>
      </font>
    </dxf>
    <dxf>
      <fill>
        <patternFill>
          <bgColor rgb="FFFFC000"/>
        </patternFill>
      </fill>
    </dxf>
    <dxf>
      <font>
        <color theme="0"/>
      </font>
    </dxf>
    <dxf>
      <font>
        <b val="0"/>
      </font>
    </dxf>
    <dxf>
      <border>
        <left style="medium">
          <color indexed="64"/>
        </left>
        <bottom style="medium">
          <color indexed="64"/>
        </bottom>
      </border>
    </dxf>
    <dxf>
      <border>
        <left style="medium">
          <color indexed="64"/>
        </left>
        <bottom style="medium">
          <color indexed="64"/>
        </bottom>
      </border>
    </dxf>
    <dxf>
      <border>
        <left style="medium">
          <color indexed="64"/>
        </lef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top style="medium">
          <color indexed="64"/>
        </top>
        <bottom style="medium">
          <color indexed="64"/>
        </bottom>
      </border>
    </dxf>
    <dxf>
      <border>
        <top style="medium">
          <color indexed="64"/>
        </top>
        <bottom style="medium">
          <color indexed="64"/>
        </bottom>
      </border>
    </dxf>
    <dxf>
      <border>
        <top style="medium">
          <color indexed="64"/>
        </top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>
          <bgColor rgb="FF82BC00"/>
        </patternFill>
      </fill>
    </dxf>
    <dxf>
      <font>
        <color theme="2"/>
      </font>
      <fill>
        <patternFill>
          <bgColor rgb="FFFF0000"/>
        </patternFill>
      </fill>
    </dxf>
    <dxf>
      <fill>
        <patternFill>
          <bgColor rgb="FF00B000"/>
        </patternFill>
      </fill>
    </dxf>
    <dxf>
      <font>
        <color auto="1"/>
      </font>
      <fill>
        <patternFill>
          <bgColor rgb="FF00B004"/>
        </patternFill>
      </fill>
    </dxf>
    <dxf>
      <font>
        <color theme="1" tint="4.9989318521683403E-2"/>
      </font>
    </dxf>
    <dxf>
      <fill>
        <patternFill>
          <bgColor rgb="FFFF6021"/>
        </patternFill>
      </fill>
    </dxf>
  </dxfs>
  <tableStyles count="0" defaultTableStyle="TableStyleMedium2" defaultPivotStyle="PivotStyleLight16"/>
  <colors>
    <mruColors>
      <color rgb="FF67BC00"/>
      <color rgb="FF00B000"/>
      <color rgb="FF82BC00"/>
      <color rgb="FF00B004"/>
      <color rgb="FFFF6021"/>
      <color rgb="FFFFD5D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ustomXml" Target="../customXml/item1.xml"/><Relationship Id="rId18" Type="http://schemas.openxmlformats.org/officeDocument/2006/relationships/customXml" Target="../customXml/item6.xml"/><Relationship Id="rId26" Type="http://schemas.openxmlformats.org/officeDocument/2006/relationships/customXml" Target="../customXml/item14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9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17" Type="http://schemas.openxmlformats.org/officeDocument/2006/relationships/customXml" Target="../customXml/item5.xml"/><Relationship Id="rId25" Type="http://schemas.openxmlformats.org/officeDocument/2006/relationships/customXml" Target="../customXml/item1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4.xml"/><Relationship Id="rId20" Type="http://schemas.openxmlformats.org/officeDocument/2006/relationships/customXml" Target="../customXml/item8.xml"/><Relationship Id="rId29" Type="http://schemas.openxmlformats.org/officeDocument/2006/relationships/customXml" Target="../customXml/item17.xml"/><Relationship Id="rId1" Type="http://schemas.openxmlformats.org/officeDocument/2006/relationships/worksheet" Target="worksheets/sheet1.xml"/><Relationship Id="rId6" Type="http://schemas.microsoft.com/office/2011/relationships/timelineCache" Target="timelineCaches/timelineCache1.xml"/><Relationship Id="rId11" Type="http://schemas.openxmlformats.org/officeDocument/2006/relationships/powerPivotData" Target="model/item.data"/><Relationship Id="rId24" Type="http://schemas.openxmlformats.org/officeDocument/2006/relationships/customXml" Target="../customXml/item12.xml"/><Relationship Id="rId5" Type="http://schemas.microsoft.com/office/2007/relationships/slicerCache" Target="slicerCaches/slicerCache1.xml"/><Relationship Id="rId15" Type="http://schemas.openxmlformats.org/officeDocument/2006/relationships/customXml" Target="../customXml/item3.xml"/><Relationship Id="rId23" Type="http://schemas.openxmlformats.org/officeDocument/2006/relationships/customXml" Target="../customXml/item11.xml"/><Relationship Id="rId28" Type="http://schemas.openxmlformats.org/officeDocument/2006/relationships/customXml" Target="../customXml/item16.xml"/><Relationship Id="rId10" Type="http://schemas.openxmlformats.org/officeDocument/2006/relationships/sharedStrings" Target="sharedStrings.xml"/><Relationship Id="rId19" Type="http://schemas.openxmlformats.org/officeDocument/2006/relationships/customXml" Target="../customXml/item7.xml"/><Relationship Id="rId4" Type="http://schemas.openxmlformats.org/officeDocument/2006/relationships/pivotCacheDefinition" Target="pivotCache/pivotCacheDefinition1.xml"/><Relationship Id="rId9" Type="http://schemas.openxmlformats.org/officeDocument/2006/relationships/styles" Target="styles.xml"/><Relationship Id="rId14" Type="http://schemas.openxmlformats.org/officeDocument/2006/relationships/customXml" Target="../customXml/item2.xml"/><Relationship Id="rId22" Type="http://schemas.openxmlformats.org/officeDocument/2006/relationships/customXml" Target="../customXml/item10.xml"/><Relationship Id="rId27" Type="http://schemas.openxmlformats.org/officeDocument/2006/relationships/customXml" Target="../customXml/item15.xml"/><Relationship Id="rId30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19050</xdr:colOff>
      <xdr:row>0</xdr:row>
      <xdr:rowOff>0</xdr:rowOff>
    </xdr:from>
    <xdr:to>
      <xdr:col>9</xdr:col>
      <xdr:colOff>304800</xdr:colOff>
      <xdr:row>7</xdr:row>
      <xdr:rowOff>19050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2" name="Data do recebimento do e-mail">
              <a:extLst>
                <a:ext uri="{FF2B5EF4-FFF2-40B4-BE49-F238E27FC236}">
                  <a16:creationId xmlns:a16="http://schemas.microsoft.com/office/drawing/2014/main" id="{7DA2F463-935E-A1CA-C66D-4CDFE1779C7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a do recebimento do e-mail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867275" y="0"/>
              <a:ext cx="33337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Linha do tempo: Funciona em Excel 2013 ou superior. Não mover ou redimensionar.</a:t>
              </a:r>
            </a:p>
          </xdr:txBody>
        </xdr:sp>
      </mc:Fallback>
    </mc:AlternateContent>
    <xdr:clientData/>
  </xdr:twoCellAnchor>
  <xdr:twoCellAnchor editAs="oneCell">
    <xdr:from>
      <xdr:col>4</xdr:col>
      <xdr:colOff>19050</xdr:colOff>
      <xdr:row>7</xdr:row>
      <xdr:rowOff>38100</xdr:rowOff>
    </xdr:from>
    <xdr:to>
      <xdr:col>7</xdr:col>
      <xdr:colOff>19050</xdr:colOff>
      <xdr:row>20</xdr:row>
      <xdr:rowOff>85725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Gerente">
              <a:extLst>
                <a:ext uri="{FF2B5EF4-FFF2-40B4-BE49-F238E27FC236}">
                  <a16:creationId xmlns:a16="http://schemas.microsoft.com/office/drawing/2014/main" id="{36569F3F-10BF-FC84-97A4-81637466963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Geren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867275" y="139065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Usuário Comercial 05" refreshedDate="46003.500713541667" missingItemsLimit="0" createdVersion="8" refreshedVersion="8" minRefreshableVersion="3" recordCount="5525" xr:uid="{0C3E3862-B922-4751-8B7C-6C216549D25F}">
  <cacheSource type="worksheet">
    <worksheetSource ref="A1:K1048576" sheet="E-Mail BD"/>
  </cacheSource>
  <cacheFields count="12">
    <cacheField name="CNPJ" numFmtId="0">
      <sharedItems containsBlank="1"/>
    </cacheField>
    <cacheField name="Razão Social" numFmtId="0">
      <sharedItems containsBlank="1" count="321">
        <s v="ACQUION FOODTECH S/A"/>
        <s v="BOM PASTOR PAPEIS LTDA"/>
        <s v="IMPORTEXTIL COMERCIO DE TECIDOS LTDA"/>
        <s v="MBIOLOG DIAGNOSTICOS LTDA"/>
        <s v="WJ CALDEIRARIA INDUSTRIA E COMERCIO LTDA ME"/>
        <s v="BETMIX CONCRETO LTDA"/>
        <s v="ARCA CONSTRUCOES E INCORPORACOES LTDA"/>
        <s v="COM IND DE CEREAIS E TRANSPORTES MACIEL LTDA"/>
        <s v="BIOLIFE HEALTH IMPORTACAO E DISTRIBUICAO DE PRODUT"/>
        <s v="MASTERVET COMERCIO DE PRODUTOS AGROPECUARIOS LTDA"/>
        <s v="RODOBOX TRANSPORTES E ARMAZENAGEM DE CARGAS LTDA"/>
        <s v="MEIO OESTE PAPEIS LTDA ME"/>
        <s v="TRANSNECHER COMERCIO TRANSPORTES E EMPREENDIMENTOS"/>
        <s v="CERVEJARIA SOUZA LTDA"/>
        <s v="GREEN FARMING FAZENDAS RENOVAVEIS LTDA"/>
        <s v="UBERTEC SERVICE USINAGEM LTDA EPP"/>
        <s v="CONSULOC ENGENHARIA LTDA EPP"/>
        <s v="DIVINA INDUSTRIA DE COURO LTDA"/>
        <s v="MEK SOL FUNDACOES E SERVICOS GEOTECNICOS LTDA EPP"/>
        <s v="PLURIFORME INDUSTRIA E COMERCIO DE UNIFORMES LTDA"/>
        <s v="SUPER HARD TECNOLOGIA EM TRATAMENTO DE SUPERFICIES"/>
        <s v="ESSENZA INDUSTRIA QUIMICA LTDA"/>
        <s v="MUTCD CENTRO DISTRIBUICAO IND FABRICANTE COSMETICO"/>
        <s v="COLIBRI IND MEDIC SUPLEMENTOS PARA PECUARIA VETERI"/>
        <s v="DECISION DESENVOLVIMENTO DE SISTEMAS LTDA"/>
        <s v="RPT SOLUCOES AMBIENTAIS LTDA"/>
        <s v="ECOPINUS INDUSTRIA E COMERCIO DE EMBALAGENS DE MAD"/>
        <s v="MAPE TRATAMENTO DE RESIDUOS LTDA"/>
        <s v="VIC LOGISTICA LTDA EM RECUPERACAO JUDICIAL"/>
        <s v="INDUSTRIA E CERVEJARIA ARTESANAL DE MINAS GERAIS L"/>
        <s v="ALEXANDRE ROSA VICENTE E SERVICOS LTDA ME"/>
        <s v="HERBAMED LABORATORIO NUTRACEUTICO LTDA"/>
        <s v="EVOLUTION MACHINES LTDA ME"/>
        <s v="AMP INDUSTRIA E COMERCIO DE CONDUTORES LTDA"/>
        <s v="SIAP COMERCIO DE PRODUTOS AGROPECUARIOS LTDA"/>
        <s v="VALENTE PRODUCOES LTDA ME"/>
        <s v="DISPA DISTRIBUIDORA SAO PAULO LTDA ME"/>
        <s v="ARTECAL ELETROCENTROS S/A"/>
        <s v="ISOBASE POLIESTIRENO LTDA EPP"/>
        <s v="COOPERATIVA TRANSP AUTON CARGAS PASSAG SERVICOS LO"/>
        <s v="ESPECIALI INDUSTRIA DE ALIMENTOS LTDA ME"/>
        <s v="PREMOLDADOS MATOSINHOS LTDA EPP"/>
        <s v="VIVAN TRANSPORTES LTDA"/>
        <s v="MINAS ALIMENTOS E FRUTAS SECAS LTDA EPP"/>
        <s v="TRANSHENRY TRANSPORTES LTDA"/>
        <s v="FARINELLI NUTRIMENTOS LTDA"/>
        <s v="NOVA DISTRIBUIDORA E ATACADO DE LIMPEZA LTDA"/>
        <s v="UNITA AUTO PECAS LTDA EPP"/>
        <s v="BIBE PRODUTOS INFANTIS LTDA"/>
        <s v="STONE ENGENHARIA E MONTAGENS INDUSTRIAIS LTDA"/>
        <s v="PHOENIX LOG TRANSPORTES LTDA EPP"/>
        <s v="ENXOVAIS MINAS LTDA ME"/>
        <s v="MG CONSULT DIST LTDA EPP"/>
        <s v="MOLAS ANEL POSTO DE TROCA LTDA EPP"/>
        <s v="XEQUE MATE BEBIDAS LTDA ME"/>
        <s v="JR X IMPORT LTDA EPP"/>
        <s v="PALMILHADO INDUSTRIA E COMERCIO LTDA"/>
        <s v="RODOANEL REFORMADORA DE IMPLEMENTOS RODOVIARIOS LT"/>
        <s v="HT SERVICOS DE TRANSPORTE E LOCACAO LTDA"/>
        <s v="MAIS DISTRIBUIDORA LTDA"/>
        <s v="DINAMICA COM FERRAMENTAS EQUIPAMENTOS PROTECAO IND"/>
        <s v="CONQUISTA INDUSTRIA DE MOVEIS S/A"/>
        <s v="VLF IMPERIAL LATICINIOS LTDA ME"/>
        <s v="ALLIAGE S A INDUSTRIAS MEDICO ODONTOLOGICA"/>
        <s v="PREMIUMGRAF SERVICOS GRAFICOS LTDA ME"/>
        <s v="VALADRES DIESEL LTDA EM RECUPERACAO JUDICIAL"/>
        <s v="JMS EMBALAGENS INDUSTRIAIS LTDA"/>
        <s v="MONTAGEM MINAS GERAIS LTDA ME"/>
        <s v="ALBERTO H DA SILVA ME"/>
        <s v="BOM PASTOR PAPEIS LTDA EM RECUPERACAO JUDICIAL"/>
        <s v="MEDICAL PRIME IMP EXPORT DISTRIB PRODUTOS MEDICOS"/>
        <s v="OLINDA IMPORTACAO E COMERCIO LTDA"/>
        <s v="UNIVERSO INOX INDUSTRIA E COMERCIO LTDA EPP"/>
        <s v="JF GOLD DISTRIBUIDORA LTDA EPP"/>
        <s v="ALPS FOMENTO MERCANTIL LTDA"/>
        <s v="POOLMAK SISTEMAS ESTRUTURAIS LTDA"/>
        <s v="RECICOLOGY INDUSTRIA E COMERCIO DE PRODUTOS RECICL"/>
        <s v="MOINHO DE TRIGO JM LTDA"/>
        <s v="REI DO MILHO ATACADISTA E VAREJISTA LTDA ME"/>
        <s v="PRIVILEGIO CONFECCOES CAMA MESA E BANHO LTDA EPP"/>
        <s v="PARTNER SECURITY SERVICOS DE SEGURANCA LTDA"/>
        <s v="RIMAG COMERCIO ATACADISTA DE ALIMENTOS IMPORTACAO"/>
        <s v="SGAMAQ INOVACAO AGROINDUSTRIAL LTDA"/>
        <s v="37 054 821 LARISSA GONTIJO AZEVEDO ME"/>
        <s v="OXIGAS RESIDUOS ESPECIAIS LTDA EPP"/>
        <s v="ESCUDO ADMINISTRACAO E SERVICOS LTDA EM RECUPERACA"/>
        <s v="ESCUDO VIGILANCIA E SEGURANCA LTDA EM RECUPERACAO"/>
        <s v="MORIA PRESTACAO DE SERVICOS LTDA ME"/>
        <s v="TOUROS IMPLEMENTOS LTDA ME"/>
        <s v="PROSPER MINERACAO S/A"/>
        <s v="STA SERVICOS LTDA"/>
        <s v="LUCCI ILUMINACAO LTDA EPP"/>
        <s v="DETRONIC ENERGIA E SERVICOS LTDA"/>
        <s v="MAAT COMERCIO DE VESTUARIO LTDA EPP"/>
        <s v="GLOBAL ACO SERVICOS E PRODUTOS SIDERURGICOS LTDA E"/>
        <s v="SAVIXX COMERCIO INTERNACIONAL S/A"/>
        <s v="EDUARDO LUIZ SILVA DA LUZ ME"/>
        <s v="VALADARES DIESEL LTDA EM RECUPERACAO JUDICIAL"/>
        <s v="COMGROUP AGROINDUSTRIAL LTDA"/>
        <s v="EXPRESSO PAV CONSTRUCOES E SERVICOS LTDA ME"/>
        <s v="AGROINDUSTRIA FRUTAS JARDINS LTDA"/>
        <s v="RESERVA TRADE LTDA ME"/>
        <s v="JFIX INDUSTRIA QUIMICA LTDA ME"/>
        <s v="LIZZENA COSMETICOS LTDA EPP"/>
        <s v="LABOR ELETRIC INDUSTRIA E COMERCIO UNIPESSOAL LTDA"/>
        <s v="ENCADESP LTDA ME"/>
        <s v="SIQUEIRA E GAIPO INDUSTRIA E MATERIAIS ESPORTIVOS"/>
        <s v="GRF JEANS WEAR LTDA ME"/>
        <s v="REAL ESTRUTURAS E CONSTRUCOES LTDA"/>
        <s v="FRANZAO COLCHOES LTDA EPP"/>
        <s v="MARCAS COMERCIO LTDA ME"/>
        <s v="CALDEM CONSTRUCOES MECANICAS LTDA EPP"/>
        <s v="BIO HEALTH COLCHOES LTDA EPP"/>
        <s v="OFFICER INDUSTRIA QUIMICA LTDA EPP"/>
        <s v="AGRO INDUSTRIAL LAZZERI LTDA"/>
        <s v="ELFRIG FRIGORIFICO ELDORADO LTDA ME"/>
        <s v="SAFRA OURO AGRONEGOCIOS LTDA EPP"/>
        <s v="FRUIT INDUSTRIA E COMERCIO LTDA ME"/>
        <s v="CIA TEXTIL LTDA ME"/>
        <s v="ALPLAST ATACADISTA E APOIO ADMINISTRATIVO LTDA EPP"/>
        <s v="GEDIBOR RUBBER POLYURETHANE LTDA EPP"/>
        <s v="TDR TRANSPORTES LOGISTICA LTDA"/>
        <s v="GRF JEANS WEAR LTDA EPP"/>
        <s v="FARBIA CHEMICALS COMERCIO IMPORTACAO E EXPORTACAO"/>
        <s v="PARTNER SOLUCOES EMPRESARIAIS LTDA ME"/>
        <s v="GLOBAL ACO SERV PRODUTOS SIDERURGICOS LTDA RECUPER"/>
        <s v="ORTHOSIDE INDUSTRIA E COMERCIO LTDA EPP"/>
        <s v="M TRATORES LTDA EPP"/>
        <s v="FRUTAS JARDINS LTDA"/>
        <s v="FUNDACAO DE ENSINO E PESQUISA DO SUL DE MINAS FEPE"/>
        <s v="INDUSTRIA E COMERCIO DE CHURRASQUEIRAS BOM JESUS L"/>
        <s v="COMERCIAL GODINHO FERREIRA LTDA"/>
        <s v="P P DISTRIBUIDORA LTDA"/>
        <s v="LIDER COMERCIO DE UNIFORMES E EPI S LTDA ME"/>
        <s v="USIPARTS COMERCIO DE PECAS PARA USINAS LTDA ME"/>
        <s v="D M RODRIGUES LTDA ME"/>
        <s v="BEIJA FLOR COMERCIO DE TINTAS LTDA"/>
        <s v="TREGA FILHOS EMPACOTAMENTO E DISTRIBUICAO LTDA ME"/>
        <s v="MAIS LAR ENGENHARIA LTDA"/>
        <s v="ORNELAS RESENDE TORRES TRANSPORTE E LOGISTICA LTDA"/>
        <s v="METAL STAMP INDUSTRIA E COMERCIO LTDA"/>
        <s v="QUALITY PACK INDUSTRIA E COMERCIO LTDA ME"/>
        <s v="JABEZ SERVICOS COMPARTILHADOS LTDA ME"/>
        <s v="MINAS CLEAN DISTRIBUIDORA DE PRODUTOS PARA LIMPEZA"/>
        <s v="KUARA COMERCIAL E EXPORTADORA DE FRUTAS LTDA"/>
        <s v="CNM CHICOTES ELETRICOS LTDA EPP"/>
        <s v="A C ESPORTES S A F"/>
        <s v="ABN CONSULTORIA E PROJETOS LTDA EPP"/>
        <s v="CF COMEX IMPORTACAO EQUIPAMENTOS E SERVICOS LTDA"/>
        <s v="ACO X LTDA ME"/>
        <s v="VGS COMERCIO DE EMBALAGENS DE MADEIRAS LTDA ME"/>
        <s v="TORQUE FERRAMENTAS LTDA ME"/>
        <s v="S A COMERCIO E INDUSTRIA DE CALCADOS LTDA ME"/>
        <s v="SH METALIZACOES LTDA EPP"/>
        <s v="ORNELAS TRANSPORTE E LOGISTICA LTDA"/>
        <s v="ELO TELECOMUNICACOES E CONSTRUCOES S/A"/>
        <s v="ALTAG NEGOCIOS AGRICOLAS LTDA"/>
        <s v="GRAFICA ROMANA LTDA ME"/>
        <s v="JUATUBA MOVEIS E EMBALAGENS LTDA"/>
        <s v="TERRAPLAST INDUSTRIA E COMERCIO DE EQUIPAMENTOS DE"/>
        <s v="FUMEF FUNDICAO E MECANICA DE FERROS LTDA"/>
        <s v="NUTRIENS FERTIL LTDA ME"/>
        <s v="ONFARM BRASIL LTDA ME"/>
        <s v="PARANAIBA FERTILIZANTES IND E COM LTDA EM RECUPERA"/>
        <s v="IVA LOCACOES E CONSTRUCOES LTDA EPP"/>
        <s v="RENOVAR AGRICOLA LTDA"/>
        <s v="DIOTTONI INDUSTRIA E COMERCIO DE ALIMENTOS LTDA ME"/>
        <s v="MAPP COM IMPORTACAO EXPORTACAO IND PRODUTOS ALIMEN"/>
        <s v="A 8 ENGENHARIA LTDA ME"/>
        <s v="REAL FILTROS E ACESSORIOS AUTOMOTIVOS LTDA EPP"/>
        <s v="GOIARTE SOLUCOES CONSTRUTIVAS EM CONCRETO LTDA"/>
        <s v="SMARTCENTER SOLUCOES INTELIGENTES LTDA ME"/>
        <s v="SMARTCENTERGROUP COMERCIO DE EQUIPAMENTOS DE INFOR"/>
        <s v="MUNDO AGRO COMERCIO E DISTRIBUICAO DE CALCADOS LTD"/>
        <s v="REAL FILTROS E ACESSORIOS AUTOMOTIVOS LTDA"/>
        <s v="AZ HIDRAULICA USINAGEM LTDA EPP"/>
        <s v="MUTCD CENTRO DE DISTRIBUICAO DE IND FABRICANTE DE"/>
        <s v="RODOVIEIRA TRANSPORTE LTDA"/>
        <s v="SAFRA AGRICOLA E PECUARIA LTDA EPP"/>
        <s v="PRODUTOS PORTEIRAO COM DIST E REP LTDA EPP"/>
        <s v="CARGA EQUIPAMENTOS RODOVIARIOS LTDA ME"/>
        <s v="JANE FIGUEIRA CONFECCOES LTDA ME"/>
        <s v="IBFX COMERCIO IMPORTACAO E EXPORTACAO LTDA EPP"/>
        <s v="CLAUDINEA GOMES DA SILVA VIANA 04007455694"/>
        <s v="SUPREMO PLASTICOS LTDA ME"/>
        <s v="ACO COELHO INDUSTRIA E COMERCIO DE MOVEIS LTDA EPP"/>
        <s v="OLIVEIRA E SILVA COMERCIO DE MADEIRAS E EMBALAGENS"/>
        <s v="SEU TRATOR LTDA EPP"/>
        <s v="PLATINUM INDUSTRIA DE CONFECCOES LTDA"/>
        <s v="SOCIAL S/A"/>
        <s v="APOLO DISTRIBUIDORA LTDA"/>
        <s v="ENGREMAT ENG PROJETO MANUTENCAO INSPECAO MONTAGENS"/>
        <s v="CONSTRUENGE ENGENHARIA E GERENCIAMENTO LTDA"/>
        <s v="ANDRADE ELETRO TECNICA LTDA EPP"/>
        <s v="CONQUISTA INDUSTRIA DE MOVEIS S A EM RECUPERACAO J"/>
        <s v="METALCROMO METALIZACAO E CROMO DURO INDUSTRIAL LTD"/>
        <s v="TRANSPORTES TRANS BERTIN LTDA"/>
        <s v="MECALD MECANICA E CALDEIRARIA LTDA EPP"/>
        <s v="REAL DISTRIBUIDORA DE PRODUTOS PARA MARMORARIA LTD"/>
        <s v="BEECORP BEM ESTAR CORPORATIVO LTDA ME"/>
        <s v="ALPHA DISTRIBUIDORA DE PECAS LTDA ME"/>
        <s v="TP DISTRIBUIDORA DE PECAS LTDA EPP"/>
        <s v="FAC INDUSTRIA E SERVICOS LTDA ME"/>
        <s v="TUBOLARES VITORIA INDUSTRIA E COMERCIO LTDA ME"/>
        <s v="AVIAMENTOS CENTRAL LTDA ME"/>
        <s v="BIOTECH LOGISTICA LTDA"/>
        <s v="LINGERIE E CIA LTDA ME"/>
        <s v="ARTE FINAL INDUSTRIA E COMERCIO DE COURO LTDA"/>
        <s v="FILIPE AUGUSTO DO CARMO GUSMAO LTDA ME"/>
        <s v="COMERCIAL JLX DISTRIBUIDORA LTDA ME"/>
        <s v="MAIS PURA AGUA MINERAL LTDA EPP"/>
        <s v="COMERCIAL GTS INFORMATICA LTDA EPP"/>
        <s v="MUNDYSERVICE COMERCIO DE PECAS E ASSISTENCIA TECNI"/>
        <s v="STA TECHCANA LTDA"/>
        <s v="DLTX INDUSTRIA E COMERCIO LTDA EPP"/>
        <s v="CENTRAL DE SUPRIMENTOS INDUSTRIAIS LTDA EPP"/>
        <s v="LTA USINAGEM LTDA EPP"/>
        <s v="GLOBALMAX INDUSTRIA PLASTICA S/A"/>
        <s v="NUTRIBEM SAL E RACOES LTDA"/>
        <s v="SAFRA AGRICOLA E PECUARIA LTDA"/>
        <s v="C V T O IND E COM LTDA EPP"/>
        <s v="REFRACONT BRASIL LTDA"/>
        <s v="FRAITECH INTELIGENCIA EM AUTOMACAO LTDA"/>
        <s v="CENTRAL DO M R O COMERCIAL IMPORTACOES E SERVICOS"/>
        <s v="GALLE INDUSTRIA E COMERCIO DE TINTAS E VERNIZES LT"/>
        <s v="COMERCIAL PROGRESSO LTDA EPP"/>
        <s v="BETEL UNIFORMES PROFISSIONAIS LTDA ME"/>
        <s v="LAF COMERCIAL LTDA ME"/>
        <s v="TERRA PECAS GENUINAS LTDA EPP"/>
        <s v="PRADO MOREIRA TEXTIL LTDA ME"/>
        <s v="REVPACK TECNOLOGIA E COMERCIO DE COMPONENTES PLAST"/>
        <s v="ANGIOMEDIC COMERCIO DE MATERIAL MEDICO HOSPITALAR"/>
        <s v="GAMA COMERCIO E TRANSPORTES LTDA EPP"/>
        <s v="MINASPOL INDUSTRIA E COMERCIO DE COMPOSTOS POLIMER"/>
        <s v="LINDINALDO ANISIO DA SILVA ME"/>
        <s v="LOTUS DESENVOLVIMENTO IMOBILIARIO LTDA"/>
        <s v="PROMEL IND COM IMP E EXP DE PRODS NATURAIS LTDA"/>
        <s v="GRAFICA JSA LTDA EPP"/>
        <s v="AUTOMOTIV DO BRASIL INDUSTRIAL LTDA"/>
        <s v="ITAQUAFER FERRAMENTAS LTDA ME"/>
        <s v="JSA INDUSTRIA DE COSMETICOS LTDA EPP"/>
        <s v="METALAB COMERCIO E INDUSTRIA FARMACEUTICA LTDA ME"/>
        <s v="NOVA CALDERARIA MONTAGEM LTDA EPP"/>
        <s v="CALDAS SEG INDUSTRIA E COMERCIO DE EPI S LTDA"/>
        <s v="3J FUNDICAO INDUSTRIAL LTDA"/>
        <s v="RB DISTRIBUIDORA DE PRODUTOS DE HIGIENE LTDA"/>
        <s v="SAGESSE INDUSTRIAL TEXTIL LTDA EPP"/>
        <s v="TRATOR GLASS LTDA ME"/>
        <s v="SENSORVIX INTELIGENCIA EM AUTOMACAO LTDA ME"/>
        <s v="SAGATEC LTDA"/>
        <s v="DESTAK DISTRIBUIDORA PRODUTOS EQUIPAMENTOS HOSPITA"/>
        <s v="HBEAUTY COSMETICOS LTDA ME"/>
        <s v="A2 VIDROS INDUSTRIA E COMERCIO LTDA"/>
        <s v="COMERCIAL SEGURANCA LTDA ME"/>
        <s v="SKY JEANS LTDA ME"/>
        <s v="W M DE CASTRO NETO PRODUTOS FARMACEUTICOS EPP"/>
        <s v="JRG SOLUCOES INDUSTRIAIS LTDA"/>
        <s v="TRANSPORTADORA PACHECO LTDA EPP"/>
        <s v="AUTO VIDROS MG INDUSTRIA E COMERCIO LTDA"/>
        <s v="E DE P BATISTA DISTRIBUIDORA ME"/>
        <s v="MG GLASS VIDROS PARA TRATORES E CAMINHOES LTDA ME"/>
        <s v="ZAMARIAM MENEGAZZO LTDA ME"/>
        <s v="DIFARMIG LTDA"/>
        <s v="FRUTABELLA INDUSTRIA E COMERCIO DE ALIMENTOS LTDA"/>
        <s v="MINAS MIX INDUSTRIA E COMERCIO DE PRODUTOS ALIMENT"/>
        <s v="BH BRITADORES LTDA EPP"/>
        <s v="SIGGA LOGISTICA LTDA"/>
        <s v="ARTECAL ELETROCENTROS SERVICOS E SOLUCOES LTDA EPP"/>
        <s v="CALDENAS MONTAGEM DE CALDEIRARIA E SOLDAS LTDA"/>
        <s v="IMPORTEXTIL ASSESSORIA EMPRESARIAL LTDA"/>
        <s v="C A M DIAS SOARES LTDA EPP"/>
        <s v="MILK LAT LTDA EPP"/>
        <s v="SAGESSE TEXTIL LTDA EPP"/>
        <s v="AGROEP PISCICULTURA LTDA ME"/>
        <s v="NCBA INTERMEDIACAO LTDA ME"/>
        <s v="LEFORM PLANEJADOS LTDA ME"/>
        <s v="DISEP ALIMENTOS LTDA ME"/>
        <s v="LIDER DISTRIBUIDORA DE MOVEIS E EQUIPAMENTOS PARA"/>
        <s v="PRIVILEGIO CONFECCOES LTDA ME"/>
        <s v="CENTROAIDAR INDUSTRIA E COMERCIO DE BEBIDAS LTDA"/>
        <s v="JRG SOLUCOES EM SERVICOS LTDA ME"/>
        <s v="SUPER BULL IMPORTACAO E COMERCIO DE EQUIPAMENTOS L"/>
        <s v="R P CINTRA LTDA EPP"/>
        <s v="S A COMERCIO E INDUSTRIA DE CALCADOS LTDA"/>
        <s v="ENXOVAIS PRIVILEGIO LTDA ME"/>
        <s v="LUCAS ALLA LOGISTICA LTDA"/>
        <s v="HDR ENGENHARIA E LOCACOES LTDA ME"/>
        <s v="AGUIA DE FOGO PREVENCAO DE INCENDIO LTDA EPP"/>
        <s v="SINERGIKA INDUSTRIA DE ALIMENTOS LTDA"/>
        <s v="VIC LOGISTICA LTDA"/>
        <s v="SABORES DO TRIANGULO LTDA EPP"/>
        <s v="COMERCIAL COMAG LTDA"/>
        <s v="AGUIA LIDER TRANSPORTE RODOVIARIO LTDA EPP"/>
        <s v="GLOBAL PAPEIS EM RECUPERACAO JUDICIAL LTDA"/>
        <s v="FRIGORIFICO BRAZFRIG INDUSTRIA E IMPORTACAO LTDA E"/>
        <s v="BIORGANICA PRODUTOS ORGANICOS LTDA"/>
        <s v="CONFIARE ADMINISTRADORA LTDA EPP"/>
        <s v="SR LIMA PAPEIS FINOS EM RECUPERACAO JUDICIAL LTDA"/>
        <s v="MN GLOBAL MARKETING LTDA"/>
        <s v="DUOPLASTIC INDUSTRIA DE MOVEIS LTDA ME"/>
        <s v="ESPECIALI INDUSTRIA DE ALIMENTOS S/A"/>
        <s v="TEXTIL CLUB ACADEMY LTDA EPP"/>
        <s v="NITROTEX INDUSTRIA E COMERCIO TEXTEIS LTDA ME"/>
        <s v="AUTO VIDROS MG LTDA"/>
        <s v="HIDROCARBONETOS IMPORT LTDA"/>
        <s v="DENTAL FREE MATERIAIS E SOLUCOES ODONTOLOGICAS LTD"/>
        <s v="PRP TRANSPORTES SERVICOS E LOCACAO DE MAQUINAS LTD"/>
        <s v="CONFIARE TERCERIZACAO LTDA EPP"/>
        <s v="GEOTHRA GEOLOGIA GEOTECNIA LTDA EPP"/>
        <s v="FERA DO ACO INDUSTRIA E COMERCIO LTDA EPP"/>
        <s v="LIDER MIX CONCRETOS E AGREGADOS LTDA"/>
        <s v="CONFIARE ADMINISTRACAO E SERVICOS LTDA ME"/>
        <s v="MORAES TRANSPORTES RODOVIARIOS DE CARGAS LTDA"/>
        <s v="AMERICA MASTER COMERCIO LTDA ME"/>
        <s v="TERROIR DO SAO FRANCISCO COMERCIO E INDUSTRIA DE V"/>
        <s v="PETRA AGRONEGOCIO LTDA"/>
        <s v="INFINITY COMERCIO ATACADISTA DE EQUIPAMENTOS LTDA"/>
        <s v="ELETRICA DANUBIO INDUSTRIA E COMERCIO DE MATERIAIS"/>
        <s v="MENEGAZZO COMERCIO ATACADISTA DE TINTAS LTDA ME"/>
        <s v="FHIORUK INDUSTRIA DE CALCADOS LTDA EM RECUPERACAO"/>
        <m/>
      </sharedItems>
    </cacheField>
    <cacheField name="Alteração" numFmtId="0">
      <sharedItems containsBlank="1"/>
    </cacheField>
    <cacheField name="Data do recebimento do e-mail" numFmtId="14">
      <sharedItems containsNonDate="0" containsDate="1" containsString="0" containsBlank="1" minDate="2024-09-02T00:00:00" maxDate="2025-12-13T00:00:00" count="301">
        <d v="2024-09-02T00:00:00"/>
        <d v="2024-09-03T00:00:00"/>
        <d v="2024-09-04T00:00:00"/>
        <d v="2024-09-05T00:00:00"/>
        <d v="2024-09-06T00:00:00"/>
        <d v="2024-09-09T00:00:00"/>
        <d v="2024-09-10T00:00:00"/>
        <d v="2024-09-11T00:00:00"/>
        <d v="2024-09-12T00:00:00"/>
        <d v="2024-09-13T00:00:00"/>
        <d v="2024-09-16T00:00:00"/>
        <d v="2024-09-18T00:00:00"/>
        <d v="2024-09-19T00:00:00"/>
        <d v="2024-09-20T00:00:00"/>
        <d v="2024-09-21T00:00:00"/>
        <d v="2024-09-22T00:00:00"/>
        <d v="2024-09-24T00:00:00"/>
        <d v="2024-09-25T00:00:00"/>
        <d v="2024-09-26T00:00:00"/>
        <d v="2024-09-27T00:00:00"/>
        <d v="2024-09-28T00:00:00"/>
        <d v="2024-10-01T00:00:00"/>
        <d v="2024-10-02T00:00:00"/>
        <d v="2024-10-04T00:00:00"/>
        <d v="2024-10-05T00:00:00"/>
        <d v="2024-10-08T00:00:00"/>
        <d v="2024-10-09T00:00:00"/>
        <d v="2024-10-10T00:00:00"/>
        <d v="2024-10-11T00:00:00"/>
        <d v="2024-10-12T00:00:00"/>
        <d v="2024-10-15T00:00:00"/>
        <d v="2024-10-16T00:00:00"/>
        <d v="2024-10-17T00:00:00"/>
        <d v="2024-10-18T00:00:00"/>
        <d v="2024-10-21T00:00:00"/>
        <d v="2024-10-22T00:00:00"/>
        <d v="2024-10-23T00:00:00"/>
        <d v="2024-10-24T00:00:00"/>
        <d v="2024-10-25T00:00:00"/>
        <d v="2024-10-26T00:00:00"/>
        <d v="2024-10-29T00:00:00"/>
        <d v="2024-10-30T00:00:00"/>
        <d v="2024-10-31T00:00:00"/>
        <d v="2024-11-01T00:00:00"/>
        <d v="2024-11-02T00:00:00"/>
        <d v="2024-11-05T00:00:00"/>
        <d v="2024-11-06T00:00:00"/>
        <d v="2024-11-07T00:00:00"/>
        <d v="2024-11-08T00:00:00"/>
        <d v="2024-11-09T00:00:00"/>
        <d v="2024-11-12T00:00:00"/>
        <d v="2024-11-13T00:00:00"/>
        <d v="2024-11-14T00:00:00"/>
        <d v="2024-11-15T00:00:00"/>
        <d v="2024-11-16T00:00:00"/>
        <d v="2024-11-20T00:00:00"/>
        <d v="2024-11-21T00:00:00"/>
        <d v="2024-11-23T00:00:00"/>
        <d v="2024-11-26T00:00:00"/>
        <d v="2024-11-27T00:00:00"/>
        <d v="2024-11-28T00:00:00"/>
        <d v="2024-11-29T00:00:00"/>
        <d v="2024-11-30T00:00:00"/>
        <d v="2024-12-03T00:00:00"/>
        <d v="2024-12-04T00:00:00"/>
        <d v="2024-12-05T00:00:00"/>
        <d v="2024-12-06T00:00:00"/>
        <d v="2024-12-07T00:00:00"/>
        <d v="2024-12-10T00:00:00"/>
        <d v="2024-12-11T00:00:00"/>
        <d v="2024-12-12T00:00:00"/>
        <d v="2024-12-13T00:00:00"/>
        <d v="2024-12-14T00:00:00"/>
        <d v="2024-12-17T00:00:00"/>
        <d v="2024-12-18T00:00:00"/>
        <d v="2024-12-19T00:00:00"/>
        <d v="2024-12-20T00:00:00"/>
        <d v="2024-12-21T00:00:00"/>
        <d v="2024-12-24T00:00:00"/>
        <d v="2024-12-25T00:00:00"/>
        <d v="2024-12-27T00:00:00"/>
        <d v="2024-12-28T00:00:00"/>
        <d v="2024-12-31T00:00:00"/>
        <d v="2025-01-01T00:00:00"/>
        <d v="2025-01-03T00:00:00"/>
        <d v="2025-01-04T00:00:00"/>
        <d v="2025-01-05T00:00:00"/>
        <d v="2025-01-07T00:00:00"/>
        <d v="2025-01-08T00:00:00"/>
        <d v="2025-01-09T00:00:00"/>
        <d v="2025-01-10T00:00:00"/>
        <d v="2025-01-11T00:00:00"/>
        <d v="2025-01-12T00:00:00"/>
        <d v="2025-01-15T00:00:00"/>
        <d v="2025-01-16T00:00:00"/>
        <d v="2025-01-17T00:00:00"/>
        <d v="2025-01-18T00:00:00"/>
        <d v="2025-01-19T00:00:00"/>
        <d v="2025-01-20T00:00:00"/>
        <d v="2025-01-21T00:00:00"/>
        <d v="2025-01-22T00:00:00"/>
        <d v="2025-01-23T00:00:00"/>
        <d v="2025-01-24T00:00:00"/>
        <d v="2025-01-25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08T00:00:00"/>
        <d v="2025-02-09T00:00:00"/>
        <d v="2025-03-21T00:00:00"/>
        <d v="2025-03-22T00:00:00"/>
        <d v="2025-03-25T00:00:00"/>
        <d v="2025-03-27T00:00:00"/>
        <d v="2025-03-28T00:00:00"/>
        <d v="2025-03-29T00:00:00"/>
        <d v="2025-04-01T00:00:00"/>
        <d v="2025-04-02T00:00:00"/>
        <d v="2025-04-03T00:00:00"/>
        <d v="2025-04-04T00:00:00"/>
        <d v="2025-04-05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7T00:00:00"/>
        <d v="2025-04-18T00:00:00"/>
        <d v="2025-04-23T00:00:00"/>
        <d v="2025-04-24T00:00:00"/>
        <d v="2025-04-25T00:00:00"/>
        <d v="2025-04-26T00:00:00"/>
        <d v="2025-04-29T00:00:00"/>
        <d v="2025-04-30T00:00:00"/>
        <d v="2025-05-01T00:00:00"/>
        <d v="2025-05-03T00:00:00"/>
        <d v="2025-05-05T00:00:00"/>
        <d v="2025-05-06T00:00:00"/>
        <d v="2025-05-07T00:00:00"/>
        <d v="2025-05-17T00:00:00"/>
        <d v="2025-05-08T00:00:00"/>
        <d v="2025-05-09T00:00:00"/>
        <d v="2025-05-10T00:00:00"/>
        <d v="2025-05-13T00:00:00"/>
        <d v="2025-05-14T00:00:00"/>
        <d v="2025-05-20T00:00:00"/>
        <d v="2025-05-15T00:00:00"/>
        <d v="2025-05-16T00:00:00"/>
        <d v="2025-05-23T00:00:00"/>
        <d v="2025-05-19T00:00:00"/>
        <d v="2025-05-27T00:00:00"/>
        <d v="2025-05-29T00:00:00"/>
        <d v="2025-05-21T00:00:00"/>
        <d v="2025-05-22T00:00:00"/>
        <d v="2025-05-24T00:00:00"/>
        <d v="2025-05-28T00:00:00"/>
        <d v="2025-05-30T00:00:00"/>
        <d v="2025-05-31T00:00:00"/>
        <d v="2025-06-24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14T00:00:00"/>
        <d v="2025-06-17T00:00:00"/>
        <d v="2025-06-18T00:00:00"/>
        <d v="2025-06-19T00:00:00"/>
        <d v="2025-06-21T00:00:00"/>
        <d v="2025-06-25T00:00:00"/>
        <d v="2025-06-26T00:00:00"/>
        <d v="2025-06-27T00:00:00"/>
        <d v="2025-06-28T00:00:00"/>
        <d v="2025-07-01T00:00:00"/>
        <d v="2025-07-02T00:00:00"/>
        <d v="2025-07-03T00:00:00"/>
        <d v="2025-07-05T00:00:00"/>
        <d v="2025-07-08T00:00:00"/>
        <d v="2025-07-09T00:00:00"/>
        <d v="2025-07-10T00:00:00"/>
        <d v="2025-07-11T00:00:00"/>
        <d v="2025-07-12T00:00:00"/>
        <d v="2025-07-15T00:00:00"/>
        <d v="2025-07-16T00:00:00"/>
        <d v="2025-07-17T00:00:00"/>
        <d v="2025-07-18T00:00:00"/>
        <d v="2025-07-19T00:00:00"/>
        <d v="2025-07-22T00:00:00"/>
        <d v="2025-07-23T00:00:00"/>
        <d v="2025-07-24T00:00:00"/>
        <d v="2025-07-25T00:00:00"/>
        <d v="2025-07-26T00:00:00"/>
        <d v="2025-07-29T00:00:00"/>
        <d v="2025-07-30T00:00:00"/>
        <d v="2025-07-31T00:00:00"/>
        <d v="2025-08-01T00:00:00"/>
        <d v="2025-08-02T00:00:00"/>
        <d v="2025-08-05T00:00:00"/>
        <d v="2025-08-06T00:00:00"/>
        <d v="2025-08-07T00:00:00"/>
        <d v="2025-08-08T00:00:00"/>
        <d v="2025-08-09T00:00:00"/>
        <d v="2025-08-12T00:00:00"/>
        <d v="2025-08-13T00:00:00"/>
        <d v="2025-08-14T00:00:00"/>
        <d v="2025-08-15T00:00:00"/>
        <d v="2025-08-16T00:00:00"/>
        <d v="2025-08-19T00:00:00"/>
        <d v="2025-08-20T00:00:00"/>
        <d v="2025-08-21T00:00:00"/>
        <d v="2025-08-22T00:00:00"/>
        <d v="2025-08-23T00:00:00"/>
        <d v="2025-08-26T00:00:00"/>
        <d v="2025-08-27T00:00:00"/>
        <d v="2025-08-28T00:00:00"/>
        <d v="2025-08-29T00:00:00"/>
        <d v="2025-08-30T00:00:00"/>
        <d v="2025-09-02T00:00:00"/>
        <d v="2025-09-03T00:00:00"/>
        <d v="2025-09-04T00:00:00"/>
        <d v="2025-09-05T00:00:00"/>
        <d v="2025-09-06T00:00:00"/>
        <d v="2025-09-09T00:00:00"/>
        <d v="2025-09-10T00:00:00"/>
        <d v="2025-09-11T00:00:00"/>
        <d v="2025-09-12T00:00:00"/>
        <d v="2025-09-13T00:00:00"/>
        <d v="2025-09-16T00:00:00"/>
        <d v="2025-09-17T00:00:00"/>
        <d v="2025-09-18T00:00:00"/>
        <d v="2025-09-19T00:00:00"/>
        <d v="2025-09-20T00:00:00"/>
        <d v="2025-09-23T00:00:00"/>
        <d v="2025-09-24T00:00:00"/>
        <d v="2025-09-25T00:00:00"/>
        <d v="2025-09-26T00:00:00"/>
        <d v="2025-09-27T00:00:00"/>
        <d v="2025-09-30T00:00:00"/>
        <d v="2025-10-01T00:00:00"/>
        <d v="2025-10-02T00:00:00"/>
        <d v="2025-10-03T00:00:00"/>
        <d v="2025-10-04T00:00:00"/>
        <d v="2025-10-07T00:00:00"/>
        <d v="2025-10-08T00:00:00"/>
        <d v="2025-10-09T00:00:00"/>
        <d v="2025-10-10T00:00:00"/>
        <d v="2025-10-11T00:00:00"/>
        <d v="2025-10-14T00:00:00"/>
        <d v="2025-10-15T00:00:00"/>
        <d v="2025-10-16T00:00:00"/>
        <d v="2025-10-17T00:00:00"/>
        <d v="2025-10-18T00:00:00"/>
        <d v="2025-10-21T00:00:00"/>
        <d v="2025-10-22T00:00:00"/>
        <d v="2025-10-23T00:00:00"/>
        <d v="2025-10-24T00:00:00"/>
        <d v="2025-10-25T00:00:00"/>
        <d v="2025-10-28T00:00:00"/>
        <d v="2025-10-29T00:00:00"/>
        <d v="2025-10-30T00:00:00"/>
        <d v="2025-10-31T00:00:00"/>
        <d v="2025-11-01T00:00:00"/>
        <d v="2025-11-04T00:00:00"/>
        <d v="2025-11-05T00:00:00"/>
        <d v="2025-11-06T00:00:00"/>
        <d v="2025-11-07T00:00:00"/>
        <d v="2025-11-08T00:00:00"/>
        <d v="2025-11-11T00:00:00"/>
        <d v="2025-11-12T00:00:00"/>
        <d v="2025-11-13T00:00:00"/>
        <d v="2025-11-15T00:00:00"/>
        <d v="2025-11-18T00:00:00"/>
        <d v="2025-11-19T00:00:00"/>
        <d v="2025-11-20T00:00:00"/>
        <d v="2025-11-22T00:00:00"/>
        <d v="2025-11-25T00:00:00"/>
        <d v="2025-11-26T00:00:00"/>
        <d v="2025-11-27T00:00:00"/>
        <d v="2025-11-28T00:00:00"/>
        <d v="2025-11-29T00:00:00"/>
        <d v="2025-12-02T00:00:00"/>
        <d v="2025-12-04T00:00:00"/>
        <d v="2025-12-06T00:00:00"/>
        <d v="2025-12-09T00:00:00"/>
        <d v="2025-12-10T00:00:00"/>
        <d v="2025-12-11T00:00:00"/>
        <d v="2025-12-12T00:00:00"/>
        <m/>
      </sharedItems>
    </cacheField>
    <cacheField name="Gerente" numFmtId="0">
      <sharedItems containsBlank="1" count="40">
        <s v="ADMINISTRAÇÃO"/>
        <s v="CELIO PIMENTA"/>
        <s v="MARCOS SOUZA"/>
        <s v="MARCUS VINICIUS "/>
        <s v="NOELI SALETE"/>
        <s v="POENATELA"/>
        <s v="RAFAEL PARISE"/>
        <s v="WHELKYA IRIS"/>
        <s v="GRUPO OTTO"/>
        <s v="PRISCILA METZ"/>
        <s v="ROGERIO "/>
        <s v="DIOGO AZEVEDO"/>
        <s v="PROSPECTAR"/>
        <s v="ANDERSON FRAGA"/>
        <s v="NELSON"/>
        <s v="EDUARDO MATOSO"/>
        <s v="SACADO"/>
        <s v="MARCIO LEONEL"/>
        <s v="SEM GERENTE"/>
        <s v="JOSE ROBERTO"/>
        <s v="LIBER"/>
        <s v="CAIO"/>
        <s v="FITZ"/>
        <s v="NATALIA NUBIA"/>
        <s v="NOELI SALETE "/>
        <s v="ANTONIO CARLOS"/>
        <s v="ANTECIPA"/>
        <s v="ALISSON DE SOUZA LIMA"/>
        <s v="PROSPER"/>
        <s v="DALVA"/>
        <s v="ANDRE CUNHA"/>
        <s v="TIAGO NEVES"/>
        <s v="WASHINGTON"/>
        <s v="FERNANDO ABRAS"/>
        <s v="CREDTEM"/>
        <s v="VALERIA"/>
        <s v="JJPH"/>
        <s v="STELLA PURRI BRANT"/>
        <s v="DAVI"/>
        <m/>
      </sharedItems>
    </cacheField>
    <cacheField name="Mês e Ano" numFmtId="0">
      <sharedItems containsBlank="1"/>
    </cacheField>
    <cacheField name="Semana" numFmtId="0">
      <sharedItems containsString="0" containsBlank="1" containsNumber="1" containsInteger="1" minValue="1" maxValue="53" count="50"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1"/>
        <n v="2"/>
        <n v="3"/>
        <n v="4"/>
        <n v="5"/>
        <n v="6"/>
        <n v="7"/>
        <n v="12"/>
        <n v="13"/>
        <n v="14"/>
        <n v="15"/>
        <n v="16"/>
        <n v="17"/>
        <n v="18"/>
        <n v="19"/>
        <n v="20"/>
        <n v="21"/>
        <n v="22"/>
        <n v="26"/>
        <n v="23"/>
        <n v="24"/>
        <n v="25"/>
        <n v="27"/>
        <n v="28"/>
        <n v="29"/>
        <n v="30"/>
        <n v="31"/>
        <n v="32"/>
        <n v="33"/>
        <n v="34"/>
        <n v="35"/>
        <m/>
      </sharedItems>
    </cacheField>
    <cacheField name="Gerente'" numFmtId="0">
      <sharedItems containsBlank="1"/>
    </cacheField>
    <cacheField name="Cedente" numFmtId="0">
      <sharedItems containsBlank="1" count="321">
        <s v="ACQUION FOODTECH S/A"/>
        <s v="BOM PASTOR PAPEIS LTDA"/>
        <s v="IMPORTEXTIL COMERCIO DE TECIDOS LTDA"/>
        <s v="MBIOLOG DIAGNOSTICOS LTDA"/>
        <s v="WJ CALDEIRARIA INDUSTRIA E COMERCIO LTDA ME"/>
        <s v="BETMIX CONCRETO LTDA"/>
        <s v="ARCA CONSTRUCOES E INCORPORACOES LTDA"/>
        <s v="COM IND DE CEREAIS E TRANSPORTES MACIEL LTDA"/>
        <s v="BIOLIFE HEALTH IMPORTACAO E DISTRIBUICAO DE PRODUT"/>
        <s v="MASTERVET COMERCIO DE PRODUTOS AGROPECUARIOS LTDA"/>
        <s v="RODOBOX TRANSPORTES E ARMAZENAGEM DE CARGAS LTDA"/>
        <s v="MEIO OESTE PAPEIS LTDA ME"/>
        <s v="TRANSNECHER COMERCIO TRANSPORTES E EMPREENDIMENTOS"/>
        <s v="CERVEJARIA SOUZA LTDA"/>
        <s v="GREEN FARMING FAZENDAS RENOVAVEIS LTDA"/>
        <s v="UBERTEC SERVICE USINAGEM LTDA EPP"/>
        <s v="CONSULOC ENGENHARIA LTDA EPP"/>
        <s v="DIVINA INDUSTRIA DE COURO LTDA"/>
        <s v="MEK SOL FUNDACOES E SERVICOS GEOTECNICOS LTDA EPP"/>
        <s v="PLURIFORME INDUSTRIA E COMERCIO DE UNIFORMES LTDA"/>
        <s v="SUPER HARD TECNOLOGIA EM TRATAMENTO DE SUPERFICIES"/>
        <s v="ESSENZA INDUSTRIA QUIMICA LTDA"/>
        <s v="MUTCD CENTRO DISTRIBUICAO IND FABRICANTE COSMETICO"/>
        <s v="COLIBRI IND MEDIC SUPLEMENTOS PARA PECUARIA VETERI"/>
        <s v="DECISION DESENVOLVIMENTO DE SISTEMAS LTDA"/>
        <s v="RPT SOLUCOES AMBIENTAIS LTDA"/>
        <s v="ECOPINUS INDUSTRIA E COMERCIO DE EMBALAGENS DE MAD"/>
        <s v="MAPE TRATAMENTO DE RESIDUOS LTDA"/>
        <s v="VIC LOGISTICA LTDA EM RECUPERACAO JUDICIAL"/>
        <s v="INDUSTRIA E CERVEJARIA ARTESANAL DE MINAS GERAIS L"/>
        <s v="ALEXANDRE ROSA VICENTE E SERVICOS LTDA ME"/>
        <s v="HERBAMED LABORATORIO NUTRACEUTICO LTDA"/>
        <s v="EVOLUTION MACHINES LTDA ME"/>
        <s v="AMP INDUSTRIA E COMERCIO DE CONDUTORES LTDA"/>
        <s v="SIAP COMERCIO DE PRODUTOS AGROPECUARIOS LTDA"/>
        <s v="VALENTE PRODUCOES LTDA ME"/>
        <s v="DISPA DISTRIBUIDORA SAO PAULO LTDA ME"/>
        <s v="ARTECAL ELETROCENTROS S/A"/>
        <s v="ISOBASE POLIESTIRENO LTDA EPP"/>
        <s v="COOPERATIVA TRANSP AUTON CARGAS PASSAG SERVICOS LO"/>
        <s v="ESPECIALI INDUSTRIA DE ALIMENTOS LTDA ME"/>
        <s v="PREMOLDADOS MATOSINHOS LTDA EPP"/>
        <s v="VIVAN TRANSPORTES LTDA"/>
        <s v="MINAS ALIMENTOS E FRUTAS SECAS LTDA EPP"/>
        <s v="TRANSHENRY TRANSPORTES LTDA"/>
        <s v="FARINELLI NUTRIMENTOS LTDA"/>
        <s v="NOVA DISTRIBUIDORA E ATACADO DE LIMPEZA LTDA"/>
        <s v="UNITA AUTO PECAS LTDA EPP"/>
        <s v="BIBE PRODUTOS INFANTIS LTDA"/>
        <s v="STONE ENGENHARIA E MONTAGENS INDUSTRIAIS LTDA"/>
        <s v="PHOENIX LOG TRANSPORTES LTDA EPP"/>
        <s v="ENXOVAIS MINAS LTDA ME"/>
        <s v="MG CONSULT DIST LTDA EPP"/>
        <s v="MOLAS ANEL POSTO DE TROCA LTDA EPP"/>
        <s v="XEQUE MATE BEBIDAS LTDA ME"/>
        <s v="JR X IMPORT LTDA EPP"/>
        <s v="PALMILHADO INDUSTRIA E COMERCIO LTDA"/>
        <s v="RODOANEL REFORMADORA DE IMPLEMENTOS RODOVIARIOS LT"/>
        <s v="HT SERVICOS DE TRANSPORTE E LOCACAO LTDA"/>
        <s v="MAIS DISTRIBUIDORA LTDA"/>
        <s v="DINAMICA COM FERRAMENTAS EQUIPAMENTOS PROTECAO IND"/>
        <s v="CONQUISTA INDUSTRIA DE MOVEIS S/A"/>
        <s v="VLF IMPERIAL LATICINIOS LTDA ME"/>
        <s v="ALLIAGE S A INDUSTRIAS MEDICO ODONTOLOGICA"/>
        <s v="PREMIUMGRAF SERVICOS GRAFICOS LTDA ME"/>
        <s v="VALADRES DIESEL LTDA EM RECUPERACAO JUDICIAL"/>
        <s v="JMS EMBALAGENS INDUSTRIAIS LTDA"/>
        <s v="MONTAGEM MINAS GERAIS LTDA ME"/>
        <s v="ALBERTO H DA SILVA ME"/>
        <s v="BOM PASTOR PAPEIS LTDA EM RECUPERACAO JUDICIAL"/>
        <s v="MEDICAL PRIME IMP EXPORT DISTRIB PRODUTOS MEDICOS"/>
        <s v="OLINDA IMPORTACAO E COMERCIO LTDA"/>
        <s v="UNIVERSO INOX INDUSTRIA E COMERCIO LTDA EPP"/>
        <s v="JF GOLD DISTRIBUIDORA LTDA EPP"/>
        <s v="ALPS FOMENTO MERCANTIL LTDA"/>
        <s v="POOLMAK SISTEMAS ESTRUTURAIS LTDA"/>
        <s v="RECICOLOGY INDUSTRIA E COMERCIO DE PRODUTOS RECICL"/>
        <s v="MOINHO DE TRIGO JM LTDA"/>
        <s v="REI DO MILHO ATACADISTA E VAREJISTA LTDA ME"/>
        <s v="PRIVILEGIO CONFECCOES CAMA MESA E BANHO LTDA EPP"/>
        <s v="PARTNER SECURITY SERVICOS DE SEGURANCA LTDA"/>
        <s v="RIMAG COMERCIO ATACADISTA DE ALIMENTOS IMPORTACAO"/>
        <s v="SGAMAQ INOVACAO AGROINDUSTRIAL LTDA"/>
        <s v="37 054 821 LARISSA GONTIJO AZEVEDO ME"/>
        <s v="OXIGAS RESIDUOS ESPECIAIS LTDA EPP"/>
        <s v="ESCUDO ADMINISTRACAO E SERVICOS LTDA EM RECUPERACA"/>
        <s v="ESCUDO VIGILANCIA E SEGURANCA LTDA EM RECUPERACAO"/>
        <s v="MORIA PRESTACAO DE SERVICOS LTDA ME"/>
        <s v="TOUROS IMPLEMENTOS LTDA ME"/>
        <s v="PROSPER MINERACAO S/A"/>
        <s v="STA SERVICOS LTDA"/>
        <s v="LUCCI ILUMINACAO LTDA EPP"/>
        <s v="DETRONIC ENERGIA E SERVICOS LTDA"/>
        <s v="MAAT COMERCIO DE VESTUARIO LTDA EPP"/>
        <s v="GLOBAL ACO SERVICOS E PRODUTOS SIDERURGICOS LTDA E"/>
        <s v="SAVIXX COMERCIO INTERNACIONAL S/A"/>
        <s v="EDUARDO LUIZ SILVA DA LUZ ME"/>
        <s v="VALADARES DIESEL LTDA EM RECUPERACAO JUDICIAL"/>
        <s v="COMGROUP AGROINDUSTRIAL LTDA"/>
        <s v="EXPRESSO PAV CONSTRUCOES E SERVICOS LTDA ME"/>
        <s v="AGROINDUSTRIA FRUTAS JARDINS LTDA"/>
        <s v="RESERVA TRADE LTDA ME"/>
        <s v="JFIX INDUSTRIA QUIMICA LTDA ME"/>
        <s v="LIZZENA COSMETICOS LTDA EPP"/>
        <s v="LABOR ELETRIC INDUSTRIA E COMERCIO UNIPESSOAL LTDA"/>
        <s v="ENCADESP LTDA ME"/>
        <s v="SIQUEIRA E GAIPO INDUSTRIA E MATERIAIS ESPORTIVOS"/>
        <s v="GRF JEANS WEAR LTDA ME"/>
        <s v="REAL ESTRUTURAS E CONSTRUCOES LTDA"/>
        <s v="FRANZAO COLCHOES LTDA EPP"/>
        <s v="MARCAS COMERCIO LTDA ME"/>
        <s v="CALDEM CONSTRUCOES MECANICAS LTDA EPP"/>
        <s v="BIO HEALTH COLCHOES LTDA EPP"/>
        <s v="OFFICER INDUSTRIA QUIMICA LTDA EPP"/>
        <s v="AGRO INDUSTRIAL LAZZERI LTDA"/>
        <s v="ELFRIG FRIGORIFICO ELDORADO LTDA ME"/>
        <s v="SAFRA OURO AGRONEGOCIOS LTDA EPP"/>
        <s v="FRUIT INDUSTRIA E COMERCIO LTDA ME"/>
        <s v="CIA TEXTIL LTDA ME"/>
        <s v="ALPLAST ATACADISTA E APOIO ADMINISTRATIVO LTDA EPP"/>
        <s v="GEDIBOR RUBBER POLYURETHANE LTDA EPP"/>
        <s v="TDR TRANSPORTES LOGISTICA LTDA"/>
        <s v="GRF JEANS WEAR LTDA EPP"/>
        <s v="FARBIA CHEMICALS COMERCIO IMPORTACAO E EXPORTACAO"/>
        <s v="PARTNER SOLUCOES EMPRESARIAIS LTDA ME"/>
        <s v="GLOBAL ACO SERV PRODUTOS SIDERURGICOS LTDA RECUPER"/>
        <s v="ORTHOSIDE INDUSTRIA E COMERCIO LTDA EPP"/>
        <s v="M TRATORES LTDA EPP"/>
        <s v="FRUTAS JARDINS LTDA"/>
        <s v="FUNDACAO DE ENSINO E PESQUISA DO SUL DE MINAS FEPE"/>
        <s v="INDUSTRIA E COMERCIO DE CHURRASQUEIRAS BOM JESUS L"/>
        <s v="COMERCIAL GODINHO FERREIRA LTDA"/>
        <s v="P P DISTRIBUIDORA LTDA"/>
        <s v="LIDER COMERCIO DE UNIFORMES E EPI S LTDA ME"/>
        <s v="USIPARTS COMERCIO DE PECAS PARA USINAS LTDA ME"/>
        <s v="D M RODRIGUES LTDA ME"/>
        <s v="BEIJA FLOR COMERCIO DE TINTAS LTDA"/>
        <s v="TREGA FILHOS EMPACOTAMENTO E DISTRIBUICAO LTDA ME"/>
        <s v="MAIS LAR ENGENHARIA LTDA"/>
        <s v="ORNELAS RESENDE TORRES TRANSPORTE E LOGISTICA LTDA"/>
        <s v="METAL STAMP INDUSTRIA E COMERCIO LTDA"/>
        <s v="QUALITY PACK INDUSTRIA E COMERCIO LTDA ME"/>
        <s v="JABEZ SERVICOS COMPARTILHADOS LTDA ME"/>
        <s v="MINAS CLEAN DISTRIBUIDORA DE PRODUTOS PARA LIMPEZA"/>
        <s v="KUARA COMERCIAL E EXPORTADORA DE FRUTAS LTDA"/>
        <s v="CNM CHICOTES ELETRICOS LTDA EPP"/>
        <s v="A C ESPORTES S A F"/>
        <s v="ABN CONSULTORIA E PROJETOS LTDA EPP"/>
        <s v="CF COMEX IMPORTACAO EQUIPAMENTOS E SERVICOS LTDA"/>
        <s v="ACO X LTDA ME"/>
        <s v="VGS COMERCIO DE EMBALAGENS DE MADEIRAS LTDA ME"/>
        <s v="TORQUE FERRAMENTAS LTDA ME"/>
        <s v="S A COMERCIO E INDUSTRIA DE CALCADOS LTDA ME"/>
        <s v="SH METALIZACOES LTDA EPP"/>
        <s v="ORNELAS TRANSPORTE E LOGISTICA LTDA"/>
        <s v="ELO TELECOMUNICACOES E CONSTRUCOES S/A"/>
        <s v="ALTAG NEGOCIOS AGRICOLAS LTDA"/>
        <s v="GRAFICA ROMANA LTDA ME"/>
        <s v="JUATUBA MOVEIS E EMBALAGENS LTDA"/>
        <s v="TERRAPLAST INDUSTRIA E COMERCIO DE EQUIPAMENTOS DE"/>
        <s v="FUMEF FUNDICAO E MECANICA DE FERROS LTDA"/>
        <s v="NUTRIENS FERTIL LTDA ME"/>
        <s v="ONFARM BRASIL LTDA ME"/>
        <s v="PARANAIBA FERTILIZANTES IND E COM LTDA EM RECUPERA"/>
        <s v="IVA LOCACOES E CONSTRUCOES LTDA EPP"/>
        <s v="RENOVAR AGRICOLA LTDA"/>
        <s v="DIOTTONI INDUSTRIA E COMERCIO DE ALIMENTOS LTDA ME"/>
        <s v="MAPP COM IMPORTACAO EXPORTACAO IND PRODUTOS ALIMEN"/>
        <s v="A 8 ENGENHARIA LTDA ME"/>
        <s v="REAL FILTROS E ACESSORIOS AUTOMOTIVOS LTDA EPP"/>
        <s v="GOIARTE SOLUCOES CONSTRUTIVAS EM CONCRETO LTDA"/>
        <s v="SMARTCENTER SOLUCOES INTELIGENTES LTDA ME"/>
        <s v="SMARTCENTERGROUP COMERCIO DE EQUIPAMENTOS DE INFOR"/>
        <s v="MUNDO AGRO COMERCIO E DISTRIBUICAO DE CALCADOS LTD"/>
        <s v="REAL FILTROS E ACESSORIOS AUTOMOTIVOS LTDA"/>
        <s v="AZ HIDRAULICA USINAGEM LTDA EPP"/>
        <s v="MUTCD CENTRO DE DISTRIBUICAO DE IND FABRICANTE DE"/>
        <s v="RODOVIEIRA TRANSPORTE LTDA"/>
        <s v="SAFRA AGRICOLA E PECUARIA LTDA EPP"/>
        <s v="PRODUTOS PORTEIRAO COM DIST E REP LTDA EPP"/>
        <s v="CARGA EQUIPAMENTOS RODOVIARIOS LTDA ME"/>
        <s v="JANE FIGUEIRA CONFECCOES LTDA ME"/>
        <s v="IBFX COMERCIO IMPORTACAO E EXPORTACAO LTDA EPP"/>
        <s v="CLAUDINEA GOMES DA SILVA VIANA 04007455694"/>
        <s v="SUPREMO PLASTICOS LTDA ME"/>
        <s v="ACO COELHO INDUSTRIA E COMERCIO DE MOVEIS LTDA EPP"/>
        <s v="OLIVEIRA E SILVA COMERCIO DE MADEIRAS E EMBALAGENS"/>
        <s v="SEU TRATOR LTDA EPP"/>
        <s v="PLATINUM INDUSTRIA DE CONFECCOES LTDA"/>
        <s v="SOCIAL S/A"/>
        <s v="APOLO DISTRIBUIDORA LTDA"/>
        <s v="ENGREMAT ENG PROJETO MANUTENCAO INSPECAO MONTAGENS"/>
        <s v="CONSTRUENGE ENGENHARIA E GERENCIAMENTO LTDA"/>
        <s v="ANDRADE ELETRO TECNICA LTDA EPP"/>
        <s v="CONQUISTA INDUSTRIA DE MOVEIS S A EM RECUPERACAO J"/>
        <s v="METALCROMO METALIZACAO E CROMO DURO INDUSTRIAL LTD"/>
        <s v="TRANSPORTES TRANS BERTIN LTDA"/>
        <s v="MECALD MECANICA E CALDEIRARIA LTDA EPP"/>
        <s v="REAL DISTRIBUIDORA DE PRODUTOS PARA MARMORARIA LTD"/>
        <s v="BEECORP BEM ESTAR CORPORATIVO LTDA ME"/>
        <s v="ALPHA DISTRIBUIDORA DE PECAS LTDA ME"/>
        <s v="TP DISTRIBUIDORA DE PECAS LTDA EPP"/>
        <s v="FAC INDUSTRIA E SERVICOS LTDA ME"/>
        <s v="TUBOLARES VITORIA INDUSTRIA E COMERCIO LTDA ME"/>
        <s v="AVIAMENTOS CENTRAL LTDA ME"/>
        <s v="BIOTECH LOGISTICA LTDA"/>
        <s v="LINGERIE E CIA LTDA ME"/>
        <s v="ARTE FINAL INDUSTRIA E COMERCIO DE COURO LTDA"/>
        <s v="FILIPE AUGUSTO DO CARMO GUSMAO LTDA ME"/>
        <s v="COMERCIAL JLX DISTRIBUIDORA LTDA ME"/>
        <s v="MAIS PURA AGUA MINERAL LTDA EPP"/>
        <s v="COMERCIAL GTS INFORMATICA LTDA EPP"/>
        <s v="MUNDYSERVICE COMERCIO DE PECAS E ASSISTENCIA TECNI"/>
        <s v="STA TECHCANA LTDA"/>
        <s v="DLTX INDUSTRIA E COMERCIO LTDA EPP"/>
        <s v="CENTRAL DE SUPRIMENTOS INDUSTRIAIS LTDA EPP"/>
        <s v="LTA USINAGEM LTDA EPP"/>
        <s v="GLOBALMAX INDUSTRIA PLASTICA S/A"/>
        <s v="NUTRIBEM SAL E RACOES LTDA"/>
        <s v="SAFRA AGRICOLA E PECUARIA LTDA"/>
        <s v="C V T O IND E COM LTDA EPP"/>
        <s v="REFRACONT BRASIL LTDA"/>
        <s v="FRAITECH INTELIGENCIA EM AUTOMACAO LTDA"/>
        <s v="CENTRAL DO M R O COMERCIAL IMPORTACOES E SERVICOS"/>
        <s v="GALLE INDUSTRIA E COMERCIO DE TINTAS E VERNIZES LT"/>
        <s v="COMERCIAL PROGRESSO LTDA EPP"/>
        <s v="BETEL UNIFORMES PROFISSIONAIS LTDA ME"/>
        <s v="LAF COMERCIAL LTDA ME"/>
        <s v="TERRA PECAS GENUINAS LTDA EPP"/>
        <s v="PRADO MOREIRA TEXTIL LTDA ME"/>
        <s v="REVPACK TECNOLOGIA E COMERCIO DE COMPONENTES PLAST"/>
        <s v="ANGIOMEDIC COMERCIO DE MATERIAL MEDICO HOSPITALAR"/>
        <s v="GAMA COMERCIO E TRANSPORTES LTDA EPP"/>
        <s v="MINASPOL INDUSTRIA E COMERCIO DE COMPOSTOS POLIMER"/>
        <s v="LINDINALDO ANISIO DA SILVA ME"/>
        <s v="LOTUS DESENVOLVIMENTO IMOBILIARIO LTDA"/>
        <s v="PROMEL IND COM IMP E EXP DE PRODS NATURAIS LTDA"/>
        <s v="GRAFICA JSA LTDA EPP"/>
        <s v="AUTOMOTIV DO BRASIL INDUSTRIAL LTDA"/>
        <s v="ITAQUAFER FERRAMENTAS LTDA ME"/>
        <s v="JSA INDUSTRIA DE COSMETICOS LTDA EPP"/>
        <s v="METALAB COMERCIO E INDUSTRIA FARMACEUTICA LTDA ME"/>
        <s v="NOVA CALDERARIA MONTAGEM LTDA EPP"/>
        <s v="CALDAS SEG INDUSTRIA E COMERCIO DE EPI S LTDA"/>
        <s v="3J FUNDICAO INDUSTRIAL LTDA"/>
        <s v="RB DISTRIBUIDORA DE PRODUTOS DE HIGIENE LTDA"/>
        <s v="SAGESSE INDUSTRIAL TEXTIL LTDA EPP"/>
        <s v="TRATOR GLASS LTDA ME"/>
        <s v="SENSORVIX INTELIGENCIA EM AUTOMACAO LTDA ME"/>
        <s v="SAGATEC LTDA"/>
        <s v="DESTAK DISTRIBUIDORA PRODUTOS EQUIPAMENTOS HOSPITA"/>
        <s v="HBEAUTY COSMETICOS LTDA ME"/>
        <s v="A2 VIDROS INDUSTRIA E COMERCIO LTDA"/>
        <s v="COMERCIAL SEGURANCA LTDA ME"/>
        <s v="SKY JEANS LTDA ME"/>
        <s v="W M DE CASTRO NETO PRODUTOS FARMACEUTICOS EPP"/>
        <s v="JRG SOLUCOES INDUSTRIAIS LTDA"/>
        <s v="TRANSPORTADORA PACHECO LTDA EPP"/>
        <s v="AUTO VIDROS MG INDUSTRIA E COMERCIO LTDA"/>
        <s v="E DE P BATISTA DISTRIBUIDORA ME"/>
        <s v="MG GLASS VIDROS PARA TRATORES E CAMINHOES LTDA ME"/>
        <s v="ZAMARIAM MENEGAZZO LTDA ME"/>
        <s v="DIFARMIG LTDA"/>
        <s v="FRUTABELLA INDUSTRIA E COMERCIO DE ALIMENTOS LTDA"/>
        <s v="MINAS MIX INDUSTRIA E COMERCIO DE PRODUTOS ALIMENT"/>
        <s v="BH BRITADORES LTDA EPP"/>
        <s v="SIGGA LOGISTICA LTDA"/>
        <s v="ARTECAL ELETROCENTROS SERVICOS E SOLUCOES LTDA EPP"/>
        <s v="CALDENAS MONTAGEM DE CALDEIRARIA E SOLDAS LTDA"/>
        <s v="IMPORTEXTIL ASSESSORIA EMPRESARIAL LTDA"/>
        <s v="C A M DIAS SOARES LTDA EPP"/>
        <s v="MILK LAT LTDA EPP"/>
        <s v="SAGESSE TEXTIL LTDA EPP"/>
        <s v="AGROEP PISCICULTURA LTDA ME"/>
        <s v="NCBA INTERMEDIACAO LTDA ME"/>
        <s v="LEFORM PLANEJADOS LTDA ME"/>
        <s v="DISEP ALIMENTOS LTDA ME"/>
        <s v="LIDER DISTRIBUIDORA DE MOVEIS E EQUIPAMENTOS PARA"/>
        <s v="PRIVILEGIO CONFECCOES LTDA ME"/>
        <s v="CENTROAIDAR INDUSTRIA E COMERCIO DE BEBIDAS LTDA"/>
        <s v="JRG SOLUCOES EM SERVICOS LTDA ME"/>
        <s v="SUPER BULL IMPORTACAO E COMERCIO DE EQUIPAMENTOS L"/>
        <s v="R P CINTRA LTDA EPP"/>
        <s v="S A COMERCIO E INDUSTRIA DE CALCADOS LTDA"/>
        <s v="ENXOVAIS PRIVILEGIO LTDA ME"/>
        <s v="LUCAS ALLA LOGISTICA LTDA"/>
        <s v="HDR ENGENHARIA E LOCACOES LTDA ME"/>
        <s v="AGUIA DE FOGO PREVENCAO DE INCENDIO LTDA EPP"/>
        <s v="SINERGIKA INDUSTRIA DE ALIMENTOS LTDA"/>
        <s v="VIC LOGISTICA LTDA"/>
        <s v="SABORES DO TRIANGULO LTDA EPP"/>
        <s v="COMERCIAL COMAG LTDA"/>
        <s v="AGUIA LIDER TRANSPORTE RODOVIARIO LTDA EPP"/>
        <s v="GLOBAL PAPEIS EM RECUPERACAO JUDICIAL LTDA"/>
        <s v="FRIGORIFICO BRAZFRIG INDUSTRIA E IMPORTACAO LTDA E"/>
        <s v="BIORGANICA PRODUTOS ORGANICOS LTDA"/>
        <s v="CONFIARE ADMINISTRADORA LTDA EPP"/>
        <s v="SR LIMA PAPEIS FINOS EM RECUPERACAO JUDICIAL LTDA"/>
        <s v="MN GLOBAL MARKETING LTDA"/>
        <s v="DUOPLASTIC INDUSTRIA DE MOVEIS LTDA ME"/>
        <s v="ESPECIALI INDUSTRIA DE ALIMENTOS S/A"/>
        <s v="TEXTIL CLUB ACADEMY LTDA EPP"/>
        <s v="NITROTEX INDUSTRIA E COMERCIO TEXTEIS LTDA ME"/>
        <s v="AUTO VIDROS MG LTDA"/>
        <s v="HIDROCARBONETOS IMPORT LTDA"/>
        <s v="DENTAL FREE MATERIAIS E SOLUCOES ODONTOLOGICAS LTD"/>
        <s v="PRP TRANSPORTES SERVICOS E LOCACAO DE MAQUINAS LTD"/>
        <s v="CONFIARE TERCERIZACAO LTDA EPP"/>
        <s v="GEOTHRA GEOLOGIA GEOTECNIA LTDA EPP"/>
        <s v="FERA DO ACO INDUSTRIA E COMERCIO LTDA EPP"/>
        <s v="LIDER MIX CONCRETOS E AGREGADOS LTDA"/>
        <s v="CONFIARE ADMINISTRACAO E SERVICOS LTDA ME"/>
        <s v="MORAES TRANSPORTES RODOVIARIOS DE CARGAS LTDA"/>
        <s v="AMERICA MASTER COMERCIO LTDA ME"/>
        <s v="TERROIR DO SAO FRANCISCO COMERCIO E INDUSTRIA DE V"/>
        <s v="PETRA AGRONEGOCIO LTDA"/>
        <s v="INFINITY COMERCIO ATACADISTA DE EQUIPAMENTOS LTDA"/>
        <s v="ELETRICA DANUBIO INDUSTRIA E COMERCIO DE MATERIAIS"/>
        <s v="MENEGAZZO COMERCIO ATACADISTA DE TINTAS LTDA ME"/>
        <s v="FHIORUK INDUSTRIA DE CALCADOS LTDA EM RECUPERACAO"/>
        <m/>
      </sharedItems>
    </cacheField>
    <cacheField name="EXCLUSÕES" numFmtId="0">
      <sharedItems containsString="0" containsBlank="1" containsNumber="1" containsInteger="1" minValue="0" maxValue="1"/>
    </cacheField>
    <cacheField name="INCLUSÕES" numFmtId="0">
      <sharedItems containsString="0" containsBlank="1" containsNumber="1" containsInteger="1" minValue="0" maxValue="1"/>
    </cacheField>
    <cacheField name="Saldo" numFmtId="0" formula="INCLUSÕES-EXCLUSÕES" databaseField="0"/>
  </cacheFields>
  <extLst>
    <ext xmlns:x14="http://schemas.microsoft.com/office/spreadsheetml/2009/9/main" uri="{725AE2AE-9491-48be-B2B4-4EB974FC3084}">
      <x14:pivotCacheDefinition pivotCacheId="642120133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525">
  <r>
    <s v="045.674.938/0001-25"/>
    <x v="0"/>
    <s v="INCLUSAO  ANOT.INADIMPLENCIA"/>
    <x v="0"/>
    <x v="0"/>
    <s v="2024-09"/>
    <x v="0"/>
    <s v="ADMINISTRAÇÃO"/>
    <x v="0"/>
    <n v="0"/>
    <n v="1"/>
  </r>
  <r>
    <s v="016.772.642/0001-49"/>
    <x v="1"/>
    <s v="INCLUSAO  ANOT.INADIMPLENCIA"/>
    <x v="0"/>
    <x v="0"/>
    <s v="2024-09"/>
    <x v="0"/>
    <s v="ADMINISTRAÇÃO"/>
    <x v="1"/>
    <n v="0"/>
    <n v="1"/>
  </r>
  <r>
    <s v="020.066.300/0001-80"/>
    <x v="2"/>
    <s v="INCLUSAO  ANOT.INADIMPLENCIA"/>
    <x v="0"/>
    <x v="1"/>
    <s v="2024-09"/>
    <x v="0"/>
    <s v="CELIO PIMENTA"/>
    <x v="2"/>
    <n v="0"/>
    <n v="1"/>
  </r>
  <r>
    <s v="003.590.360/0001-89"/>
    <x v="3"/>
    <s v="INCLUSAO  ANOT.INADIMPLENCIA"/>
    <x v="0"/>
    <x v="1"/>
    <s v="2024-09"/>
    <x v="0"/>
    <s v="CELIO PIMENTA"/>
    <x v="3"/>
    <n v="0"/>
    <n v="1"/>
  </r>
  <r>
    <s v="003.590.360/0001-90"/>
    <x v="3"/>
    <s v="EXCLUSAO  ANOT.INADIMPLENCIA"/>
    <x v="0"/>
    <x v="1"/>
    <s v="2024-09"/>
    <x v="0"/>
    <s v="CELIO PIMENTA"/>
    <x v="3"/>
    <n v="1"/>
    <n v="0"/>
  </r>
  <r>
    <s v="012.520.791/0001-60"/>
    <x v="4"/>
    <s v="INCLUSAO  ANOT.INADIMPLENCIA"/>
    <x v="0"/>
    <x v="1"/>
    <s v="2024-09"/>
    <x v="0"/>
    <s v="CELIO PIMENTA"/>
    <x v="4"/>
    <n v="0"/>
    <n v="1"/>
  </r>
  <r>
    <s v="008.712.271/0001-81"/>
    <x v="5"/>
    <s v="INCLUSAO  ANOT.INADIMPLENCIA"/>
    <x v="0"/>
    <x v="0"/>
    <s v="2024-09"/>
    <x v="0"/>
    <s v="ADMINISTRAÇÃO"/>
    <x v="5"/>
    <n v="0"/>
    <n v="1"/>
  </r>
  <r>
    <s v="008.712.271/0001-82"/>
    <x v="5"/>
    <s v="EXCLUSAO  ANOT.INADIMPLENCIA"/>
    <x v="0"/>
    <x v="0"/>
    <s v="2024-09"/>
    <x v="0"/>
    <s v="ADMINISTRAÇÃO"/>
    <x v="5"/>
    <n v="1"/>
    <n v="0"/>
  </r>
  <r>
    <s v="003.929.683/0001-54"/>
    <x v="6"/>
    <s v="INCLUSAO  ANOT.INADIMPLENCIA"/>
    <x v="0"/>
    <x v="2"/>
    <s v="2024-09"/>
    <x v="0"/>
    <s v="MARCOS SOUZA"/>
    <x v="6"/>
    <n v="0"/>
    <n v="1"/>
  </r>
  <r>
    <s v="025.825.654/0001-85"/>
    <x v="7"/>
    <s v="EXCLUSAO  ANOT.INADIMPLENCIA"/>
    <x v="0"/>
    <x v="3"/>
    <s v="2024-09"/>
    <x v="0"/>
    <s v="MARCUS VINICIUS "/>
    <x v="7"/>
    <n v="1"/>
    <n v="0"/>
  </r>
  <r>
    <s v="036.382.501/0001-27"/>
    <x v="8"/>
    <s v="INCLUSAO  ANOT.INADIMPLENCIA"/>
    <x v="0"/>
    <x v="0"/>
    <s v="2024-09"/>
    <x v="0"/>
    <s v="ADMINISTRAÇÃO"/>
    <x v="8"/>
    <n v="0"/>
    <n v="1"/>
  </r>
  <r>
    <s v="036.382.501/0001-28"/>
    <x v="8"/>
    <s v="EXCLUSAO  ANOT.INADIMPLENCIA"/>
    <x v="0"/>
    <x v="0"/>
    <s v="2024-09"/>
    <x v="0"/>
    <s v="ADMINISTRAÇÃO"/>
    <x v="8"/>
    <n v="1"/>
    <n v="0"/>
  </r>
  <r>
    <s v="010.220.445/0001-30"/>
    <x v="9"/>
    <s v="INCLUSAO  ANOT.INADIMPLENCIA"/>
    <x v="0"/>
    <x v="4"/>
    <s v="2024-09"/>
    <x v="0"/>
    <s v="NOELI SALETE"/>
    <x v="9"/>
    <n v="0"/>
    <n v="1"/>
  </r>
  <r>
    <s v="014.763.606/0001-93"/>
    <x v="10"/>
    <s v="INCLUSAO  ANOT.INADIMPLENCIA"/>
    <x v="0"/>
    <x v="4"/>
    <s v="2024-09"/>
    <x v="0"/>
    <s v="NOELI SALETE"/>
    <x v="10"/>
    <n v="0"/>
    <n v="1"/>
  </r>
  <r>
    <s v="019.709.129/0001-00"/>
    <x v="11"/>
    <s v="INCLUSAO  ANOT.INADIMPLENCIA"/>
    <x v="0"/>
    <x v="4"/>
    <s v="2024-09"/>
    <x v="0"/>
    <s v="NOELI SALETE"/>
    <x v="11"/>
    <n v="0"/>
    <n v="1"/>
  </r>
  <r>
    <s v="019.709.129/0001-01"/>
    <x v="11"/>
    <s v="EXCLUSAO  ANOT.INADIMPLENCIA"/>
    <x v="0"/>
    <x v="4"/>
    <s v="2024-09"/>
    <x v="0"/>
    <s v="NOELI SALETE"/>
    <x v="11"/>
    <n v="1"/>
    <n v="0"/>
  </r>
  <r>
    <s v="007.556.817/0001-90"/>
    <x v="12"/>
    <s v="INCLUSAO  ANOT.INADIMPLENCIA"/>
    <x v="0"/>
    <x v="4"/>
    <s v="2024-09"/>
    <x v="0"/>
    <s v="NOELI SALETE"/>
    <x v="12"/>
    <n v="0"/>
    <n v="1"/>
  </r>
  <r>
    <s v="007.556.817/0001-91"/>
    <x v="12"/>
    <s v="EXCLUSAO  ANOT.INADIMPLENCIA"/>
    <x v="0"/>
    <x v="4"/>
    <s v="2024-09"/>
    <x v="0"/>
    <s v="NOELI SALETE"/>
    <x v="12"/>
    <n v="1"/>
    <n v="0"/>
  </r>
  <r>
    <s v="012.299.369/0001-26"/>
    <x v="13"/>
    <s v="INCLUSAO  ANOT.INADIMPLENCIA"/>
    <x v="0"/>
    <x v="5"/>
    <s v="2024-09"/>
    <x v="0"/>
    <s v="POENATELA"/>
    <x v="13"/>
    <n v="0"/>
    <n v="1"/>
  </r>
  <r>
    <s v="031.509.494/0001-68"/>
    <x v="14"/>
    <s v="INCLUSAO  ANOT.INADIMPLENCIA"/>
    <x v="0"/>
    <x v="5"/>
    <s v="2024-09"/>
    <x v="0"/>
    <s v="POENATELA"/>
    <x v="14"/>
    <n v="0"/>
    <n v="1"/>
  </r>
  <r>
    <s v="013.746.252/0001-06"/>
    <x v="15"/>
    <s v="INCLUSAO  ANOT.INADIMPLENCIA"/>
    <x v="0"/>
    <x v="5"/>
    <s v="2024-09"/>
    <x v="0"/>
    <s v="POENATELA"/>
    <x v="15"/>
    <n v="0"/>
    <n v="1"/>
  </r>
  <r>
    <s v="024.083.281/0001-51"/>
    <x v="16"/>
    <s v="INCLUSAO  ANOT.INADIMPLENCIA"/>
    <x v="0"/>
    <x v="6"/>
    <s v="2024-09"/>
    <x v="0"/>
    <s v="RAFAEL PARISE"/>
    <x v="16"/>
    <n v="0"/>
    <n v="1"/>
  </r>
  <r>
    <s v="008.785.522/0001-58"/>
    <x v="17"/>
    <s v="INCLUSAO  ANOT.INADIMPLENCIA"/>
    <x v="0"/>
    <x v="7"/>
    <s v="2024-09"/>
    <x v="0"/>
    <s v="WHELKYA IRIS"/>
    <x v="17"/>
    <n v="0"/>
    <n v="1"/>
  </r>
  <r>
    <s v="007.786.648/0001-84"/>
    <x v="18"/>
    <s v="INCLUSAO  ANOT.INADIMPLENCIA"/>
    <x v="1"/>
    <x v="0"/>
    <s v="2024-09"/>
    <x v="0"/>
    <s v="ADMINISTRAÇÃO"/>
    <x v="18"/>
    <n v="0"/>
    <n v="1"/>
  </r>
  <r>
    <s v="016.772.642/0001-49"/>
    <x v="1"/>
    <s v="EXCLUSAO  ANOT.INADIMPLENCIA"/>
    <x v="1"/>
    <x v="0"/>
    <s v="2024-09"/>
    <x v="0"/>
    <s v="ADMINISTRAÇÃO"/>
    <x v="1"/>
    <n v="1"/>
    <n v="0"/>
  </r>
  <r>
    <s v="020.066.300/0001-80"/>
    <x v="2"/>
    <s v="INCLUSAO  ANOT.INADIMPLENCIA"/>
    <x v="1"/>
    <x v="1"/>
    <s v="2024-09"/>
    <x v="0"/>
    <s v="CELIO PIMENTA"/>
    <x v="2"/>
    <n v="0"/>
    <n v="1"/>
  </r>
  <r>
    <s v="015.414.962/0001-64"/>
    <x v="19"/>
    <s v="INCLUSAO  ANOT.INADIMPLENCIA"/>
    <x v="1"/>
    <x v="8"/>
    <s v="2024-09"/>
    <x v="0"/>
    <s v="GRUPO OTTO"/>
    <x v="19"/>
    <n v="0"/>
    <n v="1"/>
  </r>
  <r>
    <s v="008.712.271/0001-81"/>
    <x v="5"/>
    <s v="EXCLUSAO  ANOT.INADIMPLENCIA"/>
    <x v="1"/>
    <x v="0"/>
    <s v="2024-09"/>
    <x v="0"/>
    <s v="ADMINISTRAÇÃO"/>
    <x v="5"/>
    <n v="1"/>
    <n v="0"/>
  </r>
  <r>
    <s v="010.220.445/0001-30"/>
    <x v="9"/>
    <s v="INCLUSAO  ANOT.INADIMPLENCIA"/>
    <x v="1"/>
    <x v="4"/>
    <s v="2024-09"/>
    <x v="0"/>
    <s v="NOELI SALETE"/>
    <x v="9"/>
    <n v="0"/>
    <n v="1"/>
  </r>
  <r>
    <s v="010.220.445/0001-31"/>
    <x v="9"/>
    <s v="EXCLUSAO  ANOT.INADIMPLENCIA"/>
    <x v="1"/>
    <x v="4"/>
    <s v="2024-09"/>
    <x v="0"/>
    <s v="NOELI SALETE"/>
    <x v="9"/>
    <n v="1"/>
    <n v="0"/>
  </r>
  <r>
    <s v="014.763.606/0001-93"/>
    <x v="10"/>
    <s v="INCLUSAO  ANOT.INADIMPLENCIA"/>
    <x v="1"/>
    <x v="4"/>
    <s v="2024-09"/>
    <x v="0"/>
    <s v="NOELI SALETE"/>
    <x v="10"/>
    <n v="0"/>
    <n v="1"/>
  </r>
  <r>
    <s v="019.709.129/0001-00"/>
    <x v="11"/>
    <s v="EXCLUSAO  ANOT.INADIMPLENCIA"/>
    <x v="1"/>
    <x v="4"/>
    <s v="2024-09"/>
    <x v="0"/>
    <s v="NOELI SALETE"/>
    <x v="11"/>
    <n v="1"/>
    <n v="0"/>
  </r>
  <r>
    <s v="007.556.817/0001-90"/>
    <x v="12"/>
    <s v="EXCLUSAO  ANOT.INADIMPLENCIA"/>
    <x v="1"/>
    <x v="4"/>
    <s v="2024-09"/>
    <x v="0"/>
    <s v="NOELI SALETE"/>
    <x v="12"/>
    <n v="1"/>
    <n v="0"/>
  </r>
  <r>
    <s v="031.509.494/0001-68"/>
    <x v="14"/>
    <s v="INCLUSAO  ANOT.INADIMPLENCIA"/>
    <x v="1"/>
    <x v="5"/>
    <s v="2024-09"/>
    <x v="0"/>
    <s v="POENATELA"/>
    <x v="14"/>
    <n v="0"/>
    <n v="1"/>
  </r>
  <r>
    <s v="023.637.987/0001-55"/>
    <x v="20"/>
    <s v="EXCLUSAO  ANOT.INADIMPLENCIA"/>
    <x v="1"/>
    <x v="5"/>
    <s v="2024-09"/>
    <x v="0"/>
    <s v="POENATELA"/>
    <x v="20"/>
    <n v="1"/>
    <n v="0"/>
  </r>
  <r>
    <s v="023.605.544/0001-82"/>
    <x v="21"/>
    <s v="INCLUSAO  ANOT.INADIMPLENCIA"/>
    <x v="1"/>
    <x v="9"/>
    <s v="2024-09"/>
    <x v="0"/>
    <s v="PRISCILA METZ"/>
    <x v="21"/>
    <n v="0"/>
    <n v="1"/>
  </r>
  <r>
    <s v="024.083.281/0001-51"/>
    <x v="16"/>
    <s v="INCLUSAO  ANOT.INADIMPLENCIA"/>
    <x v="1"/>
    <x v="6"/>
    <s v="2024-09"/>
    <x v="0"/>
    <s v="RAFAEL PARISE"/>
    <x v="16"/>
    <n v="0"/>
    <n v="1"/>
  </r>
  <r>
    <s v="043.515.558/0001-12"/>
    <x v="22"/>
    <s v="EXCLUSAO  ANOT.INADIMPLENCIA"/>
    <x v="1"/>
    <x v="10"/>
    <s v="2024-09"/>
    <x v="0"/>
    <s v="ROGERIO "/>
    <x v="22"/>
    <n v="1"/>
    <n v="0"/>
  </r>
  <r>
    <s v="008.785.522/0001-58"/>
    <x v="17"/>
    <s v="INCLUSAO  ANOT.INADIMPLENCIA"/>
    <x v="1"/>
    <x v="7"/>
    <s v="2024-09"/>
    <x v="0"/>
    <s v="WHELKYA IRIS"/>
    <x v="17"/>
    <n v="0"/>
    <n v="1"/>
  </r>
  <r>
    <s v="034.964.228/0001-13"/>
    <x v="23"/>
    <s v="EXCLUSAO  ANOT.INADIMPLENCIA"/>
    <x v="2"/>
    <x v="0"/>
    <s v="2024-09"/>
    <x v="0"/>
    <s v="ADMINISTRAÇÃO"/>
    <x v="23"/>
    <n v="1"/>
    <n v="0"/>
  </r>
  <r>
    <s v="022.998.836/0001-60"/>
    <x v="24"/>
    <s v="INCLUSAO  ANOT.INADIMPLENCIA"/>
    <x v="2"/>
    <x v="0"/>
    <s v="2024-09"/>
    <x v="0"/>
    <s v="ADMINISTRAÇÃO"/>
    <x v="24"/>
    <n v="0"/>
    <n v="1"/>
  </r>
  <r>
    <s v="004.800.789/0001-16"/>
    <x v="25"/>
    <s v="EXCLUSAO  ANOT.INADIMPLENCIA"/>
    <x v="2"/>
    <x v="0"/>
    <s v="2024-09"/>
    <x v="0"/>
    <s v="ADMINISTRAÇÃO"/>
    <x v="25"/>
    <n v="1"/>
    <n v="0"/>
  </r>
  <r>
    <s v="020.066.300/0001-80"/>
    <x v="2"/>
    <s v="EXCLUSAO  ANOT.INADIMPLENCIA"/>
    <x v="2"/>
    <x v="1"/>
    <s v="2024-09"/>
    <x v="0"/>
    <s v="CELIO PIMENTA"/>
    <x v="2"/>
    <n v="1"/>
    <n v="0"/>
  </r>
  <r>
    <s v="015.414.962/0001-64"/>
    <x v="19"/>
    <s v="EXCLUSAO  ANOT.INADIMPLENCIA"/>
    <x v="2"/>
    <x v="8"/>
    <s v="2024-09"/>
    <x v="0"/>
    <s v="GRUPO OTTO"/>
    <x v="19"/>
    <n v="1"/>
    <n v="0"/>
  </r>
  <r>
    <s v="019.709.129/0001-00"/>
    <x v="11"/>
    <s v="EXCLUSAO  ANOT.INADIMPLENCIA"/>
    <x v="2"/>
    <x v="4"/>
    <s v="2024-09"/>
    <x v="0"/>
    <s v="NOELI SALETE"/>
    <x v="11"/>
    <n v="1"/>
    <n v="0"/>
  </r>
  <r>
    <s v="012.299.369/0001-26"/>
    <x v="13"/>
    <s v="EXCLUSAO  ANOT.INADIMPLENCIA"/>
    <x v="2"/>
    <x v="5"/>
    <s v="2024-09"/>
    <x v="0"/>
    <s v="POENATELA"/>
    <x v="13"/>
    <n v="1"/>
    <n v="0"/>
  </r>
  <r>
    <s v="011.091.574/0001-39"/>
    <x v="26"/>
    <s v="EXCLUSAO  ANOT.INADIMPLENCIA"/>
    <x v="2"/>
    <x v="5"/>
    <s v="2024-09"/>
    <x v="0"/>
    <s v="POENATELA"/>
    <x v="26"/>
    <n v="1"/>
    <n v="0"/>
  </r>
  <r>
    <s v="024.083.281/0001-51"/>
    <x v="16"/>
    <s v="INCLUSAO  ANOT.INADIMPLENCIA"/>
    <x v="2"/>
    <x v="6"/>
    <s v="2024-09"/>
    <x v="0"/>
    <s v="RAFAEL PARISE"/>
    <x v="16"/>
    <n v="0"/>
    <n v="1"/>
  </r>
  <r>
    <s v="031.584.294/0001-70"/>
    <x v="27"/>
    <s v="EXCLUSAO  ANOT.INADIMPLENCIA"/>
    <x v="3"/>
    <x v="0"/>
    <s v="2024-09"/>
    <x v="0"/>
    <s v="ADMINISTRAÇÃO"/>
    <x v="27"/>
    <n v="1"/>
    <n v="0"/>
  </r>
  <r>
    <s v="022.998.836/0001-60"/>
    <x v="24"/>
    <s v="EXCLUSAO  ANOT.INADIMPLENCIA"/>
    <x v="3"/>
    <x v="0"/>
    <s v="2024-09"/>
    <x v="0"/>
    <s v="ADMINISTRAÇÃO"/>
    <x v="24"/>
    <n v="1"/>
    <n v="0"/>
  </r>
  <r>
    <s v="004.126.524/0001-84"/>
    <x v="28"/>
    <s v="INCLUSAO  ANOT.INADIMPLENCIA"/>
    <x v="3"/>
    <x v="0"/>
    <s v="2024-09"/>
    <x v="0"/>
    <s v="ADMINISTRAÇÃO"/>
    <x v="28"/>
    <n v="0"/>
    <n v="1"/>
  </r>
  <r>
    <s v="012.520.791/0001-60"/>
    <x v="4"/>
    <s v="INCLUSAO  ANOT.INADIMPLENCIA"/>
    <x v="3"/>
    <x v="1"/>
    <s v="2024-09"/>
    <x v="0"/>
    <s v="CELIO PIMENTA"/>
    <x v="4"/>
    <n v="0"/>
    <n v="1"/>
  </r>
  <r>
    <s v="016.757.535/0001-41"/>
    <x v="29"/>
    <s v="INCLUSAO  ANOT.INADIMPLENCIA"/>
    <x v="3"/>
    <x v="11"/>
    <s v="2024-09"/>
    <x v="0"/>
    <s v="DIOGO AZEVEDO"/>
    <x v="29"/>
    <n v="0"/>
    <n v="1"/>
  </r>
  <r>
    <s v="024.255.748/0001-01"/>
    <x v="30"/>
    <s v="EXCLUSAO  ANOT.INADIMPLENCIA"/>
    <x v="3"/>
    <x v="12"/>
    <s v="2024-09"/>
    <x v="0"/>
    <s v="PROSPECTAR"/>
    <x v="30"/>
    <n v="1"/>
    <n v="0"/>
  </r>
  <r>
    <s v="010.220.445/0001-30"/>
    <x v="9"/>
    <s v="INCLUSAO  ANOT.INADIMPLENCIA"/>
    <x v="3"/>
    <x v="4"/>
    <s v="2024-09"/>
    <x v="0"/>
    <s v="NOELI SALETE"/>
    <x v="9"/>
    <n v="0"/>
    <n v="1"/>
  </r>
  <r>
    <s v="010.220.445/0001-31"/>
    <x v="9"/>
    <s v="EXCLUSAO  ANOT.INADIMPLENCIA"/>
    <x v="3"/>
    <x v="4"/>
    <s v="2024-09"/>
    <x v="0"/>
    <s v="NOELI SALETE"/>
    <x v="9"/>
    <n v="1"/>
    <n v="0"/>
  </r>
  <r>
    <s v="014.763.606/0001-93"/>
    <x v="10"/>
    <s v="EXCLUSAO  ANOT.INADIMPLENCIA"/>
    <x v="3"/>
    <x v="4"/>
    <s v="2024-09"/>
    <x v="0"/>
    <s v="NOELI SALETE"/>
    <x v="10"/>
    <n v="1"/>
    <n v="0"/>
  </r>
  <r>
    <s v="019.709.129/0001-00"/>
    <x v="11"/>
    <s v="INCLUSAO  ANOT.INADIMPLENCIA"/>
    <x v="3"/>
    <x v="4"/>
    <s v="2024-09"/>
    <x v="0"/>
    <s v="NOELI SALETE"/>
    <x v="11"/>
    <n v="0"/>
    <n v="1"/>
  </r>
  <r>
    <s v="007.556.817/0001-90"/>
    <x v="12"/>
    <s v="INCLUSAO  ANOT.INADIMPLENCIA"/>
    <x v="3"/>
    <x v="4"/>
    <s v="2024-09"/>
    <x v="0"/>
    <s v="NOELI SALETE"/>
    <x v="12"/>
    <n v="0"/>
    <n v="1"/>
  </r>
  <r>
    <s v="007.556.817/0001-91"/>
    <x v="12"/>
    <s v="EXCLUSAO  ANOT.INADIMPLENCIA"/>
    <x v="3"/>
    <x v="4"/>
    <s v="2024-09"/>
    <x v="0"/>
    <s v="NOELI SALETE"/>
    <x v="12"/>
    <n v="1"/>
    <n v="0"/>
  </r>
  <r>
    <s v="031.509.494/0001-68"/>
    <x v="14"/>
    <s v="INCLUSAO  ANOT.INADIMPLENCIA"/>
    <x v="3"/>
    <x v="5"/>
    <s v="2024-09"/>
    <x v="0"/>
    <s v="POENATELA"/>
    <x v="14"/>
    <n v="0"/>
    <n v="1"/>
  </r>
  <r>
    <s v="031.509.494/0001-69"/>
    <x v="14"/>
    <s v="EXCLUSAO  ANOT.INADIMPLENCIA"/>
    <x v="3"/>
    <x v="5"/>
    <s v="2024-09"/>
    <x v="0"/>
    <s v="POENATELA"/>
    <x v="14"/>
    <n v="1"/>
    <n v="0"/>
  </r>
  <r>
    <s v="013.746.252/0001-06"/>
    <x v="15"/>
    <s v="INCLUSAO  ANOT.INADIMPLENCIA"/>
    <x v="3"/>
    <x v="5"/>
    <s v="2024-09"/>
    <x v="0"/>
    <s v="POENATELA"/>
    <x v="15"/>
    <n v="0"/>
    <n v="1"/>
  </r>
  <r>
    <s v="023.605.544/0001-82"/>
    <x v="21"/>
    <s v="INCLUSAO  ANOT.INADIMPLENCIA"/>
    <x v="3"/>
    <x v="9"/>
    <s v="2024-09"/>
    <x v="0"/>
    <s v="PRISCILA METZ"/>
    <x v="21"/>
    <n v="0"/>
    <n v="1"/>
  </r>
  <r>
    <s v="014.829.598/0001-30"/>
    <x v="31"/>
    <s v="EXCLUSAO  ANOT.INADIMPLENCIA"/>
    <x v="3"/>
    <x v="9"/>
    <s v="2024-09"/>
    <x v="0"/>
    <s v="PRISCILA METZ"/>
    <x v="31"/>
    <n v="1"/>
    <n v="0"/>
  </r>
  <r>
    <s v="024.083.281/0001-51"/>
    <x v="16"/>
    <s v="INCLUSAO  ANOT.INADIMPLENCIA"/>
    <x v="3"/>
    <x v="6"/>
    <s v="2024-09"/>
    <x v="0"/>
    <s v="RAFAEL PARISE"/>
    <x v="16"/>
    <n v="0"/>
    <n v="1"/>
  </r>
  <r>
    <s v="051.107.672/0001-31"/>
    <x v="32"/>
    <s v="INCLUSAO  ANOT.INADIMPLENCIA"/>
    <x v="3"/>
    <x v="10"/>
    <s v="2024-09"/>
    <x v="0"/>
    <s v="ROGERIO "/>
    <x v="32"/>
    <n v="0"/>
    <n v="1"/>
  </r>
  <r>
    <s v="008.785.522/0001-58"/>
    <x v="17"/>
    <s v="INCLUSAO  ANOT.INADIMPLENCIA"/>
    <x v="3"/>
    <x v="7"/>
    <s v="2024-09"/>
    <x v="0"/>
    <s v="WHELKYA IRIS"/>
    <x v="17"/>
    <n v="0"/>
    <n v="1"/>
  </r>
  <r>
    <s v="009.171.140/0001-05"/>
    <x v="33"/>
    <s v="INCLUSAO  ANOT.INADIMPLENCIA"/>
    <x v="4"/>
    <x v="13"/>
    <s v="2024-09"/>
    <x v="0"/>
    <s v="ANDERSON FRAGA"/>
    <x v="33"/>
    <n v="0"/>
    <n v="1"/>
  </r>
  <r>
    <s v="004.800.789/0001-16"/>
    <x v="25"/>
    <s v="EXCLUSAO  ANOT.INADIMPLENCIA"/>
    <x v="4"/>
    <x v="0"/>
    <s v="2024-09"/>
    <x v="0"/>
    <s v="ADMINISTRAÇÃO"/>
    <x v="25"/>
    <n v="1"/>
    <n v="0"/>
  </r>
  <r>
    <s v="004.126.524/0001-84"/>
    <x v="28"/>
    <s v="EXCLUSAO  ANOT.INADIMPLENCIA"/>
    <x v="4"/>
    <x v="0"/>
    <s v="2024-09"/>
    <x v="0"/>
    <s v="ADMINISTRAÇÃO"/>
    <x v="28"/>
    <n v="1"/>
    <n v="0"/>
  </r>
  <r>
    <s v="020.066.300/0001-80"/>
    <x v="2"/>
    <s v="INCLUSAO  ANOT.INADIMPLENCIA"/>
    <x v="4"/>
    <x v="1"/>
    <s v="2024-09"/>
    <x v="0"/>
    <s v="CELIO PIMENTA"/>
    <x v="2"/>
    <n v="0"/>
    <n v="1"/>
  </r>
  <r>
    <s v="020.066.300/0001-81"/>
    <x v="2"/>
    <s v="EXCLUSAO  ANOT.INADIMPLENCIA"/>
    <x v="4"/>
    <x v="1"/>
    <s v="2024-09"/>
    <x v="0"/>
    <s v="CELIO PIMENTA"/>
    <x v="2"/>
    <n v="1"/>
    <n v="0"/>
  </r>
  <r>
    <s v="012.520.791/0001-60"/>
    <x v="4"/>
    <s v="INCLUSAO  ANOT.INADIMPLENCIA"/>
    <x v="4"/>
    <x v="1"/>
    <s v="2024-09"/>
    <x v="0"/>
    <s v="CELIO PIMENTA"/>
    <x v="4"/>
    <n v="0"/>
    <n v="1"/>
  </r>
  <r>
    <s v="012.520.791/0001-61"/>
    <x v="4"/>
    <s v="EXCLUSAO  ANOT.INADIMPLENCIA"/>
    <x v="4"/>
    <x v="1"/>
    <s v="2024-09"/>
    <x v="0"/>
    <s v="CELIO PIMENTA"/>
    <x v="4"/>
    <n v="1"/>
    <n v="0"/>
  </r>
  <r>
    <s v="016.757.535/0001-41"/>
    <x v="29"/>
    <s v="INCLUSAO  ANOT.INADIMPLENCIA"/>
    <x v="4"/>
    <x v="11"/>
    <s v="2024-09"/>
    <x v="0"/>
    <s v="DIOGO AZEVEDO"/>
    <x v="29"/>
    <n v="0"/>
    <n v="1"/>
  </r>
  <r>
    <s v="007.561.436/0001-07"/>
    <x v="34"/>
    <s v="INCLUSAO  ANOT.INADIMPLENCIA"/>
    <x v="4"/>
    <x v="12"/>
    <s v="2024-09"/>
    <x v="0"/>
    <s v="PROSPECTAR"/>
    <x v="34"/>
    <n v="0"/>
    <n v="1"/>
  </r>
  <r>
    <s v="008.712.271/0001-81"/>
    <x v="5"/>
    <s v="INCLUSAO  ANOT.INADIMPLENCIA"/>
    <x v="4"/>
    <x v="0"/>
    <s v="2024-09"/>
    <x v="0"/>
    <s v="ADMINISTRAÇÃO"/>
    <x v="5"/>
    <n v="0"/>
    <n v="1"/>
  </r>
  <r>
    <s v="008.712.271/0001-82"/>
    <x v="5"/>
    <s v="EXCLUSAO  ANOT.INADIMPLENCIA"/>
    <x v="4"/>
    <x v="0"/>
    <s v="2024-09"/>
    <x v="0"/>
    <s v="ADMINISTRAÇÃO"/>
    <x v="5"/>
    <n v="1"/>
    <n v="0"/>
  </r>
  <r>
    <s v="041.768.583/0001-82"/>
    <x v="35"/>
    <s v="INCLUSAO  ANOT.INADIMPLENCIA"/>
    <x v="4"/>
    <x v="14"/>
    <s v="2024-09"/>
    <x v="0"/>
    <s v="NELSON"/>
    <x v="35"/>
    <n v="0"/>
    <n v="1"/>
  </r>
  <r>
    <s v="014.763.606/0001-93"/>
    <x v="10"/>
    <s v="INCLUSAO  ANOT.INADIMPLENCIA"/>
    <x v="4"/>
    <x v="4"/>
    <s v="2024-09"/>
    <x v="0"/>
    <s v="NOELI SALETE"/>
    <x v="10"/>
    <n v="0"/>
    <n v="1"/>
  </r>
  <r>
    <s v="019.709.129/0001-00"/>
    <x v="11"/>
    <s v="INCLUSAO  ANOT.INADIMPLENCIA"/>
    <x v="4"/>
    <x v="4"/>
    <s v="2024-09"/>
    <x v="0"/>
    <s v="NOELI SALETE"/>
    <x v="11"/>
    <n v="0"/>
    <n v="1"/>
  </r>
  <r>
    <s v="007.556.817/0001-90"/>
    <x v="12"/>
    <s v="EXCLUSAO  ANOT.INADIMPLENCIA"/>
    <x v="4"/>
    <x v="4"/>
    <s v="2024-09"/>
    <x v="0"/>
    <s v="NOELI SALETE"/>
    <x v="12"/>
    <n v="1"/>
    <n v="0"/>
  </r>
  <r>
    <s v="031.509.494/0001-68"/>
    <x v="14"/>
    <s v="INCLUSAO  ANOT.INADIMPLENCIA"/>
    <x v="4"/>
    <x v="5"/>
    <s v="2024-09"/>
    <x v="0"/>
    <s v="POENATELA"/>
    <x v="14"/>
    <n v="0"/>
    <n v="1"/>
  </r>
  <r>
    <s v="013.746.252/0001-06"/>
    <x v="15"/>
    <s v="INCLUSAO  ANOT.INADIMPLENCIA"/>
    <x v="4"/>
    <x v="5"/>
    <s v="2024-09"/>
    <x v="0"/>
    <s v="POENATELA"/>
    <x v="15"/>
    <n v="0"/>
    <n v="1"/>
  </r>
  <r>
    <s v="023.605.544/0001-82"/>
    <x v="21"/>
    <s v="INCLUSAO  ANOT.INADIMPLENCIA"/>
    <x v="4"/>
    <x v="9"/>
    <s v="2024-09"/>
    <x v="0"/>
    <s v="PRISCILA METZ"/>
    <x v="21"/>
    <n v="0"/>
    <n v="1"/>
  </r>
  <r>
    <s v="024.083.281/0001-51"/>
    <x v="16"/>
    <s v="INCLUSAO  ANOT.INADIMPLENCIA"/>
    <x v="4"/>
    <x v="6"/>
    <s v="2024-09"/>
    <x v="0"/>
    <s v="RAFAEL PARISE"/>
    <x v="16"/>
    <n v="0"/>
    <n v="1"/>
  </r>
  <r>
    <s v="038.945.487/0001-58"/>
    <x v="36"/>
    <s v="INCLUSAO  ANOT.INADIMPLENCIA"/>
    <x v="5"/>
    <x v="0"/>
    <s v="2024-09"/>
    <x v="1"/>
    <s v="ADMINISTRAÇÃO"/>
    <x v="36"/>
    <n v="0"/>
    <n v="1"/>
  </r>
  <r>
    <s v="004.041.192/0001-35"/>
    <x v="37"/>
    <s v="EXCLUSAO  ANOT.INADIMPLENCIA"/>
    <x v="5"/>
    <x v="0"/>
    <s v="2024-09"/>
    <x v="1"/>
    <s v="ADMINISTRAÇÃO"/>
    <x v="37"/>
    <n v="1"/>
    <n v="0"/>
  </r>
  <r>
    <s v="020.066.300/0001-80"/>
    <x v="2"/>
    <s v="INCLUSAO  ANOT.INADIMPLENCIA"/>
    <x v="5"/>
    <x v="1"/>
    <s v="2024-09"/>
    <x v="1"/>
    <s v="CELIO PIMENTA"/>
    <x v="2"/>
    <n v="0"/>
    <n v="1"/>
  </r>
  <r>
    <s v="020.066.300/0001-80"/>
    <x v="2"/>
    <s v="INCLUSAO  ANOT.INADIMPLENCIA"/>
    <x v="5"/>
    <x v="1"/>
    <s v="2024-09"/>
    <x v="1"/>
    <s v="CELIO PIMENTA"/>
    <x v="2"/>
    <n v="0"/>
    <n v="1"/>
  </r>
  <r>
    <s v="007.561.436/0001-07"/>
    <x v="34"/>
    <s v="INCLUSAO  ANOT.INADIMPLENCIA"/>
    <x v="5"/>
    <x v="12"/>
    <s v="2024-09"/>
    <x v="1"/>
    <s v="PROSPECTAR"/>
    <x v="34"/>
    <n v="0"/>
    <n v="1"/>
  </r>
  <r>
    <s v="008.712.271/0001-81"/>
    <x v="5"/>
    <s v="INCLUSAO  ANOT.INADIMPLENCIA"/>
    <x v="5"/>
    <x v="0"/>
    <s v="2024-09"/>
    <x v="1"/>
    <s v="ADMINISTRAÇÃO"/>
    <x v="5"/>
    <n v="0"/>
    <n v="1"/>
  </r>
  <r>
    <s v="008.712.271/0001-81"/>
    <x v="5"/>
    <s v="INCLUSAO  ANOT.INADIMPLENCIA"/>
    <x v="5"/>
    <x v="0"/>
    <s v="2024-09"/>
    <x v="1"/>
    <s v="ADMINISTRAÇÃO"/>
    <x v="5"/>
    <n v="0"/>
    <n v="1"/>
  </r>
  <r>
    <s v="034.821.586/0001-77"/>
    <x v="38"/>
    <s v="INCLUSAO  ANOT.INADIMPLENCIA"/>
    <x v="5"/>
    <x v="3"/>
    <s v="2024-09"/>
    <x v="1"/>
    <s v="MARCUS VINICIUS "/>
    <x v="38"/>
    <n v="0"/>
    <n v="1"/>
  </r>
  <r>
    <s v="036.382.501/0001-27"/>
    <x v="8"/>
    <s v="INCLUSAO  ANOT.INADIMPLENCIA"/>
    <x v="5"/>
    <x v="0"/>
    <s v="2024-09"/>
    <x v="1"/>
    <s v="ADMINISTRAÇÃO"/>
    <x v="8"/>
    <n v="0"/>
    <n v="1"/>
  </r>
  <r>
    <s v="036.382.501/0001-28"/>
    <x v="8"/>
    <s v="EXCLUSAO  ANOT.INADIMPLENCIA"/>
    <x v="5"/>
    <x v="0"/>
    <s v="2024-09"/>
    <x v="1"/>
    <s v="ADMINISTRAÇÃO"/>
    <x v="8"/>
    <n v="1"/>
    <n v="0"/>
  </r>
  <r>
    <s v="041.768.583/0001-82"/>
    <x v="35"/>
    <s v="INCLUSAO  ANOT.INADIMPLENCIA"/>
    <x v="5"/>
    <x v="14"/>
    <s v="2024-09"/>
    <x v="1"/>
    <s v="NELSON"/>
    <x v="35"/>
    <n v="0"/>
    <n v="1"/>
  </r>
  <r>
    <s v="014.763.606/0001-93"/>
    <x v="10"/>
    <s v="INCLUSAO  ANOT.INADIMPLENCIA"/>
    <x v="5"/>
    <x v="4"/>
    <s v="2024-09"/>
    <x v="1"/>
    <s v="NOELI SALETE"/>
    <x v="10"/>
    <n v="0"/>
    <n v="1"/>
  </r>
  <r>
    <s v="019.709.129/0001-00"/>
    <x v="11"/>
    <s v="INCLUSAO  ANOT.INADIMPLENCIA"/>
    <x v="5"/>
    <x v="4"/>
    <s v="2024-09"/>
    <x v="1"/>
    <s v="NOELI SALETE"/>
    <x v="11"/>
    <n v="0"/>
    <n v="1"/>
  </r>
  <r>
    <s v="019.709.129/0001-01"/>
    <x v="11"/>
    <s v="EXCLUSAO  ANOT.INADIMPLENCIA"/>
    <x v="5"/>
    <x v="4"/>
    <s v="2024-09"/>
    <x v="1"/>
    <s v="NOELI SALETE"/>
    <x v="11"/>
    <n v="1"/>
    <n v="0"/>
  </r>
  <r>
    <s v="019.709.129/0001-00"/>
    <x v="11"/>
    <s v="INCLUSAO  ANOT.INADIMPLENCIA"/>
    <x v="5"/>
    <x v="4"/>
    <s v="2024-09"/>
    <x v="1"/>
    <s v="NOELI SALETE"/>
    <x v="11"/>
    <n v="0"/>
    <n v="1"/>
  </r>
  <r>
    <s v="007.556.817/0001-90"/>
    <x v="12"/>
    <s v="EXCLUSAO  ANOT.INADIMPLENCIA"/>
    <x v="5"/>
    <x v="4"/>
    <s v="2024-09"/>
    <x v="1"/>
    <s v="NOELI SALETE"/>
    <x v="12"/>
    <n v="1"/>
    <n v="0"/>
  </r>
  <r>
    <s v="037.828.375/0001-54"/>
    <x v="39"/>
    <s v="INCLUSAO  ANOT.INADIMPLENCIA"/>
    <x v="5"/>
    <x v="5"/>
    <s v="2024-09"/>
    <x v="1"/>
    <s v="POENATELA"/>
    <x v="39"/>
    <n v="0"/>
    <n v="1"/>
  </r>
  <r>
    <s v="037.828.375/0001-54"/>
    <x v="39"/>
    <s v="INCLUSAO  ANOT.INADIMPLENCIA"/>
    <x v="5"/>
    <x v="5"/>
    <s v="2024-09"/>
    <x v="1"/>
    <s v="POENATELA"/>
    <x v="39"/>
    <n v="0"/>
    <n v="1"/>
  </r>
  <r>
    <s v="031.509.494/0001-68"/>
    <x v="14"/>
    <s v="INCLUSAO  ANOT.INADIMPLENCIA"/>
    <x v="5"/>
    <x v="5"/>
    <s v="2024-09"/>
    <x v="1"/>
    <s v="POENATELA"/>
    <x v="14"/>
    <n v="0"/>
    <n v="1"/>
  </r>
  <r>
    <s v="013.746.252/0001-06"/>
    <x v="15"/>
    <s v="INCLUSAO  ANOT.INADIMPLENCIA"/>
    <x v="5"/>
    <x v="5"/>
    <s v="2024-09"/>
    <x v="1"/>
    <s v="POENATELA"/>
    <x v="15"/>
    <n v="0"/>
    <n v="1"/>
  </r>
  <r>
    <s v="013.746.252/0001-06"/>
    <x v="15"/>
    <s v="INCLUSAO  ANOT.INADIMPLENCIA"/>
    <x v="5"/>
    <x v="5"/>
    <s v="2024-09"/>
    <x v="1"/>
    <s v="POENATELA"/>
    <x v="15"/>
    <n v="0"/>
    <n v="1"/>
  </r>
  <r>
    <s v="023.605.544/0001-82"/>
    <x v="21"/>
    <s v="INCLUSAO  ANOT.INADIMPLENCIA"/>
    <x v="5"/>
    <x v="9"/>
    <s v="2024-09"/>
    <x v="1"/>
    <s v="PRISCILA METZ"/>
    <x v="21"/>
    <n v="0"/>
    <n v="1"/>
  </r>
  <r>
    <s v="014.829.598/0001-30"/>
    <x v="31"/>
    <s v="INCLUSAO  ANOT.INADIMPLENCIA"/>
    <x v="5"/>
    <x v="9"/>
    <s v="2024-09"/>
    <x v="1"/>
    <s v="PRISCILA METZ"/>
    <x v="31"/>
    <n v="0"/>
    <n v="1"/>
  </r>
  <r>
    <s v="024.083.281/0001-51"/>
    <x v="16"/>
    <s v="INCLUSAO  ANOT.INADIMPLENCIA"/>
    <x v="5"/>
    <x v="6"/>
    <s v="2024-09"/>
    <x v="1"/>
    <s v="RAFAEL PARISE"/>
    <x v="16"/>
    <n v="0"/>
    <n v="1"/>
  </r>
  <r>
    <s v="008.785.522/0001-58"/>
    <x v="17"/>
    <s v="INCLUSAO  ANOT.INADIMPLENCIA"/>
    <x v="5"/>
    <x v="7"/>
    <s v="2024-09"/>
    <x v="1"/>
    <s v="WHELKYA IRIS"/>
    <x v="17"/>
    <n v="0"/>
    <n v="1"/>
  </r>
  <r>
    <s v="008.785.522/0001-58"/>
    <x v="17"/>
    <s v="INCLUSAO  ANOT.INADIMPLENCIA"/>
    <x v="5"/>
    <x v="7"/>
    <s v="2024-09"/>
    <x v="1"/>
    <s v="WHELKYA IRIS"/>
    <x v="17"/>
    <n v="0"/>
    <n v="1"/>
  </r>
  <r>
    <s v="045.674.938/0001-25"/>
    <x v="0"/>
    <s v="EXCLUSAO  ANOT.INADIMPLENCIA"/>
    <x v="6"/>
    <x v="0"/>
    <s v="2024-09"/>
    <x v="1"/>
    <s v="ADMINISTRAÇÃO"/>
    <x v="0"/>
    <n v="1"/>
    <n v="0"/>
  </r>
  <r>
    <s v="035.345.406/0001-90"/>
    <x v="40"/>
    <s v="INCLUSAO  ANOT.INADIMPLENCIA"/>
    <x v="6"/>
    <x v="0"/>
    <s v="2024-09"/>
    <x v="1"/>
    <s v="ADMINISTRAÇÃO"/>
    <x v="40"/>
    <n v="0"/>
    <n v="1"/>
  </r>
  <r>
    <s v="021.734.108/0001-88"/>
    <x v="41"/>
    <s v="EXCLUSAO  ANOT.INADIMPLENCIA"/>
    <x v="6"/>
    <x v="0"/>
    <s v="2024-09"/>
    <x v="1"/>
    <s v="ADMINISTRAÇÃO"/>
    <x v="41"/>
    <n v="1"/>
    <n v="0"/>
  </r>
  <r>
    <s v="006.107.454/0001-42"/>
    <x v="42"/>
    <s v="EXCLUSAO  ANOT.INADIMPLENCIA"/>
    <x v="6"/>
    <x v="0"/>
    <s v="2024-09"/>
    <x v="1"/>
    <s v="ADMINISTRAÇÃO"/>
    <x v="42"/>
    <n v="1"/>
    <n v="0"/>
  </r>
  <r>
    <s v="020.066.300/0001-80"/>
    <x v="2"/>
    <s v="INCLUSAO  ANOT.INADIMPLENCIA"/>
    <x v="6"/>
    <x v="1"/>
    <s v="2024-09"/>
    <x v="1"/>
    <s v="CELIO PIMENTA"/>
    <x v="2"/>
    <n v="0"/>
    <n v="1"/>
  </r>
  <r>
    <s v="029.030.307/0001-17"/>
    <x v="43"/>
    <s v="INCLUSAO  ANOT.INADIMPLENCIA"/>
    <x v="6"/>
    <x v="1"/>
    <s v="2024-09"/>
    <x v="1"/>
    <s v="CELIO PIMENTA"/>
    <x v="43"/>
    <n v="0"/>
    <n v="1"/>
  </r>
  <r>
    <s v="007.102.721/0001-51"/>
    <x v="44"/>
    <s v="INCLUSAO  ANOT.INADIMPLENCIA"/>
    <x v="6"/>
    <x v="12"/>
    <s v="2024-09"/>
    <x v="1"/>
    <s v="PROSPECTAR"/>
    <x v="44"/>
    <n v="0"/>
    <n v="1"/>
  </r>
  <r>
    <s v="015.414.962/0001-64"/>
    <x v="19"/>
    <s v="INCLUSAO  ANOT.INADIMPLENCIA"/>
    <x v="6"/>
    <x v="8"/>
    <s v="2024-09"/>
    <x v="1"/>
    <s v="GRUPO OTTO"/>
    <x v="19"/>
    <n v="0"/>
    <n v="1"/>
  </r>
  <r>
    <s v="000.803.044/0001-50"/>
    <x v="45"/>
    <s v="EXCLUSAO  ANOT.INADIMPLENCIA"/>
    <x v="6"/>
    <x v="0"/>
    <s v="2024-09"/>
    <x v="1"/>
    <s v="ADMINISTRAÇÃO"/>
    <x v="45"/>
    <n v="1"/>
    <n v="0"/>
  </r>
  <r>
    <s v="019.709.129/0001-00"/>
    <x v="11"/>
    <s v="INCLUSAO  ANOT.INADIMPLENCIA"/>
    <x v="6"/>
    <x v="4"/>
    <s v="2024-09"/>
    <x v="1"/>
    <s v="NOELI SALETE"/>
    <x v="11"/>
    <n v="0"/>
    <n v="1"/>
  </r>
  <r>
    <s v="037.828.375/0001-54"/>
    <x v="39"/>
    <s v="EXCLUSAO  ANOT.INADIMPLENCIA"/>
    <x v="6"/>
    <x v="5"/>
    <s v="2024-09"/>
    <x v="1"/>
    <s v="POENATELA"/>
    <x v="39"/>
    <n v="1"/>
    <n v="0"/>
  </r>
  <r>
    <s v="031.509.494/0001-68"/>
    <x v="14"/>
    <s v="INCLUSAO  ANOT.INADIMPLENCIA"/>
    <x v="6"/>
    <x v="5"/>
    <s v="2024-09"/>
    <x v="1"/>
    <s v="POENATELA"/>
    <x v="14"/>
    <n v="0"/>
    <n v="1"/>
  </r>
  <r>
    <s v="013.746.252/0001-06"/>
    <x v="15"/>
    <s v="INCLUSAO  ANOT.INADIMPLENCIA"/>
    <x v="6"/>
    <x v="5"/>
    <s v="2024-09"/>
    <x v="1"/>
    <s v="POENATELA"/>
    <x v="15"/>
    <n v="0"/>
    <n v="1"/>
  </r>
  <r>
    <s v="023.605.544/0001-82"/>
    <x v="21"/>
    <s v="INCLUSAO  ANOT.INADIMPLENCIA"/>
    <x v="6"/>
    <x v="9"/>
    <s v="2024-09"/>
    <x v="1"/>
    <s v="PRISCILA METZ"/>
    <x v="21"/>
    <n v="0"/>
    <n v="1"/>
  </r>
  <r>
    <s v="046.700.220/0001-29"/>
    <x v="46"/>
    <s v="INCLUSAO  ANOT.INADIMPLENCIA"/>
    <x v="6"/>
    <x v="9"/>
    <s v="2024-09"/>
    <x v="1"/>
    <s v="PRISCILA METZ"/>
    <x v="46"/>
    <n v="0"/>
    <n v="1"/>
  </r>
  <r>
    <s v="038.110.780/0001-03"/>
    <x v="47"/>
    <s v="INCLUSAO  ANOT.INADIMPLENCIA"/>
    <x v="6"/>
    <x v="6"/>
    <s v="2024-09"/>
    <x v="1"/>
    <s v="RAFAEL PARISE"/>
    <x v="47"/>
    <n v="0"/>
    <n v="1"/>
  </r>
  <r>
    <s v="071.350.797/0001-03"/>
    <x v="48"/>
    <s v="INCLUSAO  ANOT.INADIMPLENCIA"/>
    <x v="6"/>
    <x v="10"/>
    <s v="2024-09"/>
    <x v="1"/>
    <s v="ROGERIO "/>
    <x v="48"/>
    <n v="0"/>
    <n v="1"/>
  </r>
  <r>
    <s v="045.674.938/0001-25"/>
    <x v="0"/>
    <s v="EXCLUSAO  ANOT.INADIMPLENCIA"/>
    <x v="7"/>
    <x v="0"/>
    <s v="2024-09"/>
    <x v="1"/>
    <s v="ADMINISTRAÇÃO"/>
    <x v="0"/>
    <n v="1"/>
    <n v="0"/>
  </r>
  <r>
    <s v="021.734.108/0001-88"/>
    <x v="41"/>
    <s v="INCLUSAO  ANOT.INADIMPLENCIA"/>
    <x v="7"/>
    <x v="0"/>
    <s v="2024-09"/>
    <x v="1"/>
    <s v="ADMINISTRAÇÃO"/>
    <x v="41"/>
    <n v="0"/>
    <n v="1"/>
  </r>
  <r>
    <s v="020.066.300/0001-80"/>
    <x v="2"/>
    <s v="INCLUSAO  ANOT.INADIMPLENCIA"/>
    <x v="7"/>
    <x v="1"/>
    <s v="2024-09"/>
    <x v="1"/>
    <s v="CELIO PIMENTA"/>
    <x v="2"/>
    <n v="0"/>
    <n v="1"/>
  </r>
  <r>
    <s v="020.066.300/0001-80"/>
    <x v="2"/>
    <s v="EXCLUSAO  ANOT.INADIMPLENCIA"/>
    <x v="7"/>
    <x v="1"/>
    <s v="2024-09"/>
    <x v="1"/>
    <s v="CELIO PIMENTA"/>
    <x v="2"/>
    <n v="1"/>
    <n v="0"/>
  </r>
  <r>
    <s v="029.030.307/0001-17"/>
    <x v="43"/>
    <s v="INCLUSAO  ANOT.INADIMPLENCIA"/>
    <x v="7"/>
    <x v="1"/>
    <s v="2024-09"/>
    <x v="1"/>
    <s v="CELIO PIMENTA"/>
    <x v="43"/>
    <n v="0"/>
    <n v="1"/>
  </r>
  <r>
    <s v="016.757.535/0001-41"/>
    <x v="29"/>
    <s v="INCLUSAO  ANOT.INADIMPLENCIA"/>
    <x v="7"/>
    <x v="11"/>
    <s v="2024-09"/>
    <x v="1"/>
    <s v="DIOGO AZEVEDO"/>
    <x v="29"/>
    <n v="0"/>
    <n v="1"/>
  </r>
  <r>
    <s v="014.763.606/0001-93"/>
    <x v="10"/>
    <s v="INCLUSAO  ANOT.INADIMPLENCIA"/>
    <x v="7"/>
    <x v="4"/>
    <s v="2024-09"/>
    <x v="1"/>
    <s v="NOELI SALETE"/>
    <x v="10"/>
    <n v="0"/>
    <n v="1"/>
  </r>
  <r>
    <s v="019.709.129/0001-00"/>
    <x v="11"/>
    <s v="INCLUSAO  ANOT.INADIMPLENCIA"/>
    <x v="7"/>
    <x v="4"/>
    <s v="2024-09"/>
    <x v="1"/>
    <s v="NOELI SALETE"/>
    <x v="11"/>
    <n v="0"/>
    <n v="1"/>
  </r>
  <r>
    <s v="031.509.494/0001-68"/>
    <x v="14"/>
    <s v="INCLUSAO  ANOT.INADIMPLENCIA"/>
    <x v="7"/>
    <x v="5"/>
    <s v="2024-09"/>
    <x v="1"/>
    <s v="POENATELA"/>
    <x v="14"/>
    <n v="0"/>
    <n v="1"/>
  </r>
  <r>
    <s v="013.746.252/0001-06"/>
    <x v="15"/>
    <s v="EXCLUSAO  ANOT.INADIMPLENCIA"/>
    <x v="7"/>
    <x v="5"/>
    <s v="2024-09"/>
    <x v="1"/>
    <s v="POENATELA"/>
    <x v="15"/>
    <n v="1"/>
    <n v="0"/>
  </r>
  <r>
    <s v="038.110.780/0001-03"/>
    <x v="47"/>
    <s v="EXCLUSAO  ANOT.INADIMPLENCIA"/>
    <x v="7"/>
    <x v="6"/>
    <s v="2024-09"/>
    <x v="1"/>
    <s v="RAFAEL PARISE"/>
    <x v="47"/>
    <n v="1"/>
    <n v="0"/>
  </r>
  <r>
    <s v="038.945.487/0001-58"/>
    <x v="36"/>
    <s v="INCLUSAO  ANOT.INADIMPLENCIA"/>
    <x v="8"/>
    <x v="0"/>
    <s v="2024-09"/>
    <x v="1"/>
    <s v="ADMINISTRAÇÃO"/>
    <x v="36"/>
    <n v="0"/>
    <n v="1"/>
  </r>
  <r>
    <s v="021.734.108/0001-88"/>
    <x v="41"/>
    <s v="EXCLUSAO  ANOT.INADIMPLENCIA"/>
    <x v="8"/>
    <x v="0"/>
    <s v="2024-09"/>
    <x v="1"/>
    <s v="ADMINISTRAÇÃO"/>
    <x v="41"/>
    <n v="1"/>
    <n v="0"/>
  </r>
  <r>
    <s v="004.126.524/0001-84"/>
    <x v="28"/>
    <s v="INCLUSAO  ANOT.INADIMPLENCIA"/>
    <x v="8"/>
    <x v="0"/>
    <s v="2024-09"/>
    <x v="1"/>
    <s v="ADMINISTRAÇÃO"/>
    <x v="28"/>
    <n v="0"/>
    <n v="1"/>
  </r>
  <r>
    <s v="028.842.753/0001-63"/>
    <x v="49"/>
    <s v="INCLUSAO  ANOT.INADIMPLENCIA"/>
    <x v="8"/>
    <x v="15"/>
    <s v="2024-09"/>
    <x v="1"/>
    <s v="EDUARDO MATOSO"/>
    <x v="49"/>
    <n v="0"/>
    <n v="1"/>
  </r>
  <r>
    <s v="008.712.271/0001-81"/>
    <x v="5"/>
    <s v="EXCLUSAO  ANOT.INADIMPLENCIA"/>
    <x v="8"/>
    <x v="0"/>
    <s v="2024-09"/>
    <x v="1"/>
    <s v="ADMINISTRAÇÃO"/>
    <x v="5"/>
    <n v="1"/>
    <n v="0"/>
  </r>
  <r>
    <s v="019.709.129/0001-00"/>
    <x v="11"/>
    <s v="INCLUSAO  ANOT.INADIMPLENCIA"/>
    <x v="8"/>
    <x v="4"/>
    <s v="2024-09"/>
    <x v="1"/>
    <s v="NOELI SALETE"/>
    <x v="11"/>
    <n v="0"/>
    <n v="1"/>
  </r>
  <r>
    <s v="031.509.494/0001-68"/>
    <x v="14"/>
    <s v="INCLUSAO  ANOT.INADIMPLENCIA"/>
    <x v="8"/>
    <x v="5"/>
    <s v="2024-09"/>
    <x v="1"/>
    <s v="POENATELA"/>
    <x v="14"/>
    <n v="0"/>
    <n v="1"/>
  </r>
  <r>
    <s v="013.746.252/0001-06"/>
    <x v="15"/>
    <s v="INCLUSAO  ANOT.INADIMPLENCIA"/>
    <x v="8"/>
    <x v="5"/>
    <s v="2024-09"/>
    <x v="1"/>
    <s v="POENATELA"/>
    <x v="15"/>
    <n v="0"/>
    <n v="1"/>
  </r>
  <r>
    <s v="046.700.220/0001-29"/>
    <x v="46"/>
    <s v="EXCLUSAO  ANOT.INADIMPLENCIA"/>
    <x v="8"/>
    <x v="9"/>
    <s v="2024-09"/>
    <x v="1"/>
    <s v="PRISCILA METZ"/>
    <x v="46"/>
    <n v="1"/>
    <n v="0"/>
  </r>
  <r>
    <s v="038.945.487/0001-58"/>
    <x v="36"/>
    <s v="INCLUSAO  ANOT.INADIMPLENCIA"/>
    <x v="9"/>
    <x v="0"/>
    <s v="2024-09"/>
    <x v="1"/>
    <s v="ADMINISTRAÇÃO"/>
    <x v="36"/>
    <n v="0"/>
    <n v="1"/>
  </r>
  <r>
    <s v="020.066.300/0001-80"/>
    <x v="2"/>
    <s v="INCL/EXCL ANOT.INADIMPLENCIA"/>
    <x v="9"/>
    <x v="1"/>
    <s v="2024-09"/>
    <x v="1"/>
    <s v="CELIO PIMENTA"/>
    <x v="2"/>
    <n v="1"/>
    <n v="1"/>
  </r>
  <r>
    <s v="025.236.865/0001-82"/>
    <x v="50"/>
    <s v="INCLUSAO  ANOT.INADIMPLENCIA"/>
    <x v="9"/>
    <x v="1"/>
    <s v="2024-09"/>
    <x v="1"/>
    <s v="CELIO PIMENTA"/>
    <x v="50"/>
    <n v="0"/>
    <n v="1"/>
  </r>
  <r>
    <s v="028.842.753/0001-63"/>
    <x v="49"/>
    <s v="INCLUSAO  ANOT.INADIMPLENCIA"/>
    <x v="9"/>
    <x v="15"/>
    <s v="2024-09"/>
    <x v="1"/>
    <s v="EDUARDO MATOSO"/>
    <x v="49"/>
    <n v="0"/>
    <n v="1"/>
  </r>
  <r>
    <s v="019.709.129/0001-00"/>
    <x v="11"/>
    <s v="INCLUSAO  ANOT.INADIMPLENCIA"/>
    <x v="9"/>
    <x v="4"/>
    <s v="2024-09"/>
    <x v="1"/>
    <s v="NOELI SALETE"/>
    <x v="11"/>
    <n v="0"/>
    <n v="1"/>
  </r>
  <r>
    <s v="045.674.938/0001-25"/>
    <x v="0"/>
    <s v="INCLUSAO  ANOT.INADIMPLENCIA"/>
    <x v="10"/>
    <x v="0"/>
    <s v="2024-09"/>
    <x v="2"/>
    <s v="ADMINISTRAÇÃO"/>
    <x v="0"/>
    <n v="0"/>
    <n v="1"/>
  </r>
  <r>
    <s v="050.164.951/0001-74"/>
    <x v="51"/>
    <s v="INCLUSAO  ANOT.INADIMPLENCIA"/>
    <x v="10"/>
    <x v="0"/>
    <s v="2024-09"/>
    <x v="2"/>
    <s v="ADMINISTRAÇÃO"/>
    <x v="51"/>
    <n v="0"/>
    <n v="1"/>
  </r>
  <r>
    <s v="048.144.853/0001-23"/>
    <x v="52"/>
    <s v="INCLUSAO  ANOT.INADIMPLENCIA"/>
    <x v="10"/>
    <x v="0"/>
    <s v="2024-09"/>
    <x v="2"/>
    <s v="ADMINISTRAÇÃO"/>
    <x v="52"/>
    <n v="0"/>
    <n v="1"/>
  </r>
  <r>
    <s v="010.497.973/0001-31"/>
    <x v="53"/>
    <s v="INCLUSAO  ANOT.INADIMPLENCIA"/>
    <x v="10"/>
    <x v="0"/>
    <s v="2024-09"/>
    <x v="2"/>
    <s v="ADMINISTRAÇÃO"/>
    <x v="53"/>
    <n v="0"/>
    <n v="1"/>
  </r>
  <r>
    <s v="023.911.356/0001-82"/>
    <x v="54"/>
    <s v="INCLUSAO  ANOT.INADIMPLENCIA"/>
    <x v="10"/>
    <x v="0"/>
    <s v="2024-09"/>
    <x v="2"/>
    <s v="ADMINISTRAÇÃO"/>
    <x v="54"/>
    <n v="0"/>
    <n v="1"/>
  </r>
  <r>
    <s v="020.066.300/0001-80"/>
    <x v="2"/>
    <s v="INCL/EXCL ANOT.INADIMPLENCIA"/>
    <x v="10"/>
    <x v="1"/>
    <s v="2024-09"/>
    <x v="2"/>
    <s v="CELIO PIMENTA"/>
    <x v="2"/>
    <n v="1"/>
    <n v="1"/>
  </r>
  <r>
    <s v="002.038.227/0001-51"/>
    <x v="55"/>
    <s v="INCLUSAO  ANOT.INADIMPLENCIA"/>
    <x v="10"/>
    <x v="1"/>
    <s v="2024-09"/>
    <x v="2"/>
    <s v="CELIO PIMENTA"/>
    <x v="55"/>
    <n v="0"/>
    <n v="1"/>
  </r>
  <r>
    <s v="025.236.865/0001-82"/>
    <x v="50"/>
    <s v="INCLUSAO  ANOT.INADIMPLENCIA"/>
    <x v="10"/>
    <x v="1"/>
    <s v="2024-09"/>
    <x v="2"/>
    <s v="CELIO PIMENTA"/>
    <x v="50"/>
    <n v="0"/>
    <n v="1"/>
  </r>
  <r>
    <s v="012.520.791/0001-60"/>
    <x v="4"/>
    <s v="INCLUSAO  ANOT.INADIMPLENCIA"/>
    <x v="10"/>
    <x v="1"/>
    <s v="2024-09"/>
    <x v="2"/>
    <s v="CELIO PIMENTA"/>
    <x v="4"/>
    <n v="0"/>
    <n v="1"/>
  </r>
  <r>
    <s v="016.757.535/0001-41"/>
    <x v="29"/>
    <s v="INCLUSAO  ANOT.INADIMPLENCIA"/>
    <x v="10"/>
    <x v="11"/>
    <s v="2024-09"/>
    <x v="2"/>
    <s v="DIOGO AZEVEDO"/>
    <x v="29"/>
    <n v="0"/>
    <n v="1"/>
  </r>
  <r>
    <s v="028.842.753/0001-63"/>
    <x v="49"/>
    <s v="INCLUSAO  ANOT.INADIMPLENCIA"/>
    <x v="10"/>
    <x v="15"/>
    <s v="2024-09"/>
    <x v="2"/>
    <s v="EDUARDO MATOSO"/>
    <x v="49"/>
    <n v="0"/>
    <n v="1"/>
  </r>
  <r>
    <s v="007.561.436/0001-07"/>
    <x v="34"/>
    <s v="INCLUSAO  ANOT.INADIMPLENCIA"/>
    <x v="10"/>
    <x v="12"/>
    <s v="2024-09"/>
    <x v="2"/>
    <s v="PROSPECTAR"/>
    <x v="34"/>
    <n v="0"/>
    <n v="1"/>
  </r>
  <r>
    <s v="015.414.962/0001-64"/>
    <x v="19"/>
    <s v="INCLUSAO  ANOT.INADIMPLENCIA"/>
    <x v="10"/>
    <x v="8"/>
    <s v="2024-09"/>
    <x v="2"/>
    <s v="GRUPO OTTO"/>
    <x v="19"/>
    <n v="0"/>
    <n v="1"/>
  </r>
  <r>
    <s v="002.246.382/0001-63"/>
    <x v="56"/>
    <s v="INCLUSAO  ANOT.INADIMPLENCIA"/>
    <x v="10"/>
    <x v="3"/>
    <s v="2024-09"/>
    <x v="2"/>
    <s v="MARCUS VINICIUS "/>
    <x v="56"/>
    <n v="0"/>
    <n v="1"/>
  </r>
  <r>
    <s v="008.991.603/0001-04"/>
    <x v="57"/>
    <s v="INCLUSAO  ANOT.INADIMPLENCIA"/>
    <x v="10"/>
    <x v="3"/>
    <s v="2024-09"/>
    <x v="2"/>
    <s v="MARCUS VINICIUS "/>
    <x v="57"/>
    <n v="0"/>
    <n v="1"/>
  </r>
  <r>
    <s v="019.709.129/0001-00"/>
    <x v="11"/>
    <s v="INCLUSAO  ANOT.INADIMPLENCIA"/>
    <x v="10"/>
    <x v="4"/>
    <s v="2024-09"/>
    <x v="2"/>
    <s v="NOELI SALETE"/>
    <x v="11"/>
    <n v="0"/>
    <n v="1"/>
  </r>
  <r>
    <s v="031.509.494/0001-68"/>
    <x v="14"/>
    <s v="INCLUSAO  ANOT.INADIMPLENCIA"/>
    <x v="10"/>
    <x v="5"/>
    <s v="2024-09"/>
    <x v="2"/>
    <s v="POENATELA"/>
    <x v="14"/>
    <n v="0"/>
    <n v="1"/>
  </r>
  <r>
    <s v="017.274.123/0001-13"/>
    <x v="58"/>
    <s v="EXCLUSAO  ANOT.INADIMPLENCIA"/>
    <x v="10"/>
    <x v="5"/>
    <s v="2024-09"/>
    <x v="2"/>
    <s v="POENATELA"/>
    <x v="58"/>
    <n v="1"/>
    <n v="0"/>
  </r>
  <r>
    <s v="013.746.252/0001-06"/>
    <x v="15"/>
    <s v="INCLUSAO  ANOT.INADIMPLENCIA"/>
    <x v="10"/>
    <x v="5"/>
    <s v="2024-09"/>
    <x v="2"/>
    <s v="POENATELA"/>
    <x v="15"/>
    <n v="0"/>
    <n v="1"/>
  </r>
  <r>
    <s v="046.700.220/0001-29"/>
    <x v="46"/>
    <s v="INCLUSAO  ANOT.INADIMPLENCIA"/>
    <x v="10"/>
    <x v="9"/>
    <s v="2024-09"/>
    <x v="2"/>
    <s v="PRISCILA METZ"/>
    <x v="46"/>
    <n v="0"/>
    <n v="1"/>
  </r>
  <r>
    <s v="011.122.552/0001-99"/>
    <x v="59"/>
    <s v="EXCLUSAO  ANOT.INADIMPLENCIA"/>
    <x v="10"/>
    <x v="6"/>
    <s v="2024-09"/>
    <x v="2"/>
    <s v="RAFAEL PARISE"/>
    <x v="59"/>
    <n v="1"/>
    <n v="0"/>
  </r>
  <r>
    <s v="071.350.797/0001-03"/>
    <x v="48"/>
    <s v="EXCLUSAO  ANOT.INADIMPLENCIA"/>
    <x v="10"/>
    <x v="10"/>
    <s v="2024-09"/>
    <x v="2"/>
    <s v="ROGERIO "/>
    <x v="48"/>
    <n v="1"/>
    <n v="0"/>
  </r>
  <r>
    <s v="018.581.853/0001-20"/>
    <x v="60"/>
    <s v="INCLUSAO  ANOT.INADIMPLENCIA"/>
    <x v="10"/>
    <x v="10"/>
    <s v="2024-09"/>
    <x v="2"/>
    <s v="ROGERIO "/>
    <x v="60"/>
    <n v="0"/>
    <n v="1"/>
  </r>
  <r>
    <s v="021.734.108/0001-88"/>
    <x v="41"/>
    <s v="INCLUSAO  ANOT.INADIMPLENCIA"/>
    <x v="11"/>
    <x v="0"/>
    <s v="2024-09"/>
    <x v="2"/>
    <s v="ADMINISTRAÇÃO"/>
    <x v="41"/>
    <n v="0"/>
    <n v="1"/>
  </r>
  <r>
    <s v="016.757.535/0001-41"/>
    <x v="29"/>
    <s v="INCLUSAO  ANOT.INADIMPLENCIA"/>
    <x v="11"/>
    <x v="11"/>
    <s v="2024-09"/>
    <x v="2"/>
    <s v="DIOGO AZEVEDO"/>
    <x v="29"/>
    <n v="0"/>
    <n v="1"/>
  </r>
  <r>
    <s v="008.712.271/0001-81"/>
    <x v="5"/>
    <s v="EXCLUSAO  ANOT.INADIMPLENCIA"/>
    <x v="11"/>
    <x v="0"/>
    <s v="2024-09"/>
    <x v="2"/>
    <s v="ADMINISTRAÇÃO"/>
    <x v="5"/>
    <n v="1"/>
    <n v="0"/>
  </r>
  <r>
    <s v="000.803.044/0001-50"/>
    <x v="45"/>
    <s v="EXCLUSAO  ANOT.INADIMPLENCIA"/>
    <x v="11"/>
    <x v="0"/>
    <s v="2024-09"/>
    <x v="2"/>
    <s v="ADMINISTRAÇÃO"/>
    <x v="45"/>
    <n v="1"/>
    <n v="0"/>
  </r>
  <r>
    <s v="014.763.606/0001-93"/>
    <x v="10"/>
    <s v="INCLUSAO  ANOT.INADIMPLENCIA"/>
    <x v="11"/>
    <x v="4"/>
    <s v="2024-09"/>
    <x v="2"/>
    <s v="NOELI SALETE"/>
    <x v="10"/>
    <n v="0"/>
    <n v="1"/>
  </r>
  <r>
    <s v="019.709.129/0001-00"/>
    <x v="11"/>
    <s v="INCLUSAO  ANOT.INADIMPLENCIA"/>
    <x v="11"/>
    <x v="4"/>
    <s v="2024-09"/>
    <x v="2"/>
    <s v="NOELI SALETE"/>
    <x v="11"/>
    <n v="0"/>
    <n v="1"/>
  </r>
  <r>
    <s v="006.236.494/0001-94"/>
    <x v="61"/>
    <s v="INCLUSAO  ANOT.INADIMPLENCIA"/>
    <x v="11"/>
    <x v="5"/>
    <s v="2024-09"/>
    <x v="2"/>
    <s v="POENATELA"/>
    <x v="61"/>
    <n v="0"/>
    <n v="1"/>
  </r>
  <r>
    <s v="031.509.494/0001-68"/>
    <x v="14"/>
    <s v="INCLUSAO  ANOT.INADIMPLENCIA"/>
    <x v="11"/>
    <x v="5"/>
    <s v="2024-09"/>
    <x v="2"/>
    <s v="POENATELA"/>
    <x v="14"/>
    <n v="0"/>
    <n v="1"/>
  </r>
  <r>
    <s v="013.746.252/0001-06"/>
    <x v="15"/>
    <s v="INCLUSAO  ANOT.INADIMPLENCIA"/>
    <x v="11"/>
    <x v="5"/>
    <s v="2024-09"/>
    <x v="2"/>
    <s v="POENATELA"/>
    <x v="15"/>
    <n v="0"/>
    <n v="1"/>
  </r>
  <r>
    <s v="046.700.220/0001-29"/>
    <x v="46"/>
    <s v="INCLUSAO  ANOT.INADIMPLENCIA"/>
    <x v="11"/>
    <x v="9"/>
    <s v="2024-09"/>
    <x v="2"/>
    <s v="PRISCILA METZ"/>
    <x v="46"/>
    <n v="0"/>
    <n v="1"/>
  </r>
  <r>
    <s v="021.473.575/0001-00"/>
    <x v="62"/>
    <s v="INCLUSAO  ANOT.INADIMPLENCIA"/>
    <x v="11"/>
    <x v="9"/>
    <s v="2024-09"/>
    <x v="2"/>
    <s v="PRISCILA METZ"/>
    <x v="62"/>
    <n v="0"/>
    <n v="1"/>
  </r>
  <r>
    <s v="055.979.736/0001-45"/>
    <x v="63"/>
    <s v="INCLUSAO  ANOT.INADIMPLENCIA"/>
    <x v="11"/>
    <x v="16"/>
    <s v="2024-09"/>
    <x v="2"/>
    <s v="SACADO"/>
    <x v="63"/>
    <n v="0"/>
    <n v="1"/>
  </r>
  <r>
    <s v="038.945.487/0001-58"/>
    <x v="36"/>
    <s v="INCLUSAO  ANOT.INADIMPLENCIA"/>
    <x v="12"/>
    <x v="0"/>
    <s v="2024-09"/>
    <x v="2"/>
    <s v="ADMINISTRAÇÃO"/>
    <x v="36"/>
    <n v="0"/>
    <n v="1"/>
  </r>
  <r>
    <s v="012.520.791/0001-60"/>
    <x v="4"/>
    <s v="INCLUSAO  ANOT.INADIMPLENCIA"/>
    <x v="12"/>
    <x v="1"/>
    <s v="2024-09"/>
    <x v="2"/>
    <s v="CELIO PIMENTA"/>
    <x v="4"/>
    <n v="0"/>
    <n v="1"/>
  </r>
  <r>
    <s v="007.102.721/0001-51"/>
    <x v="44"/>
    <s v="EXCLUSAO  ANOT.INADIMPLENCIA"/>
    <x v="12"/>
    <x v="12"/>
    <s v="2024-09"/>
    <x v="2"/>
    <s v="PROSPECTAR"/>
    <x v="44"/>
    <n v="1"/>
    <n v="0"/>
  </r>
  <r>
    <s v="011.091.574/0001-39"/>
    <x v="26"/>
    <s v="EXCLUSAO  ANOT.INADIMPLENCIA"/>
    <x v="12"/>
    <x v="5"/>
    <s v="2024-09"/>
    <x v="2"/>
    <s v="POENATELA"/>
    <x v="26"/>
    <n v="1"/>
    <n v="0"/>
  </r>
  <r>
    <s v="031.509.494/0001-68"/>
    <x v="14"/>
    <s v="INCL/EXCL ANOT.INADIMPLENCIA"/>
    <x v="12"/>
    <x v="5"/>
    <s v="2024-09"/>
    <x v="2"/>
    <s v="POENATELA"/>
    <x v="14"/>
    <n v="1"/>
    <n v="1"/>
  </r>
  <r>
    <s v="013.746.252/0001-06"/>
    <x v="15"/>
    <s v="INCL/EXCL ANOT.INADIMPLENCIA"/>
    <x v="12"/>
    <x v="5"/>
    <s v="2024-09"/>
    <x v="2"/>
    <s v="POENATELA"/>
    <x v="15"/>
    <n v="1"/>
    <n v="1"/>
  </r>
  <r>
    <s v="023.605.544/0001-82"/>
    <x v="21"/>
    <s v="INCLUSAO  ANOT.INADIMPLENCIA"/>
    <x v="12"/>
    <x v="9"/>
    <s v="2024-09"/>
    <x v="2"/>
    <s v="PRISCILA METZ"/>
    <x v="21"/>
    <n v="0"/>
    <n v="1"/>
  </r>
  <r>
    <s v="046.700.220/0001-29"/>
    <x v="46"/>
    <s v="INCLUSAO  ANOT.INADIMPLENCIA"/>
    <x v="12"/>
    <x v="9"/>
    <s v="2024-09"/>
    <x v="2"/>
    <s v="PRISCILA METZ"/>
    <x v="46"/>
    <n v="0"/>
    <n v="1"/>
  </r>
  <r>
    <s v="032.621.233/0001-06"/>
    <x v="64"/>
    <s v="EXCLUSAO  ANOT.INADIMPLENCIA"/>
    <x v="12"/>
    <x v="10"/>
    <s v="2024-09"/>
    <x v="2"/>
    <s v="ROGERIO "/>
    <x v="64"/>
    <n v="1"/>
    <n v="0"/>
  </r>
  <r>
    <s v="055.979.736/0001-45"/>
    <x v="63"/>
    <s v="EXCLUSAO  ANOT.INADIMPLENCIA"/>
    <x v="12"/>
    <x v="16"/>
    <s v="2024-09"/>
    <x v="2"/>
    <s v="SACADO"/>
    <x v="63"/>
    <n v="1"/>
    <n v="0"/>
  </r>
  <r>
    <s v="043.515.558/0001-12"/>
    <x v="22"/>
    <s v="EXCLUSAO  ANOT.INADIMPLENCIA"/>
    <x v="12"/>
    <x v="10"/>
    <s v="2024-09"/>
    <x v="2"/>
    <s v="ROGERIO "/>
    <x v="22"/>
    <n v="1"/>
    <n v="0"/>
  </r>
  <r>
    <s v="020.628.376/0001-52"/>
    <x v="65"/>
    <s v="INCLUSAO  ANOT.INADIMPLENCIA"/>
    <x v="13"/>
    <x v="0"/>
    <s v="2024-09"/>
    <x v="2"/>
    <s v="ADMINISTRAÇÃO"/>
    <x v="65"/>
    <n v="0"/>
    <n v="1"/>
  </r>
  <r>
    <s v="020.066.300/0001-80"/>
    <x v="2"/>
    <s v="INCLUSAO  ANOT.INADIMPLENCIA"/>
    <x v="13"/>
    <x v="1"/>
    <s v="2024-09"/>
    <x v="2"/>
    <s v="CELIO PIMENTA"/>
    <x v="2"/>
    <n v="0"/>
    <n v="1"/>
  </r>
  <r>
    <s v="003.590.360/0001-89"/>
    <x v="3"/>
    <s v="EXCLUSAO  ANOT.INADIMPLENCIA"/>
    <x v="13"/>
    <x v="1"/>
    <s v="2024-09"/>
    <x v="2"/>
    <s v="CELIO PIMENTA"/>
    <x v="3"/>
    <n v="1"/>
    <n v="0"/>
  </r>
  <r>
    <s v="029.030.307/0001-17"/>
    <x v="43"/>
    <s v="INCLUSAO  ANOT.INADIMPLENCIA"/>
    <x v="13"/>
    <x v="1"/>
    <s v="2024-09"/>
    <x v="2"/>
    <s v="CELIO PIMENTA"/>
    <x v="43"/>
    <n v="0"/>
    <n v="1"/>
  </r>
  <r>
    <s v="015.414.962/0001-64"/>
    <x v="19"/>
    <s v="EXCLUSAO  ANOT.INADIMPLENCIA"/>
    <x v="13"/>
    <x v="8"/>
    <s v="2024-09"/>
    <x v="2"/>
    <s v="GRUPO OTTO"/>
    <x v="19"/>
    <n v="1"/>
    <n v="0"/>
  </r>
  <r>
    <s v="004.622.554/0001-81"/>
    <x v="66"/>
    <s v="EXCLUSAO  ANOT.INADIMPLENCIA"/>
    <x v="13"/>
    <x v="4"/>
    <s v="2024-09"/>
    <x v="2"/>
    <s v="NOELI SALETE"/>
    <x v="66"/>
    <n v="1"/>
    <n v="0"/>
  </r>
  <r>
    <s v="014.763.606/0001-93"/>
    <x v="10"/>
    <s v="EXCLUSAO  ANOT.INADIMPLENCIA"/>
    <x v="13"/>
    <x v="4"/>
    <s v="2024-09"/>
    <x v="2"/>
    <s v="NOELI SALETE"/>
    <x v="10"/>
    <n v="1"/>
    <n v="0"/>
  </r>
  <r>
    <s v="019.709.129/0001-00"/>
    <x v="11"/>
    <s v="INCLUSAO  ANOT.INADIMPLENCIA"/>
    <x v="13"/>
    <x v="4"/>
    <s v="2024-09"/>
    <x v="2"/>
    <s v="NOELI SALETE"/>
    <x v="11"/>
    <n v="0"/>
    <n v="1"/>
  </r>
  <r>
    <s v="031.509.494/0001-68"/>
    <x v="14"/>
    <s v="INCL/EXCL ANOT.INADIMPLENCIA"/>
    <x v="13"/>
    <x v="5"/>
    <s v="2024-09"/>
    <x v="2"/>
    <s v="POENATELA"/>
    <x v="14"/>
    <n v="1"/>
    <n v="1"/>
  </r>
  <r>
    <s v="013.746.252/0001-06"/>
    <x v="15"/>
    <s v="EXCLUSAO  ANOT.INADIMPLENCIA"/>
    <x v="13"/>
    <x v="5"/>
    <s v="2024-09"/>
    <x v="2"/>
    <s v="POENATELA"/>
    <x v="15"/>
    <n v="1"/>
    <n v="0"/>
  </r>
  <r>
    <s v="018.581.853/0001-20"/>
    <x v="60"/>
    <s v="EXCLUSAO  ANOT.INADIMPLENCIA"/>
    <x v="13"/>
    <x v="10"/>
    <s v="2024-09"/>
    <x v="2"/>
    <s v="ROGERIO "/>
    <x v="60"/>
    <n v="1"/>
    <n v="0"/>
  </r>
  <r>
    <s v="008.785.522/0001-58"/>
    <x v="17"/>
    <s v="INCLUSAO  ANOT.INADIMPLENCIA"/>
    <x v="13"/>
    <x v="7"/>
    <s v="2024-09"/>
    <x v="2"/>
    <s v="WHELKYA IRIS"/>
    <x v="17"/>
    <n v="0"/>
    <n v="1"/>
  </r>
  <r>
    <s v="034.964.228/0001-13"/>
    <x v="23"/>
    <s v="INCLUSAO  ANOT.INADIMPLENCIA"/>
    <x v="14"/>
    <x v="0"/>
    <s v="2024-09"/>
    <x v="2"/>
    <s v="ADMINISTRAÇÃO"/>
    <x v="23"/>
    <n v="0"/>
    <n v="1"/>
  </r>
  <r>
    <s v="035.345.406/0001-90"/>
    <x v="40"/>
    <s v="EXCLUSAO  ANOT.INADIMPLENCIA"/>
    <x v="14"/>
    <x v="0"/>
    <s v="2024-09"/>
    <x v="2"/>
    <s v="ADMINISTRAÇÃO"/>
    <x v="40"/>
    <n v="1"/>
    <n v="0"/>
  </r>
  <r>
    <s v="020.066.300/0001-80"/>
    <x v="2"/>
    <s v="INCLUSAO  ANOT.INADIMPLENCIA"/>
    <x v="14"/>
    <x v="1"/>
    <s v="2024-09"/>
    <x v="2"/>
    <s v="CELIO PIMENTA"/>
    <x v="2"/>
    <n v="0"/>
    <n v="1"/>
  </r>
  <r>
    <s v="012.520.791/0001-60"/>
    <x v="4"/>
    <s v="EXCLUSAO  ANOT.INADIMPLENCIA"/>
    <x v="14"/>
    <x v="1"/>
    <s v="2024-09"/>
    <x v="2"/>
    <s v="CELIO PIMENTA"/>
    <x v="4"/>
    <n v="1"/>
    <n v="0"/>
  </r>
  <r>
    <s v="000.803.044/0001-50"/>
    <x v="45"/>
    <s v="EXCLUSAO  ANOT.INADIMPLENCIA"/>
    <x v="14"/>
    <x v="0"/>
    <s v="2024-09"/>
    <x v="2"/>
    <s v="ADMINISTRAÇÃO"/>
    <x v="45"/>
    <n v="1"/>
    <n v="0"/>
  </r>
  <r>
    <s v="014.763.606/0001-93"/>
    <x v="10"/>
    <s v="INCLUSAO  ANOT.INADIMPLENCIA"/>
    <x v="14"/>
    <x v="4"/>
    <s v="2024-09"/>
    <x v="2"/>
    <s v="NOELI SALETE"/>
    <x v="10"/>
    <n v="0"/>
    <n v="1"/>
  </r>
  <r>
    <s v="019.709.129/0001-00"/>
    <x v="11"/>
    <s v="INCLUSAO  ANOT.INADIMPLENCIA"/>
    <x v="14"/>
    <x v="4"/>
    <s v="2024-09"/>
    <x v="2"/>
    <s v="NOELI SALETE"/>
    <x v="11"/>
    <n v="0"/>
    <n v="1"/>
  </r>
  <r>
    <s v="031.509.494/0001-68"/>
    <x v="14"/>
    <s v="INCL/EXCL ANOT.INADIMPLENCIA"/>
    <x v="14"/>
    <x v="5"/>
    <s v="2024-09"/>
    <x v="2"/>
    <s v="POENATELA"/>
    <x v="14"/>
    <n v="1"/>
    <n v="1"/>
  </r>
  <r>
    <s v="013.746.252/0001-06"/>
    <x v="15"/>
    <s v="INCL/EXCL ANOT.INADIMPLENCIA"/>
    <x v="14"/>
    <x v="5"/>
    <s v="2024-09"/>
    <x v="2"/>
    <s v="POENATELA"/>
    <x v="15"/>
    <n v="1"/>
    <n v="1"/>
  </r>
  <r>
    <s v="046.700.220/0001-29"/>
    <x v="46"/>
    <s v="INCLUSAO  ANOT.INADIMPLENCIA"/>
    <x v="14"/>
    <x v="9"/>
    <s v="2024-09"/>
    <x v="2"/>
    <s v="PRISCILA METZ"/>
    <x v="46"/>
    <n v="0"/>
    <n v="1"/>
  </r>
  <r>
    <s v="012.804.762/0001-20"/>
    <x v="67"/>
    <s v="INCLUSAO  ANOT.INADIMPLENCIA"/>
    <x v="14"/>
    <x v="0"/>
    <s v="2024-09"/>
    <x v="2"/>
    <s v="ADMINISTRAÇÃO"/>
    <x v="67"/>
    <n v="0"/>
    <n v="1"/>
  </r>
  <r>
    <s v="046.140.062/0001-08"/>
    <x v="68"/>
    <s v="ALTERACAO RAMO DE ATIVIDADE"/>
    <x v="15"/>
    <x v="4"/>
    <s v="2024-09"/>
    <x v="3"/>
    <s v="NOELI SALETE"/>
    <x v="68"/>
    <n v="0"/>
    <n v="0"/>
  </r>
  <r>
    <s v="046.140.062/0001-08"/>
    <x v="68"/>
    <s v="INCLUSAO  ANOT.INADIMPLENCIA"/>
    <x v="15"/>
    <x v="4"/>
    <s v="2024-09"/>
    <x v="3"/>
    <s v="NOELI SALETE"/>
    <x v="68"/>
    <n v="0"/>
    <n v="1"/>
  </r>
  <r>
    <s v="003.590.360/0001-89"/>
    <x v="3"/>
    <s v="INCLUSAO  ANOT.INADIMPLENCIA"/>
    <x v="16"/>
    <x v="1"/>
    <s v="2024-09"/>
    <x v="3"/>
    <s v="CELIO PIMENTA"/>
    <x v="3"/>
    <n v="0"/>
    <n v="1"/>
  </r>
  <r>
    <s v="016.772.642/0001-49"/>
    <x v="69"/>
    <s v="INCLUSAO  ANOT.INADIMPLENCIA"/>
    <x v="17"/>
    <x v="0"/>
    <s v="2024-09"/>
    <x v="3"/>
    <s v="ADMINISTRAÇÃO"/>
    <x v="69"/>
    <n v="0"/>
    <n v="1"/>
  </r>
  <r>
    <s v="006.107.454/0001-42"/>
    <x v="42"/>
    <s v="INCLUSAO  ANOT.INADIMPLENCIA"/>
    <x v="17"/>
    <x v="0"/>
    <s v="2024-09"/>
    <x v="3"/>
    <s v="ADMINISTRAÇÃO"/>
    <x v="42"/>
    <n v="0"/>
    <n v="1"/>
  </r>
  <r>
    <s v="020.066.300/0001-80"/>
    <x v="2"/>
    <s v="INCLUSAO  ANOT.INADIMPLENCIA"/>
    <x v="17"/>
    <x v="1"/>
    <s v="2024-09"/>
    <x v="3"/>
    <s v="CELIO PIMENTA"/>
    <x v="2"/>
    <n v="0"/>
    <n v="1"/>
  </r>
  <r>
    <s v="007.102.721/0001-51"/>
    <x v="44"/>
    <s v="EXCLUSAO  ANOT.INADIMPLENCIA"/>
    <x v="17"/>
    <x v="12"/>
    <s v="2024-09"/>
    <x v="3"/>
    <s v="PROSPECTAR"/>
    <x v="44"/>
    <n v="1"/>
    <n v="0"/>
  </r>
  <r>
    <s v="015.414.962/0001-64"/>
    <x v="19"/>
    <s v="INCLUSAO  ANOT.INADIMPLENCIA"/>
    <x v="17"/>
    <x v="8"/>
    <s v="2024-09"/>
    <x v="3"/>
    <s v="GRUPO OTTO"/>
    <x v="19"/>
    <n v="0"/>
    <n v="1"/>
  </r>
  <r>
    <s v="008.712.271/0001-81"/>
    <x v="5"/>
    <s v="EXCLUSAO  ANOT.INADIMPLENCIA"/>
    <x v="17"/>
    <x v="0"/>
    <s v="2024-09"/>
    <x v="3"/>
    <s v="ADMINISTRAÇÃO"/>
    <x v="5"/>
    <n v="1"/>
    <n v="0"/>
  </r>
  <r>
    <s v="019.450.138/0001-10"/>
    <x v="70"/>
    <s v="EXCLUSAO  ANOT.INADIMPLENCIA"/>
    <x v="17"/>
    <x v="17"/>
    <s v="2024-09"/>
    <x v="3"/>
    <s v="MARCIO LEONEL"/>
    <x v="70"/>
    <n v="1"/>
    <n v="0"/>
  </r>
  <r>
    <s v="003.929.683/0001-54"/>
    <x v="6"/>
    <s v="INCL/EXCL ANOT.INADIMPLENCIA"/>
    <x v="17"/>
    <x v="2"/>
    <s v="2024-09"/>
    <x v="3"/>
    <s v="MARCOS SOUZA"/>
    <x v="6"/>
    <n v="1"/>
    <n v="1"/>
  </r>
  <r>
    <s v="025.825.654/0001-85"/>
    <x v="7"/>
    <s v="INCLUSAO  ANOT.INADIMPLENCIA"/>
    <x v="17"/>
    <x v="3"/>
    <s v="2024-09"/>
    <x v="3"/>
    <s v="MARCUS VINICIUS "/>
    <x v="7"/>
    <n v="0"/>
    <n v="1"/>
  </r>
  <r>
    <s v="034.821.586/0001-77"/>
    <x v="38"/>
    <s v="INCLUSAO  ANOT.INADIMPLENCIA"/>
    <x v="17"/>
    <x v="3"/>
    <s v="2024-09"/>
    <x v="3"/>
    <s v="MARCUS VINICIUS "/>
    <x v="38"/>
    <n v="0"/>
    <n v="1"/>
  </r>
  <r>
    <s v="014.763.606/0001-93"/>
    <x v="10"/>
    <s v="INCLUSAO  ANOT.INADIMPLENCIA"/>
    <x v="17"/>
    <x v="4"/>
    <s v="2024-09"/>
    <x v="3"/>
    <s v="NOELI SALETE"/>
    <x v="10"/>
    <n v="0"/>
    <n v="1"/>
  </r>
  <r>
    <s v="019.709.129/0001-00"/>
    <x v="11"/>
    <s v="INCL/EXCL ANOT.INADIMPLENCIA"/>
    <x v="17"/>
    <x v="4"/>
    <s v="2024-09"/>
    <x v="3"/>
    <s v="NOELI SALETE"/>
    <x v="11"/>
    <n v="1"/>
    <n v="1"/>
  </r>
  <r>
    <s v="031.509.494/0001-68"/>
    <x v="14"/>
    <s v="INCL/EXCL ANOT.INADIMPLENCIA"/>
    <x v="17"/>
    <x v="5"/>
    <s v="2024-09"/>
    <x v="3"/>
    <s v="POENATELA"/>
    <x v="14"/>
    <n v="1"/>
    <n v="1"/>
  </r>
  <r>
    <s v="013.746.252/0001-06"/>
    <x v="15"/>
    <s v="INCLUSAO  ANOT.INADIMPLENCIA"/>
    <x v="17"/>
    <x v="5"/>
    <s v="2024-09"/>
    <x v="3"/>
    <s v="POENATELA"/>
    <x v="15"/>
    <n v="0"/>
    <n v="1"/>
  </r>
  <r>
    <s v="046.700.220/0001-29"/>
    <x v="46"/>
    <s v="INCLUSAO  ANOT.INADIMPLENCIA"/>
    <x v="17"/>
    <x v="9"/>
    <s v="2024-09"/>
    <x v="3"/>
    <s v="PRISCILA METZ"/>
    <x v="46"/>
    <n v="0"/>
    <n v="1"/>
  </r>
  <r>
    <s v="012.804.762/0001-20"/>
    <x v="67"/>
    <s v="EXCLUSAO  ANOT.INADIMPLENCIA"/>
    <x v="17"/>
    <x v="0"/>
    <s v="2024-09"/>
    <x v="3"/>
    <s v="ADMINISTRAÇÃO"/>
    <x v="67"/>
    <n v="1"/>
    <n v="0"/>
  </r>
  <r>
    <s v="021.734.108/0001-88"/>
    <x v="41"/>
    <s v="INCLUSAO  ANOT.INADIMPLENCIA"/>
    <x v="18"/>
    <x v="0"/>
    <s v="2024-09"/>
    <x v="3"/>
    <s v="ADMINISTRAÇÃO"/>
    <x v="41"/>
    <n v="0"/>
    <n v="1"/>
  </r>
  <r>
    <s v="020.066.300/0001-80"/>
    <x v="2"/>
    <s v="INCLUSAO  ANOT.INADIMPLENCIA"/>
    <x v="18"/>
    <x v="1"/>
    <s v="2024-09"/>
    <x v="3"/>
    <s v="CELIO PIMENTA"/>
    <x v="2"/>
    <n v="0"/>
    <n v="1"/>
  </r>
  <r>
    <s v="029.030.307/0001-17"/>
    <x v="43"/>
    <s v="INCLUSAO  ANOT.INADIMPLENCIA"/>
    <x v="18"/>
    <x v="1"/>
    <s v="2024-09"/>
    <x v="3"/>
    <s v="CELIO PIMENTA"/>
    <x v="43"/>
    <n v="0"/>
    <n v="1"/>
  </r>
  <r>
    <s v="007.561.436/0001-07"/>
    <x v="34"/>
    <s v="INCLUSAO  ANOT.INADIMPLENCIA"/>
    <x v="18"/>
    <x v="12"/>
    <s v="2024-09"/>
    <x v="3"/>
    <s v="PROSPECTAR"/>
    <x v="34"/>
    <n v="0"/>
    <n v="1"/>
  </r>
  <r>
    <s v="019.450.138/0001-10"/>
    <x v="70"/>
    <s v="INCLUSAO  ANOT.INADIMPLENCIA"/>
    <x v="18"/>
    <x v="17"/>
    <s v="2024-09"/>
    <x v="3"/>
    <s v="MARCIO LEONEL"/>
    <x v="70"/>
    <n v="0"/>
    <n v="1"/>
  </r>
  <r>
    <s v="019.709.129/0001-00"/>
    <x v="11"/>
    <s v="INCL/EXCL ANOT.INADIMPLENCIA"/>
    <x v="18"/>
    <x v="4"/>
    <s v="2024-09"/>
    <x v="3"/>
    <s v="NOELI SALETE"/>
    <x v="11"/>
    <n v="1"/>
    <n v="1"/>
  </r>
  <r>
    <s v="031.509.494/0001-68"/>
    <x v="14"/>
    <s v="INCLUSAO  ANOT.INADIMPLENCIA"/>
    <x v="18"/>
    <x v="5"/>
    <s v="2024-09"/>
    <x v="3"/>
    <s v="POENATELA"/>
    <x v="14"/>
    <n v="0"/>
    <n v="1"/>
  </r>
  <r>
    <s v="013.746.252/0001-06"/>
    <x v="15"/>
    <s v="INCLUSAO  ANOT.INADIMPLENCIA"/>
    <x v="18"/>
    <x v="5"/>
    <s v="2024-09"/>
    <x v="3"/>
    <s v="POENATELA"/>
    <x v="15"/>
    <n v="0"/>
    <n v="1"/>
  </r>
  <r>
    <s v="034.964.228/0001-13"/>
    <x v="23"/>
    <s v="EXCLUSAO  ANOT.INADIMPLENCIA"/>
    <x v="19"/>
    <x v="0"/>
    <s v="2024-09"/>
    <x v="3"/>
    <s v="ADMINISTRAÇÃO"/>
    <x v="23"/>
    <n v="1"/>
    <n v="0"/>
  </r>
  <r>
    <s v="023.911.356/0001-82"/>
    <x v="54"/>
    <s v="EXCLUSAO  ANOT.INADIMPLENCIA"/>
    <x v="19"/>
    <x v="0"/>
    <s v="2024-09"/>
    <x v="3"/>
    <s v="ADMINISTRAÇÃO"/>
    <x v="54"/>
    <n v="1"/>
    <n v="0"/>
  </r>
  <r>
    <s v="020.066.300/0001-80"/>
    <x v="2"/>
    <s v="INCLUSAO  ANOT.INADIMPLENCIA"/>
    <x v="19"/>
    <x v="1"/>
    <s v="2024-09"/>
    <x v="3"/>
    <s v="CELIO PIMENTA"/>
    <x v="2"/>
    <n v="0"/>
    <n v="1"/>
  </r>
  <r>
    <s v="015.414.962/0001-64"/>
    <x v="19"/>
    <s v="INCLUSAO  ANOT.INADIMPLENCIA"/>
    <x v="19"/>
    <x v="8"/>
    <s v="2024-09"/>
    <x v="3"/>
    <s v="GRUPO OTTO"/>
    <x v="19"/>
    <n v="0"/>
    <n v="1"/>
  </r>
  <r>
    <s v="034.821.586/0001-77"/>
    <x v="38"/>
    <s v="INCLUSAO  ANOT.INADIMPLENCIA"/>
    <x v="19"/>
    <x v="3"/>
    <s v="2024-09"/>
    <x v="3"/>
    <s v="MARCUS VINICIUS "/>
    <x v="38"/>
    <n v="0"/>
    <n v="1"/>
  </r>
  <r>
    <s v="045.871.536/0001-10"/>
    <x v="71"/>
    <s v="INCLUSAO  ANOT.INADIMPLENCIA"/>
    <x v="19"/>
    <x v="3"/>
    <s v="2024-09"/>
    <x v="3"/>
    <s v="MARCUS VINICIUS "/>
    <x v="71"/>
    <n v="0"/>
    <n v="1"/>
  </r>
  <r>
    <s v="005.350.235/0001-27"/>
    <x v="72"/>
    <s v="EXCLUSAO  ANOT.INADIMPLENCIA"/>
    <x v="19"/>
    <x v="3"/>
    <s v="2024-09"/>
    <x v="3"/>
    <s v="MARCUS VINICIUS "/>
    <x v="72"/>
    <n v="1"/>
    <n v="0"/>
  </r>
  <r>
    <s v="031.509.494/0001-68"/>
    <x v="14"/>
    <s v="EXCLUSAO  ANOT.INADIMPLENCIA"/>
    <x v="19"/>
    <x v="5"/>
    <s v="2024-09"/>
    <x v="3"/>
    <s v="POENATELA"/>
    <x v="14"/>
    <n v="1"/>
    <n v="0"/>
  </r>
  <r>
    <s v="013.746.252/0001-06"/>
    <x v="15"/>
    <s v="INCLUSAO  ANOT.INADIMPLENCIA"/>
    <x v="19"/>
    <x v="5"/>
    <s v="2024-09"/>
    <x v="3"/>
    <s v="POENATELA"/>
    <x v="15"/>
    <n v="0"/>
    <n v="1"/>
  </r>
  <r>
    <s v="071.350.797/0001-03"/>
    <x v="48"/>
    <s v="INCLUSAO  ANOT.INADIMPLENCIA"/>
    <x v="19"/>
    <x v="10"/>
    <s v="2024-09"/>
    <x v="3"/>
    <s v="ROGERIO "/>
    <x v="48"/>
    <n v="0"/>
    <n v="1"/>
  </r>
  <r>
    <s v="016.772.642/0001-49"/>
    <x v="69"/>
    <s v="EXCLUSAO  ANOT.INADIMPLENCIA"/>
    <x v="20"/>
    <x v="0"/>
    <s v="2024-09"/>
    <x v="3"/>
    <s v="ADMINISTRAÇÃO"/>
    <x v="69"/>
    <n v="1"/>
    <n v="0"/>
  </r>
  <r>
    <s v="020.066.300/0001-80"/>
    <x v="2"/>
    <s v="INCL/EXCL ANOT.INADIMPLENCIA"/>
    <x v="20"/>
    <x v="1"/>
    <s v="2024-09"/>
    <x v="3"/>
    <s v="CELIO PIMENTA"/>
    <x v="2"/>
    <n v="1"/>
    <n v="1"/>
  </r>
  <r>
    <s v="003.590.360/0001-89"/>
    <x v="3"/>
    <s v="EXCLUSAO  ANOT.INADIMPLENCIA"/>
    <x v="20"/>
    <x v="1"/>
    <s v="2024-09"/>
    <x v="3"/>
    <s v="CELIO PIMENTA"/>
    <x v="3"/>
    <n v="1"/>
    <n v="0"/>
  </r>
  <r>
    <s v="012.520.791/0001-60"/>
    <x v="4"/>
    <s v="INCLUSAO  ANOT.INADIMPLENCIA"/>
    <x v="20"/>
    <x v="1"/>
    <s v="2024-09"/>
    <x v="3"/>
    <s v="CELIO PIMENTA"/>
    <x v="4"/>
    <n v="0"/>
    <n v="1"/>
  </r>
  <r>
    <s v="003.929.683/0001-54"/>
    <x v="6"/>
    <s v="INCLUSAO  ANOT.INADIMPLENCIA"/>
    <x v="20"/>
    <x v="2"/>
    <s v="2024-09"/>
    <x v="3"/>
    <s v="MARCOS SOUZA"/>
    <x v="6"/>
    <n v="0"/>
    <n v="1"/>
  </r>
  <r>
    <s v="002.246.382/0001-63"/>
    <x v="56"/>
    <s v="INCLUSAO  ANOT.INADIMPLENCIA"/>
    <x v="20"/>
    <x v="3"/>
    <s v="2024-09"/>
    <x v="3"/>
    <s v="MARCUS VINICIUS "/>
    <x v="56"/>
    <n v="0"/>
    <n v="1"/>
  </r>
  <r>
    <s v="002.246.382/0001-63"/>
    <x v="56"/>
    <s v="INCLUSAO  ANOT.INADIMPLENCIA"/>
    <x v="20"/>
    <x v="3"/>
    <s v="2024-09"/>
    <x v="3"/>
    <s v="MARCUS VINICIUS "/>
    <x v="56"/>
    <n v="0"/>
    <n v="1"/>
  </r>
  <r>
    <s v="005.350.235/0001-27"/>
    <x v="72"/>
    <s v="INCLUSAO  ANOT.INADIMPLENCIA"/>
    <x v="20"/>
    <x v="3"/>
    <s v="2024-09"/>
    <x v="3"/>
    <s v="MARCUS VINICIUS "/>
    <x v="72"/>
    <n v="0"/>
    <n v="1"/>
  </r>
  <r>
    <s v="005.350.235/0001-27"/>
    <x v="72"/>
    <s v="INCLUSAO  ANOT.INADIMPLENCIA"/>
    <x v="20"/>
    <x v="3"/>
    <s v="2024-09"/>
    <x v="3"/>
    <s v="MARCUS VINICIUS "/>
    <x v="72"/>
    <n v="0"/>
    <n v="1"/>
  </r>
  <r>
    <s v="019.709.129/0001-00"/>
    <x v="11"/>
    <s v="INCLUSAO  ANOT.INADIMPLENCIA"/>
    <x v="20"/>
    <x v="4"/>
    <s v="2024-09"/>
    <x v="3"/>
    <s v="NOELI SALETE"/>
    <x v="11"/>
    <n v="0"/>
    <n v="1"/>
  </r>
  <r>
    <s v="031.509.494/0001-68"/>
    <x v="14"/>
    <s v="EXCLUSAO  ANOT.INADIMPLENCIA"/>
    <x v="20"/>
    <x v="5"/>
    <s v="2024-09"/>
    <x v="3"/>
    <s v="POENATELA"/>
    <x v="14"/>
    <n v="1"/>
    <n v="0"/>
  </r>
  <r>
    <s v="013.746.252/0001-06"/>
    <x v="15"/>
    <s v="INCLUSAO  ANOT.INADIMPLENCIA"/>
    <x v="20"/>
    <x v="5"/>
    <s v="2024-09"/>
    <x v="3"/>
    <s v="POENATELA"/>
    <x v="15"/>
    <n v="0"/>
    <n v="1"/>
  </r>
  <r>
    <s v="014.514.481/0001-68"/>
    <x v="73"/>
    <s v="INCLUSAO  ANOT.INADIMPLENCIA"/>
    <x v="20"/>
    <x v="9"/>
    <s v="2024-09"/>
    <x v="3"/>
    <s v="PRISCILA METZ"/>
    <x v="73"/>
    <n v="0"/>
    <n v="1"/>
  </r>
  <r>
    <s v="044.320.551/0001-08"/>
    <x v="74"/>
    <s v="INCLUSAO  ANOT.INADIMPLENCIA"/>
    <x v="21"/>
    <x v="0"/>
    <s v="2024-10"/>
    <x v="4"/>
    <s v="ADMINISTRAÇÃO"/>
    <x v="74"/>
    <n v="0"/>
    <n v="1"/>
  </r>
  <r>
    <s v="004.126.524/0001-84"/>
    <x v="28"/>
    <s v="EXCLUSAO  ANOT.INADIMPLENCIA"/>
    <x v="21"/>
    <x v="0"/>
    <s v="2024-10"/>
    <x v="4"/>
    <s v="ADMINISTRAÇÃO"/>
    <x v="28"/>
    <n v="1"/>
    <n v="0"/>
  </r>
  <r>
    <s v="020.066.300/0001-80"/>
    <x v="2"/>
    <s v="INCL/EXCL ANOT.INADIMPLENCIA"/>
    <x v="21"/>
    <x v="1"/>
    <s v="2024-10"/>
    <x v="4"/>
    <s v="CELIO PIMENTA"/>
    <x v="2"/>
    <n v="1"/>
    <n v="1"/>
  </r>
  <r>
    <s v="003.590.360/0001-89"/>
    <x v="3"/>
    <s v="EXCLUSAO  ANOT.INADIMPLENCIA"/>
    <x v="21"/>
    <x v="1"/>
    <s v="2024-10"/>
    <x v="4"/>
    <s v="CELIO PIMENTA"/>
    <x v="3"/>
    <n v="1"/>
    <n v="0"/>
  </r>
  <r>
    <s v="012.520.791/0001-60"/>
    <x v="4"/>
    <s v="INCLUSAO  ANOT.INADIMPLENCIA"/>
    <x v="21"/>
    <x v="1"/>
    <s v="2024-10"/>
    <x v="4"/>
    <s v="CELIO PIMENTA"/>
    <x v="4"/>
    <n v="0"/>
    <n v="1"/>
  </r>
  <r>
    <s v="007.561.436/0001-07"/>
    <x v="34"/>
    <s v="INCLUSAO  ANOT.INADIMPLENCIA"/>
    <x v="21"/>
    <x v="12"/>
    <s v="2024-10"/>
    <x v="4"/>
    <s v="PROSPECTAR"/>
    <x v="34"/>
    <n v="0"/>
    <n v="1"/>
  </r>
  <r>
    <s v="034.821.586/0001-77"/>
    <x v="38"/>
    <s v="INCLUSAO  ANOT.INADIMPLENCIA"/>
    <x v="21"/>
    <x v="3"/>
    <s v="2024-10"/>
    <x v="4"/>
    <s v="MARCUS VINICIUS "/>
    <x v="38"/>
    <n v="0"/>
    <n v="1"/>
  </r>
  <r>
    <s v="000.803.044/0001-50"/>
    <x v="45"/>
    <s v="EXCLUSAO  ANOT.INADIMPLENCIA"/>
    <x v="21"/>
    <x v="0"/>
    <s v="2024-10"/>
    <x v="4"/>
    <s v="ADMINISTRAÇÃO"/>
    <x v="45"/>
    <n v="1"/>
    <n v="0"/>
  </r>
  <r>
    <s v="014.763.606/0001-93"/>
    <x v="10"/>
    <s v="INCL/EXCL ANOT.INADIMPLENCIA"/>
    <x v="21"/>
    <x v="4"/>
    <s v="2024-10"/>
    <x v="4"/>
    <s v="NOELI SALETE"/>
    <x v="10"/>
    <n v="1"/>
    <n v="1"/>
  </r>
  <r>
    <s v="019.709.129/0001-00"/>
    <x v="11"/>
    <s v="INCLUSAO  ANOT.INADIMPLENCIA"/>
    <x v="21"/>
    <x v="4"/>
    <s v="2024-10"/>
    <x v="4"/>
    <s v="NOELI SALETE"/>
    <x v="11"/>
    <n v="0"/>
    <n v="1"/>
  </r>
  <r>
    <s v="036.906.058/0001-46"/>
    <x v="75"/>
    <s v="INCLUSAO  ANOT.INADIMPLENCIA"/>
    <x v="21"/>
    <x v="4"/>
    <s v="2024-10"/>
    <x v="4"/>
    <s v="NOELI SALETE"/>
    <x v="75"/>
    <n v="0"/>
    <n v="1"/>
  </r>
  <r>
    <s v="031.509.494/0001-68"/>
    <x v="14"/>
    <s v="INCLUSAO  ANOT.INADIMPLENCIA"/>
    <x v="21"/>
    <x v="5"/>
    <s v="2024-10"/>
    <x v="4"/>
    <s v="POENATELA"/>
    <x v="14"/>
    <n v="0"/>
    <n v="1"/>
  </r>
  <r>
    <s v="013.746.252/0001-06"/>
    <x v="15"/>
    <s v="INCL/EXCL ANOT.INADIMPLENCIA"/>
    <x v="21"/>
    <x v="5"/>
    <s v="2024-10"/>
    <x v="4"/>
    <s v="POENATELA"/>
    <x v="15"/>
    <n v="1"/>
    <n v="1"/>
  </r>
  <r>
    <s v="046.700.220/0001-29"/>
    <x v="46"/>
    <s v="INCLUSAO  ANOT.INADIMPLENCIA"/>
    <x v="21"/>
    <x v="9"/>
    <s v="2024-10"/>
    <x v="4"/>
    <s v="PRISCILA METZ"/>
    <x v="46"/>
    <n v="0"/>
    <n v="1"/>
  </r>
  <r>
    <s v="008.785.522/0001-58"/>
    <x v="17"/>
    <s v="INCLUSAO  ANOT.INADIMPLENCIA"/>
    <x v="21"/>
    <x v="7"/>
    <s v="2024-10"/>
    <x v="4"/>
    <s v="WHELKYA IRIS"/>
    <x v="17"/>
    <n v="0"/>
    <n v="1"/>
  </r>
  <r>
    <s v="016.772.642/0001-49"/>
    <x v="69"/>
    <s v="EXCLUSAO  ANOT.INADIMPLENCIA"/>
    <x v="22"/>
    <x v="0"/>
    <s v="2024-10"/>
    <x v="4"/>
    <s v="ADMINISTRAÇÃO"/>
    <x v="69"/>
    <n v="1"/>
    <n v="0"/>
  </r>
  <r>
    <s v="004.041.192/0001-35"/>
    <x v="37"/>
    <s v="EXCLUSAO  ANOT.INADIMPLENCIA"/>
    <x v="22"/>
    <x v="0"/>
    <s v="2024-10"/>
    <x v="4"/>
    <s v="ADMINISTRAÇÃO"/>
    <x v="37"/>
    <n v="1"/>
    <n v="0"/>
  </r>
  <r>
    <s v="021.734.108/0001-88"/>
    <x v="41"/>
    <s v="INCLUSAO  ANOT.INADIMPLENCIA"/>
    <x v="22"/>
    <x v="0"/>
    <s v="2024-10"/>
    <x v="4"/>
    <s v="ADMINISTRAÇÃO"/>
    <x v="41"/>
    <n v="0"/>
    <n v="1"/>
  </r>
  <r>
    <s v="020.066.300/0001-80"/>
    <x v="2"/>
    <s v="INCLUSAO  ANOT.INADIMPLENCIA"/>
    <x v="22"/>
    <x v="1"/>
    <s v="2024-10"/>
    <x v="4"/>
    <s v="CELIO PIMENTA"/>
    <x v="2"/>
    <n v="0"/>
    <n v="1"/>
  </r>
  <r>
    <s v="032.090.744/0001-30"/>
    <x v="76"/>
    <s v="INCLUSAO  ANOT.INADIMPLENCIA"/>
    <x v="22"/>
    <x v="10"/>
    <s v="2024-10"/>
    <x v="4"/>
    <s v="ROGERIO "/>
    <x v="76"/>
    <n v="0"/>
    <n v="1"/>
  </r>
  <r>
    <s v="028.842.753/0001-63"/>
    <x v="49"/>
    <s v="EXCLUSAO  ANOT.INADIMPLENCIA"/>
    <x v="22"/>
    <x v="15"/>
    <s v="2024-10"/>
    <x v="4"/>
    <s v="EDUARDO MATOSO"/>
    <x v="49"/>
    <n v="1"/>
    <n v="0"/>
  </r>
  <r>
    <s v="001.636.335/0001-63"/>
    <x v="77"/>
    <s v="INCLUSAO  ANOT.INADIMPLENCIA"/>
    <x v="22"/>
    <x v="12"/>
    <s v="2024-10"/>
    <x v="4"/>
    <s v="PROSPECTAR"/>
    <x v="77"/>
    <n v="0"/>
    <n v="1"/>
  </r>
  <r>
    <s v="000.803.044/0001-50"/>
    <x v="45"/>
    <s v="EXCLUSAO  ANOT.INADIMPLENCIA"/>
    <x v="22"/>
    <x v="0"/>
    <s v="2024-10"/>
    <x v="4"/>
    <s v="ADMINISTRAÇÃO"/>
    <x v="45"/>
    <n v="1"/>
    <n v="0"/>
  </r>
  <r>
    <s v="014.763.606/0001-93"/>
    <x v="10"/>
    <s v="INCL/EXCL ANOT.INADIMPLENCIA"/>
    <x v="22"/>
    <x v="4"/>
    <s v="2024-10"/>
    <x v="4"/>
    <s v="NOELI SALETE"/>
    <x v="10"/>
    <n v="1"/>
    <n v="1"/>
  </r>
  <r>
    <s v="019.709.129/0001-00"/>
    <x v="11"/>
    <s v="INCLUSAO  ANOT.INADIMPLENCIA"/>
    <x v="22"/>
    <x v="4"/>
    <s v="2024-10"/>
    <x v="4"/>
    <s v="NOELI SALETE"/>
    <x v="11"/>
    <n v="0"/>
    <n v="1"/>
  </r>
  <r>
    <s v="031.509.494/0001-68"/>
    <x v="14"/>
    <s v="INCLUSAO  ANOT.INADIMPLENCIA"/>
    <x v="22"/>
    <x v="5"/>
    <s v="2024-10"/>
    <x v="4"/>
    <s v="POENATELA"/>
    <x v="14"/>
    <n v="0"/>
    <n v="1"/>
  </r>
  <r>
    <s v="013.746.252/0001-06"/>
    <x v="15"/>
    <s v="INCL/EXCL ANOT.INADIMPLENCIA"/>
    <x v="22"/>
    <x v="5"/>
    <s v="2024-10"/>
    <x v="4"/>
    <s v="POENATELA"/>
    <x v="15"/>
    <n v="1"/>
    <n v="1"/>
  </r>
  <r>
    <s v="046.700.220/0001-29"/>
    <x v="46"/>
    <s v="INCLUSAO  ANOT.INADIMPLENCIA"/>
    <x v="22"/>
    <x v="9"/>
    <s v="2024-10"/>
    <x v="4"/>
    <s v="PRISCILA METZ"/>
    <x v="46"/>
    <n v="0"/>
    <n v="1"/>
  </r>
  <r>
    <s v="043.729.125/0001-60"/>
    <x v="78"/>
    <s v="INCLUSAO  ANOT.INADIMPLENCIA"/>
    <x v="22"/>
    <x v="9"/>
    <s v="2024-10"/>
    <x v="4"/>
    <s v="PRISCILA METZ"/>
    <x v="78"/>
    <n v="0"/>
    <n v="1"/>
  </r>
  <r>
    <s v="022.998.836/0001-60"/>
    <x v="24"/>
    <s v="EXCLUSAO  ANOT.INADIMPLENCIA"/>
    <x v="23"/>
    <x v="0"/>
    <s v="2024-10"/>
    <x v="4"/>
    <s v="ADMINISTRAÇÃO"/>
    <x v="24"/>
    <n v="1"/>
    <n v="0"/>
  </r>
  <r>
    <s v="020.066.300/0001-80"/>
    <x v="2"/>
    <s v="INCLUSAO  ANOT.INADIMPLENCIA"/>
    <x v="23"/>
    <x v="1"/>
    <s v="2024-10"/>
    <x v="4"/>
    <s v="CELIO PIMENTA"/>
    <x v="2"/>
    <n v="0"/>
    <n v="1"/>
  </r>
  <r>
    <s v="012.520.791/0001-60"/>
    <x v="4"/>
    <s v="INCLUSAO  ANOT.INADIMPLENCIA"/>
    <x v="23"/>
    <x v="1"/>
    <s v="2024-10"/>
    <x v="4"/>
    <s v="CELIO PIMENTA"/>
    <x v="4"/>
    <n v="0"/>
    <n v="1"/>
  </r>
  <r>
    <s v="016.757.535/0001-41"/>
    <x v="29"/>
    <s v="EXCLUSAO  ANOT.INADIMPLENCIA"/>
    <x v="23"/>
    <x v="11"/>
    <s v="2024-10"/>
    <x v="4"/>
    <s v="DIOGO AZEVEDO"/>
    <x v="29"/>
    <n v="1"/>
    <n v="0"/>
  </r>
  <r>
    <s v="003.929.683/0001-54"/>
    <x v="6"/>
    <s v="EXCLUSAO  ANOT.INADIMPLENCIA"/>
    <x v="23"/>
    <x v="2"/>
    <s v="2024-10"/>
    <x v="4"/>
    <s v="MARCOS SOUZA"/>
    <x v="6"/>
    <n v="1"/>
    <n v="0"/>
  </r>
  <r>
    <s v="019.709.129/0001-00"/>
    <x v="11"/>
    <s v="INCLUSAO  ANOT.INADIMPLENCIA"/>
    <x v="23"/>
    <x v="4"/>
    <s v="2024-10"/>
    <x v="4"/>
    <s v="NOELI SALETE"/>
    <x v="11"/>
    <n v="0"/>
    <n v="1"/>
  </r>
  <r>
    <s v="036.906.058/0001-46"/>
    <x v="75"/>
    <s v="EXCLUSAO  ANOT.INADIMPLENCIA"/>
    <x v="23"/>
    <x v="4"/>
    <s v="2024-10"/>
    <x v="4"/>
    <s v="NOELI SALETE"/>
    <x v="75"/>
    <n v="1"/>
    <n v="0"/>
  </r>
  <r>
    <s v="031.509.494/0001-68"/>
    <x v="14"/>
    <s v="EXCLUSAO  ANOT.INADIMPLENCIA"/>
    <x v="23"/>
    <x v="5"/>
    <s v="2024-10"/>
    <x v="4"/>
    <s v="POENATELA"/>
    <x v="14"/>
    <n v="1"/>
    <n v="0"/>
  </r>
  <r>
    <s v="038.110.780/0001-03"/>
    <x v="47"/>
    <s v="INCLUSAO  ANOT.INADIMPLENCIA"/>
    <x v="23"/>
    <x v="6"/>
    <s v="2024-10"/>
    <x v="4"/>
    <s v="RAFAEL PARISE"/>
    <x v="47"/>
    <n v="0"/>
    <n v="1"/>
  </r>
  <r>
    <s v="051.107.672/0001-31"/>
    <x v="32"/>
    <s v="INCLUSAO  ANOT.INADIMPLENCIA"/>
    <x v="23"/>
    <x v="10"/>
    <s v="2024-10"/>
    <x v="4"/>
    <s v="ROGERIO "/>
    <x v="32"/>
    <n v="0"/>
    <n v="1"/>
  </r>
  <r>
    <s v="020.066.300/0001-80"/>
    <x v="2"/>
    <s v="INCLUSAO  ANOT.INADIMPLENCIA"/>
    <x v="24"/>
    <x v="1"/>
    <s v="2024-10"/>
    <x v="4"/>
    <s v="CELIO PIMENTA"/>
    <x v="2"/>
    <n v="0"/>
    <n v="1"/>
  </r>
  <r>
    <s v="032.090.744/0001-30"/>
    <x v="76"/>
    <s v="EXCLUSAO  ANOT.INADIMPLENCIA"/>
    <x v="24"/>
    <x v="10"/>
    <s v="2024-10"/>
    <x v="4"/>
    <s v="ROGERIO "/>
    <x v="76"/>
    <n v="1"/>
    <n v="0"/>
  </r>
  <r>
    <s v="001.636.335/0001-63"/>
    <x v="77"/>
    <s v="EXCLUSAO  ANOT.INADIMPLENCIA"/>
    <x v="24"/>
    <x v="12"/>
    <s v="2024-10"/>
    <x v="4"/>
    <s v="PROSPECTAR"/>
    <x v="77"/>
    <n v="1"/>
    <n v="0"/>
  </r>
  <r>
    <s v="003.929.683/0001-54"/>
    <x v="6"/>
    <s v="EXCLUSAO  ANOT.INADIMPLENCIA"/>
    <x v="24"/>
    <x v="2"/>
    <s v="2024-10"/>
    <x v="4"/>
    <s v="MARCOS SOUZA"/>
    <x v="6"/>
    <n v="1"/>
    <n v="0"/>
  </r>
  <r>
    <s v="014.763.606/0001-93"/>
    <x v="10"/>
    <s v="INCLUSAO  ANOT.INADIMPLENCIA"/>
    <x v="24"/>
    <x v="4"/>
    <s v="2024-10"/>
    <x v="4"/>
    <s v="NOELI SALETE"/>
    <x v="10"/>
    <n v="0"/>
    <n v="1"/>
  </r>
  <r>
    <s v="019.709.129/0001-00"/>
    <x v="11"/>
    <s v="INCLUSAO  ANOT.INADIMPLENCIA"/>
    <x v="24"/>
    <x v="4"/>
    <s v="2024-10"/>
    <x v="4"/>
    <s v="NOELI SALETE"/>
    <x v="11"/>
    <n v="0"/>
    <n v="1"/>
  </r>
  <r>
    <s v="036.906.058/0001-46"/>
    <x v="75"/>
    <s v="INCLUSAO  ANOT.INADIMPLENCIA"/>
    <x v="24"/>
    <x v="4"/>
    <s v="2024-10"/>
    <x v="4"/>
    <s v="NOELI SALETE"/>
    <x v="75"/>
    <n v="0"/>
    <n v="1"/>
  </r>
  <r>
    <s v="012.299.369/0001-26"/>
    <x v="13"/>
    <s v="INCLUSAO  ANOT.INADIMPLENCIA"/>
    <x v="24"/>
    <x v="5"/>
    <s v="2024-10"/>
    <x v="4"/>
    <s v="POENATELA"/>
    <x v="13"/>
    <n v="0"/>
    <n v="1"/>
  </r>
  <r>
    <s v="013.746.252/0001-06"/>
    <x v="15"/>
    <s v="INCLUSAO  ANOT.INADIMPLENCIA"/>
    <x v="24"/>
    <x v="5"/>
    <s v="2024-10"/>
    <x v="4"/>
    <s v="POENATELA"/>
    <x v="15"/>
    <n v="0"/>
    <n v="1"/>
  </r>
  <r>
    <s v="011.122.552/0001-99"/>
    <x v="59"/>
    <s v="INCLUSAO  ANOT.INADIMPLENCIA"/>
    <x v="24"/>
    <x v="6"/>
    <s v="2024-10"/>
    <x v="4"/>
    <s v="RAFAEL PARISE"/>
    <x v="59"/>
    <n v="0"/>
    <n v="1"/>
  </r>
  <r>
    <s v="055.979.736/0001-45"/>
    <x v="63"/>
    <s v="EXCLUSAO  ANOT.INADIMPLENCIA"/>
    <x v="24"/>
    <x v="16"/>
    <s v="2024-10"/>
    <x v="4"/>
    <s v="SACADO"/>
    <x v="63"/>
    <n v="1"/>
    <n v="0"/>
  </r>
  <r>
    <s v="038.082.538/0001-65"/>
    <x v="79"/>
    <s v="INCLUSAO  ANOT.INADIMPLENCIA"/>
    <x v="25"/>
    <x v="0"/>
    <s v="2024-10"/>
    <x v="5"/>
    <s v="ADMINISTRAÇÃO"/>
    <x v="79"/>
    <n v="0"/>
    <n v="1"/>
  </r>
  <r>
    <s v="038.082.538/0001-65"/>
    <x v="79"/>
    <s v="EXCLUSAO  ANOT.INADIMPLENCIA"/>
    <x v="25"/>
    <x v="0"/>
    <s v="2024-10"/>
    <x v="5"/>
    <s v="ADMINISTRAÇÃO"/>
    <x v="79"/>
    <n v="1"/>
    <n v="0"/>
  </r>
  <r>
    <s v="004.126.524/0001-84"/>
    <x v="28"/>
    <s v="EXCLUSAO  ANOT.INADIMPLENCIA"/>
    <x v="25"/>
    <x v="0"/>
    <s v="2024-10"/>
    <x v="5"/>
    <s v="ADMINISTRAÇÃO"/>
    <x v="28"/>
    <n v="1"/>
    <n v="0"/>
  </r>
  <r>
    <s v="020.066.300/0001-80"/>
    <x v="2"/>
    <s v="INCLUSAO  ANOT.INADIMPLENCIA"/>
    <x v="25"/>
    <x v="1"/>
    <s v="2024-10"/>
    <x v="5"/>
    <s v="CELIO PIMENTA"/>
    <x v="2"/>
    <n v="0"/>
    <n v="1"/>
  </r>
  <r>
    <s v="012.520.791/0001-60"/>
    <x v="4"/>
    <s v="EXCLUSAO  ANOT.INADIMPLENCIA"/>
    <x v="25"/>
    <x v="1"/>
    <s v="2024-10"/>
    <x v="5"/>
    <s v="CELIO PIMENTA"/>
    <x v="4"/>
    <n v="1"/>
    <n v="0"/>
  </r>
  <r>
    <s v="016.757.535/0001-41"/>
    <x v="29"/>
    <s v="INCLUSAO  ANOT.INADIMPLENCIA"/>
    <x v="25"/>
    <x v="11"/>
    <s v="2024-10"/>
    <x v="5"/>
    <s v="DIOGO AZEVEDO"/>
    <x v="29"/>
    <n v="0"/>
    <n v="1"/>
  </r>
  <r>
    <s v="007.102.721/0001-51"/>
    <x v="44"/>
    <s v="INCLUSAO  ANOT.INADIMPLENCIA"/>
    <x v="25"/>
    <x v="12"/>
    <s v="2024-10"/>
    <x v="5"/>
    <s v="PROSPECTAR"/>
    <x v="44"/>
    <n v="0"/>
    <n v="1"/>
  </r>
  <r>
    <s v="015.414.962/0001-64"/>
    <x v="19"/>
    <s v="INCLUSAO  ANOT.INADIMPLENCIA"/>
    <x v="25"/>
    <x v="8"/>
    <s v="2024-10"/>
    <x v="5"/>
    <s v="GRUPO OTTO"/>
    <x v="19"/>
    <n v="0"/>
    <n v="1"/>
  </r>
  <r>
    <s v="008.712.271/0001-81"/>
    <x v="5"/>
    <s v="EXCLUSAO  ANOT.INADIMPLENCIA"/>
    <x v="25"/>
    <x v="0"/>
    <s v="2024-10"/>
    <x v="5"/>
    <s v="ADMINISTRAÇÃO"/>
    <x v="5"/>
    <n v="1"/>
    <n v="0"/>
  </r>
  <r>
    <s v="000.803.044/0001-50"/>
    <x v="45"/>
    <s v="EXCLUSAO  ANOT.INADIMPLENCIA"/>
    <x v="25"/>
    <x v="0"/>
    <s v="2024-10"/>
    <x v="5"/>
    <s v="ADMINISTRAÇÃO"/>
    <x v="45"/>
    <n v="1"/>
    <n v="0"/>
  </r>
  <r>
    <s v="019.709.129/0001-00"/>
    <x v="11"/>
    <s v="INCLUSAO  ANOT.INADIMPLENCIA"/>
    <x v="25"/>
    <x v="4"/>
    <s v="2024-10"/>
    <x v="5"/>
    <s v="NOELI SALETE"/>
    <x v="11"/>
    <n v="0"/>
    <n v="1"/>
  </r>
  <r>
    <s v="036.906.058/0001-46"/>
    <x v="75"/>
    <s v="INCLUSAO  ANOT.INADIMPLENCIA"/>
    <x v="25"/>
    <x v="4"/>
    <s v="2024-10"/>
    <x v="5"/>
    <s v="NOELI SALETE"/>
    <x v="75"/>
    <n v="0"/>
    <n v="1"/>
  </r>
  <r>
    <s v="031.509.494/0001-68"/>
    <x v="14"/>
    <s v="EXCLUSAO  ANOT.INADIMPLENCIA"/>
    <x v="25"/>
    <x v="5"/>
    <s v="2024-10"/>
    <x v="5"/>
    <s v="POENATELA"/>
    <x v="14"/>
    <n v="1"/>
    <n v="0"/>
  </r>
  <r>
    <s v="013.746.252/0001-06"/>
    <x v="15"/>
    <s v="EXCLUSAO  ANOT.INADIMPLENCIA"/>
    <x v="25"/>
    <x v="5"/>
    <s v="2024-10"/>
    <x v="5"/>
    <s v="POENATELA"/>
    <x v="15"/>
    <n v="1"/>
    <n v="0"/>
  </r>
  <r>
    <s v="012.817.803/0001-12"/>
    <x v="80"/>
    <s v="INCLUSAO  ANOT.INADIMPLENCIA"/>
    <x v="25"/>
    <x v="0"/>
    <s v="2024-10"/>
    <x v="5"/>
    <s v="ADMINISTRAÇÃO"/>
    <x v="80"/>
    <n v="0"/>
    <n v="1"/>
  </r>
  <r>
    <s v="055.979.736/0001-45"/>
    <x v="63"/>
    <s v="EXCLUSAO  ANOT.INADIMPLENCIA"/>
    <x v="25"/>
    <x v="16"/>
    <s v="2024-10"/>
    <x v="5"/>
    <s v="SACADO"/>
    <x v="63"/>
    <n v="1"/>
    <n v="0"/>
  </r>
  <r>
    <s v="008.785.522/0001-58"/>
    <x v="17"/>
    <s v="INCLUSAO  ANOT.INADIMPLENCIA"/>
    <x v="25"/>
    <x v="7"/>
    <s v="2024-10"/>
    <x v="5"/>
    <s v="WHELKYA IRIS"/>
    <x v="17"/>
    <n v="0"/>
    <n v="1"/>
  </r>
  <r>
    <s v="036.775.092/0001-29"/>
    <x v="81"/>
    <s v="INCLUSAO  ANOT.INADIMPLENCIA"/>
    <x v="26"/>
    <x v="0"/>
    <s v="2024-10"/>
    <x v="5"/>
    <s v="ADMINISTRAÇÃO"/>
    <x v="81"/>
    <n v="0"/>
    <n v="1"/>
  </r>
  <r>
    <s v="020.066.300/0001-80"/>
    <x v="2"/>
    <s v="INCL/EXCL ANOT.INADIMPLENCIA"/>
    <x v="26"/>
    <x v="1"/>
    <s v="2024-10"/>
    <x v="5"/>
    <s v="CELIO PIMENTA"/>
    <x v="2"/>
    <n v="1"/>
    <n v="1"/>
  </r>
  <r>
    <s v="007.102.721/0001-51"/>
    <x v="44"/>
    <s v="EXCLUSAO  ANOT.INADIMPLENCIA"/>
    <x v="26"/>
    <x v="12"/>
    <s v="2024-10"/>
    <x v="5"/>
    <s v="PROSPECTAR"/>
    <x v="44"/>
    <n v="1"/>
    <n v="0"/>
  </r>
  <r>
    <s v="019.450.138/0001-10"/>
    <x v="70"/>
    <s v="INCLUSAO  ANOT.INADIMPLENCIA"/>
    <x v="26"/>
    <x v="17"/>
    <s v="2024-10"/>
    <x v="5"/>
    <s v="MARCIO LEONEL"/>
    <x v="70"/>
    <n v="0"/>
    <n v="1"/>
  </r>
  <r>
    <s v="014.763.606/0001-93"/>
    <x v="10"/>
    <s v="INCLUSAO  ANOT.INADIMPLENCIA"/>
    <x v="26"/>
    <x v="4"/>
    <s v="2024-10"/>
    <x v="5"/>
    <s v="NOELI SALETE"/>
    <x v="10"/>
    <n v="0"/>
    <n v="1"/>
  </r>
  <r>
    <s v="093.274.124/0001-46"/>
    <x v="82"/>
    <s v="EXCLUSAO  ANOT.INADIMPLENCIA"/>
    <x v="26"/>
    <x v="4"/>
    <s v="2024-10"/>
    <x v="5"/>
    <s v="NOELI SALETE"/>
    <x v="82"/>
    <n v="1"/>
    <n v="0"/>
  </r>
  <r>
    <s v="013.746.252/0001-06"/>
    <x v="15"/>
    <s v="INCLUSAO  ANOT.INADIMPLENCIA"/>
    <x v="26"/>
    <x v="5"/>
    <s v="2024-10"/>
    <x v="5"/>
    <s v="POENATELA"/>
    <x v="15"/>
    <n v="0"/>
    <n v="1"/>
  </r>
  <r>
    <s v="037.054.821/0001-10"/>
    <x v="83"/>
    <s v="INCLUSAO  ANOT.INADIMPLENCIA"/>
    <x v="26"/>
    <x v="9"/>
    <s v="2024-10"/>
    <x v="5"/>
    <s v="PRISCILA METZ"/>
    <x v="83"/>
    <n v="0"/>
    <n v="1"/>
  </r>
  <r>
    <s v="023.605.544/0001-82"/>
    <x v="21"/>
    <s v="INCLUSAO  ANOT.INADIMPLENCIA"/>
    <x v="26"/>
    <x v="9"/>
    <s v="2024-10"/>
    <x v="5"/>
    <s v="PRISCILA METZ"/>
    <x v="21"/>
    <n v="0"/>
    <n v="1"/>
  </r>
  <r>
    <s v="000.810.852/0001-44"/>
    <x v="84"/>
    <s v="INCLUSAO  ANOT.INADIMPLENCIA"/>
    <x v="26"/>
    <x v="6"/>
    <s v="2024-10"/>
    <x v="5"/>
    <s v="RAFAEL PARISE"/>
    <x v="84"/>
    <n v="0"/>
    <n v="1"/>
  </r>
  <r>
    <s v="071.350.797/0001-03"/>
    <x v="48"/>
    <s v="INCLUSAO  ANOT.INADIMPLENCIA"/>
    <x v="26"/>
    <x v="10"/>
    <s v="2024-10"/>
    <x v="5"/>
    <s v="ROGERIO "/>
    <x v="48"/>
    <n v="0"/>
    <n v="1"/>
  </r>
  <r>
    <s v="036.775.092/0001-29"/>
    <x v="81"/>
    <s v="EXCLUSAO  ANOT.INADIMPLENCIA"/>
    <x v="27"/>
    <x v="0"/>
    <s v="2024-10"/>
    <x v="5"/>
    <s v="ADMINISTRAÇÃO"/>
    <x v="81"/>
    <n v="1"/>
    <n v="0"/>
  </r>
  <r>
    <s v="020.066.300/0001-80"/>
    <x v="2"/>
    <s v="INCL/EXCL ANOT.INADIMPLENCIA"/>
    <x v="27"/>
    <x v="1"/>
    <s v="2024-10"/>
    <x v="5"/>
    <s v="CELIO PIMENTA"/>
    <x v="2"/>
    <n v="1"/>
    <n v="1"/>
  </r>
  <r>
    <s v="002.377.675/0001-80"/>
    <x v="85"/>
    <s v="INCLUSAO  ANOT.INADIMPLENCIA"/>
    <x v="27"/>
    <x v="12"/>
    <s v="2024-10"/>
    <x v="5"/>
    <s v="PROSPECTAR"/>
    <x v="85"/>
    <n v="0"/>
    <n v="1"/>
  </r>
  <r>
    <s v="001.165.357/0001-92"/>
    <x v="86"/>
    <s v="INCLUSAO  ANOT.INADIMPLENCIA"/>
    <x v="27"/>
    <x v="12"/>
    <s v="2024-10"/>
    <x v="5"/>
    <s v="PROSPECTAR"/>
    <x v="86"/>
    <n v="0"/>
    <n v="1"/>
  </r>
  <r>
    <s v="024.331.138/0001-31"/>
    <x v="87"/>
    <s v="INCLUSAO  ANOT.INADIMPLENCIA"/>
    <x v="27"/>
    <x v="12"/>
    <s v="2024-10"/>
    <x v="5"/>
    <s v="PROSPECTAR"/>
    <x v="87"/>
    <n v="0"/>
    <n v="1"/>
  </r>
  <r>
    <s v="013.746.252/0001-06"/>
    <x v="15"/>
    <s v="EXCLUSAO  ANOT.INADIMPLENCIA"/>
    <x v="27"/>
    <x v="5"/>
    <s v="2024-10"/>
    <x v="5"/>
    <s v="POENATELA"/>
    <x v="15"/>
    <n v="1"/>
    <n v="0"/>
  </r>
  <r>
    <s v="021.473.575/0001-00"/>
    <x v="62"/>
    <s v="EXCLUSAO  ANOT.INADIMPLENCIA"/>
    <x v="27"/>
    <x v="9"/>
    <s v="2024-10"/>
    <x v="5"/>
    <s v="PRISCILA METZ"/>
    <x v="62"/>
    <n v="1"/>
    <n v="0"/>
  </r>
  <r>
    <s v="012.817.803/0001-12"/>
    <x v="80"/>
    <s v="EXCLUSAO  ANOT.INADIMPLENCIA"/>
    <x v="27"/>
    <x v="0"/>
    <s v="2024-10"/>
    <x v="5"/>
    <s v="ADMINISTRAÇÃO"/>
    <x v="80"/>
    <n v="1"/>
    <n v="0"/>
  </r>
  <r>
    <s v="001.113.219/0001-60"/>
    <x v="88"/>
    <s v="ALTERACAO QUADRO SOCIAL"/>
    <x v="28"/>
    <x v="1"/>
    <s v="2024-10"/>
    <x v="5"/>
    <s v="CELIO PIMENTA"/>
    <x v="88"/>
    <n v="0"/>
    <n v="0"/>
  </r>
  <r>
    <s v="001.113.219/0001-60"/>
    <x v="88"/>
    <s v="INCLUSAO  ANOT.INADIMPLENCIA"/>
    <x v="28"/>
    <x v="1"/>
    <s v="2024-10"/>
    <x v="5"/>
    <s v="CELIO PIMENTA"/>
    <x v="88"/>
    <n v="0"/>
    <n v="1"/>
  </r>
  <r>
    <s v="020.066.300/0001-80"/>
    <x v="2"/>
    <s v="INCLUSAO  ANOT.INADIMPLENCIA"/>
    <x v="29"/>
    <x v="1"/>
    <s v="2024-10"/>
    <x v="5"/>
    <s v="CELIO PIMENTA"/>
    <x v="2"/>
    <n v="0"/>
    <n v="1"/>
  </r>
  <r>
    <s v="001.165.357/0001-92"/>
    <x v="86"/>
    <s v="EXCLUSAO  ANOT.INADIMPLENCIA"/>
    <x v="29"/>
    <x v="12"/>
    <s v="2024-10"/>
    <x v="5"/>
    <s v="PROSPECTAR"/>
    <x v="86"/>
    <n v="1"/>
    <n v="0"/>
  </r>
  <r>
    <s v="007.561.436/0001-07"/>
    <x v="34"/>
    <s v="INCL/EXCL ANOT.INADIMPLENCIA"/>
    <x v="29"/>
    <x v="12"/>
    <s v="2024-10"/>
    <x v="5"/>
    <s v="PROSPECTAR"/>
    <x v="34"/>
    <n v="1"/>
    <n v="1"/>
  </r>
  <r>
    <s v="019.709.129/0001-00"/>
    <x v="11"/>
    <s v="INCLUSAO  ANOT.INADIMPLENCIA"/>
    <x v="29"/>
    <x v="4"/>
    <s v="2024-10"/>
    <x v="5"/>
    <s v="NOELI SALETE"/>
    <x v="11"/>
    <n v="0"/>
    <n v="1"/>
  </r>
  <r>
    <s v="093.274.124/0001-46"/>
    <x v="82"/>
    <s v="EXCLUSAO  ANOT.INADIMPLENCIA"/>
    <x v="29"/>
    <x v="4"/>
    <s v="2024-10"/>
    <x v="5"/>
    <s v="NOELI SALETE"/>
    <x v="82"/>
    <n v="1"/>
    <n v="0"/>
  </r>
  <r>
    <s v="046.700.220/0001-29"/>
    <x v="46"/>
    <s v="INCLUSAO  ANOT.INADIMPLENCIA"/>
    <x v="29"/>
    <x v="9"/>
    <s v="2024-10"/>
    <x v="5"/>
    <s v="PRISCILA METZ"/>
    <x v="46"/>
    <n v="0"/>
    <n v="1"/>
  </r>
  <r>
    <s v="043.515.558/0001-12"/>
    <x v="22"/>
    <s v="EXCLUSAO  ANOT.INADIMPLENCIA"/>
    <x v="29"/>
    <x v="10"/>
    <s v="2024-10"/>
    <x v="5"/>
    <s v="ROGERIO "/>
    <x v="22"/>
    <n v="1"/>
    <n v="0"/>
  </r>
  <r>
    <s v="022.982.925/0001-18"/>
    <x v="89"/>
    <s v="INCLUSAO  ANOT.INADIMPLENCIA"/>
    <x v="30"/>
    <x v="0"/>
    <s v="2024-10"/>
    <x v="6"/>
    <s v="ADMINISTRAÇÃO"/>
    <x v="89"/>
    <n v="0"/>
    <n v="1"/>
  </r>
  <r>
    <s v="021.734.108/0001-88"/>
    <x v="41"/>
    <s v="INCLUSAO  ANOT.INADIMPLENCIA"/>
    <x v="30"/>
    <x v="0"/>
    <s v="2024-10"/>
    <x v="6"/>
    <s v="ADMINISTRAÇÃO"/>
    <x v="41"/>
    <n v="0"/>
    <n v="1"/>
  </r>
  <r>
    <s v="020.066.300/0001-80"/>
    <x v="2"/>
    <s v="INCLUSAO  ANOT.INADIMPLENCIA"/>
    <x v="30"/>
    <x v="1"/>
    <s v="2024-10"/>
    <x v="6"/>
    <s v="CELIO PIMENTA"/>
    <x v="2"/>
    <n v="0"/>
    <n v="1"/>
  </r>
  <r>
    <s v="003.590.360/0001-89"/>
    <x v="3"/>
    <s v="INCLUSAO  ANOT.INADIMPLENCIA"/>
    <x v="30"/>
    <x v="1"/>
    <s v="2024-10"/>
    <x v="6"/>
    <s v="CELIO PIMENTA"/>
    <x v="3"/>
    <n v="0"/>
    <n v="1"/>
  </r>
  <r>
    <s v="005.363.690/0001-67"/>
    <x v="90"/>
    <s v="INCLUSAO  ANOT.INADIMPLENCIA"/>
    <x v="30"/>
    <x v="12"/>
    <s v="2024-10"/>
    <x v="6"/>
    <s v="PROSPECTAR"/>
    <x v="90"/>
    <n v="0"/>
    <n v="1"/>
  </r>
  <r>
    <s v="007.102.721/0001-51"/>
    <x v="44"/>
    <s v="INCLUSAO  ANOT.INADIMPLENCIA"/>
    <x v="30"/>
    <x v="12"/>
    <s v="2024-10"/>
    <x v="6"/>
    <s v="PROSPECTAR"/>
    <x v="44"/>
    <n v="0"/>
    <n v="1"/>
  </r>
  <r>
    <s v="007.561.436/0001-07"/>
    <x v="34"/>
    <s v="EXCLUSAO  ANOT.INADIMPLENCIA"/>
    <x v="30"/>
    <x v="12"/>
    <s v="2024-10"/>
    <x v="6"/>
    <s v="PROSPECTAR"/>
    <x v="34"/>
    <n v="1"/>
    <n v="0"/>
  </r>
  <r>
    <s v="008.712.271/0001-81"/>
    <x v="5"/>
    <s v="INCLUSAO  ANOT.INADIMPLENCIA"/>
    <x v="30"/>
    <x v="0"/>
    <s v="2024-10"/>
    <x v="6"/>
    <s v="ADMINISTRAÇÃO"/>
    <x v="5"/>
    <n v="0"/>
    <n v="1"/>
  </r>
  <r>
    <s v="014.763.606/0001-93"/>
    <x v="10"/>
    <s v="INCLUSAO  ANOT.INADIMPLENCIA"/>
    <x v="30"/>
    <x v="4"/>
    <s v="2024-10"/>
    <x v="6"/>
    <s v="NOELI SALETE"/>
    <x v="10"/>
    <n v="0"/>
    <n v="1"/>
  </r>
  <r>
    <s v="019.709.129/0001-00"/>
    <x v="11"/>
    <s v="INCLUSAO  ANOT.INADIMPLENCIA"/>
    <x v="30"/>
    <x v="4"/>
    <s v="2024-10"/>
    <x v="6"/>
    <s v="NOELI SALETE"/>
    <x v="11"/>
    <n v="0"/>
    <n v="1"/>
  </r>
  <r>
    <s v="012.299.369/0001-26"/>
    <x v="13"/>
    <s v="INCLUSAO  ANOT.INADIMPLENCIA"/>
    <x v="30"/>
    <x v="5"/>
    <s v="2024-10"/>
    <x v="6"/>
    <s v="POENATELA"/>
    <x v="13"/>
    <n v="0"/>
    <n v="1"/>
  </r>
  <r>
    <s v="017.274.123/0001-13"/>
    <x v="58"/>
    <s v="INCLUSAO  ANOT.INADIMPLENCIA"/>
    <x v="30"/>
    <x v="5"/>
    <s v="2024-10"/>
    <x v="6"/>
    <s v="POENATELA"/>
    <x v="58"/>
    <n v="0"/>
    <n v="1"/>
  </r>
  <r>
    <s v="013.746.252/0001-06"/>
    <x v="15"/>
    <s v="INCLUSAO  ANOT.INADIMPLENCIA"/>
    <x v="30"/>
    <x v="5"/>
    <s v="2024-10"/>
    <x v="6"/>
    <s v="POENATELA"/>
    <x v="15"/>
    <n v="0"/>
    <n v="1"/>
  </r>
  <r>
    <s v="046.700.220/0001-29"/>
    <x v="46"/>
    <s v="INCLUSAO  ANOT.INADIMPLENCIA"/>
    <x v="30"/>
    <x v="9"/>
    <s v="2024-10"/>
    <x v="6"/>
    <s v="PRISCILA METZ"/>
    <x v="46"/>
    <n v="0"/>
    <n v="1"/>
  </r>
  <r>
    <s v="071.350.797/0001-03"/>
    <x v="48"/>
    <s v="EXCLUSAO  ANOT.INADIMPLENCIA"/>
    <x v="30"/>
    <x v="10"/>
    <s v="2024-10"/>
    <x v="6"/>
    <s v="ROGERIO "/>
    <x v="48"/>
    <n v="1"/>
    <n v="0"/>
  </r>
  <r>
    <s v="038.634.242/0001-00"/>
    <x v="91"/>
    <s v="INCLUSAO  ANOT.INADIMPLENCIA"/>
    <x v="30"/>
    <x v="10"/>
    <s v="2024-10"/>
    <x v="6"/>
    <s v="ROGERIO "/>
    <x v="91"/>
    <n v="0"/>
    <n v="1"/>
  </r>
  <r>
    <s v="016.772.642/0001-49"/>
    <x v="69"/>
    <s v="INCLUSAO  ANOT.INADIMPLENCIA"/>
    <x v="31"/>
    <x v="0"/>
    <s v="2024-10"/>
    <x v="6"/>
    <s v="ADMINISTRAÇÃO"/>
    <x v="69"/>
    <n v="0"/>
    <n v="1"/>
  </r>
  <r>
    <s v="020.066.300/0001-80"/>
    <x v="2"/>
    <s v="INCL/EXCL ANOT.INADIMPLENCIA"/>
    <x v="31"/>
    <x v="1"/>
    <s v="2024-10"/>
    <x v="6"/>
    <s v="CELIO PIMENTA"/>
    <x v="2"/>
    <n v="1"/>
    <n v="1"/>
  </r>
  <r>
    <s v="012.520.791/0001-60"/>
    <x v="4"/>
    <s v="INCLUSAO  ANOT.INADIMPLENCIA"/>
    <x v="31"/>
    <x v="1"/>
    <s v="2024-10"/>
    <x v="6"/>
    <s v="CELIO PIMENTA"/>
    <x v="4"/>
    <n v="0"/>
    <n v="1"/>
  </r>
  <r>
    <s v="007.561.436/0001-07"/>
    <x v="34"/>
    <s v="EXCLUSAO  ANOT.INADIMPLENCIA"/>
    <x v="31"/>
    <x v="12"/>
    <s v="2024-10"/>
    <x v="6"/>
    <s v="PROSPECTAR"/>
    <x v="34"/>
    <n v="1"/>
    <n v="0"/>
  </r>
  <r>
    <s v="014.763.606/0001-93"/>
    <x v="10"/>
    <s v="INCLUSAO  ANOT.INADIMPLENCIA"/>
    <x v="31"/>
    <x v="4"/>
    <s v="2024-10"/>
    <x v="6"/>
    <s v="NOELI SALETE"/>
    <x v="10"/>
    <n v="0"/>
    <n v="1"/>
  </r>
  <r>
    <s v="019.709.129/0001-00"/>
    <x v="11"/>
    <s v="EXCLUSAO  ANOT.INADIMPLENCIA"/>
    <x v="31"/>
    <x v="4"/>
    <s v="2024-10"/>
    <x v="6"/>
    <s v="NOELI SALETE"/>
    <x v="11"/>
    <n v="1"/>
    <n v="0"/>
  </r>
  <r>
    <s v="093.274.124/0001-46"/>
    <x v="82"/>
    <s v="EXCLUSAO  ANOT.INADIMPLENCIA"/>
    <x v="31"/>
    <x v="4"/>
    <s v="2024-10"/>
    <x v="6"/>
    <s v="NOELI SALETE"/>
    <x v="82"/>
    <n v="1"/>
    <n v="0"/>
  </r>
  <r>
    <s v="016.956.677/0001-38"/>
    <x v="92"/>
    <s v="ALTERACAO QUADRO SOCIAL"/>
    <x v="31"/>
    <x v="5"/>
    <s v="2024-10"/>
    <x v="6"/>
    <s v="POENATELA"/>
    <x v="92"/>
    <n v="0"/>
    <n v="0"/>
  </r>
  <r>
    <s v="013.746.252/0001-06"/>
    <x v="15"/>
    <s v="INCLUSAO  ANOT.INADIMPLENCIA"/>
    <x v="31"/>
    <x v="5"/>
    <s v="2024-10"/>
    <x v="6"/>
    <s v="POENATELA"/>
    <x v="15"/>
    <n v="0"/>
    <n v="1"/>
  </r>
  <r>
    <s v="046.700.220/0001-29"/>
    <x v="46"/>
    <s v="INCLUSAO  ANOT.INADIMPLENCIA"/>
    <x v="31"/>
    <x v="9"/>
    <s v="2024-10"/>
    <x v="6"/>
    <s v="PRISCILA METZ"/>
    <x v="46"/>
    <n v="0"/>
    <n v="1"/>
  </r>
  <r>
    <s v="000.810.852/0001-44"/>
    <x v="84"/>
    <s v="INCLUSAO  ANOT.INADIMPLENCIA"/>
    <x v="31"/>
    <x v="6"/>
    <s v="2024-10"/>
    <x v="6"/>
    <s v="RAFAEL PARISE"/>
    <x v="84"/>
    <n v="0"/>
    <n v="1"/>
  </r>
  <r>
    <s v="004.041.192/0001-35"/>
    <x v="37"/>
    <s v="INCLUSAO  ANOT.INADIMPLENCIA"/>
    <x v="32"/>
    <x v="0"/>
    <s v="2024-10"/>
    <x v="6"/>
    <s v="ADMINISTRAÇÃO"/>
    <x v="37"/>
    <n v="0"/>
    <n v="1"/>
  </r>
  <r>
    <s v="020.066.300/0001-80"/>
    <x v="2"/>
    <s v="INCL/EXCL ANOT.INADIMPLENCIA"/>
    <x v="32"/>
    <x v="1"/>
    <s v="2024-10"/>
    <x v="6"/>
    <s v="CELIO PIMENTA"/>
    <x v="2"/>
    <n v="1"/>
    <n v="1"/>
  </r>
  <r>
    <s v="012.520.791/0001-60"/>
    <x v="4"/>
    <s v="INCLUSAO  ANOT.INADIMPLENCIA"/>
    <x v="32"/>
    <x v="1"/>
    <s v="2024-10"/>
    <x v="6"/>
    <s v="CELIO PIMENTA"/>
    <x v="4"/>
    <n v="0"/>
    <n v="1"/>
  </r>
  <r>
    <s v="028.842.753/0001-63"/>
    <x v="49"/>
    <s v="INCLUSAO  ANOT.INADIMPLENCIA"/>
    <x v="32"/>
    <x v="15"/>
    <s v="2024-10"/>
    <x v="6"/>
    <s v="EDUARDO MATOSO"/>
    <x v="49"/>
    <n v="0"/>
    <n v="1"/>
  </r>
  <r>
    <s v="024.255.748/0001-01"/>
    <x v="30"/>
    <s v="INCLUSAO  ANOT.INADIMPLENCIA"/>
    <x v="32"/>
    <x v="12"/>
    <s v="2024-10"/>
    <x v="6"/>
    <s v="PROSPECTAR"/>
    <x v="30"/>
    <n v="0"/>
    <n v="1"/>
  </r>
  <r>
    <s v="002.377.675/0001-80"/>
    <x v="85"/>
    <s v="EXCLUSAO  ANOT.INADIMPLENCIA"/>
    <x v="32"/>
    <x v="12"/>
    <s v="2024-10"/>
    <x v="6"/>
    <s v="PROSPECTAR"/>
    <x v="85"/>
    <n v="1"/>
    <n v="0"/>
  </r>
  <r>
    <s v="007.561.436/0001-07"/>
    <x v="34"/>
    <s v="INCL/EXCL ANOT.INADIMPLENCIA"/>
    <x v="32"/>
    <x v="12"/>
    <s v="2024-10"/>
    <x v="6"/>
    <s v="PROSPECTAR"/>
    <x v="34"/>
    <n v="1"/>
    <n v="1"/>
  </r>
  <r>
    <s v="002.246.382/0001-63"/>
    <x v="56"/>
    <s v="INCLUSAO  ANOT.INADIMPLENCIA"/>
    <x v="32"/>
    <x v="3"/>
    <s v="2024-10"/>
    <x v="6"/>
    <s v="MARCUS VINICIUS "/>
    <x v="56"/>
    <n v="0"/>
    <n v="1"/>
  </r>
  <r>
    <s v="000.803.044/0001-50"/>
    <x v="45"/>
    <s v="EXCLUSAO  ANOT.INADIMPLENCIA"/>
    <x v="32"/>
    <x v="0"/>
    <s v="2024-10"/>
    <x v="6"/>
    <s v="ADMINISTRAÇÃO"/>
    <x v="45"/>
    <n v="1"/>
    <n v="0"/>
  </r>
  <r>
    <s v="035.665.211/0001-28"/>
    <x v="93"/>
    <s v="INCLUSAO  ANOT.INADIMPLENCIA"/>
    <x v="32"/>
    <x v="0"/>
    <s v="2024-10"/>
    <x v="6"/>
    <s v="ADMINISTRAÇÃO"/>
    <x v="93"/>
    <n v="0"/>
    <n v="1"/>
  </r>
  <r>
    <s v="007.906.793/0001-51"/>
    <x v="94"/>
    <s v="INCLUSAO  ANOT.INADIMPLENCIA"/>
    <x v="32"/>
    <x v="4"/>
    <s v="2024-10"/>
    <x v="6"/>
    <s v="NOELI SALETE"/>
    <x v="94"/>
    <n v="0"/>
    <n v="1"/>
  </r>
  <r>
    <s v="036.906.058/0001-46"/>
    <x v="75"/>
    <s v="EXCLUSAO  ANOT.INADIMPLENCIA"/>
    <x v="32"/>
    <x v="4"/>
    <s v="2024-10"/>
    <x v="6"/>
    <s v="NOELI SALETE"/>
    <x v="75"/>
    <n v="1"/>
    <n v="0"/>
  </r>
  <r>
    <s v="013.746.252/0001-06"/>
    <x v="15"/>
    <s v="INCLUSAO  ANOT.INADIMPLENCIA"/>
    <x v="32"/>
    <x v="5"/>
    <s v="2024-10"/>
    <x v="6"/>
    <s v="POENATELA"/>
    <x v="15"/>
    <n v="0"/>
    <n v="1"/>
  </r>
  <r>
    <s v="038.110.780/0001-03"/>
    <x v="47"/>
    <s v="EXCLUSAO  ANOT.INADIMPLENCIA"/>
    <x v="32"/>
    <x v="6"/>
    <s v="2024-10"/>
    <x v="6"/>
    <s v="RAFAEL PARISE"/>
    <x v="47"/>
    <n v="1"/>
    <n v="0"/>
  </r>
  <r>
    <s v="051.107.672/0001-31"/>
    <x v="32"/>
    <s v="INCLUSAO  ANOT.INADIMPLENCIA"/>
    <x v="32"/>
    <x v="10"/>
    <s v="2024-10"/>
    <x v="6"/>
    <s v="ROGERIO "/>
    <x v="32"/>
    <n v="0"/>
    <n v="1"/>
  </r>
  <r>
    <s v="055.979.736/0001-45"/>
    <x v="63"/>
    <s v="EXCLUSAO  ANOT.INADIMPLENCIA"/>
    <x v="32"/>
    <x v="16"/>
    <s v="2024-10"/>
    <x v="6"/>
    <s v="SACADO"/>
    <x v="63"/>
    <n v="1"/>
    <n v="0"/>
  </r>
  <r>
    <s v="038.945.487/0001-58"/>
    <x v="36"/>
    <s v="INCLUSAO  ANOT.INADIMPLENCIA"/>
    <x v="33"/>
    <x v="0"/>
    <s v="2024-10"/>
    <x v="6"/>
    <s v="ADMINISTRAÇÃO"/>
    <x v="36"/>
    <n v="0"/>
    <n v="1"/>
  </r>
  <r>
    <s v="007.786.648/0001-84"/>
    <x v="18"/>
    <s v="INCLUSAO  ANOT.INADIMPLENCIA"/>
    <x v="33"/>
    <x v="0"/>
    <s v="2024-10"/>
    <x v="6"/>
    <s v="ADMINISTRAÇÃO"/>
    <x v="18"/>
    <n v="0"/>
    <n v="1"/>
  </r>
  <r>
    <s v="036.775.092/0001-29"/>
    <x v="81"/>
    <s v="INCLUSAO  ANOT.INADIMPLENCIA"/>
    <x v="33"/>
    <x v="0"/>
    <s v="2024-10"/>
    <x v="6"/>
    <s v="ADMINISTRAÇÃO"/>
    <x v="81"/>
    <n v="0"/>
    <n v="1"/>
  </r>
  <r>
    <s v="020.066.300/0001-80"/>
    <x v="2"/>
    <s v="INCLUSAO  ANOT.INADIMPLENCIA"/>
    <x v="33"/>
    <x v="1"/>
    <s v="2024-10"/>
    <x v="6"/>
    <s v="CELIO PIMENTA"/>
    <x v="2"/>
    <n v="0"/>
    <n v="1"/>
  </r>
  <r>
    <s v="003.590.360/0001-89"/>
    <x v="3"/>
    <s v="INCLUSAO  ANOT.INADIMPLENCIA"/>
    <x v="33"/>
    <x v="1"/>
    <s v="2024-10"/>
    <x v="6"/>
    <s v="CELIO PIMENTA"/>
    <x v="3"/>
    <n v="0"/>
    <n v="1"/>
  </r>
  <r>
    <s v="029.030.307/0001-17"/>
    <x v="43"/>
    <s v="INCLUSAO  ANOT.INADIMPLENCIA"/>
    <x v="33"/>
    <x v="1"/>
    <s v="2024-10"/>
    <x v="6"/>
    <s v="CELIO PIMENTA"/>
    <x v="43"/>
    <n v="0"/>
    <n v="1"/>
  </r>
  <r>
    <s v="016.757.535/0001-41"/>
    <x v="29"/>
    <s v="INCLUSAO  ANOT.INADIMPLENCIA"/>
    <x v="33"/>
    <x v="11"/>
    <s v="2024-10"/>
    <x v="6"/>
    <s v="DIOGO AZEVEDO"/>
    <x v="29"/>
    <n v="0"/>
    <n v="1"/>
  </r>
  <r>
    <s v="028.842.753/0001-63"/>
    <x v="49"/>
    <s v="INCLUSAO  ANOT.INADIMPLENCIA"/>
    <x v="33"/>
    <x v="15"/>
    <s v="2024-10"/>
    <x v="6"/>
    <s v="EDUARDO MATOSO"/>
    <x v="49"/>
    <n v="0"/>
    <n v="1"/>
  </r>
  <r>
    <s v="002.246.382/0001-63"/>
    <x v="56"/>
    <s v="INCLUSAO  ANOT.INADIMPLENCIA"/>
    <x v="33"/>
    <x v="3"/>
    <s v="2024-10"/>
    <x v="6"/>
    <s v="MARCUS VINICIUS "/>
    <x v="56"/>
    <n v="0"/>
    <n v="1"/>
  </r>
  <r>
    <s v="035.665.211/0001-28"/>
    <x v="93"/>
    <s v="INCLUSAO  ANOT.INADIMPLENCIA"/>
    <x v="33"/>
    <x v="0"/>
    <s v="2024-10"/>
    <x v="6"/>
    <s v="ADMINISTRAÇÃO"/>
    <x v="93"/>
    <n v="0"/>
    <n v="1"/>
  </r>
  <r>
    <s v="041.768.583/0001-82"/>
    <x v="35"/>
    <s v="INCLUSAO  ANOT.INADIMPLENCIA"/>
    <x v="33"/>
    <x v="14"/>
    <s v="2024-10"/>
    <x v="6"/>
    <s v="NELSON"/>
    <x v="35"/>
    <n v="0"/>
    <n v="1"/>
  </r>
  <r>
    <s v="014.763.606/0001-93"/>
    <x v="10"/>
    <s v="INCLUSAO  ANOT.INADIMPLENCIA"/>
    <x v="33"/>
    <x v="4"/>
    <s v="2024-10"/>
    <x v="6"/>
    <s v="NOELI SALETE"/>
    <x v="10"/>
    <n v="0"/>
    <n v="1"/>
  </r>
  <r>
    <s v="093.274.124/0001-46"/>
    <x v="82"/>
    <s v="INCLUSAO  ANOT.INADIMPLENCIA"/>
    <x v="33"/>
    <x v="4"/>
    <s v="2024-10"/>
    <x v="6"/>
    <s v="NOELI SALETE"/>
    <x v="82"/>
    <n v="0"/>
    <n v="1"/>
  </r>
  <r>
    <s v="012.299.369/0001-26"/>
    <x v="13"/>
    <s v="EXCLUSAO  ANOT.INADIMPLENCIA"/>
    <x v="33"/>
    <x v="5"/>
    <s v="2024-10"/>
    <x v="6"/>
    <s v="POENATELA"/>
    <x v="13"/>
    <n v="1"/>
    <n v="0"/>
  </r>
  <r>
    <s v="028.477.685/0001-80"/>
    <x v="95"/>
    <s v="EXCLUSAO  ANOT.INADIMPLENCIA"/>
    <x v="33"/>
    <x v="5"/>
    <s v="2024-10"/>
    <x v="6"/>
    <s v="POENATELA"/>
    <x v="95"/>
    <n v="1"/>
    <n v="0"/>
  </r>
  <r>
    <s v="013.746.252/0001-06"/>
    <x v="15"/>
    <s v="INCLUSAO  ANOT.INADIMPLENCIA"/>
    <x v="33"/>
    <x v="5"/>
    <s v="2024-10"/>
    <x v="6"/>
    <s v="POENATELA"/>
    <x v="15"/>
    <n v="0"/>
    <n v="1"/>
  </r>
  <r>
    <s v="023.605.544/0001-82"/>
    <x v="21"/>
    <s v="INCLUSAO  ANOT.INADIMPLENCIA"/>
    <x v="33"/>
    <x v="9"/>
    <s v="2024-10"/>
    <x v="6"/>
    <s v="PRISCILA METZ"/>
    <x v="21"/>
    <n v="0"/>
    <n v="1"/>
  </r>
  <r>
    <s v="038.110.780/0001-03"/>
    <x v="47"/>
    <s v="INCLUSAO  ANOT.INADIMPLENCIA"/>
    <x v="33"/>
    <x v="6"/>
    <s v="2024-10"/>
    <x v="6"/>
    <s v="RAFAEL PARISE"/>
    <x v="47"/>
    <n v="0"/>
    <n v="1"/>
  </r>
  <r>
    <s v="038.634.242/0001-00"/>
    <x v="91"/>
    <s v="INCLUSAO  ANOT.INADIMPLENCIA"/>
    <x v="33"/>
    <x v="10"/>
    <s v="2024-10"/>
    <x v="6"/>
    <s v="ROGERIO "/>
    <x v="91"/>
    <n v="0"/>
    <n v="1"/>
  </r>
  <r>
    <s v="005.881.441/0001-63"/>
    <x v="96"/>
    <s v="INCLUSAO  ANOT.INADIMPLENCIA"/>
    <x v="33"/>
    <x v="7"/>
    <s v="2024-10"/>
    <x v="6"/>
    <s v="WHELKYA IRIS"/>
    <x v="96"/>
    <n v="0"/>
    <n v="1"/>
  </r>
  <r>
    <s v="010.497.973/0001-31"/>
    <x v="53"/>
    <s v="INCLUSAO  ANOT.INADIMPLENCIA"/>
    <x v="34"/>
    <x v="0"/>
    <s v="2024-10"/>
    <x v="7"/>
    <s v="ADMINISTRAÇÃO"/>
    <x v="53"/>
    <n v="0"/>
    <n v="1"/>
  </r>
  <r>
    <s v="020.628.376/0001-52"/>
    <x v="97"/>
    <s v="ALTERACAO RAZAO SOCIAL"/>
    <x v="34"/>
    <x v="0"/>
    <s v="2024-10"/>
    <x v="7"/>
    <s v="ADMINISTRAÇÃO"/>
    <x v="97"/>
    <n v="0"/>
    <n v="0"/>
  </r>
  <r>
    <s v="004.800.789/0001-16"/>
    <x v="25"/>
    <s v="EXCLUSAO  ANOT.INADIMPLENCIA"/>
    <x v="34"/>
    <x v="0"/>
    <s v="2024-10"/>
    <x v="7"/>
    <s v="ADMINISTRAÇÃO"/>
    <x v="25"/>
    <n v="1"/>
    <n v="0"/>
  </r>
  <r>
    <s v="020.066.300/0001-80"/>
    <x v="2"/>
    <s v="INCLUSAO  ANOT.INADIMPLENCIA"/>
    <x v="34"/>
    <x v="1"/>
    <s v="2024-10"/>
    <x v="7"/>
    <s v="CELIO PIMENTA"/>
    <x v="2"/>
    <n v="0"/>
    <n v="1"/>
  </r>
  <r>
    <s v="016.757.535/0001-41"/>
    <x v="29"/>
    <s v="INCL/EXCL ANOT.INADIMPLENCIA"/>
    <x v="34"/>
    <x v="11"/>
    <s v="2024-10"/>
    <x v="7"/>
    <s v="DIOGO AZEVEDO"/>
    <x v="29"/>
    <n v="1"/>
    <n v="1"/>
  </r>
  <r>
    <s v="028.842.753/0001-63"/>
    <x v="49"/>
    <s v="INCLUSAO  ANOT.INADIMPLENCIA"/>
    <x v="34"/>
    <x v="15"/>
    <s v="2024-10"/>
    <x v="7"/>
    <s v="EDUARDO MATOSO"/>
    <x v="49"/>
    <n v="0"/>
    <n v="1"/>
  </r>
  <r>
    <s v="015.414.962/0001-64"/>
    <x v="19"/>
    <s v="INCLUSAO  ANOT.INADIMPLENCIA"/>
    <x v="34"/>
    <x v="8"/>
    <s v="2024-10"/>
    <x v="7"/>
    <s v="GRUPO OTTO"/>
    <x v="19"/>
    <n v="0"/>
    <n v="1"/>
  </r>
  <r>
    <s v="015.414.962/0001-64"/>
    <x v="19"/>
    <s v="ALTERACAO QUADRO SOCIAL"/>
    <x v="34"/>
    <x v="8"/>
    <s v="2024-10"/>
    <x v="7"/>
    <s v="GRUPO OTTO"/>
    <x v="19"/>
    <n v="0"/>
    <n v="0"/>
  </r>
  <r>
    <s v="015.414.962/0001-64"/>
    <x v="19"/>
    <s v="INCLUSAO  ANOT.INADIMPLENCIA"/>
    <x v="34"/>
    <x v="8"/>
    <s v="2024-10"/>
    <x v="7"/>
    <s v="GRUPO OTTO"/>
    <x v="19"/>
    <n v="0"/>
    <n v="1"/>
  </r>
  <r>
    <s v="015.414.962/0001-64"/>
    <x v="19"/>
    <s v="INCLUSAO  ANOT.INADIMPLENCIA"/>
    <x v="34"/>
    <x v="8"/>
    <s v="2024-10"/>
    <x v="7"/>
    <s v="GRUPO OTTO"/>
    <x v="19"/>
    <n v="0"/>
    <n v="1"/>
  </r>
  <r>
    <s v="000.987.236/0001-63"/>
    <x v="98"/>
    <s v="INCLUSAO  ANOT.INADIMPLENCIA"/>
    <x v="34"/>
    <x v="4"/>
    <s v="2024-10"/>
    <x v="7"/>
    <s v="NOELI SALETE"/>
    <x v="98"/>
    <n v="0"/>
    <n v="1"/>
  </r>
  <r>
    <s v="014.763.606/0001-93"/>
    <x v="10"/>
    <s v="INCLUSAO  ANOT.INADIMPLENCIA"/>
    <x v="34"/>
    <x v="4"/>
    <s v="2024-10"/>
    <x v="7"/>
    <s v="NOELI SALETE"/>
    <x v="10"/>
    <n v="0"/>
    <n v="1"/>
  </r>
  <r>
    <s v="019.709.129/0001-00"/>
    <x v="11"/>
    <s v="INCLUSAO  ANOT.INADIMPLENCIA"/>
    <x v="34"/>
    <x v="4"/>
    <s v="2024-10"/>
    <x v="7"/>
    <s v="NOELI SALETE"/>
    <x v="11"/>
    <n v="0"/>
    <n v="1"/>
  </r>
  <r>
    <s v="036.906.058/0001-46"/>
    <x v="75"/>
    <s v="INCLUSAO  ANOT.INADIMPLENCIA"/>
    <x v="34"/>
    <x v="4"/>
    <s v="2024-10"/>
    <x v="7"/>
    <s v="NOELI SALETE"/>
    <x v="75"/>
    <n v="0"/>
    <n v="1"/>
  </r>
  <r>
    <s v="093.274.124/0001-46"/>
    <x v="82"/>
    <s v="EXCLUSAO  ANOT.INADIMPLENCIA"/>
    <x v="34"/>
    <x v="4"/>
    <s v="2024-10"/>
    <x v="7"/>
    <s v="NOELI SALETE"/>
    <x v="82"/>
    <n v="1"/>
    <n v="0"/>
  </r>
  <r>
    <s v="029.470.692/0001-13"/>
    <x v="99"/>
    <s v="INCLUSAO  ANOT.INADIMPLENCIA"/>
    <x v="34"/>
    <x v="5"/>
    <s v="2024-10"/>
    <x v="7"/>
    <s v="POENATELA"/>
    <x v="99"/>
    <n v="0"/>
    <n v="1"/>
  </r>
  <r>
    <s v="013.746.252/0001-06"/>
    <x v="15"/>
    <s v="INCL/EXCL ANOT.INADIMPLENCIA"/>
    <x v="34"/>
    <x v="5"/>
    <s v="2024-10"/>
    <x v="7"/>
    <s v="POENATELA"/>
    <x v="15"/>
    <n v="1"/>
    <n v="1"/>
  </r>
  <r>
    <s v="026.438.913/0001-88"/>
    <x v="100"/>
    <s v="ALTERACAO RAZAO SOCIAL"/>
    <x v="34"/>
    <x v="6"/>
    <s v="2024-10"/>
    <x v="7"/>
    <s v="RAFAEL PARISE"/>
    <x v="100"/>
    <n v="0"/>
    <n v="0"/>
  </r>
  <r>
    <s v="014.619.667/0001-81"/>
    <x v="101"/>
    <s v="ALTERACAO RAZAO SOCIAL"/>
    <x v="34"/>
    <x v="18"/>
    <s v="2024-10"/>
    <x v="7"/>
    <s v="SEM GERENTE"/>
    <x v="101"/>
    <n v="0"/>
    <n v="0"/>
  </r>
  <r>
    <s v="014.619.667/0001-81"/>
    <x v="101"/>
    <s v="INCLUSAO  ANOT.INADIMPLENCIA"/>
    <x v="34"/>
    <x v="18"/>
    <s v="2024-10"/>
    <x v="7"/>
    <s v="SEM GERENTE"/>
    <x v="101"/>
    <n v="0"/>
    <n v="1"/>
  </r>
  <r>
    <s v="005.881.441/0001-63"/>
    <x v="96"/>
    <s v="INCLUSAO  ANOT.INADIMPLENCIA"/>
    <x v="34"/>
    <x v="7"/>
    <s v="2024-10"/>
    <x v="7"/>
    <s v="WHELKYA IRIS"/>
    <x v="96"/>
    <n v="0"/>
    <n v="1"/>
  </r>
  <r>
    <s v="023.909.177/0001-00"/>
    <x v="102"/>
    <s v="INCLUSAO  ANOT.INADIMPLENCIA"/>
    <x v="34"/>
    <x v="7"/>
    <s v="2024-10"/>
    <x v="7"/>
    <s v="WHELKYA IRIS"/>
    <x v="102"/>
    <n v="0"/>
    <n v="1"/>
  </r>
  <r>
    <s v="033.803.691/0001-10"/>
    <x v="103"/>
    <s v="INCLUSAO  ANOT.INADIMPLENCIA"/>
    <x v="35"/>
    <x v="0"/>
    <s v="2024-10"/>
    <x v="7"/>
    <s v="ADMINISTRAÇÃO"/>
    <x v="103"/>
    <n v="0"/>
    <n v="1"/>
  </r>
  <r>
    <s v="021.734.108/0001-88"/>
    <x v="41"/>
    <s v="INCLUSAO  ANOT.INADIMPLENCIA"/>
    <x v="35"/>
    <x v="0"/>
    <s v="2024-10"/>
    <x v="7"/>
    <s v="ADMINISTRAÇÃO"/>
    <x v="41"/>
    <n v="0"/>
    <n v="1"/>
  </r>
  <r>
    <s v="020.066.300/0001-80"/>
    <x v="2"/>
    <s v="INCLUSAO  ANOT.INADIMPLENCIA"/>
    <x v="35"/>
    <x v="1"/>
    <s v="2024-10"/>
    <x v="7"/>
    <s v="CELIO PIMENTA"/>
    <x v="2"/>
    <n v="0"/>
    <n v="1"/>
  </r>
  <r>
    <s v="007.102.721/0001-51"/>
    <x v="44"/>
    <s v="EXCLUSAO  ANOT.INADIMPLENCIA"/>
    <x v="35"/>
    <x v="12"/>
    <s v="2024-10"/>
    <x v="7"/>
    <s v="PROSPECTAR"/>
    <x v="44"/>
    <n v="1"/>
    <n v="0"/>
  </r>
  <r>
    <s v="008.712.271/0001-81"/>
    <x v="5"/>
    <s v="INCLUSAO  ANOT.INADIMPLENCIA"/>
    <x v="35"/>
    <x v="0"/>
    <s v="2024-10"/>
    <x v="7"/>
    <s v="ADMINISTRAÇÃO"/>
    <x v="5"/>
    <n v="0"/>
    <n v="1"/>
  </r>
  <r>
    <s v="034.821.586/0001-77"/>
    <x v="38"/>
    <s v="INCLUSAO  ANOT.INADIMPLENCIA"/>
    <x v="35"/>
    <x v="3"/>
    <s v="2024-10"/>
    <x v="7"/>
    <s v="MARCUS VINICIUS "/>
    <x v="38"/>
    <n v="0"/>
    <n v="1"/>
  </r>
  <r>
    <s v="035.165.246/0001-06"/>
    <x v="104"/>
    <s v="INCLUSAO  ANOT.INADIMPLENCIA"/>
    <x v="35"/>
    <x v="3"/>
    <s v="2024-10"/>
    <x v="7"/>
    <s v="MARCUS VINICIUS "/>
    <x v="104"/>
    <n v="0"/>
    <n v="1"/>
  </r>
  <r>
    <s v="041.768.583/0001-82"/>
    <x v="35"/>
    <s v="EXCLUSAO  ANOT.INADIMPLENCIA"/>
    <x v="35"/>
    <x v="14"/>
    <s v="2024-10"/>
    <x v="7"/>
    <s v="NELSON"/>
    <x v="35"/>
    <n v="1"/>
    <n v="0"/>
  </r>
  <r>
    <s v="000.987.236/0001-63"/>
    <x v="98"/>
    <s v="INCLUSAO  ANOT.INADIMPLENCIA"/>
    <x v="35"/>
    <x v="4"/>
    <s v="2024-10"/>
    <x v="7"/>
    <s v="NOELI SALETE"/>
    <x v="98"/>
    <n v="0"/>
    <n v="1"/>
  </r>
  <r>
    <s v="007.906.793/0001-51"/>
    <x v="94"/>
    <s v="INCLUSAO  ANOT.INADIMPLENCIA"/>
    <x v="35"/>
    <x v="4"/>
    <s v="2024-10"/>
    <x v="7"/>
    <s v="NOELI SALETE"/>
    <x v="94"/>
    <n v="0"/>
    <n v="1"/>
  </r>
  <r>
    <s v="014.763.606/0001-93"/>
    <x v="10"/>
    <s v="INCLUSAO  ANOT.INADIMPLENCIA"/>
    <x v="35"/>
    <x v="4"/>
    <s v="2024-10"/>
    <x v="7"/>
    <s v="NOELI SALETE"/>
    <x v="10"/>
    <n v="0"/>
    <n v="1"/>
  </r>
  <r>
    <s v="019.709.129/0001-00"/>
    <x v="11"/>
    <s v="INCLUSAO  ANOT.INADIMPLENCIA"/>
    <x v="35"/>
    <x v="4"/>
    <s v="2024-10"/>
    <x v="7"/>
    <s v="NOELI SALETE"/>
    <x v="11"/>
    <n v="0"/>
    <n v="1"/>
  </r>
  <r>
    <s v="093.274.124/0001-46"/>
    <x v="82"/>
    <s v="INCLUSAO  ANOT.INADIMPLENCIA"/>
    <x v="35"/>
    <x v="4"/>
    <s v="2024-10"/>
    <x v="7"/>
    <s v="NOELI SALETE"/>
    <x v="82"/>
    <n v="0"/>
    <n v="1"/>
  </r>
  <r>
    <s v="016.956.677/0001-38"/>
    <x v="92"/>
    <s v="INCLUSAO  ANOT.INADIMPLENCIA"/>
    <x v="35"/>
    <x v="5"/>
    <s v="2024-10"/>
    <x v="7"/>
    <s v="POENATELA"/>
    <x v="92"/>
    <n v="0"/>
    <n v="1"/>
  </r>
  <r>
    <s v="023.605.544/0001-82"/>
    <x v="21"/>
    <s v="INCLUSAO  ANOT.INADIMPLENCIA"/>
    <x v="35"/>
    <x v="9"/>
    <s v="2024-10"/>
    <x v="7"/>
    <s v="PRISCILA METZ"/>
    <x v="21"/>
    <n v="0"/>
    <n v="1"/>
  </r>
  <r>
    <s v="046.700.220/0001-29"/>
    <x v="46"/>
    <s v="INCLUSAO  ANOT.INADIMPLENCIA"/>
    <x v="35"/>
    <x v="9"/>
    <s v="2024-10"/>
    <x v="7"/>
    <s v="PRISCILA METZ"/>
    <x v="46"/>
    <n v="0"/>
    <n v="1"/>
  </r>
  <r>
    <s v="002.534.653/0001-86"/>
    <x v="105"/>
    <s v="INCLUSAO  ANOT.INADIMPLENCIA"/>
    <x v="35"/>
    <x v="10"/>
    <s v="2024-10"/>
    <x v="7"/>
    <s v="ROGERIO "/>
    <x v="105"/>
    <n v="0"/>
    <n v="1"/>
  </r>
  <r>
    <s v="036.775.092/0001-29"/>
    <x v="81"/>
    <s v="INCLUSAO  ANOT.INADIMPLENCIA"/>
    <x v="36"/>
    <x v="0"/>
    <s v="2024-10"/>
    <x v="7"/>
    <s v="ADMINISTRAÇÃO"/>
    <x v="81"/>
    <n v="0"/>
    <n v="1"/>
  </r>
  <r>
    <s v="020.066.300/0001-80"/>
    <x v="2"/>
    <s v="INCLUSAO  ANOT.INADIMPLENCIA"/>
    <x v="36"/>
    <x v="1"/>
    <s v="2024-10"/>
    <x v="7"/>
    <s v="CELIO PIMENTA"/>
    <x v="2"/>
    <n v="0"/>
    <n v="1"/>
  </r>
  <r>
    <s v="029.030.307/0001-17"/>
    <x v="43"/>
    <s v="INCLUSAO  ANOT.INADIMPLENCIA"/>
    <x v="36"/>
    <x v="1"/>
    <s v="2024-10"/>
    <x v="7"/>
    <s v="CELIO PIMENTA"/>
    <x v="43"/>
    <n v="0"/>
    <n v="1"/>
  </r>
  <r>
    <s v="012.520.791/0001-60"/>
    <x v="4"/>
    <s v="EXCLUSAO  ANOT.INADIMPLENCIA"/>
    <x v="36"/>
    <x v="1"/>
    <s v="2024-10"/>
    <x v="7"/>
    <s v="CELIO PIMENTA"/>
    <x v="4"/>
    <n v="1"/>
    <n v="0"/>
  </r>
  <r>
    <s v="015.414.962/0001-64"/>
    <x v="19"/>
    <s v="INCL/EXCL ANOT.INADIMPLENCIA"/>
    <x v="36"/>
    <x v="8"/>
    <s v="2024-10"/>
    <x v="7"/>
    <s v="GRUPO OTTO"/>
    <x v="19"/>
    <n v="1"/>
    <n v="1"/>
  </r>
  <r>
    <s v="035.665.211/0001-28"/>
    <x v="93"/>
    <s v="INCLUSAO  ANOT.INADIMPLENCIA"/>
    <x v="36"/>
    <x v="0"/>
    <s v="2024-10"/>
    <x v="7"/>
    <s v="ADMINISTRAÇÃO"/>
    <x v="93"/>
    <n v="0"/>
    <n v="1"/>
  </r>
  <r>
    <s v="019.709.129/0001-00"/>
    <x v="11"/>
    <s v="INCLUSAO  ANOT.INADIMPLENCIA"/>
    <x v="36"/>
    <x v="4"/>
    <s v="2024-10"/>
    <x v="7"/>
    <s v="NOELI SALETE"/>
    <x v="11"/>
    <n v="0"/>
    <n v="1"/>
  </r>
  <r>
    <s v="036.906.058/0001-46"/>
    <x v="75"/>
    <s v="INCLUSAO  ANOT.INADIMPLENCIA"/>
    <x v="36"/>
    <x v="4"/>
    <s v="2024-10"/>
    <x v="7"/>
    <s v="NOELI SALETE"/>
    <x v="75"/>
    <n v="0"/>
    <n v="1"/>
  </r>
  <r>
    <s v="093.274.124/0001-46"/>
    <x v="82"/>
    <s v="EXCLUSAO  ANOT.INADIMPLENCIA"/>
    <x v="36"/>
    <x v="4"/>
    <s v="2024-10"/>
    <x v="7"/>
    <s v="NOELI SALETE"/>
    <x v="82"/>
    <n v="1"/>
    <n v="0"/>
  </r>
  <r>
    <s v="012.299.369/0001-26"/>
    <x v="13"/>
    <s v="EXCLUSAO  ANOT.INADIMPLENCIA"/>
    <x v="36"/>
    <x v="5"/>
    <s v="2024-10"/>
    <x v="7"/>
    <s v="POENATELA"/>
    <x v="13"/>
    <n v="1"/>
    <n v="0"/>
  </r>
  <r>
    <s v="013.746.252/0001-06"/>
    <x v="15"/>
    <s v="INCL/EXCL ANOT.INADIMPLENCIA"/>
    <x v="36"/>
    <x v="5"/>
    <s v="2024-10"/>
    <x v="7"/>
    <s v="POENATELA"/>
    <x v="15"/>
    <n v="1"/>
    <n v="1"/>
  </r>
  <r>
    <s v="037.054.821/0001-10"/>
    <x v="83"/>
    <s v="EXCLUSAO  ANOT.INADIMPLENCIA"/>
    <x v="36"/>
    <x v="9"/>
    <s v="2024-10"/>
    <x v="7"/>
    <s v="PRISCILA METZ"/>
    <x v="83"/>
    <n v="1"/>
    <n v="0"/>
  </r>
  <r>
    <s v="046.700.220/0001-29"/>
    <x v="46"/>
    <s v="INCLUSAO  ANOT.INADIMPLENCIA"/>
    <x v="36"/>
    <x v="9"/>
    <s v="2024-10"/>
    <x v="7"/>
    <s v="PRISCILA METZ"/>
    <x v="46"/>
    <n v="0"/>
    <n v="1"/>
  </r>
  <r>
    <s v="020.066.300/0001-80"/>
    <x v="2"/>
    <s v="INCLUSAO  ANOT.INADIMPLENCIA"/>
    <x v="37"/>
    <x v="1"/>
    <s v="2024-10"/>
    <x v="7"/>
    <s v="CELIO PIMENTA"/>
    <x v="2"/>
    <n v="0"/>
    <n v="1"/>
  </r>
  <r>
    <s v="025.236.865/0001-82"/>
    <x v="50"/>
    <s v="EXCLUSAO  ANOT.INADIMPLENCIA"/>
    <x v="37"/>
    <x v="1"/>
    <s v="2024-10"/>
    <x v="7"/>
    <s v="CELIO PIMENTA"/>
    <x v="50"/>
    <n v="1"/>
    <n v="0"/>
  </r>
  <r>
    <s v="007.561.436/0001-07"/>
    <x v="34"/>
    <s v="INCLUSAO  ANOT.INADIMPLENCIA"/>
    <x v="37"/>
    <x v="12"/>
    <s v="2024-10"/>
    <x v="7"/>
    <s v="PROSPECTAR"/>
    <x v="34"/>
    <n v="0"/>
    <n v="1"/>
  </r>
  <r>
    <s v="015.414.962/0001-64"/>
    <x v="19"/>
    <s v="INCL/EXCL ANOT.INADIMPLENCIA"/>
    <x v="37"/>
    <x v="8"/>
    <s v="2024-10"/>
    <x v="7"/>
    <s v="GRUPO OTTO"/>
    <x v="19"/>
    <n v="1"/>
    <n v="1"/>
  </r>
  <r>
    <s v="019.450.138/0001-10"/>
    <x v="70"/>
    <s v="EXCLUSAO  ANOT.INADIMPLENCIA"/>
    <x v="37"/>
    <x v="17"/>
    <s v="2024-10"/>
    <x v="7"/>
    <s v="MARCIO LEONEL"/>
    <x v="70"/>
    <n v="1"/>
    <n v="0"/>
  </r>
  <r>
    <s v="025.825.654/0001-85"/>
    <x v="7"/>
    <s v="EXCLUSAO  ANOT.INADIMPLENCIA"/>
    <x v="37"/>
    <x v="3"/>
    <s v="2024-10"/>
    <x v="7"/>
    <s v="MARCUS VINICIUS "/>
    <x v="7"/>
    <n v="1"/>
    <n v="0"/>
  </r>
  <r>
    <s v="034.821.586/0001-77"/>
    <x v="38"/>
    <s v="INCLUSAO  ANOT.INADIMPLENCIA"/>
    <x v="37"/>
    <x v="3"/>
    <s v="2024-10"/>
    <x v="7"/>
    <s v="MARCUS VINICIUS "/>
    <x v="38"/>
    <n v="0"/>
    <n v="1"/>
  </r>
  <r>
    <s v="035.665.211/0001-28"/>
    <x v="93"/>
    <s v="INCLUSAO  ANOT.INADIMPLENCIA"/>
    <x v="37"/>
    <x v="0"/>
    <s v="2024-10"/>
    <x v="7"/>
    <s v="ADMINISTRAÇÃO"/>
    <x v="93"/>
    <n v="0"/>
    <n v="1"/>
  </r>
  <r>
    <s v="000.987.236/0001-63"/>
    <x v="98"/>
    <s v="INCLUSAO  ANOT.INADIMPLENCIA"/>
    <x v="37"/>
    <x v="4"/>
    <s v="2024-10"/>
    <x v="7"/>
    <s v="NOELI SALETE"/>
    <x v="98"/>
    <n v="0"/>
    <n v="1"/>
  </r>
  <r>
    <s v="019.709.129/0001-00"/>
    <x v="11"/>
    <s v="INCLUSAO  ANOT.INADIMPLENCIA"/>
    <x v="37"/>
    <x v="4"/>
    <s v="2024-10"/>
    <x v="7"/>
    <s v="NOELI SALETE"/>
    <x v="11"/>
    <n v="0"/>
    <n v="1"/>
  </r>
  <r>
    <s v="029.470.692/0001-13"/>
    <x v="99"/>
    <s v="EXCLUSAO  ANOT.INADIMPLENCIA"/>
    <x v="37"/>
    <x v="5"/>
    <s v="2024-10"/>
    <x v="7"/>
    <s v="POENATELA"/>
    <x v="99"/>
    <n v="1"/>
    <n v="0"/>
  </r>
  <r>
    <s v="023.605.544/0001-82"/>
    <x v="21"/>
    <s v="INCLUSAO  ANOT.INADIMPLENCIA"/>
    <x v="37"/>
    <x v="9"/>
    <s v="2024-10"/>
    <x v="7"/>
    <s v="PRISCILA METZ"/>
    <x v="21"/>
    <n v="0"/>
    <n v="1"/>
  </r>
  <r>
    <s v="011.122.552/0001-99"/>
    <x v="59"/>
    <s v="EXCLUSAO  ANOT.INADIMPLENCIA"/>
    <x v="37"/>
    <x v="6"/>
    <s v="2024-10"/>
    <x v="7"/>
    <s v="RAFAEL PARISE"/>
    <x v="59"/>
    <n v="1"/>
    <n v="0"/>
  </r>
  <r>
    <s v="038.110.780/0001-03"/>
    <x v="47"/>
    <s v="EXCLUSAO  ANOT.INADIMPLENCIA"/>
    <x v="37"/>
    <x v="6"/>
    <s v="2024-10"/>
    <x v="7"/>
    <s v="RAFAEL PARISE"/>
    <x v="47"/>
    <n v="1"/>
    <n v="0"/>
  </r>
  <r>
    <s v="002.534.653/0001-86"/>
    <x v="105"/>
    <s v="EXCLUSAO  ANOT.INADIMPLENCIA"/>
    <x v="37"/>
    <x v="10"/>
    <s v="2024-10"/>
    <x v="7"/>
    <s v="ROGERIO "/>
    <x v="105"/>
    <n v="1"/>
    <n v="0"/>
  </r>
  <r>
    <s v="005.881.441/0001-63"/>
    <x v="96"/>
    <s v="INCLUSAO  ANOT.INADIMPLENCIA"/>
    <x v="37"/>
    <x v="7"/>
    <s v="2024-10"/>
    <x v="7"/>
    <s v="WHELKYA IRIS"/>
    <x v="96"/>
    <n v="0"/>
    <n v="1"/>
  </r>
  <r>
    <s v="021.734.108/0001-88"/>
    <x v="41"/>
    <s v="EXCLUSAO  ANOT.INADIMPLENCIA"/>
    <x v="38"/>
    <x v="0"/>
    <s v="2024-10"/>
    <x v="7"/>
    <s v="ADMINISTRAÇÃO"/>
    <x v="41"/>
    <n v="1"/>
    <n v="0"/>
  </r>
  <r>
    <s v="020.066.300/0001-80"/>
    <x v="2"/>
    <s v="INCLUSAO  ANOT.INADIMPLENCIA"/>
    <x v="38"/>
    <x v="1"/>
    <s v="2024-10"/>
    <x v="7"/>
    <s v="CELIO PIMENTA"/>
    <x v="2"/>
    <n v="0"/>
    <n v="1"/>
  </r>
  <r>
    <s v="029.030.307/0001-17"/>
    <x v="43"/>
    <s v="INCLUSAO  ANOT.INADIMPLENCIA"/>
    <x v="38"/>
    <x v="1"/>
    <s v="2024-10"/>
    <x v="7"/>
    <s v="CELIO PIMENTA"/>
    <x v="43"/>
    <n v="0"/>
    <n v="1"/>
  </r>
  <r>
    <s v="016.757.535/0001-41"/>
    <x v="29"/>
    <s v="INCLUSAO  ANOT.INADIMPLENCIA"/>
    <x v="38"/>
    <x v="11"/>
    <s v="2024-10"/>
    <x v="7"/>
    <s v="DIOGO AZEVEDO"/>
    <x v="29"/>
    <n v="0"/>
    <n v="1"/>
  </r>
  <r>
    <s v="008.712.271/0001-81"/>
    <x v="5"/>
    <s v="INCLUSAO  ANOT.INADIMPLENCIA"/>
    <x v="38"/>
    <x v="0"/>
    <s v="2024-10"/>
    <x v="7"/>
    <s v="ADMINISTRAÇÃO"/>
    <x v="5"/>
    <n v="0"/>
    <n v="1"/>
  </r>
  <r>
    <s v="002.246.382/0001-63"/>
    <x v="56"/>
    <s v="INCLUSAO  ANOT.INADIMPLENCIA"/>
    <x v="38"/>
    <x v="3"/>
    <s v="2024-10"/>
    <x v="7"/>
    <s v="MARCUS VINICIUS "/>
    <x v="56"/>
    <n v="0"/>
    <n v="1"/>
  </r>
  <r>
    <s v="035.665.211/0001-28"/>
    <x v="93"/>
    <s v="INCLUSAO  ANOT.INADIMPLENCIA"/>
    <x v="38"/>
    <x v="0"/>
    <s v="2024-10"/>
    <x v="7"/>
    <s v="ADMINISTRAÇÃO"/>
    <x v="93"/>
    <n v="0"/>
    <n v="1"/>
  </r>
  <r>
    <s v="014.763.606/0001-93"/>
    <x v="10"/>
    <s v="EXCLUSAO  ANOT.INADIMPLENCIA"/>
    <x v="38"/>
    <x v="4"/>
    <s v="2024-10"/>
    <x v="7"/>
    <s v="NOELI SALETE"/>
    <x v="10"/>
    <n v="1"/>
    <n v="0"/>
  </r>
  <r>
    <s v="013.746.252/0001-06"/>
    <x v="15"/>
    <s v="INCLUSAO  ANOT.INADIMPLENCIA"/>
    <x v="38"/>
    <x v="5"/>
    <s v="2024-10"/>
    <x v="7"/>
    <s v="POENATELA"/>
    <x v="15"/>
    <n v="0"/>
    <n v="1"/>
  </r>
  <r>
    <s v="023.605.544/0001-82"/>
    <x v="21"/>
    <s v="INCLUSAO  ANOT.INADIMPLENCIA"/>
    <x v="38"/>
    <x v="9"/>
    <s v="2024-10"/>
    <x v="7"/>
    <s v="PRISCILA METZ"/>
    <x v="21"/>
    <n v="0"/>
    <n v="1"/>
  </r>
  <r>
    <s v="012.817.803/0001-12"/>
    <x v="80"/>
    <s v="INCLUSAO  ANOT.INADIMPLENCIA"/>
    <x v="38"/>
    <x v="0"/>
    <s v="2024-10"/>
    <x v="7"/>
    <s v="ADMINISTRAÇÃO"/>
    <x v="80"/>
    <n v="0"/>
    <n v="1"/>
  </r>
  <r>
    <s v="036.775.092/0001-29"/>
    <x v="81"/>
    <s v="EXCLUSAO  ANOT.INADIMPLENCIA"/>
    <x v="39"/>
    <x v="0"/>
    <s v="2024-10"/>
    <x v="7"/>
    <s v="ADMINISTRAÇÃO"/>
    <x v="81"/>
    <n v="1"/>
    <n v="0"/>
  </r>
  <r>
    <s v="020.066.300/0001-80"/>
    <x v="2"/>
    <s v="INCLUSAO  ANOT.INADIMPLENCIA"/>
    <x v="39"/>
    <x v="1"/>
    <s v="2024-10"/>
    <x v="7"/>
    <s v="CELIO PIMENTA"/>
    <x v="2"/>
    <n v="0"/>
    <n v="1"/>
  </r>
  <r>
    <s v="003.590.360/0001-89"/>
    <x v="3"/>
    <s v="INCLUSAO  ANOT.INADIMPLENCIA"/>
    <x v="39"/>
    <x v="1"/>
    <s v="2024-10"/>
    <x v="7"/>
    <s v="CELIO PIMENTA"/>
    <x v="3"/>
    <n v="0"/>
    <n v="1"/>
  </r>
  <r>
    <s v="007.561.436/0001-07"/>
    <x v="34"/>
    <s v="EXCLUSAO  ANOT.INADIMPLENCIA"/>
    <x v="39"/>
    <x v="12"/>
    <s v="2024-10"/>
    <x v="7"/>
    <s v="PROSPECTAR"/>
    <x v="34"/>
    <n v="1"/>
    <n v="0"/>
  </r>
  <r>
    <s v="035.665.211/0001-28"/>
    <x v="93"/>
    <s v="INCLUSAO  ANOT.INADIMPLENCIA"/>
    <x v="39"/>
    <x v="0"/>
    <s v="2024-10"/>
    <x v="7"/>
    <s v="ADMINISTRAÇÃO"/>
    <x v="93"/>
    <n v="0"/>
    <n v="1"/>
  </r>
  <r>
    <s v="019.709.129/0001-00"/>
    <x v="11"/>
    <s v="INCLUSAO  ANOT.INADIMPLENCIA"/>
    <x v="39"/>
    <x v="4"/>
    <s v="2024-10"/>
    <x v="7"/>
    <s v="NOELI SALETE"/>
    <x v="11"/>
    <n v="0"/>
    <n v="1"/>
  </r>
  <r>
    <s v="093.274.124/0001-46"/>
    <x v="82"/>
    <s v="EXCLUSAO  ANOT.INADIMPLENCIA"/>
    <x v="39"/>
    <x v="4"/>
    <s v="2024-10"/>
    <x v="7"/>
    <s v="NOELI SALETE"/>
    <x v="82"/>
    <n v="1"/>
    <n v="0"/>
  </r>
  <r>
    <s v="013.746.252/0001-06"/>
    <x v="15"/>
    <s v="INCLUSAO  ANOT.INADIMPLENCIA"/>
    <x v="39"/>
    <x v="5"/>
    <s v="2024-10"/>
    <x v="7"/>
    <s v="POENATELA"/>
    <x v="15"/>
    <n v="0"/>
    <n v="1"/>
  </r>
  <r>
    <s v="043.515.558/0001-12"/>
    <x v="22"/>
    <s v="INCLUSAO  ANOT.INADIMPLENCIA"/>
    <x v="39"/>
    <x v="10"/>
    <s v="2024-10"/>
    <x v="7"/>
    <s v="ROGERIO "/>
    <x v="22"/>
    <n v="0"/>
    <n v="1"/>
  </r>
  <r>
    <s v="016.772.642/0001-49"/>
    <x v="69"/>
    <s v="INCLUSAO  ANOT.INADIMPLENCIA"/>
    <x v="40"/>
    <x v="0"/>
    <s v="2024-10"/>
    <x v="8"/>
    <s v="ADMINISTRAÇÃO"/>
    <x v="69"/>
    <n v="0"/>
    <n v="1"/>
  </r>
  <r>
    <s v="033.803.691/0001-10"/>
    <x v="103"/>
    <s v="EXCLUSAO  ANOT.INADIMPLENCIA"/>
    <x v="40"/>
    <x v="0"/>
    <s v="2024-10"/>
    <x v="8"/>
    <s v="ADMINISTRAÇÃO"/>
    <x v="103"/>
    <n v="1"/>
    <n v="0"/>
  </r>
  <r>
    <s v="023.911.356/0001-82"/>
    <x v="54"/>
    <s v="INCLUSAO  ANOT.INADIMPLENCIA"/>
    <x v="40"/>
    <x v="0"/>
    <s v="2024-10"/>
    <x v="8"/>
    <s v="ADMINISTRAÇÃO"/>
    <x v="54"/>
    <n v="0"/>
    <n v="1"/>
  </r>
  <r>
    <s v="036.775.092/0001-29"/>
    <x v="81"/>
    <s v="INCLUSAO  ANOT.INADIMPLENCIA"/>
    <x v="40"/>
    <x v="0"/>
    <s v="2024-10"/>
    <x v="8"/>
    <s v="ADMINISTRAÇÃO"/>
    <x v="81"/>
    <n v="0"/>
    <n v="1"/>
  </r>
  <r>
    <s v="021.734.108/0001-88"/>
    <x v="41"/>
    <s v="INCL/EXCL ANOT.INADIMPLENCIA"/>
    <x v="40"/>
    <x v="0"/>
    <s v="2024-10"/>
    <x v="8"/>
    <s v="ADMINISTRAÇÃO"/>
    <x v="41"/>
    <n v="1"/>
    <n v="1"/>
  </r>
  <r>
    <s v="004.126.524/0001-84"/>
    <x v="28"/>
    <s v="EXCLUSAO  ANOT.INADIMPLENCIA"/>
    <x v="40"/>
    <x v="0"/>
    <s v="2024-10"/>
    <x v="8"/>
    <s v="ADMINISTRAÇÃO"/>
    <x v="28"/>
    <n v="1"/>
    <n v="0"/>
  </r>
  <r>
    <s v="006.107.454/0001-42"/>
    <x v="42"/>
    <s v="INCLUSAO  ANOT.INADIMPLENCIA"/>
    <x v="40"/>
    <x v="0"/>
    <s v="2024-10"/>
    <x v="8"/>
    <s v="ADMINISTRAÇÃO"/>
    <x v="42"/>
    <n v="0"/>
    <n v="1"/>
  </r>
  <r>
    <s v="020.066.300/0001-80"/>
    <x v="2"/>
    <s v="INCLUSAO  ANOT.INADIMPLENCIA"/>
    <x v="40"/>
    <x v="1"/>
    <s v="2024-10"/>
    <x v="8"/>
    <s v="CELIO PIMENTA"/>
    <x v="2"/>
    <n v="0"/>
    <n v="1"/>
  </r>
  <r>
    <s v="003.590.360/0001-89"/>
    <x v="3"/>
    <s v="INCLUSAO  ANOT.INADIMPLENCIA"/>
    <x v="40"/>
    <x v="1"/>
    <s v="2024-10"/>
    <x v="8"/>
    <s v="CELIO PIMENTA"/>
    <x v="3"/>
    <n v="0"/>
    <n v="1"/>
  </r>
  <r>
    <s v="015.414.962/0001-64"/>
    <x v="19"/>
    <s v="INCLUSAO  ANOT.INADIMPLENCIA"/>
    <x v="40"/>
    <x v="8"/>
    <s v="2024-10"/>
    <x v="8"/>
    <s v="GRUPO OTTO"/>
    <x v="19"/>
    <n v="0"/>
    <n v="1"/>
  </r>
  <r>
    <s v="019.450.138/0001-10"/>
    <x v="70"/>
    <s v="EXCLUSAO  ANOT.INADIMPLENCIA"/>
    <x v="40"/>
    <x v="17"/>
    <s v="2024-10"/>
    <x v="8"/>
    <s v="MARCIO LEONEL"/>
    <x v="70"/>
    <n v="1"/>
    <n v="0"/>
  </r>
  <r>
    <s v="035.165.246/0001-06"/>
    <x v="104"/>
    <s v="INCLUSAO  ANOT.INADIMPLENCIA"/>
    <x v="40"/>
    <x v="3"/>
    <s v="2024-10"/>
    <x v="8"/>
    <s v="MARCUS VINICIUS "/>
    <x v="104"/>
    <n v="0"/>
    <n v="1"/>
  </r>
  <r>
    <s v="035.665.211/0001-28"/>
    <x v="93"/>
    <s v="INCLUSAO  ANOT.INADIMPLENCIA"/>
    <x v="40"/>
    <x v="0"/>
    <s v="2024-10"/>
    <x v="8"/>
    <s v="ADMINISTRAÇÃO"/>
    <x v="93"/>
    <n v="0"/>
    <n v="1"/>
  </r>
  <r>
    <s v="007.906.793/0001-51"/>
    <x v="94"/>
    <s v="INCLUSAO  ANOT.INADIMPLENCIA"/>
    <x v="40"/>
    <x v="4"/>
    <s v="2024-10"/>
    <x v="8"/>
    <s v="NOELI SALETE"/>
    <x v="94"/>
    <n v="0"/>
    <n v="1"/>
  </r>
  <r>
    <s v="014.763.606/0001-93"/>
    <x v="10"/>
    <s v="INCL/EXCL ANOT.INADIMPLENCIA"/>
    <x v="40"/>
    <x v="4"/>
    <s v="2024-10"/>
    <x v="8"/>
    <s v="NOELI SALETE"/>
    <x v="10"/>
    <n v="1"/>
    <n v="1"/>
  </r>
  <r>
    <s v="016.956.677/0001-38"/>
    <x v="92"/>
    <s v="INCLUSAO  ANOT.INADIMPLENCIA"/>
    <x v="40"/>
    <x v="5"/>
    <s v="2024-10"/>
    <x v="8"/>
    <s v="POENATELA"/>
    <x v="92"/>
    <n v="0"/>
    <n v="1"/>
  </r>
  <r>
    <s v="013.746.252/0001-06"/>
    <x v="15"/>
    <s v="INCL/EXCL ANOT.INADIMPLENCIA"/>
    <x v="40"/>
    <x v="5"/>
    <s v="2024-10"/>
    <x v="8"/>
    <s v="POENATELA"/>
    <x v="15"/>
    <n v="1"/>
    <n v="1"/>
  </r>
  <r>
    <s v="046.700.220/0001-29"/>
    <x v="46"/>
    <s v="INCLUSAO  ANOT.INADIMPLENCIA"/>
    <x v="40"/>
    <x v="9"/>
    <s v="2024-10"/>
    <x v="8"/>
    <s v="PRISCILA METZ"/>
    <x v="46"/>
    <n v="0"/>
    <n v="1"/>
  </r>
  <r>
    <s v="023.911.356/0001-82"/>
    <x v="54"/>
    <s v="INCLUSAO  ANOT.INADIMPLENCIA"/>
    <x v="41"/>
    <x v="0"/>
    <s v="2024-10"/>
    <x v="8"/>
    <s v="ADMINISTRAÇÃO"/>
    <x v="54"/>
    <n v="0"/>
    <n v="1"/>
  </r>
  <r>
    <s v="020.066.300/0001-80"/>
    <x v="2"/>
    <s v="INCLUSAO  ANOT.INADIMPLENCIA"/>
    <x v="41"/>
    <x v="1"/>
    <s v="2024-10"/>
    <x v="8"/>
    <s v="CELIO PIMENTA"/>
    <x v="2"/>
    <n v="0"/>
    <n v="1"/>
  </r>
  <r>
    <s v="044.888.871/0001-69"/>
    <x v="106"/>
    <s v="ALTERACAO ENDERECO"/>
    <x v="41"/>
    <x v="12"/>
    <s v="2024-10"/>
    <x v="8"/>
    <s v="PROSPECTAR"/>
    <x v="106"/>
    <n v="0"/>
    <n v="0"/>
  </r>
  <r>
    <s v="007.561.436/0001-07"/>
    <x v="34"/>
    <s v="EXCLUSAO  ANOT.INADIMPLENCIA"/>
    <x v="41"/>
    <x v="12"/>
    <s v="2024-10"/>
    <x v="8"/>
    <s v="PROSPECTAR"/>
    <x v="34"/>
    <n v="1"/>
    <n v="0"/>
  </r>
  <r>
    <s v="015.414.962/0001-64"/>
    <x v="19"/>
    <s v="INCLUSAO  ANOT.INADIMPLENCIA"/>
    <x v="41"/>
    <x v="8"/>
    <s v="2024-10"/>
    <x v="8"/>
    <s v="GRUPO OTTO"/>
    <x v="19"/>
    <n v="0"/>
    <n v="1"/>
  </r>
  <r>
    <s v="035.165.246/0001-06"/>
    <x v="104"/>
    <s v="EXCLUSAO  ANOT.INADIMPLENCIA"/>
    <x v="41"/>
    <x v="3"/>
    <s v="2024-10"/>
    <x v="8"/>
    <s v="MARCUS VINICIUS "/>
    <x v="104"/>
    <n v="1"/>
    <n v="0"/>
  </r>
  <r>
    <s v="002.246.382/0001-63"/>
    <x v="56"/>
    <s v="ALTERACAO ENDERECO"/>
    <x v="41"/>
    <x v="3"/>
    <s v="2024-10"/>
    <x v="8"/>
    <s v="MARCUS VINICIUS "/>
    <x v="56"/>
    <n v="0"/>
    <n v="0"/>
  </r>
  <r>
    <s v="002.246.382/0001-63"/>
    <x v="56"/>
    <s v="INCLUSAO  ANOT.INADIMPLENCIA"/>
    <x v="41"/>
    <x v="3"/>
    <s v="2024-10"/>
    <x v="8"/>
    <s v="MARCUS VINICIUS "/>
    <x v="56"/>
    <n v="0"/>
    <n v="1"/>
  </r>
  <r>
    <s v="007.906.793/0001-51"/>
    <x v="94"/>
    <s v="INCLUSAO  ANOT.INADIMPLENCIA"/>
    <x v="41"/>
    <x v="4"/>
    <s v="2024-10"/>
    <x v="8"/>
    <s v="NOELI SALETE"/>
    <x v="94"/>
    <n v="0"/>
    <n v="1"/>
  </r>
  <r>
    <s v="014.763.606/0001-93"/>
    <x v="10"/>
    <s v="INCLUSAO  ANOT.INADIMPLENCIA"/>
    <x v="41"/>
    <x v="4"/>
    <s v="2024-10"/>
    <x v="8"/>
    <s v="NOELI SALETE"/>
    <x v="10"/>
    <n v="0"/>
    <n v="1"/>
  </r>
  <r>
    <s v="093.274.124/0001-46"/>
    <x v="82"/>
    <s v="EXCLUSAO  ANOT.INADIMPLENCIA"/>
    <x v="41"/>
    <x v="4"/>
    <s v="2024-10"/>
    <x v="8"/>
    <s v="NOELI SALETE"/>
    <x v="82"/>
    <n v="1"/>
    <n v="0"/>
  </r>
  <r>
    <s v="017.274.123/0001-13"/>
    <x v="58"/>
    <s v="INCLUSAO  ANOT.INADIMPLENCIA"/>
    <x v="41"/>
    <x v="5"/>
    <s v="2024-10"/>
    <x v="8"/>
    <s v="POENATELA"/>
    <x v="58"/>
    <n v="0"/>
    <n v="1"/>
  </r>
  <r>
    <s v="013.746.252/0001-06"/>
    <x v="15"/>
    <s v="EXCLUSAO  ANOT.INADIMPLENCIA"/>
    <x v="41"/>
    <x v="5"/>
    <s v="2024-10"/>
    <x v="8"/>
    <s v="POENATELA"/>
    <x v="15"/>
    <n v="1"/>
    <n v="0"/>
  </r>
  <r>
    <s v="043.729.125/0001-60"/>
    <x v="78"/>
    <s v="ALTERACAO ENDERECO"/>
    <x v="41"/>
    <x v="9"/>
    <s v="2024-10"/>
    <x v="8"/>
    <s v="PRISCILA METZ"/>
    <x v="78"/>
    <n v="0"/>
    <n v="0"/>
  </r>
  <r>
    <s v="038.110.780/0001-03"/>
    <x v="47"/>
    <s v="ALTERACAO ENDERECO"/>
    <x v="41"/>
    <x v="6"/>
    <s v="2024-10"/>
    <x v="8"/>
    <s v="RAFAEL PARISE"/>
    <x v="47"/>
    <n v="0"/>
    <n v="0"/>
  </r>
  <r>
    <s v="055.979.736/0001-45"/>
    <x v="63"/>
    <s v="EXCLUSAO  ANOT.INADIMPLENCIA"/>
    <x v="41"/>
    <x v="16"/>
    <s v="2024-10"/>
    <x v="8"/>
    <s v="SACADO"/>
    <x v="63"/>
    <n v="1"/>
    <n v="0"/>
  </r>
  <r>
    <s v="043.515.558/0001-12"/>
    <x v="22"/>
    <s v="ALTERACAO QUADRO SOCIAL"/>
    <x v="41"/>
    <x v="10"/>
    <s v="2024-10"/>
    <x v="8"/>
    <s v="ROGERIO "/>
    <x v="22"/>
    <n v="0"/>
    <n v="0"/>
  </r>
  <r>
    <s v="043.515.558/0001-12"/>
    <x v="22"/>
    <s v="ALTERACAO ADMINISTRADORES"/>
    <x v="41"/>
    <x v="10"/>
    <s v="2024-10"/>
    <x v="8"/>
    <s v="ROGERIO "/>
    <x v="22"/>
    <n v="0"/>
    <n v="0"/>
  </r>
  <r>
    <s v="012.520.791/0001-60"/>
    <x v="4"/>
    <s v="INCLUSAO  ANOT.INADIMPLENCIA"/>
    <x v="42"/>
    <x v="1"/>
    <s v="2024-10"/>
    <x v="8"/>
    <s v="CELIO PIMENTA"/>
    <x v="4"/>
    <n v="0"/>
    <n v="1"/>
  </r>
  <r>
    <s v="035.165.246/0001-06"/>
    <x v="104"/>
    <s v="EXCLUSAO  ANOT.INADIMPLENCIA"/>
    <x v="42"/>
    <x v="3"/>
    <s v="2024-10"/>
    <x v="8"/>
    <s v="MARCUS VINICIUS "/>
    <x v="104"/>
    <n v="1"/>
    <n v="0"/>
  </r>
  <r>
    <s v="002.246.382/0001-63"/>
    <x v="56"/>
    <s v="INCLUSAO  ANOT.INADIMPLENCIA"/>
    <x v="42"/>
    <x v="3"/>
    <s v="2024-10"/>
    <x v="8"/>
    <s v="MARCUS VINICIUS "/>
    <x v="56"/>
    <n v="0"/>
    <n v="1"/>
  </r>
  <r>
    <s v="000.803.044/0001-50"/>
    <x v="45"/>
    <s v="EXCLUSAO  ANOT.INADIMPLENCIA"/>
    <x v="42"/>
    <x v="0"/>
    <s v="2024-10"/>
    <x v="8"/>
    <s v="ADMINISTRAÇÃO"/>
    <x v="45"/>
    <n v="1"/>
    <n v="0"/>
  </r>
  <r>
    <s v="035.665.211/0001-28"/>
    <x v="93"/>
    <s v="INCLUSAO  ANOT.INADIMPLENCIA"/>
    <x v="42"/>
    <x v="0"/>
    <s v="2024-10"/>
    <x v="8"/>
    <s v="ADMINISTRAÇÃO"/>
    <x v="93"/>
    <n v="0"/>
    <n v="1"/>
  </r>
  <r>
    <s v="000.987.236/0001-63"/>
    <x v="98"/>
    <s v="INCLUSAO  ANOT.INADIMPLENCIA"/>
    <x v="42"/>
    <x v="4"/>
    <s v="2024-10"/>
    <x v="8"/>
    <s v="NOELI SALETE"/>
    <x v="98"/>
    <n v="0"/>
    <n v="1"/>
  </r>
  <r>
    <s v="093.274.124/0001-46"/>
    <x v="82"/>
    <s v="INCLUSAO  ANOT.INADIMPLENCIA"/>
    <x v="42"/>
    <x v="4"/>
    <s v="2024-10"/>
    <x v="8"/>
    <s v="NOELI SALETE"/>
    <x v="82"/>
    <n v="0"/>
    <n v="1"/>
  </r>
  <r>
    <s v="037.828.375/0001-54"/>
    <x v="39"/>
    <s v="EXCLUSAO  ANOT.INADIMPLENCIA"/>
    <x v="42"/>
    <x v="5"/>
    <s v="2024-10"/>
    <x v="8"/>
    <s v="POENATELA"/>
    <x v="39"/>
    <n v="1"/>
    <n v="0"/>
  </r>
  <r>
    <s v="017.274.123/0001-13"/>
    <x v="58"/>
    <s v="ALTERACAO QUADRO SOCIAL"/>
    <x v="42"/>
    <x v="5"/>
    <s v="2024-10"/>
    <x v="8"/>
    <s v="POENATELA"/>
    <x v="58"/>
    <n v="0"/>
    <n v="0"/>
  </r>
  <r>
    <s v="017.274.123/0001-13"/>
    <x v="58"/>
    <s v="ALTERACAO ADMINISTRADORES"/>
    <x v="42"/>
    <x v="5"/>
    <s v="2024-10"/>
    <x v="8"/>
    <s v="POENATELA"/>
    <x v="58"/>
    <n v="0"/>
    <n v="0"/>
  </r>
  <r>
    <s v="013.746.252/0001-06"/>
    <x v="15"/>
    <s v="INCLUSAO  ANOT.INADIMPLENCIA"/>
    <x v="42"/>
    <x v="5"/>
    <s v="2024-10"/>
    <x v="8"/>
    <s v="POENATELA"/>
    <x v="15"/>
    <n v="0"/>
    <n v="1"/>
  </r>
  <r>
    <s v="023.605.544/0001-82"/>
    <x v="21"/>
    <s v="INCLUSAO  ANOT.INADIMPLENCIA"/>
    <x v="42"/>
    <x v="9"/>
    <s v="2024-10"/>
    <x v="8"/>
    <s v="PRISCILA METZ"/>
    <x v="21"/>
    <n v="0"/>
    <n v="1"/>
  </r>
  <r>
    <s v="026.438.913/0001-88"/>
    <x v="100"/>
    <s v="ALTERACAO QUADRO SOCIAL"/>
    <x v="42"/>
    <x v="6"/>
    <s v="2024-10"/>
    <x v="8"/>
    <s v="RAFAEL PARISE"/>
    <x v="100"/>
    <n v="0"/>
    <n v="0"/>
  </r>
  <r>
    <s v="016.772.642/0001-49"/>
    <x v="69"/>
    <s v="EXCLUSAO  ANOT.INADIMPLENCIA"/>
    <x v="43"/>
    <x v="0"/>
    <s v="2024-11"/>
    <x v="8"/>
    <s v="ADMINISTRAÇÃO"/>
    <x v="69"/>
    <n v="1"/>
    <n v="0"/>
  </r>
  <r>
    <s v="048.144.853/0001-23"/>
    <x v="52"/>
    <s v="EXCLUSAO  ANOT.INADIMPLENCIA"/>
    <x v="43"/>
    <x v="0"/>
    <s v="2024-11"/>
    <x v="8"/>
    <s v="ADMINISTRAÇÃO"/>
    <x v="52"/>
    <n v="1"/>
    <n v="0"/>
  </r>
  <r>
    <s v="003.590.360/0001-89"/>
    <x v="3"/>
    <s v="EXCLUSAO  ANOT.INADIMPLENCIA"/>
    <x v="43"/>
    <x v="1"/>
    <s v="2024-11"/>
    <x v="8"/>
    <s v="CELIO PIMENTA"/>
    <x v="3"/>
    <n v="1"/>
    <n v="0"/>
  </r>
  <r>
    <s v="012.520.791/0001-60"/>
    <x v="4"/>
    <s v="INCLUSAO  ANOT.INADIMPLENCIA"/>
    <x v="43"/>
    <x v="1"/>
    <s v="2024-11"/>
    <x v="8"/>
    <s v="CELIO PIMENTA"/>
    <x v="4"/>
    <n v="0"/>
    <n v="1"/>
  </r>
  <r>
    <s v="024.255.748/0001-01"/>
    <x v="30"/>
    <s v="EXCLUSAO  ANOT.INADIMPLENCIA"/>
    <x v="43"/>
    <x v="12"/>
    <s v="2024-11"/>
    <x v="8"/>
    <s v="PROSPECTAR"/>
    <x v="30"/>
    <n v="1"/>
    <n v="0"/>
  </r>
  <r>
    <s v="035.665.211/0001-28"/>
    <x v="93"/>
    <s v="INCLUSAO  ANOT.INADIMPLENCIA"/>
    <x v="43"/>
    <x v="0"/>
    <s v="2024-11"/>
    <x v="8"/>
    <s v="ADMINISTRAÇÃO"/>
    <x v="93"/>
    <n v="0"/>
    <n v="1"/>
  </r>
  <r>
    <s v="014.763.606/0001-93"/>
    <x v="10"/>
    <s v="INCLUSAO  ANOT.INADIMPLENCIA"/>
    <x v="43"/>
    <x v="4"/>
    <s v="2024-11"/>
    <x v="8"/>
    <s v="NOELI SALETE"/>
    <x v="10"/>
    <n v="0"/>
    <n v="1"/>
  </r>
  <r>
    <s v="019.709.129/0001-00"/>
    <x v="11"/>
    <s v="EXCLUSAO  ANOT.INADIMPLENCIA"/>
    <x v="43"/>
    <x v="4"/>
    <s v="2024-11"/>
    <x v="8"/>
    <s v="NOELI SALETE"/>
    <x v="11"/>
    <n v="1"/>
    <n v="0"/>
  </r>
  <r>
    <s v="036.906.058/0001-46"/>
    <x v="75"/>
    <s v="INCLUSAO  ANOT.INADIMPLENCIA"/>
    <x v="43"/>
    <x v="4"/>
    <s v="2024-11"/>
    <x v="8"/>
    <s v="NOELI SALETE"/>
    <x v="75"/>
    <n v="0"/>
    <n v="1"/>
  </r>
  <r>
    <s v="093.274.124/0001-46"/>
    <x v="82"/>
    <s v="INCLUSAO  ANOT.INADIMPLENCIA"/>
    <x v="43"/>
    <x v="4"/>
    <s v="2024-11"/>
    <x v="8"/>
    <s v="NOELI SALETE"/>
    <x v="82"/>
    <n v="0"/>
    <n v="1"/>
  </r>
  <r>
    <s v="013.746.252/0001-06"/>
    <x v="15"/>
    <s v="INCLUSAO  ANOT.INADIMPLENCIA"/>
    <x v="43"/>
    <x v="5"/>
    <s v="2024-11"/>
    <x v="8"/>
    <s v="POENATELA"/>
    <x v="15"/>
    <n v="0"/>
    <n v="1"/>
  </r>
  <r>
    <s v="023.605.544/0001-82"/>
    <x v="21"/>
    <s v="EXCLUSAO  ANOT.INADIMPLENCIA"/>
    <x v="43"/>
    <x v="9"/>
    <s v="2024-11"/>
    <x v="8"/>
    <s v="PRISCILA METZ"/>
    <x v="21"/>
    <n v="1"/>
    <n v="0"/>
  </r>
  <r>
    <s v="071.350.797/0001-03"/>
    <x v="48"/>
    <s v="EXCLUSAO  ANOT.INADIMPLENCIA"/>
    <x v="43"/>
    <x v="10"/>
    <s v="2024-11"/>
    <x v="8"/>
    <s v="ROGERIO "/>
    <x v="48"/>
    <n v="1"/>
    <n v="0"/>
  </r>
  <r>
    <s v="042.276.517/0001-58"/>
    <x v="107"/>
    <s v="INCLUSAO  ANOT.INADIMPLENCIA"/>
    <x v="43"/>
    <x v="10"/>
    <s v="2024-11"/>
    <x v="8"/>
    <s v="ROGERIO "/>
    <x v="107"/>
    <n v="0"/>
    <n v="1"/>
  </r>
  <r>
    <s v="002.265.872/0001-07"/>
    <x v="108"/>
    <s v="ALTERACAO QUADRO SOCIAL"/>
    <x v="43"/>
    <x v="18"/>
    <s v="2024-11"/>
    <x v="8"/>
    <s v="SEM GERENTE"/>
    <x v="108"/>
    <n v="0"/>
    <n v="0"/>
  </r>
  <r>
    <s v="002.265.872/0001-07"/>
    <x v="108"/>
    <s v="ALTERACAO ADMINISTRADORES"/>
    <x v="43"/>
    <x v="18"/>
    <s v="2024-11"/>
    <x v="8"/>
    <s v="SEM GERENTE"/>
    <x v="108"/>
    <n v="0"/>
    <n v="0"/>
  </r>
  <r>
    <s v="020.066.300/0001-80"/>
    <x v="2"/>
    <s v="INCLUSAO  ANOT.INADIMPLENCIA"/>
    <x v="44"/>
    <x v="1"/>
    <s v="2024-11"/>
    <x v="8"/>
    <s v="CELIO PIMENTA"/>
    <x v="2"/>
    <n v="0"/>
    <n v="1"/>
  </r>
  <r>
    <s v="016.757.535/0001-41"/>
    <x v="29"/>
    <s v="EXCLUSAO  ANOT.INADIMPLENCIA"/>
    <x v="44"/>
    <x v="11"/>
    <s v="2024-11"/>
    <x v="8"/>
    <s v="DIOGO AZEVEDO"/>
    <x v="29"/>
    <n v="1"/>
    <n v="0"/>
  </r>
  <r>
    <s v="008.991.603/0001-04"/>
    <x v="57"/>
    <s v="INCLUSAO  ANOT.INADIMPLENCIA"/>
    <x v="44"/>
    <x v="3"/>
    <s v="2024-11"/>
    <x v="8"/>
    <s v="MARCUS VINICIUS "/>
    <x v="57"/>
    <n v="0"/>
    <n v="1"/>
  </r>
  <r>
    <s v="000.987.236/0001-63"/>
    <x v="98"/>
    <s v="INCLUSAO  ANOT.INADIMPLENCIA"/>
    <x v="44"/>
    <x v="4"/>
    <s v="2024-11"/>
    <x v="8"/>
    <s v="NOELI SALETE"/>
    <x v="98"/>
    <n v="0"/>
    <n v="1"/>
  </r>
  <r>
    <s v="007.906.793/0001-51"/>
    <x v="94"/>
    <s v="INCLUSAO  ANOT.INADIMPLENCIA"/>
    <x v="44"/>
    <x v="4"/>
    <s v="2024-11"/>
    <x v="8"/>
    <s v="NOELI SALETE"/>
    <x v="94"/>
    <n v="0"/>
    <n v="1"/>
  </r>
  <r>
    <s v="014.763.606/0001-93"/>
    <x v="10"/>
    <s v="INCL/EXCL ANOT.INADIMPLENCIA"/>
    <x v="44"/>
    <x v="4"/>
    <s v="2024-11"/>
    <x v="8"/>
    <s v="NOELI SALETE"/>
    <x v="10"/>
    <n v="1"/>
    <n v="1"/>
  </r>
  <r>
    <s v="013.746.252/0001-06"/>
    <x v="15"/>
    <s v="INCL/EXCL ANOT.INADIMPLENCIA"/>
    <x v="44"/>
    <x v="5"/>
    <s v="2024-11"/>
    <x v="8"/>
    <s v="POENATELA"/>
    <x v="15"/>
    <n v="1"/>
    <n v="1"/>
  </r>
  <r>
    <s v="046.700.220/0001-29"/>
    <x v="46"/>
    <s v="INCLUSAO  ANOT.INADIMPLENCIA"/>
    <x v="44"/>
    <x v="9"/>
    <s v="2024-11"/>
    <x v="8"/>
    <s v="PRISCILA METZ"/>
    <x v="46"/>
    <n v="0"/>
    <n v="1"/>
  </r>
  <r>
    <s v="008.785.522/0001-58"/>
    <x v="17"/>
    <s v="INCL/EXCL ANOT.INADIMPLENCIA"/>
    <x v="44"/>
    <x v="7"/>
    <s v="2024-11"/>
    <x v="8"/>
    <s v="WHELKYA IRIS"/>
    <x v="17"/>
    <n v="1"/>
    <n v="1"/>
  </r>
  <r>
    <s v="021.734.108/0001-88"/>
    <x v="41"/>
    <s v="INCLUSAO  ANOT.INADIMPLENCIA"/>
    <x v="45"/>
    <x v="0"/>
    <s v="2024-11"/>
    <x v="9"/>
    <s v="ADMINISTRAÇÃO"/>
    <x v="41"/>
    <n v="0"/>
    <n v="1"/>
  </r>
  <r>
    <s v="004.126.524/0001-84"/>
    <x v="28"/>
    <s v="EXCLUSAO  ANOT.INADIMPLENCIA"/>
    <x v="45"/>
    <x v="0"/>
    <s v="2024-11"/>
    <x v="9"/>
    <s v="ADMINISTRAÇÃO"/>
    <x v="28"/>
    <n v="1"/>
    <n v="0"/>
  </r>
  <r>
    <s v="020.066.300/0001-80"/>
    <x v="2"/>
    <s v="INCLUSAO  ANOT.INADIMPLENCIA"/>
    <x v="45"/>
    <x v="1"/>
    <s v="2024-11"/>
    <x v="9"/>
    <s v="CELIO PIMENTA"/>
    <x v="2"/>
    <n v="0"/>
    <n v="1"/>
  </r>
  <r>
    <s v="035.165.246/0001-06"/>
    <x v="104"/>
    <s v="INCLUSAO  ANOT.INADIMPLENCIA"/>
    <x v="45"/>
    <x v="3"/>
    <s v="2024-11"/>
    <x v="9"/>
    <s v="MARCUS VINICIUS "/>
    <x v="104"/>
    <n v="0"/>
    <n v="1"/>
  </r>
  <r>
    <s v="007.906.793/0001-51"/>
    <x v="94"/>
    <s v="INCLUSAO  ANOT.INADIMPLENCIA"/>
    <x v="45"/>
    <x v="4"/>
    <s v="2024-11"/>
    <x v="9"/>
    <s v="NOELI SALETE"/>
    <x v="94"/>
    <n v="0"/>
    <n v="1"/>
  </r>
  <r>
    <s v="014.763.606/0001-93"/>
    <x v="10"/>
    <s v="INCLUSAO  ANOT.INADIMPLENCIA"/>
    <x v="45"/>
    <x v="4"/>
    <s v="2024-11"/>
    <x v="9"/>
    <s v="NOELI SALETE"/>
    <x v="10"/>
    <n v="0"/>
    <n v="1"/>
  </r>
  <r>
    <s v="093.274.124/0001-46"/>
    <x v="82"/>
    <s v="EXCLUSAO  ANOT.INADIMPLENCIA"/>
    <x v="45"/>
    <x v="4"/>
    <s v="2024-11"/>
    <x v="9"/>
    <s v="NOELI SALETE"/>
    <x v="82"/>
    <n v="1"/>
    <n v="0"/>
  </r>
  <r>
    <s v="013.746.252/0001-06"/>
    <x v="15"/>
    <s v="INCLUSAO  ANOT.INADIMPLENCIA"/>
    <x v="45"/>
    <x v="5"/>
    <s v="2024-11"/>
    <x v="9"/>
    <s v="POENATELA"/>
    <x v="15"/>
    <n v="0"/>
    <n v="1"/>
  </r>
  <r>
    <s v="023.605.544/0001-82"/>
    <x v="21"/>
    <s v="INCLUSAO  ANOT.INADIMPLENCIA"/>
    <x v="45"/>
    <x v="9"/>
    <s v="2024-11"/>
    <x v="9"/>
    <s v="PRISCILA METZ"/>
    <x v="21"/>
    <n v="0"/>
    <n v="1"/>
  </r>
  <r>
    <s v="050.721.360/0001-50"/>
    <x v="109"/>
    <s v="INCLUSAO  ANOT.INADIMPLENCIA"/>
    <x v="45"/>
    <x v="9"/>
    <s v="2024-11"/>
    <x v="9"/>
    <s v="PRISCILA METZ"/>
    <x v="109"/>
    <n v="0"/>
    <n v="1"/>
  </r>
  <r>
    <s v="046.700.220/0001-29"/>
    <x v="46"/>
    <s v="INCLUSAO  ANOT.INADIMPLENCIA"/>
    <x v="45"/>
    <x v="9"/>
    <s v="2024-11"/>
    <x v="9"/>
    <s v="PRISCILA METZ"/>
    <x v="46"/>
    <n v="0"/>
    <n v="1"/>
  </r>
  <r>
    <s v="014.385.825/0001-86"/>
    <x v="110"/>
    <s v="INCLUSAO  ANOT.INADIMPLENCIA"/>
    <x v="45"/>
    <x v="6"/>
    <s v="2024-11"/>
    <x v="9"/>
    <s v="RAFAEL PARISE"/>
    <x v="110"/>
    <n v="0"/>
    <n v="1"/>
  </r>
  <r>
    <s v="000.810.852/0001-44"/>
    <x v="84"/>
    <s v="EXCLUSAO  ANOT.INADIMPLENCIA"/>
    <x v="45"/>
    <x v="6"/>
    <s v="2024-11"/>
    <x v="9"/>
    <s v="RAFAEL PARISE"/>
    <x v="84"/>
    <n v="1"/>
    <n v="0"/>
  </r>
  <r>
    <s v="038.110.780/0001-03"/>
    <x v="47"/>
    <s v="INCLUSAO  ANOT.INADIMPLENCIA"/>
    <x v="45"/>
    <x v="6"/>
    <s v="2024-11"/>
    <x v="9"/>
    <s v="RAFAEL PARISE"/>
    <x v="47"/>
    <n v="0"/>
    <n v="1"/>
  </r>
  <r>
    <s v="020.066.300/0001-80"/>
    <x v="2"/>
    <s v="INCL/EXCL ANOT.INADIMPLENCIA"/>
    <x v="46"/>
    <x v="1"/>
    <s v="2024-11"/>
    <x v="9"/>
    <s v="CELIO PIMENTA"/>
    <x v="2"/>
    <n v="1"/>
    <n v="1"/>
  </r>
  <r>
    <s v="007.561.436/0001-07"/>
    <x v="34"/>
    <s v="INCLUSAO  ANOT.INADIMPLENCIA"/>
    <x v="46"/>
    <x v="12"/>
    <s v="2024-11"/>
    <x v="9"/>
    <s v="PROSPECTAR"/>
    <x v="34"/>
    <n v="0"/>
    <n v="1"/>
  </r>
  <r>
    <s v="035.165.246/0001-06"/>
    <x v="104"/>
    <s v="INCL/EXCL ANOT.INADIMPLENCIA"/>
    <x v="46"/>
    <x v="3"/>
    <s v="2024-11"/>
    <x v="9"/>
    <s v="MARCUS VINICIUS "/>
    <x v="104"/>
    <n v="1"/>
    <n v="1"/>
  </r>
  <r>
    <s v="014.763.606/0001-93"/>
    <x v="10"/>
    <s v="INCLUSAO  ANOT.INADIMPLENCIA"/>
    <x v="46"/>
    <x v="4"/>
    <s v="2024-11"/>
    <x v="9"/>
    <s v="NOELI SALETE"/>
    <x v="10"/>
    <n v="0"/>
    <n v="1"/>
  </r>
  <r>
    <s v="093.274.124/0001-46"/>
    <x v="82"/>
    <s v="EXCLUSAO  ANOT.INADIMPLENCIA"/>
    <x v="46"/>
    <x v="4"/>
    <s v="2024-11"/>
    <x v="9"/>
    <s v="NOELI SALETE"/>
    <x v="82"/>
    <n v="1"/>
    <n v="0"/>
  </r>
  <r>
    <s v="013.746.252/0001-06"/>
    <x v="15"/>
    <s v="INCLUSAO  ANOT.INADIMPLENCIA"/>
    <x v="46"/>
    <x v="5"/>
    <s v="2024-11"/>
    <x v="9"/>
    <s v="POENATELA"/>
    <x v="15"/>
    <n v="0"/>
    <n v="1"/>
  </r>
  <r>
    <s v="046.700.220/0001-29"/>
    <x v="46"/>
    <s v="INCLUSAO  ANOT.INADIMPLENCIA"/>
    <x v="46"/>
    <x v="9"/>
    <s v="2024-11"/>
    <x v="9"/>
    <s v="PRISCILA METZ"/>
    <x v="46"/>
    <n v="0"/>
    <n v="1"/>
  </r>
  <r>
    <s v="021.734.108/0001-88"/>
    <x v="41"/>
    <s v="EXCLUSAO  ANOT.INADIMPLENCIA"/>
    <x v="47"/>
    <x v="0"/>
    <s v="2024-11"/>
    <x v="9"/>
    <s v="ADMINISTRAÇÃO"/>
    <x v="41"/>
    <n v="1"/>
    <n v="0"/>
  </r>
  <r>
    <s v="020.066.300/0001-80"/>
    <x v="2"/>
    <s v="INCLUSAO  ANOT.INADIMPLENCIA"/>
    <x v="47"/>
    <x v="1"/>
    <s v="2024-11"/>
    <x v="9"/>
    <s v="CELIO PIMENTA"/>
    <x v="2"/>
    <n v="0"/>
    <n v="1"/>
  </r>
  <r>
    <s v="012.520.791/0001-60"/>
    <x v="4"/>
    <s v="EXCLUSAO  ANOT.INADIMPLENCIA"/>
    <x v="47"/>
    <x v="1"/>
    <s v="2024-11"/>
    <x v="9"/>
    <s v="CELIO PIMENTA"/>
    <x v="4"/>
    <n v="1"/>
    <n v="0"/>
  </r>
  <r>
    <s v="035.165.246/0001-06"/>
    <x v="104"/>
    <s v="INCLUSAO  ANOT.INADIMPLENCIA"/>
    <x v="47"/>
    <x v="3"/>
    <s v="2024-11"/>
    <x v="9"/>
    <s v="MARCUS VINICIUS "/>
    <x v="104"/>
    <n v="0"/>
    <n v="1"/>
  </r>
  <r>
    <s v="013.746.252/0001-06"/>
    <x v="15"/>
    <s v="INCL/EXCL ANOT.INADIMPLENCIA"/>
    <x v="47"/>
    <x v="5"/>
    <s v="2024-11"/>
    <x v="9"/>
    <s v="POENATELA"/>
    <x v="15"/>
    <n v="1"/>
    <n v="1"/>
  </r>
  <r>
    <s v="023.605.544/0001-82"/>
    <x v="21"/>
    <s v="INCLUSAO  ANOT.INADIMPLENCIA"/>
    <x v="47"/>
    <x v="9"/>
    <s v="2024-11"/>
    <x v="9"/>
    <s v="PRISCILA METZ"/>
    <x v="21"/>
    <n v="0"/>
    <n v="1"/>
  </r>
  <r>
    <s v="044.032.421/0001-70"/>
    <x v="111"/>
    <s v="ALTERACAO QUADRO SOCIAL"/>
    <x v="48"/>
    <x v="0"/>
    <s v="2024-11"/>
    <x v="9"/>
    <s v="ADMINISTRAÇÃO"/>
    <x v="111"/>
    <n v="0"/>
    <n v="0"/>
  </r>
  <r>
    <s v="044.032.421/0001-70"/>
    <x v="111"/>
    <s v="ALTERACAO ADMINISTRADORES"/>
    <x v="48"/>
    <x v="0"/>
    <s v="2024-11"/>
    <x v="9"/>
    <s v="ADMINISTRAÇÃO"/>
    <x v="111"/>
    <n v="0"/>
    <n v="0"/>
  </r>
  <r>
    <s v="021.734.108/0001-88"/>
    <x v="41"/>
    <s v="EXCLUSAO  ANOT.INADIMPLENCIA"/>
    <x v="48"/>
    <x v="0"/>
    <s v="2024-11"/>
    <x v="9"/>
    <s v="ADMINISTRAÇÃO"/>
    <x v="41"/>
    <n v="1"/>
    <n v="0"/>
  </r>
  <r>
    <s v="004.126.524/0001-84"/>
    <x v="28"/>
    <s v="EXCLUSAO  ANOT.INADIMPLENCIA"/>
    <x v="48"/>
    <x v="0"/>
    <s v="2024-11"/>
    <x v="9"/>
    <s v="ADMINISTRAÇÃO"/>
    <x v="28"/>
    <n v="1"/>
    <n v="0"/>
  </r>
  <r>
    <s v="020.066.300/0001-80"/>
    <x v="2"/>
    <s v="INCLUSAO  ANOT.INADIMPLENCIA"/>
    <x v="48"/>
    <x v="1"/>
    <s v="2024-11"/>
    <x v="9"/>
    <s v="CELIO PIMENTA"/>
    <x v="2"/>
    <n v="0"/>
    <n v="1"/>
  </r>
  <r>
    <s v="012.520.791/0001-60"/>
    <x v="4"/>
    <s v="EXCLUSAO  ANOT.INADIMPLENCIA"/>
    <x v="48"/>
    <x v="1"/>
    <s v="2024-11"/>
    <x v="9"/>
    <s v="CELIO PIMENTA"/>
    <x v="4"/>
    <n v="1"/>
    <n v="0"/>
  </r>
  <r>
    <s v="016.757.535/0001-41"/>
    <x v="29"/>
    <s v="EXCLUSAO  ANOT.INADIMPLENCIA"/>
    <x v="48"/>
    <x v="11"/>
    <s v="2024-11"/>
    <x v="9"/>
    <s v="DIOGO AZEVEDO"/>
    <x v="29"/>
    <n v="1"/>
    <n v="0"/>
  </r>
  <r>
    <s v="035.165.246/0001-06"/>
    <x v="104"/>
    <s v="INCLUSAO  ANOT.INADIMPLENCIA"/>
    <x v="48"/>
    <x v="3"/>
    <s v="2024-11"/>
    <x v="9"/>
    <s v="MARCUS VINICIUS "/>
    <x v="104"/>
    <n v="0"/>
    <n v="1"/>
  </r>
  <r>
    <s v="014.763.606/0001-93"/>
    <x v="10"/>
    <s v="INCLUSAO  ANOT.INADIMPLENCIA"/>
    <x v="48"/>
    <x v="4"/>
    <s v="2024-11"/>
    <x v="9"/>
    <s v="NOELI SALETE"/>
    <x v="10"/>
    <n v="0"/>
    <n v="1"/>
  </r>
  <r>
    <s v="016.956.677/0001-38"/>
    <x v="92"/>
    <s v="EXCLUSAO  ANOT.INADIMPLENCIA"/>
    <x v="48"/>
    <x v="5"/>
    <s v="2024-11"/>
    <x v="9"/>
    <s v="POENATELA"/>
    <x v="92"/>
    <n v="1"/>
    <n v="0"/>
  </r>
  <r>
    <s v="013.746.252/0001-06"/>
    <x v="15"/>
    <s v="INCLUSAO  ANOT.INADIMPLENCIA"/>
    <x v="48"/>
    <x v="5"/>
    <s v="2024-11"/>
    <x v="9"/>
    <s v="POENATELA"/>
    <x v="15"/>
    <n v="0"/>
    <n v="1"/>
  </r>
  <r>
    <s v="050.721.360/0001-50"/>
    <x v="109"/>
    <s v="EXCLUSAO  ANOT.INADIMPLENCIA"/>
    <x v="48"/>
    <x v="9"/>
    <s v="2024-11"/>
    <x v="9"/>
    <s v="PRISCILA METZ"/>
    <x v="109"/>
    <n v="1"/>
    <n v="0"/>
  </r>
  <r>
    <s v="043.515.558/0001-12"/>
    <x v="22"/>
    <s v="INCLUSAO  ANOT.INADIMPLENCIA"/>
    <x v="48"/>
    <x v="10"/>
    <s v="2024-11"/>
    <x v="9"/>
    <s v="ROGERIO "/>
    <x v="22"/>
    <n v="0"/>
    <n v="1"/>
  </r>
  <r>
    <s v="020.066.300/0001-80"/>
    <x v="2"/>
    <s v="INCLUSAO  ANOT.INADIMPLENCIA"/>
    <x v="49"/>
    <x v="1"/>
    <s v="2024-11"/>
    <x v="9"/>
    <s v="CELIO PIMENTA"/>
    <x v="2"/>
    <n v="0"/>
    <n v="1"/>
  </r>
  <r>
    <s v="012.520.791/0001-60"/>
    <x v="4"/>
    <s v="EXCLUSAO  ANOT.INADIMPLENCIA"/>
    <x v="49"/>
    <x v="1"/>
    <s v="2024-11"/>
    <x v="9"/>
    <s v="CELIO PIMENTA"/>
    <x v="4"/>
    <n v="1"/>
    <n v="0"/>
  </r>
  <r>
    <s v="007.561.436/0001-07"/>
    <x v="34"/>
    <s v="INCLUSAO  ANOT.INADIMPLENCIA"/>
    <x v="49"/>
    <x v="12"/>
    <s v="2024-11"/>
    <x v="9"/>
    <s v="PROSPECTAR"/>
    <x v="34"/>
    <n v="0"/>
    <n v="1"/>
  </r>
  <r>
    <s v="035.165.246/0001-06"/>
    <x v="104"/>
    <s v="INCLUSAO  ANOT.INADIMPLENCIA"/>
    <x v="49"/>
    <x v="3"/>
    <s v="2024-11"/>
    <x v="9"/>
    <s v="MARCUS VINICIUS "/>
    <x v="104"/>
    <n v="0"/>
    <n v="1"/>
  </r>
  <r>
    <s v="007.906.793/0001-51"/>
    <x v="94"/>
    <s v="INCLUSAO  ANOT.INADIMPLENCIA"/>
    <x v="49"/>
    <x v="4"/>
    <s v="2024-11"/>
    <x v="9"/>
    <s v="NOELI SALETE"/>
    <x v="94"/>
    <n v="0"/>
    <n v="1"/>
  </r>
  <r>
    <s v="014.763.606/0001-93"/>
    <x v="10"/>
    <s v="INCLUSAO  ANOT.INADIMPLENCIA"/>
    <x v="49"/>
    <x v="4"/>
    <s v="2024-11"/>
    <x v="9"/>
    <s v="NOELI SALETE"/>
    <x v="10"/>
    <n v="0"/>
    <n v="1"/>
  </r>
  <r>
    <s v="093.274.124/0001-46"/>
    <x v="82"/>
    <s v="EXCLUSAO  ANOT.INADIMPLENCIA"/>
    <x v="49"/>
    <x v="4"/>
    <s v="2024-11"/>
    <x v="9"/>
    <s v="NOELI SALETE"/>
    <x v="82"/>
    <n v="1"/>
    <n v="0"/>
  </r>
  <r>
    <s v="013.746.252/0001-06"/>
    <x v="15"/>
    <s v="INCLUSAO  ANOT.INADIMPLENCIA"/>
    <x v="49"/>
    <x v="5"/>
    <s v="2024-11"/>
    <x v="9"/>
    <s v="POENATELA"/>
    <x v="15"/>
    <n v="0"/>
    <n v="1"/>
  </r>
  <r>
    <s v="046.700.220/0001-29"/>
    <x v="46"/>
    <s v="INCLUSAO  ANOT.INADIMPLENCIA"/>
    <x v="49"/>
    <x v="9"/>
    <s v="2024-11"/>
    <x v="9"/>
    <s v="PRISCILA METZ"/>
    <x v="46"/>
    <n v="0"/>
    <n v="1"/>
  </r>
  <r>
    <s v="071.350.797/0001-03"/>
    <x v="48"/>
    <s v="INCLUSAO  ANOT.INADIMPLENCIA"/>
    <x v="49"/>
    <x v="10"/>
    <s v="2024-11"/>
    <x v="9"/>
    <s v="ROGERIO "/>
    <x v="48"/>
    <n v="0"/>
    <n v="1"/>
  </r>
  <r>
    <s v="002.534.653/0001-86"/>
    <x v="105"/>
    <s v="INCLUSAO  ANOT.INADIMPLENCIA"/>
    <x v="49"/>
    <x v="10"/>
    <s v="2024-11"/>
    <x v="9"/>
    <s v="ROGERIO "/>
    <x v="105"/>
    <n v="0"/>
    <n v="1"/>
  </r>
  <r>
    <s v="023.911.356/0001-82"/>
    <x v="54"/>
    <s v="INCLUSAO  ANOT.INADIMPLENCIA"/>
    <x v="50"/>
    <x v="0"/>
    <s v="2024-11"/>
    <x v="10"/>
    <s v="ADMINISTRAÇÃO"/>
    <x v="54"/>
    <n v="0"/>
    <n v="1"/>
  </r>
  <r>
    <s v="020.066.300/0001-80"/>
    <x v="2"/>
    <s v="INCLUSAO  ANOT.INADIMPLENCIA"/>
    <x v="50"/>
    <x v="1"/>
    <s v="2024-11"/>
    <x v="10"/>
    <s v="CELIO PIMENTA"/>
    <x v="2"/>
    <n v="0"/>
    <n v="1"/>
  </r>
  <r>
    <s v="007.561.436/0001-07"/>
    <x v="34"/>
    <s v="EXCLUSAO  ANOT.INADIMPLENCIA"/>
    <x v="50"/>
    <x v="12"/>
    <s v="2024-11"/>
    <x v="10"/>
    <s v="PROSPECTAR"/>
    <x v="34"/>
    <n v="1"/>
    <n v="0"/>
  </r>
  <r>
    <s v="014.763.606/0001-93"/>
    <x v="10"/>
    <s v="INCL/EXCL ANOT.INADIMPLENCIA"/>
    <x v="50"/>
    <x v="4"/>
    <s v="2024-11"/>
    <x v="10"/>
    <s v="NOELI SALETE"/>
    <x v="10"/>
    <n v="1"/>
    <n v="1"/>
  </r>
  <r>
    <s v="023.605.544/0001-82"/>
    <x v="21"/>
    <s v="EXCLUSAO  ANOT.INADIMPLENCIA"/>
    <x v="50"/>
    <x v="9"/>
    <s v="2024-11"/>
    <x v="10"/>
    <s v="PRISCILA METZ"/>
    <x v="21"/>
    <n v="1"/>
    <n v="0"/>
  </r>
  <r>
    <s v="046.700.220/0001-29"/>
    <x v="46"/>
    <s v="INCLUSAO  ANOT.INADIMPLENCIA"/>
    <x v="50"/>
    <x v="9"/>
    <s v="2024-11"/>
    <x v="10"/>
    <s v="PRISCILA METZ"/>
    <x v="46"/>
    <n v="0"/>
    <n v="1"/>
  </r>
  <r>
    <s v="071.350.797/0001-03"/>
    <x v="48"/>
    <s v="INCLUSAO  ANOT.INADIMPLENCIA"/>
    <x v="50"/>
    <x v="10"/>
    <s v="2024-11"/>
    <x v="10"/>
    <s v="ROGERIO "/>
    <x v="48"/>
    <n v="0"/>
    <n v="1"/>
  </r>
  <r>
    <s v="042.276.517/0001-58"/>
    <x v="107"/>
    <s v="EXCLUSAO  ANOT.INADIMPLENCIA"/>
    <x v="50"/>
    <x v="10"/>
    <s v="2024-11"/>
    <x v="10"/>
    <s v="ROGERIO "/>
    <x v="107"/>
    <n v="1"/>
    <n v="0"/>
  </r>
  <r>
    <s v="043.515.558/0001-12"/>
    <x v="22"/>
    <s v="INCLUSAO  ANOT.INADIMPLENCIA"/>
    <x v="50"/>
    <x v="10"/>
    <s v="2024-11"/>
    <x v="10"/>
    <s v="ROGERIO "/>
    <x v="22"/>
    <n v="0"/>
    <n v="1"/>
  </r>
  <r>
    <s v="023.911.356/0001-82"/>
    <x v="54"/>
    <s v="EXCLUSAO  ANOT.INADIMPLENCIA"/>
    <x v="51"/>
    <x v="0"/>
    <s v="2024-11"/>
    <x v="10"/>
    <s v="ADMINISTRAÇÃO"/>
    <x v="54"/>
    <n v="1"/>
    <n v="0"/>
  </r>
  <r>
    <s v="021.734.108/0001-88"/>
    <x v="41"/>
    <s v="EXCLUSAO  ANOT.INADIMPLENCIA"/>
    <x v="51"/>
    <x v="0"/>
    <s v="2024-11"/>
    <x v="10"/>
    <s v="ADMINISTRAÇÃO"/>
    <x v="41"/>
    <n v="1"/>
    <n v="0"/>
  </r>
  <r>
    <s v="004.126.524/0001-84"/>
    <x v="28"/>
    <s v="EXCLUSAO  ANOT.INADIMPLENCIA"/>
    <x v="51"/>
    <x v="0"/>
    <s v="2024-11"/>
    <x v="10"/>
    <s v="ADMINISTRAÇÃO"/>
    <x v="28"/>
    <n v="1"/>
    <n v="0"/>
  </r>
  <r>
    <s v="020.066.300/0001-80"/>
    <x v="2"/>
    <s v="INCLUSAO  ANOT.INADIMPLENCIA"/>
    <x v="51"/>
    <x v="1"/>
    <s v="2024-11"/>
    <x v="10"/>
    <s v="CELIO PIMENTA"/>
    <x v="2"/>
    <n v="0"/>
    <n v="1"/>
  </r>
  <r>
    <s v="016.757.535/0001-41"/>
    <x v="29"/>
    <s v="INCL/EXCL ANOT.INADIMPLENCIA"/>
    <x v="51"/>
    <x v="11"/>
    <s v="2024-11"/>
    <x v="10"/>
    <s v="DIOGO AZEVEDO"/>
    <x v="29"/>
    <n v="1"/>
    <n v="1"/>
  </r>
  <r>
    <s v="002.377.675/0001-80"/>
    <x v="85"/>
    <s v="EXCLUSAO  ANOT.INADIMPLENCIA"/>
    <x v="51"/>
    <x v="12"/>
    <s v="2024-11"/>
    <x v="10"/>
    <s v="PROSPECTAR"/>
    <x v="85"/>
    <n v="1"/>
    <n v="0"/>
  </r>
  <r>
    <s v="001.165.357/0001-92"/>
    <x v="86"/>
    <s v="EXCLUSAO  ANOT.INADIMPLENCIA"/>
    <x v="51"/>
    <x v="12"/>
    <s v="2024-11"/>
    <x v="10"/>
    <s v="PROSPECTAR"/>
    <x v="86"/>
    <n v="1"/>
    <n v="0"/>
  </r>
  <r>
    <s v="024.331.138/0001-31"/>
    <x v="87"/>
    <s v="EXCLUSAO  ANOT.INADIMPLENCIA"/>
    <x v="51"/>
    <x v="12"/>
    <s v="2024-11"/>
    <x v="10"/>
    <s v="PROSPECTAR"/>
    <x v="87"/>
    <n v="1"/>
    <n v="0"/>
  </r>
  <r>
    <s v="007.102.721/0001-51"/>
    <x v="44"/>
    <s v="INCLUSAO  ANOT.INADIMPLENCIA"/>
    <x v="51"/>
    <x v="12"/>
    <s v="2024-11"/>
    <x v="10"/>
    <s v="PROSPECTAR"/>
    <x v="44"/>
    <n v="0"/>
    <n v="1"/>
  </r>
  <r>
    <s v="007.561.436/0001-07"/>
    <x v="34"/>
    <s v="INCLUSAO  ANOT.INADIMPLENCIA"/>
    <x v="51"/>
    <x v="12"/>
    <s v="2024-11"/>
    <x v="10"/>
    <s v="PROSPECTAR"/>
    <x v="34"/>
    <n v="0"/>
    <n v="1"/>
  </r>
  <r>
    <s v="035.165.246/0001-06"/>
    <x v="104"/>
    <s v="INCLUSAO  ANOT.INADIMPLENCIA"/>
    <x v="51"/>
    <x v="3"/>
    <s v="2024-11"/>
    <x v="10"/>
    <s v="MARCUS VINICIUS "/>
    <x v="104"/>
    <n v="0"/>
    <n v="1"/>
  </r>
  <r>
    <s v="046.140.062/0001-08"/>
    <x v="68"/>
    <s v="INCLUSAO  ANOT.INADIMPLENCIA"/>
    <x v="51"/>
    <x v="4"/>
    <s v="2024-11"/>
    <x v="10"/>
    <s v="NOELI SALETE"/>
    <x v="68"/>
    <n v="0"/>
    <n v="1"/>
  </r>
  <r>
    <s v="093.274.124/0001-46"/>
    <x v="82"/>
    <s v="EXCLUSAO  ANOT.INADIMPLENCIA"/>
    <x v="51"/>
    <x v="4"/>
    <s v="2024-11"/>
    <x v="10"/>
    <s v="NOELI SALETE"/>
    <x v="82"/>
    <n v="1"/>
    <n v="0"/>
  </r>
  <r>
    <s v="013.746.252/0001-06"/>
    <x v="15"/>
    <s v="INCLUSAO  ANOT.INADIMPLENCIA"/>
    <x v="51"/>
    <x v="5"/>
    <s v="2024-11"/>
    <x v="10"/>
    <s v="POENATELA"/>
    <x v="15"/>
    <n v="0"/>
    <n v="1"/>
  </r>
  <r>
    <s v="026.988.940/0001-24"/>
    <x v="112"/>
    <s v="INCLUSAO  ANOT.INADIMPLENCIA"/>
    <x v="51"/>
    <x v="9"/>
    <s v="2024-11"/>
    <x v="10"/>
    <s v="PRISCILA METZ"/>
    <x v="112"/>
    <n v="0"/>
    <n v="1"/>
  </r>
  <r>
    <s v="046.700.220/0001-29"/>
    <x v="46"/>
    <s v="INCLUSAO  ANOT.INADIMPLENCIA"/>
    <x v="51"/>
    <x v="9"/>
    <s v="2024-11"/>
    <x v="10"/>
    <s v="PRISCILA METZ"/>
    <x v="46"/>
    <n v="0"/>
    <n v="1"/>
  </r>
  <r>
    <s v="016.772.642/0001-49"/>
    <x v="69"/>
    <s v="EXCLUSAO  ANOT.INADIMPLENCIA"/>
    <x v="52"/>
    <x v="0"/>
    <s v="2024-11"/>
    <x v="10"/>
    <s v="ADMINISTRAÇÃO"/>
    <x v="69"/>
    <n v="1"/>
    <n v="0"/>
  </r>
  <r>
    <s v="006.107.454/0001-42"/>
    <x v="42"/>
    <s v="INCLUSAO  ANOT.INADIMPLENCIA"/>
    <x v="52"/>
    <x v="0"/>
    <s v="2024-11"/>
    <x v="10"/>
    <s v="ADMINISTRAÇÃO"/>
    <x v="42"/>
    <n v="0"/>
    <n v="1"/>
  </r>
  <r>
    <s v="020.066.300/0001-80"/>
    <x v="2"/>
    <s v="INCLUSAO  ANOT.INADIMPLENCIA"/>
    <x v="52"/>
    <x v="1"/>
    <s v="2024-11"/>
    <x v="10"/>
    <s v="CELIO PIMENTA"/>
    <x v="2"/>
    <n v="0"/>
    <n v="1"/>
  </r>
  <r>
    <s v="003.590.360/0001-89"/>
    <x v="3"/>
    <s v="EXCLUSAO  ANOT.INADIMPLENCIA"/>
    <x v="52"/>
    <x v="1"/>
    <s v="2024-11"/>
    <x v="10"/>
    <s v="CELIO PIMENTA"/>
    <x v="3"/>
    <n v="1"/>
    <n v="0"/>
  </r>
  <r>
    <s v="012.520.791/0001-60"/>
    <x v="4"/>
    <s v="INCLUSAO  ANOT.INADIMPLENCIA"/>
    <x v="52"/>
    <x v="1"/>
    <s v="2024-11"/>
    <x v="10"/>
    <s v="CELIO PIMENTA"/>
    <x v="4"/>
    <n v="0"/>
    <n v="1"/>
  </r>
  <r>
    <s v="007.561.436/0001-07"/>
    <x v="34"/>
    <s v="EXCLUSAO  ANOT.INADIMPLENCIA"/>
    <x v="52"/>
    <x v="12"/>
    <s v="2024-11"/>
    <x v="10"/>
    <s v="PROSPECTAR"/>
    <x v="34"/>
    <n v="1"/>
    <n v="0"/>
  </r>
  <r>
    <s v="035.165.246/0001-06"/>
    <x v="104"/>
    <s v="INCLUSAO  ANOT.INADIMPLENCIA"/>
    <x v="52"/>
    <x v="3"/>
    <s v="2024-11"/>
    <x v="10"/>
    <s v="MARCUS VINICIUS "/>
    <x v="104"/>
    <n v="0"/>
    <n v="1"/>
  </r>
  <r>
    <s v="014.763.606/0001-93"/>
    <x v="10"/>
    <s v="EXCLUSAO  ANOT.INADIMPLENCIA"/>
    <x v="52"/>
    <x v="4"/>
    <s v="2024-11"/>
    <x v="10"/>
    <s v="NOELI SALETE"/>
    <x v="10"/>
    <n v="1"/>
    <n v="0"/>
  </r>
  <r>
    <s v="006.236.494/0001-94"/>
    <x v="61"/>
    <s v="EXCLUSAO  ANOT.INADIMPLENCIA"/>
    <x v="52"/>
    <x v="5"/>
    <s v="2024-11"/>
    <x v="10"/>
    <s v="POENATELA"/>
    <x v="61"/>
    <n v="1"/>
    <n v="0"/>
  </r>
  <r>
    <s v="029.470.692/0001-13"/>
    <x v="99"/>
    <s v="INCLUSAO  ANOT.INADIMPLENCIA"/>
    <x v="52"/>
    <x v="5"/>
    <s v="2024-11"/>
    <x v="10"/>
    <s v="POENATELA"/>
    <x v="99"/>
    <n v="0"/>
    <n v="1"/>
  </r>
  <r>
    <s v="013.746.252/0001-06"/>
    <x v="15"/>
    <s v="INCL/EXCL ANOT.INADIMPLENCIA"/>
    <x v="52"/>
    <x v="5"/>
    <s v="2024-11"/>
    <x v="10"/>
    <s v="POENATELA"/>
    <x v="15"/>
    <n v="1"/>
    <n v="1"/>
  </r>
  <r>
    <s v="023.605.544/0001-82"/>
    <x v="21"/>
    <s v="INCLUSAO  ANOT.INADIMPLENCIA"/>
    <x v="52"/>
    <x v="9"/>
    <s v="2024-11"/>
    <x v="10"/>
    <s v="PRISCILA METZ"/>
    <x v="21"/>
    <n v="0"/>
    <n v="1"/>
  </r>
  <r>
    <s v="000.810.852/0001-44"/>
    <x v="84"/>
    <s v="INCLUSAO  ANOT.INADIMPLENCIA"/>
    <x v="52"/>
    <x v="6"/>
    <s v="2024-11"/>
    <x v="10"/>
    <s v="RAFAEL PARISE"/>
    <x v="84"/>
    <n v="0"/>
    <n v="1"/>
  </r>
  <r>
    <s v="005.881.441/0001-63"/>
    <x v="96"/>
    <s v="EXCLUSAO  ANOT.INADIMPLENCIA"/>
    <x v="52"/>
    <x v="7"/>
    <s v="2024-11"/>
    <x v="10"/>
    <s v="WHELKYA IRIS"/>
    <x v="96"/>
    <n v="1"/>
    <n v="0"/>
  </r>
  <r>
    <s v="020.066.300/0001-80"/>
    <x v="2"/>
    <s v="INCLUSAO  ANOT.INADIMPLENCIA"/>
    <x v="53"/>
    <x v="1"/>
    <s v="2024-11"/>
    <x v="10"/>
    <s v="CELIO PIMENTA"/>
    <x v="2"/>
    <n v="0"/>
    <n v="1"/>
  </r>
  <r>
    <s v="012.520.791/0001-60"/>
    <x v="4"/>
    <s v="INCLUSAO  ANOT.INADIMPLENCIA"/>
    <x v="53"/>
    <x v="1"/>
    <s v="2024-11"/>
    <x v="10"/>
    <s v="CELIO PIMENTA"/>
    <x v="4"/>
    <n v="0"/>
    <n v="1"/>
  </r>
  <r>
    <s v="007.102.721/0001-51"/>
    <x v="44"/>
    <s v="INCLUSAO  ANOT.INADIMPLENCIA"/>
    <x v="53"/>
    <x v="12"/>
    <s v="2024-11"/>
    <x v="10"/>
    <s v="PROSPECTAR"/>
    <x v="44"/>
    <n v="0"/>
    <n v="1"/>
  </r>
  <r>
    <s v="035.165.246/0001-06"/>
    <x v="104"/>
    <s v="INCLUSAO  ANOT.INADIMPLENCIA"/>
    <x v="53"/>
    <x v="3"/>
    <s v="2024-11"/>
    <x v="10"/>
    <s v="MARCUS VINICIUS "/>
    <x v="104"/>
    <n v="0"/>
    <n v="1"/>
  </r>
  <r>
    <s v="008.991.603/0001-04"/>
    <x v="57"/>
    <s v="INCLUSAO  ANOT.INADIMPLENCIA"/>
    <x v="53"/>
    <x v="3"/>
    <s v="2024-11"/>
    <x v="10"/>
    <s v="MARCUS VINICIUS "/>
    <x v="57"/>
    <n v="0"/>
    <n v="1"/>
  </r>
  <r>
    <s v="000.987.236/0001-63"/>
    <x v="98"/>
    <s v="INCLUSAO  ANOT.INADIMPLENCIA"/>
    <x v="53"/>
    <x v="4"/>
    <s v="2024-11"/>
    <x v="10"/>
    <s v="NOELI SALETE"/>
    <x v="98"/>
    <n v="0"/>
    <n v="1"/>
  </r>
  <r>
    <s v="014.763.606/0001-93"/>
    <x v="10"/>
    <s v="INCLUSAO  ANOT.INADIMPLENCIA"/>
    <x v="53"/>
    <x v="4"/>
    <s v="2024-11"/>
    <x v="10"/>
    <s v="NOELI SALETE"/>
    <x v="10"/>
    <n v="0"/>
    <n v="1"/>
  </r>
  <r>
    <s v="093.274.124/0001-46"/>
    <x v="82"/>
    <s v="EXCLUSAO  ANOT.INADIMPLENCIA"/>
    <x v="53"/>
    <x v="4"/>
    <s v="2024-11"/>
    <x v="10"/>
    <s v="NOELI SALETE"/>
    <x v="82"/>
    <n v="1"/>
    <n v="0"/>
  </r>
  <r>
    <s v="013.746.252/0001-06"/>
    <x v="15"/>
    <s v="INCLUSAO  ANOT.INADIMPLENCIA"/>
    <x v="53"/>
    <x v="5"/>
    <s v="2024-11"/>
    <x v="10"/>
    <s v="POENATELA"/>
    <x v="15"/>
    <n v="0"/>
    <n v="1"/>
  </r>
  <r>
    <s v="026.988.940/0001-24"/>
    <x v="112"/>
    <s v="EXCLUSAO  ANOT.INADIMPLENCIA"/>
    <x v="53"/>
    <x v="9"/>
    <s v="2024-11"/>
    <x v="10"/>
    <s v="PRISCILA METZ"/>
    <x v="112"/>
    <n v="1"/>
    <n v="0"/>
  </r>
  <r>
    <s v="014.829.598/0001-30"/>
    <x v="31"/>
    <s v="ALTERACAO ENDERECO"/>
    <x v="53"/>
    <x v="9"/>
    <s v="2024-11"/>
    <x v="10"/>
    <s v="PRISCILA METZ"/>
    <x v="31"/>
    <n v="0"/>
    <n v="0"/>
  </r>
  <r>
    <s v="014.385.825/0001-86"/>
    <x v="110"/>
    <s v="INCLUSAO  ANOT.INADIMPLENCIA"/>
    <x v="53"/>
    <x v="6"/>
    <s v="2024-11"/>
    <x v="10"/>
    <s v="RAFAEL PARISE"/>
    <x v="110"/>
    <n v="0"/>
    <n v="1"/>
  </r>
  <r>
    <s v="038.110.780/0001-03"/>
    <x v="47"/>
    <s v="EXCLUSAO  ANOT.INADIMPLENCIA"/>
    <x v="53"/>
    <x v="6"/>
    <s v="2024-11"/>
    <x v="10"/>
    <s v="RAFAEL PARISE"/>
    <x v="47"/>
    <n v="1"/>
    <n v="0"/>
  </r>
  <r>
    <s v="016.772.642/0001-49"/>
    <x v="69"/>
    <s v="INCLUSAO  ANOT.INADIMPLENCIA"/>
    <x v="54"/>
    <x v="0"/>
    <s v="2024-11"/>
    <x v="10"/>
    <s v="ADMINISTRAÇÃO"/>
    <x v="69"/>
    <n v="0"/>
    <n v="1"/>
  </r>
  <r>
    <s v="021.734.108/0001-88"/>
    <x v="41"/>
    <s v="INCLUSAO  ANOT.INADIMPLENCIA"/>
    <x v="54"/>
    <x v="0"/>
    <s v="2024-11"/>
    <x v="10"/>
    <s v="ADMINISTRAÇÃO"/>
    <x v="41"/>
    <n v="0"/>
    <n v="1"/>
  </r>
  <r>
    <s v="004.126.524/0001-84"/>
    <x v="28"/>
    <s v="EXCLUSAO  ANOT.INADIMPLENCIA"/>
    <x v="54"/>
    <x v="0"/>
    <s v="2024-11"/>
    <x v="10"/>
    <s v="ADMINISTRAÇÃO"/>
    <x v="28"/>
    <n v="1"/>
    <n v="0"/>
  </r>
  <r>
    <s v="020.066.300/0001-80"/>
    <x v="2"/>
    <s v="INCLUSAO  ANOT.INADIMPLENCIA"/>
    <x v="54"/>
    <x v="1"/>
    <s v="2024-11"/>
    <x v="10"/>
    <s v="CELIO PIMENTA"/>
    <x v="2"/>
    <n v="0"/>
    <n v="1"/>
  </r>
  <r>
    <s v="016.757.535/0001-41"/>
    <x v="29"/>
    <s v="EXCLUSAO  ANOT.INADIMPLENCIA"/>
    <x v="54"/>
    <x v="11"/>
    <s v="2024-11"/>
    <x v="10"/>
    <s v="DIOGO AZEVEDO"/>
    <x v="29"/>
    <n v="1"/>
    <n v="0"/>
  </r>
  <r>
    <s v="028.842.753/0001-63"/>
    <x v="49"/>
    <s v="INCLUSAO  ANOT.INADIMPLENCIA"/>
    <x v="54"/>
    <x v="15"/>
    <s v="2024-11"/>
    <x v="10"/>
    <s v="EDUARDO MATOSO"/>
    <x v="49"/>
    <n v="0"/>
    <n v="1"/>
  </r>
  <r>
    <s v="007.102.721/0001-51"/>
    <x v="44"/>
    <s v="INCLUSAO  ANOT.INADIMPLENCIA"/>
    <x v="54"/>
    <x v="12"/>
    <s v="2024-11"/>
    <x v="10"/>
    <s v="PROSPECTAR"/>
    <x v="44"/>
    <n v="0"/>
    <n v="1"/>
  </r>
  <r>
    <s v="034.821.586/0001-77"/>
    <x v="38"/>
    <s v="INCLUSAO  ANOT.INADIMPLENCIA"/>
    <x v="54"/>
    <x v="3"/>
    <s v="2024-11"/>
    <x v="10"/>
    <s v="MARCUS VINICIUS "/>
    <x v="38"/>
    <n v="0"/>
    <n v="1"/>
  </r>
  <r>
    <s v="035.165.246/0001-06"/>
    <x v="104"/>
    <s v="INCLUSAO  ANOT.INADIMPLENCIA"/>
    <x v="54"/>
    <x v="3"/>
    <s v="2024-11"/>
    <x v="10"/>
    <s v="MARCUS VINICIUS "/>
    <x v="104"/>
    <n v="0"/>
    <n v="1"/>
  </r>
  <r>
    <s v="000.987.236/0001-63"/>
    <x v="98"/>
    <s v="INCLUSAO  ANOT.INADIMPLENCIA"/>
    <x v="54"/>
    <x v="4"/>
    <s v="2024-11"/>
    <x v="10"/>
    <s v="NOELI SALETE"/>
    <x v="98"/>
    <n v="0"/>
    <n v="1"/>
  </r>
  <r>
    <s v="007.906.793/0001-51"/>
    <x v="94"/>
    <s v="INCLUSAO  ANOT.INADIMPLENCIA"/>
    <x v="54"/>
    <x v="4"/>
    <s v="2024-11"/>
    <x v="10"/>
    <s v="NOELI SALETE"/>
    <x v="94"/>
    <n v="0"/>
    <n v="1"/>
  </r>
  <r>
    <s v="014.763.606/0001-93"/>
    <x v="10"/>
    <s v="INCLUSAO  ANOT.INADIMPLENCIA"/>
    <x v="54"/>
    <x v="4"/>
    <s v="2024-11"/>
    <x v="10"/>
    <s v="NOELI SALETE"/>
    <x v="10"/>
    <n v="0"/>
    <n v="1"/>
  </r>
  <r>
    <s v="046.140.062/0001-08"/>
    <x v="68"/>
    <s v="INCLUSAO  ANOT.INADIMPLENCIA"/>
    <x v="54"/>
    <x v="4"/>
    <s v="2024-11"/>
    <x v="10"/>
    <s v="NOELI SALETE"/>
    <x v="68"/>
    <n v="0"/>
    <n v="1"/>
  </r>
  <r>
    <s v="036.906.058/0001-46"/>
    <x v="75"/>
    <s v="INCLUSAO  ANOT.INADIMPLENCIA"/>
    <x v="54"/>
    <x v="4"/>
    <s v="2024-11"/>
    <x v="10"/>
    <s v="NOELI SALETE"/>
    <x v="75"/>
    <n v="0"/>
    <n v="1"/>
  </r>
  <r>
    <s v="016.956.677/0001-38"/>
    <x v="92"/>
    <s v="INCLUSAO  ANOT.INADIMPLENCIA"/>
    <x v="54"/>
    <x v="5"/>
    <s v="2024-11"/>
    <x v="10"/>
    <s v="POENATELA"/>
    <x v="92"/>
    <n v="0"/>
    <n v="1"/>
  </r>
  <r>
    <s v="013.746.252/0001-06"/>
    <x v="15"/>
    <s v="INCLUSAO  ANOT.INADIMPLENCIA"/>
    <x v="54"/>
    <x v="5"/>
    <s v="2024-11"/>
    <x v="10"/>
    <s v="POENATELA"/>
    <x v="15"/>
    <n v="0"/>
    <n v="1"/>
  </r>
  <r>
    <s v="026.988.940/0001-24"/>
    <x v="112"/>
    <s v="EXCLUSAO  ANOT.INADIMPLENCIA"/>
    <x v="54"/>
    <x v="9"/>
    <s v="2024-11"/>
    <x v="10"/>
    <s v="PRISCILA METZ"/>
    <x v="112"/>
    <n v="1"/>
    <n v="0"/>
  </r>
  <r>
    <s v="050.721.360/0001-50"/>
    <x v="109"/>
    <s v="INCLUSAO  ANOT.INADIMPLENCIA"/>
    <x v="54"/>
    <x v="9"/>
    <s v="2024-11"/>
    <x v="10"/>
    <s v="PRISCILA METZ"/>
    <x v="109"/>
    <n v="0"/>
    <n v="1"/>
  </r>
  <r>
    <s v="046.700.220/0001-29"/>
    <x v="46"/>
    <s v="INCLUSAO  ANOT.INADIMPLENCIA"/>
    <x v="54"/>
    <x v="9"/>
    <s v="2024-11"/>
    <x v="10"/>
    <s v="PRISCILA METZ"/>
    <x v="46"/>
    <n v="0"/>
    <n v="1"/>
  </r>
  <r>
    <s v="071.350.797/0001-03"/>
    <x v="48"/>
    <s v="INCLUSAO  ANOT.INADIMPLENCIA"/>
    <x v="54"/>
    <x v="10"/>
    <s v="2024-11"/>
    <x v="10"/>
    <s v="ROGERIO "/>
    <x v="48"/>
    <n v="0"/>
    <n v="1"/>
  </r>
  <r>
    <s v="005.355.135/0001-93"/>
    <x v="113"/>
    <s v="INCLUSAO  ANOT.INADIMPLENCIA"/>
    <x v="54"/>
    <x v="10"/>
    <s v="2024-11"/>
    <x v="10"/>
    <s v="ROGERIO "/>
    <x v="113"/>
    <n v="0"/>
    <n v="1"/>
  </r>
  <r>
    <s v="043.515.558/0001-12"/>
    <x v="22"/>
    <s v="EXCLUSAO  ANOT.INADIMPLENCIA"/>
    <x v="54"/>
    <x v="10"/>
    <s v="2024-11"/>
    <x v="10"/>
    <s v="ROGERIO "/>
    <x v="22"/>
    <n v="1"/>
    <n v="0"/>
  </r>
  <r>
    <s v="016.772.642/0001-49"/>
    <x v="69"/>
    <s v="EXCLUSAO  ANOT.INADIMPLENCIA"/>
    <x v="55"/>
    <x v="0"/>
    <s v="2024-11"/>
    <x v="11"/>
    <s v="ADMINISTRAÇÃO"/>
    <x v="69"/>
    <n v="1"/>
    <n v="0"/>
  </r>
  <r>
    <s v="020.066.300/0001-80"/>
    <x v="2"/>
    <s v="INCLUSAO  ANOT.INADIMPLENCIA"/>
    <x v="55"/>
    <x v="1"/>
    <s v="2024-11"/>
    <x v="11"/>
    <s v="CELIO PIMENTA"/>
    <x v="2"/>
    <n v="0"/>
    <n v="1"/>
  </r>
  <r>
    <s v="003.590.360/0001-89"/>
    <x v="3"/>
    <s v="INCLUSAO  ANOT.INADIMPLENCIA"/>
    <x v="55"/>
    <x v="1"/>
    <s v="2024-11"/>
    <x v="11"/>
    <s v="CELIO PIMENTA"/>
    <x v="3"/>
    <n v="0"/>
    <n v="1"/>
  </r>
  <r>
    <s v="016.757.535/0001-41"/>
    <x v="29"/>
    <s v="EXCLUSAO  ANOT.INADIMPLENCIA"/>
    <x v="55"/>
    <x v="11"/>
    <s v="2024-11"/>
    <x v="11"/>
    <s v="DIOGO AZEVEDO"/>
    <x v="29"/>
    <n v="1"/>
    <n v="0"/>
  </r>
  <r>
    <s v="028.842.753/0001-63"/>
    <x v="49"/>
    <s v="INCLUSAO  ANOT.INADIMPLENCIA"/>
    <x v="55"/>
    <x v="15"/>
    <s v="2024-11"/>
    <x v="11"/>
    <s v="EDUARDO MATOSO"/>
    <x v="49"/>
    <n v="0"/>
    <n v="1"/>
  </r>
  <r>
    <s v="034.821.586/0001-77"/>
    <x v="38"/>
    <s v="INCLUSAO  ANOT.INADIMPLENCIA"/>
    <x v="55"/>
    <x v="3"/>
    <s v="2024-11"/>
    <x v="11"/>
    <s v="MARCUS VINICIUS "/>
    <x v="38"/>
    <n v="0"/>
    <n v="1"/>
  </r>
  <r>
    <s v="035.165.246/0001-06"/>
    <x v="104"/>
    <s v="INCLUSAO  ANOT.INADIMPLENCIA"/>
    <x v="55"/>
    <x v="3"/>
    <s v="2024-11"/>
    <x v="11"/>
    <s v="MARCUS VINICIUS "/>
    <x v="104"/>
    <n v="0"/>
    <n v="1"/>
  </r>
  <r>
    <s v="000.987.236/0001-63"/>
    <x v="98"/>
    <s v="INCLUSAO  ANOT.INADIMPLENCIA"/>
    <x v="55"/>
    <x v="4"/>
    <s v="2024-11"/>
    <x v="11"/>
    <s v="NOELI SALETE"/>
    <x v="98"/>
    <n v="0"/>
    <n v="1"/>
  </r>
  <r>
    <s v="007.906.793/0001-51"/>
    <x v="94"/>
    <s v="INCLUSAO  ANOT.INADIMPLENCIA"/>
    <x v="55"/>
    <x v="4"/>
    <s v="2024-11"/>
    <x v="11"/>
    <s v="NOELI SALETE"/>
    <x v="94"/>
    <n v="0"/>
    <n v="1"/>
  </r>
  <r>
    <s v="014.763.606/0001-93"/>
    <x v="10"/>
    <s v="EXCLUSAO  ANOT.INADIMPLENCIA"/>
    <x v="55"/>
    <x v="4"/>
    <s v="2024-11"/>
    <x v="11"/>
    <s v="NOELI SALETE"/>
    <x v="10"/>
    <n v="1"/>
    <n v="0"/>
  </r>
  <r>
    <s v="046.140.062/0001-08"/>
    <x v="68"/>
    <s v="INCLUSAO  ANOT.INADIMPLENCIA"/>
    <x v="55"/>
    <x v="4"/>
    <s v="2024-11"/>
    <x v="11"/>
    <s v="NOELI SALETE"/>
    <x v="68"/>
    <n v="0"/>
    <n v="1"/>
  </r>
  <r>
    <s v="016.956.677/0001-38"/>
    <x v="92"/>
    <s v="EXCLUSAO  ANOT.INADIMPLENCIA"/>
    <x v="55"/>
    <x v="5"/>
    <s v="2024-11"/>
    <x v="11"/>
    <s v="POENATELA"/>
    <x v="92"/>
    <n v="1"/>
    <n v="0"/>
  </r>
  <r>
    <s v="013.746.252/0001-06"/>
    <x v="15"/>
    <s v="EXCLUSAO  ANOT.INADIMPLENCIA"/>
    <x v="55"/>
    <x v="5"/>
    <s v="2024-11"/>
    <x v="11"/>
    <s v="POENATELA"/>
    <x v="15"/>
    <n v="1"/>
    <n v="0"/>
  </r>
  <r>
    <s v="023.605.544/0001-82"/>
    <x v="21"/>
    <s v="INCLUSAO  ANOT.INADIMPLENCIA"/>
    <x v="55"/>
    <x v="9"/>
    <s v="2024-11"/>
    <x v="11"/>
    <s v="PRISCILA METZ"/>
    <x v="21"/>
    <n v="0"/>
    <n v="1"/>
  </r>
  <r>
    <s v="046.700.220/0001-29"/>
    <x v="46"/>
    <s v="INCLUSAO  ANOT.INADIMPLENCIA"/>
    <x v="55"/>
    <x v="9"/>
    <s v="2024-11"/>
    <x v="11"/>
    <s v="PRISCILA METZ"/>
    <x v="46"/>
    <n v="0"/>
    <n v="1"/>
  </r>
  <r>
    <s v="021.473.575/0001-00"/>
    <x v="62"/>
    <s v="INCLUSAO  ANOT.INADIMPLENCIA"/>
    <x v="55"/>
    <x v="9"/>
    <s v="2024-11"/>
    <x v="11"/>
    <s v="PRISCILA METZ"/>
    <x v="62"/>
    <n v="0"/>
    <n v="1"/>
  </r>
  <r>
    <s v="071.350.797/0001-03"/>
    <x v="48"/>
    <s v="EXCLUSAO  ANOT.INADIMPLENCIA"/>
    <x v="55"/>
    <x v="10"/>
    <s v="2024-11"/>
    <x v="11"/>
    <s v="ROGERIO "/>
    <x v="48"/>
    <n v="1"/>
    <n v="0"/>
  </r>
  <r>
    <s v="042.276.517/0001-58"/>
    <x v="107"/>
    <s v="INCLUSAO  ANOT.INADIMPLENCIA"/>
    <x v="55"/>
    <x v="10"/>
    <s v="2024-11"/>
    <x v="11"/>
    <s v="ROGERIO "/>
    <x v="107"/>
    <n v="0"/>
    <n v="1"/>
  </r>
  <r>
    <s v="023.911.356/0001-82"/>
    <x v="54"/>
    <s v="INCLUSAO  ANOT.INADIMPLENCIA"/>
    <x v="56"/>
    <x v="0"/>
    <s v="2024-11"/>
    <x v="11"/>
    <s v="ADMINISTRAÇÃO"/>
    <x v="54"/>
    <n v="0"/>
    <n v="1"/>
  </r>
  <r>
    <s v="020.066.300/0001-80"/>
    <x v="2"/>
    <s v="INCLUSAO  ANOT.INADIMPLENCIA"/>
    <x v="56"/>
    <x v="1"/>
    <s v="2024-11"/>
    <x v="11"/>
    <s v="CELIO PIMENTA"/>
    <x v="2"/>
    <n v="0"/>
    <n v="1"/>
  </r>
  <r>
    <s v="016.757.535/0001-41"/>
    <x v="29"/>
    <s v="EXCLUSAO  ANOT.INADIMPLENCIA"/>
    <x v="56"/>
    <x v="11"/>
    <s v="2024-11"/>
    <x v="11"/>
    <s v="DIOGO AZEVEDO"/>
    <x v="29"/>
    <n v="1"/>
    <n v="0"/>
  </r>
  <r>
    <s v="036.906.058/0001-46"/>
    <x v="75"/>
    <s v="INCLUSAO  ANOT.INADIMPLENCIA"/>
    <x v="56"/>
    <x v="4"/>
    <s v="2024-11"/>
    <x v="11"/>
    <s v="NOELI SALETE"/>
    <x v="75"/>
    <n v="0"/>
    <n v="1"/>
  </r>
  <r>
    <s v="013.746.252/0001-06"/>
    <x v="15"/>
    <s v="ALTERACAO ENDERECO"/>
    <x v="56"/>
    <x v="5"/>
    <s v="2024-11"/>
    <x v="11"/>
    <s v="POENATELA"/>
    <x v="15"/>
    <n v="0"/>
    <n v="0"/>
  </r>
  <r>
    <s v="013.746.252/0001-06"/>
    <x v="15"/>
    <s v="INCLUSAO  ANOT.INADIMPLENCIA"/>
    <x v="56"/>
    <x v="5"/>
    <s v="2024-11"/>
    <x v="11"/>
    <s v="POENATELA"/>
    <x v="15"/>
    <n v="0"/>
    <n v="1"/>
  </r>
  <r>
    <s v="023.605.544/0001-82"/>
    <x v="21"/>
    <s v="INCLUSAO  ANOT.INADIMPLENCIA"/>
    <x v="56"/>
    <x v="9"/>
    <s v="2024-11"/>
    <x v="11"/>
    <s v="PRISCILA METZ"/>
    <x v="21"/>
    <n v="0"/>
    <n v="1"/>
  </r>
  <r>
    <s v="046.700.220/0001-29"/>
    <x v="46"/>
    <s v="INCLUSAO  ANOT.INADIMPLENCIA"/>
    <x v="56"/>
    <x v="9"/>
    <s v="2024-11"/>
    <x v="11"/>
    <s v="PRISCILA METZ"/>
    <x v="46"/>
    <n v="0"/>
    <n v="1"/>
  </r>
  <r>
    <s v="014.385.825/0001-86"/>
    <x v="110"/>
    <s v="INCLUSAO  ANOT.INADIMPLENCIA"/>
    <x v="56"/>
    <x v="6"/>
    <s v="2024-11"/>
    <x v="11"/>
    <s v="RAFAEL PARISE"/>
    <x v="110"/>
    <n v="0"/>
    <n v="1"/>
  </r>
  <r>
    <s v="038.110.780/0001-03"/>
    <x v="47"/>
    <s v="ALTERACAO ENDERECO"/>
    <x v="56"/>
    <x v="6"/>
    <s v="2024-11"/>
    <x v="11"/>
    <s v="RAFAEL PARISE"/>
    <x v="47"/>
    <n v="0"/>
    <n v="0"/>
  </r>
  <r>
    <s v="020.066.300/0001-80"/>
    <x v="2"/>
    <s v="INCLUSAO  ANOT.INADIMPLENCIA"/>
    <x v="57"/>
    <x v="1"/>
    <s v="2024-11"/>
    <x v="11"/>
    <s v="CELIO PIMENTA"/>
    <x v="2"/>
    <n v="0"/>
    <n v="1"/>
  </r>
  <r>
    <s v="003.590.360/0001-89"/>
    <x v="3"/>
    <s v="EXCLUSAO  ANOT.INADIMPLENCIA"/>
    <x v="57"/>
    <x v="1"/>
    <s v="2024-11"/>
    <x v="11"/>
    <s v="CELIO PIMENTA"/>
    <x v="3"/>
    <n v="1"/>
    <n v="0"/>
  </r>
  <r>
    <s v="044.888.871/0001-69"/>
    <x v="106"/>
    <s v="ALTERACAO ENDERECO"/>
    <x v="57"/>
    <x v="12"/>
    <s v="2024-11"/>
    <x v="11"/>
    <s v="PROSPECTAR"/>
    <x v="106"/>
    <n v="0"/>
    <n v="0"/>
  </r>
  <r>
    <s v="007.102.721/0001-51"/>
    <x v="44"/>
    <s v="EXCLUSAO  ANOT.INADIMPLENCIA"/>
    <x v="57"/>
    <x v="12"/>
    <s v="2024-11"/>
    <x v="11"/>
    <s v="PROSPECTAR"/>
    <x v="44"/>
    <n v="1"/>
    <n v="0"/>
  </r>
  <r>
    <s v="008.991.603/0001-04"/>
    <x v="57"/>
    <s v="INCLUSAO  ANOT.INADIMPLENCIA"/>
    <x v="57"/>
    <x v="3"/>
    <s v="2024-11"/>
    <x v="11"/>
    <s v="MARCUS VINICIUS "/>
    <x v="57"/>
    <n v="0"/>
    <n v="1"/>
  </r>
  <r>
    <s v="036.906.058/0001-46"/>
    <x v="75"/>
    <s v="EXCLUSAO  ANOT.INADIMPLENCIA"/>
    <x v="57"/>
    <x v="4"/>
    <s v="2024-11"/>
    <x v="11"/>
    <s v="NOELI SALETE"/>
    <x v="75"/>
    <n v="1"/>
    <n v="0"/>
  </r>
  <r>
    <s v="006.236.494/0001-94"/>
    <x v="61"/>
    <s v="ALTERACAO ENDERECO"/>
    <x v="57"/>
    <x v="5"/>
    <s v="2024-11"/>
    <x v="11"/>
    <s v="POENATELA"/>
    <x v="61"/>
    <n v="0"/>
    <n v="0"/>
  </r>
  <r>
    <s v="016.956.677/0001-38"/>
    <x v="92"/>
    <s v="EXCLUSAO  ANOT.INADIMPLENCIA"/>
    <x v="57"/>
    <x v="5"/>
    <s v="2024-11"/>
    <x v="11"/>
    <s v="POENATELA"/>
    <x v="92"/>
    <n v="1"/>
    <n v="0"/>
  </r>
  <r>
    <s v="013.746.252/0001-06"/>
    <x v="15"/>
    <s v="INCL/EXCL ANOT.INADIMPLENCIA"/>
    <x v="57"/>
    <x v="5"/>
    <s v="2024-11"/>
    <x v="11"/>
    <s v="POENATELA"/>
    <x v="15"/>
    <n v="1"/>
    <n v="1"/>
  </r>
  <r>
    <s v="023.605.544/0001-82"/>
    <x v="21"/>
    <s v="INCLUSAO  ANOT.INADIMPLENCIA"/>
    <x v="57"/>
    <x v="9"/>
    <s v="2024-11"/>
    <x v="11"/>
    <s v="PRISCILA METZ"/>
    <x v="21"/>
    <n v="0"/>
    <n v="1"/>
  </r>
  <r>
    <s v="050.721.360/0001-50"/>
    <x v="109"/>
    <s v="EXCLUSAO  ANOT.INADIMPLENCIA"/>
    <x v="57"/>
    <x v="9"/>
    <s v="2024-11"/>
    <x v="11"/>
    <s v="PRISCILA METZ"/>
    <x v="109"/>
    <n v="1"/>
    <n v="0"/>
  </r>
  <r>
    <s v="002.534.653/0001-86"/>
    <x v="105"/>
    <s v="EXCLUSAO  ANOT.INADIMPLENCIA"/>
    <x v="57"/>
    <x v="10"/>
    <s v="2024-11"/>
    <x v="11"/>
    <s v="ROGERIO "/>
    <x v="105"/>
    <n v="1"/>
    <n v="0"/>
  </r>
  <r>
    <s v="043.515.558/0001-12"/>
    <x v="22"/>
    <s v="INCLUSAO  ANOT.INADIMPLENCIA"/>
    <x v="57"/>
    <x v="10"/>
    <s v="2024-11"/>
    <x v="11"/>
    <s v="ROGERIO "/>
    <x v="22"/>
    <n v="0"/>
    <n v="1"/>
  </r>
  <r>
    <s v="008.785.522/0001-58"/>
    <x v="17"/>
    <s v="INCLUSAO  ANOT.INADIMPLENCIA"/>
    <x v="57"/>
    <x v="7"/>
    <s v="2024-11"/>
    <x v="11"/>
    <s v="WHELKYA IRIS"/>
    <x v="17"/>
    <n v="0"/>
    <n v="1"/>
  </r>
  <r>
    <s v="023.911.356/0001-82"/>
    <x v="54"/>
    <s v="INCLUSAO  ANOT.INADIMPLENCIA"/>
    <x v="58"/>
    <x v="0"/>
    <s v="2024-11"/>
    <x v="12"/>
    <s v="ADMINISTRAÇÃO"/>
    <x v="54"/>
    <n v="0"/>
    <n v="1"/>
  </r>
  <r>
    <s v="021.734.108/0001-88"/>
    <x v="41"/>
    <s v="INCL/EXCL ANOT.INADIMPLENCIA"/>
    <x v="58"/>
    <x v="0"/>
    <s v="2024-11"/>
    <x v="12"/>
    <s v="ADMINISTRAÇÃO"/>
    <x v="41"/>
    <n v="1"/>
    <n v="1"/>
  </r>
  <r>
    <s v="004.126.524/0001-84"/>
    <x v="28"/>
    <s v="INCLUSAO  ANOT.INADIMPLENCIA"/>
    <x v="58"/>
    <x v="0"/>
    <s v="2024-11"/>
    <x v="12"/>
    <s v="ADMINISTRAÇÃO"/>
    <x v="28"/>
    <n v="0"/>
    <n v="1"/>
  </r>
  <r>
    <s v="006.107.454/0001-42"/>
    <x v="42"/>
    <s v="EXCLUSAO  ANOT.INADIMPLENCIA"/>
    <x v="58"/>
    <x v="0"/>
    <s v="2024-11"/>
    <x v="12"/>
    <s v="ADMINISTRAÇÃO"/>
    <x v="42"/>
    <n v="1"/>
    <n v="0"/>
  </r>
  <r>
    <s v="020.066.300/0001-80"/>
    <x v="2"/>
    <s v="INCLUSAO  ANOT.INADIMPLENCIA"/>
    <x v="58"/>
    <x v="1"/>
    <s v="2024-11"/>
    <x v="12"/>
    <s v="CELIO PIMENTA"/>
    <x v="2"/>
    <n v="0"/>
    <n v="1"/>
  </r>
  <r>
    <s v="003.590.360/0001-89"/>
    <x v="3"/>
    <s v="INCLUSAO  ANOT.INADIMPLENCIA"/>
    <x v="58"/>
    <x v="1"/>
    <s v="2024-11"/>
    <x v="12"/>
    <s v="CELIO PIMENTA"/>
    <x v="3"/>
    <n v="0"/>
    <n v="1"/>
  </r>
  <r>
    <s v="012.520.791/0001-60"/>
    <x v="4"/>
    <s v="INCLUSAO  ANOT.INADIMPLENCIA"/>
    <x v="58"/>
    <x v="1"/>
    <s v="2024-11"/>
    <x v="12"/>
    <s v="CELIO PIMENTA"/>
    <x v="4"/>
    <n v="0"/>
    <n v="1"/>
  </r>
  <r>
    <s v="016.757.535/0001-41"/>
    <x v="29"/>
    <s v="EXCLUSAO  ANOT.INADIMPLENCIA"/>
    <x v="58"/>
    <x v="11"/>
    <s v="2024-11"/>
    <x v="12"/>
    <s v="DIOGO AZEVEDO"/>
    <x v="29"/>
    <n v="1"/>
    <n v="0"/>
  </r>
  <r>
    <s v="007.102.721/0001-51"/>
    <x v="44"/>
    <s v="EXCLUSAO  ANOT.INADIMPLENCIA"/>
    <x v="58"/>
    <x v="12"/>
    <s v="2024-11"/>
    <x v="12"/>
    <s v="PROSPECTAR"/>
    <x v="44"/>
    <n v="1"/>
    <n v="0"/>
  </r>
  <r>
    <s v="007.561.436/0001-07"/>
    <x v="34"/>
    <s v="INCLUSAO  ANOT.INADIMPLENCIA"/>
    <x v="58"/>
    <x v="12"/>
    <s v="2024-11"/>
    <x v="12"/>
    <s v="PROSPECTAR"/>
    <x v="34"/>
    <n v="0"/>
    <n v="1"/>
  </r>
  <r>
    <s v="035.165.246/0001-06"/>
    <x v="104"/>
    <s v="INCLUSAO  ANOT.INADIMPLENCIA"/>
    <x v="58"/>
    <x v="3"/>
    <s v="2024-11"/>
    <x v="12"/>
    <s v="MARCUS VINICIUS "/>
    <x v="104"/>
    <n v="0"/>
    <n v="1"/>
  </r>
  <r>
    <s v="008.991.603/0001-04"/>
    <x v="57"/>
    <s v="INCLUSAO  ANOT.INADIMPLENCIA"/>
    <x v="58"/>
    <x v="3"/>
    <s v="2024-11"/>
    <x v="12"/>
    <s v="MARCUS VINICIUS "/>
    <x v="57"/>
    <n v="0"/>
    <n v="1"/>
  </r>
  <r>
    <s v="000.987.236/0001-63"/>
    <x v="98"/>
    <s v="EXCLUSAO  ANOT.INADIMPLENCIA"/>
    <x v="58"/>
    <x v="4"/>
    <s v="2024-11"/>
    <x v="12"/>
    <s v="NOELI SALETE"/>
    <x v="98"/>
    <n v="1"/>
    <n v="0"/>
  </r>
  <r>
    <s v="007.906.793/0001-51"/>
    <x v="94"/>
    <s v="INCLUSAO  ANOT.INADIMPLENCIA"/>
    <x v="58"/>
    <x v="4"/>
    <s v="2024-11"/>
    <x v="12"/>
    <s v="NOELI SALETE"/>
    <x v="94"/>
    <n v="0"/>
    <n v="1"/>
  </r>
  <r>
    <s v="046.140.062/0001-08"/>
    <x v="68"/>
    <s v="INCLUSAO  ANOT.INADIMPLENCIA"/>
    <x v="58"/>
    <x v="4"/>
    <s v="2024-11"/>
    <x v="12"/>
    <s v="NOELI SALETE"/>
    <x v="68"/>
    <n v="0"/>
    <n v="1"/>
  </r>
  <r>
    <s v="023.605.544/0001-82"/>
    <x v="21"/>
    <s v="INCLUSAO  ANOT.INADIMPLENCIA"/>
    <x v="58"/>
    <x v="9"/>
    <s v="2024-11"/>
    <x v="12"/>
    <s v="PRISCILA METZ"/>
    <x v="21"/>
    <n v="0"/>
    <n v="1"/>
  </r>
  <r>
    <s v="046.700.220/0001-29"/>
    <x v="46"/>
    <s v="INCLUSAO  ANOT.INADIMPLENCIA"/>
    <x v="58"/>
    <x v="9"/>
    <s v="2024-11"/>
    <x v="12"/>
    <s v="PRISCILA METZ"/>
    <x v="46"/>
    <n v="0"/>
    <n v="1"/>
  </r>
  <r>
    <s v="014.385.825/0001-86"/>
    <x v="110"/>
    <s v="EXCLUSAO  ANOT.INADIMPLENCIA"/>
    <x v="58"/>
    <x v="6"/>
    <s v="2024-11"/>
    <x v="12"/>
    <s v="RAFAEL PARISE"/>
    <x v="110"/>
    <n v="1"/>
    <n v="0"/>
  </r>
  <r>
    <s v="038.110.780/0001-03"/>
    <x v="47"/>
    <s v="INCLUSAO  ANOT.INADIMPLENCIA"/>
    <x v="58"/>
    <x v="6"/>
    <s v="2024-11"/>
    <x v="12"/>
    <s v="RAFAEL PARISE"/>
    <x v="47"/>
    <n v="0"/>
    <n v="1"/>
  </r>
  <r>
    <s v="016.757.535/0001-41"/>
    <x v="29"/>
    <s v="EXCLUSAO  ANOT.INADIMPLENCIA"/>
    <x v="59"/>
    <x v="11"/>
    <s v="2024-11"/>
    <x v="12"/>
    <s v="DIOGO AZEVEDO"/>
    <x v="29"/>
    <n v="1"/>
    <n v="0"/>
  </r>
  <r>
    <s v="007.906.793/0001-51"/>
    <x v="94"/>
    <s v="INCLUSAO  ANOT.INADIMPLENCIA"/>
    <x v="59"/>
    <x v="4"/>
    <s v="2024-11"/>
    <x v="12"/>
    <s v="NOELI SALETE"/>
    <x v="94"/>
    <n v="0"/>
    <n v="1"/>
  </r>
  <r>
    <s v="014.763.606/0001-93"/>
    <x v="10"/>
    <s v="INCLUSAO  ANOT.INADIMPLENCIA"/>
    <x v="59"/>
    <x v="4"/>
    <s v="2024-11"/>
    <x v="12"/>
    <s v="NOELI SALETE"/>
    <x v="10"/>
    <n v="0"/>
    <n v="1"/>
  </r>
  <r>
    <s v="046.140.062/0001-08"/>
    <x v="68"/>
    <s v="INCLUSAO  ANOT.INADIMPLENCIA"/>
    <x v="59"/>
    <x v="4"/>
    <s v="2024-11"/>
    <x v="12"/>
    <s v="NOELI SALETE"/>
    <x v="68"/>
    <n v="0"/>
    <n v="1"/>
  </r>
  <r>
    <s v="013.746.252/0001-06"/>
    <x v="15"/>
    <s v="INCLUSAO  ANOT.INADIMPLENCIA"/>
    <x v="59"/>
    <x v="5"/>
    <s v="2024-11"/>
    <x v="12"/>
    <s v="POENATELA"/>
    <x v="15"/>
    <n v="0"/>
    <n v="1"/>
  </r>
  <r>
    <s v="021.473.575/0001-00"/>
    <x v="62"/>
    <s v="EXCLUSAO  ANOT.INADIMPLENCIA"/>
    <x v="59"/>
    <x v="9"/>
    <s v="2024-11"/>
    <x v="12"/>
    <s v="PRISCILA METZ"/>
    <x v="62"/>
    <n v="1"/>
    <n v="0"/>
  </r>
  <r>
    <s v="008.785.522/0001-58"/>
    <x v="17"/>
    <s v="INCLUSAO  ANOT.INADIMPLENCIA"/>
    <x v="59"/>
    <x v="7"/>
    <s v="2024-11"/>
    <x v="12"/>
    <s v="WHELKYA IRIS"/>
    <x v="17"/>
    <n v="0"/>
    <n v="1"/>
  </r>
  <r>
    <s v="004.126.524/0001-84"/>
    <x v="28"/>
    <s v="EXCLUSAO  ANOT.INADIMPLENCIA"/>
    <x v="60"/>
    <x v="0"/>
    <s v="2024-11"/>
    <x v="12"/>
    <s v="ADMINISTRAÇÃO"/>
    <x v="28"/>
    <n v="1"/>
    <n v="0"/>
  </r>
  <r>
    <s v="016.757.535/0001-41"/>
    <x v="29"/>
    <s v="EXCLUSAO  ANOT.INADIMPLENCIA"/>
    <x v="60"/>
    <x v="11"/>
    <s v="2024-11"/>
    <x v="12"/>
    <s v="DIOGO AZEVEDO"/>
    <x v="29"/>
    <n v="1"/>
    <n v="0"/>
  </r>
  <r>
    <s v="007.102.721/0001-51"/>
    <x v="44"/>
    <s v="EXCLUSAO  ANOT.INADIMPLENCIA"/>
    <x v="60"/>
    <x v="12"/>
    <s v="2024-11"/>
    <x v="12"/>
    <s v="PROSPECTAR"/>
    <x v="44"/>
    <n v="1"/>
    <n v="0"/>
  </r>
  <r>
    <s v="035.165.246/0001-06"/>
    <x v="104"/>
    <s v="INCLUSAO  ANOT.INADIMPLENCIA"/>
    <x v="60"/>
    <x v="3"/>
    <s v="2024-11"/>
    <x v="12"/>
    <s v="MARCUS VINICIUS "/>
    <x v="104"/>
    <n v="0"/>
    <n v="1"/>
  </r>
  <r>
    <s v="013.746.252/0001-06"/>
    <x v="15"/>
    <s v="INCLUSAO  ANOT.INADIMPLENCIA"/>
    <x v="60"/>
    <x v="5"/>
    <s v="2024-11"/>
    <x v="12"/>
    <s v="POENATELA"/>
    <x v="15"/>
    <n v="0"/>
    <n v="1"/>
  </r>
  <r>
    <s v="046.700.220/0001-29"/>
    <x v="46"/>
    <s v="INCLUSAO  ANOT.INADIMPLENCIA"/>
    <x v="60"/>
    <x v="9"/>
    <s v="2024-11"/>
    <x v="12"/>
    <s v="PRISCILA METZ"/>
    <x v="46"/>
    <n v="0"/>
    <n v="1"/>
  </r>
  <r>
    <s v="038.110.780/0001-03"/>
    <x v="47"/>
    <s v="EXCLUSAO  ANOT.INADIMPLENCIA"/>
    <x v="60"/>
    <x v="6"/>
    <s v="2024-11"/>
    <x v="12"/>
    <s v="RAFAEL PARISE"/>
    <x v="47"/>
    <n v="1"/>
    <n v="0"/>
  </r>
  <r>
    <s v="071.350.797/0001-03"/>
    <x v="48"/>
    <s v="EXCLUSAO  ANOT.INADIMPLENCIA"/>
    <x v="60"/>
    <x v="10"/>
    <s v="2024-11"/>
    <x v="12"/>
    <s v="ROGERIO "/>
    <x v="48"/>
    <n v="1"/>
    <n v="0"/>
  </r>
  <r>
    <s v="043.515.558/0001-12"/>
    <x v="22"/>
    <s v="EXCLUSAO  ANOT.INADIMPLENCIA"/>
    <x v="60"/>
    <x v="10"/>
    <s v="2024-11"/>
    <x v="12"/>
    <s v="ROGERIO "/>
    <x v="22"/>
    <n v="1"/>
    <n v="0"/>
  </r>
  <r>
    <s v="020.066.300/0001-80"/>
    <x v="2"/>
    <s v="INCLUSAO  ANOT.INADIMPLENCIA"/>
    <x v="61"/>
    <x v="1"/>
    <s v="2024-11"/>
    <x v="12"/>
    <s v="CELIO PIMENTA"/>
    <x v="2"/>
    <n v="0"/>
    <n v="1"/>
  </r>
  <r>
    <s v="013.746.252/0001-06"/>
    <x v="15"/>
    <s v="INCLUSAO  ANOT.INADIMPLENCIA"/>
    <x v="61"/>
    <x v="5"/>
    <s v="2024-11"/>
    <x v="12"/>
    <s v="POENATELA"/>
    <x v="15"/>
    <n v="0"/>
    <n v="1"/>
  </r>
  <r>
    <s v="071.350.797/0001-03"/>
    <x v="48"/>
    <s v="EXCLUSAO  ANOT.INADIMPLENCIA"/>
    <x v="61"/>
    <x v="10"/>
    <s v="2024-11"/>
    <x v="12"/>
    <s v="ROGERIO "/>
    <x v="48"/>
    <n v="1"/>
    <n v="0"/>
  </r>
  <r>
    <s v="023.911.356/0001-82"/>
    <x v="54"/>
    <s v="INCLUSAO  ANOT.INADIMPLENCIA"/>
    <x v="62"/>
    <x v="0"/>
    <s v="2024-11"/>
    <x v="12"/>
    <s v="ADMINISTRAÇÃO"/>
    <x v="54"/>
    <n v="0"/>
    <n v="1"/>
  </r>
  <r>
    <s v="021.734.108/0001-88"/>
    <x v="41"/>
    <s v="INCLUSAO  ANOT.INADIMPLENCIA"/>
    <x v="62"/>
    <x v="0"/>
    <s v="2024-11"/>
    <x v="12"/>
    <s v="ADMINISTRAÇÃO"/>
    <x v="41"/>
    <n v="0"/>
    <n v="1"/>
  </r>
  <r>
    <s v="020.066.300/0001-80"/>
    <x v="2"/>
    <s v="INCLUSAO  ANOT.INADIMPLENCIA"/>
    <x v="62"/>
    <x v="1"/>
    <s v="2024-11"/>
    <x v="12"/>
    <s v="CELIO PIMENTA"/>
    <x v="2"/>
    <n v="0"/>
    <n v="1"/>
  </r>
  <r>
    <s v="016.757.535/0001-41"/>
    <x v="29"/>
    <s v="INCLUSAO  ANOT.INADIMPLENCIA"/>
    <x v="62"/>
    <x v="11"/>
    <s v="2024-11"/>
    <x v="12"/>
    <s v="DIOGO AZEVEDO"/>
    <x v="29"/>
    <n v="0"/>
    <n v="1"/>
  </r>
  <r>
    <s v="007.561.436/0001-07"/>
    <x v="34"/>
    <s v="INCL/EXCL ANOT.INADIMPLENCIA"/>
    <x v="62"/>
    <x v="12"/>
    <s v="2024-11"/>
    <x v="12"/>
    <s v="PROSPECTAR"/>
    <x v="34"/>
    <n v="1"/>
    <n v="1"/>
  </r>
  <r>
    <s v="019.450.138/0001-10"/>
    <x v="70"/>
    <s v="INCLUSAO  ANOT.INADIMPLENCIA"/>
    <x v="62"/>
    <x v="17"/>
    <s v="2024-11"/>
    <x v="12"/>
    <s v="MARCIO LEONEL"/>
    <x v="70"/>
    <n v="0"/>
    <n v="1"/>
  </r>
  <r>
    <s v="035.165.246/0001-06"/>
    <x v="104"/>
    <s v="INCLUSAO  ANOT.INADIMPLENCIA"/>
    <x v="62"/>
    <x v="3"/>
    <s v="2024-11"/>
    <x v="12"/>
    <s v="MARCUS VINICIUS "/>
    <x v="104"/>
    <n v="0"/>
    <n v="1"/>
  </r>
  <r>
    <s v="000.987.236/0001-63"/>
    <x v="98"/>
    <s v="INCLUSAO  ANOT.INADIMPLENCIA"/>
    <x v="62"/>
    <x v="4"/>
    <s v="2024-11"/>
    <x v="12"/>
    <s v="NOELI SALETE"/>
    <x v="98"/>
    <n v="0"/>
    <n v="1"/>
  </r>
  <r>
    <s v="007.906.793/0001-51"/>
    <x v="94"/>
    <s v="INCLUSAO  ANOT.INADIMPLENCIA"/>
    <x v="62"/>
    <x v="4"/>
    <s v="2024-11"/>
    <x v="12"/>
    <s v="NOELI SALETE"/>
    <x v="94"/>
    <n v="0"/>
    <n v="1"/>
  </r>
  <r>
    <s v="014.763.606/0001-93"/>
    <x v="10"/>
    <s v="INCLUSAO  ANOT.INADIMPLENCIA"/>
    <x v="62"/>
    <x v="4"/>
    <s v="2024-11"/>
    <x v="12"/>
    <s v="NOELI SALETE"/>
    <x v="10"/>
    <n v="0"/>
    <n v="1"/>
  </r>
  <r>
    <s v="088.978.606/0001-47"/>
    <x v="114"/>
    <s v="INCLUSAO  ANOT.INADIMPLENCIA"/>
    <x v="62"/>
    <x v="4"/>
    <s v="2024-11"/>
    <x v="12"/>
    <s v="NOELI SALETE"/>
    <x v="114"/>
    <n v="0"/>
    <n v="1"/>
  </r>
  <r>
    <s v="013.746.252/0001-06"/>
    <x v="15"/>
    <s v="EXCLUSAO  ANOT.INADIMPLENCIA"/>
    <x v="62"/>
    <x v="5"/>
    <s v="2024-11"/>
    <x v="12"/>
    <s v="POENATELA"/>
    <x v="15"/>
    <n v="1"/>
    <n v="0"/>
  </r>
  <r>
    <s v="023.605.544/0001-82"/>
    <x v="21"/>
    <s v="INCLUSAO  ANOT.INADIMPLENCIA"/>
    <x v="62"/>
    <x v="9"/>
    <s v="2024-11"/>
    <x v="12"/>
    <s v="PRISCILA METZ"/>
    <x v="21"/>
    <n v="0"/>
    <n v="1"/>
  </r>
  <r>
    <s v="046.700.220/0001-29"/>
    <x v="46"/>
    <s v="INCLUSAO  ANOT.INADIMPLENCIA"/>
    <x v="62"/>
    <x v="9"/>
    <s v="2024-11"/>
    <x v="12"/>
    <s v="PRISCILA METZ"/>
    <x v="46"/>
    <n v="0"/>
    <n v="1"/>
  </r>
  <r>
    <s v="038.110.780/0001-03"/>
    <x v="47"/>
    <s v="INCLUSAO  ANOT.INADIMPLENCIA"/>
    <x v="62"/>
    <x v="6"/>
    <s v="2024-11"/>
    <x v="12"/>
    <s v="RAFAEL PARISE"/>
    <x v="47"/>
    <n v="0"/>
    <n v="1"/>
  </r>
  <r>
    <s v="071.350.797/0001-03"/>
    <x v="48"/>
    <s v="EXCLUSAO  ANOT.INADIMPLENCIA"/>
    <x v="62"/>
    <x v="10"/>
    <s v="2024-11"/>
    <x v="12"/>
    <s v="ROGERIO "/>
    <x v="48"/>
    <n v="1"/>
    <n v="0"/>
  </r>
  <r>
    <s v="016.772.642/0001-49"/>
    <x v="69"/>
    <s v="INCLUSAO  ANOT.INADIMPLENCIA"/>
    <x v="63"/>
    <x v="0"/>
    <s v="2024-12"/>
    <x v="13"/>
    <s v="ADMINISTRAÇÃO"/>
    <x v="69"/>
    <n v="0"/>
    <n v="1"/>
  </r>
  <r>
    <s v="023.911.356/0001-82"/>
    <x v="54"/>
    <s v="INCLUSAO  ANOT.INADIMPLENCIA"/>
    <x v="63"/>
    <x v="0"/>
    <s v="2024-12"/>
    <x v="13"/>
    <s v="ADMINISTRAÇÃO"/>
    <x v="54"/>
    <n v="0"/>
    <n v="1"/>
  </r>
  <r>
    <s v="004.126.524/0001-84"/>
    <x v="28"/>
    <s v="INCLUSAO  ANOT.INADIMPLENCIA"/>
    <x v="63"/>
    <x v="0"/>
    <s v="2024-12"/>
    <x v="13"/>
    <s v="ADMINISTRAÇÃO"/>
    <x v="28"/>
    <n v="0"/>
    <n v="1"/>
  </r>
  <r>
    <s v="020.066.300/0001-80"/>
    <x v="2"/>
    <s v="INCL/EXCL ANOT.INADIMPLENCIA"/>
    <x v="63"/>
    <x v="1"/>
    <s v="2024-12"/>
    <x v="13"/>
    <s v="CELIO PIMENTA"/>
    <x v="2"/>
    <n v="1"/>
    <n v="1"/>
  </r>
  <r>
    <s v="003.590.360/0001-89"/>
    <x v="3"/>
    <s v="INCLUSAO  ANOT.INADIMPLENCIA"/>
    <x v="63"/>
    <x v="1"/>
    <s v="2024-12"/>
    <x v="13"/>
    <s v="CELIO PIMENTA"/>
    <x v="3"/>
    <n v="0"/>
    <n v="1"/>
  </r>
  <r>
    <s v="005.363.690/0001-67"/>
    <x v="90"/>
    <s v="EXCLUSAO  ANOT.INADIMPLENCIA"/>
    <x v="63"/>
    <x v="12"/>
    <s v="2024-12"/>
    <x v="13"/>
    <s v="PROSPECTAR"/>
    <x v="90"/>
    <n v="1"/>
    <n v="0"/>
  </r>
  <r>
    <s v="007.102.721/0001-51"/>
    <x v="44"/>
    <s v="INCLUSAO  ANOT.INADIMPLENCIA"/>
    <x v="63"/>
    <x v="12"/>
    <s v="2024-12"/>
    <x v="13"/>
    <s v="PROSPECTAR"/>
    <x v="44"/>
    <n v="0"/>
    <n v="1"/>
  </r>
  <r>
    <s v="007.561.436/0001-07"/>
    <x v="34"/>
    <s v="EXCLUSAO  ANOT.INADIMPLENCIA"/>
    <x v="63"/>
    <x v="12"/>
    <s v="2024-12"/>
    <x v="13"/>
    <s v="PROSPECTAR"/>
    <x v="34"/>
    <n v="1"/>
    <n v="0"/>
  </r>
  <r>
    <s v="019.450.138/0001-10"/>
    <x v="70"/>
    <s v="EXCLUSAO  ANOT.INADIMPLENCIA"/>
    <x v="63"/>
    <x v="17"/>
    <s v="2024-12"/>
    <x v="13"/>
    <s v="MARCIO LEONEL"/>
    <x v="70"/>
    <n v="1"/>
    <n v="0"/>
  </r>
  <r>
    <s v="035.165.246/0001-06"/>
    <x v="104"/>
    <s v="INCLUSAO  ANOT.INADIMPLENCIA"/>
    <x v="63"/>
    <x v="3"/>
    <s v="2024-12"/>
    <x v="13"/>
    <s v="MARCUS VINICIUS "/>
    <x v="104"/>
    <n v="0"/>
    <n v="1"/>
  </r>
  <r>
    <s v="007.906.793/0001-51"/>
    <x v="94"/>
    <s v="INCLUSAO  ANOT.INADIMPLENCIA"/>
    <x v="63"/>
    <x v="4"/>
    <s v="2024-12"/>
    <x v="13"/>
    <s v="NOELI SALETE"/>
    <x v="94"/>
    <n v="0"/>
    <n v="1"/>
  </r>
  <r>
    <s v="046.140.062/0001-08"/>
    <x v="68"/>
    <s v="INCLUSAO  ANOT.INADIMPLENCIA"/>
    <x v="63"/>
    <x v="4"/>
    <s v="2024-12"/>
    <x v="13"/>
    <s v="NOELI SALETE"/>
    <x v="68"/>
    <n v="0"/>
    <n v="1"/>
  </r>
  <r>
    <s v="036.906.058/0001-46"/>
    <x v="75"/>
    <s v="INCLUSAO  ANOT.INADIMPLENCIA"/>
    <x v="63"/>
    <x v="4"/>
    <s v="2024-12"/>
    <x v="13"/>
    <s v="NOELI SALETE"/>
    <x v="75"/>
    <n v="0"/>
    <n v="1"/>
  </r>
  <r>
    <s v="006.236.494/0001-94"/>
    <x v="61"/>
    <s v="EXCLUSAO  ANOT.INADIMPLENCIA"/>
    <x v="63"/>
    <x v="5"/>
    <s v="2024-12"/>
    <x v="13"/>
    <s v="POENATELA"/>
    <x v="61"/>
    <n v="1"/>
    <n v="0"/>
  </r>
  <r>
    <s v="013.746.252/0001-06"/>
    <x v="15"/>
    <s v="INCLUSAO  ANOT.INADIMPLENCIA"/>
    <x v="63"/>
    <x v="5"/>
    <s v="2024-12"/>
    <x v="13"/>
    <s v="POENATELA"/>
    <x v="15"/>
    <n v="0"/>
    <n v="1"/>
  </r>
  <r>
    <s v="014.514.481/0001-68"/>
    <x v="73"/>
    <s v="INCLUSAO  ANOT.INADIMPLENCIA"/>
    <x v="63"/>
    <x v="9"/>
    <s v="2024-12"/>
    <x v="13"/>
    <s v="PRISCILA METZ"/>
    <x v="73"/>
    <n v="0"/>
    <n v="1"/>
  </r>
  <r>
    <s v="046.700.220/0001-29"/>
    <x v="46"/>
    <s v="INCLUSAO  ANOT.INADIMPLENCIA"/>
    <x v="63"/>
    <x v="9"/>
    <s v="2024-12"/>
    <x v="13"/>
    <s v="PRISCILA METZ"/>
    <x v="46"/>
    <n v="0"/>
    <n v="1"/>
  </r>
  <r>
    <s v="002.534.653/0001-86"/>
    <x v="105"/>
    <s v="INCLUSAO  ANOT.INADIMPLENCIA"/>
    <x v="63"/>
    <x v="10"/>
    <s v="2024-12"/>
    <x v="13"/>
    <s v="ROGERIO "/>
    <x v="105"/>
    <n v="0"/>
    <n v="1"/>
  </r>
  <r>
    <s v="016.772.642/0001-49"/>
    <x v="69"/>
    <s v="INCLUSAO  ANOT.INADIMPLENCIA"/>
    <x v="64"/>
    <x v="0"/>
    <s v="2024-12"/>
    <x v="13"/>
    <s v="ADMINISTRAÇÃO"/>
    <x v="69"/>
    <n v="0"/>
    <n v="1"/>
  </r>
  <r>
    <s v="023.911.356/0001-82"/>
    <x v="54"/>
    <s v="INCLUSAO  ANOT.INADIMPLENCIA"/>
    <x v="64"/>
    <x v="0"/>
    <s v="2024-12"/>
    <x v="13"/>
    <s v="ADMINISTRAÇÃO"/>
    <x v="54"/>
    <n v="0"/>
    <n v="1"/>
  </r>
  <r>
    <s v="021.734.108/0001-88"/>
    <x v="41"/>
    <s v="INCLUSAO  ANOT.INADIMPLENCIA"/>
    <x v="64"/>
    <x v="0"/>
    <s v="2024-12"/>
    <x v="13"/>
    <s v="ADMINISTRAÇÃO"/>
    <x v="41"/>
    <n v="0"/>
    <n v="1"/>
  </r>
  <r>
    <s v="004.126.524/0001-84"/>
    <x v="28"/>
    <s v="INCLUSAO  ANOT.INADIMPLENCIA"/>
    <x v="64"/>
    <x v="0"/>
    <s v="2024-12"/>
    <x v="13"/>
    <s v="ADMINISTRAÇÃO"/>
    <x v="28"/>
    <n v="0"/>
    <n v="1"/>
  </r>
  <r>
    <s v="020.066.300/0001-80"/>
    <x v="2"/>
    <s v="INCL/EXCL ANOT.INADIMPLENCIA"/>
    <x v="64"/>
    <x v="1"/>
    <s v="2024-12"/>
    <x v="13"/>
    <s v="CELIO PIMENTA"/>
    <x v="2"/>
    <n v="1"/>
    <n v="1"/>
  </r>
  <r>
    <s v="007.102.721/0001-51"/>
    <x v="44"/>
    <s v="EXCLUSAO  ANOT.INADIMPLENCIA"/>
    <x v="64"/>
    <x v="12"/>
    <s v="2024-12"/>
    <x v="13"/>
    <s v="PROSPECTAR"/>
    <x v="44"/>
    <n v="1"/>
    <n v="0"/>
  </r>
  <r>
    <s v="035.165.246/0001-06"/>
    <x v="104"/>
    <s v="INCL/EXCL ANOT.INADIMPLENCIA"/>
    <x v="64"/>
    <x v="3"/>
    <s v="2024-12"/>
    <x v="13"/>
    <s v="MARCUS VINICIUS "/>
    <x v="104"/>
    <n v="1"/>
    <n v="1"/>
  </r>
  <r>
    <s v="000.987.236/0001-63"/>
    <x v="98"/>
    <s v="INCLUSAO  ANOT.INADIMPLENCIA"/>
    <x v="64"/>
    <x v="4"/>
    <s v="2024-12"/>
    <x v="13"/>
    <s v="NOELI SALETE"/>
    <x v="98"/>
    <n v="0"/>
    <n v="1"/>
  </r>
  <r>
    <s v="007.906.793/0001-51"/>
    <x v="94"/>
    <s v="INCLUSAO  ANOT.INADIMPLENCIA"/>
    <x v="64"/>
    <x v="4"/>
    <s v="2024-12"/>
    <x v="13"/>
    <s v="NOELI SALETE"/>
    <x v="94"/>
    <n v="0"/>
    <n v="1"/>
  </r>
  <r>
    <s v="014.763.606/0001-93"/>
    <x v="10"/>
    <s v="INCLUSAO  ANOT.INADIMPLENCIA"/>
    <x v="64"/>
    <x v="4"/>
    <s v="2024-12"/>
    <x v="13"/>
    <s v="NOELI SALETE"/>
    <x v="10"/>
    <n v="0"/>
    <n v="1"/>
  </r>
  <r>
    <s v="046.140.062/0001-08"/>
    <x v="68"/>
    <s v="INCLUSAO  ANOT.INADIMPLENCIA"/>
    <x v="64"/>
    <x v="4"/>
    <s v="2024-12"/>
    <x v="13"/>
    <s v="NOELI SALETE"/>
    <x v="68"/>
    <n v="0"/>
    <n v="1"/>
  </r>
  <r>
    <s v="006.236.494/0001-94"/>
    <x v="61"/>
    <s v="INCL/EXCL ANOT.INADIMPLENCIA"/>
    <x v="64"/>
    <x v="5"/>
    <s v="2024-12"/>
    <x v="13"/>
    <s v="POENATELA"/>
    <x v="61"/>
    <n v="1"/>
    <n v="1"/>
  </r>
  <r>
    <s v="016.956.677/0001-38"/>
    <x v="92"/>
    <s v="INCLUSAO  ANOT.INADIMPLENCIA"/>
    <x v="64"/>
    <x v="5"/>
    <s v="2024-12"/>
    <x v="13"/>
    <s v="POENATELA"/>
    <x v="92"/>
    <n v="0"/>
    <n v="1"/>
  </r>
  <r>
    <s v="013.746.252/0001-06"/>
    <x v="15"/>
    <s v="INCLUSAO  ANOT.INADIMPLENCIA"/>
    <x v="64"/>
    <x v="5"/>
    <s v="2024-12"/>
    <x v="13"/>
    <s v="POENATELA"/>
    <x v="15"/>
    <n v="0"/>
    <n v="1"/>
  </r>
  <r>
    <s v="023.605.544/0001-82"/>
    <x v="21"/>
    <s v="EXCLUSAO  ANOT.INADIMPLENCIA"/>
    <x v="64"/>
    <x v="9"/>
    <s v="2024-12"/>
    <x v="13"/>
    <s v="PRISCILA METZ"/>
    <x v="21"/>
    <n v="1"/>
    <n v="0"/>
  </r>
  <r>
    <s v="050.721.360/0001-50"/>
    <x v="109"/>
    <s v="INCLUSAO  ANOT.INADIMPLENCIA"/>
    <x v="64"/>
    <x v="9"/>
    <s v="2024-12"/>
    <x v="13"/>
    <s v="PRISCILA METZ"/>
    <x v="109"/>
    <n v="0"/>
    <n v="1"/>
  </r>
  <r>
    <s v="046.700.220/0001-29"/>
    <x v="46"/>
    <s v="INCLUSAO  ANOT.INADIMPLENCIA"/>
    <x v="64"/>
    <x v="9"/>
    <s v="2024-12"/>
    <x v="13"/>
    <s v="PRISCILA METZ"/>
    <x v="46"/>
    <n v="0"/>
    <n v="1"/>
  </r>
  <r>
    <s v="042.276.517/0001-58"/>
    <x v="107"/>
    <s v="EXCLUSAO  ANOT.INADIMPLENCIA"/>
    <x v="64"/>
    <x v="10"/>
    <s v="2024-12"/>
    <x v="13"/>
    <s v="ROGERIO "/>
    <x v="107"/>
    <n v="1"/>
    <n v="0"/>
  </r>
  <r>
    <s v="023.911.356/0001-82"/>
    <x v="54"/>
    <s v="EXCLUSAO  ANOT.INADIMPLENCIA"/>
    <x v="65"/>
    <x v="0"/>
    <s v="2024-12"/>
    <x v="13"/>
    <s v="ADMINISTRAÇÃO"/>
    <x v="54"/>
    <n v="1"/>
    <n v="0"/>
  </r>
  <r>
    <s v="004.126.524/0001-84"/>
    <x v="28"/>
    <s v="EXCLUSAO  ANOT.INADIMPLENCIA"/>
    <x v="65"/>
    <x v="0"/>
    <s v="2024-12"/>
    <x v="13"/>
    <s v="ADMINISTRAÇÃO"/>
    <x v="28"/>
    <n v="1"/>
    <n v="0"/>
  </r>
  <r>
    <s v="020.066.300/0001-80"/>
    <x v="2"/>
    <s v="INCL/EXCL ANOT.INADIMPLENCIA"/>
    <x v="65"/>
    <x v="1"/>
    <s v="2024-12"/>
    <x v="13"/>
    <s v="CELIO PIMENTA"/>
    <x v="2"/>
    <n v="1"/>
    <n v="1"/>
  </r>
  <r>
    <s v="003.590.360/0001-89"/>
    <x v="3"/>
    <s v="EXCLUSAO  ANOT.INADIMPLENCIA"/>
    <x v="65"/>
    <x v="1"/>
    <s v="2024-12"/>
    <x v="13"/>
    <s v="CELIO PIMENTA"/>
    <x v="3"/>
    <n v="1"/>
    <n v="0"/>
  </r>
  <r>
    <s v="007.102.721/0001-51"/>
    <x v="44"/>
    <s v="INCLUSAO  ANOT.INADIMPLENCIA"/>
    <x v="65"/>
    <x v="12"/>
    <s v="2024-12"/>
    <x v="13"/>
    <s v="PROSPECTAR"/>
    <x v="44"/>
    <n v="0"/>
    <n v="1"/>
  </r>
  <r>
    <s v="007.561.436/0001-07"/>
    <x v="34"/>
    <s v="EXCLUSAO  ANOT.INADIMPLENCIA"/>
    <x v="65"/>
    <x v="12"/>
    <s v="2024-12"/>
    <x v="13"/>
    <s v="PROSPECTAR"/>
    <x v="34"/>
    <n v="1"/>
    <n v="0"/>
  </r>
  <r>
    <s v="025.825.654/0001-85"/>
    <x v="7"/>
    <s v="INCLUSAO  ANOT.INADIMPLENCIA"/>
    <x v="65"/>
    <x v="3"/>
    <s v="2024-12"/>
    <x v="13"/>
    <s v="MARCUS VINICIUS "/>
    <x v="7"/>
    <n v="0"/>
    <n v="1"/>
  </r>
  <r>
    <s v="035.165.246/0001-06"/>
    <x v="104"/>
    <s v="INCLUSAO  ANOT.INADIMPLENCIA"/>
    <x v="65"/>
    <x v="3"/>
    <s v="2024-12"/>
    <x v="13"/>
    <s v="MARCUS VINICIUS "/>
    <x v="104"/>
    <n v="0"/>
    <n v="1"/>
  </r>
  <r>
    <s v="014.763.606/0001-93"/>
    <x v="10"/>
    <s v="INCLUSAO  ANOT.INADIMPLENCIA"/>
    <x v="65"/>
    <x v="4"/>
    <s v="2024-12"/>
    <x v="13"/>
    <s v="NOELI SALETE"/>
    <x v="10"/>
    <n v="0"/>
    <n v="1"/>
  </r>
  <r>
    <s v="006.236.494/0001-94"/>
    <x v="61"/>
    <s v="EXCLUSAO  ANOT.INADIMPLENCIA"/>
    <x v="65"/>
    <x v="5"/>
    <s v="2024-12"/>
    <x v="13"/>
    <s v="POENATELA"/>
    <x v="61"/>
    <n v="1"/>
    <n v="0"/>
  </r>
  <r>
    <s v="013.746.252/0001-06"/>
    <x v="15"/>
    <s v="EXCLUSAO  ANOT.INADIMPLENCIA"/>
    <x v="65"/>
    <x v="5"/>
    <s v="2024-12"/>
    <x v="13"/>
    <s v="POENATELA"/>
    <x v="15"/>
    <n v="1"/>
    <n v="0"/>
  </r>
  <r>
    <s v="023.605.544/0001-82"/>
    <x v="21"/>
    <s v="INCLUSAO  ANOT.INADIMPLENCIA"/>
    <x v="65"/>
    <x v="9"/>
    <s v="2024-12"/>
    <x v="13"/>
    <s v="PRISCILA METZ"/>
    <x v="21"/>
    <n v="0"/>
    <n v="1"/>
  </r>
  <r>
    <s v="046.700.220/0001-29"/>
    <x v="46"/>
    <s v="EXCLUSAO  ANOT.INADIMPLENCIA"/>
    <x v="65"/>
    <x v="9"/>
    <s v="2024-12"/>
    <x v="13"/>
    <s v="PRISCILA METZ"/>
    <x v="46"/>
    <n v="1"/>
    <n v="0"/>
  </r>
  <r>
    <s v="020.066.300/0001-80"/>
    <x v="2"/>
    <s v="INCLUSAO  ANOT.INADIMPLENCIA"/>
    <x v="66"/>
    <x v="1"/>
    <s v="2024-12"/>
    <x v="13"/>
    <s v="CELIO PIMENTA"/>
    <x v="2"/>
    <n v="0"/>
    <n v="1"/>
  </r>
  <r>
    <s v="016.757.535/0001-41"/>
    <x v="29"/>
    <s v="EXCLUSAO  ANOT.INADIMPLENCIA"/>
    <x v="66"/>
    <x v="11"/>
    <s v="2024-12"/>
    <x v="13"/>
    <s v="DIOGO AZEVEDO"/>
    <x v="29"/>
    <n v="1"/>
    <n v="0"/>
  </r>
  <r>
    <s v="005.363.690/0001-67"/>
    <x v="90"/>
    <s v="INCLUSAO  ANOT.INADIMPLENCIA"/>
    <x v="66"/>
    <x v="12"/>
    <s v="2024-12"/>
    <x v="13"/>
    <s v="PROSPECTAR"/>
    <x v="90"/>
    <n v="0"/>
    <n v="1"/>
  </r>
  <r>
    <s v="007.561.436/0001-07"/>
    <x v="34"/>
    <s v="EXCLUSAO  ANOT.INADIMPLENCIA"/>
    <x v="66"/>
    <x v="12"/>
    <s v="2024-12"/>
    <x v="13"/>
    <s v="PROSPECTAR"/>
    <x v="34"/>
    <n v="1"/>
    <n v="0"/>
  </r>
  <r>
    <s v="025.825.654/0001-85"/>
    <x v="7"/>
    <s v="EXCLUSAO  ANOT.INADIMPLENCIA"/>
    <x v="66"/>
    <x v="3"/>
    <s v="2024-12"/>
    <x v="13"/>
    <s v="MARCUS VINICIUS "/>
    <x v="7"/>
    <n v="1"/>
    <n v="0"/>
  </r>
  <r>
    <s v="035.165.246/0001-06"/>
    <x v="104"/>
    <s v="INCLUSAO  ANOT.INADIMPLENCIA"/>
    <x v="66"/>
    <x v="3"/>
    <s v="2024-12"/>
    <x v="13"/>
    <s v="MARCUS VINICIUS "/>
    <x v="104"/>
    <n v="0"/>
    <n v="1"/>
  </r>
  <r>
    <s v="014.763.606/0001-93"/>
    <x v="10"/>
    <s v="INCLUSAO  ANOT.INADIMPLENCIA"/>
    <x v="66"/>
    <x v="4"/>
    <s v="2024-12"/>
    <x v="13"/>
    <s v="NOELI SALETE"/>
    <x v="10"/>
    <n v="0"/>
    <n v="1"/>
  </r>
  <r>
    <s v="036.906.058/0001-46"/>
    <x v="75"/>
    <s v="INCLUSAO  ANOT.INADIMPLENCIA"/>
    <x v="66"/>
    <x v="4"/>
    <s v="2024-12"/>
    <x v="13"/>
    <s v="NOELI SALETE"/>
    <x v="75"/>
    <n v="0"/>
    <n v="1"/>
  </r>
  <r>
    <s v="006.236.494/0001-94"/>
    <x v="61"/>
    <s v="EXCLUSAO  ANOT.INADIMPLENCIA"/>
    <x v="66"/>
    <x v="5"/>
    <s v="2024-12"/>
    <x v="13"/>
    <s v="POENATELA"/>
    <x v="61"/>
    <n v="1"/>
    <n v="0"/>
  </r>
  <r>
    <s v="013.746.252/0001-06"/>
    <x v="15"/>
    <s v="INCLUSAO  ANOT.INADIMPLENCIA"/>
    <x v="66"/>
    <x v="5"/>
    <s v="2024-12"/>
    <x v="13"/>
    <s v="POENATELA"/>
    <x v="15"/>
    <n v="0"/>
    <n v="1"/>
  </r>
  <r>
    <s v="002.534.653/0001-86"/>
    <x v="105"/>
    <s v="INCLUSAO  ANOT.INADIMPLENCIA"/>
    <x v="66"/>
    <x v="10"/>
    <s v="2024-12"/>
    <x v="13"/>
    <s v="ROGERIO "/>
    <x v="105"/>
    <n v="0"/>
    <n v="1"/>
  </r>
  <r>
    <s v="035.475.312/0001-36"/>
    <x v="115"/>
    <s v="INCLUSAO  ANOT.INADIMPLENCIA"/>
    <x v="67"/>
    <x v="0"/>
    <s v="2024-12"/>
    <x v="13"/>
    <s v="ADMINISTRAÇÃO"/>
    <x v="115"/>
    <n v="0"/>
    <n v="1"/>
  </r>
  <r>
    <s v="023.911.356/0001-82"/>
    <x v="54"/>
    <s v="EXCLUSAO  ANOT.INADIMPLENCIA"/>
    <x v="67"/>
    <x v="0"/>
    <s v="2024-12"/>
    <x v="13"/>
    <s v="ADMINISTRAÇÃO"/>
    <x v="54"/>
    <n v="1"/>
    <n v="0"/>
  </r>
  <r>
    <s v="020.066.300/0001-80"/>
    <x v="2"/>
    <s v="INCL/EXCL ANOT.INADIMPLENCIA"/>
    <x v="67"/>
    <x v="1"/>
    <s v="2024-12"/>
    <x v="13"/>
    <s v="CELIO PIMENTA"/>
    <x v="2"/>
    <n v="1"/>
    <n v="1"/>
  </r>
  <r>
    <s v="007.102.721/0001-51"/>
    <x v="44"/>
    <s v="EXCLUSAO  ANOT.INADIMPLENCIA"/>
    <x v="67"/>
    <x v="12"/>
    <s v="2024-12"/>
    <x v="13"/>
    <s v="PROSPECTAR"/>
    <x v="44"/>
    <n v="1"/>
    <n v="0"/>
  </r>
  <r>
    <s v="035.165.246/0001-06"/>
    <x v="104"/>
    <s v="INCLUSAO  ANOT.INADIMPLENCIA"/>
    <x v="67"/>
    <x v="3"/>
    <s v="2024-12"/>
    <x v="13"/>
    <s v="MARCUS VINICIUS "/>
    <x v="104"/>
    <n v="0"/>
    <n v="1"/>
  </r>
  <r>
    <s v="007.906.793/0001-51"/>
    <x v="94"/>
    <s v="INCLUSAO  ANOT.INADIMPLENCIA"/>
    <x v="67"/>
    <x v="4"/>
    <s v="2024-12"/>
    <x v="13"/>
    <s v="NOELI SALETE"/>
    <x v="94"/>
    <n v="0"/>
    <n v="1"/>
  </r>
  <r>
    <s v="014.763.606/0001-93"/>
    <x v="10"/>
    <s v="INCLUSAO  ANOT.INADIMPLENCIA"/>
    <x v="67"/>
    <x v="4"/>
    <s v="2024-12"/>
    <x v="13"/>
    <s v="NOELI SALETE"/>
    <x v="10"/>
    <n v="0"/>
    <n v="1"/>
  </r>
  <r>
    <s v="046.140.062/0001-08"/>
    <x v="68"/>
    <s v="INCLUSAO  ANOT.INADIMPLENCIA"/>
    <x v="67"/>
    <x v="4"/>
    <s v="2024-12"/>
    <x v="13"/>
    <s v="NOELI SALETE"/>
    <x v="68"/>
    <n v="0"/>
    <n v="1"/>
  </r>
  <r>
    <s v="006.236.494/0001-94"/>
    <x v="61"/>
    <s v="EXCLUSAO  ANOT.INADIMPLENCIA"/>
    <x v="67"/>
    <x v="5"/>
    <s v="2024-12"/>
    <x v="13"/>
    <s v="POENATELA"/>
    <x v="61"/>
    <n v="1"/>
    <n v="0"/>
  </r>
  <r>
    <s v="013.746.252/0001-06"/>
    <x v="15"/>
    <s v="INCLUSAO  ANOT.INADIMPLENCIA"/>
    <x v="67"/>
    <x v="5"/>
    <s v="2024-12"/>
    <x v="13"/>
    <s v="POENATELA"/>
    <x v="15"/>
    <n v="0"/>
    <n v="1"/>
  </r>
  <r>
    <s v="050.721.360/0001-50"/>
    <x v="109"/>
    <s v="EXCLUSAO  ANOT.INADIMPLENCIA"/>
    <x v="67"/>
    <x v="9"/>
    <s v="2024-12"/>
    <x v="13"/>
    <s v="PRISCILA METZ"/>
    <x v="109"/>
    <n v="1"/>
    <n v="0"/>
  </r>
  <r>
    <s v="071.350.797/0001-03"/>
    <x v="48"/>
    <s v="INCLUSAO  ANOT.INADIMPLENCIA"/>
    <x v="67"/>
    <x v="10"/>
    <s v="2024-12"/>
    <x v="13"/>
    <s v="ROGERIO "/>
    <x v="48"/>
    <n v="0"/>
    <n v="1"/>
  </r>
  <r>
    <s v="016.772.642/0001-49"/>
    <x v="69"/>
    <s v="INCLUSAO  ANOT.INADIMPLENCIA"/>
    <x v="68"/>
    <x v="0"/>
    <s v="2024-12"/>
    <x v="14"/>
    <s v="ADMINISTRAÇÃO"/>
    <x v="69"/>
    <n v="0"/>
    <n v="1"/>
  </r>
  <r>
    <s v="023.911.356/0001-82"/>
    <x v="54"/>
    <s v="INCL/EXCL ANOT.INADIMPLENCIA"/>
    <x v="68"/>
    <x v="0"/>
    <s v="2024-12"/>
    <x v="14"/>
    <s v="ADMINISTRAÇÃO"/>
    <x v="54"/>
    <n v="1"/>
    <n v="1"/>
  </r>
  <r>
    <s v="021.734.108/0001-88"/>
    <x v="41"/>
    <s v="EXCLUSAO  ANOT.INADIMPLENCIA"/>
    <x v="68"/>
    <x v="0"/>
    <s v="2024-12"/>
    <x v="14"/>
    <s v="ADMINISTRAÇÃO"/>
    <x v="41"/>
    <n v="1"/>
    <n v="0"/>
  </r>
  <r>
    <s v="004.126.524/0001-84"/>
    <x v="28"/>
    <s v="INCLUSAO  ANOT.INADIMPLENCIA"/>
    <x v="68"/>
    <x v="0"/>
    <s v="2024-12"/>
    <x v="14"/>
    <s v="ADMINISTRAÇÃO"/>
    <x v="28"/>
    <n v="0"/>
    <n v="1"/>
  </r>
  <r>
    <s v="020.066.300/0001-80"/>
    <x v="2"/>
    <s v="INCLUSAO  ANOT.INADIMPLENCIA"/>
    <x v="68"/>
    <x v="1"/>
    <s v="2024-12"/>
    <x v="14"/>
    <s v="CELIO PIMENTA"/>
    <x v="2"/>
    <n v="0"/>
    <n v="1"/>
  </r>
  <r>
    <s v="002.038.227/0001-51"/>
    <x v="55"/>
    <s v="INCLUSAO  ANOT.INADIMPLENCIA"/>
    <x v="68"/>
    <x v="1"/>
    <s v="2024-12"/>
    <x v="14"/>
    <s v="CELIO PIMENTA"/>
    <x v="55"/>
    <n v="0"/>
    <n v="1"/>
  </r>
  <r>
    <s v="003.590.360/0001-89"/>
    <x v="3"/>
    <s v="INCLUSAO  ANOT.INADIMPLENCIA"/>
    <x v="68"/>
    <x v="1"/>
    <s v="2024-12"/>
    <x v="14"/>
    <s v="CELIO PIMENTA"/>
    <x v="3"/>
    <n v="0"/>
    <n v="1"/>
  </r>
  <r>
    <s v="016.757.535/0001-41"/>
    <x v="29"/>
    <s v="INCLUSAO  ANOT.INADIMPLENCIA"/>
    <x v="68"/>
    <x v="11"/>
    <s v="2024-12"/>
    <x v="14"/>
    <s v="DIOGO AZEVEDO"/>
    <x v="29"/>
    <n v="0"/>
    <n v="1"/>
  </r>
  <r>
    <s v="028.842.753/0001-63"/>
    <x v="49"/>
    <s v="INCLUSAO  ANOT.INADIMPLENCIA"/>
    <x v="68"/>
    <x v="15"/>
    <s v="2024-12"/>
    <x v="14"/>
    <s v="EDUARDO MATOSO"/>
    <x v="49"/>
    <n v="0"/>
    <n v="1"/>
  </r>
  <r>
    <s v="044.570.311/0001-61"/>
    <x v="116"/>
    <s v="INCLUSAO  ANOT.INADIMPLENCIA"/>
    <x v="68"/>
    <x v="12"/>
    <s v="2024-12"/>
    <x v="14"/>
    <s v="PROSPECTAR"/>
    <x v="116"/>
    <n v="0"/>
    <n v="1"/>
  </r>
  <r>
    <s v="034.821.586/0001-77"/>
    <x v="38"/>
    <s v="EXCLUSAO  ANOT.INADIMPLENCIA"/>
    <x v="68"/>
    <x v="3"/>
    <s v="2024-12"/>
    <x v="14"/>
    <s v="MARCUS VINICIUS "/>
    <x v="38"/>
    <n v="1"/>
    <n v="0"/>
  </r>
  <r>
    <s v="035.165.246/0001-06"/>
    <x v="104"/>
    <s v="INCLUSAO  ANOT.INADIMPLENCIA"/>
    <x v="68"/>
    <x v="3"/>
    <s v="2024-12"/>
    <x v="14"/>
    <s v="MARCUS VINICIUS "/>
    <x v="104"/>
    <n v="0"/>
    <n v="1"/>
  </r>
  <r>
    <s v="007.906.793/0001-51"/>
    <x v="94"/>
    <s v="INCLUSAO  ANOT.INADIMPLENCIA"/>
    <x v="68"/>
    <x v="4"/>
    <s v="2024-12"/>
    <x v="14"/>
    <s v="NOELI SALETE"/>
    <x v="94"/>
    <n v="0"/>
    <n v="1"/>
  </r>
  <r>
    <s v="014.763.606/0001-93"/>
    <x v="10"/>
    <s v="INCLUSAO  ANOT.INADIMPLENCIA"/>
    <x v="68"/>
    <x v="4"/>
    <s v="2024-12"/>
    <x v="14"/>
    <s v="NOELI SALETE"/>
    <x v="10"/>
    <n v="0"/>
    <n v="1"/>
  </r>
  <r>
    <s v="036.906.058/0001-46"/>
    <x v="75"/>
    <s v="INCLUSAO  ANOT.INADIMPLENCIA"/>
    <x v="68"/>
    <x v="4"/>
    <s v="2024-12"/>
    <x v="14"/>
    <s v="NOELI SALETE"/>
    <x v="75"/>
    <n v="0"/>
    <n v="1"/>
  </r>
  <r>
    <s v="006.236.494/0001-94"/>
    <x v="61"/>
    <s v="EXCLUSAO  ANOT.INADIMPLENCIA"/>
    <x v="68"/>
    <x v="5"/>
    <s v="2024-12"/>
    <x v="14"/>
    <s v="POENATELA"/>
    <x v="61"/>
    <n v="1"/>
    <n v="0"/>
  </r>
  <r>
    <s v="013.746.252/0001-06"/>
    <x v="15"/>
    <s v="INCLUSAO  ANOT.INADIMPLENCIA"/>
    <x v="68"/>
    <x v="5"/>
    <s v="2024-12"/>
    <x v="14"/>
    <s v="POENATELA"/>
    <x v="15"/>
    <n v="0"/>
    <n v="1"/>
  </r>
  <r>
    <s v="023.605.544/0001-82"/>
    <x v="21"/>
    <s v="INCLUSAO  ANOT.INADIMPLENCIA"/>
    <x v="68"/>
    <x v="9"/>
    <s v="2024-12"/>
    <x v="14"/>
    <s v="PRISCILA METZ"/>
    <x v="21"/>
    <n v="0"/>
    <n v="1"/>
  </r>
  <r>
    <s v="050.721.360/0001-50"/>
    <x v="109"/>
    <s v="INCLUSAO  ANOT.INADIMPLENCIA"/>
    <x v="68"/>
    <x v="9"/>
    <s v="2024-12"/>
    <x v="14"/>
    <s v="PRISCILA METZ"/>
    <x v="109"/>
    <n v="0"/>
    <n v="1"/>
  </r>
  <r>
    <s v="046.700.220/0001-29"/>
    <x v="46"/>
    <s v="INCLUSAO  ANOT.INADIMPLENCIA"/>
    <x v="68"/>
    <x v="9"/>
    <s v="2024-12"/>
    <x v="14"/>
    <s v="PRISCILA METZ"/>
    <x v="46"/>
    <n v="0"/>
    <n v="1"/>
  </r>
  <r>
    <s v="038.082.538/0001-65"/>
    <x v="79"/>
    <s v="INCLUSAO  ANOT.INADIMPLENCIA"/>
    <x v="69"/>
    <x v="0"/>
    <s v="2024-12"/>
    <x v="14"/>
    <s v="ADMINISTRAÇÃO"/>
    <x v="79"/>
    <n v="0"/>
    <n v="1"/>
  </r>
  <r>
    <s v="003.590.360/0001-89"/>
    <x v="3"/>
    <s v="EXCLUSAO  ANOT.INADIMPLENCIA"/>
    <x v="69"/>
    <x v="1"/>
    <s v="2024-12"/>
    <x v="14"/>
    <s v="CELIO PIMENTA"/>
    <x v="3"/>
    <n v="1"/>
    <n v="0"/>
  </r>
  <r>
    <s v="007.102.721/0001-51"/>
    <x v="44"/>
    <s v="EXCLUSAO  ANOT.INADIMPLENCIA"/>
    <x v="69"/>
    <x v="12"/>
    <s v="2024-12"/>
    <x v="14"/>
    <s v="PROSPECTAR"/>
    <x v="44"/>
    <n v="1"/>
    <n v="0"/>
  </r>
  <r>
    <s v="019.450.138/0001-10"/>
    <x v="70"/>
    <s v="INCLUSAO  ANOT.INADIMPLENCIA"/>
    <x v="69"/>
    <x v="17"/>
    <s v="2024-12"/>
    <x v="14"/>
    <s v="MARCIO LEONEL"/>
    <x v="70"/>
    <n v="0"/>
    <n v="1"/>
  </r>
  <r>
    <s v="034.821.586/0001-77"/>
    <x v="38"/>
    <s v="INCLUSAO  ANOT.INADIMPLENCIA"/>
    <x v="69"/>
    <x v="3"/>
    <s v="2024-12"/>
    <x v="14"/>
    <s v="MARCUS VINICIUS "/>
    <x v="38"/>
    <n v="0"/>
    <n v="1"/>
  </r>
  <r>
    <s v="035.165.246/0001-06"/>
    <x v="104"/>
    <s v="INCLUSAO  ANOT.INADIMPLENCIA"/>
    <x v="69"/>
    <x v="3"/>
    <s v="2024-12"/>
    <x v="14"/>
    <s v="MARCUS VINICIUS "/>
    <x v="104"/>
    <n v="0"/>
    <n v="1"/>
  </r>
  <r>
    <s v="088.978.606/0001-47"/>
    <x v="114"/>
    <s v="INCLUSAO  ANOT.INADIMPLENCIA"/>
    <x v="69"/>
    <x v="4"/>
    <s v="2024-12"/>
    <x v="14"/>
    <s v="NOELI SALETE"/>
    <x v="114"/>
    <n v="0"/>
    <n v="1"/>
  </r>
  <r>
    <s v="046.140.062/0001-08"/>
    <x v="68"/>
    <s v="INCLUSAO  ANOT.INADIMPLENCIA"/>
    <x v="69"/>
    <x v="4"/>
    <s v="2024-12"/>
    <x v="14"/>
    <s v="NOELI SALETE"/>
    <x v="68"/>
    <n v="0"/>
    <n v="1"/>
  </r>
  <r>
    <s v="006.236.494/0001-94"/>
    <x v="61"/>
    <s v="EXCLUSAO  ANOT.INADIMPLENCIA"/>
    <x v="69"/>
    <x v="5"/>
    <s v="2024-12"/>
    <x v="14"/>
    <s v="POENATELA"/>
    <x v="61"/>
    <n v="1"/>
    <n v="0"/>
  </r>
  <r>
    <s v="013.746.252/0001-06"/>
    <x v="15"/>
    <s v="INCL/EXCL ANOT.INADIMPLENCIA"/>
    <x v="69"/>
    <x v="5"/>
    <s v="2024-12"/>
    <x v="14"/>
    <s v="POENATELA"/>
    <x v="15"/>
    <n v="1"/>
    <n v="1"/>
  </r>
  <r>
    <s v="026.988.940/0001-24"/>
    <x v="112"/>
    <s v="INCLUSAO  ANOT.INADIMPLENCIA"/>
    <x v="69"/>
    <x v="9"/>
    <s v="2024-12"/>
    <x v="14"/>
    <s v="PRISCILA METZ"/>
    <x v="112"/>
    <n v="0"/>
    <n v="1"/>
  </r>
  <r>
    <s v="023.605.544/0001-82"/>
    <x v="21"/>
    <s v="INCLUSAO  ANOT.INADIMPLENCIA"/>
    <x v="69"/>
    <x v="9"/>
    <s v="2024-12"/>
    <x v="14"/>
    <s v="PRISCILA METZ"/>
    <x v="21"/>
    <n v="0"/>
    <n v="1"/>
  </r>
  <r>
    <s v="050.721.360/0001-50"/>
    <x v="109"/>
    <s v="INCL/EXCL ANOT.INADIMPLENCIA"/>
    <x v="69"/>
    <x v="9"/>
    <s v="2024-12"/>
    <x v="14"/>
    <s v="PRISCILA METZ"/>
    <x v="109"/>
    <n v="1"/>
    <n v="1"/>
  </r>
  <r>
    <s v="071.350.797/0001-03"/>
    <x v="48"/>
    <s v="INCLUSAO  ANOT.INADIMPLENCIA"/>
    <x v="69"/>
    <x v="10"/>
    <s v="2024-12"/>
    <x v="14"/>
    <s v="ROGERIO "/>
    <x v="48"/>
    <n v="0"/>
    <n v="1"/>
  </r>
  <r>
    <s v="042.276.517/0001-58"/>
    <x v="107"/>
    <s v="INCLUSAO  ANOT.INADIMPLENCIA"/>
    <x v="69"/>
    <x v="10"/>
    <s v="2024-12"/>
    <x v="14"/>
    <s v="ROGERIO "/>
    <x v="107"/>
    <n v="0"/>
    <n v="1"/>
  </r>
  <r>
    <s v="038.634.242/0001-00"/>
    <x v="91"/>
    <s v="EXCLUSAO  ANOT.INADIMPLENCIA"/>
    <x v="69"/>
    <x v="10"/>
    <s v="2024-12"/>
    <x v="14"/>
    <s v="ROGERIO "/>
    <x v="91"/>
    <n v="1"/>
    <n v="0"/>
  </r>
  <r>
    <s v="008.785.522/0001-58"/>
    <x v="17"/>
    <s v="INCLUSAO  ANOT.INADIMPLENCIA"/>
    <x v="69"/>
    <x v="7"/>
    <s v="2024-12"/>
    <x v="14"/>
    <s v="WHELKYA IRIS"/>
    <x v="17"/>
    <n v="0"/>
    <n v="1"/>
  </r>
  <r>
    <s v="020.066.300/0001-80"/>
    <x v="2"/>
    <s v="INCLUSAO  ANOT.INADIMPLENCIA"/>
    <x v="70"/>
    <x v="1"/>
    <s v="2024-12"/>
    <x v="14"/>
    <s v="CELIO PIMENTA"/>
    <x v="2"/>
    <n v="0"/>
    <n v="1"/>
  </r>
  <r>
    <s v="016.757.535/0001-41"/>
    <x v="29"/>
    <s v="EXCLUSAO  ANOT.INADIMPLENCIA"/>
    <x v="70"/>
    <x v="11"/>
    <s v="2024-12"/>
    <x v="14"/>
    <s v="DIOGO AZEVEDO"/>
    <x v="29"/>
    <n v="1"/>
    <n v="0"/>
  </r>
  <r>
    <s v="019.450.138/0001-10"/>
    <x v="70"/>
    <s v="INCLUSAO  ANOT.INADIMPLENCIA"/>
    <x v="70"/>
    <x v="17"/>
    <s v="2024-12"/>
    <x v="14"/>
    <s v="MARCIO LEONEL"/>
    <x v="70"/>
    <n v="0"/>
    <n v="1"/>
  </r>
  <r>
    <s v="035.165.246/0001-06"/>
    <x v="104"/>
    <s v="INCLUSAO  ANOT.INADIMPLENCIA"/>
    <x v="70"/>
    <x v="3"/>
    <s v="2024-12"/>
    <x v="14"/>
    <s v="MARCUS VINICIUS "/>
    <x v="104"/>
    <n v="0"/>
    <n v="1"/>
  </r>
  <r>
    <s v="014.763.606/0001-93"/>
    <x v="10"/>
    <s v="INCLUSAO  ANOT.INADIMPLENCIA"/>
    <x v="70"/>
    <x v="4"/>
    <s v="2024-12"/>
    <x v="14"/>
    <s v="NOELI SALETE"/>
    <x v="10"/>
    <n v="0"/>
    <n v="1"/>
  </r>
  <r>
    <s v="006.236.494/0001-94"/>
    <x v="61"/>
    <s v="EXCLUSAO  ANOT.INADIMPLENCIA"/>
    <x v="70"/>
    <x v="5"/>
    <s v="2024-12"/>
    <x v="14"/>
    <s v="POENATELA"/>
    <x v="61"/>
    <n v="1"/>
    <n v="0"/>
  </r>
  <r>
    <s v="013.746.252/0001-06"/>
    <x v="15"/>
    <s v="INCLUSAO  ANOT.INADIMPLENCIA"/>
    <x v="70"/>
    <x v="5"/>
    <s v="2024-12"/>
    <x v="14"/>
    <s v="POENATELA"/>
    <x v="15"/>
    <n v="0"/>
    <n v="1"/>
  </r>
  <r>
    <s v="045.694.996/0001-10"/>
    <x v="117"/>
    <s v="INCLUSAO  ANOT.INADIMPLENCIA"/>
    <x v="70"/>
    <x v="10"/>
    <s v="2024-12"/>
    <x v="14"/>
    <s v="ROGERIO "/>
    <x v="117"/>
    <n v="0"/>
    <n v="1"/>
  </r>
  <r>
    <s v="043.515.558/0001-12"/>
    <x v="22"/>
    <s v="INCLUSAO  ANOT.INADIMPLENCIA"/>
    <x v="70"/>
    <x v="10"/>
    <s v="2024-12"/>
    <x v="14"/>
    <s v="ROGERIO "/>
    <x v="22"/>
    <n v="0"/>
    <n v="1"/>
  </r>
  <r>
    <s v="020.066.300/0001-80"/>
    <x v="2"/>
    <s v="INCLUSAO  ANOT.INADIMPLENCIA"/>
    <x v="71"/>
    <x v="1"/>
    <s v="2024-12"/>
    <x v="14"/>
    <s v="CELIO PIMENTA"/>
    <x v="2"/>
    <n v="0"/>
    <n v="1"/>
  </r>
  <r>
    <s v="035.165.246/0001-06"/>
    <x v="104"/>
    <s v="INCLUSAO  ANOT.INADIMPLENCIA"/>
    <x v="71"/>
    <x v="3"/>
    <s v="2024-12"/>
    <x v="14"/>
    <s v="MARCUS VINICIUS "/>
    <x v="104"/>
    <n v="0"/>
    <n v="1"/>
  </r>
  <r>
    <s v="014.763.606/0001-93"/>
    <x v="10"/>
    <s v="INCLUSAO  ANOT.INADIMPLENCIA"/>
    <x v="71"/>
    <x v="4"/>
    <s v="2024-12"/>
    <x v="14"/>
    <s v="NOELI SALETE"/>
    <x v="10"/>
    <n v="0"/>
    <n v="1"/>
  </r>
  <r>
    <s v="046.140.062/0001-08"/>
    <x v="68"/>
    <s v="INCLUSAO  ANOT.INADIMPLENCIA"/>
    <x v="71"/>
    <x v="4"/>
    <s v="2024-12"/>
    <x v="14"/>
    <s v="NOELI SALETE"/>
    <x v="68"/>
    <n v="0"/>
    <n v="1"/>
  </r>
  <r>
    <s v="006.236.494/0001-94"/>
    <x v="61"/>
    <s v="EXCLUSAO  ANOT.INADIMPLENCIA"/>
    <x v="71"/>
    <x v="5"/>
    <s v="2024-12"/>
    <x v="14"/>
    <s v="POENATELA"/>
    <x v="61"/>
    <n v="1"/>
    <n v="0"/>
  </r>
  <r>
    <s v="013.746.252/0001-06"/>
    <x v="15"/>
    <s v="INCLUSAO  ANOT.INADIMPLENCIA"/>
    <x v="71"/>
    <x v="5"/>
    <s v="2024-12"/>
    <x v="14"/>
    <s v="POENATELA"/>
    <x v="15"/>
    <n v="0"/>
    <n v="1"/>
  </r>
  <r>
    <s v="026.988.940/0001-24"/>
    <x v="112"/>
    <s v="EXCLUSAO  ANOT.INADIMPLENCIA"/>
    <x v="71"/>
    <x v="9"/>
    <s v="2024-12"/>
    <x v="14"/>
    <s v="PRISCILA METZ"/>
    <x v="112"/>
    <n v="1"/>
    <n v="0"/>
  </r>
  <r>
    <s v="050.721.360/0001-50"/>
    <x v="109"/>
    <s v="EXCLUSAO  ANOT.INADIMPLENCIA"/>
    <x v="71"/>
    <x v="9"/>
    <s v="2024-12"/>
    <x v="14"/>
    <s v="PRISCILA METZ"/>
    <x v="109"/>
    <n v="1"/>
    <n v="0"/>
  </r>
  <r>
    <s v="071.350.797/0001-03"/>
    <x v="48"/>
    <s v="INCL/EXCL ANOT.INADIMPLENCIA"/>
    <x v="71"/>
    <x v="10"/>
    <s v="2024-12"/>
    <x v="14"/>
    <s v="ROGERIO "/>
    <x v="48"/>
    <n v="1"/>
    <n v="1"/>
  </r>
  <r>
    <s v="002.534.653/0001-86"/>
    <x v="105"/>
    <s v="EXCLUSAO  ANOT.INADIMPLENCIA"/>
    <x v="71"/>
    <x v="10"/>
    <s v="2024-12"/>
    <x v="14"/>
    <s v="ROGERIO "/>
    <x v="105"/>
    <n v="1"/>
    <n v="0"/>
  </r>
  <r>
    <s v="023.909.177/0001-00"/>
    <x v="102"/>
    <s v="INCLUSAO  ANOT.INADIMPLENCIA"/>
    <x v="71"/>
    <x v="7"/>
    <s v="2024-12"/>
    <x v="14"/>
    <s v="WHELKYA IRIS"/>
    <x v="102"/>
    <n v="0"/>
    <n v="1"/>
  </r>
  <r>
    <s v="020.066.300/0001-80"/>
    <x v="2"/>
    <s v="INCLUSAO  ANOT.INADIMPLENCIA"/>
    <x v="72"/>
    <x v="1"/>
    <s v="2024-12"/>
    <x v="14"/>
    <s v="CELIO PIMENTA"/>
    <x v="2"/>
    <n v="0"/>
    <n v="1"/>
  </r>
  <r>
    <s v="016.757.535/0001-41"/>
    <x v="29"/>
    <s v="EXCLUSAO  ANOT.INADIMPLENCIA"/>
    <x v="72"/>
    <x v="11"/>
    <s v="2024-12"/>
    <x v="14"/>
    <s v="DIOGO AZEVEDO"/>
    <x v="29"/>
    <n v="1"/>
    <n v="0"/>
  </r>
  <r>
    <s v="044.570.311/0001-61"/>
    <x v="116"/>
    <s v="INCLUSAO  ANOT.INADIMPLENCIA"/>
    <x v="72"/>
    <x v="12"/>
    <s v="2024-12"/>
    <x v="14"/>
    <s v="PROSPECTAR"/>
    <x v="116"/>
    <n v="0"/>
    <n v="1"/>
  </r>
  <r>
    <s v="035.165.246/0001-06"/>
    <x v="104"/>
    <s v="INCL/EXCL ANOT.INADIMPLENCIA"/>
    <x v="72"/>
    <x v="3"/>
    <s v="2024-12"/>
    <x v="14"/>
    <s v="MARCUS VINICIUS "/>
    <x v="104"/>
    <n v="1"/>
    <n v="1"/>
  </r>
  <r>
    <s v="007.906.793/0001-51"/>
    <x v="94"/>
    <s v="INCLUSAO  ANOT.INADIMPLENCIA"/>
    <x v="72"/>
    <x v="4"/>
    <s v="2024-12"/>
    <x v="14"/>
    <s v="NOELI SALETE"/>
    <x v="94"/>
    <n v="0"/>
    <n v="1"/>
  </r>
  <r>
    <s v="014.763.606/0001-93"/>
    <x v="10"/>
    <s v="EXCLUSAO  ANOT.INADIMPLENCIA"/>
    <x v="72"/>
    <x v="4"/>
    <s v="2024-12"/>
    <x v="14"/>
    <s v="NOELI SALETE"/>
    <x v="10"/>
    <n v="1"/>
    <n v="0"/>
  </r>
  <r>
    <s v="046.140.062/0001-08"/>
    <x v="68"/>
    <s v="INCLUSAO  ANOT.INADIMPLENCIA"/>
    <x v="72"/>
    <x v="4"/>
    <s v="2024-12"/>
    <x v="14"/>
    <s v="NOELI SALETE"/>
    <x v="68"/>
    <n v="0"/>
    <n v="1"/>
  </r>
  <r>
    <s v="036.906.058/0001-46"/>
    <x v="75"/>
    <s v="INCLUSAO  ANOT.INADIMPLENCIA"/>
    <x v="72"/>
    <x v="4"/>
    <s v="2024-12"/>
    <x v="14"/>
    <s v="NOELI SALETE"/>
    <x v="75"/>
    <n v="0"/>
    <n v="1"/>
  </r>
  <r>
    <s v="006.236.494/0001-94"/>
    <x v="61"/>
    <s v="EXCLUSAO  ANOT.INADIMPLENCIA"/>
    <x v="72"/>
    <x v="5"/>
    <s v="2024-12"/>
    <x v="14"/>
    <s v="POENATELA"/>
    <x v="61"/>
    <n v="1"/>
    <n v="0"/>
  </r>
  <r>
    <s v="013.746.252/0001-06"/>
    <x v="15"/>
    <s v="INCLUSAO  ANOT.INADIMPLENCIA"/>
    <x v="72"/>
    <x v="5"/>
    <s v="2024-12"/>
    <x v="14"/>
    <s v="POENATELA"/>
    <x v="15"/>
    <n v="0"/>
    <n v="1"/>
  </r>
  <r>
    <s v="046.700.220/0001-29"/>
    <x v="46"/>
    <s v="INCLUSAO  ANOT.INADIMPLENCIA"/>
    <x v="72"/>
    <x v="9"/>
    <s v="2024-12"/>
    <x v="14"/>
    <s v="PRISCILA METZ"/>
    <x v="46"/>
    <n v="0"/>
    <n v="1"/>
  </r>
  <r>
    <s v="055.979.736/0001-45"/>
    <x v="63"/>
    <s v="EXCLUSAO  ANOT.INADIMPLENCIA"/>
    <x v="72"/>
    <x v="16"/>
    <s v="2024-12"/>
    <x v="14"/>
    <s v="SACADO"/>
    <x v="63"/>
    <n v="1"/>
    <n v="0"/>
  </r>
  <r>
    <s v="023.911.356/0001-82"/>
    <x v="54"/>
    <s v="INCL/EXCL ANOT.INADIMPLENCIA"/>
    <x v="73"/>
    <x v="0"/>
    <s v="2024-12"/>
    <x v="15"/>
    <s v="ADMINISTRAÇÃO"/>
    <x v="54"/>
    <n v="1"/>
    <n v="1"/>
  </r>
  <r>
    <s v="021.734.108/0001-88"/>
    <x v="41"/>
    <s v="INCLUSAO  ANOT.INADIMPLENCIA"/>
    <x v="73"/>
    <x v="0"/>
    <s v="2024-12"/>
    <x v="15"/>
    <s v="ADMINISTRAÇÃO"/>
    <x v="41"/>
    <n v="0"/>
    <n v="1"/>
  </r>
  <r>
    <s v="004.126.524/0001-84"/>
    <x v="28"/>
    <s v="INCL/EXCL ANOT.INADIMPLENCIA"/>
    <x v="73"/>
    <x v="0"/>
    <s v="2024-12"/>
    <x v="15"/>
    <s v="ADMINISTRAÇÃO"/>
    <x v="28"/>
    <n v="1"/>
    <n v="1"/>
  </r>
  <r>
    <s v="020.066.300/0001-80"/>
    <x v="2"/>
    <s v="INCLUSAO  ANOT.INADIMPLENCIA"/>
    <x v="73"/>
    <x v="1"/>
    <s v="2024-12"/>
    <x v="15"/>
    <s v="CELIO PIMENTA"/>
    <x v="2"/>
    <n v="0"/>
    <n v="1"/>
  </r>
  <r>
    <s v="012.520.791/0001-60"/>
    <x v="4"/>
    <s v="INCLUSAO  ANOT.INADIMPLENCIA"/>
    <x v="73"/>
    <x v="1"/>
    <s v="2024-12"/>
    <x v="15"/>
    <s v="CELIO PIMENTA"/>
    <x v="4"/>
    <n v="0"/>
    <n v="1"/>
  </r>
  <r>
    <s v="016.757.535/0001-41"/>
    <x v="29"/>
    <s v="INCLUSAO  ANOT.INADIMPLENCIA"/>
    <x v="73"/>
    <x v="11"/>
    <s v="2024-12"/>
    <x v="15"/>
    <s v="DIOGO AZEVEDO"/>
    <x v="29"/>
    <n v="0"/>
    <n v="1"/>
  </r>
  <r>
    <s v="044.888.871/0001-69"/>
    <x v="106"/>
    <s v="INCLUSAO  ANOT.INADIMPLENCIA"/>
    <x v="73"/>
    <x v="12"/>
    <s v="2024-12"/>
    <x v="15"/>
    <s v="PROSPECTAR"/>
    <x v="106"/>
    <n v="0"/>
    <n v="1"/>
  </r>
  <r>
    <s v="034.821.586/0001-77"/>
    <x v="38"/>
    <s v="INCLUSAO  ANOT.INADIMPLENCIA"/>
    <x v="73"/>
    <x v="3"/>
    <s v="2024-12"/>
    <x v="15"/>
    <s v="MARCUS VINICIUS "/>
    <x v="38"/>
    <n v="0"/>
    <n v="1"/>
  </r>
  <r>
    <s v="035.165.246/0001-06"/>
    <x v="104"/>
    <s v="INCLUSAO  ANOT.INADIMPLENCIA"/>
    <x v="73"/>
    <x v="3"/>
    <s v="2024-12"/>
    <x v="15"/>
    <s v="MARCUS VINICIUS "/>
    <x v="104"/>
    <n v="0"/>
    <n v="1"/>
  </r>
  <r>
    <s v="008.991.603/0001-04"/>
    <x v="57"/>
    <s v="EXCLUSAO  ANOT.INADIMPLENCIA"/>
    <x v="73"/>
    <x v="3"/>
    <s v="2024-12"/>
    <x v="15"/>
    <s v="MARCUS VINICIUS "/>
    <x v="57"/>
    <n v="1"/>
    <n v="0"/>
  </r>
  <r>
    <s v="014.763.606/0001-93"/>
    <x v="10"/>
    <s v="INCLUSAO  ANOT.INADIMPLENCIA"/>
    <x v="73"/>
    <x v="4"/>
    <s v="2024-12"/>
    <x v="15"/>
    <s v="NOELI SALETE"/>
    <x v="10"/>
    <n v="0"/>
    <n v="1"/>
  </r>
  <r>
    <s v="046.140.062/0001-08"/>
    <x v="68"/>
    <s v="INCLUSAO  ANOT.INADIMPLENCIA"/>
    <x v="73"/>
    <x v="4"/>
    <s v="2024-12"/>
    <x v="15"/>
    <s v="NOELI SALETE"/>
    <x v="68"/>
    <n v="0"/>
    <n v="1"/>
  </r>
  <r>
    <s v="006.236.494/0001-94"/>
    <x v="61"/>
    <s v="EXCLUSAO  ANOT.INADIMPLENCIA"/>
    <x v="73"/>
    <x v="5"/>
    <s v="2024-12"/>
    <x v="15"/>
    <s v="POENATELA"/>
    <x v="61"/>
    <n v="1"/>
    <n v="0"/>
  </r>
  <r>
    <s v="028.477.685/0001-80"/>
    <x v="95"/>
    <s v="INCLUSAO  ANOT.INADIMPLENCIA"/>
    <x v="73"/>
    <x v="5"/>
    <s v="2024-12"/>
    <x v="15"/>
    <s v="POENATELA"/>
    <x v="95"/>
    <n v="0"/>
    <n v="1"/>
  </r>
  <r>
    <s v="013.746.252/0001-06"/>
    <x v="15"/>
    <s v="INCLUSAO  ANOT.INADIMPLENCIA"/>
    <x v="73"/>
    <x v="5"/>
    <s v="2024-12"/>
    <x v="15"/>
    <s v="POENATELA"/>
    <x v="15"/>
    <n v="0"/>
    <n v="1"/>
  </r>
  <r>
    <s v="023.605.544/0001-82"/>
    <x v="21"/>
    <s v="INCLUSAO  ANOT.INADIMPLENCIA"/>
    <x v="73"/>
    <x v="9"/>
    <s v="2024-12"/>
    <x v="15"/>
    <s v="PRISCILA METZ"/>
    <x v="21"/>
    <n v="0"/>
    <n v="1"/>
  </r>
  <r>
    <s v="046.700.220/0001-29"/>
    <x v="46"/>
    <s v="INCLUSAO  ANOT.INADIMPLENCIA"/>
    <x v="73"/>
    <x v="9"/>
    <s v="2024-12"/>
    <x v="15"/>
    <s v="PRISCILA METZ"/>
    <x v="46"/>
    <n v="0"/>
    <n v="1"/>
  </r>
  <r>
    <s v="014.385.825/0001-86"/>
    <x v="110"/>
    <s v="INCLUSAO  ANOT.INADIMPLENCIA"/>
    <x v="73"/>
    <x v="6"/>
    <s v="2024-12"/>
    <x v="15"/>
    <s v="RAFAEL PARISE"/>
    <x v="110"/>
    <n v="0"/>
    <n v="1"/>
  </r>
  <r>
    <s v="038.110.780/0001-03"/>
    <x v="47"/>
    <s v="EXCLUSAO  ANOT.INADIMPLENCIA"/>
    <x v="73"/>
    <x v="6"/>
    <s v="2024-12"/>
    <x v="15"/>
    <s v="RAFAEL PARISE"/>
    <x v="47"/>
    <n v="1"/>
    <n v="0"/>
  </r>
  <r>
    <s v="071.350.797/0001-03"/>
    <x v="48"/>
    <s v="EXCLUSAO  ANOT.INADIMPLENCIA"/>
    <x v="73"/>
    <x v="10"/>
    <s v="2024-12"/>
    <x v="15"/>
    <s v="ROGERIO "/>
    <x v="48"/>
    <n v="1"/>
    <n v="0"/>
  </r>
  <r>
    <s v="020.066.300/0001-80"/>
    <x v="2"/>
    <s v="INCL/EXCL ANOT.INADIMPLENCIA"/>
    <x v="74"/>
    <x v="1"/>
    <s v="2024-12"/>
    <x v="15"/>
    <s v="CELIO PIMENTA"/>
    <x v="2"/>
    <n v="1"/>
    <n v="1"/>
  </r>
  <r>
    <s v="012.520.791/0001-60"/>
    <x v="4"/>
    <s v="EXCLUSAO  ANOT.INADIMPLENCIA"/>
    <x v="74"/>
    <x v="1"/>
    <s v="2024-12"/>
    <x v="15"/>
    <s v="CELIO PIMENTA"/>
    <x v="4"/>
    <n v="1"/>
    <n v="0"/>
  </r>
  <r>
    <s v="005.363.690/0001-67"/>
    <x v="90"/>
    <s v="EXCLUSAO  ANOT.INADIMPLENCIA"/>
    <x v="74"/>
    <x v="12"/>
    <s v="2024-12"/>
    <x v="15"/>
    <s v="PROSPECTAR"/>
    <x v="90"/>
    <n v="1"/>
    <n v="0"/>
  </r>
  <r>
    <s v="007.102.721/0001-51"/>
    <x v="44"/>
    <s v="EXCLUSAO  ANOT.INADIMPLENCIA"/>
    <x v="74"/>
    <x v="12"/>
    <s v="2024-12"/>
    <x v="15"/>
    <s v="PROSPECTAR"/>
    <x v="44"/>
    <n v="1"/>
    <n v="0"/>
  </r>
  <r>
    <s v="035.165.246/0001-06"/>
    <x v="104"/>
    <s v="INCLUSAO  ANOT.INADIMPLENCIA"/>
    <x v="74"/>
    <x v="3"/>
    <s v="2024-12"/>
    <x v="15"/>
    <s v="MARCUS VINICIUS "/>
    <x v="104"/>
    <n v="0"/>
    <n v="1"/>
  </r>
  <r>
    <s v="014.763.606/0001-93"/>
    <x v="10"/>
    <s v="ALTERACAO QUADRO SOCIAL"/>
    <x v="74"/>
    <x v="4"/>
    <s v="2024-12"/>
    <x v="15"/>
    <s v="NOELI SALETE"/>
    <x v="10"/>
    <n v="0"/>
    <n v="0"/>
  </r>
  <r>
    <s v="014.763.606/0001-93"/>
    <x v="10"/>
    <s v="ALTERACAO ADMINISTRADORES"/>
    <x v="74"/>
    <x v="4"/>
    <s v="2024-12"/>
    <x v="15"/>
    <s v="NOELI SALETE"/>
    <x v="10"/>
    <n v="0"/>
    <n v="0"/>
  </r>
  <r>
    <s v="088.978.606/0001-47"/>
    <x v="114"/>
    <s v="INCL/EXCL ANOT.INADIMPLENCIA"/>
    <x v="74"/>
    <x v="4"/>
    <s v="2024-12"/>
    <x v="15"/>
    <s v="NOELI SALETE"/>
    <x v="114"/>
    <n v="1"/>
    <n v="1"/>
  </r>
  <r>
    <s v="046.140.062/0001-08"/>
    <x v="68"/>
    <s v="INCLUSAO  ANOT.INADIMPLENCIA"/>
    <x v="74"/>
    <x v="4"/>
    <s v="2024-12"/>
    <x v="15"/>
    <s v="NOELI SALETE"/>
    <x v="68"/>
    <n v="0"/>
    <n v="1"/>
  </r>
  <r>
    <s v="006.236.494/0001-94"/>
    <x v="61"/>
    <s v="EXCLUSAO  ANOT.INADIMPLENCIA"/>
    <x v="74"/>
    <x v="5"/>
    <s v="2024-12"/>
    <x v="15"/>
    <s v="POENATELA"/>
    <x v="61"/>
    <n v="1"/>
    <n v="0"/>
  </r>
  <r>
    <s v="023.605.544/0001-82"/>
    <x v="21"/>
    <s v="INCLUSAO  ANOT.INADIMPLENCIA"/>
    <x v="74"/>
    <x v="9"/>
    <s v="2024-12"/>
    <x v="15"/>
    <s v="PRISCILA METZ"/>
    <x v="21"/>
    <n v="0"/>
    <n v="1"/>
  </r>
  <r>
    <s v="014.385.825/0001-86"/>
    <x v="110"/>
    <s v="INCLUSAO  ANOT.INADIMPLENCIA"/>
    <x v="74"/>
    <x v="6"/>
    <s v="2024-12"/>
    <x v="15"/>
    <s v="RAFAEL PARISE"/>
    <x v="110"/>
    <n v="0"/>
    <n v="1"/>
  </r>
  <r>
    <s v="042.276.517/0001-58"/>
    <x v="107"/>
    <s v="INCLUSAO  ANOT.INADIMPLENCIA"/>
    <x v="74"/>
    <x v="10"/>
    <s v="2024-12"/>
    <x v="15"/>
    <s v="ROGERIO "/>
    <x v="107"/>
    <n v="0"/>
    <n v="1"/>
  </r>
  <r>
    <s v="038.082.538/0001-65"/>
    <x v="79"/>
    <s v="EXCLUSAO  ANOT.INADIMPLENCIA"/>
    <x v="75"/>
    <x v="0"/>
    <s v="2024-12"/>
    <x v="15"/>
    <s v="ADMINISTRAÇÃO"/>
    <x v="79"/>
    <n v="1"/>
    <n v="0"/>
  </r>
  <r>
    <s v="002.038.227/0001-51"/>
    <x v="55"/>
    <s v="EXCLUSAO  ANOT.INADIMPLENCIA"/>
    <x v="75"/>
    <x v="1"/>
    <s v="2024-12"/>
    <x v="15"/>
    <s v="CELIO PIMENTA"/>
    <x v="55"/>
    <n v="1"/>
    <n v="0"/>
  </r>
  <r>
    <s v="012.520.791/0001-60"/>
    <x v="4"/>
    <s v="EXCLUSAO  ANOT.INADIMPLENCIA"/>
    <x v="75"/>
    <x v="1"/>
    <s v="2024-12"/>
    <x v="15"/>
    <s v="CELIO PIMENTA"/>
    <x v="4"/>
    <n v="1"/>
    <n v="0"/>
  </r>
  <r>
    <s v="016.757.535/0001-41"/>
    <x v="29"/>
    <s v="EXCLUSAO  ANOT.INADIMPLENCIA"/>
    <x v="75"/>
    <x v="11"/>
    <s v="2024-12"/>
    <x v="15"/>
    <s v="DIOGO AZEVEDO"/>
    <x v="29"/>
    <n v="1"/>
    <n v="0"/>
  </r>
  <r>
    <s v="044.570.311/0001-61"/>
    <x v="116"/>
    <s v="EXCLUSAO  ANOT.INADIMPLENCIA"/>
    <x v="75"/>
    <x v="12"/>
    <s v="2024-12"/>
    <x v="15"/>
    <s v="PROSPECTAR"/>
    <x v="116"/>
    <n v="1"/>
    <n v="0"/>
  </r>
  <r>
    <s v="007.561.436/0001-07"/>
    <x v="34"/>
    <s v="INCLUSAO  ANOT.INADIMPLENCIA"/>
    <x v="75"/>
    <x v="12"/>
    <s v="2024-12"/>
    <x v="15"/>
    <s v="PROSPECTAR"/>
    <x v="34"/>
    <n v="0"/>
    <n v="1"/>
  </r>
  <r>
    <s v="035.165.246/0001-06"/>
    <x v="104"/>
    <s v="INCLUSAO  ANOT.INADIMPLENCIA"/>
    <x v="75"/>
    <x v="3"/>
    <s v="2024-12"/>
    <x v="15"/>
    <s v="MARCUS VINICIUS "/>
    <x v="104"/>
    <n v="0"/>
    <n v="1"/>
  </r>
  <r>
    <s v="088.978.606/0001-47"/>
    <x v="114"/>
    <s v="EXCLUSAO  ANOT.INADIMPLENCIA"/>
    <x v="75"/>
    <x v="4"/>
    <s v="2024-12"/>
    <x v="15"/>
    <s v="NOELI SALETE"/>
    <x v="114"/>
    <n v="1"/>
    <n v="0"/>
  </r>
  <r>
    <s v="006.236.494/0001-94"/>
    <x v="61"/>
    <s v="EXCLUSAO  ANOT.INADIMPLENCIA"/>
    <x v="75"/>
    <x v="5"/>
    <s v="2024-12"/>
    <x v="15"/>
    <s v="POENATELA"/>
    <x v="61"/>
    <n v="1"/>
    <n v="0"/>
  </r>
  <r>
    <s v="013.746.252/0001-06"/>
    <x v="15"/>
    <s v="INCLUSAO  ANOT.INADIMPLENCIA"/>
    <x v="75"/>
    <x v="5"/>
    <s v="2024-12"/>
    <x v="15"/>
    <s v="POENATELA"/>
    <x v="15"/>
    <n v="0"/>
    <n v="1"/>
  </r>
  <r>
    <s v="071.350.797/0001-03"/>
    <x v="48"/>
    <s v="EXCLUSAO  ANOT.INADIMPLENCIA"/>
    <x v="75"/>
    <x v="10"/>
    <s v="2024-12"/>
    <x v="15"/>
    <s v="ROGERIO "/>
    <x v="48"/>
    <n v="1"/>
    <n v="0"/>
  </r>
  <r>
    <s v="016.772.642/0001-49"/>
    <x v="69"/>
    <s v="INCLUSAO  ANOT.INADIMPLENCIA"/>
    <x v="76"/>
    <x v="0"/>
    <s v="2024-12"/>
    <x v="15"/>
    <s v="ADMINISTRAÇÃO"/>
    <x v="69"/>
    <n v="0"/>
    <n v="1"/>
  </r>
  <r>
    <s v="023.911.356/0001-82"/>
    <x v="54"/>
    <s v="INCL/EXCL ANOT.INADIMPLENCIA"/>
    <x v="76"/>
    <x v="0"/>
    <s v="2024-12"/>
    <x v="15"/>
    <s v="ADMINISTRAÇÃO"/>
    <x v="54"/>
    <n v="1"/>
    <n v="1"/>
  </r>
  <r>
    <s v="021.734.108/0001-88"/>
    <x v="41"/>
    <s v="EXCLUSAO  ANOT.INADIMPLENCIA"/>
    <x v="76"/>
    <x v="0"/>
    <s v="2024-12"/>
    <x v="15"/>
    <s v="ADMINISTRAÇÃO"/>
    <x v="41"/>
    <n v="1"/>
    <n v="0"/>
  </r>
  <r>
    <s v="020.066.300/0001-80"/>
    <x v="2"/>
    <s v="INCLUSAO  ANOT.INADIMPLENCIA"/>
    <x v="76"/>
    <x v="1"/>
    <s v="2024-12"/>
    <x v="15"/>
    <s v="CELIO PIMENTA"/>
    <x v="2"/>
    <n v="0"/>
    <n v="1"/>
  </r>
  <r>
    <s v="003.590.360/0001-89"/>
    <x v="3"/>
    <s v="EXCLUSAO  ANOT.INADIMPLENCIA"/>
    <x v="76"/>
    <x v="1"/>
    <s v="2024-12"/>
    <x v="15"/>
    <s v="CELIO PIMENTA"/>
    <x v="3"/>
    <n v="1"/>
    <n v="0"/>
  </r>
  <r>
    <s v="016.757.535/0001-41"/>
    <x v="29"/>
    <s v="EXCLUSAO  ANOT.INADIMPLENCIA"/>
    <x v="76"/>
    <x v="11"/>
    <s v="2024-12"/>
    <x v="15"/>
    <s v="DIOGO AZEVEDO"/>
    <x v="29"/>
    <n v="1"/>
    <n v="0"/>
  </r>
  <r>
    <s v="035.165.246/0001-06"/>
    <x v="104"/>
    <s v="INCLUSAO  ANOT.INADIMPLENCIA"/>
    <x v="76"/>
    <x v="3"/>
    <s v="2024-12"/>
    <x v="15"/>
    <s v="MARCUS VINICIUS "/>
    <x v="104"/>
    <n v="0"/>
    <n v="1"/>
  </r>
  <r>
    <s v="046.140.062/0001-08"/>
    <x v="68"/>
    <s v="INCLUSAO  ANOT.INADIMPLENCIA"/>
    <x v="76"/>
    <x v="4"/>
    <s v="2024-12"/>
    <x v="15"/>
    <s v="NOELI SALETE"/>
    <x v="68"/>
    <n v="0"/>
    <n v="1"/>
  </r>
  <r>
    <s v="006.236.494/0001-94"/>
    <x v="61"/>
    <s v="EXCLUSAO  ANOT.INADIMPLENCIA"/>
    <x v="76"/>
    <x v="5"/>
    <s v="2024-12"/>
    <x v="15"/>
    <s v="POENATELA"/>
    <x v="61"/>
    <n v="1"/>
    <n v="0"/>
  </r>
  <r>
    <s v="029.470.692/0001-13"/>
    <x v="99"/>
    <s v="EXCLUSAO  ANOT.INADIMPLENCIA"/>
    <x v="76"/>
    <x v="5"/>
    <s v="2024-12"/>
    <x v="15"/>
    <s v="POENATELA"/>
    <x v="99"/>
    <n v="1"/>
    <n v="0"/>
  </r>
  <r>
    <s v="013.746.252/0001-06"/>
    <x v="15"/>
    <s v="INCLUSAO  ANOT.INADIMPLENCIA"/>
    <x v="76"/>
    <x v="5"/>
    <s v="2024-12"/>
    <x v="15"/>
    <s v="POENATELA"/>
    <x v="15"/>
    <n v="0"/>
    <n v="1"/>
  </r>
  <r>
    <s v="014.385.825/0001-86"/>
    <x v="110"/>
    <s v="EXCLUSAO  ANOT.INADIMPLENCIA"/>
    <x v="76"/>
    <x v="6"/>
    <s v="2024-12"/>
    <x v="15"/>
    <s v="RAFAEL PARISE"/>
    <x v="110"/>
    <n v="1"/>
    <n v="0"/>
  </r>
  <r>
    <s v="071.350.797/0001-03"/>
    <x v="48"/>
    <s v="INCLUSAO  ANOT.INADIMPLENCIA"/>
    <x v="76"/>
    <x v="10"/>
    <s v="2024-12"/>
    <x v="15"/>
    <s v="ROGERIO "/>
    <x v="48"/>
    <n v="0"/>
    <n v="1"/>
  </r>
  <r>
    <s v="016.772.642/0001-49"/>
    <x v="69"/>
    <s v="INCL/EXCL ANOT.INADIMPLENCIA"/>
    <x v="77"/>
    <x v="0"/>
    <s v="2024-12"/>
    <x v="15"/>
    <s v="ADMINISTRAÇÃO"/>
    <x v="69"/>
    <n v="1"/>
    <n v="1"/>
  </r>
  <r>
    <s v="023.911.356/0001-82"/>
    <x v="54"/>
    <s v="INCLUSAO  ANOT.INADIMPLENCIA"/>
    <x v="77"/>
    <x v="0"/>
    <s v="2024-12"/>
    <x v="15"/>
    <s v="ADMINISTRAÇÃO"/>
    <x v="54"/>
    <n v="0"/>
    <n v="1"/>
  </r>
  <r>
    <s v="028.556.973/0001-20"/>
    <x v="118"/>
    <s v="INCLUSAO  ANOT.INADIMPLENCIA"/>
    <x v="77"/>
    <x v="1"/>
    <s v="2024-12"/>
    <x v="15"/>
    <s v="CELIO PIMENTA"/>
    <x v="118"/>
    <n v="0"/>
    <n v="1"/>
  </r>
  <r>
    <s v="012.520.791/0001-60"/>
    <x v="4"/>
    <s v="INCLUSAO  ANOT.INADIMPLENCIA"/>
    <x v="77"/>
    <x v="1"/>
    <s v="2024-12"/>
    <x v="15"/>
    <s v="CELIO PIMENTA"/>
    <x v="4"/>
    <n v="0"/>
    <n v="1"/>
  </r>
  <r>
    <s v="016.757.535/0001-41"/>
    <x v="29"/>
    <s v="EXCLUSAO  ANOT.INADIMPLENCIA"/>
    <x v="77"/>
    <x v="11"/>
    <s v="2024-12"/>
    <x v="15"/>
    <s v="DIOGO AZEVEDO"/>
    <x v="29"/>
    <n v="1"/>
    <n v="0"/>
  </r>
  <r>
    <s v="035.649.603/0001-01"/>
    <x v="119"/>
    <s v="INCLUSAO  ANOT.INADIMPLENCIA"/>
    <x v="77"/>
    <x v="12"/>
    <s v="2024-12"/>
    <x v="15"/>
    <s v="PROSPECTAR"/>
    <x v="119"/>
    <n v="0"/>
    <n v="1"/>
  </r>
  <r>
    <s v="035.165.246/0001-06"/>
    <x v="104"/>
    <s v="INCLUSAO  ANOT.INADIMPLENCIA"/>
    <x v="77"/>
    <x v="3"/>
    <s v="2024-12"/>
    <x v="15"/>
    <s v="MARCUS VINICIUS "/>
    <x v="104"/>
    <n v="0"/>
    <n v="1"/>
  </r>
  <r>
    <s v="000.987.236/0001-63"/>
    <x v="98"/>
    <s v="INCLUSAO  ANOT.INADIMPLENCIA"/>
    <x v="77"/>
    <x v="4"/>
    <s v="2024-12"/>
    <x v="15"/>
    <s v="NOELI SALETE"/>
    <x v="98"/>
    <n v="0"/>
    <n v="1"/>
  </r>
  <r>
    <s v="046.140.062/0001-08"/>
    <x v="68"/>
    <s v="INCLUSAO  ANOT.INADIMPLENCIA"/>
    <x v="77"/>
    <x v="4"/>
    <s v="2024-12"/>
    <x v="15"/>
    <s v="NOELI SALETE"/>
    <x v="68"/>
    <n v="0"/>
    <n v="1"/>
  </r>
  <r>
    <s v="036.906.058/0001-46"/>
    <x v="75"/>
    <s v="INCLUSAO  ANOT.INADIMPLENCIA"/>
    <x v="77"/>
    <x v="4"/>
    <s v="2024-12"/>
    <x v="15"/>
    <s v="NOELI SALETE"/>
    <x v="75"/>
    <n v="0"/>
    <n v="1"/>
  </r>
  <r>
    <s v="006.236.494/0001-94"/>
    <x v="61"/>
    <s v="EXCLUSAO  ANOT.INADIMPLENCIA"/>
    <x v="77"/>
    <x v="5"/>
    <s v="2024-12"/>
    <x v="15"/>
    <s v="POENATELA"/>
    <x v="61"/>
    <n v="1"/>
    <n v="0"/>
  </r>
  <r>
    <s v="013.746.252/0001-06"/>
    <x v="15"/>
    <s v="INCLUSAO  ANOT.INADIMPLENCIA"/>
    <x v="77"/>
    <x v="5"/>
    <s v="2024-12"/>
    <x v="15"/>
    <s v="POENATELA"/>
    <x v="15"/>
    <n v="0"/>
    <n v="1"/>
  </r>
  <r>
    <s v="016.772.642/0001-49"/>
    <x v="69"/>
    <s v="INCLUSAO  ANOT.INADIMPLENCIA"/>
    <x v="78"/>
    <x v="0"/>
    <s v="2024-12"/>
    <x v="16"/>
    <s v="ADMINISTRAÇÃO"/>
    <x v="69"/>
    <n v="0"/>
    <n v="1"/>
  </r>
  <r>
    <s v="023.911.356/0001-82"/>
    <x v="54"/>
    <s v="INCLUSAO  ANOT.INADIMPLENCIA"/>
    <x v="78"/>
    <x v="0"/>
    <s v="2024-12"/>
    <x v="16"/>
    <s v="ADMINISTRAÇÃO"/>
    <x v="54"/>
    <n v="0"/>
    <n v="1"/>
  </r>
  <r>
    <s v="020.066.300/0001-80"/>
    <x v="2"/>
    <s v="EXCLUSAO  ANOT.INADIMPLENCIA"/>
    <x v="78"/>
    <x v="1"/>
    <s v="2024-12"/>
    <x v="16"/>
    <s v="CELIO PIMENTA"/>
    <x v="2"/>
    <n v="1"/>
    <n v="0"/>
  </r>
  <r>
    <s v="003.590.360/0001-89"/>
    <x v="3"/>
    <s v="INCL/EXCL ANOT.INADIMPLENCIA"/>
    <x v="78"/>
    <x v="1"/>
    <s v="2024-12"/>
    <x v="16"/>
    <s v="CELIO PIMENTA"/>
    <x v="3"/>
    <n v="1"/>
    <n v="1"/>
  </r>
  <r>
    <s v="016.757.535/0001-41"/>
    <x v="29"/>
    <s v="EXCLUSAO  ANOT.INADIMPLENCIA"/>
    <x v="78"/>
    <x v="11"/>
    <s v="2024-12"/>
    <x v="16"/>
    <s v="DIOGO AZEVEDO"/>
    <x v="29"/>
    <n v="1"/>
    <n v="0"/>
  </r>
  <r>
    <s v="007.102.721/0001-51"/>
    <x v="44"/>
    <s v="INCLUSAO  ANOT.INADIMPLENCIA"/>
    <x v="78"/>
    <x v="12"/>
    <s v="2024-12"/>
    <x v="16"/>
    <s v="PROSPECTAR"/>
    <x v="44"/>
    <n v="0"/>
    <n v="1"/>
  </r>
  <r>
    <s v="007.561.436/0001-07"/>
    <x v="34"/>
    <s v="INCLUSAO  ANOT.INADIMPLENCIA"/>
    <x v="78"/>
    <x v="12"/>
    <s v="2024-12"/>
    <x v="16"/>
    <s v="PROSPECTAR"/>
    <x v="34"/>
    <n v="0"/>
    <n v="1"/>
  </r>
  <r>
    <s v="019.450.138/0001-10"/>
    <x v="70"/>
    <s v="INCLUSAO  ANOT.INADIMPLENCIA"/>
    <x v="78"/>
    <x v="17"/>
    <s v="2024-12"/>
    <x v="16"/>
    <s v="MARCIO LEONEL"/>
    <x v="70"/>
    <n v="0"/>
    <n v="1"/>
  </r>
  <r>
    <s v="035.165.246/0001-06"/>
    <x v="104"/>
    <s v="INCLUSAO  ANOT.INADIMPLENCIA"/>
    <x v="78"/>
    <x v="3"/>
    <s v="2024-12"/>
    <x v="16"/>
    <s v="MARCUS VINICIUS "/>
    <x v="104"/>
    <n v="0"/>
    <n v="1"/>
  </r>
  <r>
    <s v="046.140.062/0001-08"/>
    <x v="68"/>
    <s v="INCLUSAO  ANOT.INADIMPLENCIA"/>
    <x v="78"/>
    <x v="4"/>
    <s v="2024-12"/>
    <x v="16"/>
    <s v="NOELI SALETE"/>
    <x v="68"/>
    <n v="0"/>
    <n v="1"/>
  </r>
  <r>
    <s v="006.236.494/0001-94"/>
    <x v="61"/>
    <s v="EXCLUSAO  ANOT.INADIMPLENCIA"/>
    <x v="78"/>
    <x v="5"/>
    <s v="2024-12"/>
    <x v="16"/>
    <s v="POENATELA"/>
    <x v="61"/>
    <n v="1"/>
    <n v="0"/>
  </r>
  <r>
    <s v="037.828.375/0001-54"/>
    <x v="39"/>
    <s v="ALTERACAO RAMO DE ATIVIDADE"/>
    <x v="78"/>
    <x v="5"/>
    <s v="2024-12"/>
    <x v="16"/>
    <s v="POENATELA"/>
    <x v="39"/>
    <n v="0"/>
    <n v="0"/>
  </r>
  <r>
    <s v="028.477.685/0001-80"/>
    <x v="95"/>
    <s v="EXCLUSAO  ANOT.INADIMPLENCIA"/>
    <x v="78"/>
    <x v="5"/>
    <s v="2024-12"/>
    <x v="16"/>
    <s v="POENATELA"/>
    <x v="95"/>
    <n v="1"/>
    <n v="0"/>
  </r>
  <r>
    <s v="013.746.252/0001-06"/>
    <x v="15"/>
    <s v="INCLUSAO  ANOT.INADIMPLENCIA"/>
    <x v="78"/>
    <x v="5"/>
    <s v="2024-12"/>
    <x v="16"/>
    <s v="POENATELA"/>
    <x v="15"/>
    <n v="0"/>
    <n v="1"/>
  </r>
  <r>
    <s v="023.605.544/0001-82"/>
    <x v="21"/>
    <s v="INCLUSAO  ANOT.INADIMPLENCIA"/>
    <x v="78"/>
    <x v="9"/>
    <s v="2024-12"/>
    <x v="16"/>
    <s v="PRISCILA METZ"/>
    <x v="21"/>
    <n v="0"/>
    <n v="1"/>
  </r>
  <r>
    <s v="046.700.220/0001-29"/>
    <x v="46"/>
    <s v="EXCLUSAO  ANOT.INADIMPLENCIA"/>
    <x v="78"/>
    <x v="9"/>
    <s v="2024-12"/>
    <x v="16"/>
    <s v="PRISCILA METZ"/>
    <x v="46"/>
    <n v="1"/>
    <n v="0"/>
  </r>
  <r>
    <s v="039.535.425/0001-30"/>
    <x v="120"/>
    <s v="EXCLUSAO  ANOT.INADIMPLENCIA"/>
    <x v="78"/>
    <x v="6"/>
    <s v="2024-12"/>
    <x v="16"/>
    <s v="RAFAEL PARISE"/>
    <x v="120"/>
    <n v="1"/>
    <n v="0"/>
  </r>
  <r>
    <s v="014.385.825/0001-86"/>
    <x v="110"/>
    <s v="EXCLUSAO  ANOT.INADIMPLENCIA"/>
    <x v="78"/>
    <x v="6"/>
    <s v="2024-12"/>
    <x v="16"/>
    <s v="RAFAEL PARISE"/>
    <x v="110"/>
    <n v="1"/>
    <n v="0"/>
  </r>
  <r>
    <s v="008.250.872/0001-10"/>
    <x v="121"/>
    <s v="INCLUSAO  ANOT.INADIMPLENCIA"/>
    <x v="78"/>
    <x v="6"/>
    <s v="2024-12"/>
    <x v="16"/>
    <s v="RAFAEL PARISE"/>
    <x v="121"/>
    <n v="0"/>
    <n v="1"/>
  </r>
  <r>
    <s v="042.276.517/0001-58"/>
    <x v="122"/>
    <s v="INCLUSAO  ANOT.INADIMPLENCIA"/>
    <x v="78"/>
    <x v="10"/>
    <s v="2024-12"/>
    <x v="16"/>
    <s v="ROGERIO "/>
    <x v="122"/>
    <n v="0"/>
    <n v="1"/>
  </r>
  <r>
    <s v="045.123.456/0001-87"/>
    <x v="123"/>
    <s v="ALTERACAO QUADRO SOCIAL"/>
    <x v="79"/>
    <x v="0"/>
    <s v="2024-12"/>
    <x v="16"/>
    <s v="ADMINISTRAÇÃO"/>
    <x v="123"/>
    <n v="0"/>
    <n v="0"/>
  </r>
  <r>
    <s v="045.123.456/0001-87"/>
    <x v="123"/>
    <s v="ALTERACAO ADMINISTRADORES"/>
    <x v="79"/>
    <x v="0"/>
    <s v="2024-12"/>
    <x v="16"/>
    <s v="ADMINISTRAÇÃO"/>
    <x v="123"/>
    <n v="0"/>
    <n v="0"/>
  </r>
  <r>
    <s v="023.083.383/0001-04"/>
    <x v="124"/>
    <s v="ALTERACAO ADMINISTRADORES"/>
    <x v="79"/>
    <x v="0"/>
    <s v="2024-12"/>
    <x v="16"/>
    <s v="ADMINISTRAÇÃO"/>
    <x v="124"/>
    <n v="0"/>
    <n v="0"/>
  </r>
  <r>
    <s v="023.911.356/0001-82"/>
    <x v="54"/>
    <s v="INCLUSAO  ANOT.INADIMPLENCIA"/>
    <x v="79"/>
    <x v="0"/>
    <s v="2024-12"/>
    <x v="16"/>
    <s v="ADMINISTRAÇÃO"/>
    <x v="54"/>
    <n v="0"/>
    <n v="1"/>
  </r>
  <r>
    <s v="021.734.108/0001-88"/>
    <x v="41"/>
    <s v="EXCLUSAO  ANOT.INADIMPLENCIA"/>
    <x v="79"/>
    <x v="0"/>
    <s v="2024-12"/>
    <x v="16"/>
    <s v="ADMINISTRAÇÃO"/>
    <x v="41"/>
    <n v="1"/>
    <n v="0"/>
  </r>
  <r>
    <s v="020.066.300/0001-80"/>
    <x v="2"/>
    <s v="INCL/EXCL ANOT.INADIMPLENCIA"/>
    <x v="79"/>
    <x v="1"/>
    <s v="2024-12"/>
    <x v="16"/>
    <s v="CELIO PIMENTA"/>
    <x v="2"/>
    <n v="1"/>
    <n v="1"/>
  </r>
  <r>
    <s v="012.520.791/0001-60"/>
    <x v="4"/>
    <s v="INCLUSAO  ANOT.INADIMPLENCIA"/>
    <x v="79"/>
    <x v="1"/>
    <s v="2024-12"/>
    <x v="16"/>
    <s v="CELIO PIMENTA"/>
    <x v="4"/>
    <n v="0"/>
    <n v="1"/>
  </r>
  <r>
    <s v="007.561.436/0001-07"/>
    <x v="34"/>
    <s v="INCLUSAO  ANOT.INADIMPLENCIA"/>
    <x v="79"/>
    <x v="12"/>
    <s v="2024-12"/>
    <x v="16"/>
    <s v="PROSPECTAR"/>
    <x v="34"/>
    <n v="0"/>
    <n v="1"/>
  </r>
  <r>
    <s v="035.165.246/0001-06"/>
    <x v="104"/>
    <s v="INCLUSAO  ANOT.INADIMPLENCIA"/>
    <x v="79"/>
    <x v="3"/>
    <s v="2024-12"/>
    <x v="16"/>
    <s v="MARCUS VINICIUS "/>
    <x v="104"/>
    <n v="0"/>
    <n v="1"/>
  </r>
  <r>
    <s v="000.987.236/0001-63"/>
    <x v="98"/>
    <s v="INCLUSAO  ANOT.INADIMPLENCIA"/>
    <x v="79"/>
    <x v="4"/>
    <s v="2024-12"/>
    <x v="16"/>
    <s v="NOELI SALETE"/>
    <x v="98"/>
    <n v="0"/>
    <n v="1"/>
  </r>
  <r>
    <s v="088.978.606/0001-47"/>
    <x v="114"/>
    <s v="EXCLUSAO  ANOT.INADIMPLENCIA"/>
    <x v="79"/>
    <x v="4"/>
    <s v="2024-12"/>
    <x v="16"/>
    <s v="NOELI SALETE"/>
    <x v="114"/>
    <n v="1"/>
    <n v="0"/>
  </r>
  <r>
    <s v="006.236.494/0001-94"/>
    <x v="61"/>
    <s v="EXCLUSAO  ANOT.INADIMPLENCIA"/>
    <x v="79"/>
    <x v="5"/>
    <s v="2024-12"/>
    <x v="16"/>
    <s v="POENATELA"/>
    <x v="61"/>
    <n v="1"/>
    <n v="0"/>
  </r>
  <r>
    <s v="016.956.677/0001-38"/>
    <x v="92"/>
    <s v="INCLUSAO  ANOT.INADIMPLENCIA"/>
    <x v="79"/>
    <x v="5"/>
    <s v="2024-12"/>
    <x v="16"/>
    <s v="POENATELA"/>
    <x v="92"/>
    <n v="0"/>
    <n v="1"/>
  </r>
  <r>
    <s v="013.746.252/0001-06"/>
    <x v="15"/>
    <s v="INCLUSAO  ANOT.INADIMPLENCIA"/>
    <x v="79"/>
    <x v="5"/>
    <s v="2024-12"/>
    <x v="16"/>
    <s v="POENATELA"/>
    <x v="15"/>
    <n v="0"/>
    <n v="1"/>
  </r>
  <r>
    <s v="014.385.825/0001-86"/>
    <x v="110"/>
    <s v="INCLUSAO  ANOT.INADIMPLENCIA"/>
    <x v="79"/>
    <x v="6"/>
    <s v="2024-12"/>
    <x v="16"/>
    <s v="RAFAEL PARISE"/>
    <x v="110"/>
    <n v="0"/>
    <n v="1"/>
  </r>
  <r>
    <s v="042.276.517/0001-58"/>
    <x v="122"/>
    <s v="ALTERACAO QUADRO SOCIAL"/>
    <x v="79"/>
    <x v="10"/>
    <s v="2024-12"/>
    <x v="16"/>
    <s v="ROGERIO "/>
    <x v="122"/>
    <n v="0"/>
    <n v="0"/>
  </r>
  <r>
    <s v="042.276.517/0001-58"/>
    <x v="122"/>
    <s v="ALTERACAO ADMINISTRADORES"/>
    <x v="79"/>
    <x v="10"/>
    <s v="2024-12"/>
    <x v="16"/>
    <s v="ROGERIO "/>
    <x v="122"/>
    <n v="0"/>
    <n v="0"/>
  </r>
  <r>
    <s v="008.785.522/0001-58"/>
    <x v="17"/>
    <s v="INCLUSAO  ANOT.INADIMPLENCIA"/>
    <x v="79"/>
    <x v="7"/>
    <s v="2024-12"/>
    <x v="16"/>
    <s v="WHELKYA IRIS"/>
    <x v="17"/>
    <n v="0"/>
    <n v="1"/>
  </r>
  <r>
    <s v="016.772.642/0001-49"/>
    <x v="69"/>
    <s v="INCLUSAO  ANOT.INADIMPLENCIA"/>
    <x v="80"/>
    <x v="0"/>
    <s v="2024-12"/>
    <x v="16"/>
    <s v="ADMINISTRAÇÃO"/>
    <x v="69"/>
    <n v="0"/>
    <n v="1"/>
  </r>
  <r>
    <s v="023.911.356/0001-82"/>
    <x v="54"/>
    <s v="INCLUSAO  ANOT.INADIMPLENCIA"/>
    <x v="80"/>
    <x v="0"/>
    <s v="2024-12"/>
    <x v="16"/>
    <s v="ADMINISTRAÇÃO"/>
    <x v="54"/>
    <n v="0"/>
    <n v="1"/>
  </r>
  <r>
    <s v="004.126.524/0001-84"/>
    <x v="28"/>
    <s v="EXCLUSAO  ANOT.INADIMPLENCIA"/>
    <x v="80"/>
    <x v="0"/>
    <s v="2024-12"/>
    <x v="16"/>
    <s v="ADMINISTRAÇÃO"/>
    <x v="28"/>
    <n v="1"/>
    <n v="0"/>
  </r>
  <r>
    <s v="020.066.300/0001-80"/>
    <x v="2"/>
    <s v="INCLUSAO  ANOT.INADIMPLENCIA"/>
    <x v="80"/>
    <x v="1"/>
    <s v="2024-12"/>
    <x v="16"/>
    <s v="CELIO PIMENTA"/>
    <x v="2"/>
    <n v="0"/>
    <n v="1"/>
  </r>
  <r>
    <s v="007.102.721/0001-51"/>
    <x v="44"/>
    <s v="EXCLUSAO  ANOT.INADIMPLENCIA"/>
    <x v="80"/>
    <x v="12"/>
    <s v="2024-12"/>
    <x v="16"/>
    <s v="PROSPECTAR"/>
    <x v="44"/>
    <n v="1"/>
    <n v="0"/>
  </r>
  <r>
    <s v="007.561.436/0001-07"/>
    <x v="34"/>
    <s v="EXCLUSAO  ANOT.INADIMPLENCIA"/>
    <x v="80"/>
    <x v="12"/>
    <s v="2024-12"/>
    <x v="16"/>
    <s v="PROSPECTAR"/>
    <x v="34"/>
    <n v="1"/>
    <n v="0"/>
  </r>
  <r>
    <s v="034.821.586/0001-77"/>
    <x v="38"/>
    <s v="INCLUSAO  ANOT.INADIMPLENCIA"/>
    <x v="80"/>
    <x v="3"/>
    <s v="2024-12"/>
    <x v="16"/>
    <s v="MARCUS VINICIUS "/>
    <x v="38"/>
    <n v="0"/>
    <n v="1"/>
  </r>
  <r>
    <s v="035.165.246/0001-06"/>
    <x v="104"/>
    <s v="INCLUSAO  ANOT.INADIMPLENCIA"/>
    <x v="80"/>
    <x v="3"/>
    <s v="2024-12"/>
    <x v="16"/>
    <s v="MARCUS VINICIUS "/>
    <x v="104"/>
    <n v="0"/>
    <n v="1"/>
  </r>
  <r>
    <s v="000.987.236/0001-63"/>
    <x v="98"/>
    <s v="EXCLUSAO  ANOT.INADIMPLENCIA"/>
    <x v="80"/>
    <x v="4"/>
    <s v="2024-12"/>
    <x v="16"/>
    <s v="NOELI SALETE"/>
    <x v="98"/>
    <n v="1"/>
    <n v="0"/>
  </r>
  <r>
    <s v="014.763.606/0001-93"/>
    <x v="10"/>
    <s v="INCLUSAO  ANOT.INADIMPLENCIA"/>
    <x v="80"/>
    <x v="4"/>
    <s v="2024-12"/>
    <x v="16"/>
    <s v="NOELI SALETE"/>
    <x v="10"/>
    <n v="0"/>
    <n v="1"/>
  </r>
  <r>
    <s v="006.236.494/0001-94"/>
    <x v="61"/>
    <s v="EXCLUSAO  ANOT.INADIMPLENCIA"/>
    <x v="80"/>
    <x v="5"/>
    <s v="2024-12"/>
    <x v="16"/>
    <s v="POENATELA"/>
    <x v="61"/>
    <n v="1"/>
    <n v="0"/>
  </r>
  <r>
    <s v="028.477.685/0001-80"/>
    <x v="95"/>
    <s v="EXCLUSAO  ANOT.INADIMPLENCIA"/>
    <x v="80"/>
    <x v="5"/>
    <s v="2024-12"/>
    <x v="16"/>
    <s v="POENATELA"/>
    <x v="95"/>
    <n v="1"/>
    <n v="0"/>
  </r>
  <r>
    <s v="013.746.252/0001-06"/>
    <x v="15"/>
    <s v="INCL/EXCL ANOT.INADIMPLENCIA"/>
    <x v="80"/>
    <x v="5"/>
    <s v="2024-12"/>
    <x v="16"/>
    <s v="POENATELA"/>
    <x v="15"/>
    <n v="1"/>
    <n v="1"/>
  </r>
  <r>
    <s v="023.605.544/0001-82"/>
    <x v="21"/>
    <s v="INCLUSAO  ANOT.INADIMPLENCIA"/>
    <x v="80"/>
    <x v="9"/>
    <s v="2024-12"/>
    <x v="16"/>
    <s v="PRISCILA METZ"/>
    <x v="21"/>
    <n v="0"/>
    <n v="1"/>
  </r>
  <r>
    <s v="042.276.517/0001-58"/>
    <x v="122"/>
    <s v="INCLUSAO  ANOT.INADIMPLENCIA"/>
    <x v="80"/>
    <x v="10"/>
    <s v="2024-12"/>
    <x v="16"/>
    <s v="ROGERIO "/>
    <x v="122"/>
    <n v="0"/>
    <n v="1"/>
  </r>
  <r>
    <s v="016.772.642/0001-49"/>
    <x v="69"/>
    <s v="INCLUSAO  ANOT.INADIMPLENCIA"/>
    <x v="81"/>
    <x v="0"/>
    <s v="2024-12"/>
    <x v="16"/>
    <s v="ADMINISTRAÇÃO"/>
    <x v="69"/>
    <n v="0"/>
    <n v="1"/>
  </r>
  <r>
    <s v="023.911.356/0001-82"/>
    <x v="54"/>
    <s v="INCLUSAO  ANOT.INADIMPLENCIA"/>
    <x v="81"/>
    <x v="0"/>
    <s v="2024-12"/>
    <x v="16"/>
    <s v="ADMINISTRAÇÃO"/>
    <x v="54"/>
    <n v="0"/>
    <n v="1"/>
  </r>
  <r>
    <s v="004.126.524/0001-84"/>
    <x v="28"/>
    <s v="EXCLUSAO  ANOT.INADIMPLENCIA"/>
    <x v="81"/>
    <x v="0"/>
    <s v="2024-12"/>
    <x v="16"/>
    <s v="ADMINISTRAÇÃO"/>
    <x v="28"/>
    <n v="1"/>
    <n v="0"/>
  </r>
  <r>
    <s v="020.066.300/0001-80"/>
    <x v="2"/>
    <s v="INCLUSAO  ANOT.INADIMPLENCIA"/>
    <x v="81"/>
    <x v="1"/>
    <s v="2024-12"/>
    <x v="16"/>
    <s v="CELIO PIMENTA"/>
    <x v="2"/>
    <n v="0"/>
    <n v="1"/>
  </r>
  <r>
    <s v="007.102.721/0001-51"/>
    <x v="44"/>
    <s v="EXCLUSAO  ANOT.INADIMPLENCIA"/>
    <x v="81"/>
    <x v="12"/>
    <s v="2024-12"/>
    <x v="16"/>
    <s v="PROSPECTAR"/>
    <x v="44"/>
    <n v="1"/>
    <n v="0"/>
  </r>
  <r>
    <s v="007.561.436/0001-07"/>
    <x v="34"/>
    <s v="EXCLUSAO  ANOT.INADIMPLENCIA"/>
    <x v="81"/>
    <x v="12"/>
    <s v="2024-12"/>
    <x v="16"/>
    <s v="PROSPECTAR"/>
    <x v="34"/>
    <n v="1"/>
    <n v="0"/>
  </r>
  <r>
    <s v="034.821.586/0001-77"/>
    <x v="38"/>
    <s v="INCLUSAO  ANOT.INADIMPLENCIA"/>
    <x v="81"/>
    <x v="3"/>
    <s v="2024-12"/>
    <x v="16"/>
    <s v="MARCUS VINICIUS "/>
    <x v="38"/>
    <n v="0"/>
    <n v="1"/>
  </r>
  <r>
    <s v="035.165.246/0001-06"/>
    <x v="104"/>
    <s v="INCLUSAO  ANOT.INADIMPLENCIA"/>
    <x v="81"/>
    <x v="3"/>
    <s v="2024-12"/>
    <x v="16"/>
    <s v="MARCUS VINICIUS "/>
    <x v="104"/>
    <n v="0"/>
    <n v="1"/>
  </r>
  <r>
    <s v="000.987.236/0001-63"/>
    <x v="98"/>
    <s v="EXCLUSAO  ANOT.INADIMPLENCIA"/>
    <x v="81"/>
    <x v="4"/>
    <s v="2024-12"/>
    <x v="16"/>
    <s v="NOELI SALETE"/>
    <x v="98"/>
    <n v="1"/>
    <n v="0"/>
  </r>
  <r>
    <s v="014.763.606/0001-93"/>
    <x v="10"/>
    <s v="INCLUSAO  ANOT.INADIMPLENCIA"/>
    <x v="81"/>
    <x v="4"/>
    <s v="2024-12"/>
    <x v="16"/>
    <s v="NOELI SALETE"/>
    <x v="10"/>
    <n v="0"/>
    <n v="1"/>
  </r>
  <r>
    <s v="006.236.494/0001-94"/>
    <x v="61"/>
    <s v="EXCLUSAO  ANOT.INADIMPLENCIA"/>
    <x v="81"/>
    <x v="5"/>
    <s v="2024-12"/>
    <x v="16"/>
    <s v="POENATELA"/>
    <x v="61"/>
    <n v="1"/>
    <n v="0"/>
  </r>
  <r>
    <s v="028.477.685/0001-80"/>
    <x v="95"/>
    <s v="EXCLUSAO  ANOT.INADIMPLENCIA"/>
    <x v="81"/>
    <x v="5"/>
    <s v="2024-12"/>
    <x v="16"/>
    <s v="POENATELA"/>
    <x v="95"/>
    <n v="1"/>
    <n v="0"/>
  </r>
  <r>
    <s v="013.746.252/0001-06"/>
    <x v="15"/>
    <s v="INCL/EXCL ANOT.INADIMPLENCIA"/>
    <x v="81"/>
    <x v="5"/>
    <s v="2024-12"/>
    <x v="16"/>
    <s v="POENATELA"/>
    <x v="15"/>
    <n v="1"/>
    <n v="1"/>
  </r>
  <r>
    <s v="023.605.544/0001-82"/>
    <x v="21"/>
    <s v="INCLUSAO  ANOT.INADIMPLENCIA"/>
    <x v="81"/>
    <x v="9"/>
    <s v="2024-12"/>
    <x v="16"/>
    <s v="PRISCILA METZ"/>
    <x v="21"/>
    <n v="0"/>
    <n v="1"/>
  </r>
  <r>
    <s v="016.772.642/0001-49"/>
    <x v="69"/>
    <s v="INCLUSAO  ANOT.INADIMPLENCIA"/>
    <x v="82"/>
    <x v="0"/>
    <s v="2024-12"/>
    <x v="17"/>
    <s v="ADMINISTRAÇÃO"/>
    <x v="69"/>
    <n v="0"/>
    <n v="1"/>
  </r>
  <r>
    <s v="023.911.356/0001-82"/>
    <x v="54"/>
    <s v="INCLUSAO  ANOT.INADIMPLENCIA"/>
    <x v="82"/>
    <x v="0"/>
    <s v="2024-12"/>
    <x v="17"/>
    <s v="ADMINISTRAÇÃO"/>
    <x v="54"/>
    <n v="0"/>
    <n v="1"/>
  </r>
  <r>
    <s v="020.066.300/0001-80"/>
    <x v="2"/>
    <s v="INCLUSAO  ANOT.INADIMPLENCIA"/>
    <x v="82"/>
    <x v="1"/>
    <s v="2024-12"/>
    <x v="17"/>
    <s v="CELIO PIMENTA"/>
    <x v="2"/>
    <n v="0"/>
    <n v="1"/>
  </r>
  <r>
    <s v="003.590.360/0001-89"/>
    <x v="3"/>
    <s v="EXCLUSAO  ANOT.INADIMPLENCIA"/>
    <x v="82"/>
    <x v="1"/>
    <s v="2024-12"/>
    <x v="17"/>
    <s v="CELIO PIMENTA"/>
    <x v="3"/>
    <n v="1"/>
    <n v="0"/>
  </r>
  <r>
    <s v="012.520.791/0001-60"/>
    <x v="4"/>
    <s v="INCLUSAO  ANOT.INADIMPLENCIA"/>
    <x v="82"/>
    <x v="1"/>
    <s v="2024-12"/>
    <x v="17"/>
    <s v="CELIO PIMENTA"/>
    <x v="4"/>
    <n v="0"/>
    <n v="1"/>
  </r>
  <r>
    <s v="007.561.436/0001-07"/>
    <x v="34"/>
    <s v="INCL/EXCL ANOT.INADIMPLENCIA"/>
    <x v="82"/>
    <x v="12"/>
    <s v="2024-12"/>
    <x v="17"/>
    <s v="PROSPECTAR"/>
    <x v="34"/>
    <n v="1"/>
    <n v="1"/>
  </r>
  <r>
    <s v="025.825.654/0001-85"/>
    <x v="7"/>
    <s v="EXCLUSAO  ANOT.INADIMPLENCIA"/>
    <x v="82"/>
    <x v="3"/>
    <s v="2024-12"/>
    <x v="17"/>
    <s v="MARCUS VINICIUS "/>
    <x v="7"/>
    <n v="1"/>
    <n v="0"/>
  </r>
  <r>
    <s v="000.987.236/0001-63"/>
    <x v="98"/>
    <s v="INCLUSAO  ANOT.INADIMPLENCIA"/>
    <x v="82"/>
    <x v="4"/>
    <s v="2024-12"/>
    <x v="17"/>
    <s v="NOELI SALETE"/>
    <x v="98"/>
    <n v="0"/>
    <n v="1"/>
  </r>
  <r>
    <s v="007.906.793/0001-51"/>
    <x v="125"/>
    <s v="INCLUSAO  ANOT.INADIMPLENCIA"/>
    <x v="82"/>
    <x v="4"/>
    <s v="2024-12"/>
    <x v="17"/>
    <s v="NOELI SALETE"/>
    <x v="125"/>
    <n v="0"/>
    <n v="1"/>
  </r>
  <r>
    <s v="014.763.606/0001-93"/>
    <x v="10"/>
    <s v="INCLUSAO  ANOT.INADIMPLENCIA"/>
    <x v="82"/>
    <x v="4"/>
    <s v="2024-12"/>
    <x v="17"/>
    <s v="NOELI SALETE"/>
    <x v="10"/>
    <n v="0"/>
    <n v="1"/>
  </r>
  <r>
    <s v="006.236.494/0001-94"/>
    <x v="61"/>
    <s v="EXCLUSAO  ANOT.INADIMPLENCIA"/>
    <x v="82"/>
    <x v="5"/>
    <s v="2024-12"/>
    <x v="17"/>
    <s v="POENATELA"/>
    <x v="61"/>
    <n v="1"/>
    <n v="0"/>
  </r>
  <r>
    <s v="013.746.252/0001-06"/>
    <x v="15"/>
    <s v="INCLUSAO  ANOT.INADIMPLENCIA"/>
    <x v="82"/>
    <x v="5"/>
    <s v="2024-12"/>
    <x v="17"/>
    <s v="POENATELA"/>
    <x v="15"/>
    <n v="0"/>
    <n v="1"/>
  </r>
  <r>
    <s v="042.276.517/0001-58"/>
    <x v="122"/>
    <s v="INCLUSAO  ANOT.INADIMPLENCIA"/>
    <x v="82"/>
    <x v="10"/>
    <s v="2024-12"/>
    <x v="17"/>
    <s v="ROGERIO "/>
    <x v="122"/>
    <n v="0"/>
    <n v="1"/>
  </r>
  <r>
    <s v="055.979.736/0001-45"/>
    <x v="63"/>
    <s v="INCLUSAO  ANOT.INADIMPLENCIA"/>
    <x v="82"/>
    <x v="16"/>
    <s v="2024-12"/>
    <x v="17"/>
    <s v="SACADO"/>
    <x v="63"/>
    <n v="0"/>
    <n v="1"/>
  </r>
  <r>
    <s v="006.107.454/0001-42"/>
    <x v="42"/>
    <s v="INCLUSAO  ANOT.INADIMPLENCIA"/>
    <x v="83"/>
    <x v="0"/>
    <s v="2025-01"/>
    <x v="18"/>
    <s v="ADMINISTRAÇÃO"/>
    <x v="42"/>
    <n v="0"/>
    <n v="1"/>
  </r>
  <r>
    <s v="020.066.300/0001-80"/>
    <x v="2"/>
    <s v="INCL/EXCL ANOT.INADIMPLENCIA"/>
    <x v="83"/>
    <x v="1"/>
    <s v="2025-01"/>
    <x v="18"/>
    <s v="CELIO PIMENTA"/>
    <x v="2"/>
    <n v="1"/>
    <n v="1"/>
  </r>
  <r>
    <s v="003.590.360/0001-89"/>
    <x v="3"/>
    <s v="EXCLUSAO  ANOT.INADIMPLENCIA"/>
    <x v="83"/>
    <x v="1"/>
    <s v="2025-01"/>
    <x v="18"/>
    <s v="CELIO PIMENTA"/>
    <x v="3"/>
    <n v="1"/>
    <n v="0"/>
  </r>
  <r>
    <s v="016.757.535/0001-41"/>
    <x v="29"/>
    <s v="EXCLUSAO  ANOT.INADIMPLENCIA"/>
    <x v="83"/>
    <x v="11"/>
    <s v="2025-01"/>
    <x v="18"/>
    <s v="DIOGO AZEVEDO"/>
    <x v="29"/>
    <n v="1"/>
    <n v="0"/>
  </r>
  <r>
    <s v="028.842.753/0001-63"/>
    <x v="49"/>
    <s v="INCLUSAO  ANOT.INADIMPLENCIA"/>
    <x v="83"/>
    <x v="15"/>
    <s v="2025-01"/>
    <x v="18"/>
    <s v="EDUARDO MATOSO"/>
    <x v="49"/>
    <n v="0"/>
    <n v="1"/>
  </r>
  <r>
    <s v="007.102.721/0001-51"/>
    <x v="44"/>
    <s v="EXCLUSAO  ANOT.INADIMPLENCIA"/>
    <x v="83"/>
    <x v="12"/>
    <s v="2025-01"/>
    <x v="18"/>
    <s v="PROSPECTAR"/>
    <x v="44"/>
    <n v="1"/>
    <n v="0"/>
  </r>
  <r>
    <s v="007.561.436/0001-07"/>
    <x v="34"/>
    <s v="EXCLUSAO  ANOT.INADIMPLENCIA"/>
    <x v="83"/>
    <x v="12"/>
    <s v="2025-01"/>
    <x v="18"/>
    <s v="PROSPECTAR"/>
    <x v="34"/>
    <n v="1"/>
    <n v="0"/>
  </r>
  <r>
    <s v="035.165.246/0001-06"/>
    <x v="104"/>
    <s v="INCLUSAO  ANOT.INADIMPLENCIA"/>
    <x v="83"/>
    <x v="3"/>
    <s v="2025-01"/>
    <x v="18"/>
    <s v="MARCUS VINICIUS "/>
    <x v="104"/>
    <n v="0"/>
    <n v="1"/>
  </r>
  <r>
    <s v="000.987.236/0001-63"/>
    <x v="98"/>
    <s v="INCLUSAO  ANOT.INADIMPLENCIA"/>
    <x v="83"/>
    <x v="4"/>
    <s v="2025-01"/>
    <x v="18"/>
    <s v="NOELI SALETE"/>
    <x v="98"/>
    <n v="0"/>
    <n v="1"/>
  </r>
  <r>
    <s v="006.236.494/0001-94"/>
    <x v="61"/>
    <s v="EXCLUSAO  ANOT.INADIMPLENCIA"/>
    <x v="83"/>
    <x v="5"/>
    <s v="2025-01"/>
    <x v="18"/>
    <s v="POENATELA"/>
    <x v="61"/>
    <n v="1"/>
    <n v="0"/>
  </r>
  <r>
    <s v="013.746.252/0001-06"/>
    <x v="15"/>
    <s v="INCLUSAO  ANOT.INADIMPLENCIA"/>
    <x v="83"/>
    <x v="5"/>
    <s v="2025-01"/>
    <x v="18"/>
    <s v="POENATELA"/>
    <x v="15"/>
    <n v="0"/>
    <n v="1"/>
  </r>
  <r>
    <s v="023.605.544/0001-82"/>
    <x v="21"/>
    <s v="INCLUSAO  ANOT.INADIMPLENCIA"/>
    <x v="83"/>
    <x v="9"/>
    <s v="2025-01"/>
    <x v="18"/>
    <s v="PRISCILA METZ"/>
    <x v="21"/>
    <n v="0"/>
    <n v="1"/>
  </r>
  <r>
    <s v="014.514.481/0001-68"/>
    <x v="73"/>
    <s v="INCLUSAO  ANOT.INADIMPLENCIA"/>
    <x v="83"/>
    <x v="9"/>
    <s v="2025-01"/>
    <x v="18"/>
    <s v="PRISCILA METZ"/>
    <x v="73"/>
    <n v="0"/>
    <n v="1"/>
  </r>
  <r>
    <s v="000.810.852/0001-44"/>
    <x v="84"/>
    <s v="INCLUSAO  ANOT.INADIMPLENCIA"/>
    <x v="83"/>
    <x v="6"/>
    <s v="2025-01"/>
    <x v="18"/>
    <s v="RAFAEL PARISE"/>
    <x v="84"/>
    <n v="0"/>
    <n v="1"/>
  </r>
  <r>
    <s v="042.276.517/0001-58"/>
    <x v="122"/>
    <s v="INCLUSAO  ANOT.INADIMPLENCIA"/>
    <x v="83"/>
    <x v="10"/>
    <s v="2025-01"/>
    <x v="18"/>
    <s v="ROGERIO "/>
    <x v="122"/>
    <n v="0"/>
    <n v="1"/>
  </r>
  <r>
    <s v="043.515.558/0001-12"/>
    <x v="22"/>
    <s v="EXCLUSAO  ANOT.INADIMPLENCIA"/>
    <x v="83"/>
    <x v="10"/>
    <s v="2025-01"/>
    <x v="18"/>
    <s v="ROGERIO "/>
    <x v="22"/>
    <n v="1"/>
    <n v="0"/>
  </r>
  <r>
    <s v="008.785.522/0001-58"/>
    <x v="17"/>
    <s v="INCLUSAO  ANOT.INADIMPLENCIA"/>
    <x v="83"/>
    <x v="7"/>
    <s v="2025-01"/>
    <x v="18"/>
    <s v="WHELKYA IRIS"/>
    <x v="17"/>
    <n v="0"/>
    <n v="1"/>
  </r>
  <r>
    <s v="016.772.642/0001-49"/>
    <x v="69"/>
    <s v="INCLUSAO  ANOT.INADIMPLENCIA"/>
    <x v="84"/>
    <x v="0"/>
    <s v="2025-01"/>
    <x v="18"/>
    <s v="ADMINISTRAÇÃO"/>
    <x v="69"/>
    <n v="0"/>
    <n v="1"/>
  </r>
  <r>
    <s v="023.911.356/0001-82"/>
    <x v="54"/>
    <s v="EXCLUSAO  ANOT.INADIMPLENCIA"/>
    <x v="84"/>
    <x v="0"/>
    <s v="2025-01"/>
    <x v="18"/>
    <s v="ADMINISTRAÇÃO"/>
    <x v="54"/>
    <n v="1"/>
    <n v="0"/>
  </r>
  <r>
    <s v="007.102.721/0001-51"/>
    <x v="44"/>
    <s v="EXCLUSAO  ANOT.INADIMPLENCIA"/>
    <x v="84"/>
    <x v="12"/>
    <s v="2025-01"/>
    <x v="18"/>
    <s v="PROSPECTAR"/>
    <x v="44"/>
    <n v="1"/>
    <n v="0"/>
  </r>
  <r>
    <s v="007.561.436/0001-07"/>
    <x v="34"/>
    <s v="INCLUSAO  ANOT.INADIMPLENCIA"/>
    <x v="84"/>
    <x v="12"/>
    <s v="2025-01"/>
    <x v="18"/>
    <s v="PROSPECTAR"/>
    <x v="34"/>
    <n v="0"/>
    <n v="1"/>
  </r>
  <r>
    <s v="035.165.246/0001-06"/>
    <x v="104"/>
    <s v="INCLUSAO  ANOT.INADIMPLENCIA"/>
    <x v="84"/>
    <x v="3"/>
    <s v="2025-01"/>
    <x v="18"/>
    <s v="MARCUS VINICIUS "/>
    <x v="104"/>
    <n v="0"/>
    <n v="1"/>
  </r>
  <r>
    <s v="005.350.235/0001-27"/>
    <x v="72"/>
    <s v="EXCLUSAO  ANOT.INADIMPLENCIA"/>
    <x v="84"/>
    <x v="3"/>
    <s v="2025-01"/>
    <x v="18"/>
    <s v="MARCUS VINICIUS "/>
    <x v="72"/>
    <n v="1"/>
    <n v="0"/>
  </r>
  <r>
    <s v="006.236.494/0001-94"/>
    <x v="61"/>
    <s v="EXCLUSAO  ANOT.INADIMPLENCIA"/>
    <x v="84"/>
    <x v="5"/>
    <s v="2025-01"/>
    <x v="18"/>
    <s v="POENATELA"/>
    <x v="61"/>
    <n v="1"/>
    <n v="0"/>
  </r>
  <r>
    <s v="013.746.252/0001-06"/>
    <x v="15"/>
    <s v="EXCLUSAO  ANOT.INADIMPLENCIA"/>
    <x v="84"/>
    <x v="5"/>
    <s v="2025-01"/>
    <x v="18"/>
    <s v="POENATELA"/>
    <x v="15"/>
    <n v="1"/>
    <n v="0"/>
  </r>
  <r>
    <s v="000.810.852/0001-44"/>
    <x v="84"/>
    <s v="EXCLUSAO  ANOT.INADIMPLENCIA"/>
    <x v="84"/>
    <x v="6"/>
    <s v="2025-01"/>
    <x v="18"/>
    <s v="RAFAEL PARISE"/>
    <x v="84"/>
    <n v="1"/>
    <n v="0"/>
  </r>
  <r>
    <s v="002.534.653/0001-86"/>
    <x v="105"/>
    <s v="INCLUSAO  ANOT.INADIMPLENCIA"/>
    <x v="84"/>
    <x v="10"/>
    <s v="2025-01"/>
    <x v="18"/>
    <s v="ROGERIO "/>
    <x v="105"/>
    <n v="0"/>
    <n v="1"/>
  </r>
  <r>
    <s v="042.276.517/0001-58"/>
    <x v="122"/>
    <s v="INCLUSAO  ANOT.INADIMPLENCIA"/>
    <x v="84"/>
    <x v="10"/>
    <s v="2025-01"/>
    <x v="18"/>
    <s v="ROGERIO "/>
    <x v="122"/>
    <n v="0"/>
    <n v="1"/>
  </r>
  <r>
    <s v="043.515.558/0001-12"/>
    <x v="22"/>
    <s v="INCLUSAO  ANOT.INADIMPLENCIA"/>
    <x v="84"/>
    <x v="10"/>
    <s v="2025-01"/>
    <x v="18"/>
    <s v="ROGERIO "/>
    <x v="22"/>
    <n v="0"/>
    <n v="1"/>
  </r>
  <r>
    <s v="020.066.300/0001-80"/>
    <x v="2"/>
    <s v="INCLUSAO  ANOT.INADIMPLENCIA"/>
    <x v="85"/>
    <x v="1"/>
    <s v="2025-01"/>
    <x v="18"/>
    <s v="CELIO PIMENTA"/>
    <x v="2"/>
    <n v="0"/>
    <n v="1"/>
  </r>
  <r>
    <s v="006.236.494/0001-94"/>
    <x v="61"/>
    <s v="EXCLUSAO  ANOT.INADIMPLENCIA"/>
    <x v="85"/>
    <x v="5"/>
    <s v="2025-01"/>
    <x v="18"/>
    <s v="POENATELA"/>
    <x v="61"/>
    <n v="1"/>
    <n v="0"/>
  </r>
  <r>
    <s v="013.746.252/0001-06"/>
    <x v="15"/>
    <s v="INCLUSAO  ANOT.INADIMPLENCIA"/>
    <x v="85"/>
    <x v="5"/>
    <s v="2025-01"/>
    <x v="18"/>
    <s v="POENATELA"/>
    <x v="15"/>
    <n v="0"/>
    <n v="1"/>
  </r>
  <r>
    <s v="033.803.691/0001-10"/>
    <x v="103"/>
    <s v="ALTERACAO ENDERECO"/>
    <x v="86"/>
    <x v="0"/>
    <s v="2025-01"/>
    <x v="19"/>
    <s v="ADMINISTRAÇÃO"/>
    <x v="103"/>
    <n v="0"/>
    <n v="0"/>
  </r>
  <r>
    <s v="020.066.300/0001-80"/>
    <x v="2"/>
    <s v="INCLUSAO  ANOT.INADIMPLENCIA"/>
    <x v="87"/>
    <x v="1"/>
    <s v="2025-01"/>
    <x v="19"/>
    <s v="CELIO PIMENTA"/>
    <x v="2"/>
    <n v="0"/>
    <n v="1"/>
  </r>
  <r>
    <s v="028.842.753/0001-63"/>
    <x v="49"/>
    <s v="INCLUSAO  ANOT.INADIMPLENCIA"/>
    <x v="87"/>
    <x v="15"/>
    <s v="2025-01"/>
    <x v="19"/>
    <s v="EDUARDO MATOSO"/>
    <x v="49"/>
    <n v="0"/>
    <n v="1"/>
  </r>
  <r>
    <s v="001.636.335/0001-63"/>
    <x v="77"/>
    <s v="EXCLUSAO  ANOT.INADIMPLENCIA"/>
    <x v="87"/>
    <x v="12"/>
    <s v="2025-01"/>
    <x v="19"/>
    <s v="PROSPECTAR"/>
    <x v="77"/>
    <n v="1"/>
    <n v="0"/>
  </r>
  <r>
    <s v="035.165.246/0001-06"/>
    <x v="104"/>
    <s v="INCLUSAO  ANOT.INADIMPLENCIA"/>
    <x v="87"/>
    <x v="3"/>
    <s v="2025-01"/>
    <x v="19"/>
    <s v="MARCUS VINICIUS "/>
    <x v="104"/>
    <n v="0"/>
    <n v="1"/>
  </r>
  <r>
    <s v="014.763.606/0001-93"/>
    <x v="10"/>
    <s v="EXCLUSAO  ANOT.INADIMPLENCIA"/>
    <x v="87"/>
    <x v="4"/>
    <s v="2025-01"/>
    <x v="19"/>
    <s v="NOELI SALETE"/>
    <x v="10"/>
    <n v="1"/>
    <n v="0"/>
  </r>
  <r>
    <s v="046.140.062/0001-08"/>
    <x v="68"/>
    <s v="INCLUSAO  ANOT.INADIMPLENCIA"/>
    <x v="87"/>
    <x v="4"/>
    <s v="2025-01"/>
    <x v="19"/>
    <s v="NOELI SALETE"/>
    <x v="68"/>
    <n v="0"/>
    <n v="1"/>
  </r>
  <r>
    <s v="006.236.494/0001-94"/>
    <x v="61"/>
    <s v="EXCLUSAO  ANOT.INADIMPLENCIA"/>
    <x v="87"/>
    <x v="5"/>
    <s v="2025-01"/>
    <x v="19"/>
    <s v="POENATELA"/>
    <x v="61"/>
    <n v="1"/>
    <n v="0"/>
  </r>
  <r>
    <s v="016.956.677/0001-38"/>
    <x v="92"/>
    <s v="INCLUSAO  ANOT.INADIMPLENCIA"/>
    <x v="87"/>
    <x v="5"/>
    <s v="2025-01"/>
    <x v="19"/>
    <s v="POENATELA"/>
    <x v="92"/>
    <n v="0"/>
    <n v="1"/>
  </r>
  <r>
    <s v="013.746.252/0001-06"/>
    <x v="15"/>
    <s v="INCL/EXCL ANOT.INADIMPLENCIA"/>
    <x v="87"/>
    <x v="5"/>
    <s v="2025-01"/>
    <x v="19"/>
    <s v="POENATELA"/>
    <x v="15"/>
    <n v="1"/>
    <n v="1"/>
  </r>
  <r>
    <s v="014.829.598/0001-30"/>
    <x v="31"/>
    <s v="INCLUSAO  ANOT.INADIMPLENCIA"/>
    <x v="87"/>
    <x v="9"/>
    <s v="2025-01"/>
    <x v="19"/>
    <s v="PRISCILA METZ"/>
    <x v="31"/>
    <n v="0"/>
    <n v="1"/>
  </r>
  <r>
    <s v="014.385.825/0001-86"/>
    <x v="110"/>
    <s v="INCLUSAO  ANOT.INADIMPLENCIA"/>
    <x v="87"/>
    <x v="6"/>
    <s v="2025-01"/>
    <x v="19"/>
    <s v="RAFAEL PARISE"/>
    <x v="110"/>
    <n v="0"/>
    <n v="1"/>
  </r>
  <r>
    <s v="042.276.517/0001-58"/>
    <x v="122"/>
    <s v="INCLUSAO  ANOT.INADIMPLENCIA"/>
    <x v="87"/>
    <x v="10"/>
    <s v="2025-01"/>
    <x v="19"/>
    <s v="ROGERIO "/>
    <x v="122"/>
    <n v="0"/>
    <n v="1"/>
  </r>
  <r>
    <s v="008.785.522/0001-58"/>
    <x v="17"/>
    <s v="INCLUSAO  ANOT.INADIMPLENCIA"/>
    <x v="87"/>
    <x v="7"/>
    <s v="2025-01"/>
    <x v="19"/>
    <s v="WHELKYA IRIS"/>
    <x v="17"/>
    <n v="0"/>
    <n v="1"/>
  </r>
  <r>
    <s v="023.911.356/0001-82"/>
    <x v="54"/>
    <s v="EXCLUSAO  ANOT.INADIMPLENCIA"/>
    <x v="88"/>
    <x v="0"/>
    <s v="2025-01"/>
    <x v="19"/>
    <s v="ADMINISTRAÇÃO"/>
    <x v="54"/>
    <n v="1"/>
    <n v="0"/>
  </r>
  <r>
    <s v="020.066.300/0001-80"/>
    <x v="2"/>
    <s v="INCLUSAO  ANOT.INADIMPLENCIA"/>
    <x v="88"/>
    <x v="1"/>
    <s v="2025-01"/>
    <x v="19"/>
    <s v="CELIO PIMENTA"/>
    <x v="2"/>
    <n v="0"/>
    <n v="1"/>
  </r>
  <r>
    <s v="007.561.436/0001-07"/>
    <x v="34"/>
    <s v="EXCLUSAO  ANOT.INADIMPLENCIA"/>
    <x v="88"/>
    <x v="12"/>
    <s v="2025-01"/>
    <x v="19"/>
    <s v="PROSPECTAR"/>
    <x v="34"/>
    <n v="1"/>
    <n v="0"/>
  </r>
  <r>
    <s v="035.165.246/0001-06"/>
    <x v="104"/>
    <s v="INCL/EXCL ANOT.INADIMPLENCIA"/>
    <x v="88"/>
    <x v="3"/>
    <s v="2025-01"/>
    <x v="19"/>
    <s v="MARCUS VINICIUS "/>
    <x v="104"/>
    <n v="1"/>
    <n v="1"/>
  </r>
  <r>
    <s v="000.987.236/0001-63"/>
    <x v="98"/>
    <s v="INCLUSAO  ANOT.INADIMPLENCIA"/>
    <x v="88"/>
    <x v="4"/>
    <s v="2025-01"/>
    <x v="19"/>
    <s v="NOELI SALETE"/>
    <x v="98"/>
    <n v="0"/>
    <n v="1"/>
  </r>
  <r>
    <s v="036.906.058/0001-46"/>
    <x v="75"/>
    <s v="EXCLUSAO  ANOT.INADIMPLENCIA"/>
    <x v="88"/>
    <x v="4"/>
    <s v="2025-01"/>
    <x v="19"/>
    <s v="NOELI SALETE"/>
    <x v="75"/>
    <n v="1"/>
    <n v="0"/>
  </r>
  <r>
    <s v="006.236.494/0001-94"/>
    <x v="61"/>
    <s v="EXCLUSAO  ANOT.INADIMPLENCIA"/>
    <x v="88"/>
    <x v="5"/>
    <s v="2025-01"/>
    <x v="19"/>
    <s v="POENATELA"/>
    <x v="61"/>
    <n v="1"/>
    <n v="0"/>
  </r>
  <r>
    <s v="013.746.252/0001-06"/>
    <x v="15"/>
    <s v="INCLUSAO  ANOT.INADIMPLENCIA"/>
    <x v="88"/>
    <x v="5"/>
    <s v="2025-01"/>
    <x v="19"/>
    <s v="POENATELA"/>
    <x v="15"/>
    <n v="0"/>
    <n v="1"/>
  </r>
  <r>
    <s v="023.605.544/0001-82"/>
    <x v="21"/>
    <s v="EXCLUSAO  ANOT.INADIMPLENCIA"/>
    <x v="88"/>
    <x v="9"/>
    <s v="2025-01"/>
    <x v="19"/>
    <s v="PRISCILA METZ"/>
    <x v="21"/>
    <n v="1"/>
    <n v="0"/>
  </r>
  <r>
    <s v="008.250.872/0001-10"/>
    <x v="121"/>
    <s v="EXCLUSAO  ANOT.INADIMPLENCIA"/>
    <x v="88"/>
    <x v="6"/>
    <s v="2025-01"/>
    <x v="19"/>
    <s v="RAFAEL PARISE"/>
    <x v="121"/>
    <n v="1"/>
    <n v="0"/>
  </r>
  <r>
    <s v="071.350.797/0001-03"/>
    <x v="48"/>
    <s v="EXCLUSAO  ANOT.INADIMPLENCIA"/>
    <x v="88"/>
    <x v="10"/>
    <s v="2025-01"/>
    <x v="19"/>
    <s v="ROGERIO "/>
    <x v="48"/>
    <n v="1"/>
    <n v="0"/>
  </r>
  <r>
    <s v="008.785.522/0001-58"/>
    <x v="17"/>
    <s v="INCLUSAO  ANOT.INADIMPLENCIA"/>
    <x v="88"/>
    <x v="7"/>
    <s v="2025-01"/>
    <x v="19"/>
    <s v="WHELKYA IRIS"/>
    <x v="17"/>
    <n v="0"/>
    <n v="1"/>
  </r>
  <r>
    <s v="023.911.356/0001-82"/>
    <x v="54"/>
    <s v="EXCLUSAO  ANOT.INADIMPLENCIA"/>
    <x v="89"/>
    <x v="0"/>
    <s v="2025-01"/>
    <x v="19"/>
    <s v="ADMINISTRAÇÃO"/>
    <x v="54"/>
    <n v="1"/>
    <n v="0"/>
  </r>
  <r>
    <s v="020.066.300/0001-80"/>
    <x v="2"/>
    <s v="INCLUSAO  ANOT.INADIMPLENCIA"/>
    <x v="89"/>
    <x v="1"/>
    <s v="2025-01"/>
    <x v="19"/>
    <s v="CELIO PIMENTA"/>
    <x v="2"/>
    <n v="0"/>
    <n v="1"/>
  </r>
  <r>
    <s v="007.561.436/0001-07"/>
    <x v="34"/>
    <s v="EXCLUSAO  ANOT.INADIMPLENCIA"/>
    <x v="89"/>
    <x v="12"/>
    <s v="2025-01"/>
    <x v="19"/>
    <s v="PROSPECTAR"/>
    <x v="34"/>
    <n v="1"/>
    <n v="0"/>
  </r>
  <r>
    <s v="035.165.246/0001-06"/>
    <x v="104"/>
    <s v="INCL/EXCL ANOT.INADIMPLENCIA"/>
    <x v="89"/>
    <x v="3"/>
    <s v="2025-01"/>
    <x v="19"/>
    <s v="MARCUS VINICIUS "/>
    <x v="104"/>
    <n v="1"/>
    <n v="1"/>
  </r>
  <r>
    <s v="000.987.236/0001-63"/>
    <x v="98"/>
    <s v="INCLUSAO  ANOT.INADIMPLENCIA"/>
    <x v="89"/>
    <x v="4"/>
    <s v="2025-01"/>
    <x v="19"/>
    <s v="NOELI SALETE"/>
    <x v="98"/>
    <n v="0"/>
    <n v="1"/>
  </r>
  <r>
    <s v="036.906.058/0001-46"/>
    <x v="75"/>
    <s v="EXCLUSAO  ANOT.INADIMPLENCIA"/>
    <x v="89"/>
    <x v="4"/>
    <s v="2025-01"/>
    <x v="19"/>
    <s v="NOELI SALETE"/>
    <x v="75"/>
    <n v="1"/>
    <n v="0"/>
  </r>
  <r>
    <s v="006.236.494/0001-94"/>
    <x v="61"/>
    <s v="EXCLUSAO  ANOT.INADIMPLENCIA"/>
    <x v="89"/>
    <x v="5"/>
    <s v="2025-01"/>
    <x v="19"/>
    <s v="POENATELA"/>
    <x v="61"/>
    <n v="1"/>
    <n v="0"/>
  </r>
  <r>
    <s v="013.746.252/0001-06"/>
    <x v="15"/>
    <s v="INCLUSAO  ANOT.INADIMPLENCIA"/>
    <x v="89"/>
    <x v="5"/>
    <s v="2025-01"/>
    <x v="19"/>
    <s v="POENATELA"/>
    <x v="15"/>
    <n v="0"/>
    <n v="1"/>
  </r>
  <r>
    <s v="023.605.544/0001-82"/>
    <x v="21"/>
    <s v="EXCLUSAO  ANOT.INADIMPLENCIA"/>
    <x v="89"/>
    <x v="9"/>
    <s v="2025-01"/>
    <x v="19"/>
    <s v="PRISCILA METZ"/>
    <x v="21"/>
    <n v="1"/>
    <n v="0"/>
  </r>
  <r>
    <s v="008.250.872/0001-10"/>
    <x v="121"/>
    <s v="EXCLUSAO  ANOT.INADIMPLENCIA"/>
    <x v="89"/>
    <x v="6"/>
    <s v="2025-01"/>
    <x v="19"/>
    <s v="RAFAEL PARISE"/>
    <x v="121"/>
    <n v="1"/>
    <n v="0"/>
  </r>
  <r>
    <s v="071.350.797/0001-03"/>
    <x v="48"/>
    <s v="EXCLUSAO  ANOT.INADIMPLENCIA"/>
    <x v="89"/>
    <x v="10"/>
    <s v="2025-01"/>
    <x v="19"/>
    <s v="ROGERIO "/>
    <x v="48"/>
    <n v="1"/>
    <n v="0"/>
  </r>
  <r>
    <s v="008.785.522/0001-58"/>
    <x v="17"/>
    <s v="INCLUSAO  ANOT.INADIMPLENCIA"/>
    <x v="89"/>
    <x v="7"/>
    <s v="2025-01"/>
    <x v="19"/>
    <s v="WHELKYA IRIS"/>
    <x v="17"/>
    <n v="0"/>
    <n v="1"/>
  </r>
  <r>
    <s v="020.066.300/0001-80"/>
    <x v="2"/>
    <s v="INCLUSAO  ANOT.INADIMPLENCIA"/>
    <x v="90"/>
    <x v="1"/>
    <s v="2025-01"/>
    <x v="19"/>
    <s v="CELIO PIMENTA"/>
    <x v="2"/>
    <n v="0"/>
    <n v="1"/>
  </r>
  <r>
    <s v="044.888.871/0001-69"/>
    <x v="106"/>
    <s v="EXCLUSAO  ANOT.INADIMPLENCIA"/>
    <x v="90"/>
    <x v="12"/>
    <s v="2025-01"/>
    <x v="19"/>
    <s v="PROSPECTAR"/>
    <x v="106"/>
    <n v="1"/>
    <n v="0"/>
  </r>
  <r>
    <s v="000.987.236/0001-63"/>
    <x v="98"/>
    <s v="INCL/EXCL ANOT.INADIMPLENCIA"/>
    <x v="90"/>
    <x v="4"/>
    <s v="2025-01"/>
    <x v="19"/>
    <s v="NOELI SALETE"/>
    <x v="98"/>
    <n v="1"/>
    <n v="1"/>
  </r>
  <r>
    <s v="036.906.058/0001-46"/>
    <x v="75"/>
    <s v="EXCLUSAO  ANOT.INADIMPLENCIA"/>
    <x v="90"/>
    <x v="4"/>
    <s v="2025-01"/>
    <x v="19"/>
    <s v="NOELI SALETE"/>
    <x v="75"/>
    <n v="1"/>
    <n v="0"/>
  </r>
  <r>
    <s v="006.236.494/0001-94"/>
    <x v="61"/>
    <s v="EXCLUSAO  ANOT.INADIMPLENCIA"/>
    <x v="90"/>
    <x v="5"/>
    <s v="2025-01"/>
    <x v="19"/>
    <s v="POENATELA"/>
    <x v="61"/>
    <n v="1"/>
    <n v="0"/>
  </r>
  <r>
    <s v="013.746.252/0001-06"/>
    <x v="15"/>
    <s v="EXCLUSAO  ANOT.INADIMPLENCIA"/>
    <x v="90"/>
    <x v="5"/>
    <s v="2025-01"/>
    <x v="19"/>
    <s v="POENATELA"/>
    <x v="15"/>
    <n v="1"/>
    <n v="0"/>
  </r>
  <r>
    <s v="035.475.312/0001-36"/>
    <x v="115"/>
    <s v="EXCLUSAO  ANOT.INADIMPLENCIA"/>
    <x v="91"/>
    <x v="0"/>
    <s v="2025-01"/>
    <x v="19"/>
    <s v="ADMINISTRAÇÃO"/>
    <x v="115"/>
    <n v="1"/>
    <n v="0"/>
  </r>
  <r>
    <s v="023.911.356/0001-82"/>
    <x v="54"/>
    <s v="EXCLUSAO  ANOT.INADIMPLENCIA"/>
    <x v="91"/>
    <x v="0"/>
    <s v="2025-01"/>
    <x v="19"/>
    <s v="ADMINISTRAÇÃO"/>
    <x v="54"/>
    <n v="1"/>
    <n v="0"/>
  </r>
  <r>
    <s v="004.126.524/0001-84"/>
    <x v="28"/>
    <s v="INCLUSAO  ANOT.INADIMPLENCIA"/>
    <x v="91"/>
    <x v="0"/>
    <s v="2025-01"/>
    <x v="19"/>
    <s v="ADMINISTRAÇÃO"/>
    <x v="28"/>
    <n v="0"/>
    <n v="1"/>
  </r>
  <r>
    <s v="020.066.300/0001-80"/>
    <x v="2"/>
    <s v="INCLUSAO  ANOT.INADIMPLENCIA"/>
    <x v="91"/>
    <x v="1"/>
    <s v="2025-01"/>
    <x v="19"/>
    <s v="CELIO PIMENTA"/>
    <x v="2"/>
    <n v="0"/>
    <n v="1"/>
  </r>
  <r>
    <s v="007.102.721/0001-51"/>
    <x v="44"/>
    <s v="INCLUSAO  ANOT.INADIMPLENCIA"/>
    <x v="91"/>
    <x v="12"/>
    <s v="2025-01"/>
    <x v="19"/>
    <s v="PROSPECTAR"/>
    <x v="44"/>
    <n v="0"/>
    <n v="1"/>
  </r>
  <r>
    <s v="035.165.246/0001-06"/>
    <x v="104"/>
    <s v="INCL/EXCL ANOT.INADIMPLENCIA"/>
    <x v="91"/>
    <x v="3"/>
    <s v="2025-01"/>
    <x v="19"/>
    <s v="MARCUS VINICIUS "/>
    <x v="104"/>
    <n v="1"/>
    <n v="1"/>
  </r>
  <r>
    <s v="000.987.236/0001-63"/>
    <x v="98"/>
    <s v="INCLUSAO  ANOT.INADIMPLENCIA"/>
    <x v="91"/>
    <x v="4"/>
    <s v="2025-01"/>
    <x v="19"/>
    <s v="NOELI SALETE"/>
    <x v="98"/>
    <n v="0"/>
    <n v="1"/>
  </r>
  <r>
    <s v="007.906.793/0001-51"/>
    <x v="125"/>
    <s v="INCLUSAO  ANOT.INADIMPLENCIA"/>
    <x v="91"/>
    <x v="4"/>
    <s v="2025-01"/>
    <x v="19"/>
    <s v="NOELI SALETE"/>
    <x v="125"/>
    <n v="0"/>
    <n v="1"/>
  </r>
  <r>
    <s v="014.763.606/0001-93"/>
    <x v="10"/>
    <s v="INCLUSAO  ANOT.INADIMPLENCIA"/>
    <x v="91"/>
    <x v="4"/>
    <s v="2025-01"/>
    <x v="19"/>
    <s v="NOELI SALETE"/>
    <x v="10"/>
    <n v="0"/>
    <n v="1"/>
  </r>
  <r>
    <s v="046.140.062/0001-08"/>
    <x v="68"/>
    <s v="INCLUSAO  ANOT.INADIMPLENCIA"/>
    <x v="91"/>
    <x v="4"/>
    <s v="2025-01"/>
    <x v="19"/>
    <s v="NOELI SALETE"/>
    <x v="68"/>
    <n v="0"/>
    <n v="1"/>
  </r>
  <r>
    <s v="006.236.494/0001-94"/>
    <x v="61"/>
    <s v="EXCLUSAO  ANOT.INADIMPLENCIA"/>
    <x v="91"/>
    <x v="5"/>
    <s v="2025-01"/>
    <x v="19"/>
    <s v="POENATELA"/>
    <x v="61"/>
    <n v="1"/>
    <n v="0"/>
  </r>
  <r>
    <s v="045.694.996/0001-10"/>
    <x v="117"/>
    <s v="EXCLUSAO  ANOT.INADIMPLENCIA"/>
    <x v="91"/>
    <x v="10"/>
    <s v="2025-01"/>
    <x v="19"/>
    <s v="ROGERIO "/>
    <x v="117"/>
    <n v="1"/>
    <n v="0"/>
  </r>
  <r>
    <s v="055.979.736/0001-45"/>
    <x v="63"/>
    <s v="EXCLUSAO  ANOT.INADIMPLENCIA"/>
    <x v="91"/>
    <x v="16"/>
    <s v="2025-01"/>
    <x v="19"/>
    <s v="SACADO"/>
    <x v="63"/>
    <n v="1"/>
    <n v="0"/>
  </r>
  <r>
    <s v="016.772.642/0001-49"/>
    <x v="69"/>
    <s v="INCLUSAO  ANOT.INADIMPLENCIA"/>
    <x v="92"/>
    <x v="0"/>
    <s v="2025-01"/>
    <x v="20"/>
    <s v="ADMINISTRAÇÃO"/>
    <x v="69"/>
    <n v="0"/>
    <n v="1"/>
  </r>
  <r>
    <s v="023.911.356/0001-82"/>
    <x v="54"/>
    <s v="EXCLUSAO  ANOT.INADIMPLENCIA"/>
    <x v="92"/>
    <x v="0"/>
    <s v="2025-01"/>
    <x v="20"/>
    <s v="ADMINISTRAÇÃO"/>
    <x v="54"/>
    <n v="1"/>
    <n v="0"/>
  </r>
  <r>
    <s v="021.734.108/0001-88"/>
    <x v="41"/>
    <s v="INCLUSAO  ANOT.INADIMPLENCIA"/>
    <x v="92"/>
    <x v="0"/>
    <s v="2025-01"/>
    <x v="20"/>
    <s v="ADMINISTRAÇÃO"/>
    <x v="41"/>
    <n v="0"/>
    <n v="1"/>
  </r>
  <r>
    <s v="006.107.454/0001-42"/>
    <x v="42"/>
    <s v="INCLUSAO  ANOT.INADIMPLENCIA"/>
    <x v="92"/>
    <x v="0"/>
    <s v="2025-01"/>
    <x v="20"/>
    <s v="ADMINISTRAÇÃO"/>
    <x v="42"/>
    <n v="0"/>
    <n v="1"/>
  </r>
  <r>
    <s v="028.556.973/0001-20"/>
    <x v="118"/>
    <s v="EXCLUSAO  ANOT.INADIMPLENCIA"/>
    <x v="92"/>
    <x v="1"/>
    <s v="2025-01"/>
    <x v="20"/>
    <s v="CELIO PIMENTA"/>
    <x v="118"/>
    <n v="1"/>
    <n v="0"/>
  </r>
  <r>
    <s v="007.102.721/0001-51"/>
    <x v="44"/>
    <s v="INCLUSAO  ANOT.INADIMPLENCIA"/>
    <x v="92"/>
    <x v="12"/>
    <s v="2025-01"/>
    <x v="20"/>
    <s v="PROSPECTAR"/>
    <x v="44"/>
    <n v="0"/>
    <n v="1"/>
  </r>
  <r>
    <s v="007.561.436/0001-07"/>
    <x v="34"/>
    <s v="INCLUSAO  ANOT.INADIMPLENCIA"/>
    <x v="92"/>
    <x v="12"/>
    <s v="2025-01"/>
    <x v="20"/>
    <s v="PROSPECTAR"/>
    <x v="34"/>
    <n v="0"/>
    <n v="1"/>
  </r>
  <r>
    <s v="019.450.138/0001-10"/>
    <x v="70"/>
    <s v="INCLUSAO  ANOT.INADIMPLENCIA"/>
    <x v="92"/>
    <x v="17"/>
    <s v="2025-01"/>
    <x v="20"/>
    <s v="MARCIO LEONEL"/>
    <x v="70"/>
    <n v="0"/>
    <n v="1"/>
  </r>
  <r>
    <s v="035.165.246/0001-06"/>
    <x v="104"/>
    <s v="INCLUSAO  ANOT.INADIMPLENCIA"/>
    <x v="92"/>
    <x v="3"/>
    <s v="2025-01"/>
    <x v="20"/>
    <s v="MARCUS VINICIUS "/>
    <x v="104"/>
    <n v="0"/>
    <n v="1"/>
  </r>
  <r>
    <s v="007.906.793/0001-51"/>
    <x v="125"/>
    <s v="INCLUSAO  ANOT.INADIMPLENCIA"/>
    <x v="92"/>
    <x v="4"/>
    <s v="2025-01"/>
    <x v="20"/>
    <s v="NOELI SALETE"/>
    <x v="125"/>
    <n v="0"/>
    <n v="1"/>
  </r>
  <r>
    <s v="014.763.606/0001-93"/>
    <x v="10"/>
    <s v="INCLUSAO  ANOT.INADIMPLENCIA"/>
    <x v="92"/>
    <x v="4"/>
    <s v="2025-01"/>
    <x v="20"/>
    <s v="NOELI SALETE"/>
    <x v="10"/>
    <n v="0"/>
    <n v="1"/>
  </r>
  <r>
    <s v="088.978.606/0001-47"/>
    <x v="114"/>
    <s v="INCLUSAO  ANOT.INADIMPLENCIA"/>
    <x v="92"/>
    <x v="4"/>
    <s v="2025-01"/>
    <x v="20"/>
    <s v="NOELI SALETE"/>
    <x v="114"/>
    <n v="0"/>
    <n v="1"/>
  </r>
  <r>
    <s v="006.236.494/0001-94"/>
    <x v="61"/>
    <s v="EXCLUSAO  ANOT.INADIMPLENCIA"/>
    <x v="92"/>
    <x v="5"/>
    <s v="2025-01"/>
    <x v="20"/>
    <s v="POENATELA"/>
    <x v="61"/>
    <n v="1"/>
    <n v="0"/>
  </r>
  <r>
    <s v="028.477.685/0001-80"/>
    <x v="95"/>
    <s v="INCLUSAO  ANOT.INADIMPLENCIA"/>
    <x v="92"/>
    <x v="5"/>
    <s v="2025-01"/>
    <x v="20"/>
    <s v="POENATELA"/>
    <x v="95"/>
    <n v="0"/>
    <n v="1"/>
  </r>
  <r>
    <s v="013.746.252/0001-06"/>
    <x v="15"/>
    <s v="INCLUSAO  ANOT.INADIMPLENCIA"/>
    <x v="92"/>
    <x v="5"/>
    <s v="2025-01"/>
    <x v="20"/>
    <s v="POENATELA"/>
    <x v="15"/>
    <n v="0"/>
    <n v="1"/>
  </r>
  <r>
    <s v="000.810.852/0001-44"/>
    <x v="84"/>
    <s v="INCLUSAO  ANOT.INADIMPLENCIA"/>
    <x v="92"/>
    <x v="6"/>
    <s v="2025-01"/>
    <x v="20"/>
    <s v="RAFAEL PARISE"/>
    <x v="84"/>
    <n v="0"/>
    <n v="1"/>
  </r>
  <r>
    <s v="008.250.872/0001-10"/>
    <x v="121"/>
    <s v="INCLUSAO  ANOT.INADIMPLENCIA"/>
    <x v="92"/>
    <x v="6"/>
    <s v="2025-01"/>
    <x v="20"/>
    <s v="RAFAEL PARISE"/>
    <x v="121"/>
    <n v="0"/>
    <n v="1"/>
  </r>
  <r>
    <s v="038.110.780/0001-03"/>
    <x v="47"/>
    <s v="INCLUSAO  ANOT.INADIMPLENCIA"/>
    <x v="92"/>
    <x v="6"/>
    <s v="2025-01"/>
    <x v="20"/>
    <s v="RAFAEL PARISE"/>
    <x v="47"/>
    <n v="0"/>
    <n v="1"/>
  </r>
  <r>
    <s v="002.534.653/0001-86"/>
    <x v="105"/>
    <s v="EXCLUSAO  ANOT.INADIMPLENCIA"/>
    <x v="92"/>
    <x v="10"/>
    <s v="2025-01"/>
    <x v="20"/>
    <s v="ROGERIO "/>
    <x v="105"/>
    <n v="1"/>
    <n v="0"/>
  </r>
  <r>
    <s v="050.901.671/0001-00"/>
    <x v="126"/>
    <s v="INCLUSAO  ANOT.INADIMPLENCIA"/>
    <x v="92"/>
    <x v="10"/>
    <s v="2025-01"/>
    <x v="20"/>
    <s v="ROGERIO "/>
    <x v="126"/>
    <n v="0"/>
    <n v="1"/>
  </r>
  <r>
    <s v="050.164.951/0001-74"/>
    <x v="51"/>
    <s v="INCLUSAO  ANOT.INADIMPLENCIA"/>
    <x v="93"/>
    <x v="0"/>
    <s v="2025-01"/>
    <x v="20"/>
    <s v="ADMINISTRAÇÃO"/>
    <x v="51"/>
    <n v="0"/>
    <n v="1"/>
  </r>
  <r>
    <s v="045.123.456/0001-87"/>
    <x v="123"/>
    <s v="ALTERACAO RAZAO SOCIAL"/>
    <x v="93"/>
    <x v="0"/>
    <s v="2025-01"/>
    <x v="20"/>
    <s v="ADMINISTRAÇÃO"/>
    <x v="123"/>
    <n v="0"/>
    <n v="0"/>
  </r>
  <r>
    <s v="020.066.300/0001-80"/>
    <x v="2"/>
    <s v="INCL/EXCL ANOT.INADIMPLENCIA"/>
    <x v="93"/>
    <x v="1"/>
    <s v="2025-01"/>
    <x v="20"/>
    <s v="CELIO PIMENTA"/>
    <x v="2"/>
    <n v="1"/>
    <n v="1"/>
  </r>
  <r>
    <s v="007.102.721/0001-51"/>
    <x v="44"/>
    <s v="INCLUSAO  ANOT.INADIMPLENCIA"/>
    <x v="93"/>
    <x v="12"/>
    <s v="2025-01"/>
    <x v="20"/>
    <s v="PROSPECTAR"/>
    <x v="44"/>
    <n v="0"/>
    <n v="1"/>
  </r>
  <r>
    <s v="019.450.138/0001-10"/>
    <x v="70"/>
    <s v="EXCLUSAO  ANOT.INADIMPLENCIA"/>
    <x v="93"/>
    <x v="17"/>
    <s v="2025-01"/>
    <x v="20"/>
    <s v="MARCIO LEONEL"/>
    <x v="70"/>
    <n v="1"/>
    <n v="0"/>
  </r>
  <r>
    <s v="035.165.246/0001-06"/>
    <x v="104"/>
    <s v="INCL/EXCL ANOT.INADIMPLENCIA"/>
    <x v="93"/>
    <x v="3"/>
    <s v="2025-01"/>
    <x v="20"/>
    <s v="MARCUS VINICIUS "/>
    <x v="104"/>
    <n v="1"/>
    <n v="1"/>
  </r>
  <r>
    <s v="014.763.606/0001-93"/>
    <x v="10"/>
    <s v="INCLUSAO  ANOT.INADIMPLENCIA"/>
    <x v="93"/>
    <x v="4"/>
    <s v="2025-01"/>
    <x v="20"/>
    <s v="NOELI SALETE"/>
    <x v="10"/>
    <n v="0"/>
    <n v="1"/>
  </r>
  <r>
    <s v="046.140.062/0001-08"/>
    <x v="68"/>
    <s v="INCLUSAO  ANOT.INADIMPLENCIA"/>
    <x v="93"/>
    <x v="4"/>
    <s v="2025-01"/>
    <x v="20"/>
    <s v="NOELI SALETE"/>
    <x v="68"/>
    <n v="0"/>
    <n v="1"/>
  </r>
  <r>
    <s v="013.746.252/0001-06"/>
    <x v="15"/>
    <s v="EXCLUSAO  ANOT.INADIMPLENCIA"/>
    <x v="93"/>
    <x v="5"/>
    <s v="2025-01"/>
    <x v="20"/>
    <s v="POENATELA"/>
    <x v="15"/>
    <n v="1"/>
    <n v="0"/>
  </r>
  <r>
    <s v="029.246.128/0001-11"/>
    <x v="127"/>
    <s v="INCLUSAO  ANOT.INADIMPLENCIA"/>
    <x v="93"/>
    <x v="9"/>
    <s v="2025-01"/>
    <x v="20"/>
    <s v="PRISCILA METZ"/>
    <x v="127"/>
    <n v="0"/>
    <n v="1"/>
  </r>
  <r>
    <s v="026.438.913/0001-88"/>
    <x v="128"/>
    <s v="ALTERACAO RAZAO SOCIAL"/>
    <x v="93"/>
    <x v="6"/>
    <s v="2025-01"/>
    <x v="20"/>
    <s v="RAFAEL PARISE"/>
    <x v="128"/>
    <n v="0"/>
    <n v="0"/>
  </r>
  <r>
    <s v="008.250.872/0001-10"/>
    <x v="121"/>
    <s v="EXCLUSAO  ANOT.INADIMPLENCIA"/>
    <x v="93"/>
    <x v="6"/>
    <s v="2025-01"/>
    <x v="20"/>
    <s v="RAFAEL PARISE"/>
    <x v="121"/>
    <n v="1"/>
    <n v="0"/>
  </r>
  <r>
    <s v="038.110.780/0001-03"/>
    <x v="47"/>
    <s v="EXCLUSAO  ANOT.INADIMPLENCIA"/>
    <x v="93"/>
    <x v="6"/>
    <s v="2025-01"/>
    <x v="20"/>
    <s v="RAFAEL PARISE"/>
    <x v="47"/>
    <n v="1"/>
    <n v="0"/>
  </r>
  <r>
    <s v="042.276.517/0001-58"/>
    <x v="122"/>
    <s v="EXCLUSAO  ANOT.INADIMPLENCIA"/>
    <x v="93"/>
    <x v="10"/>
    <s v="2025-01"/>
    <x v="20"/>
    <s v="ROGERIO "/>
    <x v="122"/>
    <n v="1"/>
    <n v="0"/>
  </r>
  <r>
    <s v="055.979.736/0001-45"/>
    <x v="63"/>
    <s v="INCLUSAO  ANOT.INADIMPLENCIA"/>
    <x v="93"/>
    <x v="16"/>
    <s v="2025-01"/>
    <x v="20"/>
    <s v="SACADO"/>
    <x v="63"/>
    <n v="0"/>
    <n v="1"/>
  </r>
  <r>
    <s v="007.102.721/0001-51"/>
    <x v="44"/>
    <s v="EXCLUSAO  ANOT.INADIMPLENCIA"/>
    <x v="94"/>
    <x v="12"/>
    <s v="2025-01"/>
    <x v="20"/>
    <s v="PROSPECTAR"/>
    <x v="44"/>
    <n v="1"/>
    <n v="0"/>
  </r>
  <r>
    <s v="000.987.236/0001-63"/>
    <x v="98"/>
    <s v="EXCLUSAO  ANOT.INADIMPLENCIA"/>
    <x v="94"/>
    <x v="4"/>
    <s v="2025-01"/>
    <x v="20"/>
    <s v="NOELI SALETE"/>
    <x v="98"/>
    <n v="1"/>
    <n v="0"/>
  </r>
  <r>
    <s v="007.906.793/0001-51"/>
    <x v="125"/>
    <s v="EXCLUSAO  ANOT.INADIMPLENCIA"/>
    <x v="94"/>
    <x v="4"/>
    <s v="2025-01"/>
    <x v="20"/>
    <s v="NOELI SALETE"/>
    <x v="125"/>
    <n v="1"/>
    <n v="0"/>
  </r>
  <r>
    <s v="006.236.494/0001-94"/>
    <x v="61"/>
    <s v="EXCLUSAO  ANOT.INADIMPLENCIA"/>
    <x v="94"/>
    <x v="5"/>
    <s v="2025-01"/>
    <x v="20"/>
    <s v="POENATELA"/>
    <x v="61"/>
    <n v="1"/>
    <n v="0"/>
  </r>
  <r>
    <s v="013.746.252/0001-06"/>
    <x v="15"/>
    <s v="INCL/EXCL ANOT.INADIMPLENCIA"/>
    <x v="94"/>
    <x v="5"/>
    <s v="2025-01"/>
    <x v="20"/>
    <s v="POENATELA"/>
    <x v="15"/>
    <n v="1"/>
    <n v="1"/>
  </r>
  <r>
    <s v="071.350.797/0001-03"/>
    <x v="48"/>
    <s v="EXCLUSAO  ANOT.INADIMPLENCIA"/>
    <x v="94"/>
    <x v="10"/>
    <s v="2025-01"/>
    <x v="20"/>
    <s v="ROGERIO "/>
    <x v="48"/>
    <n v="1"/>
    <n v="0"/>
  </r>
  <r>
    <s v="035.165.246/0001-06"/>
    <x v="104"/>
    <s v="INCLUSAO  ANOT.INADIMPLENCIA"/>
    <x v="95"/>
    <x v="3"/>
    <s v="2025-01"/>
    <x v="20"/>
    <s v="MARCUS VINICIUS "/>
    <x v="104"/>
    <n v="0"/>
    <n v="1"/>
  </r>
  <r>
    <s v="046.140.062/0001-08"/>
    <x v="68"/>
    <s v="INCLUSAO  ANOT.INADIMPLENCIA"/>
    <x v="95"/>
    <x v="4"/>
    <s v="2025-01"/>
    <x v="20"/>
    <s v="NOELI SALETE"/>
    <x v="68"/>
    <n v="0"/>
    <n v="1"/>
  </r>
  <r>
    <s v="006.236.494/0001-94"/>
    <x v="61"/>
    <s v="EXCLUSAO  ANOT.INADIMPLENCIA"/>
    <x v="95"/>
    <x v="5"/>
    <s v="2025-01"/>
    <x v="20"/>
    <s v="POENATELA"/>
    <x v="61"/>
    <n v="1"/>
    <n v="0"/>
  </r>
  <r>
    <s v="004.041.192/0001-35"/>
    <x v="37"/>
    <s v="INCLUSAO  ANOT.INADIMPLENCIA"/>
    <x v="96"/>
    <x v="0"/>
    <s v="2025-01"/>
    <x v="20"/>
    <s v="ADMINISTRAÇÃO"/>
    <x v="37"/>
    <n v="0"/>
    <n v="1"/>
  </r>
  <r>
    <s v="007.102.721/0001-51"/>
    <x v="44"/>
    <s v="EXCLUSAO  ANOT.INADIMPLENCIA"/>
    <x v="96"/>
    <x v="12"/>
    <s v="2025-01"/>
    <x v="20"/>
    <s v="PROSPECTAR"/>
    <x v="44"/>
    <n v="1"/>
    <n v="0"/>
  </r>
  <r>
    <s v="021.420.856/0001-96"/>
    <x v="129"/>
    <s v="INCL/EXCL ANOT.INADIMPLENCIA"/>
    <x v="96"/>
    <x v="19"/>
    <s v="2025-01"/>
    <x v="20"/>
    <s v="JOSE ROBERTO"/>
    <x v="129"/>
    <n v="1"/>
    <n v="1"/>
  </r>
  <r>
    <s v="026.416.177/0001-67"/>
    <x v="130"/>
    <s v="INCLUSAO  ANOT.INADIMPLENCIA"/>
    <x v="96"/>
    <x v="3"/>
    <s v="2025-01"/>
    <x v="20"/>
    <s v="MARCUS VINICIUS "/>
    <x v="130"/>
    <n v="0"/>
    <n v="1"/>
  </r>
  <r>
    <s v="035.165.246/0001-06"/>
    <x v="104"/>
    <s v="INCLUSAO  ANOT.INADIMPLENCIA"/>
    <x v="96"/>
    <x v="3"/>
    <s v="2025-01"/>
    <x v="20"/>
    <s v="MARCUS VINICIUS "/>
    <x v="104"/>
    <n v="0"/>
    <n v="1"/>
  </r>
  <r>
    <s v="002.246.382/0001-63"/>
    <x v="56"/>
    <s v="EXCLUSAO  ANOT.INADIMPLENCIA"/>
    <x v="96"/>
    <x v="3"/>
    <s v="2025-01"/>
    <x v="20"/>
    <s v="MARCUS VINICIUS "/>
    <x v="56"/>
    <n v="1"/>
    <n v="0"/>
  </r>
  <r>
    <s v="008.991.603/0001-04"/>
    <x v="57"/>
    <s v="INCLUSAO  ANOT.INADIMPLENCIA"/>
    <x v="96"/>
    <x v="3"/>
    <s v="2025-01"/>
    <x v="20"/>
    <s v="MARCUS VINICIUS "/>
    <x v="57"/>
    <n v="0"/>
    <n v="1"/>
  </r>
  <r>
    <s v="000.803.044/0001-50"/>
    <x v="45"/>
    <s v="EXCLUSAO  ANOT.INADIMPLENCIA"/>
    <x v="96"/>
    <x v="0"/>
    <s v="2025-01"/>
    <x v="20"/>
    <s v="ADMINISTRAÇÃO"/>
    <x v="45"/>
    <n v="1"/>
    <n v="0"/>
  </r>
  <r>
    <s v="007.906.793/0001-51"/>
    <x v="125"/>
    <s v="INCLUSAO  ANOT.INADIMPLENCIA"/>
    <x v="96"/>
    <x v="4"/>
    <s v="2025-01"/>
    <x v="20"/>
    <s v="NOELI SALETE"/>
    <x v="125"/>
    <n v="0"/>
    <n v="1"/>
  </r>
  <r>
    <s v="006.236.494/0001-94"/>
    <x v="61"/>
    <s v="EXCLUSAO  ANOT.INADIMPLENCIA"/>
    <x v="96"/>
    <x v="5"/>
    <s v="2025-01"/>
    <x v="20"/>
    <s v="POENATELA"/>
    <x v="61"/>
    <n v="1"/>
    <n v="0"/>
  </r>
  <r>
    <s v="013.746.252/0001-06"/>
    <x v="15"/>
    <s v="INCL/EXCL ANOT.INADIMPLENCIA"/>
    <x v="96"/>
    <x v="5"/>
    <s v="2025-01"/>
    <x v="20"/>
    <s v="POENATELA"/>
    <x v="15"/>
    <n v="1"/>
    <n v="1"/>
  </r>
  <r>
    <s v="029.246.128/0001-11"/>
    <x v="127"/>
    <s v="EXCLUSAO  ANOT.INADIMPLENCIA"/>
    <x v="96"/>
    <x v="9"/>
    <s v="2025-01"/>
    <x v="20"/>
    <s v="PRISCILA METZ"/>
    <x v="127"/>
    <n v="1"/>
    <n v="0"/>
  </r>
  <r>
    <s v="014.385.825/0001-86"/>
    <x v="110"/>
    <s v="INCLUSAO  ANOT.INADIMPLENCIA"/>
    <x v="96"/>
    <x v="6"/>
    <s v="2025-01"/>
    <x v="20"/>
    <s v="RAFAEL PARISE"/>
    <x v="110"/>
    <n v="0"/>
    <n v="1"/>
  </r>
  <r>
    <s v="071.350.797/0001-03"/>
    <x v="48"/>
    <s v="INCLUSAO  ANOT.INADIMPLENCIA"/>
    <x v="96"/>
    <x v="10"/>
    <s v="2025-01"/>
    <x v="20"/>
    <s v="ROGERIO "/>
    <x v="48"/>
    <n v="0"/>
    <n v="1"/>
  </r>
  <r>
    <s v="008.785.522/0001-58"/>
    <x v="17"/>
    <s v="EXCLUSAO  ANOT.INADIMPLENCIA"/>
    <x v="96"/>
    <x v="7"/>
    <s v="2025-01"/>
    <x v="20"/>
    <s v="WHELKYA IRIS"/>
    <x v="17"/>
    <n v="1"/>
    <n v="0"/>
  </r>
  <r>
    <s v="007.561.436/0001-07"/>
    <x v="34"/>
    <s v="EXCLUSAO  ANOT.INADIMPLENCIA"/>
    <x v="97"/>
    <x v="12"/>
    <s v="2025-01"/>
    <x v="21"/>
    <s v="PROSPECTAR"/>
    <x v="34"/>
    <n v="1"/>
    <n v="0"/>
  </r>
  <r>
    <s v="007.906.793/0001-51"/>
    <x v="125"/>
    <s v="INCL/EXCL ANOT.INADIMPLENCIA"/>
    <x v="98"/>
    <x v="4"/>
    <s v="2025-01"/>
    <x v="21"/>
    <s v="NOELI SALETE"/>
    <x v="125"/>
    <n v="1"/>
    <n v="1"/>
  </r>
  <r>
    <s v="016.772.642/0001-49"/>
    <x v="69"/>
    <s v="INCLUSAO  ANOT.INADIMPLENCIA"/>
    <x v="99"/>
    <x v="0"/>
    <s v="2025-01"/>
    <x v="21"/>
    <s v="ADMINISTRAÇÃO"/>
    <x v="69"/>
    <n v="0"/>
    <n v="1"/>
  </r>
  <r>
    <s v="004.126.524/0001-84"/>
    <x v="28"/>
    <s v="EXCLUSAO  ANOT.INADIMPLENCIA"/>
    <x v="99"/>
    <x v="0"/>
    <s v="2025-01"/>
    <x v="21"/>
    <s v="ADMINISTRAÇÃO"/>
    <x v="28"/>
    <n v="1"/>
    <n v="0"/>
  </r>
  <r>
    <s v="028.556.973/0001-20"/>
    <x v="118"/>
    <s v="INCLUSAO  ANOT.INADIMPLENCIA"/>
    <x v="99"/>
    <x v="1"/>
    <s v="2025-01"/>
    <x v="21"/>
    <s v="CELIO PIMENTA"/>
    <x v="118"/>
    <n v="0"/>
    <n v="1"/>
  </r>
  <r>
    <s v="020.066.300/0001-80"/>
    <x v="2"/>
    <s v="INCLUSAO  ANOT.INADIMPLENCIA"/>
    <x v="99"/>
    <x v="1"/>
    <s v="2025-01"/>
    <x v="21"/>
    <s v="CELIO PIMENTA"/>
    <x v="2"/>
    <n v="0"/>
    <n v="1"/>
  </r>
  <r>
    <s v="012.520.791/0001-60"/>
    <x v="4"/>
    <s v="INCLUSAO  ANOT.INADIMPLENCIA"/>
    <x v="99"/>
    <x v="1"/>
    <s v="2025-01"/>
    <x v="21"/>
    <s v="CELIO PIMENTA"/>
    <x v="4"/>
    <n v="0"/>
    <n v="1"/>
  </r>
  <r>
    <s v="016.757.535/0001-41"/>
    <x v="29"/>
    <s v="INCLUSAO  ANOT.INADIMPLENCIA"/>
    <x v="99"/>
    <x v="11"/>
    <s v="2025-01"/>
    <x v="21"/>
    <s v="DIOGO AZEVEDO"/>
    <x v="29"/>
    <n v="0"/>
    <n v="1"/>
  </r>
  <r>
    <s v="028.842.753/0001-63"/>
    <x v="49"/>
    <s v="INCLUSAO  ANOT.INADIMPLENCIA"/>
    <x v="99"/>
    <x v="15"/>
    <s v="2025-01"/>
    <x v="21"/>
    <s v="EDUARDO MATOSO"/>
    <x v="49"/>
    <n v="0"/>
    <n v="1"/>
  </r>
  <r>
    <s v="035.649.603/0001-01"/>
    <x v="119"/>
    <s v="INCLUSAO  ANOT.INADIMPLENCIA"/>
    <x v="99"/>
    <x v="12"/>
    <s v="2025-01"/>
    <x v="21"/>
    <s v="PROSPECTAR"/>
    <x v="119"/>
    <n v="0"/>
    <n v="1"/>
  </r>
  <r>
    <s v="007.102.721/0001-51"/>
    <x v="44"/>
    <s v="EXCLUSAO  ANOT.INADIMPLENCIA"/>
    <x v="99"/>
    <x v="12"/>
    <s v="2025-01"/>
    <x v="21"/>
    <s v="PROSPECTAR"/>
    <x v="44"/>
    <n v="1"/>
    <n v="0"/>
  </r>
  <r>
    <s v="019.450.138/0001-10"/>
    <x v="70"/>
    <s v="INCLUSAO  ANOT.INADIMPLENCIA"/>
    <x v="99"/>
    <x v="17"/>
    <s v="2025-01"/>
    <x v="21"/>
    <s v="MARCIO LEONEL"/>
    <x v="70"/>
    <n v="0"/>
    <n v="1"/>
  </r>
  <r>
    <s v="018.608.055/0001-44"/>
    <x v="131"/>
    <s v="EXCLUSAO  ANOT.INADIMPLENCIA"/>
    <x v="99"/>
    <x v="3"/>
    <s v="2025-01"/>
    <x v="21"/>
    <s v="MARCUS VINICIUS "/>
    <x v="131"/>
    <n v="1"/>
    <n v="0"/>
  </r>
  <r>
    <s v="034.821.586/0001-77"/>
    <x v="38"/>
    <s v="INCLUSAO  ANOT.INADIMPLENCIA"/>
    <x v="99"/>
    <x v="3"/>
    <s v="2025-01"/>
    <x v="21"/>
    <s v="MARCUS VINICIUS "/>
    <x v="38"/>
    <n v="0"/>
    <n v="1"/>
  </r>
  <r>
    <s v="035.165.246/0001-06"/>
    <x v="104"/>
    <s v="INCLUSAO  ANOT.INADIMPLENCIA"/>
    <x v="99"/>
    <x v="3"/>
    <s v="2025-01"/>
    <x v="21"/>
    <s v="MARCUS VINICIUS "/>
    <x v="104"/>
    <n v="0"/>
    <n v="1"/>
  </r>
  <r>
    <s v="002.246.382/0001-63"/>
    <x v="56"/>
    <s v="EXCLUSAO  ANOT.INADIMPLENCIA"/>
    <x v="99"/>
    <x v="3"/>
    <s v="2025-01"/>
    <x v="21"/>
    <s v="MARCUS VINICIUS "/>
    <x v="56"/>
    <n v="1"/>
    <n v="0"/>
  </r>
  <r>
    <s v="008.991.603/0001-04"/>
    <x v="57"/>
    <s v="INCLUSAO  ANOT.INADIMPLENCIA"/>
    <x v="99"/>
    <x v="3"/>
    <s v="2025-01"/>
    <x v="21"/>
    <s v="MARCUS VINICIUS "/>
    <x v="57"/>
    <n v="0"/>
    <n v="1"/>
  </r>
  <r>
    <s v="000.987.236/0001-63"/>
    <x v="98"/>
    <s v="EXCLUSAO  ANOT.INADIMPLENCIA"/>
    <x v="99"/>
    <x v="4"/>
    <s v="2025-01"/>
    <x v="21"/>
    <s v="NOELI SALETE"/>
    <x v="98"/>
    <n v="1"/>
    <n v="0"/>
  </r>
  <r>
    <s v="014.763.606/0001-93"/>
    <x v="10"/>
    <s v="INCLUSAO  ANOT.INADIMPLENCIA"/>
    <x v="99"/>
    <x v="4"/>
    <s v="2025-01"/>
    <x v="21"/>
    <s v="NOELI SALETE"/>
    <x v="10"/>
    <n v="0"/>
    <n v="1"/>
  </r>
  <r>
    <s v="014.763.606/0001-93"/>
    <x v="10"/>
    <s v="INCLUSAO  ANOT.INADIMPLENCIA"/>
    <x v="99"/>
    <x v="4"/>
    <s v="2025-01"/>
    <x v="21"/>
    <s v="NOELI SALETE"/>
    <x v="10"/>
    <n v="0"/>
    <n v="1"/>
  </r>
  <r>
    <s v="088.978.606/0001-47"/>
    <x v="114"/>
    <s v="INCLUSAO  ANOT.INADIMPLENCIA"/>
    <x v="99"/>
    <x v="4"/>
    <s v="2025-01"/>
    <x v="21"/>
    <s v="NOELI SALETE"/>
    <x v="114"/>
    <n v="0"/>
    <n v="1"/>
  </r>
  <r>
    <s v="006.236.494/0001-94"/>
    <x v="61"/>
    <s v="EXCLUSAO  ANOT.INADIMPLENCIA"/>
    <x v="99"/>
    <x v="5"/>
    <s v="2025-01"/>
    <x v="21"/>
    <s v="POENATELA"/>
    <x v="61"/>
    <n v="1"/>
    <n v="0"/>
  </r>
  <r>
    <s v="016.956.677/0001-38"/>
    <x v="92"/>
    <s v="INCLUSAO  ANOT.INADIMPLENCIA"/>
    <x v="99"/>
    <x v="5"/>
    <s v="2025-01"/>
    <x v="21"/>
    <s v="POENATELA"/>
    <x v="92"/>
    <n v="0"/>
    <n v="1"/>
  </r>
  <r>
    <s v="013.746.252/0001-06"/>
    <x v="15"/>
    <s v="INCLUSAO  ANOT.INADIMPLENCIA"/>
    <x v="99"/>
    <x v="5"/>
    <s v="2025-01"/>
    <x v="21"/>
    <s v="POENATELA"/>
    <x v="15"/>
    <n v="0"/>
    <n v="1"/>
  </r>
  <r>
    <s v="021.473.575/0001-00"/>
    <x v="62"/>
    <s v="INCLUSAO  ANOT.INADIMPLENCIA"/>
    <x v="99"/>
    <x v="9"/>
    <s v="2025-01"/>
    <x v="21"/>
    <s v="PRISCILA METZ"/>
    <x v="62"/>
    <n v="0"/>
    <n v="1"/>
  </r>
  <r>
    <s v="014.385.825/0001-86"/>
    <x v="110"/>
    <s v="INCLUSAO  ANOT.INADIMPLENCIA"/>
    <x v="99"/>
    <x v="6"/>
    <s v="2025-01"/>
    <x v="21"/>
    <s v="RAFAEL PARISE"/>
    <x v="110"/>
    <n v="0"/>
    <n v="1"/>
  </r>
  <r>
    <s v="002.534.653/0001-86"/>
    <x v="105"/>
    <s v="EXCLUSAO  ANOT.INADIMPLENCIA"/>
    <x v="99"/>
    <x v="10"/>
    <s v="2025-01"/>
    <x v="21"/>
    <s v="ROGERIO "/>
    <x v="105"/>
    <n v="1"/>
    <n v="0"/>
  </r>
  <r>
    <s v="005.355.135/0001-93"/>
    <x v="113"/>
    <s v="INCLUSAO  ANOT.INADIMPLENCIA"/>
    <x v="99"/>
    <x v="10"/>
    <s v="2025-01"/>
    <x v="21"/>
    <s v="ROGERIO "/>
    <x v="113"/>
    <n v="0"/>
    <n v="1"/>
  </r>
  <r>
    <s v="043.515.558/0001-12"/>
    <x v="22"/>
    <s v="INCLUSAO  ANOT.INADIMPLENCIA"/>
    <x v="99"/>
    <x v="10"/>
    <s v="2025-01"/>
    <x v="21"/>
    <s v="ROGERIO "/>
    <x v="22"/>
    <n v="0"/>
    <n v="1"/>
  </r>
  <r>
    <s v="016.772.642/0001-49"/>
    <x v="69"/>
    <s v="INCLUSAO  ANOT.INADIMPLENCIA"/>
    <x v="100"/>
    <x v="0"/>
    <s v="2025-01"/>
    <x v="21"/>
    <s v="ADMINISTRAÇÃO"/>
    <x v="69"/>
    <n v="0"/>
    <n v="1"/>
  </r>
  <r>
    <s v="033.803.691/0001-10"/>
    <x v="103"/>
    <s v="ALTERACAO QUADRO SOCIAL"/>
    <x v="100"/>
    <x v="0"/>
    <s v="2025-01"/>
    <x v="21"/>
    <s v="ADMINISTRAÇÃO"/>
    <x v="103"/>
    <n v="0"/>
    <n v="0"/>
  </r>
  <r>
    <s v="033.803.691/0001-10"/>
    <x v="103"/>
    <s v="ALTERACAO ADMINISTRADORES"/>
    <x v="100"/>
    <x v="0"/>
    <s v="2025-01"/>
    <x v="21"/>
    <s v="ADMINISTRAÇÃO"/>
    <x v="103"/>
    <n v="0"/>
    <n v="0"/>
  </r>
  <r>
    <s v="001.831.532/0001-33"/>
    <x v="132"/>
    <s v="ALTERACAO QUADRO SOCIAL"/>
    <x v="100"/>
    <x v="0"/>
    <s v="2025-01"/>
    <x v="21"/>
    <s v="ADMINISTRAÇÃO"/>
    <x v="132"/>
    <n v="0"/>
    <n v="0"/>
  </r>
  <r>
    <s v="004.126.524/0001-84"/>
    <x v="28"/>
    <s v="EXCLUSAO  ANOT.INADIMPLENCIA"/>
    <x v="100"/>
    <x v="0"/>
    <s v="2025-01"/>
    <x v="21"/>
    <s v="ADMINISTRAÇÃO"/>
    <x v="28"/>
    <n v="1"/>
    <n v="0"/>
  </r>
  <r>
    <s v="036.726.274/0001-00"/>
    <x v="133"/>
    <s v="INCLUSAO  ANOT.INADIMPLENCIA"/>
    <x v="100"/>
    <x v="1"/>
    <s v="2025-01"/>
    <x v="21"/>
    <s v="CELIO PIMENTA"/>
    <x v="133"/>
    <n v="0"/>
    <n v="1"/>
  </r>
  <r>
    <s v="029.030.307/0001-17"/>
    <x v="43"/>
    <s v="INCLUSAO  ANOT.INADIMPLENCIA"/>
    <x v="100"/>
    <x v="1"/>
    <s v="2025-01"/>
    <x v="21"/>
    <s v="CELIO PIMENTA"/>
    <x v="43"/>
    <n v="0"/>
    <n v="1"/>
  </r>
  <r>
    <s v="025.236.865/0001-82"/>
    <x v="50"/>
    <s v="EXCLUSAO  ANOT.INADIMPLENCIA"/>
    <x v="100"/>
    <x v="1"/>
    <s v="2025-01"/>
    <x v="21"/>
    <s v="CELIO PIMENTA"/>
    <x v="50"/>
    <n v="1"/>
    <n v="0"/>
  </r>
  <r>
    <s v="028.842.753/0001-63"/>
    <x v="49"/>
    <s v="INCLUSAO  ANOT.INADIMPLENCIA"/>
    <x v="100"/>
    <x v="15"/>
    <s v="2025-01"/>
    <x v="21"/>
    <s v="EDUARDO MATOSO"/>
    <x v="49"/>
    <n v="0"/>
    <n v="1"/>
  </r>
  <r>
    <s v="007.102.721/0001-51"/>
    <x v="44"/>
    <s v="INCLUSAO  ANOT.INADIMPLENCIA"/>
    <x v="100"/>
    <x v="12"/>
    <s v="2025-01"/>
    <x v="21"/>
    <s v="PROSPECTAR"/>
    <x v="44"/>
    <n v="0"/>
    <n v="1"/>
  </r>
  <r>
    <s v="021.420.856/0001-96"/>
    <x v="129"/>
    <s v="INCLUSAO  ANOT.INADIMPLENCIA"/>
    <x v="100"/>
    <x v="19"/>
    <s v="2025-01"/>
    <x v="21"/>
    <s v="JOSE ROBERTO"/>
    <x v="129"/>
    <n v="0"/>
    <n v="1"/>
  </r>
  <r>
    <s v="019.450.138/0001-10"/>
    <x v="70"/>
    <s v="INCLUSAO  ANOT.INADIMPLENCIA"/>
    <x v="100"/>
    <x v="17"/>
    <s v="2025-01"/>
    <x v="21"/>
    <s v="MARCIO LEONEL"/>
    <x v="70"/>
    <n v="0"/>
    <n v="1"/>
  </r>
  <r>
    <s v="026.416.177/0001-67"/>
    <x v="130"/>
    <s v="INCLUSAO  ANOT.INADIMPLENCIA"/>
    <x v="100"/>
    <x v="3"/>
    <s v="2025-01"/>
    <x v="21"/>
    <s v="MARCUS VINICIUS "/>
    <x v="130"/>
    <n v="0"/>
    <n v="1"/>
  </r>
  <r>
    <s v="000.803.044/0001-50"/>
    <x v="45"/>
    <s v="EXCLUSAO  ANOT.INADIMPLENCIA"/>
    <x v="100"/>
    <x v="0"/>
    <s v="2025-01"/>
    <x v="21"/>
    <s v="ADMINISTRAÇÃO"/>
    <x v="45"/>
    <n v="1"/>
    <n v="0"/>
  </r>
  <r>
    <s v="014.763.606/0001-93"/>
    <x v="10"/>
    <s v="INCLUSAO  ANOT.INADIMPLENCIA"/>
    <x v="100"/>
    <x v="4"/>
    <s v="2025-01"/>
    <x v="21"/>
    <s v="NOELI SALETE"/>
    <x v="10"/>
    <n v="0"/>
    <n v="1"/>
  </r>
  <r>
    <s v="088.978.606/0001-47"/>
    <x v="114"/>
    <s v="INCLUSAO  ANOT.INADIMPLENCIA"/>
    <x v="100"/>
    <x v="4"/>
    <s v="2025-01"/>
    <x v="21"/>
    <s v="NOELI SALETE"/>
    <x v="114"/>
    <n v="0"/>
    <n v="1"/>
  </r>
  <r>
    <s v="037.143.334/0001-24"/>
    <x v="134"/>
    <s v="INCLUSAO  ANOT.INADIMPLENCIA"/>
    <x v="100"/>
    <x v="4"/>
    <s v="2025-01"/>
    <x v="21"/>
    <s v="NOELI SALETE"/>
    <x v="134"/>
    <n v="0"/>
    <n v="1"/>
  </r>
  <r>
    <s v="006.236.494/0001-94"/>
    <x v="61"/>
    <s v="EXCLUSAO  ANOT.INADIMPLENCIA"/>
    <x v="100"/>
    <x v="5"/>
    <s v="2025-01"/>
    <x v="21"/>
    <s v="POENATELA"/>
    <x v="61"/>
    <n v="1"/>
    <n v="0"/>
  </r>
  <r>
    <s v="013.746.252/0001-06"/>
    <x v="15"/>
    <s v="INCLUSAO  ANOT.INADIMPLENCIA"/>
    <x v="100"/>
    <x v="5"/>
    <s v="2025-01"/>
    <x v="21"/>
    <s v="POENATELA"/>
    <x v="15"/>
    <n v="0"/>
    <n v="1"/>
  </r>
  <r>
    <s v="049.847.331/0001-50"/>
    <x v="135"/>
    <s v="INCLUSAO  ANOT.INADIMPLENCIA"/>
    <x v="100"/>
    <x v="9"/>
    <s v="2025-01"/>
    <x v="21"/>
    <s v="PRISCILA METZ"/>
    <x v="135"/>
    <n v="0"/>
    <n v="1"/>
  </r>
  <r>
    <s v="014.829.598/0001-30"/>
    <x v="31"/>
    <s v="EXCLUSAO  ANOT.INADIMPLENCIA"/>
    <x v="100"/>
    <x v="9"/>
    <s v="2025-01"/>
    <x v="21"/>
    <s v="PRISCILA METZ"/>
    <x v="31"/>
    <n v="1"/>
    <n v="0"/>
  </r>
  <r>
    <s v="066.209.362/0001-03"/>
    <x v="136"/>
    <s v="INCLUSAO  ANOT.INADIMPLENCIA"/>
    <x v="100"/>
    <x v="6"/>
    <s v="2025-01"/>
    <x v="21"/>
    <s v="RAFAEL PARISE"/>
    <x v="136"/>
    <n v="0"/>
    <n v="1"/>
  </r>
  <r>
    <s v="041.421.379/0001-90"/>
    <x v="137"/>
    <s v="INCLUSAO  ANOT.INADIMPLENCIA"/>
    <x v="100"/>
    <x v="6"/>
    <s v="2025-01"/>
    <x v="21"/>
    <s v="RAFAEL PARISE"/>
    <x v="137"/>
    <n v="0"/>
    <n v="1"/>
  </r>
  <r>
    <s v="051.107.672/0001-31"/>
    <x v="32"/>
    <s v="INCLUSAO  ANOT.INADIMPLENCIA"/>
    <x v="100"/>
    <x v="10"/>
    <s v="2025-01"/>
    <x v="21"/>
    <s v="ROGERIO "/>
    <x v="32"/>
    <n v="0"/>
    <n v="1"/>
  </r>
  <r>
    <s v="043.515.558/0001-12"/>
    <x v="22"/>
    <s v="ALTERACAO QUADRO SOCIAL"/>
    <x v="100"/>
    <x v="10"/>
    <s v="2025-01"/>
    <x v="21"/>
    <s v="ROGERIO "/>
    <x v="22"/>
    <n v="0"/>
    <n v="0"/>
  </r>
  <r>
    <s v="043.515.558/0001-12"/>
    <x v="22"/>
    <s v="INCLUSAO  ANOT.INADIMPLENCIA"/>
    <x v="100"/>
    <x v="10"/>
    <s v="2025-01"/>
    <x v="21"/>
    <s v="ROGERIO "/>
    <x v="22"/>
    <n v="0"/>
    <n v="1"/>
  </r>
  <r>
    <s v="029.795.190/0001-62"/>
    <x v="138"/>
    <s v="EXCLUSAO  ANOT.INADIMPLENCIA"/>
    <x v="101"/>
    <x v="0"/>
    <s v="2025-01"/>
    <x v="21"/>
    <s v="ADMINISTRAÇÃO"/>
    <x v="138"/>
    <n v="1"/>
    <n v="0"/>
  </r>
  <r>
    <s v="004.126.524/0001-84"/>
    <x v="28"/>
    <s v="EXCLUSAO  ANOT.INADIMPLENCIA"/>
    <x v="101"/>
    <x v="0"/>
    <s v="2025-01"/>
    <x v="21"/>
    <s v="ADMINISTRAÇÃO"/>
    <x v="28"/>
    <n v="1"/>
    <n v="0"/>
  </r>
  <r>
    <s v="028.556.973/0001-20"/>
    <x v="118"/>
    <s v="EXCLUSAO  ANOT.INADIMPLENCIA"/>
    <x v="101"/>
    <x v="1"/>
    <s v="2025-01"/>
    <x v="21"/>
    <s v="CELIO PIMENTA"/>
    <x v="118"/>
    <n v="1"/>
    <n v="0"/>
  </r>
  <r>
    <s v="020.066.300/0001-80"/>
    <x v="2"/>
    <s v="INCL/EXCL ANOT.INADIMPLENCIA"/>
    <x v="101"/>
    <x v="1"/>
    <s v="2025-01"/>
    <x v="21"/>
    <s v="CELIO PIMENTA"/>
    <x v="2"/>
    <n v="1"/>
    <n v="1"/>
  </r>
  <r>
    <s v="007.102.721/0001-51"/>
    <x v="44"/>
    <s v="EXCLUSAO  ANOT.INADIMPLENCIA"/>
    <x v="101"/>
    <x v="12"/>
    <s v="2025-01"/>
    <x v="21"/>
    <s v="PROSPECTAR"/>
    <x v="44"/>
    <n v="1"/>
    <n v="0"/>
  </r>
  <r>
    <s v="021.420.856/0001-96"/>
    <x v="129"/>
    <s v="EXCLUSAO  ANOT.INADIMPLENCIA"/>
    <x v="101"/>
    <x v="19"/>
    <s v="2025-01"/>
    <x v="21"/>
    <s v="JOSE ROBERTO"/>
    <x v="129"/>
    <n v="1"/>
    <n v="0"/>
  </r>
  <r>
    <s v="019.450.138/0001-10"/>
    <x v="70"/>
    <s v="INCLUSAO  ANOT.INADIMPLENCIA"/>
    <x v="101"/>
    <x v="17"/>
    <s v="2025-01"/>
    <x v="21"/>
    <s v="MARCIO LEONEL"/>
    <x v="70"/>
    <n v="0"/>
    <n v="1"/>
  </r>
  <r>
    <s v="025.825.654/0001-85"/>
    <x v="7"/>
    <s v="INCLUSAO  ANOT.INADIMPLENCIA"/>
    <x v="101"/>
    <x v="3"/>
    <s v="2025-01"/>
    <x v="21"/>
    <s v="MARCUS VINICIUS "/>
    <x v="7"/>
    <n v="0"/>
    <n v="1"/>
  </r>
  <r>
    <s v="034.821.586/0001-77"/>
    <x v="38"/>
    <s v="INCLUSAO  ANOT.INADIMPLENCIA"/>
    <x v="101"/>
    <x v="3"/>
    <s v="2025-01"/>
    <x v="21"/>
    <s v="MARCUS VINICIUS "/>
    <x v="38"/>
    <n v="0"/>
    <n v="1"/>
  </r>
  <r>
    <s v="035.165.246/0001-06"/>
    <x v="104"/>
    <s v="INCLUSAO  ANOT.INADIMPLENCIA"/>
    <x v="101"/>
    <x v="3"/>
    <s v="2025-01"/>
    <x v="21"/>
    <s v="MARCUS VINICIUS "/>
    <x v="104"/>
    <n v="0"/>
    <n v="1"/>
  </r>
  <r>
    <s v="002.246.382/0001-63"/>
    <x v="56"/>
    <s v="INCLUSAO  ANOT.INADIMPLENCIA"/>
    <x v="101"/>
    <x v="3"/>
    <s v="2025-01"/>
    <x v="21"/>
    <s v="MARCUS VINICIUS "/>
    <x v="56"/>
    <n v="0"/>
    <n v="1"/>
  </r>
  <r>
    <s v="008.991.603/0001-04"/>
    <x v="57"/>
    <s v="INCL/EXCL ANOT.INADIMPLENCIA"/>
    <x v="101"/>
    <x v="3"/>
    <s v="2025-01"/>
    <x v="21"/>
    <s v="MARCUS VINICIUS "/>
    <x v="57"/>
    <n v="1"/>
    <n v="1"/>
  </r>
  <r>
    <s v="035.665.211/0001-28"/>
    <x v="93"/>
    <s v="INCLUSAO  ANOT.INADIMPLENCIA"/>
    <x v="101"/>
    <x v="0"/>
    <s v="2025-01"/>
    <x v="21"/>
    <s v="ADMINISTRAÇÃO"/>
    <x v="93"/>
    <n v="0"/>
    <n v="1"/>
  </r>
  <r>
    <s v="088.978.606/0001-47"/>
    <x v="114"/>
    <s v="INCL/EXCL ANOT.INADIMPLENCIA"/>
    <x v="101"/>
    <x v="4"/>
    <s v="2025-01"/>
    <x v="21"/>
    <s v="NOELI SALETE"/>
    <x v="114"/>
    <n v="1"/>
    <n v="1"/>
  </r>
  <r>
    <s v="036.906.058/0001-46"/>
    <x v="75"/>
    <s v="EXCLUSAO  ANOT.INADIMPLENCIA"/>
    <x v="101"/>
    <x v="4"/>
    <s v="2025-01"/>
    <x v="21"/>
    <s v="NOELI SALETE"/>
    <x v="75"/>
    <n v="1"/>
    <n v="0"/>
  </r>
  <r>
    <s v="006.236.494/0001-94"/>
    <x v="61"/>
    <s v="EXCLUSAO  ANOT.INADIMPLENCIA"/>
    <x v="101"/>
    <x v="5"/>
    <s v="2025-01"/>
    <x v="21"/>
    <s v="POENATELA"/>
    <x v="61"/>
    <n v="1"/>
    <n v="0"/>
  </r>
  <r>
    <s v="023.637.987/0001-55"/>
    <x v="20"/>
    <s v="ALTERACAO QUADRO SOCIAL"/>
    <x v="101"/>
    <x v="5"/>
    <s v="2025-01"/>
    <x v="21"/>
    <s v="POENATELA"/>
    <x v="20"/>
    <n v="0"/>
    <n v="0"/>
  </r>
  <r>
    <s v="023.637.987/0001-55"/>
    <x v="20"/>
    <s v="ALTERACAO ADMINISTRADORES"/>
    <x v="101"/>
    <x v="5"/>
    <s v="2025-01"/>
    <x v="21"/>
    <s v="POENATELA"/>
    <x v="20"/>
    <n v="0"/>
    <n v="0"/>
  </r>
  <r>
    <s v="013.746.252/0001-06"/>
    <x v="15"/>
    <s v="EXCLUSAO  ANOT.INADIMPLENCIA"/>
    <x v="101"/>
    <x v="5"/>
    <s v="2025-01"/>
    <x v="21"/>
    <s v="POENATELA"/>
    <x v="15"/>
    <n v="1"/>
    <n v="0"/>
  </r>
  <r>
    <s v="037.054.821/0001-10"/>
    <x v="83"/>
    <s v="EXCLUSAO  ANOT.INADIMPLENCIA"/>
    <x v="101"/>
    <x v="9"/>
    <s v="2025-01"/>
    <x v="21"/>
    <s v="PRISCILA METZ"/>
    <x v="83"/>
    <n v="1"/>
    <n v="0"/>
  </r>
  <r>
    <s v="049.847.331/0001-50"/>
    <x v="135"/>
    <s v="INCLUSAO  ANOT.INADIMPLENCIA"/>
    <x v="101"/>
    <x v="9"/>
    <s v="2025-01"/>
    <x v="21"/>
    <s v="PRISCILA METZ"/>
    <x v="135"/>
    <n v="0"/>
    <n v="1"/>
  </r>
  <r>
    <s v="050.721.360/0001-50"/>
    <x v="109"/>
    <s v="ALTERACAO ENDERECO"/>
    <x v="101"/>
    <x v="9"/>
    <s v="2025-01"/>
    <x v="21"/>
    <s v="PRISCILA METZ"/>
    <x v="109"/>
    <n v="0"/>
    <n v="0"/>
  </r>
  <r>
    <s v="021.473.575/0001-00"/>
    <x v="62"/>
    <s v="INCLUSAO  ANOT.INADIMPLENCIA"/>
    <x v="101"/>
    <x v="9"/>
    <s v="2025-01"/>
    <x v="21"/>
    <s v="PRISCILA METZ"/>
    <x v="62"/>
    <n v="0"/>
    <n v="1"/>
  </r>
  <r>
    <s v="050.850.666/0001-07"/>
    <x v="139"/>
    <s v="EXCLUSAO  ANOT.INADIMPLENCIA"/>
    <x v="101"/>
    <x v="6"/>
    <s v="2025-01"/>
    <x v="21"/>
    <s v="RAFAEL PARISE"/>
    <x v="139"/>
    <n v="1"/>
    <n v="0"/>
  </r>
  <r>
    <s v="000.810.852/0001-44"/>
    <x v="84"/>
    <s v="INCLUSAO  ANOT.INADIMPLENCIA"/>
    <x v="101"/>
    <x v="6"/>
    <s v="2025-01"/>
    <x v="21"/>
    <s v="RAFAEL PARISE"/>
    <x v="84"/>
    <n v="0"/>
    <n v="1"/>
  </r>
  <r>
    <s v="038.110.780/0001-03"/>
    <x v="47"/>
    <s v="INCLUSAO  ANOT.INADIMPLENCIA"/>
    <x v="101"/>
    <x v="6"/>
    <s v="2025-01"/>
    <x v="21"/>
    <s v="RAFAEL PARISE"/>
    <x v="47"/>
    <n v="0"/>
    <n v="1"/>
  </r>
  <r>
    <s v="071.350.797/0001-03"/>
    <x v="48"/>
    <s v="EXCLUSAO  ANOT.INADIMPLENCIA"/>
    <x v="101"/>
    <x v="10"/>
    <s v="2025-01"/>
    <x v="21"/>
    <s v="ROGERIO "/>
    <x v="48"/>
    <n v="1"/>
    <n v="0"/>
  </r>
  <r>
    <s v="046.674.060/0001-90"/>
    <x v="140"/>
    <s v="EXCLUSAO  ANOT.INADIMPLENCIA"/>
    <x v="101"/>
    <x v="10"/>
    <s v="2025-01"/>
    <x v="21"/>
    <s v="ROGERIO "/>
    <x v="140"/>
    <n v="1"/>
    <n v="0"/>
  </r>
  <r>
    <s v="051.362.368/0001-30"/>
    <x v="141"/>
    <s v="EXCLUSAO  ANOT.INADIMPLENCIA"/>
    <x v="101"/>
    <x v="10"/>
    <s v="2025-01"/>
    <x v="21"/>
    <s v="ROGERIO "/>
    <x v="141"/>
    <n v="1"/>
    <n v="0"/>
  </r>
  <r>
    <s v="016.772.642/0001-49"/>
    <x v="69"/>
    <s v="INCLUSAO  ANOT.INADIMPLENCIA"/>
    <x v="102"/>
    <x v="0"/>
    <s v="2025-01"/>
    <x v="21"/>
    <s v="ADMINISTRAÇÃO"/>
    <x v="69"/>
    <n v="0"/>
    <n v="1"/>
  </r>
  <r>
    <s v="023.911.356/0001-82"/>
    <x v="54"/>
    <s v="EXCLUSAO  ANOT.INADIMPLENCIA"/>
    <x v="102"/>
    <x v="0"/>
    <s v="2025-01"/>
    <x v="21"/>
    <s v="ADMINISTRAÇÃO"/>
    <x v="54"/>
    <n v="1"/>
    <n v="0"/>
  </r>
  <r>
    <s v="020.066.300/0001-80"/>
    <x v="2"/>
    <s v="INCLUSAO  ANOT.INADIMPLENCIA"/>
    <x v="102"/>
    <x v="1"/>
    <s v="2025-01"/>
    <x v="21"/>
    <s v="CELIO PIMENTA"/>
    <x v="2"/>
    <n v="0"/>
    <n v="1"/>
  </r>
  <r>
    <s v="012.520.791/0001-60"/>
    <x v="4"/>
    <s v="EXCLUSAO  ANOT.INADIMPLENCIA"/>
    <x v="102"/>
    <x v="1"/>
    <s v="2025-01"/>
    <x v="21"/>
    <s v="CELIO PIMENTA"/>
    <x v="4"/>
    <n v="1"/>
    <n v="0"/>
  </r>
  <r>
    <s v="016.757.535/0001-41"/>
    <x v="29"/>
    <s v="INCLUSAO  ANOT.INADIMPLENCIA"/>
    <x v="102"/>
    <x v="11"/>
    <s v="2025-01"/>
    <x v="21"/>
    <s v="DIOGO AZEVEDO"/>
    <x v="29"/>
    <n v="0"/>
    <n v="1"/>
  </r>
  <r>
    <s v="028.842.753/0001-63"/>
    <x v="49"/>
    <s v="INCL/EXCL ANOT.INADIMPLENCIA"/>
    <x v="102"/>
    <x v="15"/>
    <s v="2025-01"/>
    <x v="21"/>
    <s v="EDUARDO MATOSO"/>
    <x v="49"/>
    <n v="1"/>
    <n v="1"/>
  </r>
  <r>
    <s v="026.416.177/0001-67"/>
    <x v="130"/>
    <s v="INCLUSAO  ANOT.INADIMPLENCIA"/>
    <x v="102"/>
    <x v="3"/>
    <s v="2025-01"/>
    <x v="21"/>
    <s v="MARCUS VINICIUS "/>
    <x v="130"/>
    <n v="0"/>
    <n v="1"/>
  </r>
  <r>
    <s v="005.350.235/0001-27"/>
    <x v="72"/>
    <s v="EXCLUSAO  ANOT.INADIMPLENCIA"/>
    <x v="102"/>
    <x v="3"/>
    <s v="2025-01"/>
    <x v="21"/>
    <s v="MARCUS VINICIUS "/>
    <x v="72"/>
    <n v="1"/>
    <n v="0"/>
  </r>
  <r>
    <s v="000.803.044/0001-50"/>
    <x v="45"/>
    <s v="INCLUSAO  ANOT.INADIMPLENCIA"/>
    <x v="102"/>
    <x v="0"/>
    <s v="2025-01"/>
    <x v="21"/>
    <s v="ADMINISTRAÇÃO"/>
    <x v="45"/>
    <n v="0"/>
    <n v="1"/>
  </r>
  <r>
    <s v="036.906.058/0001-46"/>
    <x v="75"/>
    <s v="EXCLUSAO  ANOT.INADIMPLENCIA"/>
    <x v="102"/>
    <x v="4"/>
    <s v="2025-01"/>
    <x v="21"/>
    <s v="NOELI SALETE"/>
    <x v="75"/>
    <n v="1"/>
    <n v="0"/>
  </r>
  <r>
    <s v="037.143.334/0001-24"/>
    <x v="134"/>
    <s v="INCLUSAO  ANOT.INADIMPLENCIA"/>
    <x v="102"/>
    <x v="4"/>
    <s v="2025-01"/>
    <x v="21"/>
    <s v="NOELI SALETE"/>
    <x v="134"/>
    <n v="0"/>
    <n v="1"/>
  </r>
  <r>
    <s v="006.236.494/0001-94"/>
    <x v="61"/>
    <s v="EXCLUSAO  ANOT.INADIMPLENCIA"/>
    <x v="102"/>
    <x v="5"/>
    <s v="2025-01"/>
    <x v="21"/>
    <s v="POENATELA"/>
    <x v="61"/>
    <n v="1"/>
    <n v="0"/>
  </r>
  <r>
    <s v="049.847.331/0001-50"/>
    <x v="135"/>
    <s v="INCLUSAO  ANOT.INADIMPLENCIA"/>
    <x v="102"/>
    <x v="9"/>
    <s v="2025-01"/>
    <x v="21"/>
    <s v="PRISCILA METZ"/>
    <x v="135"/>
    <n v="0"/>
    <n v="1"/>
  </r>
  <r>
    <s v="066.209.362/0001-03"/>
    <x v="136"/>
    <s v="INCLUSAO  ANOT.INADIMPLENCIA"/>
    <x v="102"/>
    <x v="6"/>
    <s v="2025-01"/>
    <x v="21"/>
    <s v="RAFAEL PARISE"/>
    <x v="136"/>
    <n v="0"/>
    <n v="1"/>
  </r>
  <r>
    <s v="038.110.780/0001-03"/>
    <x v="47"/>
    <s v="EXCLUSAO  ANOT.INADIMPLENCIA"/>
    <x v="102"/>
    <x v="6"/>
    <s v="2025-01"/>
    <x v="21"/>
    <s v="RAFAEL PARISE"/>
    <x v="47"/>
    <n v="1"/>
    <n v="0"/>
  </r>
  <r>
    <s v="035.475.312/0001-36"/>
    <x v="115"/>
    <s v="INCLUSAO  ANOT.INADIMPLENCIA"/>
    <x v="103"/>
    <x v="0"/>
    <s v="2025-01"/>
    <x v="21"/>
    <s v="ADMINISTRAÇÃO"/>
    <x v="115"/>
    <n v="0"/>
    <n v="1"/>
  </r>
  <r>
    <s v="024.271.279/0001-06"/>
    <x v="142"/>
    <s v="INCLUSAO  ANOT.INADIMPLENCIA"/>
    <x v="103"/>
    <x v="0"/>
    <s v="2025-01"/>
    <x v="21"/>
    <s v="ADMINISTRAÇÃO"/>
    <x v="142"/>
    <n v="0"/>
    <n v="1"/>
  </r>
  <r>
    <s v="029.795.190/0001-62"/>
    <x v="138"/>
    <s v="INCLUSAO  ANOT.INADIMPLENCIA"/>
    <x v="103"/>
    <x v="0"/>
    <s v="2025-01"/>
    <x v="21"/>
    <s v="ADMINISTRAÇÃO"/>
    <x v="138"/>
    <n v="0"/>
    <n v="1"/>
  </r>
  <r>
    <s v="020.066.300/0001-80"/>
    <x v="2"/>
    <s v="INCLUSAO  ANOT.INADIMPLENCIA"/>
    <x v="103"/>
    <x v="1"/>
    <s v="2025-01"/>
    <x v="21"/>
    <s v="CELIO PIMENTA"/>
    <x v="2"/>
    <n v="0"/>
    <n v="1"/>
  </r>
  <r>
    <s v="036.726.274/0001-00"/>
    <x v="133"/>
    <s v="INCL/EXCL ANOT.INADIMPLENCIA"/>
    <x v="103"/>
    <x v="1"/>
    <s v="2025-01"/>
    <x v="21"/>
    <s v="CELIO PIMENTA"/>
    <x v="133"/>
    <n v="1"/>
    <n v="1"/>
  </r>
  <r>
    <s v="047.635.671/0001-92"/>
    <x v="143"/>
    <s v="INCLUSAO  ANOT.INADIMPLENCIA"/>
    <x v="103"/>
    <x v="1"/>
    <s v="2025-01"/>
    <x v="21"/>
    <s v="CELIO PIMENTA"/>
    <x v="143"/>
    <n v="0"/>
    <n v="1"/>
  </r>
  <r>
    <s v="012.520.791/0001-60"/>
    <x v="4"/>
    <s v="INCLUSAO  ANOT.INADIMPLENCIA"/>
    <x v="103"/>
    <x v="1"/>
    <s v="2025-01"/>
    <x v="21"/>
    <s v="CELIO PIMENTA"/>
    <x v="4"/>
    <n v="0"/>
    <n v="1"/>
  </r>
  <r>
    <s v="028.842.753/0001-63"/>
    <x v="49"/>
    <s v="INCLUSAO  ANOT.INADIMPLENCIA"/>
    <x v="103"/>
    <x v="15"/>
    <s v="2025-01"/>
    <x v="21"/>
    <s v="EDUARDO MATOSO"/>
    <x v="49"/>
    <n v="0"/>
    <n v="1"/>
  </r>
  <r>
    <s v="007.102.721/0001-51"/>
    <x v="44"/>
    <s v="INCLUSAO  ANOT.INADIMPLENCIA"/>
    <x v="103"/>
    <x v="12"/>
    <s v="2025-01"/>
    <x v="21"/>
    <s v="PROSPECTAR"/>
    <x v="44"/>
    <n v="0"/>
    <n v="1"/>
  </r>
  <r>
    <s v="007.561.436/0001-07"/>
    <x v="34"/>
    <s v="EXCLUSAO  ANOT.INADIMPLENCIA"/>
    <x v="103"/>
    <x v="12"/>
    <s v="2025-01"/>
    <x v="21"/>
    <s v="PROSPECTAR"/>
    <x v="34"/>
    <n v="1"/>
    <n v="0"/>
  </r>
  <r>
    <s v="015.414.962/0001-64"/>
    <x v="19"/>
    <s v="INCLUSAO  ANOT.INADIMPLENCIA"/>
    <x v="103"/>
    <x v="8"/>
    <s v="2025-01"/>
    <x v="21"/>
    <s v="GRUPO OTTO"/>
    <x v="19"/>
    <n v="0"/>
    <n v="1"/>
  </r>
  <r>
    <s v="021.420.856/0001-96"/>
    <x v="129"/>
    <s v="EXCLUSAO  ANOT.INADIMPLENCIA"/>
    <x v="103"/>
    <x v="19"/>
    <s v="2025-01"/>
    <x v="21"/>
    <s v="JOSE ROBERTO"/>
    <x v="129"/>
    <n v="1"/>
    <n v="0"/>
  </r>
  <r>
    <s v="019.450.138/0001-10"/>
    <x v="70"/>
    <s v="EXCLUSAO  ANOT.INADIMPLENCIA"/>
    <x v="103"/>
    <x v="17"/>
    <s v="2025-01"/>
    <x v="21"/>
    <s v="MARCIO LEONEL"/>
    <x v="70"/>
    <n v="1"/>
    <n v="0"/>
  </r>
  <r>
    <s v="008.991.603/0001-04"/>
    <x v="57"/>
    <s v="INCLUSAO  ANOT.INADIMPLENCIA"/>
    <x v="103"/>
    <x v="3"/>
    <s v="2025-01"/>
    <x v="21"/>
    <s v="MARCUS VINICIUS "/>
    <x v="57"/>
    <n v="0"/>
    <n v="1"/>
  </r>
  <r>
    <s v="007.906.793/0001-51"/>
    <x v="125"/>
    <s v="INCLUSAO  ANOT.INADIMPLENCIA"/>
    <x v="103"/>
    <x v="4"/>
    <s v="2025-01"/>
    <x v="21"/>
    <s v="NOELI SALETE"/>
    <x v="125"/>
    <n v="0"/>
    <n v="1"/>
  </r>
  <r>
    <s v="046.140.062/0001-08"/>
    <x v="68"/>
    <s v="INCLUSAO  ANOT.INADIMPLENCIA"/>
    <x v="103"/>
    <x v="4"/>
    <s v="2025-01"/>
    <x v="21"/>
    <s v="NOELI SALETE"/>
    <x v="68"/>
    <n v="0"/>
    <n v="1"/>
  </r>
  <r>
    <s v="013.746.252/0001-06"/>
    <x v="15"/>
    <s v="EXCLUSAO  ANOT.INADIMPLENCIA"/>
    <x v="103"/>
    <x v="5"/>
    <s v="2025-01"/>
    <x v="21"/>
    <s v="POENATELA"/>
    <x v="15"/>
    <n v="1"/>
    <n v="0"/>
  </r>
  <r>
    <s v="049.847.331/0001-50"/>
    <x v="135"/>
    <s v="INCLUSAO  ANOT.INADIMPLENCIA"/>
    <x v="103"/>
    <x v="9"/>
    <s v="2025-01"/>
    <x v="21"/>
    <s v="PRISCILA METZ"/>
    <x v="135"/>
    <n v="0"/>
    <n v="1"/>
  </r>
  <r>
    <s v="000.810.852/0001-44"/>
    <x v="84"/>
    <s v="INCLUSAO  ANOT.INADIMPLENCIA"/>
    <x v="103"/>
    <x v="6"/>
    <s v="2025-01"/>
    <x v="21"/>
    <s v="RAFAEL PARISE"/>
    <x v="84"/>
    <n v="0"/>
    <n v="1"/>
  </r>
  <r>
    <s v="071.350.797/0001-03"/>
    <x v="48"/>
    <s v="INCLUSAO  ANOT.INADIMPLENCIA"/>
    <x v="103"/>
    <x v="10"/>
    <s v="2025-01"/>
    <x v="21"/>
    <s v="ROGERIO "/>
    <x v="48"/>
    <n v="0"/>
    <n v="1"/>
  </r>
  <r>
    <s v="055.979.736/0001-45"/>
    <x v="63"/>
    <s v="EXCLUSAO  ANOT.INADIMPLENCIA"/>
    <x v="103"/>
    <x v="16"/>
    <s v="2025-01"/>
    <x v="21"/>
    <s v="SACADO"/>
    <x v="63"/>
    <n v="1"/>
    <n v="0"/>
  </r>
  <r>
    <s v="040.582.798/0001-41"/>
    <x v="144"/>
    <s v="INCLUSAO  ANOT.INADIMPLENCIA"/>
    <x v="103"/>
    <x v="16"/>
    <s v="2025-01"/>
    <x v="21"/>
    <s v="SACADO"/>
    <x v="144"/>
    <n v="0"/>
    <n v="1"/>
  </r>
  <r>
    <s v="012.804.762/0001-20"/>
    <x v="67"/>
    <s v="EXCLUSAO  ANOT.INADIMPLENCIA"/>
    <x v="103"/>
    <x v="0"/>
    <s v="2025-01"/>
    <x v="21"/>
    <s v="ADMINISTRAÇÃO"/>
    <x v="67"/>
    <n v="1"/>
    <n v="0"/>
  </r>
  <r>
    <s v="016.772.642/0001-49"/>
    <x v="69"/>
    <s v="INCLUSAO  ANOT.INADIMPLENCIA"/>
    <x v="104"/>
    <x v="0"/>
    <s v="2025-01"/>
    <x v="22"/>
    <s v="ADMINISTRAÇÃO"/>
    <x v="69"/>
    <n v="0"/>
    <n v="1"/>
  </r>
  <r>
    <s v="035.475.312/0001-36"/>
    <x v="115"/>
    <s v="EXCLUSAO  ANOT.INADIMPLENCIA"/>
    <x v="104"/>
    <x v="0"/>
    <s v="2025-01"/>
    <x v="22"/>
    <s v="ADMINISTRAÇÃO"/>
    <x v="115"/>
    <n v="1"/>
    <n v="0"/>
  </r>
  <r>
    <s v="029.795.190/0001-62"/>
    <x v="138"/>
    <s v="EXCLUSAO  ANOT.INADIMPLENCIA"/>
    <x v="104"/>
    <x v="0"/>
    <s v="2025-01"/>
    <x v="22"/>
    <s v="ADMINISTRAÇÃO"/>
    <x v="138"/>
    <n v="1"/>
    <n v="0"/>
  </r>
  <r>
    <s v="023.911.356/0001-82"/>
    <x v="54"/>
    <s v="EXCLUSAO  ANOT.INADIMPLENCIA"/>
    <x v="104"/>
    <x v="0"/>
    <s v="2025-01"/>
    <x v="22"/>
    <s v="ADMINISTRAÇÃO"/>
    <x v="54"/>
    <n v="1"/>
    <n v="0"/>
  </r>
  <r>
    <s v="021.734.108/0001-88"/>
    <x v="41"/>
    <s v="INCLUSAO  ANOT.INADIMPLENCIA"/>
    <x v="104"/>
    <x v="0"/>
    <s v="2025-01"/>
    <x v="22"/>
    <s v="ADMINISTRAÇÃO"/>
    <x v="41"/>
    <n v="0"/>
    <n v="1"/>
  </r>
  <r>
    <s v="020.066.300/0001-80"/>
    <x v="2"/>
    <s v="INCLUSAO  ANOT.INADIMPLENCIA"/>
    <x v="104"/>
    <x v="1"/>
    <s v="2025-01"/>
    <x v="22"/>
    <s v="CELIO PIMENTA"/>
    <x v="2"/>
    <n v="0"/>
    <n v="1"/>
  </r>
  <r>
    <s v="036.726.274/0001-00"/>
    <x v="133"/>
    <s v="INCLUSAO  ANOT.INADIMPLENCIA"/>
    <x v="104"/>
    <x v="1"/>
    <s v="2025-01"/>
    <x v="22"/>
    <s v="CELIO PIMENTA"/>
    <x v="133"/>
    <n v="0"/>
    <n v="1"/>
  </r>
  <r>
    <s v="003.590.360/0001-89"/>
    <x v="3"/>
    <s v="INCLUSAO  ANOT.INADIMPLENCIA"/>
    <x v="104"/>
    <x v="1"/>
    <s v="2025-01"/>
    <x v="22"/>
    <s v="CELIO PIMENTA"/>
    <x v="3"/>
    <n v="0"/>
    <n v="1"/>
  </r>
  <r>
    <s v="012.520.791/0001-60"/>
    <x v="4"/>
    <s v="INCLUSAO  ANOT.INADIMPLENCIA"/>
    <x v="104"/>
    <x v="1"/>
    <s v="2025-01"/>
    <x v="22"/>
    <s v="CELIO PIMENTA"/>
    <x v="4"/>
    <n v="0"/>
    <n v="1"/>
  </r>
  <r>
    <s v="016.757.535/0001-41"/>
    <x v="29"/>
    <s v="INCLUSAO  ANOT.INADIMPLENCIA"/>
    <x v="104"/>
    <x v="11"/>
    <s v="2025-01"/>
    <x v="22"/>
    <s v="DIOGO AZEVEDO"/>
    <x v="29"/>
    <n v="0"/>
    <n v="1"/>
  </r>
  <r>
    <s v="028.842.753/0001-63"/>
    <x v="49"/>
    <s v="INCLUSAO  ANOT.INADIMPLENCIA"/>
    <x v="104"/>
    <x v="15"/>
    <s v="2025-01"/>
    <x v="22"/>
    <s v="EDUARDO MATOSO"/>
    <x v="49"/>
    <n v="0"/>
    <n v="1"/>
  </r>
  <r>
    <s v="035.649.603/0001-01"/>
    <x v="119"/>
    <s v="INCLUSAO  ANOT.INADIMPLENCIA"/>
    <x v="104"/>
    <x v="12"/>
    <s v="2025-01"/>
    <x v="22"/>
    <s v="PROSPECTAR"/>
    <x v="119"/>
    <n v="0"/>
    <n v="1"/>
  </r>
  <r>
    <s v="007.102.721/0001-51"/>
    <x v="44"/>
    <s v="INCLUSAO  ANOT.INADIMPLENCIA"/>
    <x v="104"/>
    <x v="12"/>
    <s v="2025-01"/>
    <x v="22"/>
    <s v="PROSPECTAR"/>
    <x v="44"/>
    <n v="0"/>
    <n v="1"/>
  </r>
  <r>
    <s v="007.561.436/0001-07"/>
    <x v="34"/>
    <s v="INCLUSAO  ANOT.INADIMPLENCIA"/>
    <x v="104"/>
    <x v="12"/>
    <s v="2025-01"/>
    <x v="22"/>
    <s v="PROSPECTAR"/>
    <x v="34"/>
    <n v="0"/>
    <n v="1"/>
  </r>
  <r>
    <s v="030.272.056/0001-66"/>
    <x v="145"/>
    <s v="EXCLUSAO  ANOT.INADIMPLENCIA"/>
    <x v="104"/>
    <x v="20"/>
    <s v="2025-01"/>
    <x v="22"/>
    <s v="LIBER"/>
    <x v="145"/>
    <n v="1"/>
    <n v="0"/>
  </r>
  <r>
    <s v="019.450.138/0001-10"/>
    <x v="70"/>
    <s v="INCLUSAO  ANOT.INADIMPLENCIA"/>
    <x v="104"/>
    <x v="17"/>
    <s v="2025-01"/>
    <x v="22"/>
    <s v="MARCIO LEONEL"/>
    <x v="70"/>
    <n v="0"/>
    <n v="1"/>
  </r>
  <r>
    <s v="035.165.246/0001-06"/>
    <x v="104"/>
    <s v="INCLUSAO  ANOT.INADIMPLENCIA"/>
    <x v="104"/>
    <x v="3"/>
    <s v="2025-01"/>
    <x v="22"/>
    <s v="MARCUS VINICIUS "/>
    <x v="104"/>
    <n v="0"/>
    <n v="1"/>
  </r>
  <r>
    <s v="008.991.603/0001-04"/>
    <x v="57"/>
    <s v="INCLUSAO  ANOT.INADIMPLENCIA"/>
    <x v="104"/>
    <x v="3"/>
    <s v="2025-01"/>
    <x v="22"/>
    <s v="MARCUS VINICIUS "/>
    <x v="57"/>
    <n v="0"/>
    <n v="1"/>
  </r>
  <r>
    <s v="000.803.044/0001-50"/>
    <x v="45"/>
    <s v="INCLUSAO  ANOT.INADIMPLENCIA"/>
    <x v="104"/>
    <x v="0"/>
    <s v="2025-01"/>
    <x v="22"/>
    <s v="ADMINISTRAÇÃO"/>
    <x v="45"/>
    <n v="0"/>
    <n v="1"/>
  </r>
  <r>
    <s v="035.665.211/0001-28"/>
    <x v="93"/>
    <s v="INCLUSAO  ANOT.INADIMPLENCIA"/>
    <x v="104"/>
    <x v="0"/>
    <s v="2025-01"/>
    <x v="22"/>
    <s v="ADMINISTRAÇÃO"/>
    <x v="93"/>
    <n v="0"/>
    <n v="1"/>
  </r>
  <r>
    <s v="000.987.236/0001-63"/>
    <x v="98"/>
    <s v="INCL/EXCL ANOT.INADIMPLENCIA"/>
    <x v="104"/>
    <x v="4"/>
    <s v="2025-01"/>
    <x v="22"/>
    <s v="NOELI SALETE"/>
    <x v="98"/>
    <n v="1"/>
    <n v="1"/>
  </r>
  <r>
    <s v="014.763.606/0001-93"/>
    <x v="10"/>
    <s v="INCLUSAO  ANOT.INADIMPLENCIA"/>
    <x v="104"/>
    <x v="4"/>
    <s v="2025-01"/>
    <x v="22"/>
    <s v="NOELI SALETE"/>
    <x v="10"/>
    <n v="0"/>
    <n v="1"/>
  </r>
  <r>
    <s v="046.140.062/0001-08"/>
    <x v="68"/>
    <s v="INCLUSAO  ANOT.INADIMPLENCIA"/>
    <x v="104"/>
    <x v="4"/>
    <s v="2025-01"/>
    <x v="22"/>
    <s v="NOELI SALETE"/>
    <x v="68"/>
    <n v="0"/>
    <n v="1"/>
  </r>
  <r>
    <s v="036.906.058/0001-46"/>
    <x v="75"/>
    <s v="EXCLUSAO  ANOT.INADIMPLENCIA"/>
    <x v="104"/>
    <x v="4"/>
    <s v="2025-01"/>
    <x v="22"/>
    <s v="NOELI SALETE"/>
    <x v="75"/>
    <n v="1"/>
    <n v="0"/>
  </r>
  <r>
    <s v="006.236.494/0001-94"/>
    <x v="61"/>
    <s v="EXCLUSAO  ANOT.INADIMPLENCIA"/>
    <x v="104"/>
    <x v="5"/>
    <s v="2025-01"/>
    <x v="22"/>
    <s v="POENATELA"/>
    <x v="61"/>
    <n v="1"/>
    <n v="0"/>
  </r>
  <r>
    <s v="037.828.375/0001-54"/>
    <x v="39"/>
    <s v="INCLUSAO  ANOT.INADIMPLENCIA"/>
    <x v="104"/>
    <x v="5"/>
    <s v="2025-01"/>
    <x v="22"/>
    <s v="POENATELA"/>
    <x v="39"/>
    <n v="0"/>
    <n v="1"/>
  </r>
  <r>
    <s v="013.746.252/0001-06"/>
    <x v="15"/>
    <s v="INCL/EXCL ANOT.INADIMPLENCIA"/>
    <x v="104"/>
    <x v="5"/>
    <s v="2025-01"/>
    <x v="22"/>
    <s v="POENATELA"/>
    <x v="15"/>
    <n v="1"/>
    <n v="1"/>
  </r>
  <r>
    <s v="049.847.331/0001-50"/>
    <x v="135"/>
    <s v="INCLUSAO  ANOT.INADIMPLENCIA"/>
    <x v="104"/>
    <x v="9"/>
    <s v="2025-01"/>
    <x v="22"/>
    <s v="PRISCILA METZ"/>
    <x v="135"/>
    <n v="0"/>
    <n v="1"/>
  </r>
  <r>
    <s v="021.473.575/0001-00"/>
    <x v="62"/>
    <s v="INCLUSAO  ANOT.INADIMPLENCIA"/>
    <x v="104"/>
    <x v="9"/>
    <s v="2025-01"/>
    <x v="22"/>
    <s v="PRISCILA METZ"/>
    <x v="62"/>
    <n v="0"/>
    <n v="1"/>
  </r>
  <r>
    <s v="014.385.825/0001-86"/>
    <x v="110"/>
    <s v="INCLUSAO  ANOT.INADIMPLENCIA"/>
    <x v="104"/>
    <x v="6"/>
    <s v="2025-01"/>
    <x v="22"/>
    <s v="RAFAEL PARISE"/>
    <x v="110"/>
    <n v="0"/>
    <n v="1"/>
  </r>
  <r>
    <s v="041.421.379/0001-90"/>
    <x v="137"/>
    <s v="INCLUSAO  ANOT.INADIMPLENCIA"/>
    <x v="104"/>
    <x v="6"/>
    <s v="2025-01"/>
    <x v="22"/>
    <s v="RAFAEL PARISE"/>
    <x v="137"/>
    <n v="0"/>
    <n v="1"/>
  </r>
  <r>
    <s v="038.110.780/0001-03"/>
    <x v="47"/>
    <s v="INCLUSAO  ANOT.INADIMPLENCIA"/>
    <x v="104"/>
    <x v="6"/>
    <s v="2025-01"/>
    <x v="22"/>
    <s v="RAFAEL PARISE"/>
    <x v="47"/>
    <n v="0"/>
    <n v="1"/>
  </r>
  <r>
    <s v="043.515.558/0001-12"/>
    <x v="22"/>
    <s v="EXCLUSAO  ANOT.INADIMPLENCIA"/>
    <x v="104"/>
    <x v="10"/>
    <s v="2025-01"/>
    <x v="22"/>
    <s v="ROGERIO "/>
    <x v="22"/>
    <n v="1"/>
    <n v="0"/>
  </r>
  <r>
    <s v="044.637.793/0001-20"/>
    <x v="146"/>
    <s v="INCLUSAO  ANOT.INADIMPLENCIA"/>
    <x v="105"/>
    <x v="0"/>
    <s v="2025-01"/>
    <x v="22"/>
    <s v="ADMINISTRAÇÃO"/>
    <x v="146"/>
    <n v="0"/>
    <n v="1"/>
  </r>
  <r>
    <s v="013.616.154/0001-54"/>
    <x v="147"/>
    <s v="EXCLUSAO  ANOT.INADIMPLENCIA"/>
    <x v="105"/>
    <x v="0"/>
    <s v="2025-01"/>
    <x v="22"/>
    <s v="ADMINISTRAÇÃO"/>
    <x v="147"/>
    <n v="1"/>
    <n v="0"/>
  </r>
  <r>
    <s v="038.185.478/0001-06"/>
    <x v="148"/>
    <s v="INCLUSAO  ANOT.INADIMPLENCIA"/>
    <x v="105"/>
    <x v="0"/>
    <s v="2025-01"/>
    <x v="22"/>
    <s v="ADMINISTRAÇÃO"/>
    <x v="148"/>
    <n v="0"/>
    <n v="1"/>
  </r>
  <r>
    <s v="024.271.279/0001-06"/>
    <x v="142"/>
    <s v="INCLUSAO  ANOT.INADIMPLENCIA"/>
    <x v="105"/>
    <x v="0"/>
    <s v="2025-01"/>
    <x v="22"/>
    <s v="ADMINISTRAÇÃO"/>
    <x v="142"/>
    <n v="0"/>
    <n v="1"/>
  </r>
  <r>
    <s v="021.734.108/0001-88"/>
    <x v="41"/>
    <s v="INCLUSAO  ANOT.INADIMPLENCIA"/>
    <x v="105"/>
    <x v="0"/>
    <s v="2025-01"/>
    <x v="22"/>
    <s v="ADMINISTRAÇÃO"/>
    <x v="41"/>
    <n v="0"/>
    <n v="1"/>
  </r>
  <r>
    <s v="000.688.793/0001-83"/>
    <x v="149"/>
    <s v="EXCLUSAO  ANOT.INADIMPLENCIA"/>
    <x v="105"/>
    <x v="1"/>
    <s v="2025-01"/>
    <x v="22"/>
    <s v="CELIO PIMENTA"/>
    <x v="149"/>
    <n v="1"/>
    <n v="0"/>
  </r>
  <r>
    <s v="020.066.300/0001-80"/>
    <x v="2"/>
    <s v="INCLUSAO  ANOT.INADIMPLENCIA"/>
    <x v="105"/>
    <x v="1"/>
    <s v="2025-01"/>
    <x v="22"/>
    <s v="CELIO PIMENTA"/>
    <x v="2"/>
    <n v="0"/>
    <n v="1"/>
  </r>
  <r>
    <s v="012.520.791/0001-60"/>
    <x v="4"/>
    <s v="INCLUSAO  ANOT.INADIMPLENCIA"/>
    <x v="105"/>
    <x v="1"/>
    <s v="2025-01"/>
    <x v="22"/>
    <s v="CELIO PIMENTA"/>
    <x v="4"/>
    <n v="0"/>
    <n v="1"/>
  </r>
  <r>
    <s v="049.218.819/0001-19"/>
    <x v="150"/>
    <s v="EXCLUSAO  ANOT.INADIMPLENCIA"/>
    <x v="105"/>
    <x v="11"/>
    <s v="2025-01"/>
    <x v="22"/>
    <s v="DIOGO AZEVEDO"/>
    <x v="150"/>
    <n v="1"/>
    <n v="0"/>
  </r>
  <r>
    <s v="035.649.603/0001-01"/>
    <x v="119"/>
    <s v="EXCLUSAO  ANOT.INADIMPLENCIA"/>
    <x v="105"/>
    <x v="12"/>
    <s v="2025-01"/>
    <x v="22"/>
    <s v="PROSPECTAR"/>
    <x v="119"/>
    <n v="1"/>
    <n v="0"/>
  </r>
  <r>
    <s v="019.450.138/0001-10"/>
    <x v="70"/>
    <s v="INCLUSAO  ANOT.INADIMPLENCIA"/>
    <x v="105"/>
    <x v="17"/>
    <s v="2025-01"/>
    <x v="22"/>
    <s v="MARCIO LEONEL"/>
    <x v="70"/>
    <n v="0"/>
    <n v="1"/>
  </r>
  <r>
    <s v="035.165.246/0001-06"/>
    <x v="104"/>
    <s v="INCLUSAO  ANOT.INADIMPLENCIA"/>
    <x v="105"/>
    <x v="3"/>
    <s v="2025-01"/>
    <x v="22"/>
    <s v="MARCUS VINICIUS "/>
    <x v="104"/>
    <n v="0"/>
    <n v="1"/>
  </r>
  <r>
    <s v="035.665.211/0001-28"/>
    <x v="93"/>
    <s v="INCLUSAO  ANOT.INADIMPLENCIA"/>
    <x v="105"/>
    <x v="0"/>
    <s v="2025-01"/>
    <x v="22"/>
    <s v="ADMINISTRAÇÃO"/>
    <x v="93"/>
    <n v="0"/>
    <n v="1"/>
  </r>
  <r>
    <s v="046.140.062/0001-08"/>
    <x v="68"/>
    <s v="INCLUSAO  ANOT.INADIMPLENCIA"/>
    <x v="105"/>
    <x v="4"/>
    <s v="2025-01"/>
    <x v="22"/>
    <s v="NOELI SALETE"/>
    <x v="68"/>
    <n v="0"/>
    <n v="1"/>
  </r>
  <r>
    <s v="006.236.494/0001-94"/>
    <x v="61"/>
    <s v="EXCLUSAO  ANOT.INADIMPLENCIA"/>
    <x v="105"/>
    <x v="5"/>
    <s v="2025-01"/>
    <x v="22"/>
    <s v="POENATELA"/>
    <x v="61"/>
    <n v="1"/>
    <n v="0"/>
  </r>
  <r>
    <s v="028.477.685/0001-80"/>
    <x v="95"/>
    <s v="INCLUSAO  ANOT.INADIMPLENCIA"/>
    <x v="105"/>
    <x v="5"/>
    <s v="2025-01"/>
    <x v="22"/>
    <s v="POENATELA"/>
    <x v="95"/>
    <n v="0"/>
    <n v="1"/>
  </r>
  <r>
    <s v="013.746.252/0001-06"/>
    <x v="15"/>
    <s v="INCLUSAO  ANOT.INADIMPLENCIA"/>
    <x v="105"/>
    <x v="5"/>
    <s v="2025-01"/>
    <x v="22"/>
    <s v="POENATELA"/>
    <x v="15"/>
    <n v="0"/>
    <n v="1"/>
  </r>
  <r>
    <s v="049.847.331/0001-50"/>
    <x v="135"/>
    <s v="INCLUSAO  ANOT.INADIMPLENCIA"/>
    <x v="105"/>
    <x v="9"/>
    <s v="2025-01"/>
    <x v="22"/>
    <s v="PRISCILA METZ"/>
    <x v="135"/>
    <n v="0"/>
    <n v="1"/>
  </r>
  <r>
    <s v="066.209.362/0001-03"/>
    <x v="136"/>
    <s v="EXCLUSAO  ANOT.INADIMPLENCIA"/>
    <x v="105"/>
    <x v="6"/>
    <s v="2025-01"/>
    <x v="22"/>
    <s v="RAFAEL PARISE"/>
    <x v="136"/>
    <n v="1"/>
    <n v="0"/>
  </r>
  <r>
    <s v="055.979.736/0001-45"/>
    <x v="63"/>
    <s v="INCLUSAO  ANOT.INADIMPLENCIA"/>
    <x v="105"/>
    <x v="16"/>
    <s v="2025-01"/>
    <x v="22"/>
    <s v="SACADO"/>
    <x v="63"/>
    <n v="0"/>
    <n v="1"/>
  </r>
  <r>
    <s v="043.515.558/0001-12"/>
    <x v="22"/>
    <s v="INCLUSAO  ANOT.INADIMPLENCIA"/>
    <x v="105"/>
    <x v="10"/>
    <s v="2025-01"/>
    <x v="22"/>
    <s v="ROGERIO "/>
    <x v="22"/>
    <n v="0"/>
    <n v="1"/>
  </r>
  <r>
    <s v="036.726.274/0001-00"/>
    <x v="133"/>
    <s v="INCLUSAO  ANOT.INADIMPLENCIA"/>
    <x v="106"/>
    <x v="1"/>
    <s v="2025-01"/>
    <x v="22"/>
    <s v="CELIO PIMENTA"/>
    <x v="133"/>
    <n v="0"/>
    <n v="1"/>
  </r>
  <r>
    <s v="035.649.603/0001-01"/>
    <x v="119"/>
    <s v="INCLUSAO  ANOT.INADIMPLENCIA"/>
    <x v="106"/>
    <x v="12"/>
    <s v="2025-01"/>
    <x v="22"/>
    <s v="PROSPECTAR"/>
    <x v="119"/>
    <n v="0"/>
    <n v="1"/>
  </r>
  <r>
    <s v="026.416.177/0001-67"/>
    <x v="130"/>
    <s v="EXCLUSAO  ANOT.INADIMPLENCIA"/>
    <x v="106"/>
    <x v="3"/>
    <s v="2025-01"/>
    <x v="22"/>
    <s v="MARCUS VINICIUS "/>
    <x v="130"/>
    <n v="1"/>
    <n v="0"/>
  </r>
  <r>
    <s v="035.165.246/0001-06"/>
    <x v="104"/>
    <s v="INCLUSAO  ANOT.INADIMPLENCIA"/>
    <x v="106"/>
    <x v="3"/>
    <s v="2025-01"/>
    <x v="22"/>
    <s v="MARCUS VINICIUS "/>
    <x v="104"/>
    <n v="0"/>
    <n v="1"/>
  </r>
  <r>
    <s v="007.906.793/0001-51"/>
    <x v="125"/>
    <s v="INCLUSAO  ANOT.INADIMPLENCIA"/>
    <x v="106"/>
    <x v="4"/>
    <s v="2025-01"/>
    <x v="22"/>
    <s v="NOELI SALETE"/>
    <x v="125"/>
    <n v="0"/>
    <n v="1"/>
  </r>
  <r>
    <s v="006.236.494/0001-94"/>
    <x v="61"/>
    <s v="EXCLUSAO  ANOT.INADIMPLENCIA"/>
    <x v="106"/>
    <x v="5"/>
    <s v="2025-01"/>
    <x v="22"/>
    <s v="POENATELA"/>
    <x v="61"/>
    <n v="1"/>
    <n v="0"/>
  </r>
  <r>
    <s v="049.847.331/0001-50"/>
    <x v="135"/>
    <s v="INCLUSAO  ANOT.INADIMPLENCIA"/>
    <x v="106"/>
    <x v="9"/>
    <s v="2025-01"/>
    <x v="22"/>
    <s v="PRISCILA METZ"/>
    <x v="135"/>
    <n v="0"/>
    <n v="1"/>
  </r>
  <r>
    <s v="021.473.575/0001-00"/>
    <x v="62"/>
    <s v="EXCLUSAO  ANOT.INADIMPLENCIA"/>
    <x v="106"/>
    <x v="9"/>
    <s v="2025-01"/>
    <x v="22"/>
    <s v="PRISCILA METZ"/>
    <x v="62"/>
    <n v="1"/>
    <n v="0"/>
  </r>
  <r>
    <s v="041.421.379/0001-90"/>
    <x v="137"/>
    <s v="INCLUSAO  ANOT.INADIMPLENCIA"/>
    <x v="106"/>
    <x v="6"/>
    <s v="2025-01"/>
    <x v="22"/>
    <s v="RAFAEL PARISE"/>
    <x v="137"/>
    <n v="0"/>
    <n v="1"/>
  </r>
  <r>
    <s v="038.110.780/0001-03"/>
    <x v="47"/>
    <s v="EXCLUSAO  ANOT.INADIMPLENCIA"/>
    <x v="106"/>
    <x v="6"/>
    <s v="2025-01"/>
    <x v="22"/>
    <s v="RAFAEL PARISE"/>
    <x v="47"/>
    <n v="1"/>
    <n v="0"/>
  </r>
  <r>
    <s v="046.674.060/0001-90"/>
    <x v="140"/>
    <s v="EXCLUSAO  ANOT.INADIMPLENCIA"/>
    <x v="106"/>
    <x v="10"/>
    <s v="2025-01"/>
    <x v="22"/>
    <s v="ROGERIO "/>
    <x v="140"/>
    <n v="1"/>
    <n v="0"/>
  </r>
  <r>
    <s v="020.066.300/0001-80"/>
    <x v="2"/>
    <s v="INCLUSAO  ANOT.INADIMPLENCIA"/>
    <x v="107"/>
    <x v="1"/>
    <s v="2025-01"/>
    <x v="22"/>
    <s v="CELIO PIMENTA"/>
    <x v="2"/>
    <n v="0"/>
    <n v="1"/>
  </r>
  <r>
    <s v="029.030.307/0001-17"/>
    <x v="43"/>
    <s v="EXCLUSAO  ANOT.INADIMPLENCIA"/>
    <x v="107"/>
    <x v="1"/>
    <s v="2025-01"/>
    <x v="22"/>
    <s v="CELIO PIMENTA"/>
    <x v="43"/>
    <n v="1"/>
    <n v="0"/>
  </r>
  <r>
    <s v="035.649.603/0001-01"/>
    <x v="119"/>
    <s v="EXCLUSAO  ANOT.INADIMPLENCIA"/>
    <x v="107"/>
    <x v="12"/>
    <s v="2025-01"/>
    <x v="22"/>
    <s v="PROSPECTAR"/>
    <x v="119"/>
    <n v="1"/>
    <n v="0"/>
  </r>
  <r>
    <s v="007.102.721/0001-51"/>
    <x v="44"/>
    <s v="EXCLUSAO  ANOT.INADIMPLENCIA"/>
    <x v="107"/>
    <x v="12"/>
    <s v="2025-01"/>
    <x v="22"/>
    <s v="PROSPECTAR"/>
    <x v="44"/>
    <n v="1"/>
    <n v="0"/>
  </r>
  <r>
    <s v="021.420.856/0001-96"/>
    <x v="129"/>
    <s v="EXCLUSAO  ANOT.INADIMPLENCIA"/>
    <x v="107"/>
    <x v="19"/>
    <s v="2025-01"/>
    <x v="22"/>
    <s v="JOSE ROBERTO"/>
    <x v="129"/>
    <n v="1"/>
    <n v="0"/>
  </r>
  <r>
    <s v="035.165.246/0001-06"/>
    <x v="104"/>
    <s v="EXCLUSAO  ANOT.INADIMPLENCIA"/>
    <x v="107"/>
    <x v="3"/>
    <s v="2025-01"/>
    <x v="22"/>
    <s v="MARCUS VINICIUS "/>
    <x v="104"/>
    <n v="1"/>
    <n v="0"/>
  </r>
  <r>
    <s v="035.665.211/0001-28"/>
    <x v="93"/>
    <s v="INCLUSAO  ANOT.INADIMPLENCIA"/>
    <x v="107"/>
    <x v="0"/>
    <s v="2025-01"/>
    <x v="22"/>
    <s v="ADMINISTRAÇÃO"/>
    <x v="93"/>
    <n v="0"/>
    <n v="1"/>
  </r>
  <r>
    <s v="036.906.058/0001-46"/>
    <x v="75"/>
    <s v="EXCLUSAO  ANOT.INADIMPLENCIA"/>
    <x v="107"/>
    <x v="4"/>
    <s v="2025-01"/>
    <x v="22"/>
    <s v="NOELI SALETE"/>
    <x v="75"/>
    <n v="1"/>
    <n v="0"/>
  </r>
  <r>
    <s v="013.746.252/0001-06"/>
    <x v="15"/>
    <s v="INCL/EXCL ANOT.INADIMPLENCIA"/>
    <x v="107"/>
    <x v="5"/>
    <s v="2025-01"/>
    <x v="22"/>
    <s v="POENATELA"/>
    <x v="15"/>
    <n v="1"/>
    <n v="1"/>
  </r>
  <r>
    <s v="049.847.331/0001-50"/>
    <x v="135"/>
    <s v="INCLUSAO  ANOT.INADIMPLENCIA"/>
    <x v="107"/>
    <x v="9"/>
    <s v="2025-01"/>
    <x v="22"/>
    <s v="PRISCILA METZ"/>
    <x v="135"/>
    <n v="0"/>
    <n v="1"/>
  </r>
  <r>
    <s v="038.407.341/0001-59"/>
    <x v="151"/>
    <s v="EXCLUSAO  ANOT.INADIMPLENCIA"/>
    <x v="107"/>
    <x v="10"/>
    <s v="2025-01"/>
    <x v="22"/>
    <s v="ROGERIO "/>
    <x v="151"/>
    <n v="1"/>
    <n v="0"/>
  </r>
  <r>
    <s v="040.582.798/0001-41"/>
    <x v="144"/>
    <s v="INCLUSAO  ANOT.INADIMPLENCIA"/>
    <x v="107"/>
    <x v="16"/>
    <s v="2025-01"/>
    <x v="22"/>
    <s v="SACADO"/>
    <x v="144"/>
    <n v="0"/>
    <n v="1"/>
  </r>
  <r>
    <s v="020.066.300/0001-80"/>
    <x v="2"/>
    <s v="INCL/EXCL ANOT.INADIMPLENCIA"/>
    <x v="108"/>
    <x v="1"/>
    <s v="2025-02"/>
    <x v="22"/>
    <s v="CELIO PIMENTA"/>
    <x v="2"/>
    <n v="1"/>
    <n v="1"/>
  </r>
  <r>
    <s v="036.726.274/0001-00"/>
    <x v="133"/>
    <s v="EXCLUSAO  ANOT.INADIMPLENCIA"/>
    <x v="108"/>
    <x v="1"/>
    <s v="2025-02"/>
    <x v="22"/>
    <s v="CELIO PIMENTA"/>
    <x v="133"/>
    <n v="1"/>
    <n v="0"/>
  </r>
  <r>
    <s v="029.030.307/0001-17"/>
    <x v="43"/>
    <s v="INCLUSAO  ANOT.INADIMPLENCIA"/>
    <x v="108"/>
    <x v="1"/>
    <s v="2025-02"/>
    <x v="22"/>
    <s v="CELIO PIMENTA"/>
    <x v="43"/>
    <n v="0"/>
    <n v="1"/>
  </r>
  <r>
    <s v="001.113.219/0001-60"/>
    <x v="88"/>
    <s v="INCLUSAO  ANOT.INADIMPLENCIA"/>
    <x v="108"/>
    <x v="1"/>
    <s v="2025-02"/>
    <x v="22"/>
    <s v="CELIO PIMENTA"/>
    <x v="88"/>
    <n v="0"/>
    <n v="1"/>
  </r>
  <r>
    <s v="016.757.535/0001-41"/>
    <x v="29"/>
    <s v="EXCLUSAO  ANOT.INADIMPLENCIA"/>
    <x v="108"/>
    <x v="11"/>
    <s v="2025-02"/>
    <x v="22"/>
    <s v="DIOGO AZEVEDO"/>
    <x v="29"/>
    <n v="1"/>
    <n v="0"/>
  </r>
  <r>
    <s v="035.649.603/0001-01"/>
    <x v="119"/>
    <s v="INCLUSAO  ANOT.INADIMPLENCIA"/>
    <x v="108"/>
    <x v="12"/>
    <s v="2025-02"/>
    <x v="22"/>
    <s v="PROSPECTAR"/>
    <x v="119"/>
    <n v="0"/>
    <n v="1"/>
  </r>
  <r>
    <s v="021.420.856/0001-96"/>
    <x v="129"/>
    <s v="EXCLUSAO  ANOT.INADIMPLENCIA"/>
    <x v="108"/>
    <x v="19"/>
    <s v="2025-02"/>
    <x v="22"/>
    <s v="JOSE ROBERTO"/>
    <x v="129"/>
    <n v="1"/>
    <n v="0"/>
  </r>
  <r>
    <s v="019.450.138/0001-10"/>
    <x v="70"/>
    <s v="EXCLUSAO  ANOT.INADIMPLENCIA"/>
    <x v="108"/>
    <x v="17"/>
    <s v="2025-02"/>
    <x v="22"/>
    <s v="MARCIO LEONEL"/>
    <x v="70"/>
    <n v="1"/>
    <n v="0"/>
  </r>
  <r>
    <s v="000.803.044/0001-50"/>
    <x v="45"/>
    <s v="INCL/EXCL ANOT.INADIMPLENCIA"/>
    <x v="108"/>
    <x v="0"/>
    <s v="2025-02"/>
    <x v="22"/>
    <s v="ADMINISTRAÇÃO"/>
    <x v="45"/>
    <n v="1"/>
    <n v="1"/>
  </r>
  <r>
    <s v="006.236.494/0001-94"/>
    <x v="61"/>
    <s v="EXCLUSAO  ANOT.INADIMPLENCIA"/>
    <x v="108"/>
    <x v="5"/>
    <s v="2025-02"/>
    <x v="22"/>
    <s v="POENATELA"/>
    <x v="61"/>
    <n v="1"/>
    <n v="0"/>
  </r>
  <r>
    <s v="037.828.375/0001-54"/>
    <x v="39"/>
    <s v="EXCLUSAO  ANOT.INADIMPLENCIA"/>
    <x v="108"/>
    <x v="5"/>
    <s v="2025-02"/>
    <x v="22"/>
    <s v="POENATELA"/>
    <x v="39"/>
    <n v="1"/>
    <n v="0"/>
  </r>
  <r>
    <s v="013.746.252/0001-06"/>
    <x v="15"/>
    <s v="EXCLUSAO  ANOT.INADIMPLENCIA"/>
    <x v="108"/>
    <x v="5"/>
    <s v="2025-02"/>
    <x v="22"/>
    <s v="POENATELA"/>
    <x v="15"/>
    <n v="1"/>
    <n v="0"/>
  </r>
  <r>
    <s v="049.847.331/0001-50"/>
    <x v="135"/>
    <s v="INCLUSAO  ANOT.INADIMPLENCIA"/>
    <x v="108"/>
    <x v="9"/>
    <s v="2025-02"/>
    <x v="22"/>
    <s v="PRISCILA METZ"/>
    <x v="135"/>
    <n v="0"/>
    <n v="1"/>
  </r>
  <r>
    <s v="014.385.825/0001-86"/>
    <x v="110"/>
    <s v="INCLUSAO  ANOT.INADIMPLENCIA"/>
    <x v="108"/>
    <x v="6"/>
    <s v="2025-02"/>
    <x v="22"/>
    <s v="RAFAEL PARISE"/>
    <x v="110"/>
    <n v="0"/>
    <n v="1"/>
  </r>
  <r>
    <s v="000.810.852/0001-44"/>
    <x v="84"/>
    <s v="EXCLUSAO  ANOT.INADIMPLENCIA"/>
    <x v="108"/>
    <x v="6"/>
    <s v="2025-02"/>
    <x v="22"/>
    <s v="RAFAEL PARISE"/>
    <x v="84"/>
    <n v="1"/>
    <n v="0"/>
  </r>
  <r>
    <s v="040.582.798/0001-41"/>
    <x v="144"/>
    <s v="INCLUSAO  ANOT.INADIMPLENCIA"/>
    <x v="108"/>
    <x v="16"/>
    <s v="2025-02"/>
    <x v="22"/>
    <s v="SACADO"/>
    <x v="144"/>
    <n v="0"/>
    <n v="1"/>
  </r>
  <r>
    <s v="031.509.494/0001-68"/>
    <x v="14"/>
    <s v="ALTERACAO ENDERECO"/>
    <x v="109"/>
    <x v="5"/>
    <s v="2025-02"/>
    <x v="23"/>
    <s v="POENATELA"/>
    <x v="14"/>
    <n v="0"/>
    <n v="0"/>
  </r>
  <r>
    <s v="023.637.987/0001-55"/>
    <x v="20"/>
    <s v="ALTERACAO RAZAO SOCIAL"/>
    <x v="109"/>
    <x v="5"/>
    <s v="2025-02"/>
    <x v="23"/>
    <s v="POENATELA"/>
    <x v="20"/>
    <n v="0"/>
    <n v="0"/>
  </r>
  <r>
    <s v="043.564.107/0001-75"/>
    <x v="152"/>
    <s v="ALTERACAO ENDERECO"/>
    <x v="109"/>
    <x v="21"/>
    <s v="2025-02"/>
    <x v="23"/>
    <s v="CAIO"/>
    <x v="152"/>
    <n v="0"/>
    <n v="0"/>
  </r>
  <r>
    <s v="038.185.478/0001-06"/>
    <x v="148"/>
    <s v="INCLUSAO  ANOT.INADIMPLENCIA"/>
    <x v="110"/>
    <x v="0"/>
    <s v="2025-02"/>
    <x v="23"/>
    <s v="ADMINISTRAÇÃO"/>
    <x v="148"/>
    <n v="0"/>
    <n v="1"/>
  </r>
  <r>
    <s v="021.734.108/0001-88"/>
    <x v="41"/>
    <s v="INCLUSAO  ANOT.INADIMPLENCIA"/>
    <x v="110"/>
    <x v="0"/>
    <s v="2025-02"/>
    <x v="23"/>
    <s v="ADMINISTRAÇÃO"/>
    <x v="41"/>
    <n v="0"/>
    <n v="1"/>
  </r>
  <r>
    <s v="020.066.300/0001-80"/>
    <x v="2"/>
    <s v="INCLUSAO  ANOT.INADIMPLENCIA"/>
    <x v="110"/>
    <x v="1"/>
    <s v="2025-02"/>
    <x v="23"/>
    <s v="CELIO PIMENTA"/>
    <x v="2"/>
    <n v="0"/>
    <n v="1"/>
  </r>
  <r>
    <s v="003.590.360/0001-89"/>
    <x v="3"/>
    <s v="EXCLUSAO  ANOT.INADIMPLENCIA"/>
    <x v="110"/>
    <x v="1"/>
    <s v="2025-02"/>
    <x v="23"/>
    <s v="CELIO PIMENTA"/>
    <x v="3"/>
    <n v="1"/>
    <n v="0"/>
  </r>
  <r>
    <s v="012.520.791/0001-60"/>
    <x v="4"/>
    <s v="INCLUSAO  ANOT.INADIMPLENCIA"/>
    <x v="110"/>
    <x v="1"/>
    <s v="2025-02"/>
    <x v="23"/>
    <s v="CELIO PIMENTA"/>
    <x v="4"/>
    <n v="0"/>
    <n v="1"/>
  </r>
  <r>
    <s v="035.649.603/0001-01"/>
    <x v="119"/>
    <s v="INCLUSAO  ANOT.INADIMPLENCIA"/>
    <x v="110"/>
    <x v="12"/>
    <s v="2025-02"/>
    <x v="23"/>
    <s v="PROSPECTAR"/>
    <x v="119"/>
    <n v="0"/>
    <n v="1"/>
  </r>
  <r>
    <s v="007.102.721/0001-51"/>
    <x v="44"/>
    <s v="INCL/EXCL ANOT.INADIMPLENCIA"/>
    <x v="110"/>
    <x v="12"/>
    <s v="2025-02"/>
    <x v="23"/>
    <s v="PROSPECTAR"/>
    <x v="44"/>
    <n v="1"/>
    <n v="1"/>
  </r>
  <r>
    <s v="026.416.177/0001-67"/>
    <x v="130"/>
    <s v="INCLUSAO  ANOT.INADIMPLENCIA"/>
    <x v="110"/>
    <x v="3"/>
    <s v="2025-02"/>
    <x v="23"/>
    <s v="MARCUS VINICIUS "/>
    <x v="130"/>
    <n v="0"/>
    <n v="1"/>
  </r>
  <r>
    <s v="035.165.246/0001-06"/>
    <x v="104"/>
    <s v="INCLUSAO  ANOT.INADIMPLENCIA"/>
    <x v="110"/>
    <x v="3"/>
    <s v="2025-02"/>
    <x v="23"/>
    <s v="MARCUS VINICIUS "/>
    <x v="104"/>
    <n v="0"/>
    <n v="1"/>
  </r>
  <r>
    <s v="002.246.382/0001-63"/>
    <x v="56"/>
    <s v="INCLUSAO  ANOT.INADIMPLENCIA"/>
    <x v="110"/>
    <x v="3"/>
    <s v="2025-02"/>
    <x v="23"/>
    <s v="MARCUS VINICIUS "/>
    <x v="56"/>
    <n v="0"/>
    <n v="1"/>
  </r>
  <r>
    <s v="046.140.062/0001-08"/>
    <x v="68"/>
    <s v="INCLUSAO  ANOT.INADIMPLENCIA"/>
    <x v="110"/>
    <x v="4"/>
    <s v="2025-02"/>
    <x v="23"/>
    <s v="NOELI SALETE"/>
    <x v="68"/>
    <n v="0"/>
    <n v="1"/>
  </r>
  <r>
    <s v="037.143.334/0001-24"/>
    <x v="134"/>
    <s v="INCLUSAO  ANOT.INADIMPLENCIA"/>
    <x v="110"/>
    <x v="4"/>
    <s v="2025-02"/>
    <x v="23"/>
    <s v="NOELI SALETE"/>
    <x v="134"/>
    <n v="0"/>
    <n v="1"/>
  </r>
  <r>
    <s v="006.236.494/0001-94"/>
    <x v="61"/>
    <s v="EXCLUSAO  ANOT.INADIMPLENCIA"/>
    <x v="110"/>
    <x v="5"/>
    <s v="2025-02"/>
    <x v="23"/>
    <s v="POENATELA"/>
    <x v="61"/>
    <n v="1"/>
    <n v="0"/>
  </r>
  <r>
    <s v="028.477.685/0001-80"/>
    <x v="95"/>
    <s v="INCL/EXCL ANOT.INADIMPLENCIA"/>
    <x v="110"/>
    <x v="5"/>
    <s v="2025-02"/>
    <x v="23"/>
    <s v="POENATELA"/>
    <x v="95"/>
    <n v="1"/>
    <n v="1"/>
  </r>
  <r>
    <s v="013.746.252/0001-06"/>
    <x v="15"/>
    <s v="INCLUSAO  ANOT.INADIMPLENCIA"/>
    <x v="110"/>
    <x v="5"/>
    <s v="2025-02"/>
    <x v="23"/>
    <s v="POENATELA"/>
    <x v="15"/>
    <n v="0"/>
    <n v="1"/>
  </r>
  <r>
    <s v="049.847.331/0001-50"/>
    <x v="135"/>
    <s v="INCLUSAO  ANOT.INADIMPLENCIA"/>
    <x v="110"/>
    <x v="9"/>
    <s v="2025-02"/>
    <x v="23"/>
    <s v="PRISCILA METZ"/>
    <x v="135"/>
    <n v="0"/>
    <n v="1"/>
  </r>
  <r>
    <s v="042.276.517/0001-58"/>
    <x v="122"/>
    <s v="INCLUSAO  ANOT.INADIMPLENCIA"/>
    <x v="110"/>
    <x v="10"/>
    <s v="2025-02"/>
    <x v="23"/>
    <s v="ROGERIO "/>
    <x v="122"/>
    <n v="0"/>
    <n v="1"/>
  </r>
  <r>
    <s v="040.582.798/0001-41"/>
    <x v="144"/>
    <s v="INCLUSAO  ANOT.INADIMPLENCIA"/>
    <x v="110"/>
    <x v="16"/>
    <s v="2025-02"/>
    <x v="23"/>
    <s v="SACADO"/>
    <x v="144"/>
    <n v="0"/>
    <n v="1"/>
  </r>
  <r>
    <s v="044.637.793/0001-20"/>
    <x v="146"/>
    <s v="EXCLUSAO  ANOT.INADIMPLENCIA"/>
    <x v="111"/>
    <x v="0"/>
    <s v="2025-02"/>
    <x v="23"/>
    <s v="ADMINISTRAÇÃO"/>
    <x v="146"/>
    <n v="1"/>
    <n v="0"/>
  </r>
  <r>
    <s v="016.772.642/0001-49"/>
    <x v="69"/>
    <s v="INCLUSAO  ANOT.INADIMPLENCIA"/>
    <x v="111"/>
    <x v="0"/>
    <s v="2025-02"/>
    <x v="23"/>
    <s v="ADMINISTRAÇÃO"/>
    <x v="69"/>
    <n v="0"/>
    <n v="1"/>
  </r>
  <r>
    <s v="038.185.478/0001-06"/>
    <x v="148"/>
    <s v="EXCLUSAO  ANOT.INADIMPLENCIA"/>
    <x v="111"/>
    <x v="0"/>
    <s v="2025-02"/>
    <x v="23"/>
    <s v="ADMINISTRAÇÃO"/>
    <x v="148"/>
    <n v="1"/>
    <n v="0"/>
  </r>
  <r>
    <s v="000.688.793/0001-83"/>
    <x v="149"/>
    <s v="EXCLUSAO  ANOT.INADIMPLENCIA"/>
    <x v="111"/>
    <x v="1"/>
    <s v="2025-02"/>
    <x v="23"/>
    <s v="CELIO PIMENTA"/>
    <x v="149"/>
    <n v="1"/>
    <n v="0"/>
  </r>
  <r>
    <s v="029.030.307/0001-17"/>
    <x v="43"/>
    <s v="INCLUSAO  ANOT.INADIMPLENCIA"/>
    <x v="111"/>
    <x v="1"/>
    <s v="2025-02"/>
    <x v="23"/>
    <s v="CELIO PIMENTA"/>
    <x v="43"/>
    <n v="0"/>
    <n v="1"/>
  </r>
  <r>
    <s v="012.520.791/0001-60"/>
    <x v="4"/>
    <s v="INCLUSAO  ANOT.INADIMPLENCIA"/>
    <x v="111"/>
    <x v="1"/>
    <s v="2025-02"/>
    <x v="23"/>
    <s v="CELIO PIMENTA"/>
    <x v="4"/>
    <n v="0"/>
    <n v="1"/>
  </r>
  <r>
    <s v="035.649.603/0001-01"/>
    <x v="119"/>
    <s v="EXCLUSAO  ANOT.INADIMPLENCIA"/>
    <x v="111"/>
    <x v="12"/>
    <s v="2025-02"/>
    <x v="23"/>
    <s v="PROSPECTAR"/>
    <x v="119"/>
    <n v="1"/>
    <n v="0"/>
  </r>
  <r>
    <s v="019.450.138/0001-10"/>
    <x v="70"/>
    <s v="EXCLUSAO  ANOT.INADIMPLENCIA"/>
    <x v="111"/>
    <x v="17"/>
    <s v="2025-02"/>
    <x v="23"/>
    <s v="MARCIO LEONEL"/>
    <x v="70"/>
    <n v="1"/>
    <n v="0"/>
  </r>
  <r>
    <s v="026.416.177/0001-67"/>
    <x v="130"/>
    <s v="INCLUSAO  ANOT.INADIMPLENCIA"/>
    <x v="111"/>
    <x v="3"/>
    <s v="2025-02"/>
    <x v="23"/>
    <s v="MARCUS VINICIUS "/>
    <x v="130"/>
    <n v="0"/>
    <n v="1"/>
  </r>
  <r>
    <s v="035.165.246/0001-06"/>
    <x v="104"/>
    <s v="INCLUSAO  ANOT.INADIMPLENCIA"/>
    <x v="111"/>
    <x v="3"/>
    <s v="2025-02"/>
    <x v="23"/>
    <s v="MARCUS VINICIUS "/>
    <x v="104"/>
    <n v="0"/>
    <n v="1"/>
  </r>
  <r>
    <s v="028.477.685/0001-80"/>
    <x v="95"/>
    <s v="INCLUSAO  ANOT.INADIMPLENCIA"/>
    <x v="111"/>
    <x v="5"/>
    <s v="2025-02"/>
    <x v="23"/>
    <s v="POENATELA"/>
    <x v="95"/>
    <n v="0"/>
    <n v="1"/>
  </r>
  <r>
    <s v="041.757.407/0001-45"/>
    <x v="153"/>
    <s v="INCLUSAO  ANOT.INADIMPLENCIA"/>
    <x v="111"/>
    <x v="5"/>
    <s v="2025-02"/>
    <x v="23"/>
    <s v="POENATELA"/>
    <x v="153"/>
    <n v="0"/>
    <n v="1"/>
  </r>
  <r>
    <s v="013.746.252/0001-06"/>
    <x v="15"/>
    <s v="EXCLUSAO  ANOT.INADIMPLENCIA"/>
    <x v="111"/>
    <x v="5"/>
    <s v="2025-02"/>
    <x v="23"/>
    <s v="POENATELA"/>
    <x v="15"/>
    <n v="1"/>
    <n v="0"/>
  </r>
  <r>
    <s v="049.847.331/0001-50"/>
    <x v="135"/>
    <s v="INCLUSAO  ANOT.INADIMPLENCIA"/>
    <x v="111"/>
    <x v="9"/>
    <s v="2025-02"/>
    <x v="23"/>
    <s v="PRISCILA METZ"/>
    <x v="135"/>
    <n v="0"/>
    <n v="1"/>
  </r>
  <r>
    <s v="039.822.835/0001-62"/>
    <x v="154"/>
    <s v="INCLUSAO  ANOT.INADIMPLENCIA"/>
    <x v="111"/>
    <x v="6"/>
    <s v="2025-02"/>
    <x v="23"/>
    <s v="RAFAEL PARISE"/>
    <x v="154"/>
    <n v="0"/>
    <n v="1"/>
  </r>
  <r>
    <s v="041.421.379/0001-90"/>
    <x v="137"/>
    <s v="INCLUSAO  ANOT.INADIMPLENCIA"/>
    <x v="111"/>
    <x v="6"/>
    <s v="2025-02"/>
    <x v="23"/>
    <s v="RAFAEL PARISE"/>
    <x v="137"/>
    <n v="0"/>
    <n v="1"/>
  </r>
  <r>
    <s v="051.107.672/0001-31"/>
    <x v="32"/>
    <s v="INCLUSAO  ANOT.INADIMPLENCIA"/>
    <x v="111"/>
    <x v="10"/>
    <s v="2025-02"/>
    <x v="23"/>
    <s v="ROGERIO "/>
    <x v="32"/>
    <n v="0"/>
    <n v="1"/>
  </r>
  <r>
    <s v="021.734.108/0001-88"/>
    <x v="41"/>
    <s v="EXCLUSAO  ANOT.INADIMPLENCIA"/>
    <x v="112"/>
    <x v="0"/>
    <s v="2025-02"/>
    <x v="23"/>
    <s v="ADMINISTRAÇÃO"/>
    <x v="41"/>
    <n v="1"/>
    <n v="0"/>
  </r>
  <r>
    <s v="004.126.524/0001-84"/>
    <x v="28"/>
    <s v="EXCLUSAO  ANOT.INADIMPLENCIA"/>
    <x v="112"/>
    <x v="0"/>
    <s v="2025-02"/>
    <x v="23"/>
    <s v="ADMINISTRAÇÃO"/>
    <x v="28"/>
    <n v="1"/>
    <n v="0"/>
  </r>
  <r>
    <s v="020.066.300/0001-80"/>
    <x v="2"/>
    <s v="INCLUSAO  ANOT.INADIMPLENCIA"/>
    <x v="112"/>
    <x v="1"/>
    <s v="2025-02"/>
    <x v="23"/>
    <s v="CELIO PIMENTA"/>
    <x v="2"/>
    <n v="0"/>
    <n v="1"/>
  </r>
  <r>
    <s v="016.757.535/0001-41"/>
    <x v="29"/>
    <s v="INCLUSAO  ANOT.INADIMPLENCIA"/>
    <x v="112"/>
    <x v="11"/>
    <s v="2025-02"/>
    <x v="23"/>
    <s v="DIOGO AZEVEDO"/>
    <x v="29"/>
    <n v="0"/>
    <n v="1"/>
  </r>
  <r>
    <s v="001.181.263/0001-07"/>
    <x v="155"/>
    <s v="INCLUSAO  ANOT.INADIMPLENCIA"/>
    <x v="112"/>
    <x v="12"/>
    <s v="2025-02"/>
    <x v="23"/>
    <s v="PROSPECTAR"/>
    <x v="155"/>
    <n v="0"/>
    <n v="1"/>
  </r>
  <r>
    <s v="026.416.177/0001-67"/>
    <x v="130"/>
    <s v="EXCLUSAO  ANOT.INADIMPLENCIA"/>
    <x v="112"/>
    <x v="3"/>
    <s v="2025-02"/>
    <x v="23"/>
    <s v="MARCUS VINICIUS "/>
    <x v="130"/>
    <n v="1"/>
    <n v="0"/>
  </r>
  <r>
    <s v="035.165.246/0001-06"/>
    <x v="104"/>
    <s v="INCLUSAO  ANOT.INADIMPLENCIA"/>
    <x v="112"/>
    <x v="3"/>
    <s v="2025-02"/>
    <x v="23"/>
    <s v="MARCUS VINICIUS "/>
    <x v="104"/>
    <n v="0"/>
    <n v="1"/>
  </r>
  <r>
    <s v="000.803.044/0001-50"/>
    <x v="45"/>
    <s v="EXCLUSAO  ANOT.INADIMPLENCIA"/>
    <x v="112"/>
    <x v="0"/>
    <s v="2025-02"/>
    <x v="23"/>
    <s v="ADMINISTRAÇÃO"/>
    <x v="45"/>
    <n v="1"/>
    <n v="0"/>
  </r>
  <r>
    <s v="088.978.606/0001-47"/>
    <x v="114"/>
    <s v="INCLUSAO  ANOT.INADIMPLENCIA"/>
    <x v="112"/>
    <x v="4"/>
    <s v="2025-02"/>
    <x v="23"/>
    <s v="NOELI SALETE"/>
    <x v="114"/>
    <n v="0"/>
    <n v="1"/>
  </r>
  <r>
    <s v="046.140.062/0001-08"/>
    <x v="68"/>
    <s v="INCLUSAO  ANOT.INADIMPLENCIA"/>
    <x v="112"/>
    <x v="4"/>
    <s v="2025-02"/>
    <x v="23"/>
    <s v="NOELI SALETE"/>
    <x v="68"/>
    <n v="0"/>
    <n v="1"/>
  </r>
  <r>
    <s v="050.893.355/0001-25"/>
    <x v="156"/>
    <s v="INCLUSAO  ANOT.INADIMPLENCIA"/>
    <x v="112"/>
    <x v="0"/>
    <s v="2025-02"/>
    <x v="23"/>
    <s v="ADMINISTRAÇÃO"/>
    <x v="156"/>
    <n v="0"/>
    <n v="1"/>
  </r>
  <r>
    <s v="006.236.494/0001-94"/>
    <x v="61"/>
    <s v="EXCLUSAO  ANOT.INADIMPLENCIA"/>
    <x v="112"/>
    <x v="5"/>
    <s v="2025-02"/>
    <x v="23"/>
    <s v="POENATELA"/>
    <x v="61"/>
    <n v="1"/>
    <n v="0"/>
  </r>
  <r>
    <s v="013.746.252/0001-06"/>
    <x v="15"/>
    <s v="EXCLUSAO  ANOT.INADIMPLENCIA"/>
    <x v="112"/>
    <x v="5"/>
    <s v="2025-02"/>
    <x v="23"/>
    <s v="POENATELA"/>
    <x v="15"/>
    <n v="1"/>
    <n v="0"/>
  </r>
  <r>
    <s v="049.847.331/0001-50"/>
    <x v="135"/>
    <s v="INCLUSAO  ANOT.INADIMPLENCIA"/>
    <x v="112"/>
    <x v="9"/>
    <s v="2025-02"/>
    <x v="23"/>
    <s v="PRISCILA METZ"/>
    <x v="135"/>
    <n v="0"/>
    <n v="1"/>
  </r>
  <r>
    <s v="050.901.671/0001-00"/>
    <x v="126"/>
    <s v="EXCLUSAO  ANOT.INADIMPLENCIA"/>
    <x v="112"/>
    <x v="10"/>
    <s v="2025-02"/>
    <x v="23"/>
    <s v="ROGERIO "/>
    <x v="126"/>
    <n v="1"/>
    <n v="0"/>
  </r>
  <r>
    <s v="007.509.304/0001-28"/>
    <x v="157"/>
    <s v="INCLUSAO  ANOT.INADIMPLENCIA"/>
    <x v="112"/>
    <x v="18"/>
    <s v="2025-02"/>
    <x v="23"/>
    <s v="SEM GERENTE"/>
    <x v="157"/>
    <n v="0"/>
    <n v="1"/>
  </r>
  <r>
    <s v="012.520.791/0001-60"/>
    <x v="4"/>
    <s v="INCLUSAO  ANOT.INADIMPLENCIA"/>
    <x v="113"/>
    <x v="1"/>
    <s v="2025-02"/>
    <x v="23"/>
    <s v="CELIO PIMENTA"/>
    <x v="4"/>
    <n v="0"/>
    <n v="1"/>
  </r>
  <r>
    <s v="035.665.211/0001-28"/>
    <x v="93"/>
    <s v="INCLUSAO  ANOT.INADIMPLENCIA"/>
    <x v="113"/>
    <x v="0"/>
    <s v="2025-02"/>
    <x v="23"/>
    <s v="ADMINISTRAÇÃO"/>
    <x v="93"/>
    <n v="0"/>
    <n v="1"/>
  </r>
  <r>
    <s v="006.236.494/0001-94"/>
    <x v="61"/>
    <s v="EXCLUSAO  ANOT.INADIMPLENCIA"/>
    <x v="113"/>
    <x v="5"/>
    <s v="2025-02"/>
    <x v="23"/>
    <s v="POENATELA"/>
    <x v="61"/>
    <n v="1"/>
    <n v="0"/>
  </r>
  <r>
    <s v="028.477.685/0001-80"/>
    <x v="95"/>
    <s v="EXCLUSAO  ANOT.INADIMPLENCIA"/>
    <x v="113"/>
    <x v="5"/>
    <s v="2025-02"/>
    <x v="23"/>
    <s v="POENATELA"/>
    <x v="95"/>
    <n v="1"/>
    <n v="0"/>
  </r>
  <r>
    <s v="013.746.252/0001-06"/>
    <x v="15"/>
    <s v="INCLUSAO  ANOT.INADIMPLENCIA"/>
    <x v="113"/>
    <x v="5"/>
    <s v="2025-02"/>
    <x v="23"/>
    <s v="POENATELA"/>
    <x v="15"/>
    <n v="0"/>
    <n v="1"/>
  </r>
  <r>
    <s v="049.847.331/0001-50"/>
    <x v="135"/>
    <s v="INCLUSAO  ANOT.INADIMPLENCIA"/>
    <x v="113"/>
    <x v="9"/>
    <s v="2025-02"/>
    <x v="23"/>
    <s v="PRISCILA METZ"/>
    <x v="135"/>
    <n v="0"/>
    <n v="1"/>
  </r>
  <r>
    <s v="041.421.379/0001-90"/>
    <x v="137"/>
    <s v="INCLUSAO  ANOT.INADIMPLENCIA"/>
    <x v="113"/>
    <x v="6"/>
    <s v="2025-02"/>
    <x v="23"/>
    <s v="RAFAEL PARISE"/>
    <x v="137"/>
    <n v="0"/>
    <n v="1"/>
  </r>
  <r>
    <s v="043.515.558/0001-12"/>
    <x v="22"/>
    <s v="INCLUSAO  ANOT.INADIMPLENCIA"/>
    <x v="113"/>
    <x v="10"/>
    <s v="2025-02"/>
    <x v="23"/>
    <s v="ROGERIO "/>
    <x v="22"/>
    <n v="0"/>
    <n v="1"/>
  </r>
  <r>
    <s v="016.772.642/0001-49"/>
    <x v="69"/>
    <s v="INCL/EXCL ANOT.INADIMPLENCIA"/>
    <x v="114"/>
    <x v="0"/>
    <s v="2025-02"/>
    <x v="23"/>
    <s v="ADMINISTRAÇÃO"/>
    <x v="69"/>
    <n v="1"/>
    <n v="1"/>
  </r>
  <r>
    <s v="035.649.603/0001-01"/>
    <x v="119"/>
    <s v="EXCLUSAO  ANOT.INADIMPLENCIA"/>
    <x v="114"/>
    <x v="12"/>
    <s v="2025-02"/>
    <x v="23"/>
    <s v="PROSPECTAR"/>
    <x v="119"/>
    <n v="1"/>
    <n v="0"/>
  </r>
  <r>
    <s v="019.450.138/0001-10"/>
    <x v="70"/>
    <s v="INCLUSAO  ANOT.INADIMPLENCIA"/>
    <x v="114"/>
    <x v="17"/>
    <s v="2025-02"/>
    <x v="23"/>
    <s v="MARCIO LEONEL"/>
    <x v="70"/>
    <n v="0"/>
    <n v="1"/>
  </r>
  <r>
    <s v="035.165.246/0001-06"/>
    <x v="104"/>
    <s v="INCLUSAO  ANOT.INADIMPLENCIA"/>
    <x v="114"/>
    <x v="3"/>
    <s v="2025-02"/>
    <x v="23"/>
    <s v="MARCUS VINICIUS "/>
    <x v="104"/>
    <n v="0"/>
    <n v="1"/>
  </r>
  <r>
    <s v="035.665.211/0001-28"/>
    <x v="93"/>
    <s v="INCLUSAO  ANOT.INADIMPLENCIA"/>
    <x v="114"/>
    <x v="0"/>
    <s v="2025-02"/>
    <x v="23"/>
    <s v="ADMINISTRAÇÃO"/>
    <x v="93"/>
    <n v="0"/>
    <n v="1"/>
  </r>
  <r>
    <s v="088.978.606/0001-47"/>
    <x v="114"/>
    <s v="INCLUSAO  ANOT.INADIMPLENCIA"/>
    <x v="114"/>
    <x v="4"/>
    <s v="2025-02"/>
    <x v="23"/>
    <s v="NOELI SALETE"/>
    <x v="114"/>
    <n v="0"/>
    <n v="1"/>
  </r>
  <r>
    <s v="013.746.252/0001-06"/>
    <x v="15"/>
    <s v="EXCLUSAO  ANOT.INADIMPLENCIA"/>
    <x v="114"/>
    <x v="5"/>
    <s v="2025-02"/>
    <x v="23"/>
    <s v="POENATELA"/>
    <x v="15"/>
    <n v="1"/>
    <n v="0"/>
  </r>
  <r>
    <s v="049.847.331/0001-50"/>
    <x v="135"/>
    <s v="INCLUSAO  ANOT.INADIMPLENCIA"/>
    <x v="114"/>
    <x v="9"/>
    <s v="2025-02"/>
    <x v="23"/>
    <s v="PRISCILA METZ"/>
    <x v="135"/>
    <n v="0"/>
    <n v="1"/>
  </r>
  <r>
    <s v="021.473.575/0001-00"/>
    <x v="62"/>
    <s v="EXCLUSAO  ANOT.INADIMPLENCIA"/>
    <x v="114"/>
    <x v="9"/>
    <s v="2025-02"/>
    <x v="23"/>
    <s v="PRISCILA METZ"/>
    <x v="62"/>
    <n v="1"/>
    <n v="0"/>
  </r>
  <r>
    <s v="043.564.107/0001-75"/>
    <x v="152"/>
    <s v="EXCLUSAO  ANOT.INADIMPLENCIA"/>
    <x v="114"/>
    <x v="21"/>
    <s v="2025-02"/>
    <x v="23"/>
    <s v="CAIO"/>
    <x v="152"/>
    <n v="1"/>
    <n v="0"/>
  </r>
  <r>
    <s v="016.772.642/0001-49"/>
    <x v="69"/>
    <s v="INCLUSAO  ANOT.INADIMPLENCIA"/>
    <x v="115"/>
    <x v="0"/>
    <s v="2025-02"/>
    <x v="24"/>
    <s v="ADMINISTRAÇÃO"/>
    <x v="69"/>
    <n v="0"/>
    <n v="1"/>
  </r>
  <r>
    <s v="035.345.406/0001-90"/>
    <x v="40"/>
    <s v="INCLUSAO  ANOT.INADIMPLENCIA"/>
    <x v="115"/>
    <x v="0"/>
    <s v="2025-02"/>
    <x v="24"/>
    <s v="ADMINISTRAÇÃO"/>
    <x v="40"/>
    <n v="0"/>
    <n v="1"/>
  </r>
  <r>
    <s v="010.497.973/0001-31"/>
    <x v="53"/>
    <s v="INCLUSAO  ANOT.INADIMPLENCIA"/>
    <x v="115"/>
    <x v="0"/>
    <s v="2025-02"/>
    <x v="24"/>
    <s v="ADMINISTRAÇÃO"/>
    <x v="53"/>
    <n v="0"/>
    <n v="1"/>
  </r>
  <r>
    <s v="021.734.108/0001-88"/>
    <x v="41"/>
    <s v="INCLUSAO  ANOT.INADIMPLENCIA"/>
    <x v="115"/>
    <x v="0"/>
    <s v="2025-02"/>
    <x v="24"/>
    <s v="ADMINISTRAÇÃO"/>
    <x v="41"/>
    <n v="0"/>
    <n v="1"/>
  </r>
  <r>
    <s v="028.556.973/0001-20"/>
    <x v="118"/>
    <s v="ALTERACAO QUADRO SOCIAL"/>
    <x v="115"/>
    <x v="1"/>
    <s v="2025-02"/>
    <x v="24"/>
    <s v="CELIO PIMENTA"/>
    <x v="118"/>
    <n v="0"/>
    <n v="0"/>
  </r>
  <r>
    <s v="020.066.300/0001-80"/>
    <x v="2"/>
    <s v="ALTERACAO QUADRO SOCIAL"/>
    <x v="115"/>
    <x v="1"/>
    <s v="2025-02"/>
    <x v="24"/>
    <s v="CELIO PIMENTA"/>
    <x v="2"/>
    <n v="0"/>
    <n v="0"/>
  </r>
  <r>
    <s v="020.066.300/0001-80"/>
    <x v="2"/>
    <s v="ALTERACAO ADMINISTRADORES"/>
    <x v="115"/>
    <x v="1"/>
    <s v="2025-02"/>
    <x v="24"/>
    <s v="CELIO PIMENTA"/>
    <x v="2"/>
    <n v="0"/>
    <n v="0"/>
  </r>
  <r>
    <s v="020.066.300/0001-80"/>
    <x v="2"/>
    <s v="INCLUSAO  ANOT.INADIMPLENCIA"/>
    <x v="115"/>
    <x v="1"/>
    <s v="2025-02"/>
    <x v="24"/>
    <s v="CELIO PIMENTA"/>
    <x v="2"/>
    <n v="0"/>
    <n v="1"/>
  </r>
  <r>
    <s v="003.590.360/0001-89"/>
    <x v="3"/>
    <s v="INCLUSAO  ANOT.INADIMPLENCIA"/>
    <x v="115"/>
    <x v="1"/>
    <s v="2025-02"/>
    <x v="24"/>
    <s v="CELIO PIMENTA"/>
    <x v="3"/>
    <n v="0"/>
    <n v="1"/>
  </r>
  <r>
    <s v="012.520.791/0001-60"/>
    <x v="4"/>
    <s v="INCLUSAO  ANOT.INADIMPLENCIA"/>
    <x v="115"/>
    <x v="1"/>
    <s v="2025-02"/>
    <x v="24"/>
    <s v="CELIO PIMENTA"/>
    <x v="4"/>
    <n v="0"/>
    <n v="1"/>
  </r>
  <r>
    <s v="035.649.603/0001-01"/>
    <x v="119"/>
    <s v="INCLUSAO  ANOT.INADIMPLENCIA"/>
    <x v="115"/>
    <x v="12"/>
    <s v="2025-02"/>
    <x v="24"/>
    <s v="PROSPECTAR"/>
    <x v="119"/>
    <n v="0"/>
    <n v="1"/>
  </r>
  <r>
    <s v="007.102.721/0001-51"/>
    <x v="44"/>
    <s v="EXCLUSAO  ANOT.INADIMPLENCIA"/>
    <x v="115"/>
    <x v="12"/>
    <s v="2025-02"/>
    <x v="24"/>
    <s v="PROSPECTAR"/>
    <x v="44"/>
    <n v="1"/>
    <n v="0"/>
  </r>
  <r>
    <s v="007.561.436/0001-07"/>
    <x v="34"/>
    <s v="INCLUSAO  ANOT.INADIMPLENCIA"/>
    <x v="115"/>
    <x v="12"/>
    <s v="2025-02"/>
    <x v="24"/>
    <s v="PROSPECTAR"/>
    <x v="34"/>
    <n v="0"/>
    <n v="1"/>
  </r>
  <r>
    <s v="021.420.856/0001-96"/>
    <x v="129"/>
    <s v="EXCLUSAO  ANOT.INADIMPLENCIA"/>
    <x v="115"/>
    <x v="19"/>
    <s v="2025-02"/>
    <x v="24"/>
    <s v="JOSE ROBERTO"/>
    <x v="129"/>
    <n v="1"/>
    <n v="0"/>
  </r>
  <r>
    <s v="019.450.138/0001-10"/>
    <x v="70"/>
    <s v="EXCLUSAO  ANOT.INADIMPLENCIA"/>
    <x v="115"/>
    <x v="17"/>
    <s v="2025-02"/>
    <x v="24"/>
    <s v="MARCIO LEONEL"/>
    <x v="70"/>
    <n v="1"/>
    <n v="0"/>
  </r>
  <r>
    <s v="035.165.246/0001-06"/>
    <x v="104"/>
    <s v="INCLUSAO  ANOT.INADIMPLENCIA"/>
    <x v="115"/>
    <x v="3"/>
    <s v="2025-02"/>
    <x v="24"/>
    <s v="MARCUS VINICIUS "/>
    <x v="104"/>
    <n v="0"/>
    <n v="1"/>
  </r>
  <r>
    <s v="002.246.382/0001-63"/>
    <x v="56"/>
    <s v="INCLUSAO  ANOT.INADIMPLENCIA"/>
    <x v="115"/>
    <x v="3"/>
    <s v="2025-02"/>
    <x v="24"/>
    <s v="MARCUS VINICIUS "/>
    <x v="56"/>
    <n v="0"/>
    <n v="1"/>
  </r>
  <r>
    <s v="035.665.211/0001-28"/>
    <x v="93"/>
    <s v="INCLUSAO  ANOT.INADIMPLENCIA"/>
    <x v="115"/>
    <x v="0"/>
    <s v="2025-02"/>
    <x v="24"/>
    <s v="ADMINISTRAÇÃO"/>
    <x v="93"/>
    <n v="0"/>
    <n v="1"/>
  </r>
  <r>
    <s v="007.906.793/0001-51"/>
    <x v="125"/>
    <s v="INCLUSAO  ANOT.INADIMPLENCIA"/>
    <x v="115"/>
    <x v="4"/>
    <s v="2025-02"/>
    <x v="24"/>
    <s v="NOELI SALETE"/>
    <x v="125"/>
    <n v="0"/>
    <n v="1"/>
  </r>
  <r>
    <s v="006.236.494/0001-94"/>
    <x v="61"/>
    <s v="EXCLUSAO  ANOT.INADIMPLENCIA"/>
    <x v="115"/>
    <x v="5"/>
    <s v="2025-02"/>
    <x v="24"/>
    <s v="POENATELA"/>
    <x v="61"/>
    <n v="1"/>
    <n v="0"/>
  </r>
  <r>
    <s v="025.383.640/0001-59"/>
    <x v="158"/>
    <s v="ALTERACAO QUADRO SOCIAL"/>
    <x v="115"/>
    <x v="5"/>
    <s v="2025-02"/>
    <x v="24"/>
    <s v="POENATELA"/>
    <x v="158"/>
    <n v="0"/>
    <n v="0"/>
  </r>
  <r>
    <s v="028.477.685/0001-80"/>
    <x v="95"/>
    <s v="EXCLUSAO  ANOT.INADIMPLENCIA"/>
    <x v="115"/>
    <x v="5"/>
    <s v="2025-02"/>
    <x v="24"/>
    <s v="POENATELA"/>
    <x v="95"/>
    <n v="1"/>
    <n v="0"/>
  </r>
  <r>
    <s v="041.757.407/0001-45"/>
    <x v="153"/>
    <s v="EXCLUSAO  ANOT.INADIMPLENCIA"/>
    <x v="115"/>
    <x v="5"/>
    <s v="2025-02"/>
    <x v="24"/>
    <s v="POENATELA"/>
    <x v="153"/>
    <n v="1"/>
    <n v="0"/>
  </r>
  <r>
    <s v="049.847.331/0001-50"/>
    <x v="135"/>
    <s v="INCLUSAO  ANOT.INADIMPLENCIA"/>
    <x v="115"/>
    <x v="9"/>
    <s v="2025-02"/>
    <x v="24"/>
    <s v="PRISCILA METZ"/>
    <x v="135"/>
    <n v="0"/>
    <n v="1"/>
  </r>
  <r>
    <s v="004.067.472/0001-12"/>
    <x v="159"/>
    <s v="EXCLUSAO  ANOT.INADIMPLENCIA"/>
    <x v="115"/>
    <x v="9"/>
    <s v="2025-02"/>
    <x v="24"/>
    <s v="PRISCILA METZ"/>
    <x v="159"/>
    <n v="1"/>
    <n v="0"/>
  </r>
  <r>
    <s v="014.385.825/0001-86"/>
    <x v="110"/>
    <s v="INCL/EXCL ANOT.INADIMPLENCIA"/>
    <x v="115"/>
    <x v="6"/>
    <s v="2025-02"/>
    <x v="24"/>
    <s v="RAFAEL PARISE"/>
    <x v="110"/>
    <n v="1"/>
    <n v="1"/>
  </r>
  <r>
    <s v="071.350.797/0001-03"/>
    <x v="48"/>
    <s v="INCLUSAO  ANOT.INADIMPLENCIA"/>
    <x v="115"/>
    <x v="10"/>
    <s v="2025-02"/>
    <x v="24"/>
    <s v="ROGERIO "/>
    <x v="48"/>
    <n v="0"/>
    <n v="1"/>
  </r>
  <r>
    <s v="040.582.798/0001-41"/>
    <x v="144"/>
    <s v="EXCLUSAO  ANOT.INADIMPLENCIA"/>
    <x v="115"/>
    <x v="16"/>
    <s v="2025-02"/>
    <x v="24"/>
    <s v="SACADO"/>
    <x v="144"/>
    <n v="1"/>
    <n v="0"/>
  </r>
  <r>
    <s v="043.515.558/0001-12"/>
    <x v="22"/>
    <s v="INCLUSAO  ANOT.INADIMPLENCIA"/>
    <x v="115"/>
    <x v="10"/>
    <s v="2025-02"/>
    <x v="24"/>
    <s v="ROGERIO "/>
    <x v="22"/>
    <n v="0"/>
    <n v="1"/>
  </r>
  <r>
    <s v="000.688.793/0001-83"/>
    <x v="149"/>
    <s v="EXCLUSAO  ANOT.INADIMPLENCIA"/>
    <x v="116"/>
    <x v="1"/>
    <s v="2025-03"/>
    <x v="25"/>
    <s v="CELIO PIMENTA"/>
    <x v="149"/>
    <n v="1"/>
    <n v="0"/>
  </r>
  <r>
    <s v="020.066.300/0001-80"/>
    <x v="2"/>
    <s v="INCLUSAO  ANOT.INADIMPLENCIA"/>
    <x v="116"/>
    <x v="1"/>
    <s v="2025-03"/>
    <x v="25"/>
    <s v="CELIO PIMENTA"/>
    <x v="2"/>
    <n v="0"/>
    <n v="1"/>
  </r>
  <r>
    <s v="036.726.274/0001-00"/>
    <x v="133"/>
    <s v="INCLUSAO  ANOT.INADIMPLENCIA"/>
    <x v="116"/>
    <x v="1"/>
    <s v="2025-03"/>
    <x v="25"/>
    <s v="CELIO PIMENTA"/>
    <x v="133"/>
    <n v="0"/>
    <n v="1"/>
  </r>
  <r>
    <s v="012.520.791/0001-60"/>
    <x v="4"/>
    <s v="INCLUSAO  ANOT.INADIMPLENCIA"/>
    <x v="116"/>
    <x v="1"/>
    <s v="2025-03"/>
    <x v="25"/>
    <s v="CELIO PIMENTA"/>
    <x v="4"/>
    <n v="0"/>
    <n v="1"/>
  </r>
  <r>
    <s v="003.596.757/0001-88"/>
    <x v="160"/>
    <s v="EXCLUSAO  ANOT.INADIMPLENCIA"/>
    <x v="116"/>
    <x v="15"/>
    <s v="2025-03"/>
    <x v="25"/>
    <s v="EDUARDO MATOSO"/>
    <x v="160"/>
    <n v="1"/>
    <n v="0"/>
  </r>
  <r>
    <s v="002.377.675/0001-80"/>
    <x v="85"/>
    <s v="INCLUSAO  ANOT.INADIMPLENCIA"/>
    <x v="116"/>
    <x v="22"/>
    <s v="2025-03"/>
    <x v="25"/>
    <s v="FITZ"/>
    <x v="85"/>
    <n v="0"/>
    <n v="1"/>
  </r>
  <r>
    <s v="001.165.357/0001-92"/>
    <x v="86"/>
    <s v="INCLUSAO  ANOT.INADIMPLENCIA"/>
    <x v="116"/>
    <x v="22"/>
    <s v="2025-03"/>
    <x v="25"/>
    <s v="FITZ"/>
    <x v="86"/>
    <n v="0"/>
    <n v="1"/>
  </r>
  <r>
    <s v="001.636.335/0001-63"/>
    <x v="77"/>
    <s v="INCLUSAO  ANOT.INADIMPLENCIA"/>
    <x v="116"/>
    <x v="22"/>
    <s v="2025-03"/>
    <x v="25"/>
    <s v="FITZ"/>
    <x v="77"/>
    <n v="0"/>
    <n v="1"/>
  </r>
  <r>
    <s v="024.331.138/0001-31"/>
    <x v="87"/>
    <s v="INCLUSAO  ANOT.INADIMPLENCIA"/>
    <x v="116"/>
    <x v="22"/>
    <s v="2025-03"/>
    <x v="25"/>
    <s v="FITZ"/>
    <x v="87"/>
    <n v="0"/>
    <n v="1"/>
  </r>
  <r>
    <s v="040.938.741/0001-32"/>
    <x v="161"/>
    <s v="INCLUSAO  ANOT.INADIMPLENCIA"/>
    <x v="116"/>
    <x v="22"/>
    <s v="2025-03"/>
    <x v="25"/>
    <s v="FITZ"/>
    <x v="161"/>
    <n v="0"/>
    <n v="1"/>
  </r>
  <r>
    <s v="045.501.529/0001-27"/>
    <x v="162"/>
    <s v="INCLUSAO  ANOT.INADIMPLENCIA"/>
    <x v="116"/>
    <x v="22"/>
    <s v="2025-03"/>
    <x v="25"/>
    <s v="FITZ"/>
    <x v="162"/>
    <n v="0"/>
    <n v="1"/>
  </r>
  <r>
    <s v="019.450.138/0001-10"/>
    <x v="70"/>
    <s v="INCLUSAO  ANOT.INADIMPLENCIA"/>
    <x v="116"/>
    <x v="17"/>
    <s v="2025-03"/>
    <x v="25"/>
    <s v="MARCIO LEONEL"/>
    <x v="70"/>
    <n v="0"/>
    <n v="1"/>
  </r>
  <r>
    <s v="025.825.654/0001-85"/>
    <x v="7"/>
    <s v="INCLUSAO  ANOT.INADIMPLENCIA"/>
    <x v="116"/>
    <x v="3"/>
    <s v="2025-03"/>
    <x v="25"/>
    <s v="MARCUS VINICIUS "/>
    <x v="7"/>
    <n v="0"/>
    <n v="1"/>
  </r>
  <r>
    <s v="011.091.574/0001-39"/>
    <x v="26"/>
    <s v="EXCLUSAO  ANOT.INADIMPLENCIA"/>
    <x v="116"/>
    <x v="5"/>
    <s v="2025-03"/>
    <x v="25"/>
    <s v="POENATELA"/>
    <x v="26"/>
    <n v="1"/>
    <n v="0"/>
  </r>
  <r>
    <s v="025.383.640/0001-59"/>
    <x v="158"/>
    <s v="EXCLUSAO  ANOT.INADIMPLENCIA"/>
    <x v="116"/>
    <x v="5"/>
    <s v="2025-03"/>
    <x v="25"/>
    <s v="POENATELA"/>
    <x v="158"/>
    <n v="1"/>
    <n v="0"/>
  </r>
  <r>
    <s v="018.868.117/0001-57"/>
    <x v="163"/>
    <s v="EXCLUSAO  ANOT.INADIMPLENCIA"/>
    <x v="116"/>
    <x v="5"/>
    <s v="2025-03"/>
    <x v="25"/>
    <s v="POENATELA"/>
    <x v="163"/>
    <n v="1"/>
    <n v="0"/>
  </r>
  <r>
    <s v="023.605.544/0001-82"/>
    <x v="21"/>
    <s v="INCLUSAO  ANOT.INADIMPLENCIA"/>
    <x v="116"/>
    <x v="9"/>
    <s v="2025-03"/>
    <x v="25"/>
    <s v="PRISCILA METZ"/>
    <x v="21"/>
    <n v="0"/>
    <n v="1"/>
  </r>
  <r>
    <s v="030.104.393/0001-44"/>
    <x v="164"/>
    <s v="EXCLUSAO  ANOT.INADIMPLENCIA"/>
    <x v="116"/>
    <x v="6"/>
    <s v="2025-03"/>
    <x v="25"/>
    <s v="RAFAEL PARISE"/>
    <x v="164"/>
    <n v="1"/>
    <n v="0"/>
  </r>
  <r>
    <s v="005.997.418/0001-39"/>
    <x v="165"/>
    <s v="INCLUSAO  ANOT.INADIMPLENCIA"/>
    <x v="116"/>
    <x v="6"/>
    <s v="2025-03"/>
    <x v="25"/>
    <s v="RAFAEL PARISE"/>
    <x v="165"/>
    <n v="0"/>
    <n v="1"/>
  </r>
  <r>
    <s v="038.110.780/0001-03"/>
    <x v="47"/>
    <s v="INCLUSAO  ANOT.INADIMPLENCIA"/>
    <x v="116"/>
    <x v="6"/>
    <s v="2025-03"/>
    <x v="25"/>
    <s v="RAFAEL PARISE"/>
    <x v="47"/>
    <n v="0"/>
    <n v="1"/>
  </r>
  <r>
    <s v="028.650.970/0001-51"/>
    <x v="166"/>
    <s v="INCLUSAO  ANOT.INADIMPLENCIA"/>
    <x v="116"/>
    <x v="10"/>
    <s v="2025-03"/>
    <x v="25"/>
    <s v="ROGERIO "/>
    <x v="166"/>
    <n v="0"/>
    <n v="1"/>
  </r>
  <r>
    <s v="007.509.304/0001-28"/>
    <x v="157"/>
    <s v="INCLUSAO  ANOT.INADIMPLENCIA"/>
    <x v="116"/>
    <x v="18"/>
    <s v="2025-03"/>
    <x v="25"/>
    <s v="SEM GERENTE"/>
    <x v="157"/>
    <n v="0"/>
    <n v="1"/>
  </r>
  <r>
    <s v="023.909.177/0001-00"/>
    <x v="102"/>
    <s v="INCLUSAO  ANOT.INADIMPLENCIA"/>
    <x v="116"/>
    <x v="7"/>
    <s v="2025-03"/>
    <x v="25"/>
    <s v="WHELKYA IRIS"/>
    <x v="102"/>
    <n v="0"/>
    <n v="1"/>
  </r>
  <r>
    <s v="016.772.642/0001-49"/>
    <x v="69"/>
    <s v="EXCLUSAO  ANOT.INADIMPLENCIA"/>
    <x v="117"/>
    <x v="0"/>
    <s v="2025-03"/>
    <x v="25"/>
    <s v="ADMINISTRAÇÃO"/>
    <x v="69"/>
    <n v="1"/>
    <n v="0"/>
  </r>
  <r>
    <s v="020.066.300/0001-80"/>
    <x v="2"/>
    <s v="INCLUSAO  ANOT.INADIMPLENCIA"/>
    <x v="117"/>
    <x v="1"/>
    <s v="2025-03"/>
    <x v="25"/>
    <s v="CELIO PIMENTA"/>
    <x v="2"/>
    <n v="0"/>
    <n v="1"/>
  </r>
  <r>
    <s v="036.726.274/0001-00"/>
    <x v="133"/>
    <s v="INCLUSAO  ANOT.INADIMPLENCIA"/>
    <x v="117"/>
    <x v="1"/>
    <s v="2025-03"/>
    <x v="25"/>
    <s v="CELIO PIMENTA"/>
    <x v="133"/>
    <n v="0"/>
    <n v="1"/>
  </r>
  <r>
    <s v="049.218.819/0001-19"/>
    <x v="150"/>
    <s v="INCLUSAO  ANOT.INADIMPLENCIA"/>
    <x v="117"/>
    <x v="11"/>
    <s v="2025-03"/>
    <x v="25"/>
    <s v="DIOGO AZEVEDO"/>
    <x v="150"/>
    <n v="0"/>
    <n v="1"/>
  </r>
  <r>
    <s v="035.649.603/0001-01"/>
    <x v="119"/>
    <s v="EXCLUSAO  ANOT.INADIMPLENCIA"/>
    <x v="117"/>
    <x v="22"/>
    <s v="2025-03"/>
    <x v="25"/>
    <s v="FITZ"/>
    <x v="119"/>
    <n v="1"/>
    <n v="0"/>
  </r>
  <r>
    <s v="028.393.466/0001-13"/>
    <x v="167"/>
    <s v="INCLUSAO  ANOT.INADIMPLENCIA"/>
    <x v="117"/>
    <x v="22"/>
    <s v="2025-03"/>
    <x v="25"/>
    <s v="FITZ"/>
    <x v="167"/>
    <n v="0"/>
    <n v="1"/>
  </r>
  <r>
    <s v="019.450.138/0001-10"/>
    <x v="70"/>
    <s v="INCLUSAO  ANOT.INADIMPLENCIA"/>
    <x v="117"/>
    <x v="17"/>
    <s v="2025-03"/>
    <x v="25"/>
    <s v="MARCIO LEONEL"/>
    <x v="70"/>
    <n v="0"/>
    <n v="1"/>
  </r>
  <r>
    <s v="035.165.246/0001-06"/>
    <x v="104"/>
    <s v="INCLUSAO  ANOT.INADIMPLENCIA"/>
    <x v="117"/>
    <x v="3"/>
    <s v="2025-03"/>
    <x v="25"/>
    <s v="MARCUS VINICIUS "/>
    <x v="104"/>
    <n v="0"/>
    <n v="1"/>
  </r>
  <r>
    <s v="045.871.536/0001-10"/>
    <x v="71"/>
    <s v="EXCLUSAO  ANOT.INADIMPLENCIA"/>
    <x v="117"/>
    <x v="3"/>
    <s v="2025-03"/>
    <x v="25"/>
    <s v="MARCUS VINICIUS "/>
    <x v="71"/>
    <n v="1"/>
    <n v="0"/>
  </r>
  <r>
    <s v="000.803.044/0001-50"/>
    <x v="45"/>
    <s v="EXCLUSAO  ANOT.INADIMPLENCIA"/>
    <x v="117"/>
    <x v="23"/>
    <s v="2025-03"/>
    <x v="25"/>
    <s v="NATALIA NUBIA"/>
    <x v="45"/>
    <n v="1"/>
    <n v="0"/>
  </r>
  <r>
    <s v="035.665.211/0001-28"/>
    <x v="93"/>
    <s v="INCLUSAO  ANOT.INADIMPLENCIA"/>
    <x v="117"/>
    <x v="23"/>
    <s v="2025-03"/>
    <x v="25"/>
    <s v="NATALIA NUBIA"/>
    <x v="93"/>
    <n v="0"/>
    <n v="1"/>
  </r>
  <r>
    <s v="088.978.606/0001-47"/>
    <x v="114"/>
    <s v="INCLUSAO  ANOT.INADIMPLENCIA"/>
    <x v="117"/>
    <x v="4"/>
    <s v="2025-03"/>
    <x v="25"/>
    <s v="NOELI SALETE"/>
    <x v="114"/>
    <n v="0"/>
    <n v="1"/>
  </r>
  <r>
    <s v="093.274.124/0001-46"/>
    <x v="82"/>
    <s v="INCLUSAO  ANOT.INADIMPLENCIA"/>
    <x v="117"/>
    <x v="24"/>
    <s v="2025-03"/>
    <x v="25"/>
    <s v="NOELI SALETE "/>
    <x v="82"/>
    <n v="0"/>
    <n v="1"/>
  </r>
  <r>
    <s v="006.236.494/0001-94"/>
    <x v="61"/>
    <s v="EXCLUSAO  ANOT.INADIMPLENCIA"/>
    <x v="117"/>
    <x v="5"/>
    <s v="2025-03"/>
    <x v="25"/>
    <s v="POENATELA"/>
    <x v="61"/>
    <n v="1"/>
    <n v="0"/>
  </r>
  <r>
    <s v="002.776.536/0001-29"/>
    <x v="168"/>
    <s v="INCLUSAO  ANOT.INADIMPLENCIA"/>
    <x v="117"/>
    <x v="9"/>
    <s v="2025-03"/>
    <x v="25"/>
    <s v="PRISCILA METZ"/>
    <x v="168"/>
    <n v="0"/>
    <n v="1"/>
  </r>
  <r>
    <s v="071.350.797/0001-03"/>
    <x v="48"/>
    <s v="INCLUSAO  ANOT.INADIMPLENCIA"/>
    <x v="117"/>
    <x v="10"/>
    <s v="2025-03"/>
    <x v="25"/>
    <s v="ROGERIO "/>
    <x v="48"/>
    <n v="0"/>
    <n v="1"/>
  </r>
  <r>
    <s v="016.772.642/0001-49"/>
    <x v="69"/>
    <s v="INCLUSAO  ANOT.INADIMPLENCIA"/>
    <x v="118"/>
    <x v="0"/>
    <s v="2025-03"/>
    <x v="26"/>
    <s v="ADMINISTRAÇÃO"/>
    <x v="69"/>
    <n v="0"/>
    <n v="1"/>
  </r>
  <r>
    <s v="004.962.112/0001-84"/>
    <x v="169"/>
    <s v="INCLUSAO  ANOT.INADIMPLENCIA"/>
    <x v="118"/>
    <x v="0"/>
    <s v="2025-03"/>
    <x v="26"/>
    <s v="ADMINISTRAÇÃO"/>
    <x v="169"/>
    <n v="0"/>
    <n v="1"/>
  </r>
  <r>
    <s v="022.998.836/0001-60"/>
    <x v="24"/>
    <s v="INCLUSAO  ANOT.INADIMPLENCIA"/>
    <x v="118"/>
    <x v="0"/>
    <s v="2025-03"/>
    <x v="26"/>
    <s v="ADMINISTRAÇÃO"/>
    <x v="24"/>
    <n v="0"/>
    <n v="1"/>
  </r>
  <r>
    <s v="021.734.108/0001-88"/>
    <x v="41"/>
    <s v="INCLUSAO  ANOT.INADIMPLENCIA"/>
    <x v="118"/>
    <x v="25"/>
    <s v="2025-03"/>
    <x v="26"/>
    <s v="ANTONIO CARLOS"/>
    <x v="41"/>
    <n v="0"/>
    <n v="1"/>
  </r>
  <r>
    <s v="028.556.973/0001-20"/>
    <x v="118"/>
    <s v="EXCLUSAO  ANOT.INADIMPLENCIA"/>
    <x v="118"/>
    <x v="1"/>
    <s v="2025-03"/>
    <x v="26"/>
    <s v="CELIO PIMENTA"/>
    <x v="118"/>
    <n v="1"/>
    <n v="0"/>
  </r>
  <r>
    <s v="020.066.300/0001-80"/>
    <x v="2"/>
    <s v="INCL/EXCL ANOT.INADIMPLENCIA"/>
    <x v="118"/>
    <x v="1"/>
    <s v="2025-03"/>
    <x v="26"/>
    <s v="CELIO PIMENTA"/>
    <x v="2"/>
    <n v="1"/>
    <n v="1"/>
  </r>
  <r>
    <s v="003.590.360/0001-89"/>
    <x v="3"/>
    <s v="INCLUSAO  ANOT.INADIMPLENCIA"/>
    <x v="118"/>
    <x v="1"/>
    <s v="2025-03"/>
    <x v="26"/>
    <s v="CELIO PIMENTA"/>
    <x v="3"/>
    <n v="0"/>
    <n v="1"/>
  </r>
  <r>
    <s v="012.520.791/0001-60"/>
    <x v="4"/>
    <s v="INCLUSAO  ANOT.INADIMPLENCIA"/>
    <x v="118"/>
    <x v="1"/>
    <s v="2025-03"/>
    <x v="26"/>
    <s v="CELIO PIMENTA"/>
    <x v="4"/>
    <n v="0"/>
    <n v="1"/>
  </r>
  <r>
    <s v="016.757.535/0001-41"/>
    <x v="29"/>
    <s v="INCLUSAO  ANOT.INADIMPLENCIA"/>
    <x v="118"/>
    <x v="11"/>
    <s v="2025-03"/>
    <x v="26"/>
    <s v="DIOGO AZEVEDO"/>
    <x v="29"/>
    <n v="0"/>
    <n v="1"/>
  </r>
  <r>
    <s v="001.535.822/0001-30"/>
    <x v="170"/>
    <s v="INCLUSAO  ANOT.INADIMPLENCIA"/>
    <x v="118"/>
    <x v="22"/>
    <s v="2025-03"/>
    <x v="26"/>
    <s v="FITZ"/>
    <x v="170"/>
    <n v="0"/>
    <n v="1"/>
  </r>
  <r>
    <s v="028.393.466/0001-13"/>
    <x v="167"/>
    <s v="INCLUSAO  ANOT.INADIMPLENCIA"/>
    <x v="118"/>
    <x v="22"/>
    <s v="2025-03"/>
    <x v="26"/>
    <s v="FITZ"/>
    <x v="167"/>
    <n v="0"/>
    <n v="1"/>
  </r>
  <r>
    <s v="001.636.335/0001-63"/>
    <x v="77"/>
    <s v="INCLUSAO  ANOT.INADIMPLENCIA"/>
    <x v="118"/>
    <x v="22"/>
    <s v="2025-03"/>
    <x v="26"/>
    <s v="FITZ"/>
    <x v="77"/>
    <n v="0"/>
    <n v="1"/>
  </r>
  <r>
    <s v="024.331.138/0001-31"/>
    <x v="87"/>
    <s v="EXCLUSAO  ANOT.INADIMPLENCIA"/>
    <x v="118"/>
    <x v="22"/>
    <s v="2025-03"/>
    <x v="26"/>
    <s v="FITZ"/>
    <x v="87"/>
    <n v="1"/>
    <n v="0"/>
  </r>
  <r>
    <s v="007.102.721/0001-51"/>
    <x v="44"/>
    <s v="INCL/EXCL ANOT.INADIMPLENCIA"/>
    <x v="118"/>
    <x v="22"/>
    <s v="2025-03"/>
    <x v="26"/>
    <s v="FITZ"/>
    <x v="44"/>
    <n v="1"/>
    <n v="1"/>
  </r>
  <r>
    <s v="088.978.606/0001-47"/>
    <x v="114"/>
    <s v="INCLUSAO  ANOT.INADIMPLENCIA"/>
    <x v="118"/>
    <x v="4"/>
    <s v="2025-03"/>
    <x v="26"/>
    <s v="NOELI SALETE"/>
    <x v="114"/>
    <n v="0"/>
    <n v="1"/>
  </r>
  <r>
    <s v="035.679.705/0001-61"/>
    <x v="171"/>
    <s v="INCLUSAO  ANOT.INADIMPLENCIA"/>
    <x v="118"/>
    <x v="4"/>
    <s v="2025-03"/>
    <x v="26"/>
    <s v="NOELI SALETE"/>
    <x v="171"/>
    <n v="0"/>
    <n v="1"/>
  </r>
  <r>
    <s v="045.452.509/0001-03"/>
    <x v="172"/>
    <s v="INCLUSAO  ANOT.INADIMPLENCIA"/>
    <x v="118"/>
    <x v="4"/>
    <s v="2025-03"/>
    <x v="26"/>
    <s v="NOELI SALETE"/>
    <x v="172"/>
    <n v="0"/>
    <n v="1"/>
  </r>
  <r>
    <s v="012.299.369/0001-26"/>
    <x v="13"/>
    <s v="INCLUSAO  ANOT.INADIMPLENCIA"/>
    <x v="118"/>
    <x v="5"/>
    <s v="2025-03"/>
    <x v="26"/>
    <s v="POENATELA"/>
    <x v="13"/>
    <n v="0"/>
    <n v="1"/>
  </r>
  <r>
    <s v="037.828.375/0001-54"/>
    <x v="39"/>
    <s v="INCLUSAO  ANOT.INADIMPLENCIA"/>
    <x v="118"/>
    <x v="5"/>
    <s v="2025-03"/>
    <x v="26"/>
    <s v="POENATELA"/>
    <x v="39"/>
    <n v="0"/>
    <n v="1"/>
  </r>
  <r>
    <s v="013.746.252/0001-06"/>
    <x v="15"/>
    <s v="INCLUSAO  ANOT.INADIMPLENCIA"/>
    <x v="118"/>
    <x v="5"/>
    <s v="2025-03"/>
    <x v="26"/>
    <s v="POENATELA"/>
    <x v="15"/>
    <n v="0"/>
    <n v="1"/>
  </r>
  <r>
    <s v="023.605.544/0001-82"/>
    <x v="21"/>
    <s v="INCLUSAO  ANOT.INADIMPLENCIA"/>
    <x v="118"/>
    <x v="9"/>
    <s v="2025-03"/>
    <x v="26"/>
    <s v="PRISCILA METZ"/>
    <x v="21"/>
    <n v="0"/>
    <n v="1"/>
  </r>
  <r>
    <s v="014.385.825/0001-86"/>
    <x v="110"/>
    <s v="INCLUSAO  ANOT.INADIMPLENCIA"/>
    <x v="118"/>
    <x v="6"/>
    <s v="2025-03"/>
    <x v="26"/>
    <s v="RAFAEL PARISE"/>
    <x v="110"/>
    <n v="0"/>
    <n v="1"/>
  </r>
  <r>
    <s v="028.650.970/0001-51"/>
    <x v="166"/>
    <s v="INCLUSAO  ANOT.INADIMPLENCIA"/>
    <x v="118"/>
    <x v="10"/>
    <s v="2025-03"/>
    <x v="26"/>
    <s v="ROGERIO "/>
    <x v="166"/>
    <n v="0"/>
    <n v="1"/>
  </r>
  <r>
    <s v="046.674.060/0001-90"/>
    <x v="140"/>
    <s v="INCL/EXCL ANOT.INADIMPLENCIA"/>
    <x v="118"/>
    <x v="10"/>
    <s v="2025-03"/>
    <x v="26"/>
    <s v="ROGERIO "/>
    <x v="140"/>
    <n v="1"/>
    <n v="1"/>
  </r>
  <r>
    <s v="051.980.425/0001-45"/>
    <x v="173"/>
    <s v="EXCLUSAO  ANOT.INADIMPLENCIA"/>
    <x v="118"/>
    <x v="10"/>
    <s v="2025-03"/>
    <x v="26"/>
    <s v="ROGERIO "/>
    <x v="173"/>
    <n v="1"/>
    <n v="0"/>
  </r>
  <r>
    <s v="004.962.112/0001-84"/>
    <x v="169"/>
    <s v="INCLUSAO  ANOT.INADIMPLENCIA"/>
    <x v="119"/>
    <x v="0"/>
    <s v="2025-03"/>
    <x v="26"/>
    <s v="ADMINISTRAÇÃO"/>
    <x v="169"/>
    <n v="0"/>
    <n v="1"/>
  </r>
  <r>
    <s v="016.772.642/0001-49"/>
    <x v="69"/>
    <s v="INCLUSAO  ANOT.INADIMPLENCIA"/>
    <x v="119"/>
    <x v="0"/>
    <s v="2025-03"/>
    <x v="26"/>
    <s v="ADMINISTRAÇÃO"/>
    <x v="69"/>
    <n v="0"/>
    <n v="1"/>
  </r>
  <r>
    <s v="022.998.836/0001-60"/>
    <x v="24"/>
    <s v="INCLUSAO  ANOT.INADIMPLENCIA"/>
    <x v="119"/>
    <x v="0"/>
    <s v="2025-03"/>
    <x v="26"/>
    <s v="ADMINISTRAÇÃO"/>
    <x v="24"/>
    <n v="0"/>
    <n v="1"/>
  </r>
  <r>
    <s v="022.998.836/0001-60"/>
    <x v="24"/>
    <s v="INCLUSAO  ANOT.INADIMPLENCIA"/>
    <x v="119"/>
    <x v="0"/>
    <s v="2025-03"/>
    <x v="26"/>
    <s v="ADMINISTRAÇÃO"/>
    <x v="24"/>
    <n v="0"/>
    <n v="1"/>
  </r>
  <r>
    <s v="012.520.791/0001-60"/>
    <x v="4"/>
    <s v="INCLUSAO  ANOT.INADIMPLENCIA"/>
    <x v="119"/>
    <x v="1"/>
    <s v="2025-03"/>
    <x v="26"/>
    <s v="CELIO PIMENTA"/>
    <x v="4"/>
    <n v="0"/>
    <n v="1"/>
  </r>
  <r>
    <s v="020.066.300/0001-80"/>
    <x v="2"/>
    <s v="INCLUSAO  ANOT.INADIMPLENCIA"/>
    <x v="119"/>
    <x v="1"/>
    <s v="2025-03"/>
    <x v="26"/>
    <s v="CELIO PIMENTA"/>
    <x v="2"/>
    <n v="0"/>
    <n v="1"/>
  </r>
  <r>
    <s v="036.726.274/0001-00"/>
    <x v="133"/>
    <s v="INCLUSAO  ANOT.INADIMPLENCIA"/>
    <x v="119"/>
    <x v="1"/>
    <s v="2025-03"/>
    <x v="26"/>
    <s v="CELIO PIMENTA"/>
    <x v="133"/>
    <n v="0"/>
    <n v="1"/>
  </r>
  <r>
    <s v="047.635.671/0001-92"/>
    <x v="143"/>
    <s v="ALTERACAO ENDERECO"/>
    <x v="119"/>
    <x v="1"/>
    <s v="2025-03"/>
    <x v="26"/>
    <s v="CELIO PIMENTA"/>
    <x v="143"/>
    <n v="0"/>
    <n v="0"/>
  </r>
  <r>
    <s v="049.218.819/0001-19"/>
    <x v="150"/>
    <s v="INCLUSAO  ANOT.INADIMPLENCIA"/>
    <x v="119"/>
    <x v="11"/>
    <s v="2025-03"/>
    <x v="26"/>
    <s v="DIOGO AZEVEDO"/>
    <x v="150"/>
    <n v="0"/>
    <n v="1"/>
  </r>
  <r>
    <s v="016.757.535/0001-41"/>
    <x v="29"/>
    <s v="EXCLUSAO  ANOT.INADIMPLENCIA"/>
    <x v="119"/>
    <x v="11"/>
    <s v="2025-03"/>
    <x v="26"/>
    <s v="DIOGO AZEVEDO"/>
    <x v="29"/>
    <n v="1"/>
    <n v="0"/>
  </r>
  <r>
    <s v="049.218.819/0001-19"/>
    <x v="150"/>
    <s v="INCLUSAO  ANOT.INADIMPLENCIA"/>
    <x v="119"/>
    <x v="11"/>
    <s v="2025-03"/>
    <x v="26"/>
    <s v="DIOGO AZEVEDO"/>
    <x v="150"/>
    <n v="0"/>
    <n v="1"/>
  </r>
  <r>
    <s v="028.393.466/0001-13"/>
    <x v="167"/>
    <s v="INCLUSAO  ANOT.INADIMPLENCIA"/>
    <x v="119"/>
    <x v="12"/>
    <s v="2025-03"/>
    <x v="26"/>
    <s v="PROSPECTAR"/>
    <x v="167"/>
    <n v="0"/>
    <n v="1"/>
  </r>
  <r>
    <s v="001.636.335/0001-63"/>
    <x v="77"/>
    <s v="INCL/EXCL ANOT.INADIMPLENCIA"/>
    <x v="119"/>
    <x v="12"/>
    <s v="2025-03"/>
    <x v="26"/>
    <s v="PROSPECTAR"/>
    <x v="77"/>
    <n v="1"/>
    <n v="1"/>
  </r>
  <r>
    <s v="035.165.246/0001-06"/>
    <x v="104"/>
    <s v="INCLUSAO  ANOT.INADIMPLENCIA"/>
    <x v="119"/>
    <x v="3"/>
    <s v="2025-03"/>
    <x v="26"/>
    <s v="MARCUS VINICIUS "/>
    <x v="104"/>
    <n v="0"/>
    <n v="1"/>
  </r>
  <r>
    <s v="000.803.044/0001-50"/>
    <x v="45"/>
    <s v="EXCLUSAO  ANOT.INADIMPLENCIA"/>
    <x v="119"/>
    <x v="0"/>
    <s v="2025-03"/>
    <x v="26"/>
    <s v="ADMINISTRAÇÃO"/>
    <x v="45"/>
    <n v="1"/>
    <n v="0"/>
  </r>
  <r>
    <s v="035.665.211/0001-28"/>
    <x v="93"/>
    <s v="INCLUSAO  ANOT.INADIMPLENCIA"/>
    <x v="119"/>
    <x v="0"/>
    <s v="2025-03"/>
    <x v="26"/>
    <s v="ADMINISTRAÇÃO"/>
    <x v="93"/>
    <n v="0"/>
    <n v="1"/>
  </r>
  <r>
    <s v="035.665.211/0001-28"/>
    <x v="93"/>
    <s v="ALTERACAO ENDERECO"/>
    <x v="119"/>
    <x v="0"/>
    <s v="2025-03"/>
    <x v="26"/>
    <s v="ADMINISTRAÇÃO"/>
    <x v="93"/>
    <n v="0"/>
    <n v="0"/>
  </r>
  <r>
    <s v="035.665.211/0001-28"/>
    <x v="93"/>
    <s v="INCL/EXCL ANOT.INADIMPLENCIA"/>
    <x v="119"/>
    <x v="0"/>
    <s v="2025-03"/>
    <x v="26"/>
    <s v="ADMINISTRAÇÃO"/>
    <x v="93"/>
    <n v="1"/>
    <n v="1"/>
  </r>
  <r>
    <s v="007.906.793/0001-51"/>
    <x v="125"/>
    <s v="INCLUSAO  ANOT.INADIMPLENCIA"/>
    <x v="119"/>
    <x v="4"/>
    <s v="2025-03"/>
    <x v="26"/>
    <s v="NOELI SALETE"/>
    <x v="125"/>
    <n v="0"/>
    <n v="1"/>
  </r>
  <r>
    <s v="035.679.705/0001-61"/>
    <x v="171"/>
    <s v="INCLUSAO  ANOT.INADIMPLENCIA"/>
    <x v="119"/>
    <x v="4"/>
    <s v="2025-03"/>
    <x v="26"/>
    <s v="NOELI SALETE"/>
    <x v="171"/>
    <n v="0"/>
    <n v="1"/>
  </r>
  <r>
    <s v="036.906.058/0001-46"/>
    <x v="75"/>
    <s v="INCLUSAO  ANOT.INADIMPLENCIA"/>
    <x v="119"/>
    <x v="4"/>
    <s v="2025-03"/>
    <x v="26"/>
    <s v="NOELI SALETE"/>
    <x v="75"/>
    <n v="0"/>
    <n v="1"/>
  </r>
  <r>
    <s v="045.452.509/0001-03"/>
    <x v="172"/>
    <s v="INCLUSAO  ANOT.INADIMPLENCIA"/>
    <x v="119"/>
    <x v="4"/>
    <s v="2025-03"/>
    <x v="26"/>
    <s v="NOELI SALETE"/>
    <x v="172"/>
    <n v="0"/>
    <n v="1"/>
  </r>
  <r>
    <s v="088.978.606/0001-47"/>
    <x v="114"/>
    <s v="INCL/EXCL ANOT.INADIMPLENCIA"/>
    <x v="119"/>
    <x v="4"/>
    <s v="2025-03"/>
    <x v="26"/>
    <s v="NOELI SALETE"/>
    <x v="114"/>
    <n v="1"/>
    <n v="1"/>
  </r>
  <r>
    <s v="013.746.252/0001-06"/>
    <x v="15"/>
    <s v="INCLUSAO  ANOT.INADIMPLENCIA"/>
    <x v="119"/>
    <x v="5"/>
    <s v="2025-03"/>
    <x v="26"/>
    <s v="POENATELA"/>
    <x v="15"/>
    <n v="0"/>
    <n v="1"/>
  </r>
  <r>
    <s v="037.828.375/0001-54"/>
    <x v="39"/>
    <s v="INCLUSAO  ANOT.INADIMPLENCIA"/>
    <x v="119"/>
    <x v="5"/>
    <s v="2025-03"/>
    <x v="26"/>
    <s v="POENATELA"/>
    <x v="39"/>
    <n v="0"/>
    <n v="1"/>
  </r>
  <r>
    <s v="006.236.494/0001-94"/>
    <x v="61"/>
    <s v="EXCLUSAO  ANOT.INADIMPLENCIA"/>
    <x v="119"/>
    <x v="5"/>
    <s v="2025-03"/>
    <x v="26"/>
    <s v="POENATELA"/>
    <x v="61"/>
    <n v="1"/>
    <n v="0"/>
  </r>
  <r>
    <s v="012.299.369/0001-26"/>
    <x v="13"/>
    <s v="ALTERACAO ENDERECO"/>
    <x v="119"/>
    <x v="5"/>
    <s v="2025-03"/>
    <x v="26"/>
    <s v="POENATELA"/>
    <x v="13"/>
    <n v="0"/>
    <n v="0"/>
  </r>
  <r>
    <s v="012.299.369/0001-26"/>
    <x v="13"/>
    <s v="EXCLUSAO  ANOT.INADIMPLENCIA"/>
    <x v="119"/>
    <x v="5"/>
    <s v="2025-03"/>
    <x v="26"/>
    <s v="POENATELA"/>
    <x v="13"/>
    <n v="1"/>
    <n v="0"/>
  </r>
  <r>
    <s v="013.746.252/0001-06"/>
    <x v="15"/>
    <s v="INCLUSAO  ANOT.INADIMPLENCIA"/>
    <x v="119"/>
    <x v="5"/>
    <s v="2025-03"/>
    <x v="26"/>
    <s v="POENATELA"/>
    <x v="15"/>
    <n v="0"/>
    <n v="1"/>
  </r>
  <r>
    <s v="037.828.375/0001-54"/>
    <x v="39"/>
    <s v="EXCLUSAO  ANOT.INADIMPLENCIA"/>
    <x v="119"/>
    <x v="5"/>
    <s v="2025-03"/>
    <x v="26"/>
    <s v="POENATELA"/>
    <x v="39"/>
    <n v="1"/>
    <n v="0"/>
  </r>
  <r>
    <s v="021.473.575/0001-00"/>
    <x v="62"/>
    <s v="EXCLUSAO  ANOT.INADIMPLENCIA"/>
    <x v="119"/>
    <x v="9"/>
    <s v="2025-03"/>
    <x v="26"/>
    <s v="PRISCILA METZ"/>
    <x v="62"/>
    <n v="1"/>
    <n v="0"/>
  </r>
  <r>
    <s v="008.250.872/0001-10"/>
    <x v="121"/>
    <s v="INCLUSAO  ANOT.INADIMPLENCIA"/>
    <x v="119"/>
    <x v="6"/>
    <s v="2025-03"/>
    <x v="26"/>
    <s v="RAFAEL PARISE"/>
    <x v="121"/>
    <n v="0"/>
    <n v="1"/>
  </r>
  <r>
    <s v="039.822.835/0001-62"/>
    <x v="154"/>
    <s v="INCLUSAO  ANOT.INADIMPLENCIA"/>
    <x v="119"/>
    <x v="6"/>
    <s v="2025-03"/>
    <x v="26"/>
    <s v="RAFAEL PARISE"/>
    <x v="154"/>
    <n v="0"/>
    <n v="1"/>
  </r>
  <r>
    <s v="039.535.425/0001-30"/>
    <x v="120"/>
    <s v="INCLUSAO  ANOT.INADIMPLENCIA"/>
    <x v="119"/>
    <x v="6"/>
    <s v="2025-03"/>
    <x v="26"/>
    <s v="RAFAEL PARISE"/>
    <x v="120"/>
    <n v="0"/>
    <n v="1"/>
  </r>
  <r>
    <s v="028.650.970/0001-51"/>
    <x v="166"/>
    <s v="INCLUSAO  ANOT.INADIMPLENCIA"/>
    <x v="119"/>
    <x v="10"/>
    <s v="2025-03"/>
    <x v="26"/>
    <s v="ROGERIO "/>
    <x v="166"/>
    <n v="0"/>
    <n v="1"/>
  </r>
  <r>
    <s v="038.407.341/0001-59"/>
    <x v="151"/>
    <s v="INCLUSAO  ANOT.INADIMPLENCIA"/>
    <x v="119"/>
    <x v="10"/>
    <s v="2025-03"/>
    <x v="26"/>
    <s v="ROGERIO "/>
    <x v="151"/>
    <n v="0"/>
    <n v="1"/>
  </r>
  <r>
    <s v="046.674.060/0001-90"/>
    <x v="140"/>
    <s v="INCL/EXCL ANOT.INADIMPLENCIA"/>
    <x v="119"/>
    <x v="10"/>
    <s v="2025-03"/>
    <x v="26"/>
    <s v="ROGERIO "/>
    <x v="140"/>
    <n v="1"/>
    <n v="1"/>
  </r>
  <r>
    <s v="028.650.970/0001-51"/>
    <x v="166"/>
    <s v="INCLUSAO  ANOT.INADIMPLENCIA"/>
    <x v="119"/>
    <x v="10"/>
    <s v="2025-03"/>
    <x v="26"/>
    <s v="ROGERIO "/>
    <x v="166"/>
    <n v="0"/>
    <n v="1"/>
  </r>
  <r>
    <s v="046.674.060/0001-90"/>
    <x v="140"/>
    <s v="EXCLUSAO  ANOT.INADIMPLENCIA"/>
    <x v="119"/>
    <x v="10"/>
    <s v="2025-03"/>
    <x v="26"/>
    <s v="ROGERIO "/>
    <x v="140"/>
    <n v="1"/>
    <n v="0"/>
  </r>
  <r>
    <s v="071.350.797/0001-03"/>
    <x v="48"/>
    <s v="INCLUSAO  ANOT.INADIMPLENCIA"/>
    <x v="119"/>
    <x v="10"/>
    <s v="2025-03"/>
    <x v="26"/>
    <s v="ROGERIO "/>
    <x v="48"/>
    <n v="0"/>
    <n v="1"/>
  </r>
  <r>
    <s v="055.979.736/0001-45"/>
    <x v="63"/>
    <s v="INCLUSAO  ANOT.INADIMPLENCIA"/>
    <x v="119"/>
    <x v="16"/>
    <s v="2025-03"/>
    <x v="26"/>
    <s v="SACADO"/>
    <x v="63"/>
    <n v="0"/>
    <n v="1"/>
  </r>
  <r>
    <s v="004.962.112/0001-84"/>
    <x v="174"/>
    <s v="ALTERACAO RAZAO SOCIAL"/>
    <x v="119"/>
    <x v="0"/>
    <s v="2025-03"/>
    <x v="26"/>
    <s v="ADMINISTRAÇÃO"/>
    <x v="174"/>
    <n v="0"/>
    <n v="0"/>
  </r>
  <r>
    <s v="041.388.946/0001-54"/>
    <x v="175"/>
    <s v="ALTERACAO ENDERECO"/>
    <x v="119"/>
    <x v="1"/>
    <s v="2025-03"/>
    <x v="26"/>
    <s v="CELIO PIMENTA"/>
    <x v="175"/>
    <n v="0"/>
    <n v="0"/>
  </r>
  <r>
    <s v="043.515.558/0001-12"/>
    <x v="176"/>
    <s v="ALTERACAO RAZAO SOCIAL"/>
    <x v="119"/>
    <x v="10"/>
    <s v="2025-03"/>
    <x v="26"/>
    <s v="ROGERIO "/>
    <x v="176"/>
    <n v="0"/>
    <n v="0"/>
  </r>
  <r>
    <s v="012.520.791/0001-60"/>
    <x v="4"/>
    <s v="EXCLUSAO  ANOT.INADIMPLENCIA"/>
    <x v="120"/>
    <x v="1"/>
    <s v="2025-03"/>
    <x v="26"/>
    <s v="CELIO PIMENTA"/>
    <x v="4"/>
    <n v="1"/>
    <n v="0"/>
  </r>
  <r>
    <s v="020.066.300/0001-80"/>
    <x v="2"/>
    <s v="EXCLUSAO  ANOT.INADIMPLENCIA"/>
    <x v="120"/>
    <x v="1"/>
    <s v="2025-03"/>
    <x v="26"/>
    <s v="CELIO PIMENTA"/>
    <x v="2"/>
    <n v="1"/>
    <n v="0"/>
  </r>
  <r>
    <s v="047.635.671/0001-92"/>
    <x v="143"/>
    <s v="EXCLUSAO  ANOT.INADIMPLENCIA"/>
    <x v="120"/>
    <x v="1"/>
    <s v="2025-03"/>
    <x v="26"/>
    <s v="CELIO PIMENTA"/>
    <x v="143"/>
    <n v="1"/>
    <n v="0"/>
  </r>
  <r>
    <s v="049.218.819/0001-19"/>
    <x v="150"/>
    <s v="INCLUSAO  ANOT.INADIMPLENCIA"/>
    <x v="120"/>
    <x v="11"/>
    <s v="2025-03"/>
    <x v="26"/>
    <s v="DIOGO AZEVEDO"/>
    <x v="150"/>
    <n v="0"/>
    <n v="1"/>
  </r>
  <r>
    <s v="001.165.357/0001-92"/>
    <x v="86"/>
    <s v="INCLUSAO  ANOT.INADIMPLENCIA"/>
    <x v="120"/>
    <x v="12"/>
    <s v="2025-03"/>
    <x v="26"/>
    <s v="PROSPECTAR"/>
    <x v="86"/>
    <n v="0"/>
    <n v="1"/>
  </r>
  <r>
    <s v="028.393.466/0001-13"/>
    <x v="167"/>
    <s v="INCLUSAO  ANOT.INADIMPLENCIA"/>
    <x v="120"/>
    <x v="12"/>
    <s v="2025-03"/>
    <x v="26"/>
    <s v="PROSPECTAR"/>
    <x v="167"/>
    <n v="0"/>
    <n v="1"/>
  </r>
  <r>
    <s v="035.679.705/0001-61"/>
    <x v="171"/>
    <s v="INCLUSAO  ANOT.INADIMPLENCIA"/>
    <x v="120"/>
    <x v="4"/>
    <s v="2025-03"/>
    <x v="26"/>
    <s v="NOELI SALETE"/>
    <x v="171"/>
    <n v="0"/>
    <n v="1"/>
  </r>
  <r>
    <s v="028.650.970/0001-51"/>
    <x v="166"/>
    <s v="INCLUSAO  ANOT.INADIMPLENCIA"/>
    <x v="120"/>
    <x v="10"/>
    <s v="2025-03"/>
    <x v="26"/>
    <s v="ROGERIO "/>
    <x v="166"/>
    <n v="0"/>
    <n v="1"/>
  </r>
  <r>
    <s v="020.024.081/0001-77"/>
    <x v="177"/>
    <s v="EXCLUSAO  ANOT.INADIMPLENCIA"/>
    <x v="120"/>
    <x v="10"/>
    <s v="2025-03"/>
    <x v="26"/>
    <s v="ROGERIO "/>
    <x v="177"/>
    <n v="1"/>
    <n v="0"/>
  </r>
  <r>
    <s v="043.515.558/0001-12"/>
    <x v="176"/>
    <s v="EXCLUSAO  ANOT.INADIMPLENCIA"/>
    <x v="120"/>
    <x v="10"/>
    <s v="2025-03"/>
    <x v="26"/>
    <s v="ROGERIO "/>
    <x v="176"/>
    <n v="1"/>
    <n v="0"/>
  </r>
  <r>
    <s v="023.911.356/0001-82"/>
    <x v="54"/>
    <s v="INCLUSAO  ANOT.INADIMPLENCIA"/>
    <x v="121"/>
    <x v="0"/>
    <s v="2025-03"/>
    <x v="26"/>
    <s v="ADMINISTRAÇÃO"/>
    <x v="54"/>
    <n v="0"/>
    <n v="1"/>
  </r>
  <r>
    <s v="021.734.108/0001-88"/>
    <x v="41"/>
    <s v="EXCLUSAO  ANOT.INADIMPLENCIA"/>
    <x v="121"/>
    <x v="0"/>
    <s v="2025-03"/>
    <x v="26"/>
    <s v="ADMINISTRAÇÃO"/>
    <x v="41"/>
    <n v="1"/>
    <n v="0"/>
  </r>
  <r>
    <s v="012.520.791/0001-60"/>
    <x v="4"/>
    <s v="INCLUSAO  ANOT.INADIMPLENCIA"/>
    <x v="121"/>
    <x v="1"/>
    <s v="2025-03"/>
    <x v="26"/>
    <s v="CELIO PIMENTA"/>
    <x v="4"/>
    <n v="0"/>
    <n v="1"/>
  </r>
  <r>
    <s v="049.218.819/0001-19"/>
    <x v="150"/>
    <s v="INCLUSAO  ANOT.INADIMPLENCIA"/>
    <x v="121"/>
    <x v="11"/>
    <s v="2025-03"/>
    <x v="26"/>
    <s v="DIOGO AZEVEDO"/>
    <x v="150"/>
    <n v="0"/>
    <n v="1"/>
  </r>
  <r>
    <s v="001.181.263/0001-07"/>
    <x v="155"/>
    <s v="INCLUSAO  ANOT.INADIMPLENCIA"/>
    <x v="121"/>
    <x v="12"/>
    <s v="2025-03"/>
    <x v="26"/>
    <s v="PROSPECTAR"/>
    <x v="155"/>
    <n v="0"/>
    <n v="1"/>
  </r>
  <r>
    <s v="001.636.335/0001-63"/>
    <x v="77"/>
    <s v="EXCLUSAO  ANOT.INADIMPLENCIA"/>
    <x v="121"/>
    <x v="12"/>
    <s v="2025-03"/>
    <x v="26"/>
    <s v="PROSPECTAR"/>
    <x v="77"/>
    <n v="1"/>
    <n v="0"/>
  </r>
  <r>
    <s v="005.363.690/0001-67"/>
    <x v="90"/>
    <s v="INCLUSAO  ANOT.INADIMPLENCIA"/>
    <x v="121"/>
    <x v="12"/>
    <s v="2025-03"/>
    <x v="26"/>
    <s v="PROSPECTAR"/>
    <x v="90"/>
    <n v="0"/>
    <n v="1"/>
  </r>
  <r>
    <s v="024.255.748/0001-01"/>
    <x v="30"/>
    <s v="INCLUSAO  ANOT.INADIMPLENCIA"/>
    <x v="121"/>
    <x v="12"/>
    <s v="2025-03"/>
    <x v="26"/>
    <s v="PROSPECTAR"/>
    <x v="30"/>
    <n v="0"/>
    <n v="1"/>
  </r>
  <r>
    <s v="024.331.138/0001-31"/>
    <x v="87"/>
    <s v="INCLUSAO  ANOT.INADIMPLENCIA"/>
    <x v="121"/>
    <x v="12"/>
    <s v="2025-03"/>
    <x v="26"/>
    <s v="PROSPECTAR"/>
    <x v="87"/>
    <n v="0"/>
    <n v="1"/>
  </r>
  <r>
    <s v="028.393.466/0001-13"/>
    <x v="167"/>
    <s v="INCLUSAO  ANOT.INADIMPLENCIA"/>
    <x v="121"/>
    <x v="12"/>
    <s v="2025-03"/>
    <x v="26"/>
    <s v="PROSPECTAR"/>
    <x v="167"/>
    <n v="0"/>
    <n v="1"/>
  </r>
  <r>
    <s v="025.825.654/0001-85"/>
    <x v="7"/>
    <s v="INCL/EXCL ANOT.INADIMPLENCIA"/>
    <x v="121"/>
    <x v="3"/>
    <s v="2025-03"/>
    <x v="26"/>
    <s v="MARCUS VINICIUS "/>
    <x v="7"/>
    <n v="1"/>
    <n v="1"/>
  </r>
  <r>
    <s v="007.906.793/0001-51"/>
    <x v="125"/>
    <s v="INCLUSAO  ANOT.INADIMPLENCIA"/>
    <x v="121"/>
    <x v="4"/>
    <s v="2025-03"/>
    <x v="26"/>
    <s v="NOELI SALETE"/>
    <x v="125"/>
    <n v="0"/>
    <n v="1"/>
  </r>
  <r>
    <s v="035.679.705/0001-61"/>
    <x v="171"/>
    <s v="INCLUSAO  ANOT.INADIMPLENCIA"/>
    <x v="121"/>
    <x v="4"/>
    <s v="2025-03"/>
    <x v="26"/>
    <s v="NOELI SALETE"/>
    <x v="171"/>
    <n v="0"/>
    <n v="1"/>
  </r>
  <r>
    <s v="036.906.058/0001-46"/>
    <x v="75"/>
    <s v="INCLUSAO  ANOT.INADIMPLENCIA"/>
    <x v="121"/>
    <x v="4"/>
    <s v="2025-03"/>
    <x v="26"/>
    <s v="NOELI SALETE"/>
    <x v="75"/>
    <n v="0"/>
    <n v="1"/>
  </r>
  <r>
    <s v="046.140.062/0001-08"/>
    <x v="68"/>
    <s v="INCLUSAO  ANOT.INADIMPLENCIA"/>
    <x v="121"/>
    <x v="4"/>
    <s v="2025-03"/>
    <x v="26"/>
    <s v="NOELI SALETE"/>
    <x v="68"/>
    <n v="0"/>
    <n v="1"/>
  </r>
  <r>
    <s v="088.978.606/0001-47"/>
    <x v="114"/>
    <s v="INCLUSAO  ANOT.INADIMPLENCIA"/>
    <x v="121"/>
    <x v="4"/>
    <s v="2025-03"/>
    <x v="26"/>
    <s v="NOELI SALETE"/>
    <x v="114"/>
    <n v="0"/>
    <n v="1"/>
  </r>
  <r>
    <s v="093.274.124/0001-46"/>
    <x v="82"/>
    <s v="EXCLUSAO  ANOT.INADIMPLENCIA"/>
    <x v="121"/>
    <x v="4"/>
    <s v="2025-03"/>
    <x v="26"/>
    <s v="NOELI SALETE"/>
    <x v="82"/>
    <n v="1"/>
    <n v="0"/>
  </r>
  <r>
    <s v="037.828.375/0001-54"/>
    <x v="39"/>
    <s v="EXCLUSAO  ANOT.INADIMPLENCIA"/>
    <x v="121"/>
    <x v="5"/>
    <s v="2025-03"/>
    <x v="26"/>
    <s v="POENATELA"/>
    <x v="39"/>
    <n v="1"/>
    <n v="0"/>
  </r>
  <r>
    <s v="023.605.544/0001-82"/>
    <x v="21"/>
    <s v="INCLUSAO  ANOT.INADIMPLENCIA"/>
    <x v="121"/>
    <x v="9"/>
    <s v="2025-03"/>
    <x v="26"/>
    <s v="PRISCILA METZ"/>
    <x v="21"/>
    <n v="0"/>
    <n v="1"/>
  </r>
  <r>
    <s v="014.385.825/0001-86"/>
    <x v="110"/>
    <s v="EXCLUSAO  ANOT.INADIMPLENCIA"/>
    <x v="121"/>
    <x v="6"/>
    <s v="2025-03"/>
    <x v="26"/>
    <s v="RAFAEL PARISE"/>
    <x v="110"/>
    <n v="1"/>
    <n v="0"/>
  </r>
  <r>
    <s v="046.674.060/0001-90"/>
    <x v="140"/>
    <s v="EXCLUSAO  ANOT.INADIMPLENCIA"/>
    <x v="121"/>
    <x v="10"/>
    <s v="2025-03"/>
    <x v="26"/>
    <s v="ROGERIO "/>
    <x v="140"/>
    <n v="1"/>
    <n v="0"/>
  </r>
  <r>
    <s v="071.350.797/0001-03"/>
    <x v="48"/>
    <s v="INCLUSAO  ANOT.INADIMPLENCIA"/>
    <x v="121"/>
    <x v="10"/>
    <s v="2025-03"/>
    <x v="26"/>
    <s v="ROGERIO "/>
    <x v="48"/>
    <n v="0"/>
    <n v="1"/>
  </r>
  <r>
    <s v="040.582.798/0001-41"/>
    <x v="144"/>
    <s v="EXCLUSAO  ANOT.INADIMPLENCIA"/>
    <x v="121"/>
    <x v="16"/>
    <s v="2025-03"/>
    <x v="26"/>
    <s v="SACADO"/>
    <x v="144"/>
    <n v="1"/>
    <n v="0"/>
  </r>
  <r>
    <s v="055.979.736/0001-45"/>
    <x v="63"/>
    <s v="INCLUSAO  ANOT.INADIMPLENCIA"/>
    <x v="121"/>
    <x v="16"/>
    <s v="2025-03"/>
    <x v="26"/>
    <s v="SACADO"/>
    <x v="63"/>
    <n v="0"/>
    <n v="1"/>
  </r>
  <r>
    <s v="006.315.490/0001-00"/>
    <x v="178"/>
    <s v="ALTERACAO ENDERECO"/>
    <x v="121"/>
    <x v="12"/>
    <s v="2025-03"/>
    <x v="26"/>
    <s v="PROSPECTAR"/>
    <x v="178"/>
    <n v="0"/>
    <n v="0"/>
  </r>
  <r>
    <s v="020.024.081/0001-77"/>
    <x v="177"/>
    <s v="INCLUSAO  ANOT.INADIMPLENCIA"/>
    <x v="121"/>
    <x v="10"/>
    <s v="2025-03"/>
    <x v="26"/>
    <s v="ROGERIO "/>
    <x v="177"/>
    <n v="0"/>
    <n v="1"/>
  </r>
  <r>
    <s v="048.956.491/0001-75"/>
    <x v="179"/>
    <s v="INCLUSAO  ANOT.INADIMPLENCIA"/>
    <x v="121"/>
    <x v="12"/>
    <s v="2025-03"/>
    <x v="26"/>
    <s v="PROSPECTAR"/>
    <x v="179"/>
    <n v="0"/>
    <n v="1"/>
  </r>
  <r>
    <s v="022.998.836/0001-60"/>
    <x v="24"/>
    <s v="INCLUSAO  ANOT.INADIMPLENCIA"/>
    <x v="122"/>
    <x v="0"/>
    <s v="2025-04"/>
    <x v="27"/>
    <s v="ADMINISTRAÇÃO"/>
    <x v="24"/>
    <n v="0"/>
    <n v="1"/>
  </r>
  <r>
    <s v="003.590.360/0001-89"/>
    <x v="3"/>
    <s v="INCLUSAO  ANOT.INADIMPLENCIA"/>
    <x v="122"/>
    <x v="1"/>
    <s v="2025-04"/>
    <x v="27"/>
    <s v="CELIO PIMENTA"/>
    <x v="3"/>
    <n v="0"/>
    <n v="1"/>
  </r>
  <r>
    <s v="012.520.791/0001-60"/>
    <x v="4"/>
    <s v="INCLUSAO  ANOT.INADIMPLENCIA"/>
    <x v="122"/>
    <x v="1"/>
    <s v="2025-04"/>
    <x v="27"/>
    <s v="CELIO PIMENTA"/>
    <x v="4"/>
    <n v="0"/>
    <n v="1"/>
  </r>
  <r>
    <s v="020.066.300/0001-80"/>
    <x v="2"/>
    <s v="INCLUSAO  ANOT.INADIMPLENCIA"/>
    <x v="122"/>
    <x v="1"/>
    <s v="2025-04"/>
    <x v="27"/>
    <s v="CELIO PIMENTA"/>
    <x v="2"/>
    <n v="0"/>
    <n v="1"/>
  </r>
  <r>
    <s v="016.757.535/0001-41"/>
    <x v="29"/>
    <s v="INCLUSAO  ANOT.INADIMPLENCIA"/>
    <x v="122"/>
    <x v="11"/>
    <s v="2025-04"/>
    <x v="27"/>
    <s v="DIOGO AZEVEDO"/>
    <x v="29"/>
    <n v="0"/>
    <n v="1"/>
  </r>
  <r>
    <s v="007.102.721/0001-51"/>
    <x v="44"/>
    <s v="INCLUSAO  ANOT.INADIMPLENCIA"/>
    <x v="122"/>
    <x v="12"/>
    <s v="2025-04"/>
    <x v="27"/>
    <s v="PROSPECTAR"/>
    <x v="44"/>
    <n v="0"/>
    <n v="1"/>
  </r>
  <r>
    <s v="007.561.436/0001-07"/>
    <x v="34"/>
    <s v="INCLUSAO  ANOT.INADIMPLENCIA"/>
    <x v="122"/>
    <x v="12"/>
    <s v="2025-04"/>
    <x v="27"/>
    <s v="PROSPECTAR"/>
    <x v="34"/>
    <n v="0"/>
    <n v="1"/>
  </r>
  <r>
    <s v="028.393.466/0001-13"/>
    <x v="167"/>
    <s v="INCLUSAO  ANOT.INADIMPLENCIA"/>
    <x v="122"/>
    <x v="12"/>
    <s v="2025-04"/>
    <x v="27"/>
    <s v="PROSPECTAR"/>
    <x v="167"/>
    <n v="0"/>
    <n v="1"/>
  </r>
  <r>
    <s v="021.420.856/0001-96"/>
    <x v="129"/>
    <s v="INCLUSAO  ANOT.INADIMPLENCIA"/>
    <x v="122"/>
    <x v="19"/>
    <s v="2025-04"/>
    <x v="27"/>
    <s v="JOSE ROBERTO"/>
    <x v="129"/>
    <n v="0"/>
    <n v="1"/>
  </r>
  <r>
    <s v="035.165.246/0001-06"/>
    <x v="104"/>
    <s v="EXCLUSAO  ANOT.INADIMPLENCIA"/>
    <x v="122"/>
    <x v="3"/>
    <s v="2025-04"/>
    <x v="27"/>
    <s v="MARCUS VINICIUS "/>
    <x v="104"/>
    <n v="1"/>
    <n v="0"/>
  </r>
  <r>
    <s v="007.906.793/0001-51"/>
    <x v="125"/>
    <s v="EXCLUSAO  ANOT.INADIMPLENCIA"/>
    <x v="122"/>
    <x v="4"/>
    <s v="2025-04"/>
    <x v="27"/>
    <s v="NOELI SALETE"/>
    <x v="125"/>
    <n v="1"/>
    <n v="0"/>
  </r>
  <r>
    <s v="035.679.705/0001-61"/>
    <x v="171"/>
    <s v="INCLUSAO  ANOT.INADIMPLENCIA"/>
    <x v="122"/>
    <x v="4"/>
    <s v="2025-04"/>
    <x v="27"/>
    <s v="NOELI SALETE"/>
    <x v="171"/>
    <n v="0"/>
    <n v="1"/>
  </r>
  <r>
    <s v="036.906.058/0001-46"/>
    <x v="75"/>
    <s v="INCLUSAO  ANOT.INADIMPLENCIA"/>
    <x v="122"/>
    <x v="4"/>
    <s v="2025-04"/>
    <x v="27"/>
    <s v="NOELI SALETE"/>
    <x v="75"/>
    <n v="0"/>
    <n v="1"/>
  </r>
  <r>
    <s v="045.452.509/0001-03"/>
    <x v="172"/>
    <s v="INCLUSAO  ANOT.INADIMPLENCIA"/>
    <x v="122"/>
    <x v="4"/>
    <s v="2025-04"/>
    <x v="27"/>
    <s v="NOELI SALETE"/>
    <x v="172"/>
    <n v="0"/>
    <n v="1"/>
  </r>
  <r>
    <s v="028.477.685/0001-80"/>
    <x v="95"/>
    <s v="INCLUSAO  ANOT.INADIMPLENCIA"/>
    <x v="122"/>
    <x v="5"/>
    <s v="2025-04"/>
    <x v="27"/>
    <s v="POENATELA"/>
    <x v="95"/>
    <n v="0"/>
    <n v="1"/>
  </r>
  <r>
    <s v="011.122.552/0001-99"/>
    <x v="59"/>
    <s v="EXCLUSAO  ANOT.INADIMPLENCIA"/>
    <x v="122"/>
    <x v="6"/>
    <s v="2025-04"/>
    <x v="27"/>
    <s v="RAFAEL PARISE"/>
    <x v="59"/>
    <n v="1"/>
    <n v="0"/>
  </r>
  <r>
    <s v="066.209.362/0001-03"/>
    <x v="136"/>
    <s v="EXCLUSAO  ANOT.INADIMPLENCIA"/>
    <x v="122"/>
    <x v="6"/>
    <s v="2025-04"/>
    <x v="27"/>
    <s v="RAFAEL PARISE"/>
    <x v="136"/>
    <n v="1"/>
    <n v="0"/>
  </r>
  <r>
    <s v="028.650.970/0001-51"/>
    <x v="166"/>
    <s v="INCLUSAO  ANOT.INADIMPLENCIA"/>
    <x v="122"/>
    <x v="10"/>
    <s v="2025-04"/>
    <x v="27"/>
    <s v="ROGERIO "/>
    <x v="166"/>
    <n v="0"/>
    <n v="1"/>
  </r>
  <r>
    <s v="023.909.177/0001-00"/>
    <x v="102"/>
    <s v="INCLUSAO  ANOT.INADIMPLENCIA"/>
    <x v="122"/>
    <x v="7"/>
    <s v="2025-04"/>
    <x v="27"/>
    <s v="WHELKYA IRIS"/>
    <x v="102"/>
    <n v="0"/>
    <n v="1"/>
  </r>
  <r>
    <s v="004.962.112/0001-84"/>
    <x v="174"/>
    <s v="INCLUSAO  ANOT.INADIMPLENCIA"/>
    <x v="122"/>
    <x v="0"/>
    <s v="2025-04"/>
    <x v="27"/>
    <s v="ADMINISTRAÇÃO"/>
    <x v="174"/>
    <n v="0"/>
    <n v="1"/>
  </r>
  <r>
    <s v="022.143.692/0001-60"/>
    <x v="180"/>
    <s v="EXCLUSAO  ANOT.INADIMPLENCIA"/>
    <x v="122"/>
    <x v="10"/>
    <s v="2025-04"/>
    <x v="27"/>
    <s v="ROGERIO "/>
    <x v="180"/>
    <n v="1"/>
    <n v="0"/>
  </r>
  <r>
    <s v="021.734.108/0001-88"/>
    <x v="41"/>
    <s v="INCLUSAO  ANOT.INADIMPLENCIA"/>
    <x v="123"/>
    <x v="0"/>
    <s v="2025-04"/>
    <x v="27"/>
    <s v="ADMINISTRAÇÃO"/>
    <x v="41"/>
    <n v="0"/>
    <n v="1"/>
  </r>
  <r>
    <s v="003.590.360/0001-89"/>
    <x v="3"/>
    <s v="EXCLUSAO  ANOT.INADIMPLENCIA"/>
    <x v="123"/>
    <x v="1"/>
    <s v="2025-04"/>
    <x v="27"/>
    <s v="CELIO PIMENTA"/>
    <x v="3"/>
    <n v="1"/>
    <n v="0"/>
  </r>
  <r>
    <s v="028.556.973/0001-20"/>
    <x v="118"/>
    <s v="ALTERACAO QUADRO SOCIAL"/>
    <x v="123"/>
    <x v="1"/>
    <s v="2025-04"/>
    <x v="27"/>
    <s v="CELIO PIMENTA"/>
    <x v="118"/>
    <n v="0"/>
    <n v="0"/>
  </r>
  <r>
    <s v="016.757.535/0001-41"/>
    <x v="29"/>
    <s v="INCLUSAO  ANOT.INADIMPLENCIA"/>
    <x v="123"/>
    <x v="11"/>
    <s v="2025-04"/>
    <x v="27"/>
    <s v="DIOGO AZEVEDO"/>
    <x v="29"/>
    <n v="0"/>
    <n v="1"/>
  </r>
  <r>
    <s v="001.181.263/0001-07"/>
    <x v="155"/>
    <s v="EXCLUSAO  ANOT.INADIMPLENCIA"/>
    <x v="123"/>
    <x v="12"/>
    <s v="2025-04"/>
    <x v="27"/>
    <s v="PROSPECTAR"/>
    <x v="155"/>
    <n v="1"/>
    <n v="0"/>
  </r>
  <r>
    <s v="001.636.335/0001-63"/>
    <x v="77"/>
    <s v="INCLUSAO  ANOT.INADIMPLENCIA"/>
    <x v="123"/>
    <x v="12"/>
    <s v="2025-04"/>
    <x v="27"/>
    <s v="PROSPECTAR"/>
    <x v="77"/>
    <n v="0"/>
    <n v="1"/>
  </r>
  <r>
    <s v="028.393.466/0001-13"/>
    <x v="167"/>
    <s v="INCLUSAO  ANOT.INADIMPLENCIA"/>
    <x v="123"/>
    <x v="12"/>
    <s v="2025-04"/>
    <x v="27"/>
    <s v="PROSPECTAR"/>
    <x v="167"/>
    <n v="0"/>
    <n v="1"/>
  </r>
  <r>
    <s v="035.165.246/0001-06"/>
    <x v="104"/>
    <s v="INCLUSAO  ANOT.INADIMPLENCIA"/>
    <x v="123"/>
    <x v="3"/>
    <s v="2025-04"/>
    <x v="27"/>
    <s v="MARCUS VINICIUS "/>
    <x v="104"/>
    <n v="0"/>
    <n v="1"/>
  </r>
  <r>
    <s v="000.803.044/0001-50"/>
    <x v="45"/>
    <s v="INCL/EXCL ANOT.INADIMPLENCIA"/>
    <x v="123"/>
    <x v="0"/>
    <s v="2025-04"/>
    <x v="27"/>
    <s v="ADMINISTRAÇÃO"/>
    <x v="45"/>
    <n v="1"/>
    <n v="1"/>
  </r>
  <r>
    <s v="035.679.705/0001-61"/>
    <x v="171"/>
    <s v="INCLUSAO  ANOT.INADIMPLENCIA"/>
    <x v="123"/>
    <x v="4"/>
    <s v="2025-04"/>
    <x v="27"/>
    <s v="NOELI SALETE"/>
    <x v="171"/>
    <n v="0"/>
    <n v="1"/>
  </r>
  <r>
    <s v="036.906.058/0001-46"/>
    <x v="75"/>
    <s v="INCLUSAO  ANOT.INADIMPLENCIA"/>
    <x v="123"/>
    <x v="4"/>
    <s v="2025-04"/>
    <x v="27"/>
    <s v="NOELI SALETE"/>
    <x v="75"/>
    <n v="0"/>
    <n v="1"/>
  </r>
  <r>
    <s v="045.452.509/0001-03"/>
    <x v="172"/>
    <s v="INCLUSAO  ANOT.INADIMPLENCIA"/>
    <x v="123"/>
    <x v="4"/>
    <s v="2025-04"/>
    <x v="27"/>
    <s v="NOELI SALETE"/>
    <x v="172"/>
    <n v="0"/>
    <n v="1"/>
  </r>
  <r>
    <s v="088.978.606/0001-47"/>
    <x v="114"/>
    <s v="EXCLUSAO  ANOT.INADIMPLENCIA"/>
    <x v="123"/>
    <x v="4"/>
    <s v="2025-04"/>
    <x v="27"/>
    <s v="NOELI SALETE"/>
    <x v="114"/>
    <n v="1"/>
    <n v="0"/>
  </r>
  <r>
    <s v="023.605.544/0001-82"/>
    <x v="21"/>
    <s v="INCL/EXCL ANOT.INADIMPLENCIA"/>
    <x v="123"/>
    <x v="9"/>
    <s v="2025-04"/>
    <x v="27"/>
    <s v="PRISCILA METZ"/>
    <x v="21"/>
    <n v="1"/>
    <n v="1"/>
  </r>
  <r>
    <s v="011.122.552/0001-99"/>
    <x v="59"/>
    <s v="INCLUSAO  ANOT.INADIMPLENCIA"/>
    <x v="123"/>
    <x v="6"/>
    <s v="2025-04"/>
    <x v="27"/>
    <s v="RAFAEL PARISE"/>
    <x v="59"/>
    <n v="0"/>
    <n v="1"/>
  </r>
  <r>
    <s v="041.421.379/0001-90"/>
    <x v="137"/>
    <s v="INCLUSAO  ANOT.INADIMPLENCIA"/>
    <x v="123"/>
    <x v="6"/>
    <s v="2025-04"/>
    <x v="27"/>
    <s v="RAFAEL PARISE"/>
    <x v="137"/>
    <n v="0"/>
    <n v="1"/>
  </r>
  <r>
    <s v="050.901.671/0001-00"/>
    <x v="126"/>
    <s v="INCLUSAO  ANOT.INADIMPLENCIA"/>
    <x v="123"/>
    <x v="10"/>
    <s v="2025-04"/>
    <x v="27"/>
    <s v="ROGERIO "/>
    <x v="126"/>
    <n v="0"/>
    <n v="1"/>
  </r>
  <r>
    <s v="020.024.081/0001-77"/>
    <x v="177"/>
    <s v="INCLUSAO  ANOT.INADIMPLENCIA"/>
    <x v="123"/>
    <x v="10"/>
    <s v="2025-04"/>
    <x v="27"/>
    <s v="ROGERIO "/>
    <x v="177"/>
    <n v="0"/>
    <n v="1"/>
  </r>
  <r>
    <s v="048.956.491/0001-75"/>
    <x v="179"/>
    <s v="INCLUSAO  ANOT.INADIMPLENCIA"/>
    <x v="123"/>
    <x v="12"/>
    <s v="2025-04"/>
    <x v="27"/>
    <s v="PROSPECTAR"/>
    <x v="179"/>
    <n v="0"/>
    <n v="1"/>
  </r>
  <r>
    <s v="001.113.219/0001-60"/>
    <x v="88"/>
    <s v="EXCLUSAO  ANOT.INADIMPLENCIA"/>
    <x v="124"/>
    <x v="1"/>
    <s v="2025-04"/>
    <x v="27"/>
    <s v="CELIO PIMENTA"/>
    <x v="88"/>
    <n v="1"/>
    <n v="0"/>
  </r>
  <r>
    <s v="035.165.246/0001-06"/>
    <x v="104"/>
    <s v="INCLUSAO  ANOT.INADIMPLENCIA"/>
    <x v="124"/>
    <x v="3"/>
    <s v="2025-04"/>
    <x v="27"/>
    <s v="MARCUS VINICIUS "/>
    <x v="104"/>
    <n v="0"/>
    <n v="1"/>
  </r>
  <r>
    <s v="025.383.640/0001-59"/>
    <x v="158"/>
    <s v="EXCLUSAO  ANOT.INADIMPLENCIA"/>
    <x v="124"/>
    <x v="5"/>
    <s v="2025-04"/>
    <x v="27"/>
    <s v="POENATELA"/>
    <x v="158"/>
    <n v="1"/>
    <n v="0"/>
  </r>
  <r>
    <s v="008.250.872/0001-10"/>
    <x v="121"/>
    <s v="EXCLUSAO  ANOT.INADIMPLENCIA"/>
    <x v="124"/>
    <x v="6"/>
    <s v="2025-04"/>
    <x v="27"/>
    <s v="RAFAEL PARISE"/>
    <x v="121"/>
    <n v="1"/>
    <n v="0"/>
  </r>
  <r>
    <s v="028.650.970/0001-51"/>
    <x v="166"/>
    <s v="EXCLUSAO  ANOT.INADIMPLENCIA"/>
    <x v="124"/>
    <x v="10"/>
    <s v="2025-04"/>
    <x v="27"/>
    <s v="ROGERIO "/>
    <x v="166"/>
    <n v="1"/>
    <n v="0"/>
  </r>
  <r>
    <s v="020.024.081/0001-77"/>
    <x v="177"/>
    <s v="EXCLUSAO  ANOT.INADIMPLENCIA"/>
    <x v="124"/>
    <x v="10"/>
    <s v="2025-04"/>
    <x v="27"/>
    <s v="ROGERIO "/>
    <x v="177"/>
    <n v="1"/>
    <n v="0"/>
  </r>
  <r>
    <s v="012.520.791/0001-60"/>
    <x v="4"/>
    <s v="INCLUSAO  ANOT.INADIMPLENCIA"/>
    <x v="125"/>
    <x v="1"/>
    <s v="2025-04"/>
    <x v="27"/>
    <s v="CELIO PIMENTA"/>
    <x v="4"/>
    <n v="0"/>
    <n v="1"/>
  </r>
  <r>
    <s v="049.218.819/0001-19"/>
    <x v="150"/>
    <s v="INCLUSAO  ANOT.INADIMPLENCIA"/>
    <x v="125"/>
    <x v="11"/>
    <s v="2025-04"/>
    <x v="27"/>
    <s v="DIOGO AZEVEDO"/>
    <x v="150"/>
    <n v="0"/>
    <n v="1"/>
  </r>
  <r>
    <s v="001.636.335/0001-63"/>
    <x v="77"/>
    <s v="INCLUSAO  ANOT.INADIMPLENCIA"/>
    <x v="125"/>
    <x v="12"/>
    <s v="2025-04"/>
    <x v="27"/>
    <s v="PROSPECTAR"/>
    <x v="77"/>
    <n v="0"/>
    <n v="1"/>
  </r>
  <r>
    <s v="007.102.721/0001-51"/>
    <x v="44"/>
    <s v="EXCLUSAO  ANOT.INADIMPLENCIA"/>
    <x v="125"/>
    <x v="12"/>
    <s v="2025-04"/>
    <x v="27"/>
    <s v="PROSPECTAR"/>
    <x v="44"/>
    <n v="1"/>
    <n v="0"/>
  </r>
  <r>
    <s v="028.393.466/0001-13"/>
    <x v="167"/>
    <s v="EXCLUSAO  ANOT.INADIMPLENCIA"/>
    <x v="125"/>
    <x v="12"/>
    <s v="2025-04"/>
    <x v="27"/>
    <s v="PROSPECTAR"/>
    <x v="167"/>
    <n v="1"/>
    <n v="0"/>
  </r>
  <r>
    <s v="025.825.654/0001-85"/>
    <x v="7"/>
    <s v="EXCLUSAO  ANOT.INADIMPLENCIA"/>
    <x v="125"/>
    <x v="3"/>
    <s v="2025-04"/>
    <x v="27"/>
    <s v="MARCUS VINICIUS "/>
    <x v="7"/>
    <n v="1"/>
    <n v="0"/>
  </r>
  <r>
    <s v="026.416.177/0001-67"/>
    <x v="130"/>
    <s v="EXCLUSAO  ANOT.INADIMPLENCIA"/>
    <x v="125"/>
    <x v="3"/>
    <s v="2025-04"/>
    <x v="27"/>
    <s v="MARCUS VINICIUS "/>
    <x v="130"/>
    <n v="1"/>
    <n v="0"/>
  </r>
  <r>
    <s v="000.803.044/0001-50"/>
    <x v="45"/>
    <s v="EXCLUSAO  ANOT.INADIMPLENCIA"/>
    <x v="125"/>
    <x v="0"/>
    <s v="2025-04"/>
    <x v="27"/>
    <s v="ADMINISTRAÇÃO"/>
    <x v="45"/>
    <n v="1"/>
    <n v="0"/>
  </r>
  <r>
    <s v="007.906.793/0001-51"/>
    <x v="125"/>
    <s v="EXCLUSAO  ANOT.INADIMPLENCIA"/>
    <x v="125"/>
    <x v="4"/>
    <s v="2025-04"/>
    <x v="27"/>
    <s v="NOELI SALETE"/>
    <x v="125"/>
    <n v="1"/>
    <n v="0"/>
  </r>
  <r>
    <s v="028.477.685/0001-80"/>
    <x v="95"/>
    <s v="EXCLUSAO  ANOT.INADIMPLENCIA"/>
    <x v="125"/>
    <x v="5"/>
    <s v="2025-04"/>
    <x v="27"/>
    <s v="POENATELA"/>
    <x v="95"/>
    <n v="1"/>
    <n v="0"/>
  </r>
  <r>
    <s v="028.650.970/0001-51"/>
    <x v="166"/>
    <s v="INCL/EXCL ANOT.INADIMPLENCIA"/>
    <x v="125"/>
    <x v="10"/>
    <s v="2025-04"/>
    <x v="27"/>
    <s v="ROGERIO "/>
    <x v="166"/>
    <n v="1"/>
    <n v="1"/>
  </r>
  <r>
    <s v="055.979.736/0001-45"/>
    <x v="63"/>
    <s v="EXCLUSAO  ANOT.INADIMPLENCIA"/>
    <x v="125"/>
    <x v="16"/>
    <s v="2025-04"/>
    <x v="27"/>
    <s v="SACADO"/>
    <x v="63"/>
    <n v="1"/>
    <n v="0"/>
  </r>
  <r>
    <s v="004.962.112/0001-84"/>
    <x v="174"/>
    <s v="INCLUSAO  ANOT.INADIMPLENCIA"/>
    <x v="125"/>
    <x v="0"/>
    <s v="2025-04"/>
    <x v="27"/>
    <s v="ADMINISTRAÇÃO"/>
    <x v="174"/>
    <n v="0"/>
    <n v="1"/>
  </r>
  <r>
    <s v="055.466.241/0001-12"/>
    <x v="181"/>
    <s v="INCLUSAO  ANOT.INADIMPLENCIA"/>
    <x v="125"/>
    <x v="12"/>
    <s v="2025-04"/>
    <x v="27"/>
    <s v="PROSPECTAR"/>
    <x v="181"/>
    <n v="0"/>
    <n v="1"/>
  </r>
  <r>
    <s v="022.998.836/0001-60"/>
    <x v="24"/>
    <s v="EXCLUSAO  ANOT.INADIMPLENCIA"/>
    <x v="126"/>
    <x v="0"/>
    <s v="2025-04"/>
    <x v="27"/>
    <s v="ADMINISTRAÇÃO"/>
    <x v="24"/>
    <n v="1"/>
    <n v="0"/>
  </r>
  <r>
    <s v="003.590.360/0001-89"/>
    <x v="3"/>
    <s v="INCLUSAO  ANOT.INADIMPLENCIA"/>
    <x v="126"/>
    <x v="1"/>
    <s v="2025-04"/>
    <x v="27"/>
    <s v="CELIO PIMENTA"/>
    <x v="3"/>
    <n v="0"/>
    <n v="1"/>
  </r>
  <r>
    <s v="012.520.791/0001-60"/>
    <x v="4"/>
    <s v="INCLUSAO  ANOT.INADIMPLENCIA"/>
    <x v="126"/>
    <x v="1"/>
    <s v="2025-04"/>
    <x v="27"/>
    <s v="CELIO PIMENTA"/>
    <x v="4"/>
    <n v="0"/>
    <n v="1"/>
  </r>
  <r>
    <s v="049.218.819/0001-19"/>
    <x v="150"/>
    <s v="INCLUSAO  ANOT.INADIMPLENCIA"/>
    <x v="126"/>
    <x v="11"/>
    <s v="2025-04"/>
    <x v="27"/>
    <s v="DIOGO AZEVEDO"/>
    <x v="150"/>
    <n v="0"/>
    <n v="1"/>
  </r>
  <r>
    <s v="001.535.822/0001-30"/>
    <x v="170"/>
    <s v="INCL/EXCL ANOT.INADIMPLENCIA"/>
    <x v="126"/>
    <x v="12"/>
    <s v="2025-04"/>
    <x v="27"/>
    <s v="PROSPECTAR"/>
    <x v="170"/>
    <n v="1"/>
    <n v="1"/>
  </r>
  <r>
    <s v="001.636.335/0001-63"/>
    <x v="77"/>
    <s v="INCL/EXCL ANOT.INADIMPLENCIA"/>
    <x v="126"/>
    <x v="12"/>
    <s v="2025-04"/>
    <x v="27"/>
    <s v="PROSPECTAR"/>
    <x v="77"/>
    <n v="1"/>
    <n v="1"/>
  </r>
  <r>
    <s v="007.102.721/0001-51"/>
    <x v="44"/>
    <s v="INCL/EXCL ANOT.INADIMPLENCIA"/>
    <x v="126"/>
    <x v="12"/>
    <s v="2025-04"/>
    <x v="27"/>
    <s v="PROSPECTAR"/>
    <x v="44"/>
    <n v="1"/>
    <n v="1"/>
  </r>
  <r>
    <s v="028.393.466/0001-13"/>
    <x v="167"/>
    <s v="INCLUSAO  ANOT.INADIMPLENCIA"/>
    <x v="126"/>
    <x v="12"/>
    <s v="2025-04"/>
    <x v="27"/>
    <s v="PROSPECTAR"/>
    <x v="167"/>
    <n v="0"/>
    <n v="1"/>
  </r>
  <r>
    <s v="007.906.793/0001-51"/>
    <x v="125"/>
    <s v="EXCLUSAO  ANOT.INADIMPLENCIA"/>
    <x v="126"/>
    <x v="4"/>
    <s v="2025-04"/>
    <x v="27"/>
    <s v="NOELI SALETE"/>
    <x v="125"/>
    <n v="1"/>
    <n v="0"/>
  </r>
  <r>
    <s v="035.679.705/0001-61"/>
    <x v="171"/>
    <s v="INCLUSAO  ANOT.INADIMPLENCIA"/>
    <x v="126"/>
    <x v="4"/>
    <s v="2025-04"/>
    <x v="27"/>
    <s v="NOELI SALETE"/>
    <x v="171"/>
    <n v="0"/>
    <n v="1"/>
  </r>
  <r>
    <s v="045.452.509/0001-03"/>
    <x v="172"/>
    <s v="INCLUSAO  ANOT.INADIMPLENCIA"/>
    <x v="126"/>
    <x v="4"/>
    <s v="2025-04"/>
    <x v="27"/>
    <s v="NOELI SALETE"/>
    <x v="172"/>
    <n v="0"/>
    <n v="1"/>
  </r>
  <r>
    <s v="028.477.685/0001-80"/>
    <x v="95"/>
    <s v="INCLUSAO  ANOT.INADIMPLENCIA"/>
    <x v="126"/>
    <x v="5"/>
    <s v="2025-04"/>
    <x v="27"/>
    <s v="POENATELA"/>
    <x v="95"/>
    <n v="0"/>
    <n v="1"/>
  </r>
  <r>
    <s v="023.605.544/0001-82"/>
    <x v="21"/>
    <s v="EXCLUSAO  ANOT.INADIMPLENCIA"/>
    <x v="126"/>
    <x v="9"/>
    <s v="2025-04"/>
    <x v="27"/>
    <s v="PRISCILA METZ"/>
    <x v="21"/>
    <n v="1"/>
    <n v="0"/>
  </r>
  <r>
    <s v="005.997.418/0001-39"/>
    <x v="165"/>
    <s v="EXCLUSAO  ANOT.INADIMPLENCIA"/>
    <x v="126"/>
    <x v="6"/>
    <s v="2025-04"/>
    <x v="27"/>
    <s v="RAFAEL PARISE"/>
    <x v="165"/>
    <n v="1"/>
    <n v="0"/>
  </r>
  <r>
    <s v="028.650.970/0001-51"/>
    <x v="166"/>
    <s v="INCLUSAO  ANOT.INADIMPLENCIA"/>
    <x v="126"/>
    <x v="10"/>
    <s v="2025-04"/>
    <x v="27"/>
    <s v="ROGERIO "/>
    <x v="166"/>
    <n v="0"/>
    <n v="1"/>
  </r>
  <r>
    <s v="071.350.797/0001-03"/>
    <x v="48"/>
    <s v="INCLUSAO  ANOT.INADIMPLENCIA"/>
    <x v="126"/>
    <x v="10"/>
    <s v="2025-04"/>
    <x v="27"/>
    <s v="ROGERIO "/>
    <x v="48"/>
    <n v="0"/>
    <n v="1"/>
  </r>
  <r>
    <s v="055.979.736/0001-45"/>
    <x v="63"/>
    <s v="EXCLUSAO  ANOT.INADIMPLENCIA"/>
    <x v="126"/>
    <x v="16"/>
    <s v="2025-04"/>
    <x v="27"/>
    <s v="SACADO"/>
    <x v="63"/>
    <n v="1"/>
    <n v="0"/>
  </r>
  <r>
    <s v="020.024.081/0001-77"/>
    <x v="177"/>
    <s v="EXCLUSAO  ANOT.INADIMPLENCIA"/>
    <x v="126"/>
    <x v="10"/>
    <s v="2025-04"/>
    <x v="27"/>
    <s v="ROGERIO "/>
    <x v="177"/>
    <n v="1"/>
    <n v="0"/>
  </r>
  <r>
    <s v="030.233.156/0001-83"/>
    <x v="182"/>
    <s v="ALTERACAO ENDERECO"/>
    <x v="126"/>
    <x v="0"/>
    <s v="2025-04"/>
    <x v="27"/>
    <s v="ADMINISTRAÇÃO"/>
    <x v="182"/>
    <n v="0"/>
    <n v="0"/>
  </r>
  <r>
    <s v="016.772.642/0001-49"/>
    <x v="69"/>
    <s v="INCLUSAO  ANOT.INADIMPLENCIA"/>
    <x v="127"/>
    <x v="0"/>
    <s v="2025-04"/>
    <x v="28"/>
    <s v="ADMINISTRAÇÃO"/>
    <x v="69"/>
    <n v="0"/>
    <n v="1"/>
  </r>
  <r>
    <s v="003.590.360/0001-89"/>
    <x v="3"/>
    <s v="INCL/EXCL ANOT.INADIMPLENCIA"/>
    <x v="127"/>
    <x v="1"/>
    <s v="2025-04"/>
    <x v="28"/>
    <s v="CELIO PIMENTA"/>
    <x v="3"/>
    <n v="1"/>
    <n v="1"/>
  </r>
  <r>
    <s v="001.181.263/0001-07"/>
    <x v="155"/>
    <s v="INCLUSAO  ANOT.INADIMPLENCIA"/>
    <x v="127"/>
    <x v="12"/>
    <s v="2025-04"/>
    <x v="28"/>
    <s v="PROSPECTAR"/>
    <x v="155"/>
    <n v="0"/>
    <n v="1"/>
  </r>
  <r>
    <s v="001.636.335/0001-63"/>
    <x v="77"/>
    <s v="INCLUSAO  ANOT.INADIMPLENCIA"/>
    <x v="127"/>
    <x v="12"/>
    <s v="2025-04"/>
    <x v="28"/>
    <s v="PROSPECTAR"/>
    <x v="77"/>
    <n v="0"/>
    <n v="1"/>
  </r>
  <r>
    <s v="007.102.721/0001-51"/>
    <x v="44"/>
    <s v="INCLUSAO  ANOT.INADIMPLENCIA"/>
    <x v="127"/>
    <x v="12"/>
    <s v="2025-04"/>
    <x v="28"/>
    <s v="PROSPECTAR"/>
    <x v="44"/>
    <n v="0"/>
    <n v="1"/>
  </r>
  <r>
    <s v="024.331.138/0001-31"/>
    <x v="87"/>
    <s v="INCLUSAO  ANOT.INADIMPLENCIA"/>
    <x v="127"/>
    <x v="12"/>
    <s v="2025-04"/>
    <x v="28"/>
    <s v="PROSPECTAR"/>
    <x v="87"/>
    <n v="0"/>
    <n v="1"/>
  </r>
  <r>
    <s v="028.393.466/0001-13"/>
    <x v="167"/>
    <s v="INCLUSAO  ANOT.INADIMPLENCIA"/>
    <x v="127"/>
    <x v="12"/>
    <s v="2025-04"/>
    <x v="28"/>
    <s v="PROSPECTAR"/>
    <x v="167"/>
    <n v="0"/>
    <n v="1"/>
  </r>
  <r>
    <s v="044.570.311/0001-61"/>
    <x v="116"/>
    <s v="INCLUSAO  ANOT.INADIMPLENCIA"/>
    <x v="127"/>
    <x v="12"/>
    <s v="2025-04"/>
    <x v="28"/>
    <s v="PROSPECTAR"/>
    <x v="116"/>
    <n v="0"/>
    <n v="1"/>
  </r>
  <r>
    <s v="021.420.856/0001-96"/>
    <x v="129"/>
    <s v="INCLUSAO  ANOT.INADIMPLENCIA"/>
    <x v="127"/>
    <x v="19"/>
    <s v="2025-04"/>
    <x v="28"/>
    <s v="JOSE ROBERTO"/>
    <x v="129"/>
    <n v="0"/>
    <n v="1"/>
  </r>
  <r>
    <s v="000.803.044/0001-50"/>
    <x v="45"/>
    <s v="INCLUSAO  ANOT.INADIMPLENCIA"/>
    <x v="127"/>
    <x v="0"/>
    <s v="2025-04"/>
    <x v="28"/>
    <s v="ADMINISTRAÇÃO"/>
    <x v="45"/>
    <n v="0"/>
    <n v="1"/>
  </r>
  <r>
    <s v="035.679.705/0001-61"/>
    <x v="171"/>
    <s v="INCLUSAO  ANOT.INADIMPLENCIA"/>
    <x v="127"/>
    <x v="4"/>
    <s v="2025-04"/>
    <x v="28"/>
    <s v="NOELI SALETE"/>
    <x v="171"/>
    <n v="0"/>
    <n v="1"/>
  </r>
  <r>
    <s v="036.906.058/0001-46"/>
    <x v="75"/>
    <s v="INCLUSAO  ANOT.INADIMPLENCIA"/>
    <x v="127"/>
    <x v="4"/>
    <s v="2025-04"/>
    <x v="28"/>
    <s v="NOELI SALETE"/>
    <x v="75"/>
    <n v="0"/>
    <n v="1"/>
  </r>
  <r>
    <s v="045.452.509/0001-03"/>
    <x v="172"/>
    <s v="INCLUSAO  ANOT.INADIMPLENCIA"/>
    <x v="127"/>
    <x v="4"/>
    <s v="2025-04"/>
    <x v="28"/>
    <s v="NOELI SALETE"/>
    <x v="172"/>
    <n v="0"/>
    <n v="1"/>
  </r>
  <r>
    <s v="088.978.606/0001-47"/>
    <x v="114"/>
    <s v="INCLUSAO  ANOT.INADIMPLENCIA"/>
    <x v="127"/>
    <x v="4"/>
    <s v="2025-04"/>
    <x v="28"/>
    <s v="NOELI SALETE"/>
    <x v="114"/>
    <n v="0"/>
    <n v="1"/>
  </r>
  <r>
    <s v="025.383.640/0001-59"/>
    <x v="158"/>
    <s v="EXCLUSAO  ANOT.INADIMPLENCIA"/>
    <x v="127"/>
    <x v="5"/>
    <s v="2025-04"/>
    <x v="28"/>
    <s v="POENATELA"/>
    <x v="158"/>
    <n v="1"/>
    <n v="0"/>
  </r>
  <r>
    <s v="011.122.552/0001-99"/>
    <x v="59"/>
    <s v="INCLUSAO  ANOT.INADIMPLENCIA"/>
    <x v="127"/>
    <x v="6"/>
    <s v="2025-04"/>
    <x v="28"/>
    <s v="RAFAEL PARISE"/>
    <x v="59"/>
    <n v="0"/>
    <n v="1"/>
  </r>
  <r>
    <s v="071.350.797/0001-03"/>
    <x v="48"/>
    <s v="INCLUSAO  ANOT.INADIMPLENCIA"/>
    <x v="127"/>
    <x v="10"/>
    <s v="2025-04"/>
    <x v="28"/>
    <s v="ROGERIO "/>
    <x v="48"/>
    <n v="0"/>
    <n v="1"/>
  </r>
  <r>
    <s v="004.962.112/0001-84"/>
    <x v="174"/>
    <s v="INCLUSAO  ANOT.INADIMPLENCIA"/>
    <x v="127"/>
    <x v="0"/>
    <s v="2025-04"/>
    <x v="28"/>
    <s v="ADMINISTRAÇÃO"/>
    <x v="174"/>
    <n v="0"/>
    <n v="1"/>
  </r>
  <r>
    <s v="018.709.981/0001-06"/>
    <x v="183"/>
    <s v="INCLUSAO  ANOT.INADIMPLENCIA"/>
    <x v="127"/>
    <x v="6"/>
    <s v="2025-04"/>
    <x v="28"/>
    <s v="RAFAEL PARISE"/>
    <x v="183"/>
    <n v="0"/>
    <n v="1"/>
  </r>
  <r>
    <s v="020.024.081/0001-77"/>
    <x v="177"/>
    <s v="INCLUSAO  ANOT.INADIMPLENCIA"/>
    <x v="127"/>
    <x v="10"/>
    <s v="2025-04"/>
    <x v="28"/>
    <s v="ROGERIO "/>
    <x v="177"/>
    <n v="0"/>
    <n v="1"/>
  </r>
  <r>
    <s v="016.772.642/0001-49"/>
    <x v="69"/>
    <s v="INCLUSAO  ANOT.INADIMPLENCIA"/>
    <x v="128"/>
    <x v="0"/>
    <s v="2025-04"/>
    <x v="28"/>
    <s v="ADMINISTRAÇÃO"/>
    <x v="69"/>
    <n v="0"/>
    <n v="1"/>
  </r>
  <r>
    <s v="001.831.532/0001-33"/>
    <x v="132"/>
    <s v="INCLUSAO  ANOT.INADIMPLENCIA"/>
    <x v="128"/>
    <x v="0"/>
    <s v="2025-04"/>
    <x v="28"/>
    <s v="ADMINISTRAÇÃO"/>
    <x v="132"/>
    <n v="0"/>
    <n v="1"/>
  </r>
  <r>
    <s v="021.734.108/0001-88"/>
    <x v="41"/>
    <s v="EXCLUSAO  ANOT.INADIMPLENCIA"/>
    <x v="128"/>
    <x v="0"/>
    <s v="2025-04"/>
    <x v="28"/>
    <s v="ADMINISTRAÇÃO"/>
    <x v="41"/>
    <n v="1"/>
    <n v="0"/>
  </r>
  <r>
    <s v="000.688.793/0001-83"/>
    <x v="149"/>
    <s v="EXCLUSAO  ANOT.INADIMPLENCIA"/>
    <x v="128"/>
    <x v="1"/>
    <s v="2025-04"/>
    <x v="28"/>
    <s v="CELIO PIMENTA"/>
    <x v="149"/>
    <n v="1"/>
    <n v="0"/>
  </r>
  <r>
    <s v="002.038.227/0001-51"/>
    <x v="55"/>
    <s v="EXCLUSAO  ANOT.INADIMPLENCIA"/>
    <x v="128"/>
    <x v="1"/>
    <s v="2025-04"/>
    <x v="28"/>
    <s v="CELIO PIMENTA"/>
    <x v="55"/>
    <n v="1"/>
    <n v="0"/>
  </r>
  <r>
    <s v="003.590.360/0001-89"/>
    <x v="3"/>
    <s v="EXCLUSAO  ANOT.INADIMPLENCIA"/>
    <x v="128"/>
    <x v="1"/>
    <s v="2025-04"/>
    <x v="28"/>
    <s v="CELIO PIMENTA"/>
    <x v="3"/>
    <n v="1"/>
    <n v="0"/>
  </r>
  <r>
    <s v="016.757.535/0001-41"/>
    <x v="29"/>
    <s v="EXCLUSAO  ANOT.INADIMPLENCIA"/>
    <x v="128"/>
    <x v="11"/>
    <s v="2025-04"/>
    <x v="28"/>
    <s v="DIOGO AZEVEDO"/>
    <x v="29"/>
    <n v="1"/>
    <n v="0"/>
  </r>
  <r>
    <s v="001.636.335/0001-63"/>
    <x v="77"/>
    <s v="INCLUSAO  ANOT.INADIMPLENCIA"/>
    <x v="128"/>
    <x v="12"/>
    <s v="2025-04"/>
    <x v="28"/>
    <s v="PROSPECTAR"/>
    <x v="77"/>
    <n v="0"/>
    <n v="1"/>
  </r>
  <r>
    <s v="007.102.721/0001-51"/>
    <x v="44"/>
    <s v="EXCLUSAO  ANOT.INADIMPLENCIA"/>
    <x v="128"/>
    <x v="12"/>
    <s v="2025-04"/>
    <x v="28"/>
    <s v="PROSPECTAR"/>
    <x v="44"/>
    <n v="1"/>
    <n v="0"/>
  </r>
  <r>
    <s v="028.393.466/0001-13"/>
    <x v="167"/>
    <s v="INCL/EXCL ANOT.INADIMPLENCIA"/>
    <x v="128"/>
    <x v="12"/>
    <s v="2025-04"/>
    <x v="28"/>
    <s v="PROSPECTAR"/>
    <x v="167"/>
    <n v="1"/>
    <n v="1"/>
  </r>
  <r>
    <s v="044.570.311/0001-61"/>
    <x v="116"/>
    <s v="EXCLUSAO  ANOT.INADIMPLENCIA"/>
    <x v="128"/>
    <x v="12"/>
    <s v="2025-04"/>
    <x v="28"/>
    <s v="PROSPECTAR"/>
    <x v="116"/>
    <n v="1"/>
    <n v="0"/>
  </r>
  <r>
    <s v="045.452.509/0001-03"/>
    <x v="172"/>
    <s v="INCLUSAO  ANOT.INADIMPLENCIA"/>
    <x v="128"/>
    <x v="4"/>
    <s v="2025-04"/>
    <x v="28"/>
    <s v="NOELI SALETE"/>
    <x v="172"/>
    <n v="0"/>
    <n v="1"/>
  </r>
  <r>
    <s v="006.236.494/0001-94"/>
    <x v="61"/>
    <s v="EXCLUSAO  ANOT.INADIMPLENCIA"/>
    <x v="128"/>
    <x v="5"/>
    <s v="2025-04"/>
    <x v="28"/>
    <s v="POENATELA"/>
    <x v="61"/>
    <n v="1"/>
    <n v="0"/>
  </r>
  <r>
    <s v="025.383.640/0001-59"/>
    <x v="158"/>
    <s v="EXCLUSAO  ANOT.INADIMPLENCIA"/>
    <x v="128"/>
    <x v="5"/>
    <s v="2025-04"/>
    <x v="28"/>
    <s v="POENATELA"/>
    <x v="158"/>
    <n v="1"/>
    <n v="0"/>
  </r>
  <r>
    <s v="028.477.685/0001-80"/>
    <x v="95"/>
    <s v="INCLUSAO  ANOT.INADIMPLENCIA"/>
    <x v="128"/>
    <x v="5"/>
    <s v="2025-04"/>
    <x v="28"/>
    <s v="POENATELA"/>
    <x v="95"/>
    <n v="0"/>
    <n v="1"/>
  </r>
  <r>
    <s v="039.535.425/0001-30"/>
    <x v="120"/>
    <s v="INCLUSAO  ANOT.INADIMPLENCIA"/>
    <x v="128"/>
    <x v="6"/>
    <s v="2025-04"/>
    <x v="28"/>
    <s v="RAFAEL PARISE"/>
    <x v="120"/>
    <n v="0"/>
    <n v="1"/>
  </r>
  <r>
    <s v="041.421.379/0001-90"/>
    <x v="137"/>
    <s v="INCLUSAO  ANOT.INADIMPLENCIA"/>
    <x v="128"/>
    <x v="6"/>
    <s v="2025-04"/>
    <x v="28"/>
    <s v="RAFAEL PARISE"/>
    <x v="137"/>
    <n v="0"/>
    <n v="1"/>
  </r>
  <r>
    <s v="028.650.970/0001-51"/>
    <x v="166"/>
    <s v="INCLUSAO  ANOT.INADIMPLENCIA"/>
    <x v="128"/>
    <x v="10"/>
    <s v="2025-04"/>
    <x v="28"/>
    <s v="ROGERIO "/>
    <x v="166"/>
    <n v="0"/>
    <n v="1"/>
  </r>
  <r>
    <s v="071.350.797/0001-03"/>
    <x v="48"/>
    <s v="EXCLUSAO  ANOT.INADIMPLENCIA"/>
    <x v="128"/>
    <x v="10"/>
    <s v="2025-04"/>
    <x v="28"/>
    <s v="ROGERIO "/>
    <x v="48"/>
    <n v="1"/>
    <n v="0"/>
  </r>
  <r>
    <s v="020.024.081/0001-77"/>
    <x v="177"/>
    <s v="INCLUSAO  ANOT.INADIMPLENCIA"/>
    <x v="128"/>
    <x v="10"/>
    <s v="2025-04"/>
    <x v="28"/>
    <s v="ROGERIO "/>
    <x v="177"/>
    <n v="0"/>
    <n v="1"/>
  </r>
  <r>
    <s v="046.865.282/0001-90"/>
    <x v="184"/>
    <s v="INCLUSAO  ANOT.INADIMPLENCIA"/>
    <x v="128"/>
    <x v="18"/>
    <s v="2025-04"/>
    <x v="28"/>
    <s v="SEM GERENTE"/>
    <x v="184"/>
    <n v="0"/>
    <n v="1"/>
  </r>
  <r>
    <s v="022.998.836/0001-60"/>
    <x v="24"/>
    <s v="EXCLUSAO  ANOT.INADIMPLENCIA"/>
    <x v="129"/>
    <x v="0"/>
    <s v="2025-04"/>
    <x v="28"/>
    <s v="ADMINISTRAÇÃO"/>
    <x v="24"/>
    <n v="1"/>
    <n v="0"/>
  </r>
  <r>
    <s v="012.520.791/0001-60"/>
    <x v="4"/>
    <s v="INCLUSAO  ANOT.INADIMPLENCIA"/>
    <x v="129"/>
    <x v="1"/>
    <s v="2025-04"/>
    <x v="28"/>
    <s v="CELIO PIMENTA"/>
    <x v="4"/>
    <n v="0"/>
    <n v="1"/>
  </r>
  <r>
    <s v="029.030.307/0001-17"/>
    <x v="43"/>
    <s v="EXCLUSAO  ANOT.INADIMPLENCIA"/>
    <x v="129"/>
    <x v="1"/>
    <s v="2025-04"/>
    <x v="28"/>
    <s v="CELIO PIMENTA"/>
    <x v="43"/>
    <n v="1"/>
    <n v="0"/>
  </r>
  <r>
    <s v="001.181.263/0001-07"/>
    <x v="155"/>
    <s v="EXCLUSAO  ANOT.INADIMPLENCIA"/>
    <x v="129"/>
    <x v="12"/>
    <s v="2025-04"/>
    <x v="28"/>
    <s v="PROSPECTAR"/>
    <x v="155"/>
    <n v="1"/>
    <n v="0"/>
  </r>
  <r>
    <s v="028.393.466/0001-13"/>
    <x v="167"/>
    <s v="EXCLUSAO  ANOT.INADIMPLENCIA"/>
    <x v="129"/>
    <x v="12"/>
    <s v="2025-04"/>
    <x v="28"/>
    <s v="PROSPECTAR"/>
    <x v="167"/>
    <n v="1"/>
    <n v="0"/>
  </r>
  <r>
    <s v="034.821.586/0001-77"/>
    <x v="38"/>
    <s v="INCLUSAO  ANOT.INADIMPLENCIA"/>
    <x v="129"/>
    <x v="3"/>
    <s v="2025-04"/>
    <x v="28"/>
    <s v="MARCUS VINICIUS "/>
    <x v="38"/>
    <n v="0"/>
    <n v="1"/>
  </r>
  <r>
    <s v="046.140.062/0001-08"/>
    <x v="68"/>
    <s v="EXCLUSAO  ANOT.INADIMPLENCIA"/>
    <x v="129"/>
    <x v="4"/>
    <s v="2025-04"/>
    <x v="28"/>
    <s v="NOELI SALETE"/>
    <x v="68"/>
    <n v="1"/>
    <n v="0"/>
  </r>
  <r>
    <s v="088.978.606/0001-47"/>
    <x v="114"/>
    <s v="EXCLUSAO  ANOT.INADIMPLENCIA"/>
    <x v="129"/>
    <x v="4"/>
    <s v="2025-04"/>
    <x v="28"/>
    <s v="NOELI SALETE"/>
    <x v="114"/>
    <n v="1"/>
    <n v="0"/>
  </r>
  <r>
    <s v="006.236.494/0001-94"/>
    <x v="61"/>
    <s v="EXCLUSAO  ANOT.INADIMPLENCIA"/>
    <x v="129"/>
    <x v="5"/>
    <s v="2025-04"/>
    <x v="28"/>
    <s v="POENATELA"/>
    <x v="61"/>
    <n v="1"/>
    <n v="0"/>
  </r>
  <r>
    <s v="025.383.640/0001-59"/>
    <x v="158"/>
    <s v="EXCLUSAO  ANOT.INADIMPLENCIA"/>
    <x v="129"/>
    <x v="5"/>
    <s v="2025-04"/>
    <x v="28"/>
    <s v="POENATELA"/>
    <x v="158"/>
    <n v="1"/>
    <n v="0"/>
  </r>
  <r>
    <s v="028.477.685/0001-80"/>
    <x v="95"/>
    <s v="INCLUSAO  ANOT.INADIMPLENCIA"/>
    <x v="129"/>
    <x v="5"/>
    <s v="2025-04"/>
    <x v="28"/>
    <s v="POENATELA"/>
    <x v="95"/>
    <n v="0"/>
    <n v="1"/>
  </r>
  <r>
    <s v="005.997.418/0001-39"/>
    <x v="165"/>
    <s v="EXCLUSAO  ANOT.INADIMPLENCIA"/>
    <x v="129"/>
    <x v="6"/>
    <s v="2025-04"/>
    <x v="28"/>
    <s v="RAFAEL PARISE"/>
    <x v="165"/>
    <n v="1"/>
    <n v="0"/>
  </r>
  <r>
    <s v="011.122.552/0001-99"/>
    <x v="59"/>
    <s v="EXCLUSAO  ANOT.INADIMPLENCIA"/>
    <x v="129"/>
    <x v="6"/>
    <s v="2025-04"/>
    <x v="28"/>
    <s v="RAFAEL PARISE"/>
    <x v="59"/>
    <n v="1"/>
    <n v="0"/>
  </r>
  <r>
    <s v="028.650.970/0001-51"/>
    <x v="166"/>
    <s v="INCLUSAO  ANOT.INADIMPLENCIA"/>
    <x v="129"/>
    <x v="10"/>
    <s v="2025-04"/>
    <x v="28"/>
    <s v="ROGERIO "/>
    <x v="166"/>
    <n v="0"/>
    <n v="1"/>
  </r>
  <r>
    <s v="071.350.797/0001-03"/>
    <x v="48"/>
    <s v="INCLUSAO  ANOT.INADIMPLENCIA"/>
    <x v="129"/>
    <x v="10"/>
    <s v="2025-04"/>
    <x v="28"/>
    <s v="ROGERIO "/>
    <x v="48"/>
    <n v="0"/>
    <n v="1"/>
  </r>
  <r>
    <s v="020.024.081/0001-77"/>
    <x v="177"/>
    <s v="INCLUSAO  ANOT.INADIMPLENCIA"/>
    <x v="129"/>
    <x v="10"/>
    <s v="2025-04"/>
    <x v="28"/>
    <s v="ROGERIO "/>
    <x v="177"/>
    <n v="0"/>
    <n v="1"/>
  </r>
  <r>
    <s v="022.998.836/0001-60"/>
    <x v="24"/>
    <s v="EXCLUSAO  ANOT.INADIMPLENCIA"/>
    <x v="130"/>
    <x v="0"/>
    <s v="2025-04"/>
    <x v="28"/>
    <s v="ADMINISTRAÇÃO"/>
    <x v="24"/>
    <n v="1"/>
    <n v="0"/>
  </r>
  <r>
    <s v="012.520.791/0001-60"/>
    <x v="4"/>
    <s v="INCLUSAO  ANOT.INADIMPLENCIA"/>
    <x v="130"/>
    <x v="1"/>
    <s v="2025-04"/>
    <x v="28"/>
    <s v="CELIO PIMENTA"/>
    <x v="4"/>
    <n v="0"/>
    <n v="1"/>
  </r>
  <r>
    <s v="029.030.307/0001-17"/>
    <x v="43"/>
    <s v="EXCLUSAO  ANOT.INADIMPLENCIA"/>
    <x v="130"/>
    <x v="1"/>
    <s v="2025-04"/>
    <x v="28"/>
    <s v="CELIO PIMENTA"/>
    <x v="43"/>
    <n v="1"/>
    <n v="0"/>
  </r>
  <r>
    <s v="001.181.263/0001-07"/>
    <x v="155"/>
    <s v="EXCLUSAO  ANOT.INADIMPLENCIA"/>
    <x v="130"/>
    <x v="12"/>
    <s v="2025-04"/>
    <x v="28"/>
    <s v="PROSPECTAR"/>
    <x v="155"/>
    <n v="1"/>
    <n v="0"/>
  </r>
  <r>
    <s v="028.393.466/0001-13"/>
    <x v="167"/>
    <s v="EXCLUSAO  ANOT.INADIMPLENCIA"/>
    <x v="130"/>
    <x v="12"/>
    <s v="2025-04"/>
    <x v="28"/>
    <s v="PROSPECTAR"/>
    <x v="167"/>
    <n v="1"/>
    <n v="0"/>
  </r>
  <r>
    <s v="034.821.586/0001-77"/>
    <x v="38"/>
    <s v="INCLUSAO  ANOT.INADIMPLENCIA"/>
    <x v="130"/>
    <x v="3"/>
    <s v="2025-04"/>
    <x v="28"/>
    <s v="MARCUS VINICIUS "/>
    <x v="38"/>
    <n v="0"/>
    <n v="1"/>
  </r>
  <r>
    <s v="046.140.062/0001-08"/>
    <x v="68"/>
    <s v="EXCLUSAO  ANOT.INADIMPLENCIA"/>
    <x v="130"/>
    <x v="4"/>
    <s v="2025-04"/>
    <x v="28"/>
    <s v="NOELI SALETE"/>
    <x v="68"/>
    <n v="1"/>
    <n v="0"/>
  </r>
  <r>
    <s v="088.978.606/0001-47"/>
    <x v="114"/>
    <s v="EXCLUSAO  ANOT.INADIMPLENCIA"/>
    <x v="130"/>
    <x v="4"/>
    <s v="2025-04"/>
    <x v="28"/>
    <s v="NOELI SALETE"/>
    <x v="114"/>
    <n v="1"/>
    <n v="0"/>
  </r>
  <r>
    <s v="006.236.494/0001-94"/>
    <x v="61"/>
    <s v="EXCLUSAO  ANOT.INADIMPLENCIA"/>
    <x v="130"/>
    <x v="5"/>
    <s v="2025-04"/>
    <x v="28"/>
    <s v="POENATELA"/>
    <x v="61"/>
    <n v="1"/>
    <n v="0"/>
  </r>
  <r>
    <s v="025.383.640/0001-59"/>
    <x v="158"/>
    <s v="EXCLUSAO  ANOT.INADIMPLENCIA"/>
    <x v="130"/>
    <x v="5"/>
    <s v="2025-04"/>
    <x v="28"/>
    <s v="POENATELA"/>
    <x v="158"/>
    <n v="1"/>
    <n v="0"/>
  </r>
  <r>
    <s v="028.477.685/0001-80"/>
    <x v="95"/>
    <s v="INCLUSAO  ANOT.INADIMPLENCIA"/>
    <x v="130"/>
    <x v="5"/>
    <s v="2025-04"/>
    <x v="28"/>
    <s v="POENATELA"/>
    <x v="95"/>
    <n v="0"/>
    <n v="1"/>
  </r>
  <r>
    <s v="005.997.418/0001-39"/>
    <x v="165"/>
    <s v="EXCLUSAO  ANOT.INADIMPLENCIA"/>
    <x v="130"/>
    <x v="6"/>
    <s v="2025-04"/>
    <x v="28"/>
    <s v="RAFAEL PARISE"/>
    <x v="165"/>
    <n v="1"/>
    <n v="0"/>
  </r>
  <r>
    <s v="011.122.552/0001-99"/>
    <x v="59"/>
    <s v="EXCLUSAO  ANOT.INADIMPLENCIA"/>
    <x v="130"/>
    <x v="6"/>
    <s v="2025-04"/>
    <x v="28"/>
    <s v="RAFAEL PARISE"/>
    <x v="59"/>
    <n v="1"/>
    <n v="0"/>
  </r>
  <r>
    <s v="028.650.970/0001-51"/>
    <x v="166"/>
    <s v="INCLUSAO  ANOT.INADIMPLENCIA"/>
    <x v="130"/>
    <x v="10"/>
    <s v="2025-04"/>
    <x v="28"/>
    <s v="ROGERIO "/>
    <x v="166"/>
    <n v="0"/>
    <n v="1"/>
  </r>
  <r>
    <s v="071.350.797/0001-03"/>
    <x v="48"/>
    <s v="INCLUSAO  ANOT.INADIMPLENCIA"/>
    <x v="130"/>
    <x v="10"/>
    <s v="2025-04"/>
    <x v="28"/>
    <s v="ROGERIO "/>
    <x v="48"/>
    <n v="0"/>
    <n v="1"/>
  </r>
  <r>
    <s v="020.024.081/0001-77"/>
    <x v="177"/>
    <s v="INCLUSAO  ANOT.INADIMPLENCIA"/>
    <x v="130"/>
    <x v="10"/>
    <s v="2025-04"/>
    <x v="28"/>
    <s v="ROGERIO "/>
    <x v="177"/>
    <n v="0"/>
    <n v="1"/>
  </r>
  <r>
    <s v="016.772.642/0001-49"/>
    <x v="69"/>
    <s v="INCLUSAO  ANOT.INADIMPLENCIA"/>
    <x v="131"/>
    <x v="0"/>
    <s v="2025-04"/>
    <x v="28"/>
    <s v="ADMINISTRAÇÃO"/>
    <x v="69"/>
    <n v="0"/>
    <n v="1"/>
  </r>
  <r>
    <s v="020.066.300/0001-80"/>
    <x v="2"/>
    <s v="EXCLUSAO  ANOT.INADIMPLENCIA"/>
    <x v="131"/>
    <x v="1"/>
    <s v="2025-04"/>
    <x v="28"/>
    <s v="CELIO PIMENTA"/>
    <x v="2"/>
    <n v="1"/>
    <n v="0"/>
  </r>
  <r>
    <s v="016.757.535/0001-41"/>
    <x v="29"/>
    <s v="EXCLUSAO  ANOT.INADIMPLENCIA"/>
    <x v="131"/>
    <x v="11"/>
    <s v="2025-04"/>
    <x v="28"/>
    <s v="DIOGO AZEVEDO"/>
    <x v="29"/>
    <n v="1"/>
    <n v="0"/>
  </r>
  <r>
    <s v="049.218.819/0001-19"/>
    <x v="150"/>
    <s v="INCLUSAO  ANOT.INADIMPLENCIA"/>
    <x v="131"/>
    <x v="11"/>
    <s v="2025-04"/>
    <x v="28"/>
    <s v="DIOGO AZEVEDO"/>
    <x v="150"/>
    <n v="0"/>
    <n v="1"/>
  </r>
  <r>
    <s v="001.181.263/0001-07"/>
    <x v="155"/>
    <s v="INCLUSAO  ANOT.INADIMPLENCIA"/>
    <x v="131"/>
    <x v="12"/>
    <s v="2025-04"/>
    <x v="28"/>
    <s v="PROSPECTAR"/>
    <x v="155"/>
    <n v="0"/>
    <n v="1"/>
  </r>
  <r>
    <s v="001.535.822/0001-30"/>
    <x v="170"/>
    <s v="EXCLUSAO  ANOT.INADIMPLENCIA"/>
    <x v="131"/>
    <x v="12"/>
    <s v="2025-04"/>
    <x v="28"/>
    <s v="PROSPECTAR"/>
    <x v="170"/>
    <n v="1"/>
    <n v="0"/>
  </r>
  <r>
    <s v="001.636.335/0001-63"/>
    <x v="77"/>
    <s v="EXCLUSAO  ANOT.INADIMPLENCIA"/>
    <x v="131"/>
    <x v="12"/>
    <s v="2025-04"/>
    <x v="28"/>
    <s v="PROSPECTAR"/>
    <x v="77"/>
    <n v="1"/>
    <n v="0"/>
  </r>
  <r>
    <s v="007.102.721/0001-51"/>
    <x v="44"/>
    <s v="EXCLUSAO  ANOT.INADIMPLENCIA"/>
    <x v="131"/>
    <x v="12"/>
    <s v="2025-04"/>
    <x v="28"/>
    <s v="PROSPECTAR"/>
    <x v="44"/>
    <n v="1"/>
    <n v="0"/>
  </r>
  <r>
    <s v="024.331.138/0001-31"/>
    <x v="87"/>
    <s v="INCLUSAO  ANOT.INADIMPLENCIA"/>
    <x v="131"/>
    <x v="12"/>
    <s v="2025-04"/>
    <x v="28"/>
    <s v="PROSPECTAR"/>
    <x v="87"/>
    <n v="0"/>
    <n v="1"/>
  </r>
  <r>
    <s v="028.393.466/0001-13"/>
    <x v="167"/>
    <s v="INCLUSAO  ANOT.INADIMPLENCIA"/>
    <x v="131"/>
    <x v="12"/>
    <s v="2025-04"/>
    <x v="28"/>
    <s v="PROSPECTAR"/>
    <x v="167"/>
    <n v="0"/>
    <n v="1"/>
  </r>
  <r>
    <s v="035.679.705/0001-61"/>
    <x v="171"/>
    <s v="INCLUSAO  ANOT.INADIMPLENCIA"/>
    <x v="131"/>
    <x v="4"/>
    <s v="2025-04"/>
    <x v="28"/>
    <s v="NOELI SALETE"/>
    <x v="171"/>
    <n v="0"/>
    <n v="1"/>
  </r>
  <r>
    <s v="045.452.509/0001-03"/>
    <x v="172"/>
    <s v="INCLUSAO  ANOT.INADIMPLENCIA"/>
    <x v="131"/>
    <x v="4"/>
    <s v="2025-04"/>
    <x v="28"/>
    <s v="NOELI SALETE"/>
    <x v="172"/>
    <n v="0"/>
    <n v="1"/>
  </r>
  <r>
    <s v="088.978.606/0001-47"/>
    <x v="114"/>
    <s v="INCLUSAO  ANOT.INADIMPLENCIA"/>
    <x v="131"/>
    <x v="4"/>
    <s v="2025-04"/>
    <x v="28"/>
    <s v="NOELI SALETE"/>
    <x v="114"/>
    <n v="0"/>
    <n v="1"/>
  </r>
  <r>
    <s v="028.477.685/0001-80"/>
    <x v="95"/>
    <s v="INCLUSAO  ANOT.INADIMPLENCIA"/>
    <x v="131"/>
    <x v="5"/>
    <s v="2025-04"/>
    <x v="28"/>
    <s v="POENATELA"/>
    <x v="95"/>
    <n v="0"/>
    <n v="1"/>
  </r>
  <r>
    <s v="037.828.375/0001-54"/>
    <x v="39"/>
    <s v="INCLUSAO  ANOT.INADIMPLENCIA"/>
    <x v="131"/>
    <x v="5"/>
    <s v="2025-04"/>
    <x v="28"/>
    <s v="POENATELA"/>
    <x v="39"/>
    <n v="0"/>
    <n v="1"/>
  </r>
  <r>
    <s v="071.350.797/0001-03"/>
    <x v="48"/>
    <s v="INCLUSAO  ANOT.INADIMPLENCIA"/>
    <x v="131"/>
    <x v="10"/>
    <s v="2025-04"/>
    <x v="28"/>
    <s v="ROGERIO "/>
    <x v="48"/>
    <n v="0"/>
    <n v="1"/>
  </r>
  <r>
    <s v="010.256.168/0001-16"/>
    <x v="185"/>
    <s v="INCLUSAO  ANOT.INADIMPLENCIA"/>
    <x v="131"/>
    <x v="18"/>
    <s v="2025-04"/>
    <x v="28"/>
    <s v="SEM GERENTE"/>
    <x v="185"/>
    <n v="0"/>
    <n v="1"/>
  </r>
  <r>
    <s v="020.024.081/0001-77"/>
    <x v="177"/>
    <s v="EXCLUSAO  ANOT.INADIMPLENCIA"/>
    <x v="131"/>
    <x v="10"/>
    <s v="2025-04"/>
    <x v="28"/>
    <s v="ROGERIO "/>
    <x v="177"/>
    <n v="1"/>
    <n v="0"/>
  </r>
  <r>
    <s v="043.515.558/0001-12"/>
    <x v="176"/>
    <s v="INCLUSAO  ANOT.INADIMPLENCIA"/>
    <x v="131"/>
    <x v="10"/>
    <s v="2025-04"/>
    <x v="28"/>
    <s v="ROGERIO "/>
    <x v="176"/>
    <n v="0"/>
    <n v="1"/>
  </r>
  <r>
    <s v="016.772.642/0001-49"/>
    <x v="69"/>
    <s v="INCL/EXCL ANOT.INADIMPLENCIA"/>
    <x v="132"/>
    <x v="0"/>
    <s v="2025-04"/>
    <x v="28"/>
    <s v="ADMINISTRAÇÃO"/>
    <x v="69"/>
    <n v="1"/>
    <n v="1"/>
  </r>
  <r>
    <s v="016.757.535/0001-41"/>
    <x v="29"/>
    <s v="INCLUSAO  ANOT.INADIMPLENCIA"/>
    <x v="132"/>
    <x v="11"/>
    <s v="2025-04"/>
    <x v="28"/>
    <s v="DIOGO AZEVEDO"/>
    <x v="29"/>
    <n v="0"/>
    <n v="1"/>
  </r>
  <r>
    <s v="049.218.819/0001-19"/>
    <x v="150"/>
    <s v="INCLUSAO  ANOT.INADIMPLENCIA"/>
    <x v="132"/>
    <x v="11"/>
    <s v="2025-04"/>
    <x v="28"/>
    <s v="DIOGO AZEVEDO"/>
    <x v="150"/>
    <n v="0"/>
    <n v="1"/>
  </r>
  <r>
    <s v="001.636.335/0001-63"/>
    <x v="77"/>
    <s v="INCLUSAO  ANOT.INADIMPLENCIA"/>
    <x v="132"/>
    <x v="12"/>
    <s v="2025-04"/>
    <x v="28"/>
    <s v="PROSPECTAR"/>
    <x v="77"/>
    <n v="0"/>
    <n v="1"/>
  </r>
  <r>
    <s v="021.420.856/0001-96"/>
    <x v="129"/>
    <s v="INCLUSAO  ANOT.INADIMPLENCIA"/>
    <x v="132"/>
    <x v="19"/>
    <s v="2025-04"/>
    <x v="28"/>
    <s v="JOSE ROBERTO"/>
    <x v="129"/>
    <n v="0"/>
    <n v="1"/>
  </r>
  <r>
    <s v="019.450.138/0001-10"/>
    <x v="70"/>
    <s v="INCLUSAO  ANOT.INADIMPLENCIA"/>
    <x v="132"/>
    <x v="17"/>
    <s v="2025-04"/>
    <x v="28"/>
    <s v="MARCIO LEONEL"/>
    <x v="70"/>
    <n v="0"/>
    <n v="1"/>
  </r>
  <r>
    <s v="035.165.246/0001-06"/>
    <x v="104"/>
    <s v="EXCLUSAO  ANOT.INADIMPLENCIA"/>
    <x v="132"/>
    <x v="3"/>
    <s v="2025-04"/>
    <x v="28"/>
    <s v="MARCUS VINICIUS "/>
    <x v="104"/>
    <n v="1"/>
    <n v="0"/>
  </r>
  <r>
    <s v="045.871.536/0001-10"/>
    <x v="71"/>
    <s v="ALTERACAO QUADRO SOCIAL"/>
    <x v="132"/>
    <x v="3"/>
    <s v="2025-04"/>
    <x v="28"/>
    <s v="MARCUS VINICIUS "/>
    <x v="71"/>
    <n v="0"/>
    <n v="0"/>
  </r>
  <r>
    <s v="000.803.044/0001-50"/>
    <x v="45"/>
    <s v="EXCLUSAO  ANOT.INADIMPLENCIA"/>
    <x v="132"/>
    <x v="0"/>
    <s v="2025-04"/>
    <x v="28"/>
    <s v="ADMINISTRAÇÃO"/>
    <x v="45"/>
    <n v="1"/>
    <n v="0"/>
  </r>
  <r>
    <s v="035.679.705/0001-61"/>
    <x v="171"/>
    <s v="INCLUSAO  ANOT.INADIMPLENCIA"/>
    <x v="132"/>
    <x v="4"/>
    <s v="2025-04"/>
    <x v="28"/>
    <s v="NOELI SALETE"/>
    <x v="171"/>
    <n v="0"/>
    <n v="1"/>
  </r>
  <r>
    <s v="045.452.509/0001-03"/>
    <x v="172"/>
    <s v="INCLUSAO  ANOT.INADIMPLENCIA"/>
    <x v="132"/>
    <x v="4"/>
    <s v="2025-04"/>
    <x v="28"/>
    <s v="NOELI SALETE"/>
    <x v="172"/>
    <n v="0"/>
    <n v="1"/>
  </r>
  <r>
    <s v="006.236.494/0001-94"/>
    <x v="61"/>
    <s v="EXCLUSAO  ANOT.INADIMPLENCIA"/>
    <x v="132"/>
    <x v="5"/>
    <s v="2025-04"/>
    <x v="28"/>
    <s v="POENATELA"/>
    <x v="61"/>
    <n v="1"/>
    <n v="0"/>
  </r>
  <r>
    <s v="011.091.574/0001-39"/>
    <x v="26"/>
    <s v="INCLUSAO  ANOT.INADIMPLENCIA"/>
    <x v="132"/>
    <x v="5"/>
    <s v="2025-04"/>
    <x v="28"/>
    <s v="POENATELA"/>
    <x v="26"/>
    <n v="0"/>
    <n v="1"/>
  </r>
  <r>
    <s v="008.250.872/0001-10"/>
    <x v="121"/>
    <s v="INCLUSAO  ANOT.INADIMPLENCIA"/>
    <x v="132"/>
    <x v="6"/>
    <s v="2025-04"/>
    <x v="28"/>
    <s v="RAFAEL PARISE"/>
    <x v="121"/>
    <n v="0"/>
    <n v="1"/>
  </r>
  <r>
    <s v="011.122.552/0001-99"/>
    <x v="59"/>
    <s v="INCL/EXCL ANOT.INADIMPLENCIA"/>
    <x v="132"/>
    <x v="6"/>
    <s v="2025-04"/>
    <x v="28"/>
    <s v="RAFAEL PARISE"/>
    <x v="59"/>
    <n v="1"/>
    <n v="1"/>
  </r>
  <r>
    <s v="041.421.379/0001-90"/>
    <x v="137"/>
    <s v="EXCLUSAO  ANOT.INADIMPLENCIA"/>
    <x v="132"/>
    <x v="6"/>
    <s v="2025-04"/>
    <x v="28"/>
    <s v="RAFAEL PARISE"/>
    <x v="137"/>
    <n v="1"/>
    <n v="0"/>
  </r>
  <r>
    <s v="071.350.797/0001-03"/>
    <x v="48"/>
    <s v="INCLUSAO  ANOT.INADIMPLENCIA"/>
    <x v="132"/>
    <x v="10"/>
    <s v="2025-04"/>
    <x v="28"/>
    <s v="ROGERIO "/>
    <x v="48"/>
    <n v="0"/>
    <n v="1"/>
  </r>
  <r>
    <s v="020.024.081/0001-77"/>
    <x v="177"/>
    <s v="INCLUSAO  ANOT.INADIMPLENCIA"/>
    <x v="132"/>
    <x v="10"/>
    <s v="2025-04"/>
    <x v="28"/>
    <s v="ROGERIO "/>
    <x v="177"/>
    <n v="0"/>
    <n v="1"/>
  </r>
  <r>
    <s v="004.126.524/0001-84"/>
    <x v="28"/>
    <s v="EXCLUSAO  ANOT.INADIMPLENCIA"/>
    <x v="133"/>
    <x v="0"/>
    <s v="2025-04"/>
    <x v="29"/>
    <s v="ADMINISTRAÇÃO"/>
    <x v="28"/>
    <n v="1"/>
    <n v="0"/>
  </r>
  <r>
    <s v="002.038.227/0001-51"/>
    <x v="55"/>
    <s v="INCLUSAO  ANOT.INADIMPLENCIA"/>
    <x v="133"/>
    <x v="1"/>
    <s v="2025-04"/>
    <x v="29"/>
    <s v="CELIO PIMENTA"/>
    <x v="55"/>
    <n v="0"/>
    <n v="1"/>
  </r>
  <r>
    <s v="003.590.360/0001-89"/>
    <x v="3"/>
    <s v="INCL/EXCL ANOT.INADIMPLENCIA"/>
    <x v="133"/>
    <x v="1"/>
    <s v="2025-04"/>
    <x v="29"/>
    <s v="CELIO PIMENTA"/>
    <x v="3"/>
    <n v="1"/>
    <n v="1"/>
  </r>
  <r>
    <s v="012.520.791/0001-60"/>
    <x v="4"/>
    <s v="EXCLUSAO  ANOT.INADIMPLENCIA"/>
    <x v="133"/>
    <x v="1"/>
    <s v="2025-04"/>
    <x v="29"/>
    <s v="CELIO PIMENTA"/>
    <x v="4"/>
    <n v="1"/>
    <n v="0"/>
  </r>
  <r>
    <s v="036.726.274/0001-00"/>
    <x v="133"/>
    <s v="EXCLUSAO  ANOT.INADIMPLENCIA"/>
    <x v="133"/>
    <x v="1"/>
    <s v="2025-04"/>
    <x v="29"/>
    <s v="CELIO PIMENTA"/>
    <x v="133"/>
    <n v="1"/>
    <n v="0"/>
  </r>
  <r>
    <s v="016.757.535/0001-41"/>
    <x v="29"/>
    <s v="INCLUSAO  ANOT.INADIMPLENCIA"/>
    <x v="133"/>
    <x v="11"/>
    <s v="2025-04"/>
    <x v="29"/>
    <s v="DIOGO AZEVEDO"/>
    <x v="29"/>
    <n v="0"/>
    <n v="1"/>
  </r>
  <r>
    <s v="001.636.335/0001-63"/>
    <x v="77"/>
    <s v="INCLUSAO  ANOT.INADIMPLENCIA"/>
    <x v="133"/>
    <x v="12"/>
    <s v="2025-04"/>
    <x v="29"/>
    <s v="PROSPECTAR"/>
    <x v="77"/>
    <n v="0"/>
    <n v="1"/>
  </r>
  <r>
    <s v="007.102.721/0001-51"/>
    <x v="44"/>
    <s v="INCLUSAO  ANOT.INADIMPLENCIA"/>
    <x v="133"/>
    <x v="12"/>
    <s v="2025-04"/>
    <x v="29"/>
    <s v="PROSPECTAR"/>
    <x v="44"/>
    <n v="0"/>
    <n v="1"/>
  </r>
  <r>
    <s v="024.331.138/0001-31"/>
    <x v="87"/>
    <s v="INCLUSAO  ANOT.INADIMPLENCIA"/>
    <x v="133"/>
    <x v="12"/>
    <s v="2025-04"/>
    <x v="29"/>
    <s v="PROSPECTAR"/>
    <x v="87"/>
    <n v="0"/>
    <n v="1"/>
  </r>
  <r>
    <s v="028.393.466/0001-13"/>
    <x v="167"/>
    <s v="INCLUSAO  ANOT.INADIMPLENCIA"/>
    <x v="133"/>
    <x v="12"/>
    <s v="2025-04"/>
    <x v="29"/>
    <s v="PROSPECTAR"/>
    <x v="167"/>
    <n v="0"/>
    <n v="1"/>
  </r>
  <r>
    <s v="021.420.856/0001-96"/>
    <x v="129"/>
    <s v="INCLUSAO  ANOT.INADIMPLENCIA"/>
    <x v="133"/>
    <x v="19"/>
    <s v="2025-04"/>
    <x v="29"/>
    <s v="JOSE ROBERTO"/>
    <x v="129"/>
    <n v="0"/>
    <n v="1"/>
  </r>
  <r>
    <s v="019.450.138/0001-10"/>
    <x v="70"/>
    <s v="INCLUSAO  ANOT.INADIMPLENCIA"/>
    <x v="133"/>
    <x v="17"/>
    <s v="2025-04"/>
    <x v="29"/>
    <s v="MARCIO LEONEL"/>
    <x v="70"/>
    <n v="0"/>
    <n v="1"/>
  </r>
  <r>
    <s v="025.825.654/0001-85"/>
    <x v="7"/>
    <s v="INCLUSAO  ANOT.INADIMPLENCIA"/>
    <x v="133"/>
    <x v="3"/>
    <s v="2025-04"/>
    <x v="29"/>
    <s v="MARCUS VINICIUS "/>
    <x v="7"/>
    <n v="0"/>
    <n v="1"/>
  </r>
  <r>
    <s v="026.416.177/0001-67"/>
    <x v="130"/>
    <s v="INCLUSAO  ANOT.INADIMPLENCIA"/>
    <x v="133"/>
    <x v="3"/>
    <s v="2025-04"/>
    <x v="29"/>
    <s v="MARCUS VINICIUS "/>
    <x v="130"/>
    <n v="0"/>
    <n v="1"/>
  </r>
  <r>
    <s v="035.165.246/0001-06"/>
    <x v="104"/>
    <s v="INCLUSAO  ANOT.INADIMPLENCIA"/>
    <x v="133"/>
    <x v="3"/>
    <s v="2025-04"/>
    <x v="29"/>
    <s v="MARCUS VINICIUS "/>
    <x v="104"/>
    <n v="0"/>
    <n v="1"/>
  </r>
  <r>
    <s v="035.679.705/0001-61"/>
    <x v="171"/>
    <s v="INCLUSAO  ANOT.INADIMPLENCIA"/>
    <x v="133"/>
    <x v="4"/>
    <s v="2025-04"/>
    <x v="29"/>
    <s v="NOELI SALETE"/>
    <x v="171"/>
    <n v="0"/>
    <n v="1"/>
  </r>
  <r>
    <s v="036.906.058/0001-46"/>
    <x v="75"/>
    <s v="INCLUSAO  ANOT.INADIMPLENCIA"/>
    <x v="133"/>
    <x v="4"/>
    <s v="2025-04"/>
    <x v="29"/>
    <s v="NOELI SALETE"/>
    <x v="75"/>
    <n v="0"/>
    <n v="1"/>
  </r>
  <r>
    <s v="045.452.509/0001-03"/>
    <x v="172"/>
    <s v="INCLUSAO  ANOT.INADIMPLENCIA"/>
    <x v="133"/>
    <x v="4"/>
    <s v="2025-04"/>
    <x v="29"/>
    <s v="NOELI SALETE"/>
    <x v="172"/>
    <n v="0"/>
    <n v="1"/>
  </r>
  <r>
    <s v="046.140.062/0001-08"/>
    <x v="68"/>
    <s v="INCLUSAO  ANOT.INADIMPLENCIA"/>
    <x v="133"/>
    <x v="4"/>
    <s v="2025-04"/>
    <x v="29"/>
    <s v="NOELI SALETE"/>
    <x v="68"/>
    <n v="0"/>
    <n v="1"/>
  </r>
  <r>
    <s v="088.978.606/0001-47"/>
    <x v="114"/>
    <s v="INCLUSAO  ANOT.INADIMPLENCIA"/>
    <x v="133"/>
    <x v="4"/>
    <s v="2025-04"/>
    <x v="29"/>
    <s v="NOELI SALETE"/>
    <x v="114"/>
    <n v="0"/>
    <n v="1"/>
  </r>
  <r>
    <s v="006.236.494/0001-94"/>
    <x v="61"/>
    <s v="EXCLUSAO  ANOT.INADIMPLENCIA"/>
    <x v="133"/>
    <x v="5"/>
    <s v="2025-04"/>
    <x v="29"/>
    <s v="POENATELA"/>
    <x v="61"/>
    <n v="1"/>
    <n v="0"/>
  </r>
  <r>
    <s v="011.091.574/0001-39"/>
    <x v="26"/>
    <s v="INCLUSAO  ANOT.INADIMPLENCIA"/>
    <x v="133"/>
    <x v="5"/>
    <s v="2025-04"/>
    <x v="29"/>
    <s v="POENATELA"/>
    <x v="26"/>
    <n v="0"/>
    <n v="1"/>
  </r>
  <r>
    <s v="023.637.987/0001-55"/>
    <x v="20"/>
    <s v="INCLUSAO  ANOT.INADIMPLENCIA"/>
    <x v="133"/>
    <x v="5"/>
    <s v="2025-04"/>
    <x v="29"/>
    <s v="POENATELA"/>
    <x v="20"/>
    <n v="0"/>
    <n v="1"/>
  </r>
  <r>
    <s v="037.828.375/0001-54"/>
    <x v="39"/>
    <s v="INCLUSAO  ANOT.INADIMPLENCIA"/>
    <x v="133"/>
    <x v="5"/>
    <s v="2025-04"/>
    <x v="29"/>
    <s v="POENATELA"/>
    <x v="39"/>
    <n v="0"/>
    <n v="1"/>
  </r>
  <r>
    <s v="008.250.872/0001-10"/>
    <x v="121"/>
    <s v="INCLUSAO  ANOT.INADIMPLENCIA"/>
    <x v="133"/>
    <x v="6"/>
    <s v="2025-04"/>
    <x v="29"/>
    <s v="RAFAEL PARISE"/>
    <x v="121"/>
    <n v="0"/>
    <n v="1"/>
  </r>
  <r>
    <s v="041.421.379/0001-90"/>
    <x v="137"/>
    <s v="EXCLUSAO  ANOT.INADIMPLENCIA"/>
    <x v="133"/>
    <x v="6"/>
    <s v="2025-04"/>
    <x v="29"/>
    <s v="RAFAEL PARISE"/>
    <x v="137"/>
    <n v="1"/>
    <n v="0"/>
  </r>
  <r>
    <s v="028.650.970/0001-51"/>
    <x v="166"/>
    <s v="INCLUSAO  ANOT.INADIMPLENCIA"/>
    <x v="133"/>
    <x v="10"/>
    <s v="2025-04"/>
    <x v="29"/>
    <s v="ROGERIO "/>
    <x v="166"/>
    <n v="0"/>
    <n v="1"/>
  </r>
  <r>
    <s v="004.962.112/0001-84"/>
    <x v="174"/>
    <s v="INCLUSAO  ANOT.INADIMPLENCIA"/>
    <x v="133"/>
    <x v="0"/>
    <s v="2025-04"/>
    <x v="29"/>
    <s v="ADMINISTRAÇÃO"/>
    <x v="174"/>
    <n v="0"/>
    <n v="1"/>
  </r>
  <r>
    <s v="010.256.168/0001-16"/>
    <x v="185"/>
    <s v="EXCLUSAO  ANOT.INADIMPLENCIA"/>
    <x v="133"/>
    <x v="18"/>
    <s v="2025-04"/>
    <x v="29"/>
    <s v="SEM GERENTE"/>
    <x v="185"/>
    <n v="1"/>
    <n v="0"/>
  </r>
  <r>
    <s v="020.024.081/0001-77"/>
    <x v="177"/>
    <s v="INCLUSAO  ANOT.INADIMPLENCIA"/>
    <x v="133"/>
    <x v="10"/>
    <s v="2025-04"/>
    <x v="29"/>
    <s v="ROGERIO "/>
    <x v="177"/>
    <n v="0"/>
    <n v="1"/>
  </r>
  <r>
    <s v="040.828.273/0001-43"/>
    <x v="186"/>
    <s v="INCLUSAO  ANOT.INADIMPLENCIA"/>
    <x v="133"/>
    <x v="18"/>
    <s v="2025-04"/>
    <x v="29"/>
    <s v="SEM GERENTE"/>
    <x v="186"/>
    <n v="0"/>
    <n v="1"/>
  </r>
  <r>
    <s v="044.126.379/0001-56"/>
    <x v="187"/>
    <s v="INCLUSAO  ANOT.INADIMPLENCIA"/>
    <x v="133"/>
    <x v="1"/>
    <s v="2025-04"/>
    <x v="29"/>
    <s v="CELIO PIMENTA"/>
    <x v="187"/>
    <n v="0"/>
    <n v="1"/>
  </r>
  <r>
    <s v="022.998.836/0001-60"/>
    <x v="24"/>
    <s v="INCLUSAO  ANOT.INADIMPLENCIA"/>
    <x v="134"/>
    <x v="0"/>
    <s v="2025-04"/>
    <x v="29"/>
    <s v="ADMINISTRAÇÃO"/>
    <x v="24"/>
    <n v="0"/>
    <n v="1"/>
  </r>
  <r>
    <s v="024.271.279/0001-06"/>
    <x v="142"/>
    <s v="INCLUSAO  ANOT.INADIMPLENCIA"/>
    <x v="134"/>
    <x v="0"/>
    <s v="2025-04"/>
    <x v="29"/>
    <s v="ADMINISTRAÇÃO"/>
    <x v="142"/>
    <n v="0"/>
    <n v="1"/>
  </r>
  <r>
    <s v="001.831.532/0001-33"/>
    <x v="132"/>
    <s v="EXCLUSAO  ANOT.INADIMPLENCIA"/>
    <x v="134"/>
    <x v="0"/>
    <s v="2025-04"/>
    <x v="29"/>
    <s v="ADMINISTRAÇÃO"/>
    <x v="132"/>
    <n v="1"/>
    <n v="0"/>
  </r>
  <r>
    <s v="012.520.791/0001-60"/>
    <x v="4"/>
    <s v="INCLUSAO  ANOT.INADIMPLENCIA"/>
    <x v="134"/>
    <x v="1"/>
    <s v="2025-04"/>
    <x v="29"/>
    <s v="CELIO PIMENTA"/>
    <x v="4"/>
    <n v="0"/>
    <n v="1"/>
  </r>
  <r>
    <s v="047.635.671/0001-92"/>
    <x v="143"/>
    <s v="INCLUSAO  ANOT.INADIMPLENCIA"/>
    <x v="134"/>
    <x v="1"/>
    <s v="2025-04"/>
    <x v="29"/>
    <s v="CELIO PIMENTA"/>
    <x v="143"/>
    <n v="0"/>
    <n v="1"/>
  </r>
  <r>
    <s v="001.636.335/0001-63"/>
    <x v="77"/>
    <s v="INCLUSAO  ANOT.INADIMPLENCIA"/>
    <x v="134"/>
    <x v="12"/>
    <s v="2025-04"/>
    <x v="29"/>
    <s v="PROSPECTAR"/>
    <x v="77"/>
    <n v="0"/>
    <n v="1"/>
  </r>
  <r>
    <s v="007.102.721/0001-51"/>
    <x v="44"/>
    <s v="INCLUSAO  ANOT.INADIMPLENCIA"/>
    <x v="134"/>
    <x v="12"/>
    <s v="2025-04"/>
    <x v="29"/>
    <s v="PROSPECTAR"/>
    <x v="44"/>
    <n v="0"/>
    <n v="1"/>
  </r>
  <r>
    <s v="028.393.466/0001-13"/>
    <x v="167"/>
    <s v="INCLUSAO  ANOT.INADIMPLENCIA"/>
    <x v="134"/>
    <x v="12"/>
    <s v="2025-04"/>
    <x v="29"/>
    <s v="PROSPECTAR"/>
    <x v="167"/>
    <n v="0"/>
    <n v="1"/>
  </r>
  <r>
    <s v="021.420.856/0001-96"/>
    <x v="129"/>
    <s v="INCLUSAO  ANOT.INADIMPLENCIA"/>
    <x v="134"/>
    <x v="19"/>
    <s v="2025-04"/>
    <x v="29"/>
    <s v="JOSE ROBERTO"/>
    <x v="129"/>
    <n v="0"/>
    <n v="1"/>
  </r>
  <r>
    <s v="026.416.177/0001-67"/>
    <x v="130"/>
    <s v="INCLUSAO  ANOT.INADIMPLENCIA"/>
    <x v="134"/>
    <x v="3"/>
    <s v="2025-04"/>
    <x v="29"/>
    <s v="MARCUS VINICIUS "/>
    <x v="130"/>
    <n v="0"/>
    <n v="1"/>
  </r>
  <r>
    <s v="034.821.586/0001-77"/>
    <x v="38"/>
    <s v="INCLUSAO  ANOT.INADIMPLENCIA"/>
    <x v="134"/>
    <x v="3"/>
    <s v="2025-04"/>
    <x v="29"/>
    <s v="MARCUS VINICIUS "/>
    <x v="38"/>
    <n v="0"/>
    <n v="1"/>
  </r>
  <r>
    <s v="004.622.554/0001-81"/>
    <x v="66"/>
    <s v="EXCLUSAO  ANOT.INADIMPLENCIA"/>
    <x v="134"/>
    <x v="4"/>
    <s v="2025-04"/>
    <x v="29"/>
    <s v="NOELI SALETE"/>
    <x v="66"/>
    <n v="1"/>
    <n v="0"/>
  </r>
  <r>
    <s v="035.679.705/0001-61"/>
    <x v="171"/>
    <s v="INCLUSAO  ANOT.INADIMPLENCIA"/>
    <x v="134"/>
    <x v="4"/>
    <s v="2025-04"/>
    <x v="29"/>
    <s v="NOELI SALETE"/>
    <x v="171"/>
    <n v="0"/>
    <n v="1"/>
  </r>
  <r>
    <s v="036.906.058/0001-46"/>
    <x v="75"/>
    <s v="INCLUSAO  ANOT.INADIMPLENCIA"/>
    <x v="134"/>
    <x v="4"/>
    <s v="2025-04"/>
    <x v="29"/>
    <s v="NOELI SALETE"/>
    <x v="75"/>
    <n v="0"/>
    <n v="1"/>
  </r>
  <r>
    <s v="046.140.062/0001-08"/>
    <x v="68"/>
    <s v="INCLUSAO  ANOT.INADIMPLENCIA"/>
    <x v="134"/>
    <x v="4"/>
    <s v="2025-04"/>
    <x v="29"/>
    <s v="NOELI SALETE"/>
    <x v="68"/>
    <n v="0"/>
    <n v="1"/>
  </r>
  <r>
    <s v="025.383.640/0001-59"/>
    <x v="158"/>
    <s v="EXCLUSAO  ANOT.INADIMPLENCIA"/>
    <x v="134"/>
    <x v="5"/>
    <s v="2025-04"/>
    <x v="29"/>
    <s v="POENATELA"/>
    <x v="158"/>
    <n v="1"/>
    <n v="0"/>
  </r>
  <r>
    <s v="005.997.418/0001-39"/>
    <x v="165"/>
    <s v="INCLUSAO  ANOT.INADIMPLENCIA"/>
    <x v="134"/>
    <x v="6"/>
    <s v="2025-04"/>
    <x v="29"/>
    <s v="RAFAEL PARISE"/>
    <x v="165"/>
    <n v="0"/>
    <n v="1"/>
  </r>
  <r>
    <s v="011.122.552/0001-99"/>
    <x v="59"/>
    <s v="EXCLUSAO  ANOT.INADIMPLENCIA"/>
    <x v="134"/>
    <x v="6"/>
    <s v="2025-04"/>
    <x v="29"/>
    <s v="RAFAEL PARISE"/>
    <x v="59"/>
    <n v="1"/>
    <n v="0"/>
  </r>
  <r>
    <s v="039.535.425/0001-30"/>
    <x v="120"/>
    <s v="INCLUSAO  ANOT.INADIMPLENCIA"/>
    <x v="134"/>
    <x v="6"/>
    <s v="2025-04"/>
    <x v="29"/>
    <s v="RAFAEL PARISE"/>
    <x v="120"/>
    <n v="0"/>
    <n v="1"/>
  </r>
  <r>
    <s v="041.421.379/0001-90"/>
    <x v="137"/>
    <s v="INCLUSAO  ANOT.INADIMPLENCIA"/>
    <x v="134"/>
    <x v="6"/>
    <s v="2025-04"/>
    <x v="29"/>
    <s v="RAFAEL PARISE"/>
    <x v="137"/>
    <n v="0"/>
    <n v="1"/>
  </r>
  <r>
    <s v="004.962.112/0001-84"/>
    <x v="174"/>
    <s v="EXCLUSAO  ANOT.INADIMPLENCIA"/>
    <x v="134"/>
    <x v="0"/>
    <s v="2025-04"/>
    <x v="29"/>
    <s v="ADMINISTRAÇÃO"/>
    <x v="174"/>
    <n v="1"/>
    <n v="0"/>
  </r>
  <r>
    <s v="020.024.081/0001-77"/>
    <x v="177"/>
    <s v="INCL/EXCL ANOT.INADIMPLENCIA"/>
    <x v="134"/>
    <x v="10"/>
    <s v="2025-04"/>
    <x v="29"/>
    <s v="ROGERIO "/>
    <x v="177"/>
    <n v="1"/>
    <n v="1"/>
  </r>
  <r>
    <s v="027.180.131/0001-54"/>
    <x v="188"/>
    <s v="EXCLUSAO  ANOT.INADIMPLENCIA"/>
    <x v="134"/>
    <x v="9"/>
    <s v="2025-04"/>
    <x v="29"/>
    <s v="PRISCILA METZ"/>
    <x v="188"/>
    <n v="1"/>
    <n v="0"/>
  </r>
  <r>
    <s v="028.511.223/0001-32"/>
    <x v="189"/>
    <s v="INCLUSAO  ANOT.INADIMPLENCIA"/>
    <x v="134"/>
    <x v="0"/>
    <s v="2025-04"/>
    <x v="29"/>
    <s v="ADMINISTRAÇÃO"/>
    <x v="189"/>
    <n v="0"/>
    <n v="1"/>
  </r>
  <r>
    <s v="043.515.558/0001-12"/>
    <x v="176"/>
    <s v="INCL/EXCL ANOT.INADIMPLENCIA"/>
    <x v="134"/>
    <x v="10"/>
    <s v="2025-04"/>
    <x v="29"/>
    <s v="ROGERIO "/>
    <x v="176"/>
    <n v="1"/>
    <n v="1"/>
  </r>
  <r>
    <s v="004.126.524/0001-84"/>
    <x v="28"/>
    <s v="EXCLUSAO  ANOT.INADIMPLENCIA"/>
    <x v="135"/>
    <x v="0"/>
    <s v="2025-04"/>
    <x v="29"/>
    <s v="ADMINISTRAÇÃO"/>
    <x v="28"/>
    <n v="1"/>
    <n v="0"/>
  </r>
  <r>
    <s v="000.688.793/0001-83"/>
    <x v="149"/>
    <s v="EXCLUSAO  ANOT.INADIMPLENCIA"/>
    <x v="135"/>
    <x v="1"/>
    <s v="2025-04"/>
    <x v="29"/>
    <s v="CELIO PIMENTA"/>
    <x v="149"/>
    <n v="1"/>
    <n v="0"/>
  </r>
  <r>
    <s v="002.038.227/0001-51"/>
    <x v="55"/>
    <s v="INCL/EXCL ANOT.INADIMPLENCIA"/>
    <x v="135"/>
    <x v="1"/>
    <s v="2025-04"/>
    <x v="29"/>
    <s v="CELIO PIMENTA"/>
    <x v="55"/>
    <n v="1"/>
    <n v="1"/>
  </r>
  <r>
    <s v="036.726.274/0001-00"/>
    <x v="133"/>
    <s v="INCLUSAO  ANOT.INADIMPLENCIA"/>
    <x v="135"/>
    <x v="1"/>
    <s v="2025-04"/>
    <x v="29"/>
    <s v="CELIO PIMENTA"/>
    <x v="133"/>
    <n v="0"/>
    <n v="1"/>
  </r>
  <r>
    <s v="007.102.721/0001-51"/>
    <x v="44"/>
    <s v="EXCLUSAO  ANOT.INADIMPLENCIA"/>
    <x v="135"/>
    <x v="12"/>
    <s v="2025-04"/>
    <x v="29"/>
    <s v="PROSPECTAR"/>
    <x v="44"/>
    <n v="1"/>
    <n v="0"/>
  </r>
  <r>
    <s v="024.255.748/0001-01"/>
    <x v="30"/>
    <s v="EXCLUSAO  ANOT.INADIMPLENCIA"/>
    <x v="135"/>
    <x v="12"/>
    <s v="2025-04"/>
    <x v="29"/>
    <s v="PROSPECTAR"/>
    <x v="30"/>
    <n v="1"/>
    <n v="0"/>
  </r>
  <r>
    <s v="024.331.138/0001-31"/>
    <x v="87"/>
    <s v="INCLUSAO  ANOT.INADIMPLENCIA"/>
    <x v="135"/>
    <x v="12"/>
    <s v="2025-04"/>
    <x v="29"/>
    <s v="PROSPECTAR"/>
    <x v="87"/>
    <n v="0"/>
    <n v="1"/>
  </r>
  <r>
    <s v="028.393.466/0001-13"/>
    <x v="167"/>
    <s v="INCLUSAO  ANOT.INADIMPLENCIA"/>
    <x v="135"/>
    <x v="12"/>
    <s v="2025-04"/>
    <x v="29"/>
    <s v="PROSPECTAR"/>
    <x v="167"/>
    <n v="0"/>
    <n v="1"/>
  </r>
  <r>
    <s v="026.416.177/0001-67"/>
    <x v="130"/>
    <s v="INCLUSAO  ANOT.INADIMPLENCIA"/>
    <x v="135"/>
    <x v="3"/>
    <s v="2025-04"/>
    <x v="29"/>
    <s v="MARCUS VINICIUS "/>
    <x v="130"/>
    <n v="0"/>
    <n v="1"/>
  </r>
  <r>
    <s v="000.803.044/0001-50"/>
    <x v="45"/>
    <s v="EXCLUSAO  ANOT.INADIMPLENCIA"/>
    <x v="135"/>
    <x v="0"/>
    <s v="2025-04"/>
    <x v="29"/>
    <s v="ADMINISTRAÇÃO"/>
    <x v="45"/>
    <n v="1"/>
    <n v="0"/>
  </r>
  <r>
    <s v="088.978.606/0001-47"/>
    <x v="114"/>
    <s v="INCLUSAO  ANOT.INADIMPLENCIA"/>
    <x v="135"/>
    <x v="4"/>
    <s v="2025-04"/>
    <x v="29"/>
    <s v="NOELI SALETE"/>
    <x v="114"/>
    <n v="0"/>
    <n v="1"/>
  </r>
  <r>
    <s v="093.274.124/0001-46"/>
    <x v="82"/>
    <s v="INCLUSAO  ANOT.INADIMPLENCIA"/>
    <x v="135"/>
    <x v="4"/>
    <s v="2025-04"/>
    <x v="29"/>
    <s v="NOELI SALETE"/>
    <x v="82"/>
    <n v="0"/>
    <n v="1"/>
  </r>
  <r>
    <s v="006.236.494/0001-94"/>
    <x v="61"/>
    <s v="EXCLUSAO  ANOT.INADIMPLENCIA"/>
    <x v="135"/>
    <x v="5"/>
    <s v="2025-04"/>
    <x v="29"/>
    <s v="POENATELA"/>
    <x v="61"/>
    <n v="1"/>
    <n v="0"/>
  </r>
  <r>
    <s v="011.091.574/0001-39"/>
    <x v="26"/>
    <s v="EXCLUSAO  ANOT.INADIMPLENCIA"/>
    <x v="135"/>
    <x v="5"/>
    <s v="2025-04"/>
    <x v="29"/>
    <s v="POENATELA"/>
    <x v="26"/>
    <n v="1"/>
    <n v="0"/>
  </r>
  <r>
    <s v="023.637.987/0001-55"/>
    <x v="20"/>
    <s v="EXCLUSAO  ANOT.INADIMPLENCIA"/>
    <x v="135"/>
    <x v="5"/>
    <s v="2025-04"/>
    <x v="29"/>
    <s v="POENATELA"/>
    <x v="20"/>
    <n v="1"/>
    <n v="0"/>
  </r>
  <r>
    <s v="025.383.640/0001-59"/>
    <x v="158"/>
    <s v="EXCLUSAO  ANOT.INADIMPLENCIA"/>
    <x v="135"/>
    <x v="5"/>
    <s v="2025-04"/>
    <x v="29"/>
    <s v="POENATELA"/>
    <x v="158"/>
    <n v="1"/>
    <n v="0"/>
  </r>
  <r>
    <s v="038.110.780/0001-03"/>
    <x v="47"/>
    <s v="INCLUSAO  ANOT.INADIMPLENCIA"/>
    <x v="135"/>
    <x v="6"/>
    <s v="2025-04"/>
    <x v="29"/>
    <s v="RAFAEL PARISE"/>
    <x v="47"/>
    <n v="0"/>
    <n v="1"/>
  </r>
  <r>
    <s v="046.674.060/0001-90"/>
    <x v="140"/>
    <s v="INCLUSAO  ANOT.INADIMPLENCIA"/>
    <x v="135"/>
    <x v="10"/>
    <s v="2025-04"/>
    <x v="29"/>
    <s v="ROGERIO "/>
    <x v="140"/>
    <n v="0"/>
    <n v="1"/>
  </r>
  <r>
    <s v="071.350.797/0001-03"/>
    <x v="48"/>
    <s v="EXCLUSAO  ANOT.INADIMPLENCIA"/>
    <x v="135"/>
    <x v="10"/>
    <s v="2025-04"/>
    <x v="29"/>
    <s v="ROGERIO "/>
    <x v="48"/>
    <n v="1"/>
    <n v="0"/>
  </r>
  <r>
    <s v="020.024.081/0001-77"/>
    <x v="177"/>
    <s v="EXCLUSAO  ANOT.INADIMPLENCIA"/>
    <x v="135"/>
    <x v="10"/>
    <s v="2025-04"/>
    <x v="29"/>
    <s v="ROGERIO "/>
    <x v="177"/>
    <n v="1"/>
    <n v="0"/>
  </r>
  <r>
    <s v="028.695.654/0001-04"/>
    <x v="190"/>
    <s v="EXCLUSAO  ANOT.INADIMPLENCIA"/>
    <x v="135"/>
    <x v="18"/>
    <s v="2025-04"/>
    <x v="29"/>
    <s v="SEM GERENTE"/>
    <x v="190"/>
    <n v="1"/>
    <n v="0"/>
  </r>
  <r>
    <s v="048.956.491/0001-75"/>
    <x v="179"/>
    <s v="INCLUSAO  ANOT.INADIMPLENCIA"/>
    <x v="135"/>
    <x v="12"/>
    <s v="2025-04"/>
    <x v="29"/>
    <s v="PROSPECTAR"/>
    <x v="179"/>
    <n v="0"/>
    <n v="1"/>
  </r>
  <r>
    <s v="016.772.642/0001-49"/>
    <x v="69"/>
    <s v="INCLUSAO  ANOT.INADIMPLENCIA"/>
    <x v="136"/>
    <x v="0"/>
    <s v="2025-04"/>
    <x v="29"/>
    <s v="ADMINISTRAÇÃO"/>
    <x v="69"/>
    <n v="0"/>
    <n v="1"/>
  </r>
  <r>
    <s v="024.271.279/0001-06"/>
    <x v="142"/>
    <s v="INCLUSAO  ANOT.INADIMPLENCIA"/>
    <x v="136"/>
    <x v="0"/>
    <s v="2025-04"/>
    <x v="29"/>
    <s v="ADMINISTRAÇÃO"/>
    <x v="142"/>
    <n v="0"/>
    <n v="1"/>
  </r>
  <r>
    <s v="002.038.227/0001-51"/>
    <x v="55"/>
    <s v="INCLUSAO  ANOT.INADIMPLENCIA"/>
    <x v="136"/>
    <x v="1"/>
    <s v="2025-04"/>
    <x v="29"/>
    <s v="CELIO PIMENTA"/>
    <x v="55"/>
    <n v="0"/>
    <n v="1"/>
  </r>
  <r>
    <s v="003.590.360/0001-89"/>
    <x v="3"/>
    <s v="EXCLUSAO  ANOT.INADIMPLENCIA"/>
    <x v="136"/>
    <x v="1"/>
    <s v="2025-04"/>
    <x v="29"/>
    <s v="CELIO PIMENTA"/>
    <x v="3"/>
    <n v="1"/>
    <n v="0"/>
  </r>
  <r>
    <s v="012.520.791/0001-60"/>
    <x v="4"/>
    <s v="INCLUSAO  ANOT.INADIMPLENCIA"/>
    <x v="136"/>
    <x v="1"/>
    <s v="2025-04"/>
    <x v="29"/>
    <s v="CELIO PIMENTA"/>
    <x v="4"/>
    <n v="0"/>
    <n v="1"/>
  </r>
  <r>
    <s v="029.030.307/0001-17"/>
    <x v="43"/>
    <s v="INCLUSAO  ANOT.INADIMPLENCIA"/>
    <x v="136"/>
    <x v="1"/>
    <s v="2025-04"/>
    <x v="29"/>
    <s v="CELIO PIMENTA"/>
    <x v="43"/>
    <n v="0"/>
    <n v="1"/>
  </r>
  <r>
    <s v="047.635.671/0001-92"/>
    <x v="143"/>
    <s v="EXCLUSAO  ANOT.INADIMPLENCIA"/>
    <x v="136"/>
    <x v="1"/>
    <s v="2025-04"/>
    <x v="29"/>
    <s v="CELIO PIMENTA"/>
    <x v="143"/>
    <n v="1"/>
    <n v="0"/>
  </r>
  <r>
    <s v="005.363.690/0001-67"/>
    <x v="90"/>
    <s v="INCLUSAO  ANOT.INADIMPLENCIA"/>
    <x v="136"/>
    <x v="12"/>
    <s v="2025-04"/>
    <x v="29"/>
    <s v="PROSPECTAR"/>
    <x v="90"/>
    <n v="0"/>
    <n v="1"/>
  </r>
  <r>
    <s v="028.393.466/0001-13"/>
    <x v="167"/>
    <s v="INCLUSAO  ANOT.INADIMPLENCIA"/>
    <x v="136"/>
    <x v="12"/>
    <s v="2025-04"/>
    <x v="29"/>
    <s v="PROSPECTAR"/>
    <x v="167"/>
    <n v="0"/>
    <n v="1"/>
  </r>
  <r>
    <s v="035.165.246/0001-06"/>
    <x v="104"/>
    <s v="INCLUSAO  ANOT.INADIMPLENCIA"/>
    <x v="136"/>
    <x v="3"/>
    <s v="2025-04"/>
    <x v="29"/>
    <s v="MARCUS VINICIUS "/>
    <x v="104"/>
    <n v="0"/>
    <n v="1"/>
  </r>
  <r>
    <s v="045.452.509/0001-03"/>
    <x v="172"/>
    <s v="INCLUSAO  ANOT.INADIMPLENCIA"/>
    <x v="136"/>
    <x v="4"/>
    <s v="2025-04"/>
    <x v="29"/>
    <s v="NOELI SALETE"/>
    <x v="172"/>
    <n v="0"/>
    <n v="1"/>
  </r>
  <r>
    <s v="088.978.606/0001-47"/>
    <x v="114"/>
    <s v="INCLUSAO  ANOT.INADIMPLENCIA"/>
    <x v="136"/>
    <x v="4"/>
    <s v="2025-04"/>
    <x v="29"/>
    <s v="NOELI SALETE"/>
    <x v="114"/>
    <n v="0"/>
    <n v="1"/>
  </r>
  <r>
    <s v="011.091.574/0001-39"/>
    <x v="26"/>
    <s v="EXCLUSAO  ANOT.INADIMPLENCIA"/>
    <x v="136"/>
    <x v="5"/>
    <s v="2025-04"/>
    <x v="29"/>
    <s v="POENATELA"/>
    <x v="26"/>
    <n v="1"/>
    <n v="0"/>
  </r>
  <r>
    <s v="028.477.685/0001-80"/>
    <x v="95"/>
    <s v="EXCLUSAO  ANOT.INADIMPLENCIA"/>
    <x v="136"/>
    <x v="5"/>
    <s v="2025-04"/>
    <x v="29"/>
    <s v="POENATELA"/>
    <x v="95"/>
    <n v="1"/>
    <n v="0"/>
  </r>
  <r>
    <s v="008.250.872/0001-10"/>
    <x v="121"/>
    <s v="INCLUSAO  ANOT.INADIMPLENCIA"/>
    <x v="136"/>
    <x v="6"/>
    <s v="2025-04"/>
    <x v="29"/>
    <s v="RAFAEL PARISE"/>
    <x v="121"/>
    <n v="0"/>
    <n v="1"/>
  </r>
  <r>
    <s v="039.822.835/0001-62"/>
    <x v="154"/>
    <s v="EXCLUSAO  ANOT.INADIMPLENCIA"/>
    <x v="136"/>
    <x v="6"/>
    <s v="2025-04"/>
    <x v="29"/>
    <s v="RAFAEL PARISE"/>
    <x v="154"/>
    <n v="1"/>
    <n v="0"/>
  </r>
  <r>
    <s v="012.804.762/0001-20"/>
    <x v="67"/>
    <s v="INCLUSAO  ANOT.INADIMPLENCIA"/>
    <x v="136"/>
    <x v="0"/>
    <s v="2025-04"/>
    <x v="29"/>
    <s v="ADMINISTRAÇÃO"/>
    <x v="67"/>
    <n v="0"/>
    <n v="1"/>
  </r>
  <r>
    <s v="018.709.981/0001-06"/>
    <x v="183"/>
    <s v="EXCLUSAO  ANOT.INADIMPLENCIA"/>
    <x v="136"/>
    <x v="6"/>
    <s v="2025-04"/>
    <x v="29"/>
    <s v="RAFAEL PARISE"/>
    <x v="183"/>
    <n v="1"/>
    <n v="0"/>
  </r>
  <r>
    <s v="020.309.962/0001-34"/>
    <x v="191"/>
    <s v="EXCLUSAO  ANOT.INADIMPLENCIA"/>
    <x v="136"/>
    <x v="12"/>
    <s v="2025-04"/>
    <x v="29"/>
    <s v="PROSPECTAR"/>
    <x v="191"/>
    <n v="1"/>
    <n v="0"/>
  </r>
  <r>
    <s v="028.511.223/0001-32"/>
    <x v="189"/>
    <s v="INCLUSAO  ANOT.INADIMPLENCIA"/>
    <x v="136"/>
    <x v="0"/>
    <s v="2025-04"/>
    <x v="29"/>
    <s v="ADMINISTRAÇÃO"/>
    <x v="189"/>
    <n v="0"/>
    <n v="1"/>
  </r>
  <r>
    <s v="016.772.642/0001-49"/>
    <x v="69"/>
    <s v="INCLUSAO  ANOT.INADIMPLENCIA"/>
    <x v="137"/>
    <x v="0"/>
    <s v="2025-04"/>
    <x v="30"/>
    <s v="ADMINISTRAÇÃO"/>
    <x v="69"/>
    <n v="0"/>
    <n v="1"/>
  </r>
  <r>
    <s v="021.734.108/0001-88"/>
    <x v="41"/>
    <s v="INCLUSAO  ANOT.INADIMPLENCIA"/>
    <x v="137"/>
    <x v="0"/>
    <s v="2025-04"/>
    <x v="30"/>
    <s v="ADMINISTRAÇÃO"/>
    <x v="41"/>
    <n v="0"/>
    <n v="1"/>
  </r>
  <r>
    <s v="003.590.360/0001-89"/>
    <x v="3"/>
    <s v="EXCLUSAO  ANOT.INADIMPLENCIA"/>
    <x v="137"/>
    <x v="1"/>
    <s v="2025-04"/>
    <x v="30"/>
    <s v="CELIO PIMENTA"/>
    <x v="3"/>
    <n v="1"/>
    <n v="0"/>
  </r>
  <r>
    <s v="001.636.335/0001-63"/>
    <x v="77"/>
    <s v="INCLUSAO  ANOT.INADIMPLENCIA"/>
    <x v="137"/>
    <x v="12"/>
    <s v="2025-04"/>
    <x v="30"/>
    <s v="PROSPECTAR"/>
    <x v="77"/>
    <n v="0"/>
    <n v="1"/>
  </r>
  <r>
    <s v="005.363.690/0001-67"/>
    <x v="90"/>
    <s v="INCLUSAO  ANOT.INADIMPLENCIA"/>
    <x v="137"/>
    <x v="12"/>
    <s v="2025-04"/>
    <x v="30"/>
    <s v="PROSPECTAR"/>
    <x v="90"/>
    <n v="0"/>
    <n v="1"/>
  </r>
  <r>
    <s v="007.102.721/0001-51"/>
    <x v="44"/>
    <s v="INCLUSAO  ANOT.INADIMPLENCIA"/>
    <x v="137"/>
    <x v="12"/>
    <s v="2025-04"/>
    <x v="30"/>
    <s v="PROSPECTAR"/>
    <x v="44"/>
    <n v="0"/>
    <n v="1"/>
  </r>
  <r>
    <s v="024.331.138/0001-31"/>
    <x v="87"/>
    <s v="INCLUSAO  ANOT.INADIMPLENCIA"/>
    <x v="137"/>
    <x v="12"/>
    <s v="2025-04"/>
    <x v="30"/>
    <s v="PROSPECTAR"/>
    <x v="87"/>
    <n v="0"/>
    <n v="1"/>
  </r>
  <r>
    <s v="028.393.466/0001-13"/>
    <x v="167"/>
    <s v="INCLUSAO  ANOT.INADIMPLENCIA"/>
    <x v="137"/>
    <x v="12"/>
    <s v="2025-04"/>
    <x v="30"/>
    <s v="PROSPECTAR"/>
    <x v="167"/>
    <n v="0"/>
    <n v="1"/>
  </r>
  <r>
    <s v="035.649.603/0001-01"/>
    <x v="119"/>
    <s v="INCLUSAO  ANOT.INADIMPLENCIA"/>
    <x v="137"/>
    <x v="12"/>
    <s v="2025-04"/>
    <x v="30"/>
    <s v="PROSPECTAR"/>
    <x v="119"/>
    <n v="0"/>
    <n v="1"/>
  </r>
  <r>
    <s v="019.450.138/0001-10"/>
    <x v="70"/>
    <s v="INCLUSAO  ANOT.INADIMPLENCIA"/>
    <x v="137"/>
    <x v="17"/>
    <s v="2025-04"/>
    <x v="30"/>
    <s v="MARCIO LEONEL"/>
    <x v="70"/>
    <n v="0"/>
    <n v="1"/>
  </r>
  <r>
    <s v="005.350.235/0001-27"/>
    <x v="72"/>
    <s v="EXCLUSAO  ANOT.INADIMPLENCIA"/>
    <x v="137"/>
    <x v="3"/>
    <s v="2025-04"/>
    <x v="30"/>
    <s v="MARCUS VINICIUS "/>
    <x v="72"/>
    <n v="1"/>
    <n v="0"/>
  </r>
  <r>
    <s v="008.991.603/0001-04"/>
    <x v="57"/>
    <s v="INCLUSAO  ANOT.INADIMPLENCIA"/>
    <x v="137"/>
    <x v="3"/>
    <s v="2025-04"/>
    <x v="30"/>
    <s v="MARCUS VINICIUS "/>
    <x v="57"/>
    <n v="0"/>
    <n v="1"/>
  </r>
  <r>
    <s v="000.803.044/0001-50"/>
    <x v="45"/>
    <s v="INCL/EXCL ANOT.INADIMPLENCIA"/>
    <x v="137"/>
    <x v="0"/>
    <s v="2025-04"/>
    <x v="30"/>
    <s v="ADMINISTRAÇÃO"/>
    <x v="45"/>
    <n v="1"/>
    <n v="1"/>
  </r>
  <r>
    <s v="007.906.793/0001-51"/>
    <x v="125"/>
    <s v="INCLUSAO  ANOT.INADIMPLENCIA"/>
    <x v="137"/>
    <x v="4"/>
    <s v="2025-04"/>
    <x v="30"/>
    <s v="NOELI SALETE"/>
    <x v="125"/>
    <n v="0"/>
    <n v="1"/>
  </r>
  <r>
    <s v="035.679.705/0001-61"/>
    <x v="171"/>
    <s v="INCLUSAO  ANOT.INADIMPLENCIA"/>
    <x v="137"/>
    <x v="4"/>
    <s v="2025-04"/>
    <x v="30"/>
    <s v="NOELI SALETE"/>
    <x v="171"/>
    <n v="0"/>
    <n v="1"/>
  </r>
  <r>
    <s v="036.906.058/0001-46"/>
    <x v="75"/>
    <s v="INCLUSAO  ANOT.INADIMPLENCIA"/>
    <x v="137"/>
    <x v="4"/>
    <s v="2025-04"/>
    <x v="30"/>
    <s v="NOELI SALETE"/>
    <x v="75"/>
    <n v="0"/>
    <n v="1"/>
  </r>
  <r>
    <s v="045.452.509/0001-03"/>
    <x v="172"/>
    <s v="INCLUSAO  ANOT.INADIMPLENCIA"/>
    <x v="137"/>
    <x v="4"/>
    <s v="2025-04"/>
    <x v="30"/>
    <s v="NOELI SALETE"/>
    <x v="172"/>
    <n v="0"/>
    <n v="1"/>
  </r>
  <r>
    <s v="025.383.640/0001-59"/>
    <x v="158"/>
    <s v="EXCLUSAO  ANOT.INADIMPLENCIA"/>
    <x v="137"/>
    <x v="5"/>
    <s v="2025-04"/>
    <x v="30"/>
    <s v="POENATELA"/>
    <x v="158"/>
    <n v="1"/>
    <n v="0"/>
  </r>
  <r>
    <s v="028.477.685/0001-80"/>
    <x v="95"/>
    <s v="INCLUSAO  ANOT.INADIMPLENCIA"/>
    <x v="137"/>
    <x v="5"/>
    <s v="2025-04"/>
    <x v="30"/>
    <s v="POENATELA"/>
    <x v="95"/>
    <n v="0"/>
    <n v="1"/>
  </r>
  <r>
    <s v="037.828.375/0001-54"/>
    <x v="39"/>
    <s v="EXCLUSAO  ANOT.INADIMPLENCIA"/>
    <x v="137"/>
    <x v="5"/>
    <s v="2025-04"/>
    <x v="30"/>
    <s v="POENATELA"/>
    <x v="39"/>
    <n v="1"/>
    <n v="0"/>
  </r>
  <r>
    <s v="023.605.544/0001-82"/>
    <x v="21"/>
    <s v="INCLUSAO  ANOT.INADIMPLENCIA"/>
    <x v="137"/>
    <x v="9"/>
    <s v="2025-04"/>
    <x v="30"/>
    <s v="PRISCILA METZ"/>
    <x v="21"/>
    <n v="0"/>
    <n v="1"/>
  </r>
  <r>
    <s v="008.250.872/0001-10"/>
    <x v="121"/>
    <s v="INCLUSAO  ANOT.INADIMPLENCIA"/>
    <x v="137"/>
    <x v="6"/>
    <s v="2025-04"/>
    <x v="30"/>
    <s v="RAFAEL PARISE"/>
    <x v="121"/>
    <n v="0"/>
    <n v="1"/>
  </r>
  <r>
    <s v="028.650.970/0001-51"/>
    <x v="166"/>
    <s v="INCLUSAO  ANOT.INADIMPLENCIA"/>
    <x v="137"/>
    <x v="10"/>
    <s v="2025-04"/>
    <x v="30"/>
    <s v="ROGERIO "/>
    <x v="166"/>
    <n v="0"/>
    <n v="1"/>
  </r>
  <r>
    <s v="042.276.517/0001-58"/>
    <x v="122"/>
    <s v="INCLUSAO  ANOT.INADIMPLENCIA"/>
    <x v="137"/>
    <x v="10"/>
    <s v="2025-04"/>
    <x v="30"/>
    <s v="ROGERIO "/>
    <x v="122"/>
    <n v="0"/>
    <n v="1"/>
  </r>
  <r>
    <s v="001.376.967/0001-35"/>
    <x v="192"/>
    <s v="INCLUSAO  ANOT.INADIMPLENCIA"/>
    <x v="137"/>
    <x v="26"/>
    <s v="2025-04"/>
    <x v="30"/>
    <s v="ANTECIPA"/>
    <x v="192"/>
    <n v="0"/>
    <n v="1"/>
  </r>
  <r>
    <s v="004.962.112/0001-84"/>
    <x v="174"/>
    <s v="INCLUSAO  ANOT.INADIMPLENCIA"/>
    <x v="137"/>
    <x v="0"/>
    <s v="2025-04"/>
    <x v="30"/>
    <s v="ADMINISTRAÇÃO"/>
    <x v="174"/>
    <n v="0"/>
    <n v="1"/>
  </r>
  <r>
    <s v="020.024.081/0001-77"/>
    <x v="177"/>
    <s v="INCLUSAO  ANOT.INADIMPLENCIA"/>
    <x v="137"/>
    <x v="10"/>
    <s v="2025-04"/>
    <x v="30"/>
    <s v="ROGERIO "/>
    <x v="177"/>
    <n v="0"/>
    <n v="1"/>
  </r>
  <r>
    <s v="020.309.962/0001-34"/>
    <x v="191"/>
    <s v="INCLUSAO  ANOT.INADIMPLENCIA"/>
    <x v="137"/>
    <x v="12"/>
    <s v="2025-04"/>
    <x v="30"/>
    <s v="PROSPECTAR"/>
    <x v="191"/>
    <n v="0"/>
    <n v="1"/>
  </r>
  <r>
    <s v="027.180.131/0001-54"/>
    <x v="188"/>
    <s v="EXCLUSAO  ANOT.INADIMPLENCIA"/>
    <x v="137"/>
    <x v="9"/>
    <s v="2025-04"/>
    <x v="30"/>
    <s v="PRISCILA METZ"/>
    <x v="188"/>
    <n v="1"/>
    <n v="0"/>
  </r>
  <r>
    <s v="028.511.223/0001-32"/>
    <x v="189"/>
    <s v="INCLUSAO  ANOT.INADIMPLENCIA"/>
    <x v="137"/>
    <x v="0"/>
    <s v="2025-04"/>
    <x v="30"/>
    <s v="ADMINISTRAÇÃO"/>
    <x v="189"/>
    <n v="0"/>
    <n v="1"/>
  </r>
  <r>
    <s v="040.828.273/0001-43"/>
    <x v="186"/>
    <s v="INCLUSAO  ANOT.INADIMPLENCIA"/>
    <x v="137"/>
    <x v="18"/>
    <s v="2025-04"/>
    <x v="30"/>
    <s v="SEM GERENTE"/>
    <x v="186"/>
    <n v="0"/>
    <n v="1"/>
  </r>
  <r>
    <s v="043.515.558/0001-12"/>
    <x v="176"/>
    <s v="INCLUSAO  ANOT.INADIMPLENCIA"/>
    <x v="137"/>
    <x v="10"/>
    <s v="2025-04"/>
    <x v="30"/>
    <s v="ROGERIO "/>
    <x v="176"/>
    <n v="0"/>
    <n v="1"/>
  </r>
  <r>
    <s v="049.344.344/0001-07"/>
    <x v="193"/>
    <s v="EXCLUSAO  ANOT.INADIMPLENCIA"/>
    <x v="137"/>
    <x v="9"/>
    <s v="2025-04"/>
    <x v="30"/>
    <s v="PRISCILA METZ"/>
    <x v="193"/>
    <n v="1"/>
    <n v="0"/>
  </r>
  <r>
    <s v="016.772.642/0001-49"/>
    <x v="69"/>
    <s v="INCLUSAO  ANOT.INADIMPLENCIA"/>
    <x v="138"/>
    <x v="0"/>
    <s v="2025-04"/>
    <x v="30"/>
    <s v="ADMINISTRAÇÃO"/>
    <x v="69"/>
    <n v="0"/>
    <n v="1"/>
  </r>
  <r>
    <s v="024.271.279/0001-06"/>
    <x v="142"/>
    <s v="INCLUSAO  ANOT.INADIMPLENCIA"/>
    <x v="138"/>
    <x v="0"/>
    <s v="2025-04"/>
    <x v="30"/>
    <s v="ADMINISTRAÇÃO"/>
    <x v="142"/>
    <n v="0"/>
    <n v="1"/>
  </r>
  <r>
    <s v="050.164.951/0001-74"/>
    <x v="51"/>
    <s v="INCLUSAO  ANOT.INADIMPLENCIA"/>
    <x v="138"/>
    <x v="0"/>
    <s v="2025-04"/>
    <x v="30"/>
    <s v="ADMINISTRAÇÃO"/>
    <x v="51"/>
    <n v="0"/>
    <n v="1"/>
  </r>
  <r>
    <s v="000.688.793/0001-83"/>
    <x v="149"/>
    <s v="EXCLUSAO  ANOT.INADIMPLENCIA"/>
    <x v="138"/>
    <x v="1"/>
    <s v="2025-04"/>
    <x v="30"/>
    <s v="CELIO PIMENTA"/>
    <x v="149"/>
    <n v="1"/>
    <n v="0"/>
  </r>
  <r>
    <s v="002.038.227/0001-51"/>
    <x v="55"/>
    <s v="EXCLUSAO  ANOT.INADIMPLENCIA"/>
    <x v="138"/>
    <x v="1"/>
    <s v="2025-04"/>
    <x v="30"/>
    <s v="CELIO PIMENTA"/>
    <x v="55"/>
    <n v="1"/>
    <n v="0"/>
  </r>
  <r>
    <s v="007.102.721/0001-51"/>
    <x v="44"/>
    <s v="INCLUSAO  ANOT.INADIMPLENCIA"/>
    <x v="138"/>
    <x v="12"/>
    <s v="2025-04"/>
    <x v="30"/>
    <s v="PROSPECTAR"/>
    <x v="44"/>
    <n v="0"/>
    <n v="1"/>
  </r>
  <r>
    <s v="044.888.871/0001-69"/>
    <x v="106"/>
    <s v="INCLUSAO  ANOT.INADIMPLENCIA"/>
    <x v="138"/>
    <x v="12"/>
    <s v="2025-04"/>
    <x v="30"/>
    <s v="PROSPECTAR"/>
    <x v="106"/>
    <n v="0"/>
    <n v="1"/>
  </r>
  <r>
    <s v="034.821.586/0001-77"/>
    <x v="38"/>
    <s v="EXCLUSAO  ANOT.INADIMPLENCIA"/>
    <x v="138"/>
    <x v="3"/>
    <s v="2025-04"/>
    <x v="30"/>
    <s v="MARCUS VINICIUS "/>
    <x v="38"/>
    <n v="1"/>
    <n v="0"/>
  </r>
  <r>
    <s v="036.906.058/0001-46"/>
    <x v="75"/>
    <s v="EXCLUSAO  ANOT.INADIMPLENCIA"/>
    <x v="138"/>
    <x v="4"/>
    <s v="2025-04"/>
    <x v="30"/>
    <s v="NOELI SALETE"/>
    <x v="75"/>
    <n v="1"/>
    <n v="0"/>
  </r>
  <r>
    <s v="088.978.606/0001-47"/>
    <x v="114"/>
    <s v="EXCLUSAO  ANOT.INADIMPLENCIA"/>
    <x v="138"/>
    <x v="4"/>
    <s v="2025-04"/>
    <x v="30"/>
    <s v="NOELI SALETE"/>
    <x v="114"/>
    <n v="1"/>
    <n v="0"/>
  </r>
  <r>
    <s v="011.091.574/0001-39"/>
    <x v="26"/>
    <s v="ALTERACAO ENDERECO"/>
    <x v="138"/>
    <x v="5"/>
    <s v="2025-04"/>
    <x v="30"/>
    <s v="POENATELA"/>
    <x v="26"/>
    <n v="0"/>
    <n v="0"/>
  </r>
  <r>
    <s v="025.383.640/0001-59"/>
    <x v="158"/>
    <s v="EXCLUSAO  ANOT.INADIMPLENCIA"/>
    <x v="138"/>
    <x v="5"/>
    <s v="2025-04"/>
    <x v="30"/>
    <s v="POENATELA"/>
    <x v="158"/>
    <n v="1"/>
    <n v="0"/>
  </r>
  <r>
    <s v="028.477.685/0001-80"/>
    <x v="95"/>
    <s v="EXCLUSAO  ANOT.INADIMPLENCIA"/>
    <x v="138"/>
    <x v="5"/>
    <s v="2025-04"/>
    <x v="30"/>
    <s v="POENATELA"/>
    <x v="95"/>
    <n v="1"/>
    <n v="0"/>
  </r>
  <r>
    <s v="014.514.481/0001-68"/>
    <x v="73"/>
    <s v="INCLUSAO  ANOT.INADIMPLENCIA"/>
    <x v="138"/>
    <x v="9"/>
    <s v="2025-04"/>
    <x v="30"/>
    <s v="PRISCILA METZ"/>
    <x v="73"/>
    <n v="0"/>
    <n v="1"/>
  </r>
  <r>
    <s v="041.421.379/0001-90"/>
    <x v="137"/>
    <s v="INCLUSAO  ANOT.INADIMPLENCIA"/>
    <x v="138"/>
    <x v="6"/>
    <s v="2025-04"/>
    <x v="30"/>
    <s v="RAFAEL PARISE"/>
    <x v="137"/>
    <n v="0"/>
    <n v="1"/>
  </r>
  <r>
    <s v="055.979.736/0001-45"/>
    <x v="63"/>
    <s v="INCLUSAO  ANOT.INADIMPLENCIA"/>
    <x v="138"/>
    <x v="16"/>
    <s v="2025-04"/>
    <x v="30"/>
    <s v="SACADO"/>
    <x v="63"/>
    <n v="0"/>
    <n v="1"/>
  </r>
  <r>
    <s v="020.024.081/0001-77"/>
    <x v="177"/>
    <s v="EXCLUSAO  ANOT.INADIMPLENCIA"/>
    <x v="138"/>
    <x v="10"/>
    <s v="2025-04"/>
    <x v="30"/>
    <s v="ROGERIO "/>
    <x v="177"/>
    <n v="1"/>
    <n v="0"/>
  </r>
  <r>
    <s v="028.511.223/0001-32"/>
    <x v="189"/>
    <s v="INCLUSAO  ANOT.INADIMPLENCIA"/>
    <x v="138"/>
    <x v="0"/>
    <s v="2025-04"/>
    <x v="30"/>
    <s v="ADMINISTRAÇÃO"/>
    <x v="189"/>
    <n v="0"/>
    <n v="1"/>
  </r>
  <r>
    <s v="040.828.273/0001-43"/>
    <x v="186"/>
    <s v="INCLUSAO  ANOT.INADIMPLENCIA"/>
    <x v="138"/>
    <x v="18"/>
    <s v="2025-04"/>
    <x v="30"/>
    <s v="SEM GERENTE"/>
    <x v="186"/>
    <n v="0"/>
    <n v="1"/>
  </r>
  <r>
    <s v="050.164.951/0001-74"/>
    <x v="51"/>
    <s v="INCLUSAO  ANOT.INADIMPLENCIA"/>
    <x v="139"/>
    <x v="0"/>
    <s v="2025-04"/>
    <x v="30"/>
    <s v="ADMINISTRAÇÃO"/>
    <x v="51"/>
    <n v="0"/>
    <n v="1"/>
  </r>
  <r>
    <s v="001.831.532/0001-33"/>
    <x v="132"/>
    <s v="EXCLUSAO  ANOT.INADIMPLENCIA"/>
    <x v="139"/>
    <x v="0"/>
    <s v="2025-04"/>
    <x v="30"/>
    <s v="ADMINISTRAÇÃO"/>
    <x v="132"/>
    <n v="1"/>
    <n v="0"/>
  </r>
  <r>
    <s v="020.066.300/0001-80"/>
    <x v="2"/>
    <s v="EXCLUSAO  ANOT.INADIMPLENCIA"/>
    <x v="139"/>
    <x v="1"/>
    <s v="2025-04"/>
    <x v="30"/>
    <s v="CELIO PIMENTA"/>
    <x v="2"/>
    <n v="1"/>
    <n v="0"/>
  </r>
  <r>
    <s v="007.102.721/0001-51"/>
    <x v="44"/>
    <s v="EXCLUSAO  ANOT.INADIMPLENCIA"/>
    <x v="139"/>
    <x v="12"/>
    <s v="2025-04"/>
    <x v="30"/>
    <s v="PROSPECTAR"/>
    <x v="44"/>
    <n v="1"/>
    <n v="0"/>
  </r>
  <r>
    <s v="021.420.856/0001-96"/>
    <x v="129"/>
    <s v="EXCLUSAO  ANOT.INADIMPLENCIA"/>
    <x v="139"/>
    <x v="19"/>
    <s v="2025-04"/>
    <x v="30"/>
    <s v="JOSE ROBERTO"/>
    <x v="129"/>
    <n v="1"/>
    <n v="0"/>
  </r>
  <r>
    <s v="019.450.138/0001-10"/>
    <x v="70"/>
    <s v="INCLUSAO  ANOT.INADIMPLENCIA"/>
    <x v="139"/>
    <x v="17"/>
    <s v="2025-04"/>
    <x v="30"/>
    <s v="MARCIO LEONEL"/>
    <x v="70"/>
    <n v="0"/>
    <n v="1"/>
  </r>
  <r>
    <s v="025.825.654/0001-85"/>
    <x v="7"/>
    <s v="INCLUSAO  ANOT.INADIMPLENCIA"/>
    <x v="139"/>
    <x v="3"/>
    <s v="2025-04"/>
    <x v="30"/>
    <s v="MARCUS VINICIUS "/>
    <x v="7"/>
    <n v="0"/>
    <n v="1"/>
  </r>
  <r>
    <s v="035.165.246/0001-06"/>
    <x v="104"/>
    <s v="EXCLUSAO  ANOT.INADIMPLENCIA"/>
    <x v="139"/>
    <x v="3"/>
    <s v="2025-04"/>
    <x v="30"/>
    <s v="MARCUS VINICIUS "/>
    <x v="104"/>
    <n v="1"/>
    <n v="0"/>
  </r>
  <r>
    <s v="088.978.606/0001-47"/>
    <x v="114"/>
    <s v="INCLUSAO  ANOT.INADIMPLENCIA"/>
    <x v="139"/>
    <x v="4"/>
    <s v="2025-04"/>
    <x v="30"/>
    <s v="NOELI SALETE"/>
    <x v="114"/>
    <n v="0"/>
    <n v="1"/>
  </r>
  <r>
    <s v="011.091.574/0001-39"/>
    <x v="26"/>
    <s v="EXCLUSAO  ANOT.INADIMPLENCIA"/>
    <x v="139"/>
    <x v="5"/>
    <s v="2025-04"/>
    <x v="30"/>
    <s v="POENATELA"/>
    <x v="26"/>
    <n v="1"/>
    <n v="0"/>
  </r>
  <r>
    <s v="028.477.685/0001-80"/>
    <x v="95"/>
    <s v="EXCLUSAO  ANOT.INADIMPLENCIA"/>
    <x v="139"/>
    <x v="5"/>
    <s v="2025-04"/>
    <x v="30"/>
    <s v="POENATELA"/>
    <x v="95"/>
    <n v="1"/>
    <n v="0"/>
  </r>
  <r>
    <s v="008.250.872/0001-10"/>
    <x v="121"/>
    <s v="INCLUSAO  ANOT.INADIMPLENCIA"/>
    <x v="139"/>
    <x v="6"/>
    <s v="2025-04"/>
    <x v="30"/>
    <s v="RAFAEL PARISE"/>
    <x v="121"/>
    <n v="0"/>
    <n v="1"/>
  </r>
  <r>
    <s v="046.674.060/0001-90"/>
    <x v="140"/>
    <s v="EXCLUSAO  ANOT.INADIMPLENCIA"/>
    <x v="139"/>
    <x v="10"/>
    <s v="2025-04"/>
    <x v="30"/>
    <s v="ROGERIO "/>
    <x v="140"/>
    <n v="1"/>
    <n v="0"/>
  </r>
  <r>
    <s v="040.582.798/0001-41"/>
    <x v="144"/>
    <s v="INCLUSAO  ANOT.INADIMPLENCIA"/>
    <x v="139"/>
    <x v="16"/>
    <s v="2025-04"/>
    <x v="30"/>
    <s v="SACADO"/>
    <x v="144"/>
    <n v="0"/>
    <n v="1"/>
  </r>
  <r>
    <s v="004.962.112/0001-84"/>
    <x v="174"/>
    <s v="ALTERACAO ENDERECO"/>
    <x v="139"/>
    <x v="0"/>
    <s v="2025-04"/>
    <x v="30"/>
    <s v="ADMINISTRAÇÃO"/>
    <x v="174"/>
    <n v="0"/>
    <n v="0"/>
  </r>
  <r>
    <s v="006.236.494/0001-94"/>
    <x v="194"/>
    <s v="ALTERACAO RAZAO SOCIAL"/>
    <x v="139"/>
    <x v="5"/>
    <s v="2025-04"/>
    <x v="30"/>
    <s v="POENATELA"/>
    <x v="194"/>
    <n v="0"/>
    <n v="0"/>
  </r>
  <r>
    <s v="013.749.701/0001-70"/>
    <x v="195"/>
    <s v="EXCLUSAO  ANOT.INADIMPLENCIA"/>
    <x v="139"/>
    <x v="6"/>
    <s v="2025-04"/>
    <x v="30"/>
    <s v="RAFAEL PARISE"/>
    <x v="195"/>
    <n v="1"/>
    <n v="0"/>
  </r>
  <r>
    <s v="020.024.081/0001-77"/>
    <x v="177"/>
    <s v="EXCLUSAO  ANOT.INADIMPLENCIA"/>
    <x v="139"/>
    <x v="10"/>
    <s v="2025-04"/>
    <x v="30"/>
    <s v="ROGERIO "/>
    <x v="177"/>
    <n v="1"/>
    <n v="0"/>
  </r>
  <r>
    <s v="027.180.131/0001-54"/>
    <x v="188"/>
    <s v="EXCLUSAO  ANOT.INADIMPLENCIA"/>
    <x v="139"/>
    <x v="9"/>
    <s v="2025-04"/>
    <x v="30"/>
    <s v="PRISCILA METZ"/>
    <x v="188"/>
    <n v="1"/>
    <n v="0"/>
  </r>
  <r>
    <s v="028.511.223/0001-32"/>
    <x v="189"/>
    <s v="INCL/EXCL ANOT.INADIMPLENCIA"/>
    <x v="139"/>
    <x v="0"/>
    <s v="2025-04"/>
    <x v="30"/>
    <s v="ADMINISTRAÇÃO"/>
    <x v="189"/>
    <n v="1"/>
    <n v="1"/>
  </r>
  <r>
    <s v="002.038.227/0001-51"/>
    <x v="55"/>
    <s v="INCLUSAO  ANOT.INADIMPLENCIA"/>
    <x v="140"/>
    <x v="1"/>
    <s v="2025-04"/>
    <x v="30"/>
    <s v="CELIO PIMENTA"/>
    <x v="55"/>
    <n v="0"/>
    <n v="1"/>
  </r>
  <r>
    <s v="036.726.274/0001-00"/>
    <x v="133"/>
    <s v="INCLUSAO  ANOT.INADIMPLENCIA"/>
    <x v="140"/>
    <x v="1"/>
    <s v="2025-04"/>
    <x v="30"/>
    <s v="CELIO PIMENTA"/>
    <x v="133"/>
    <n v="0"/>
    <n v="1"/>
  </r>
  <r>
    <s v="016.757.535/0001-41"/>
    <x v="29"/>
    <s v="INCLUSAO  ANOT.INADIMPLENCIA"/>
    <x v="140"/>
    <x v="11"/>
    <s v="2025-04"/>
    <x v="30"/>
    <s v="DIOGO AZEVEDO"/>
    <x v="29"/>
    <n v="0"/>
    <n v="1"/>
  </r>
  <r>
    <s v="001.636.335/0001-63"/>
    <x v="77"/>
    <s v="INCLUSAO  ANOT.INADIMPLENCIA"/>
    <x v="140"/>
    <x v="12"/>
    <s v="2025-04"/>
    <x v="30"/>
    <s v="PROSPECTAR"/>
    <x v="77"/>
    <n v="0"/>
    <n v="1"/>
  </r>
  <r>
    <s v="007.102.721/0001-51"/>
    <x v="44"/>
    <s v="INCLUSAO  ANOT.INADIMPLENCIA"/>
    <x v="140"/>
    <x v="12"/>
    <s v="2025-04"/>
    <x v="30"/>
    <s v="PROSPECTAR"/>
    <x v="44"/>
    <n v="0"/>
    <n v="1"/>
  </r>
  <r>
    <s v="007.561.436/0001-07"/>
    <x v="34"/>
    <s v="EXCLUSAO  ANOT.INADIMPLENCIA"/>
    <x v="140"/>
    <x v="12"/>
    <s v="2025-04"/>
    <x v="30"/>
    <s v="PROSPECTAR"/>
    <x v="34"/>
    <n v="1"/>
    <n v="0"/>
  </r>
  <r>
    <s v="028.393.466/0001-13"/>
    <x v="167"/>
    <s v="INCLUSAO  ANOT.INADIMPLENCIA"/>
    <x v="140"/>
    <x v="12"/>
    <s v="2025-04"/>
    <x v="30"/>
    <s v="PROSPECTAR"/>
    <x v="167"/>
    <n v="0"/>
    <n v="1"/>
  </r>
  <r>
    <s v="021.420.856/0001-96"/>
    <x v="129"/>
    <s v="INCLUSAO  ANOT.INADIMPLENCIA"/>
    <x v="140"/>
    <x v="19"/>
    <s v="2025-04"/>
    <x v="30"/>
    <s v="JOSE ROBERTO"/>
    <x v="129"/>
    <n v="0"/>
    <n v="1"/>
  </r>
  <r>
    <s v="035.165.246/0001-06"/>
    <x v="104"/>
    <s v="INCLUSAO  ANOT.INADIMPLENCIA"/>
    <x v="140"/>
    <x v="3"/>
    <s v="2025-04"/>
    <x v="30"/>
    <s v="MARCUS VINICIUS "/>
    <x v="104"/>
    <n v="0"/>
    <n v="1"/>
  </r>
  <r>
    <s v="000.803.044/0001-50"/>
    <x v="45"/>
    <s v="INCLUSAO  ANOT.INADIMPLENCIA"/>
    <x v="140"/>
    <x v="0"/>
    <s v="2025-04"/>
    <x v="30"/>
    <s v="ADMINISTRAÇÃO"/>
    <x v="45"/>
    <n v="0"/>
    <n v="1"/>
  </r>
  <r>
    <s v="035.679.705/0001-61"/>
    <x v="171"/>
    <s v="INCLUSAO  ANOT.INADIMPLENCIA"/>
    <x v="140"/>
    <x v="4"/>
    <s v="2025-04"/>
    <x v="30"/>
    <s v="NOELI SALETE"/>
    <x v="171"/>
    <n v="0"/>
    <n v="1"/>
  </r>
  <r>
    <s v="045.452.509/0001-03"/>
    <x v="172"/>
    <s v="INCLUSAO  ANOT.INADIMPLENCIA"/>
    <x v="140"/>
    <x v="4"/>
    <s v="2025-04"/>
    <x v="30"/>
    <s v="NOELI SALETE"/>
    <x v="172"/>
    <n v="0"/>
    <n v="1"/>
  </r>
  <r>
    <s v="088.978.606/0001-47"/>
    <x v="114"/>
    <s v="INCLUSAO  ANOT.INADIMPLENCIA"/>
    <x v="140"/>
    <x v="4"/>
    <s v="2025-04"/>
    <x v="30"/>
    <s v="NOELI SALETE"/>
    <x v="114"/>
    <n v="0"/>
    <n v="1"/>
  </r>
  <r>
    <s v="002.776.536/0001-29"/>
    <x v="168"/>
    <s v="INCLUSAO  ANOT.INADIMPLENCIA"/>
    <x v="140"/>
    <x v="9"/>
    <s v="2025-04"/>
    <x v="30"/>
    <s v="PRISCILA METZ"/>
    <x v="168"/>
    <n v="0"/>
    <n v="1"/>
  </r>
  <r>
    <s v="008.250.872/0001-10"/>
    <x v="121"/>
    <s v="INCLUSAO  ANOT.INADIMPLENCIA"/>
    <x v="140"/>
    <x v="6"/>
    <s v="2025-04"/>
    <x v="30"/>
    <s v="RAFAEL PARISE"/>
    <x v="121"/>
    <n v="0"/>
    <n v="1"/>
  </r>
  <r>
    <s v="041.421.379/0001-90"/>
    <x v="137"/>
    <s v="INCLUSAO  ANOT.INADIMPLENCIA"/>
    <x v="140"/>
    <x v="6"/>
    <s v="2025-04"/>
    <x v="30"/>
    <s v="RAFAEL PARISE"/>
    <x v="137"/>
    <n v="0"/>
    <n v="1"/>
  </r>
  <r>
    <s v="028.650.970/0001-51"/>
    <x v="166"/>
    <s v="INCLUSAO  ANOT.INADIMPLENCIA"/>
    <x v="140"/>
    <x v="10"/>
    <s v="2025-04"/>
    <x v="30"/>
    <s v="ROGERIO "/>
    <x v="166"/>
    <n v="0"/>
    <n v="1"/>
  </r>
  <r>
    <s v="050.901.671/0001-00"/>
    <x v="126"/>
    <s v="INCLUSAO  ANOT.INADIMPLENCIA"/>
    <x v="140"/>
    <x v="10"/>
    <s v="2025-04"/>
    <x v="30"/>
    <s v="ROGERIO "/>
    <x v="126"/>
    <n v="0"/>
    <n v="1"/>
  </r>
  <r>
    <s v="051.107.672/0001-31"/>
    <x v="32"/>
    <s v="INCLUSAO  ANOT.INADIMPLENCIA"/>
    <x v="140"/>
    <x v="10"/>
    <s v="2025-04"/>
    <x v="30"/>
    <s v="ROGERIO "/>
    <x v="32"/>
    <n v="0"/>
    <n v="1"/>
  </r>
  <r>
    <s v="028.511.223/0001-32"/>
    <x v="189"/>
    <s v="INCLUSAO  ANOT.INADIMPLENCIA"/>
    <x v="140"/>
    <x v="0"/>
    <s v="2025-04"/>
    <x v="30"/>
    <s v="ADMINISTRAÇÃO"/>
    <x v="189"/>
    <n v="0"/>
    <n v="1"/>
  </r>
  <r>
    <s v="040.828.273/0001-43"/>
    <x v="186"/>
    <s v="INCLUSAO  ANOT.INADIMPLENCIA"/>
    <x v="140"/>
    <x v="18"/>
    <s v="2025-04"/>
    <x v="30"/>
    <s v="SEM GERENTE"/>
    <x v="186"/>
    <n v="0"/>
    <n v="1"/>
  </r>
  <r>
    <s v="004.126.524/0001-84"/>
    <x v="28"/>
    <s v="EXCLUSAO  ANOT.INADIMPLENCIA"/>
    <x v="141"/>
    <x v="0"/>
    <s v="2025-04"/>
    <x v="31"/>
    <s v="ADMINISTRAÇÃO"/>
    <x v="28"/>
    <n v="1"/>
    <n v="0"/>
  </r>
  <r>
    <s v="021.734.108/0001-88"/>
    <x v="41"/>
    <s v="INCLUSAO  ANOT.INADIMPLENCIA"/>
    <x v="141"/>
    <x v="0"/>
    <s v="2025-04"/>
    <x v="31"/>
    <s v="ADMINISTRAÇÃO"/>
    <x v="41"/>
    <n v="0"/>
    <n v="1"/>
  </r>
  <r>
    <s v="003.590.360/0001-89"/>
    <x v="3"/>
    <s v="INCLUSAO  ANOT.INADIMPLENCIA"/>
    <x v="141"/>
    <x v="1"/>
    <s v="2025-04"/>
    <x v="31"/>
    <s v="CELIO PIMENTA"/>
    <x v="3"/>
    <n v="0"/>
    <n v="1"/>
  </r>
  <r>
    <s v="016.757.535/0001-41"/>
    <x v="29"/>
    <s v="INCLUSAO  ANOT.INADIMPLENCIA"/>
    <x v="141"/>
    <x v="11"/>
    <s v="2025-04"/>
    <x v="31"/>
    <s v="DIOGO AZEVEDO"/>
    <x v="29"/>
    <n v="0"/>
    <n v="1"/>
  </r>
  <r>
    <s v="049.218.819/0001-19"/>
    <x v="150"/>
    <s v="INCLUSAO  ANOT.INADIMPLENCIA"/>
    <x v="141"/>
    <x v="11"/>
    <s v="2025-04"/>
    <x v="31"/>
    <s v="DIOGO AZEVEDO"/>
    <x v="150"/>
    <n v="0"/>
    <n v="1"/>
  </r>
  <r>
    <s v="001.165.357/0001-92"/>
    <x v="86"/>
    <s v="INCLUSAO  ANOT.INADIMPLENCIA"/>
    <x v="141"/>
    <x v="12"/>
    <s v="2025-04"/>
    <x v="31"/>
    <s v="PROSPECTAR"/>
    <x v="86"/>
    <n v="0"/>
    <n v="1"/>
  </r>
  <r>
    <s v="002.377.675/0001-80"/>
    <x v="85"/>
    <s v="INCLUSAO  ANOT.INADIMPLENCIA"/>
    <x v="141"/>
    <x v="12"/>
    <s v="2025-04"/>
    <x v="31"/>
    <s v="PROSPECTAR"/>
    <x v="85"/>
    <n v="0"/>
    <n v="1"/>
  </r>
  <r>
    <s v="007.102.721/0001-51"/>
    <x v="44"/>
    <s v="INCLUSAO  ANOT.INADIMPLENCIA"/>
    <x v="141"/>
    <x v="12"/>
    <s v="2025-04"/>
    <x v="31"/>
    <s v="PROSPECTAR"/>
    <x v="44"/>
    <n v="0"/>
    <n v="1"/>
  </r>
  <r>
    <s v="007.561.436/0001-07"/>
    <x v="34"/>
    <s v="INCLUSAO  ANOT.INADIMPLENCIA"/>
    <x v="141"/>
    <x v="12"/>
    <s v="2025-04"/>
    <x v="31"/>
    <s v="PROSPECTAR"/>
    <x v="34"/>
    <n v="0"/>
    <n v="1"/>
  </r>
  <r>
    <s v="024.331.138/0001-31"/>
    <x v="87"/>
    <s v="INCLUSAO  ANOT.INADIMPLENCIA"/>
    <x v="141"/>
    <x v="12"/>
    <s v="2025-04"/>
    <x v="31"/>
    <s v="PROSPECTAR"/>
    <x v="87"/>
    <n v="0"/>
    <n v="1"/>
  </r>
  <r>
    <s v="028.393.466/0001-13"/>
    <x v="167"/>
    <s v="INCLUSAO  ANOT.INADIMPLENCIA"/>
    <x v="141"/>
    <x v="12"/>
    <s v="2025-04"/>
    <x v="31"/>
    <s v="PROSPECTAR"/>
    <x v="167"/>
    <n v="0"/>
    <n v="1"/>
  </r>
  <r>
    <s v="008.991.603/0001-04"/>
    <x v="57"/>
    <s v="INCLUSAO  ANOT.INADIMPLENCIA"/>
    <x v="141"/>
    <x v="3"/>
    <s v="2025-04"/>
    <x v="31"/>
    <s v="MARCUS VINICIUS "/>
    <x v="57"/>
    <n v="0"/>
    <n v="1"/>
  </r>
  <r>
    <s v="034.821.586/0001-77"/>
    <x v="38"/>
    <s v="INCLUSAO  ANOT.INADIMPLENCIA"/>
    <x v="141"/>
    <x v="3"/>
    <s v="2025-04"/>
    <x v="31"/>
    <s v="MARCUS VINICIUS "/>
    <x v="38"/>
    <n v="0"/>
    <n v="1"/>
  </r>
  <r>
    <s v="035.165.246/0001-06"/>
    <x v="104"/>
    <s v="INCLUSAO  ANOT.INADIMPLENCIA"/>
    <x v="141"/>
    <x v="3"/>
    <s v="2025-04"/>
    <x v="31"/>
    <s v="MARCUS VINICIUS "/>
    <x v="104"/>
    <n v="0"/>
    <n v="1"/>
  </r>
  <r>
    <s v="000.803.044/0001-50"/>
    <x v="45"/>
    <s v="EXCLUSAO  ANOT.INADIMPLENCIA"/>
    <x v="141"/>
    <x v="0"/>
    <s v="2025-04"/>
    <x v="31"/>
    <s v="ADMINISTRAÇÃO"/>
    <x v="45"/>
    <n v="1"/>
    <n v="0"/>
  </r>
  <r>
    <s v="035.679.705/0001-61"/>
    <x v="171"/>
    <s v="INCLUSAO  ANOT.INADIMPLENCIA"/>
    <x v="141"/>
    <x v="4"/>
    <s v="2025-04"/>
    <x v="31"/>
    <s v="NOELI SALETE"/>
    <x v="171"/>
    <n v="0"/>
    <n v="1"/>
  </r>
  <r>
    <s v="045.452.509/0001-03"/>
    <x v="172"/>
    <s v="INCLUSAO  ANOT.INADIMPLENCIA"/>
    <x v="141"/>
    <x v="4"/>
    <s v="2025-04"/>
    <x v="31"/>
    <s v="NOELI SALETE"/>
    <x v="172"/>
    <n v="0"/>
    <n v="1"/>
  </r>
  <r>
    <s v="008.250.872/0001-10"/>
    <x v="121"/>
    <s v="EXCLUSAO  ANOT.INADIMPLENCIA"/>
    <x v="141"/>
    <x v="6"/>
    <s v="2025-04"/>
    <x v="31"/>
    <s v="RAFAEL PARISE"/>
    <x v="121"/>
    <n v="1"/>
    <n v="0"/>
  </r>
  <r>
    <s v="038.110.780/0001-03"/>
    <x v="47"/>
    <s v="INCLUSAO  ANOT.INADIMPLENCIA"/>
    <x v="141"/>
    <x v="6"/>
    <s v="2025-04"/>
    <x v="31"/>
    <s v="RAFAEL PARISE"/>
    <x v="47"/>
    <n v="0"/>
    <n v="1"/>
  </r>
  <r>
    <s v="028.650.970/0001-51"/>
    <x v="166"/>
    <s v="INCLUSAO  ANOT.INADIMPLENCIA"/>
    <x v="141"/>
    <x v="10"/>
    <s v="2025-04"/>
    <x v="31"/>
    <s v="ROGERIO "/>
    <x v="166"/>
    <n v="0"/>
    <n v="1"/>
  </r>
  <r>
    <s v="050.901.671/0001-00"/>
    <x v="126"/>
    <s v="INCL/EXCL ANOT.INADIMPLENCIA"/>
    <x v="141"/>
    <x v="10"/>
    <s v="2025-04"/>
    <x v="31"/>
    <s v="ROGERIO "/>
    <x v="126"/>
    <n v="1"/>
    <n v="1"/>
  </r>
  <r>
    <s v="020.024.081/0001-77"/>
    <x v="177"/>
    <s v="INCLUSAO  ANOT.INADIMPLENCIA"/>
    <x v="141"/>
    <x v="10"/>
    <s v="2025-04"/>
    <x v="31"/>
    <s v="ROGERIO "/>
    <x v="177"/>
    <n v="0"/>
    <n v="1"/>
  </r>
  <r>
    <s v="043.515.558/0001-12"/>
    <x v="176"/>
    <s v="INCLUSAO  ANOT.INADIMPLENCIA"/>
    <x v="141"/>
    <x v="10"/>
    <s v="2025-04"/>
    <x v="31"/>
    <s v="ROGERIO "/>
    <x v="176"/>
    <n v="0"/>
    <n v="1"/>
  </r>
  <r>
    <s v="044.126.379/0001-56"/>
    <x v="187"/>
    <s v="INCLUSAO  ANOT.INADIMPLENCIA"/>
    <x v="141"/>
    <x v="1"/>
    <s v="2025-04"/>
    <x v="31"/>
    <s v="CELIO PIMENTA"/>
    <x v="187"/>
    <n v="0"/>
    <n v="1"/>
  </r>
  <r>
    <s v="049.344.344/0001-07"/>
    <x v="193"/>
    <s v="INCLUSAO  ANOT.INADIMPLENCIA"/>
    <x v="141"/>
    <x v="9"/>
    <s v="2025-04"/>
    <x v="31"/>
    <s v="PRISCILA METZ"/>
    <x v="193"/>
    <n v="0"/>
    <n v="1"/>
  </r>
  <r>
    <s v="092.279.363/0001-26"/>
    <x v="196"/>
    <s v="INCLUSAO  ANOT.INADIMPLENCIA"/>
    <x v="141"/>
    <x v="4"/>
    <s v="2025-04"/>
    <x v="31"/>
    <s v="NOELI SALETE"/>
    <x v="196"/>
    <n v="0"/>
    <n v="1"/>
  </r>
  <r>
    <s v="012.520.791/0001-60"/>
    <x v="4"/>
    <s v="INCLUSAO  ANOT.INADIMPLENCIA"/>
    <x v="142"/>
    <x v="1"/>
    <s v="2025-04"/>
    <x v="31"/>
    <s v="CELIO PIMENTA"/>
    <x v="4"/>
    <n v="0"/>
    <n v="1"/>
  </r>
  <r>
    <s v="016.757.535/0001-41"/>
    <x v="29"/>
    <s v="EXCLUSAO  ANOT.INADIMPLENCIA"/>
    <x v="142"/>
    <x v="11"/>
    <s v="2025-04"/>
    <x v="31"/>
    <s v="DIOGO AZEVEDO"/>
    <x v="29"/>
    <n v="1"/>
    <n v="0"/>
  </r>
  <r>
    <s v="005.363.690/0001-67"/>
    <x v="90"/>
    <s v="EXCLUSAO  ANOT.INADIMPLENCIA"/>
    <x v="142"/>
    <x v="12"/>
    <s v="2025-04"/>
    <x v="31"/>
    <s v="PROSPECTAR"/>
    <x v="90"/>
    <n v="1"/>
    <n v="0"/>
  </r>
  <r>
    <s v="007.561.436/0001-07"/>
    <x v="34"/>
    <s v="EXCLUSAO  ANOT.INADIMPLENCIA"/>
    <x v="142"/>
    <x v="12"/>
    <s v="2025-04"/>
    <x v="31"/>
    <s v="PROSPECTAR"/>
    <x v="34"/>
    <n v="1"/>
    <n v="0"/>
  </r>
  <r>
    <s v="024.331.138/0001-31"/>
    <x v="87"/>
    <s v="INCLUSAO  ANOT.INADIMPLENCIA"/>
    <x v="142"/>
    <x v="12"/>
    <s v="2025-04"/>
    <x v="31"/>
    <s v="PROSPECTAR"/>
    <x v="87"/>
    <n v="0"/>
    <n v="1"/>
  </r>
  <r>
    <s v="035.679.705/0001-61"/>
    <x v="171"/>
    <s v="INCL/EXCL ANOT.INADIMPLENCIA"/>
    <x v="142"/>
    <x v="4"/>
    <s v="2025-04"/>
    <x v="31"/>
    <s v="NOELI SALETE"/>
    <x v="171"/>
    <n v="1"/>
    <n v="1"/>
  </r>
  <r>
    <s v="045.452.509/0001-03"/>
    <x v="172"/>
    <s v="INCLUSAO  ANOT.INADIMPLENCIA"/>
    <x v="142"/>
    <x v="4"/>
    <s v="2025-04"/>
    <x v="31"/>
    <s v="NOELI SALETE"/>
    <x v="172"/>
    <n v="0"/>
    <n v="1"/>
  </r>
  <r>
    <s v="025.383.640/0001-59"/>
    <x v="158"/>
    <s v="EXCLUSAO  ANOT.INADIMPLENCIA"/>
    <x v="142"/>
    <x v="5"/>
    <s v="2025-04"/>
    <x v="31"/>
    <s v="POENATELA"/>
    <x v="158"/>
    <n v="1"/>
    <n v="0"/>
  </r>
  <r>
    <s v="037.828.375/0001-54"/>
    <x v="39"/>
    <s v="EXCLUSAO  ANOT.INADIMPLENCIA"/>
    <x v="142"/>
    <x v="5"/>
    <s v="2025-04"/>
    <x v="31"/>
    <s v="POENATELA"/>
    <x v="39"/>
    <n v="1"/>
    <n v="0"/>
  </r>
  <r>
    <s v="023.605.544/0001-82"/>
    <x v="21"/>
    <s v="INCLUSAO  ANOT.INADIMPLENCIA"/>
    <x v="142"/>
    <x v="9"/>
    <s v="2025-04"/>
    <x v="31"/>
    <s v="PRISCILA METZ"/>
    <x v="21"/>
    <n v="0"/>
    <n v="1"/>
  </r>
  <r>
    <s v="028.650.970/0001-51"/>
    <x v="166"/>
    <s v="INCLUSAO  ANOT.INADIMPLENCIA"/>
    <x v="142"/>
    <x v="10"/>
    <s v="2025-04"/>
    <x v="31"/>
    <s v="ROGERIO "/>
    <x v="166"/>
    <n v="0"/>
    <n v="1"/>
  </r>
  <r>
    <s v="005.774.638/0001-01"/>
    <x v="197"/>
    <s v="EXCLUSAO  ANOT.INADIMPLENCIA"/>
    <x v="142"/>
    <x v="21"/>
    <s v="2025-04"/>
    <x v="31"/>
    <s v="CAIO"/>
    <x v="197"/>
    <n v="1"/>
    <n v="0"/>
  </r>
  <r>
    <s v="027.180.131/0001-54"/>
    <x v="188"/>
    <s v="EXCLUSAO  ANOT.INADIMPLENCIA"/>
    <x v="142"/>
    <x v="9"/>
    <s v="2025-04"/>
    <x v="31"/>
    <s v="PRISCILA METZ"/>
    <x v="188"/>
    <n v="1"/>
    <n v="0"/>
  </r>
  <r>
    <s v="028.511.223/0001-32"/>
    <x v="189"/>
    <s v="INCL/EXCL ANOT.INADIMPLENCIA"/>
    <x v="142"/>
    <x v="0"/>
    <s v="2025-04"/>
    <x v="31"/>
    <s v="ADMINISTRAÇÃO"/>
    <x v="189"/>
    <n v="1"/>
    <n v="1"/>
  </r>
  <r>
    <s v="032.213.847/0001-40"/>
    <x v="198"/>
    <s v="INCLUSAO  ANOT.INADIMPLENCIA"/>
    <x v="142"/>
    <x v="9"/>
    <s v="2025-04"/>
    <x v="31"/>
    <s v="PRISCILA METZ"/>
    <x v="198"/>
    <n v="0"/>
    <n v="1"/>
  </r>
  <r>
    <s v="041.388.946/0001-54"/>
    <x v="175"/>
    <s v="INCLUSAO  ANOT.INADIMPLENCIA"/>
    <x v="142"/>
    <x v="1"/>
    <s v="2025-04"/>
    <x v="31"/>
    <s v="CELIO PIMENTA"/>
    <x v="175"/>
    <n v="0"/>
    <n v="1"/>
  </r>
  <r>
    <s v="092.279.363/0001-26"/>
    <x v="196"/>
    <s v="EXCLUSAO  ANOT.INADIMPLENCIA"/>
    <x v="142"/>
    <x v="4"/>
    <s v="2025-04"/>
    <x v="31"/>
    <s v="NOELI SALETE"/>
    <x v="196"/>
    <n v="1"/>
    <n v="0"/>
  </r>
  <r>
    <s v="013.749.701/0001-70"/>
    <x v="195"/>
    <s v="ALTERACAO QUADRO SOCIAL"/>
    <x v="143"/>
    <x v="6"/>
    <s v="2025-05"/>
    <x v="31"/>
    <s v="RAFAEL PARISE"/>
    <x v="195"/>
    <n v="0"/>
    <n v="0"/>
  </r>
  <r>
    <s v="013.749.701/0001-70"/>
    <x v="195"/>
    <s v="ALTERACAO ADMINISTRADORES"/>
    <x v="143"/>
    <x v="6"/>
    <s v="2025-05"/>
    <x v="31"/>
    <s v="RAFAEL PARISE"/>
    <x v="195"/>
    <n v="0"/>
    <n v="0"/>
  </r>
  <r>
    <s v="023.605.544/0001-82"/>
    <x v="21"/>
    <s v="ALTERACAO ADMINISTRADORES"/>
    <x v="143"/>
    <x v="9"/>
    <s v="2025-05"/>
    <x v="31"/>
    <s v="PRISCILA METZ"/>
    <x v="21"/>
    <n v="0"/>
    <n v="0"/>
  </r>
  <r>
    <s v="001.376.967/0001-35"/>
    <x v="192"/>
    <s v="INCLUSAO  ANOT.INADIMPLENCIA"/>
    <x v="144"/>
    <x v="26"/>
    <s v="2025-05"/>
    <x v="31"/>
    <s v="ANTECIPA"/>
    <x v="192"/>
    <n v="0"/>
    <n v="1"/>
  </r>
  <r>
    <s v="003.590.360/0001-89"/>
    <x v="3"/>
    <s v="EXCLUSAO  ANOT.INADIMPLENCIA"/>
    <x v="144"/>
    <x v="1"/>
    <s v="2025-05"/>
    <x v="31"/>
    <s v="CELIO PIMENTA"/>
    <x v="3"/>
    <n v="1"/>
    <n v="0"/>
  </r>
  <r>
    <s v="007.102.721/0001-51"/>
    <x v="44"/>
    <s v="EXCLUSAO  ANOT.INADIMPLENCIA"/>
    <x v="144"/>
    <x v="12"/>
    <s v="2025-05"/>
    <x v="31"/>
    <s v="PROSPECTAR"/>
    <x v="44"/>
    <n v="1"/>
    <n v="0"/>
  </r>
  <r>
    <s v="012.520.791/0001-60"/>
    <x v="4"/>
    <s v="INCLUSAO  ANOT.INADIMPLENCIA"/>
    <x v="144"/>
    <x v="1"/>
    <s v="2025-05"/>
    <x v="31"/>
    <s v="CELIO PIMENTA"/>
    <x v="4"/>
    <n v="0"/>
    <n v="1"/>
  </r>
  <r>
    <s v="013.323.483/0001-07"/>
    <x v="199"/>
    <s v="EXCLUSAO  ANOT.INADIMPLENCIA"/>
    <x v="144"/>
    <x v="21"/>
    <s v="2025-05"/>
    <x v="31"/>
    <s v="CAIO"/>
    <x v="199"/>
    <n v="1"/>
    <n v="0"/>
  </r>
  <r>
    <s v="014.090.422/0001-00"/>
    <x v="200"/>
    <s v="ALTERACAO ADMINISTRADORES"/>
    <x v="144"/>
    <x v="20"/>
    <s v="2025-05"/>
    <x v="31"/>
    <s v="LIBER"/>
    <x v="200"/>
    <n v="0"/>
    <n v="0"/>
  </r>
  <r>
    <s v="016.757.535/0001-41"/>
    <x v="29"/>
    <s v="EXCLUSAO  ANOT.INADIMPLENCIA"/>
    <x v="144"/>
    <x v="11"/>
    <s v="2025-05"/>
    <x v="31"/>
    <s v="DIOGO AZEVEDO"/>
    <x v="29"/>
    <n v="1"/>
    <n v="0"/>
  </r>
  <r>
    <s v="020.024.081/0001-77"/>
    <x v="177"/>
    <s v="EXCLUSAO  ANOT.INADIMPLENCIA"/>
    <x v="144"/>
    <x v="10"/>
    <s v="2025-05"/>
    <x v="31"/>
    <s v="ROGERIO "/>
    <x v="177"/>
    <n v="1"/>
    <n v="0"/>
  </r>
  <r>
    <s v="020.066.300/0001-80"/>
    <x v="2"/>
    <s v="INCLUSAO  ANOT.INADIMPLENCIA"/>
    <x v="144"/>
    <x v="1"/>
    <s v="2025-05"/>
    <x v="31"/>
    <s v="CELIO PIMENTA"/>
    <x v="2"/>
    <n v="0"/>
    <n v="1"/>
  </r>
  <r>
    <s v="021.420.856/0001-96"/>
    <x v="129"/>
    <s v="EXCLUSAO  ANOT.INADIMPLENCIA"/>
    <x v="144"/>
    <x v="19"/>
    <s v="2025-05"/>
    <x v="31"/>
    <s v="JOSE ROBERTO"/>
    <x v="129"/>
    <n v="1"/>
    <n v="0"/>
  </r>
  <r>
    <s v="021.734.108/0001-88"/>
    <x v="41"/>
    <s v="INCLUSAO  ANOT.INADIMPLENCIA"/>
    <x v="144"/>
    <x v="0"/>
    <s v="2025-05"/>
    <x v="31"/>
    <s v="ADMINISTRAÇÃO"/>
    <x v="41"/>
    <n v="0"/>
    <n v="1"/>
  </r>
  <r>
    <s v="023.605.544/0001-82"/>
    <x v="21"/>
    <s v="INCLUSAO  ANOT.INADIMPLENCIA"/>
    <x v="144"/>
    <x v="9"/>
    <s v="2025-05"/>
    <x v="31"/>
    <s v="PRISCILA METZ"/>
    <x v="21"/>
    <n v="0"/>
    <n v="1"/>
  </r>
  <r>
    <s v="023.909.177/0001-00"/>
    <x v="102"/>
    <s v="INCLUSAO  ANOT.INADIMPLENCIA"/>
    <x v="144"/>
    <x v="7"/>
    <s v="2025-05"/>
    <x v="31"/>
    <s v="WHELKYA IRIS"/>
    <x v="102"/>
    <n v="0"/>
    <n v="1"/>
  </r>
  <r>
    <s v="028.393.466/0001-13"/>
    <x v="167"/>
    <s v="EXCLUSAO  ANOT.INADIMPLENCIA"/>
    <x v="144"/>
    <x v="12"/>
    <s v="2025-05"/>
    <x v="31"/>
    <s v="PROSPECTAR"/>
    <x v="167"/>
    <n v="1"/>
    <n v="0"/>
  </r>
  <r>
    <s v="028.511.223/0001-32"/>
    <x v="189"/>
    <s v="INCL/EXCL ANOT.INADIMPLENCIA"/>
    <x v="144"/>
    <x v="0"/>
    <s v="2025-05"/>
    <x v="31"/>
    <s v="ADMINISTRAÇÃO"/>
    <x v="189"/>
    <n v="1"/>
    <n v="1"/>
  </r>
  <r>
    <s v="028.650.970/0001-51"/>
    <x v="166"/>
    <s v="INCL/EXCL ANOT.INADIMPLENCIA"/>
    <x v="144"/>
    <x v="10"/>
    <s v="2025-05"/>
    <x v="31"/>
    <s v="ROGERIO "/>
    <x v="166"/>
    <n v="1"/>
    <n v="1"/>
  </r>
  <r>
    <s v="035.679.705/0001-61"/>
    <x v="171"/>
    <s v="EXCLUSAO  ANOT.INADIMPLENCIA"/>
    <x v="144"/>
    <x v="4"/>
    <s v="2025-05"/>
    <x v="31"/>
    <s v="NOELI SALETE"/>
    <x v="171"/>
    <n v="1"/>
    <n v="0"/>
  </r>
  <r>
    <s v="037.599.774/0001-90"/>
    <x v="201"/>
    <s v="INCLUSAO  ANOT.INADIMPLENCIA"/>
    <x v="144"/>
    <x v="21"/>
    <s v="2025-05"/>
    <x v="31"/>
    <s v="CAIO"/>
    <x v="201"/>
    <n v="0"/>
    <n v="1"/>
  </r>
  <r>
    <s v="038.405.720/0001-00"/>
    <x v="202"/>
    <s v="EXCLUSAO  ANOT.INADIMPLENCIA"/>
    <x v="144"/>
    <x v="18"/>
    <s v="2025-05"/>
    <x v="31"/>
    <s v="SEM GERENTE"/>
    <x v="202"/>
    <n v="1"/>
    <n v="0"/>
  </r>
  <r>
    <s v="043.515.558/0001-12"/>
    <x v="176"/>
    <s v="EXCLUSAO  ANOT.INADIMPLENCIA"/>
    <x v="144"/>
    <x v="10"/>
    <s v="2025-05"/>
    <x v="31"/>
    <s v="ROGERIO "/>
    <x v="176"/>
    <n v="1"/>
    <n v="0"/>
  </r>
  <r>
    <s v="044.126.379/0001-56"/>
    <x v="187"/>
    <s v="INCL/EXCL ANOT.INADIMPLENCIA"/>
    <x v="144"/>
    <x v="1"/>
    <s v="2025-05"/>
    <x v="31"/>
    <s v="CELIO PIMENTA"/>
    <x v="187"/>
    <n v="1"/>
    <n v="1"/>
  </r>
  <r>
    <s v="044.637.793/0001-20"/>
    <x v="146"/>
    <s v="INCLUSAO  ANOT.INADIMPLENCIA"/>
    <x v="144"/>
    <x v="0"/>
    <s v="2025-05"/>
    <x v="31"/>
    <s v="ADMINISTRAÇÃO"/>
    <x v="146"/>
    <n v="0"/>
    <n v="1"/>
  </r>
  <r>
    <s v="050.901.671/0001-00"/>
    <x v="126"/>
    <s v="EXCLUSAO  ANOT.INADIMPLENCIA"/>
    <x v="144"/>
    <x v="10"/>
    <s v="2025-05"/>
    <x v="31"/>
    <s v="ROGERIO "/>
    <x v="126"/>
    <n v="1"/>
    <n v="0"/>
  </r>
  <r>
    <s v="000.803.044/0001-50"/>
    <x v="45"/>
    <s v="EXCLUSAO  ANOT.INADIMPLENCIA"/>
    <x v="145"/>
    <x v="0"/>
    <s v="2025-05"/>
    <x v="32"/>
    <s v="ADMINISTRAÇÃO"/>
    <x v="45"/>
    <n v="1"/>
    <n v="0"/>
  </r>
  <r>
    <s v="005.363.690/0001-67"/>
    <x v="90"/>
    <s v="EXCLUSAO  ANOT.INADIMPLENCIA"/>
    <x v="145"/>
    <x v="12"/>
    <s v="2025-05"/>
    <x v="32"/>
    <s v="PROSPECTAR"/>
    <x v="90"/>
    <n v="1"/>
    <n v="0"/>
  </r>
  <r>
    <s v="005.997.418/0001-39"/>
    <x v="165"/>
    <s v="EXCLUSAO  ANOT.INADIMPLENCIA"/>
    <x v="145"/>
    <x v="6"/>
    <s v="2025-05"/>
    <x v="32"/>
    <s v="RAFAEL PARISE"/>
    <x v="165"/>
    <n v="1"/>
    <n v="0"/>
  </r>
  <r>
    <s v="007.102.721/0001-51"/>
    <x v="44"/>
    <s v="EXCLUSAO  ANOT.INADIMPLENCIA"/>
    <x v="145"/>
    <x v="12"/>
    <s v="2025-05"/>
    <x v="32"/>
    <s v="PROSPECTAR"/>
    <x v="44"/>
    <n v="1"/>
    <n v="0"/>
  </r>
  <r>
    <s v="007.561.436/0001-07"/>
    <x v="34"/>
    <s v="EXCLUSAO  ANOT.INADIMPLENCIA"/>
    <x v="145"/>
    <x v="12"/>
    <s v="2025-05"/>
    <x v="32"/>
    <s v="PROSPECTAR"/>
    <x v="34"/>
    <n v="1"/>
    <n v="0"/>
  </r>
  <r>
    <s v="012.520.791/0001-60"/>
    <x v="4"/>
    <s v="INCLUSAO  ANOT.INADIMPLENCIA"/>
    <x v="145"/>
    <x v="1"/>
    <s v="2025-05"/>
    <x v="32"/>
    <s v="CELIO PIMENTA"/>
    <x v="4"/>
    <n v="0"/>
    <n v="1"/>
  </r>
  <r>
    <s v="013.323.483/0001-07"/>
    <x v="199"/>
    <s v="EXCLUSAO  ANOT.INADIMPLENCIA"/>
    <x v="145"/>
    <x v="21"/>
    <s v="2025-05"/>
    <x v="32"/>
    <s v="CAIO"/>
    <x v="199"/>
    <n v="1"/>
    <n v="0"/>
  </r>
  <r>
    <s v="020.024.081/0001-77"/>
    <x v="177"/>
    <s v="EXCLUSAO  ANOT.INADIMPLENCIA"/>
    <x v="145"/>
    <x v="10"/>
    <s v="2025-05"/>
    <x v="32"/>
    <s v="ROGERIO "/>
    <x v="177"/>
    <n v="1"/>
    <n v="0"/>
  </r>
  <r>
    <s v="022.998.836/0001-60"/>
    <x v="24"/>
    <s v="EXCLUSAO  ANOT.INADIMPLENCIA"/>
    <x v="145"/>
    <x v="0"/>
    <s v="2025-05"/>
    <x v="32"/>
    <s v="ADMINISTRAÇÃO"/>
    <x v="24"/>
    <n v="1"/>
    <n v="0"/>
  </r>
  <r>
    <s v="024.331.138/0001-31"/>
    <x v="87"/>
    <s v="INCLUSAO  ANOT.INADIMPLENCIA"/>
    <x v="145"/>
    <x v="12"/>
    <s v="2025-05"/>
    <x v="32"/>
    <s v="PROSPECTAR"/>
    <x v="87"/>
    <n v="0"/>
    <n v="1"/>
  </r>
  <r>
    <s v="028.477.685/0001-80"/>
    <x v="95"/>
    <s v="EXCLUSAO  ANOT.INADIMPLENCIA"/>
    <x v="145"/>
    <x v="5"/>
    <s v="2025-05"/>
    <x v="32"/>
    <s v="POENATELA"/>
    <x v="95"/>
    <n v="1"/>
    <n v="0"/>
  </r>
  <r>
    <s v="028.511.223/0001-32"/>
    <x v="189"/>
    <s v="INCL/EXCL ANOT.INADIMPLENCIA"/>
    <x v="145"/>
    <x v="0"/>
    <s v="2025-05"/>
    <x v="32"/>
    <s v="ADMINISTRAÇÃO"/>
    <x v="189"/>
    <n v="1"/>
    <n v="1"/>
  </r>
  <r>
    <s v="044.470.678/0001-03"/>
    <x v="203"/>
    <s v="EXCLUSAO  ANOT.INADIMPLENCIA"/>
    <x v="145"/>
    <x v="9"/>
    <s v="2025-05"/>
    <x v="32"/>
    <s v="PRISCILA METZ"/>
    <x v="203"/>
    <n v="1"/>
    <n v="0"/>
  </r>
  <r>
    <s v="046.140.062/0001-08"/>
    <x v="68"/>
    <s v="EXCLUSAO  ANOT.INADIMPLENCIA"/>
    <x v="145"/>
    <x v="4"/>
    <s v="2025-05"/>
    <x v="32"/>
    <s v="NOELI SALETE"/>
    <x v="68"/>
    <n v="1"/>
    <n v="0"/>
  </r>
  <r>
    <s v="046.674.060/0001-90"/>
    <x v="140"/>
    <s v="EXCLUSAO  ANOT.INADIMPLENCIA"/>
    <x v="145"/>
    <x v="10"/>
    <s v="2025-05"/>
    <x v="32"/>
    <s v="ROGERIO "/>
    <x v="140"/>
    <n v="1"/>
    <n v="0"/>
  </r>
  <r>
    <s v="093.274.124/0001-46"/>
    <x v="82"/>
    <s v="EXCLUSAO  ANOT.INADIMPLENCIA"/>
    <x v="145"/>
    <x v="4"/>
    <s v="2025-05"/>
    <x v="32"/>
    <s v="NOELI SALETE"/>
    <x v="82"/>
    <n v="1"/>
    <n v="0"/>
  </r>
  <r>
    <s v="000.803.044/0001-50"/>
    <x v="45"/>
    <s v="EXCLUSAO  ANOT.INADIMPLENCIA"/>
    <x v="146"/>
    <x v="0"/>
    <s v="2025-05"/>
    <x v="32"/>
    <s v="ADMINISTRAÇÃO"/>
    <x v="45"/>
    <n v="1"/>
    <n v="0"/>
  </r>
  <r>
    <s v="007.102.721/0001-51"/>
    <x v="44"/>
    <s v="INCL/EXCL ANOT.INADIMPLENCIA"/>
    <x v="146"/>
    <x v="12"/>
    <s v="2025-05"/>
    <x v="32"/>
    <s v="PROSPECTAR"/>
    <x v="44"/>
    <n v="1"/>
    <n v="1"/>
  </r>
  <r>
    <s v="008.250.872/0001-10"/>
    <x v="121"/>
    <s v="INCLUSAO  ANOT.INADIMPLENCIA"/>
    <x v="146"/>
    <x v="6"/>
    <s v="2025-05"/>
    <x v="32"/>
    <s v="RAFAEL PARISE"/>
    <x v="121"/>
    <n v="0"/>
    <n v="1"/>
  </r>
  <r>
    <s v="012.520.791/0001-60"/>
    <x v="4"/>
    <s v="INCLUSAO  ANOT.INADIMPLENCIA"/>
    <x v="146"/>
    <x v="1"/>
    <s v="2025-05"/>
    <x v="32"/>
    <s v="CELIO PIMENTA"/>
    <x v="4"/>
    <n v="0"/>
    <n v="1"/>
  </r>
  <r>
    <s v="016.757.535/0001-41"/>
    <x v="29"/>
    <s v="EXCLUSAO  ANOT.INADIMPLENCIA"/>
    <x v="146"/>
    <x v="11"/>
    <s v="2025-05"/>
    <x v="32"/>
    <s v="DIOGO AZEVEDO"/>
    <x v="29"/>
    <n v="1"/>
    <n v="0"/>
  </r>
  <r>
    <s v="018.868.117/0001-57"/>
    <x v="163"/>
    <s v="INCLUSAO  ANOT.INADIMPLENCIA"/>
    <x v="146"/>
    <x v="5"/>
    <s v="2025-05"/>
    <x v="32"/>
    <s v="POENATELA"/>
    <x v="163"/>
    <n v="0"/>
    <n v="1"/>
  </r>
  <r>
    <s v="019.450.138/0001-10"/>
    <x v="70"/>
    <s v="EXCLUSAO  ANOT.INADIMPLENCIA"/>
    <x v="146"/>
    <x v="17"/>
    <s v="2025-05"/>
    <x v="32"/>
    <s v="MARCIO LEONEL"/>
    <x v="70"/>
    <n v="1"/>
    <n v="0"/>
  </r>
  <r>
    <s v="020.024.081/0001-77"/>
    <x v="177"/>
    <s v="EXCLUSAO  ANOT.INADIMPLENCIA"/>
    <x v="146"/>
    <x v="10"/>
    <s v="2025-05"/>
    <x v="32"/>
    <s v="ROGERIO "/>
    <x v="177"/>
    <n v="1"/>
    <n v="0"/>
  </r>
  <r>
    <s v="021.420.856/0001-96"/>
    <x v="129"/>
    <s v="INCL/EXCL ANOT.INADIMPLENCIA"/>
    <x v="146"/>
    <x v="19"/>
    <s v="2025-05"/>
    <x v="32"/>
    <s v="JOSE ROBERTO"/>
    <x v="129"/>
    <n v="1"/>
    <n v="1"/>
  </r>
  <r>
    <s v="024.331.138/0001-31"/>
    <x v="87"/>
    <s v="INCLUSAO  ANOT.INADIMPLENCIA"/>
    <x v="146"/>
    <x v="12"/>
    <s v="2025-05"/>
    <x v="32"/>
    <s v="PROSPECTAR"/>
    <x v="87"/>
    <n v="0"/>
    <n v="1"/>
  </r>
  <r>
    <s v="028.393.466/0001-13"/>
    <x v="167"/>
    <s v="INCLUSAO  ANOT.INADIMPLENCIA"/>
    <x v="146"/>
    <x v="12"/>
    <s v="2025-05"/>
    <x v="32"/>
    <s v="PROSPECTAR"/>
    <x v="167"/>
    <n v="0"/>
    <n v="1"/>
  </r>
  <r>
    <s v="028.511.223/0001-32"/>
    <x v="189"/>
    <s v="INCL/EXCL ANOT.INADIMPLENCIA"/>
    <x v="146"/>
    <x v="0"/>
    <s v="2025-05"/>
    <x v="32"/>
    <s v="ADMINISTRAÇÃO"/>
    <x v="189"/>
    <n v="1"/>
    <n v="1"/>
  </r>
  <r>
    <s v="035.165.246/0001-06"/>
    <x v="104"/>
    <s v="INCLUSAO  ANOT.INADIMPLENCIA"/>
    <x v="146"/>
    <x v="3"/>
    <s v="2025-05"/>
    <x v="32"/>
    <s v="MARCUS VINICIUS "/>
    <x v="104"/>
    <n v="0"/>
    <n v="1"/>
  </r>
  <r>
    <s v="035.679.705/0001-61"/>
    <x v="171"/>
    <s v="INCLUSAO  ANOT.INADIMPLENCIA"/>
    <x v="146"/>
    <x v="4"/>
    <s v="2025-05"/>
    <x v="32"/>
    <s v="NOELI SALETE"/>
    <x v="171"/>
    <n v="0"/>
    <n v="1"/>
  </r>
  <r>
    <s v="037.828.375/0001-54"/>
    <x v="39"/>
    <s v="INCLUSAO  ANOT.INADIMPLENCIA"/>
    <x v="146"/>
    <x v="5"/>
    <s v="2025-05"/>
    <x v="32"/>
    <s v="POENATELA"/>
    <x v="39"/>
    <n v="0"/>
    <n v="1"/>
  </r>
  <r>
    <s v="043.515.558/0001-12"/>
    <x v="176"/>
    <s v="INCLUSAO  ANOT.INADIMPLENCIA"/>
    <x v="146"/>
    <x v="10"/>
    <s v="2025-05"/>
    <x v="32"/>
    <s v="ROGERIO "/>
    <x v="176"/>
    <n v="0"/>
    <n v="1"/>
  </r>
  <r>
    <s v="045.452.509/0001-03"/>
    <x v="172"/>
    <s v="INCLUSAO  ANOT.INADIMPLENCIA"/>
    <x v="146"/>
    <x v="4"/>
    <s v="2025-05"/>
    <x v="32"/>
    <s v="NOELI SALETE"/>
    <x v="172"/>
    <n v="0"/>
    <n v="1"/>
  </r>
  <r>
    <s v="055.979.736/0001-45"/>
    <x v="63"/>
    <s v="INCLUSAO  ANOT.INADIMPLENCIA"/>
    <x v="146"/>
    <x v="16"/>
    <s v="2025-05"/>
    <x v="32"/>
    <s v="SACADO"/>
    <x v="63"/>
    <n v="0"/>
    <n v="1"/>
  </r>
  <r>
    <s v="056.146.561/0001-58"/>
    <x v="204"/>
    <s v="INCLUSAO  ANOT.INADIMPLENCIA"/>
    <x v="146"/>
    <x v="1"/>
    <s v="2025-05"/>
    <x v="32"/>
    <s v="CELIO PIMENTA"/>
    <x v="204"/>
    <n v="0"/>
    <n v="1"/>
  </r>
  <r>
    <s v="004.126.524/0001-84"/>
    <x v="28"/>
    <s v="INCLUSAO  ANOT.INADIMPLENCIA"/>
    <x v="147"/>
    <x v="0"/>
    <s v="2025-05"/>
    <x v="32"/>
    <s v="ADMINISTRAÇÃO"/>
    <x v="28"/>
    <n v="0"/>
    <n v="1"/>
  </r>
  <r>
    <s v="007.102.721/0001-51"/>
    <x v="44"/>
    <s v="INCLUSAO  ANOT.INADIMPLENCIA"/>
    <x v="147"/>
    <x v="12"/>
    <s v="2025-05"/>
    <x v="32"/>
    <s v="PROSPECTAR"/>
    <x v="44"/>
    <n v="0"/>
    <n v="1"/>
  </r>
  <r>
    <s v="012.520.791/0001-60"/>
    <x v="4"/>
    <s v="INCLUSAO  ANOT.INADIMPLENCIA"/>
    <x v="147"/>
    <x v="1"/>
    <s v="2025-05"/>
    <x v="32"/>
    <s v="CELIO PIMENTA"/>
    <x v="4"/>
    <n v="0"/>
    <n v="1"/>
  </r>
  <r>
    <s v="016.772.642/0001-49"/>
    <x v="69"/>
    <s v="EXCLUSAO  ANOT.INADIMPLENCIA"/>
    <x v="147"/>
    <x v="0"/>
    <s v="2025-05"/>
    <x v="32"/>
    <s v="ADMINISTRAÇÃO"/>
    <x v="69"/>
    <n v="1"/>
    <n v="0"/>
  </r>
  <r>
    <s v="018.868.117/0001-57"/>
    <x v="163"/>
    <s v="INCLUSAO  ANOT.INADIMPLENCIA"/>
    <x v="147"/>
    <x v="5"/>
    <s v="2025-05"/>
    <x v="32"/>
    <s v="POENATELA"/>
    <x v="163"/>
    <n v="0"/>
    <n v="1"/>
  </r>
  <r>
    <s v="020.066.300/0001-80"/>
    <x v="2"/>
    <s v="INCLUSAO  ANOT.INADIMPLENCIA"/>
    <x v="147"/>
    <x v="1"/>
    <s v="2025-05"/>
    <x v="32"/>
    <s v="CELIO PIMENTA"/>
    <x v="2"/>
    <n v="0"/>
    <n v="1"/>
  </r>
  <r>
    <s v="021.382.943/0001-04"/>
    <x v="205"/>
    <s v="INCLUSAO  ANOT.INADIMPLENCIA"/>
    <x v="147"/>
    <x v="0"/>
    <s v="2025-05"/>
    <x v="32"/>
    <s v="ADMINISTRAÇÃO"/>
    <x v="205"/>
    <n v="0"/>
    <n v="1"/>
  </r>
  <r>
    <s v="021.420.856/0001-96"/>
    <x v="129"/>
    <s v="INCLUSAO  ANOT.INADIMPLENCIA"/>
    <x v="147"/>
    <x v="19"/>
    <s v="2025-05"/>
    <x v="32"/>
    <s v="JOSE ROBERTO"/>
    <x v="129"/>
    <n v="0"/>
    <n v="1"/>
  </r>
  <r>
    <s v="023.605.544/0001-82"/>
    <x v="21"/>
    <s v="INCLUSAO  ANOT.INADIMPLENCIA"/>
    <x v="147"/>
    <x v="9"/>
    <s v="2025-05"/>
    <x v="32"/>
    <s v="PRISCILA METZ"/>
    <x v="21"/>
    <n v="0"/>
    <n v="1"/>
  </r>
  <r>
    <s v="023.909.177/0001-00"/>
    <x v="102"/>
    <s v="INCLUSAO  ANOT.INADIMPLENCIA"/>
    <x v="147"/>
    <x v="7"/>
    <s v="2025-05"/>
    <x v="32"/>
    <s v="WHELKYA IRIS"/>
    <x v="102"/>
    <n v="0"/>
    <n v="1"/>
  </r>
  <r>
    <s v="025.825.654/0001-85"/>
    <x v="7"/>
    <s v="INCLUSAO  ANOT.INADIMPLENCIA"/>
    <x v="147"/>
    <x v="3"/>
    <s v="2025-05"/>
    <x v="32"/>
    <s v="MARCUS VINICIUS "/>
    <x v="7"/>
    <n v="0"/>
    <n v="1"/>
  </r>
  <r>
    <s v="027.180.131/0001-54"/>
    <x v="188"/>
    <s v="EXCLUSAO  ANOT.INADIMPLENCIA"/>
    <x v="147"/>
    <x v="9"/>
    <s v="2025-05"/>
    <x v="32"/>
    <s v="PRISCILA METZ"/>
    <x v="188"/>
    <n v="1"/>
    <n v="0"/>
  </r>
  <r>
    <s v="028.393.466/0001-13"/>
    <x v="167"/>
    <s v="INCL/EXCL ANOT.INADIMPLENCIA"/>
    <x v="147"/>
    <x v="12"/>
    <s v="2025-05"/>
    <x v="32"/>
    <s v="PROSPECTAR"/>
    <x v="167"/>
    <n v="1"/>
    <n v="1"/>
  </r>
  <r>
    <s v="028.511.223/0001-32"/>
    <x v="189"/>
    <s v="INCL/EXCL ANOT.INADIMPLENCIA"/>
    <x v="147"/>
    <x v="0"/>
    <s v="2025-05"/>
    <x v="32"/>
    <s v="ADMINISTRAÇÃO"/>
    <x v="189"/>
    <n v="1"/>
    <n v="1"/>
  </r>
  <r>
    <s v="028.650.970/0001-51"/>
    <x v="166"/>
    <s v="INCLUSAO  ANOT.INADIMPLENCIA"/>
    <x v="147"/>
    <x v="10"/>
    <s v="2025-05"/>
    <x v="32"/>
    <s v="ROGERIO "/>
    <x v="166"/>
    <n v="0"/>
    <n v="1"/>
  </r>
  <r>
    <s v="032.213.847/0001-40"/>
    <x v="198"/>
    <s v="EXCLUSAO  ANOT.INADIMPLENCIA"/>
    <x v="147"/>
    <x v="9"/>
    <s v="2025-05"/>
    <x v="32"/>
    <s v="PRISCILA METZ"/>
    <x v="198"/>
    <n v="1"/>
    <n v="0"/>
  </r>
  <r>
    <s v="055.466.241/0001-12"/>
    <x v="181"/>
    <s v="INCLUSAO  ANOT.INADIMPLENCIA"/>
    <x v="147"/>
    <x v="12"/>
    <s v="2025-05"/>
    <x v="32"/>
    <s v="PROSPECTAR"/>
    <x v="181"/>
    <n v="0"/>
    <n v="1"/>
  </r>
  <r>
    <s v="057.696.093/0001-58"/>
    <x v="206"/>
    <s v="INCLUSAO  ANOT.INADIMPLENCIA"/>
    <x v="148"/>
    <x v="1"/>
    <s v="2025-05"/>
    <x v="33"/>
    <s v="CELIO PIMENTA"/>
    <x v="206"/>
    <n v="0"/>
    <n v="1"/>
  </r>
  <r>
    <s v="086.490.885/0001-70"/>
    <x v="207"/>
    <s v="INCLUSAO  ANOT.INADIMPLENCIA"/>
    <x v="147"/>
    <x v="6"/>
    <s v="2025-05"/>
    <x v="32"/>
    <s v="RAFAEL PARISE"/>
    <x v="207"/>
    <n v="0"/>
    <n v="1"/>
  </r>
  <r>
    <s v="007.102.721/0001-51"/>
    <x v="44"/>
    <s v="EXCLUSAO  ANOT.INADIMPLENCIA"/>
    <x v="149"/>
    <x v="12"/>
    <s v="2025-05"/>
    <x v="32"/>
    <s v="PROSPECTAR"/>
    <x v="44"/>
    <n v="1"/>
    <n v="0"/>
  </r>
  <r>
    <s v="016.772.642/0001-49"/>
    <x v="69"/>
    <s v="INCLUSAO  ANOT.INADIMPLENCIA"/>
    <x v="149"/>
    <x v="0"/>
    <s v="2025-05"/>
    <x v="32"/>
    <s v="ADMINISTRAÇÃO"/>
    <x v="69"/>
    <n v="0"/>
    <n v="1"/>
  </r>
  <r>
    <s v="018.868.117/0001-57"/>
    <x v="163"/>
    <s v="EXCLUSAO  ANOT.INADIMPLENCIA"/>
    <x v="149"/>
    <x v="5"/>
    <s v="2025-05"/>
    <x v="32"/>
    <s v="POENATELA"/>
    <x v="163"/>
    <n v="1"/>
    <n v="0"/>
  </r>
  <r>
    <s v="020.066.300/0001-80"/>
    <x v="2"/>
    <s v="INCLUSAO  ANOT.INADIMPLENCIA"/>
    <x v="149"/>
    <x v="1"/>
    <s v="2025-05"/>
    <x v="32"/>
    <s v="CELIO PIMENTA"/>
    <x v="2"/>
    <n v="0"/>
    <n v="1"/>
  </r>
  <r>
    <s v="021.382.943/0001-04"/>
    <x v="205"/>
    <s v="INCLUSAO  ANOT.INADIMPLENCIA"/>
    <x v="149"/>
    <x v="0"/>
    <s v="2025-05"/>
    <x v="32"/>
    <s v="ADMINISTRAÇÃO"/>
    <x v="205"/>
    <n v="0"/>
    <n v="1"/>
  </r>
  <r>
    <s v="021.420.856/0001-96"/>
    <x v="129"/>
    <s v="EXCLUSAO  ANOT.INADIMPLENCIA"/>
    <x v="149"/>
    <x v="19"/>
    <s v="2025-05"/>
    <x v="32"/>
    <s v="JOSE ROBERTO"/>
    <x v="129"/>
    <n v="1"/>
    <n v="0"/>
  </r>
  <r>
    <s v="028.511.223/0001-32"/>
    <x v="189"/>
    <s v="INCLUSAO  ANOT.INADIMPLENCIA"/>
    <x v="149"/>
    <x v="0"/>
    <s v="2025-05"/>
    <x v="32"/>
    <s v="ADMINISTRAÇÃO"/>
    <x v="189"/>
    <n v="0"/>
    <n v="1"/>
  </r>
  <r>
    <s v="028.556.973/0001-20"/>
    <x v="118"/>
    <s v="INCLUSAO  ANOT.INADIMPLENCIA"/>
    <x v="149"/>
    <x v="1"/>
    <s v="2025-05"/>
    <x v="32"/>
    <s v="CELIO PIMENTA"/>
    <x v="118"/>
    <n v="0"/>
    <n v="1"/>
  </r>
  <r>
    <s v="028.650.970/0001-51"/>
    <x v="166"/>
    <s v="INCLUSAO  ANOT.INADIMPLENCIA"/>
    <x v="149"/>
    <x v="10"/>
    <s v="2025-05"/>
    <x v="32"/>
    <s v="ROGERIO "/>
    <x v="166"/>
    <n v="0"/>
    <n v="1"/>
  </r>
  <r>
    <s v="048.956.491/0001-75"/>
    <x v="179"/>
    <s v="INCLUSAO  ANOT.INADIMPLENCIA"/>
    <x v="149"/>
    <x v="12"/>
    <s v="2025-05"/>
    <x v="32"/>
    <s v="PROSPECTAR"/>
    <x v="179"/>
    <n v="0"/>
    <n v="1"/>
  </r>
  <r>
    <s v="056.146.561/0001-58"/>
    <x v="204"/>
    <s v="EXCLUSAO  ANOT.INADIMPLENCIA"/>
    <x v="149"/>
    <x v="1"/>
    <s v="2025-05"/>
    <x v="32"/>
    <s v="CELIO PIMENTA"/>
    <x v="204"/>
    <n v="1"/>
    <n v="0"/>
  </r>
  <r>
    <s v="004.067.472/0001-12"/>
    <x v="159"/>
    <s v="INCLUSAO  ANOT.INADIMPLENCIA"/>
    <x v="150"/>
    <x v="9"/>
    <s v="2025-05"/>
    <x v="32"/>
    <s v="PRISCILA METZ"/>
    <x v="159"/>
    <n v="0"/>
    <n v="1"/>
  </r>
  <r>
    <s v="007.561.436/0001-07"/>
    <x v="34"/>
    <s v="EXCLUSAO  ANOT.INADIMPLENCIA"/>
    <x v="150"/>
    <x v="12"/>
    <s v="2025-05"/>
    <x v="32"/>
    <s v="PROSPECTAR"/>
    <x v="34"/>
    <n v="1"/>
    <n v="0"/>
  </r>
  <r>
    <s v="016.772.642/0001-49"/>
    <x v="69"/>
    <s v="EXCLUSAO  ANOT.INADIMPLENCIA"/>
    <x v="150"/>
    <x v="0"/>
    <s v="2025-05"/>
    <x v="32"/>
    <s v="ADMINISTRAÇÃO"/>
    <x v="69"/>
    <n v="1"/>
    <n v="0"/>
  </r>
  <r>
    <s v="020.024.081/0001-77"/>
    <x v="177"/>
    <s v="INCLUSAO  ANOT.INADIMPLENCIA"/>
    <x v="150"/>
    <x v="10"/>
    <s v="2025-05"/>
    <x v="32"/>
    <s v="ROGERIO "/>
    <x v="177"/>
    <n v="0"/>
    <n v="1"/>
  </r>
  <r>
    <s v="020.066.300/0001-80"/>
    <x v="2"/>
    <s v="INCLUSAO  ANOT.INADIMPLENCIA"/>
    <x v="150"/>
    <x v="1"/>
    <s v="2025-05"/>
    <x v="32"/>
    <s v="CELIO PIMENTA"/>
    <x v="2"/>
    <n v="0"/>
    <n v="1"/>
  </r>
  <r>
    <s v="021.420.856/0001-96"/>
    <x v="129"/>
    <s v="EXCLUSAO  ANOT.INADIMPLENCIA"/>
    <x v="150"/>
    <x v="19"/>
    <s v="2025-05"/>
    <x v="32"/>
    <s v="JOSE ROBERTO"/>
    <x v="129"/>
    <n v="1"/>
    <n v="0"/>
  </r>
  <r>
    <s v="021.734.108/0001-88"/>
    <x v="41"/>
    <s v="EXCLUSAO  ANOT.INADIMPLENCIA"/>
    <x v="150"/>
    <x v="0"/>
    <s v="2025-05"/>
    <x v="32"/>
    <s v="ADMINISTRAÇÃO"/>
    <x v="41"/>
    <n v="1"/>
    <n v="0"/>
  </r>
  <r>
    <s v="023.605.544/0001-82"/>
    <x v="21"/>
    <s v="INCLUSAO  ANOT.INADIMPLENCIA"/>
    <x v="150"/>
    <x v="9"/>
    <s v="2025-05"/>
    <x v="32"/>
    <s v="PRISCILA METZ"/>
    <x v="21"/>
    <n v="0"/>
    <n v="1"/>
  </r>
  <r>
    <s v="028.477.685/0001-80"/>
    <x v="95"/>
    <s v="EXCLUSAO  ANOT.INADIMPLENCIA"/>
    <x v="150"/>
    <x v="5"/>
    <s v="2025-05"/>
    <x v="32"/>
    <s v="POENATELA"/>
    <x v="95"/>
    <n v="1"/>
    <n v="0"/>
  </r>
  <r>
    <s v="040.582.798/0001-41"/>
    <x v="144"/>
    <s v="EXCLUSAO  ANOT.INADIMPLENCIA"/>
    <x v="150"/>
    <x v="16"/>
    <s v="2025-05"/>
    <x v="32"/>
    <s v="SACADO"/>
    <x v="144"/>
    <n v="1"/>
    <n v="0"/>
  </r>
  <r>
    <s v="050.164.951/0001-74"/>
    <x v="51"/>
    <s v="EXCLUSAO  ANOT.INADIMPLENCIA"/>
    <x v="150"/>
    <x v="0"/>
    <s v="2025-05"/>
    <x v="32"/>
    <s v="ADMINISTRAÇÃO"/>
    <x v="51"/>
    <n v="1"/>
    <n v="0"/>
  </r>
  <r>
    <s v="007.102.721/0001-51"/>
    <x v="44"/>
    <s v="INCLUSAO  ANOT.INADIMPLENCIA"/>
    <x v="151"/>
    <x v="12"/>
    <s v="2025-05"/>
    <x v="32"/>
    <s v="PROSPECTAR"/>
    <x v="44"/>
    <n v="0"/>
    <n v="1"/>
  </r>
  <r>
    <s v="045.452.509/0001-03"/>
    <x v="172"/>
    <s v="INCLUSAO  ANOT.INADIMPLENCIA"/>
    <x v="151"/>
    <x v="4"/>
    <s v="2025-05"/>
    <x v="32"/>
    <s v="NOELI SALETE"/>
    <x v="172"/>
    <n v="0"/>
    <n v="1"/>
  </r>
  <r>
    <s v="039.572.608/0001-26"/>
    <x v="208"/>
    <s v="EXCLUSAO  ANOT.INADIMPLENCIA"/>
    <x v="151"/>
    <x v="0"/>
    <s v="2025-05"/>
    <x v="32"/>
    <s v="ADMINISTRAÇÃO"/>
    <x v="208"/>
    <n v="1"/>
    <n v="0"/>
  </r>
  <r>
    <s v="037.828.375/0001-54"/>
    <x v="39"/>
    <s v="EXCLUSAO  ANOT.INADIMPLENCIA"/>
    <x v="151"/>
    <x v="5"/>
    <s v="2025-05"/>
    <x v="32"/>
    <s v="POENATELA"/>
    <x v="39"/>
    <n v="1"/>
    <n v="0"/>
  </r>
  <r>
    <s v="036.726.274/0001-00"/>
    <x v="133"/>
    <s v="INCLUSAO  ANOT.INADIMPLENCIA"/>
    <x v="151"/>
    <x v="1"/>
    <s v="2025-05"/>
    <x v="32"/>
    <s v="CELIO PIMENTA"/>
    <x v="133"/>
    <n v="0"/>
    <n v="1"/>
  </r>
  <r>
    <s v="035.679.705/0001-61"/>
    <x v="171"/>
    <s v="INCLUSAO  ANOT.INADIMPLENCIA"/>
    <x v="151"/>
    <x v="4"/>
    <s v="2025-05"/>
    <x v="32"/>
    <s v="NOELI SALETE"/>
    <x v="171"/>
    <n v="0"/>
    <n v="1"/>
  </r>
  <r>
    <s v="034.821.586/0001-77"/>
    <x v="38"/>
    <s v="INCLUSAO  ANOT.INADIMPLENCIA"/>
    <x v="151"/>
    <x v="3"/>
    <s v="2025-05"/>
    <x v="32"/>
    <s v="MARCUS VINICIUS "/>
    <x v="38"/>
    <n v="0"/>
    <n v="1"/>
  </r>
  <r>
    <s v="028.650.970/0001-51"/>
    <x v="166"/>
    <s v="INCLUSAO  ANOT.INADIMPLENCIA"/>
    <x v="151"/>
    <x v="10"/>
    <s v="2025-05"/>
    <x v="32"/>
    <s v="ROGERIO "/>
    <x v="166"/>
    <n v="0"/>
    <n v="1"/>
  </r>
  <r>
    <s v="028.556.973/0001-20"/>
    <x v="118"/>
    <s v="EXCLUSAO  ANOT.INADIMPLENCIA"/>
    <x v="151"/>
    <x v="1"/>
    <s v="2025-05"/>
    <x v="32"/>
    <s v="CELIO PIMENTA"/>
    <x v="118"/>
    <n v="1"/>
    <n v="0"/>
  </r>
  <r>
    <s v="028.511.223/0001-32"/>
    <x v="189"/>
    <s v="INCLUSAO  ANOT.INADIMPLENCIA"/>
    <x v="151"/>
    <x v="0"/>
    <s v="2025-05"/>
    <x v="32"/>
    <s v="ADMINISTRAÇÃO"/>
    <x v="189"/>
    <n v="0"/>
    <n v="1"/>
  </r>
  <r>
    <s v="028.393.466/0001-13"/>
    <x v="167"/>
    <s v="INCLUSAO  ANOT.INADIMPLENCIA"/>
    <x v="151"/>
    <x v="12"/>
    <s v="2025-05"/>
    <x v="32"/>
    <s v="PROSPECTAR"/>
    <x v="167"/>
    <n v="0"/>
    <n v="1"/>
  </r>
  <r>
    <s v="025.825.654/0001-85"/>
    <x v="7"/>
    <s v="INCLUSAO  ANOT.INADIMPLENCIA"/>
    <x v="151"/>
    <x v="3"/>
    <s v="2025-05"/>
    <x v="32"/>
    <s v="MARCUS VINICIUS "/>
    <x v="7"/>
    <n v="0"/>
    <n v="1"/>
  </r>
  <r>
    <s v="023.605.544/0001-82"/>
    <x v="21"/>
    <s v="INCLUSAO  ANOT.INADIMPLENCIA"/>
    <x v="151"/>
    <x v="9"/>
    <s v="2025-05"/>
    <x v="32"/>
    <s v="PRISCILA METZ"/>
    <x v="21"/>
    <n v="0"/>
    <n v="1"/>
  </r>
  <r>
    <s v="020.242.216/0001-70"/>
    <x v="209"/>
    <s v="INCLUSAO  ANOT.INADIMPLENCIA"/>
    <x v="151"/>
    <x v="27"/>
    <s v="2025-05"/>
    <x v="32"/>
    <s v="ALISSON DE SOUZA LIMA"/>
    <x v="209"/>
    <n v="0"/>
    <n v="1"/>
  </r>
  <r>
    <s v="020.066.300/0001-80"/>
    <x v="2"/>
    <s v="INCLUSAO  ANOT.INADIMPLENCIA"/>
    <x v="151"/>
    <x v="1"/>
    <s v="2025-05"/>
    <x v="32"/>
    <s v="CELIO PIMENTA"/>
    <x v="2"/>
    <n v="0"/>
    <n v="1"/>
  </r>
  <r>
    <s v="020.024.081/0001-77"/>
    <x v="177"/>
    <s v="INCLUSAO  ANOT.INADIMPLENCIA"/>
    <x v="151"/>
    <x v="10"/>
    <s v="2025-05"/>
    <x v="32"/>
    <s v="ROGERIO "/>
    <x v="177"/>
    <n v="0"/>
    <n v="1"/>
  </r>
  <r>
    <s v="016.772.642/0001-49"/>
    <x v="69"/>
    <s v="INCLUSAO  ANOT.INADIMPLENCIA"/>
    <x v="151"/>
    <x v="0"/>
    <s v="2025-05"/>
    <x v="32"/>
    <s v="ADMINISTRAÇÃO"/>
    <x v="69"/>
    <n v="0"/>
    <n v="1"/>
  </r>
  <r>
    <s v="008.250.872/0001-10"/>
    <x v="121"/>
    <s v="INCLUSAO  ANOT.INADIMPLENCIA"/>
    <x v="151"/>
    <x v="6"/>
    <s v="2025-05"/>
    <x v="32"/>
    <s v="RAFAEL PARISE"/>
    <x v="121"/>
    <n v="0"/>
    <n v="1"/>
  </r>
  <r>
    <s v="048.956.491/0001-75"/>
    <x v="179"/>
    <s v="EXCLUSAO  ANOT.INADIMPLENCIA"/>
    <x v="151"/>
    <x v="12"/>
    <s v="2025-05"/>
    <x v="32"/>
    <s v="PROSPECTAR"/>
    <x v="179"/>
    <n v="1"/>
    <n v="0"/>
  </r>
  <r>
    <s v="071.350.797/0001-03"/>
    <x v="48"/>
    <s v="INCLUSAO  ANOT.INADIMPLENCIA"/>
    <x v="151"/>
    <x v="10"/>
    <s v="2025-05"/>
    <x v="32"/>
    <s v="ROGERIO "/>
    <x v="48"/>
    <n v="0"/>
    <n v="1"/>
  </r>
  <r>
    <s v="000.803.044/0001-50"/>
    <x v="45"/>
    <s v="EXCLUSAO  ANOT.INADIMPLENCIA"/>
    <x v="152"/>
    <x v="0"/>
    <s v="2025-05"/>
    <x v="33"/>
    <s v="ADMINISTRAÇÃO"/>
    <x v="45"/>
    <n v="1"/>
    <n v="0"/>
  </r>
  <r>
    <s v="050.901.671/0001-00"/>
    <x v="126"/>
    <s v="INCLUSAO  ANOT.INADIMPLENCIA"/>
    <x v="152"/>
    <x v="10"/>
    <s v="2025-05"/>
    <x v="33"/>
    <s v="ROGERIO "/>
    <x v="126"/>
    <n v="0"/>
    <n v="1"/>
  </r>
  <r>
    <s v="049.344.344/0001-07"/>
    <x v="193"/>
    <s v="EXCLUSAO  ANOT.INADIMPLENCIA"/>
    <x v="152"/>
    <x v="9"/>
    <s v="2025-05"/>
    <x v="33"/>
    <s v="PRISCILA METZ"/>
    <x v="193"/>
    <n v="1"/>
    <n v="0"/>
  </r>
  <r>
    <s v="049.218.819/0001-19"/>
    <x v="150"/>
    <s v="INCLUSAO  ANOT.INADIMPLENCIA"/>
    <x v="152"/>
    <x v="11"/>
    <s v="2025-05"/>
    <x v="33"/>
    <s v="DIOGO AZEVEDO"/>
    <x v="150"/>
    <n v="0"/>
    <n v="1"/>
  </r>
  <r>
    <s v="048.956.491/0001-75"/>
    <x v="179"/>
    <s v="EXCLUSAO  ANOT.INADIMPLENCIA"/>
    <x v="152"/>
    <x v="12"/>
    <s v="2025-05"/>
    <x v="33"/>
    <s v="PROSPECTAR"/>
    <x v="179"/>
    <n v="1"/>
    <n v="0"/>
  </r>
  <r>
    <s v="046.778.324/0001-56"/>
    <x v="210"/>
    <s v="INCLUSAO  ANOT.INADIMPLENCIA"/>
    <x v="152"/>
    <x v="28"/>
    <s v="2025-05"/>
    <x v="33"/>
    <s v="PROSPER"/>
    <x v="210"/>
    <n v="0"/>
    <n v="1"/>
  </r>
  <r>
    <s v="045.452.509/0001-03"/>
    <x v="172"/>
    <s v="INCLUSAO  ANOT.INADIMPLENCIA"/>
    <x v="152"/>
    <x v="4"/>
    <s v="2025-05"/>
    <x v="33"/>
    <s v="NOELI SALETE"/>
    <x v="172"/>
    <n v="0"/>
    <n v="1"/>
  </r>
  <r>
    <s v="043.515.558/0001-12"/>
    <x v="176"/>
    <s v="INCLUSAO  ANOT.INADIMPLENCIA"/>
    <x v="152"/>
    <x v="10"/>
    <s v="2025-05"/>
    <x v="33"/>
    <s v="ROGERIO "/>
    <x v="176"/>
    <n v="0"/>
    <n v="1"/>
  </r>
  <r>
    <s v="035.679.705/0001-61"/>
    <x v="171"/>
    <s v="INCLUSAO  ANOT.INADIMPLENCIA"/>
    <x v="152"/>
    <x v="4"/>
    <s v="2025-05"/>
    <x v="33"/>
    <s v="NOELI SALETE"/>
    <x v="171"/>
    <n v="0"/>
    <n v="1"/>
  </r>
  <r>
    <s v="032.552.159/0001-05"/>
    <x v="211"/>
    <s v="INCLUSAO  ANOT.INADIMPLENCIA"/>
    <x v="152"/>
    <x v="27"/>
    <s v="2025-05"/>
    <x v="33"/>
    <s v="ALISSON DE SOUZA LIMA"/>
    <x v="211"/>
    <n v="0"/>
    <n v="1"/>
  </r>
  <r>
    <s v="051.980.425/0001-45"/>
    <x v="173"/>
    <s v="INCLUSAO  ANOT.INADIMPLENCIA"/>
    <x v="152"/>
    <x v="10"/>
    <s v="2025-05"/>
    <x v="33"/>
    <s v="ROGERIO "/>
    <x v="173"/>
    <n v="0"/>
    <n v="1"/>
  </r>
  <r>
    <s v="028.511.223/0001-32"/>
    <x v="189"/>
    <s v="INCLUSAO  ANOT.INADIMPLENCIA"/>
    <x v="152"/>
    <x v="0"/>
    <s v="2025-05"/>
    <x v="33"/>
    <s v="ADMINISTRAÇÃO"/>
    <x v="189"/>
    <n v="0"/>
    <n v="1"/>
  </r>
  <r>
    <s v="023.605.544/0001-82"/>
    <x v="21"/>
    <s v="INCLUSAO  ANOT.INADIMPLENCIA"/>
    <x v="152"/>
    <x v="9"/>
    <s v="2025-05"/>
    <x v="33"/>
    <s v="PRISCILA METZ"/>
    <x v="21"/>
    <n v="0"/>
    <n v="1"/>
  </r>
  <r>
    <s v="021.382.943/0001-04"/>
    <x v="205"/>
    <s v="INCLUSAO  ANOT.INADIMPLENCIA"/>
    <x v="152"/>
    <x v="0"/>
    <s v="2025-05"/>
    <x v="33"/>
    <s v="ADMINISTRAÇÃO"/>
    <x v="205"/>
    <n v="0"/>
    <n v="1"/>
  </r>
  <r>
    <s v="020.242.216/0001-70"/>
    <x v="209"/>
    <s v="INCLUSAO  ANOT.INADIMPLENCIA"/>
    <x v="152"/>
    <x v="27"/>
    <s v="2025-05"/>
    <x v="33"/>
    <s v="ALISSON DE SOUZA LIMA"/>
    <x v="209"/>
    <n v="0"/>
    <n v="1"/>
  </r>
  <r>
    <s v="020.024.081/0001-77"/>
    <x v="177"/>
    <s v="INCLUSAO  ANOT.INADIMPLENCIA"/>
    <x v="152"/>
    <x v="10"/>
    <s v="2025-05"/>
    <x v="33"/>
    <s v="ROGERIO "/>
    <x v="177"/>
    <n v="0"/>
    <n v="1"/>
  </r>
  <r>
    <s v="016.772.642/0001-49"/>
    <x v="69"/>
    <s v="INCLUSAO  ANOT.INADIMPLENCIA"/>
    <x v="152"/>
    <x v="0"/>
    <s v="2025-05"/>
    <x v="33"/>
    <s v="ADMINISTRAÇÃO"/>
    <x v="69"/>
    <n v="0"/>
    <n v="1"/>
  </r>
  <r>
    <s v="012.520.791/0001-60"/>
    <x v="4"/>
    <s v="INCLUSAO  ANOT.INADIMPLENCIA"/>
    <x v="152"/>
    <x v="1"/>
    <s v="2025-05"/>
    <x v="33"/>
    <s v="CELIO PIMENTA"/>
    <x v="4"/>
    <n v="0"/>
    <n v="1"/>
  </r>
  <r>
    <s v="011.091.574/0001-39"/>
    <x v="26"/>
    <s v="EXCLUSAO  ANOT.INADIMPLENCIA"/>
    <x v="152"/>
    <x v="5"/>
    <s v="2025-05"/>
    <x v="33"/>
    <s v="POENATELA"/>
    <x v="26"/>
    <n v="1"/>
    <n v="0"/>
  </r>
  <r>
    <s v="007.102.721/0001-51"/>
    <x v="44"/>
    <s v="INCLUSAO  ANOT.INADIMPLENCIA"/>
    <x v="152"/>
    <x v="12"/>
    <s v="2025-05"/>
    <x v="33"/>
    <s v="PROSPECTAR"/>
    <x v="44"/>
    <n v="0"/>
    <n v="1"/>
  </r>
  <r>
    <s v="003.590.360/0001-89"/>
    <x v="3"/>
    <s v="EXCLUSAO  ANOT.INADIMPLENCIA"/>
    <x v="152"/>
    <x v="1"/>
    <s v="2025-05"/>
    <x v="33"/>
    <s v="CELIO PIMENTA"/>
    <x v="3"/>
    <n v="1"/>
    <n v="0"/>
  </r>
  <r>
    <s v="028.393.466/0001-13"/>
    <x v="167"/>
    <s v="INCLUSAO  ANOT.INADIMPLENCIA"/>
    <x v="152"/>
    <x v="12"/>
    <s v="2025-05"/>
    <x v="33"/>
    <s v="PROSPECTAR"/>
    <x v="167"/>
    <n v="0"/>
    <n v="1"/>
  </r>
  <r>
    <s v="071.350.797/0001-03"/>
    <x v="48"/>
    <s v="INCLUSAO  ANOT.INADIMPLENCIA"/>
    <x v="152"/>
    <x v="10"/>
    <s v="2025-05"/>
    <x v="33"/>
    <s v="ROGERIO "/>
    <x v="48"/>
    <n v="0"/>
    <n v="1"/>
  </r>
  <r>
    <s v="000.688.793/0001-83"/>
    <x v="149"/>
    <s v="INCLUSAO  ANOT.INADIMPLENCIA"/>
    <x v="153"/>
    <x v="1"/>
    <s v="2025-05"/>
    <x v="33"/>
    <s v="CELIO PIMENTA"/>
    <x v="149"/>
    <n v="0"/>
    <n v="1"/>
  </r>
  <r>
    <s v="050.164.951/0001-74"/>
    <x v="51"/>
    <s v="INCLUSAO  ANOT.INADIMPLENCIA"/>
    <x v="153"/>
    <x v="0"/>
    <s v="2025-05"/>
    <x v="33"/>
    <s v="ADMINISTRAÇÃO"/>
    <x v="51"/>
    <n v="0"/>
    <n v="1"/>
  </r>
  <r>
    <s v="049.218.819/0001-19"/>
    <x v="150"/>
    <s v="INCLUSAO  ANOT.INADIMPLENCIA"/>
    <x v="153"/>
    <x v="11"/>
    <s v="2025-05"/>
    <x v="33"/>
    <s v="DIOGO AZEVEDO"/>
    <x v="150"/>
    <n v="0"/>
    <n v="1"/>
  </r>
  <r>
    <s v="048.956.491/0001-75"/>
    <x v="179"/>
    <s v="INCLUSAO  ANOT.INADIMPLENCIA"/>
    <x v="153"/>
    <x v="12"/>
    <s v="2025-05"/>
    <x v="33"/>
    <s v="PROSPECTAR"/>
    <x v="179"/>
    <n v="0"/>
    <n v="1"/>
  </r>
  <r>
    <s v="045.452.509/0001-03"/>
    <x v="172"/>
    <s v="INCLUSAO  ANOT.INADIMPLENCIA"/>
    <x v="153"/>
    <x v="4"/>
    <s v="2025-05"/>
    <x v="33"/>
    <s v="NOELI SALETE"/>
    <x v="172"/>
    <n v="0"/>
    <n v="1"/>
  </r>
  <r>
    <s v="043.515.558/0001-12"/>
    <x v="176"/>
    <s v="INCLUSAO  ANOT.INADIMPLENCIA"/>
    <x v="153"/>
    <x v="10"/>
    <s v="2025-05"/>
    <x v="33"/>
    <s v="ROGERIO "/>
    <x v="176"/>
    <n v="0"/>
    <n v="1"/>
  </r>
  <r>
    <s v="037.599.774/0001-90"/>
    <x v="201"/>
    <s v="EXCLUSAO  ANOT.INADIMPLENCIA"/>
    <x v="153"/>
    <x v="21"/>
    <s v="2025-05"/>
    <x v="33"/>
    <s v="CAIO"/>
    <x v="201"/>
    <n v="1"/>
    <n v="0"/>
  </r>
  <r>
    <s v="035.679.705/0001-61"/>
    <x v="171"/>
    <s v="INCLUSAO  ANOT.INADIMPLENCIA"/>
    <x v="153"/>
    <x v="4"/>
    <s v="2025-05"/>
    <x v="33"/>
    <s v="NOELI SALETE"/>
    <x v="171"/>
    <n v="0"/>
    <n v="1"/>
  </r>
  <r>
    <s v="035.165.246/0001-06"/>
    <x v="104"/>
    <s v="INCL/EXCL ANOT.INADIMPLENCIA"/>
    <x v="153"/>
    <x v="3"/>
    <s v="2025-05"/>
    <x v="33"/>
    <s v="MARCUS VINICIUS "/>
    <x v="104"/>
    <n v="1"/>
    <n v="1"/>
  </r>
  <r>
    <s v="033.611.837/0001-26"/>
    <x v="212"/>
    <s v="INCLUSAO  ANOT.INADIMPLENCIA"/>
    <x v="153"/>
    <x v="10"/>
    <s v="2025-05"/>
    <x v="33"/>
    <s v="ROGERIO "/>
    <x v="212"/>
    <n v="0"/>
    <n v="1"/>
  </r>
  <r>
    <s v="028.511.223/0001-32"/>
    <x v="189"/>
    <s v="INCLUSAO  ANOT.INADIMPLENCIA"/>
    <x v="153"/>
    <x v="0"/>
    <s v="2025-05"/>
    <x v="33"/>
    <s v="ADMINISTRAÇÃO"/>
    <x v="189"/>
    <n v="0"/>
    <n v="1"/>
  </r>
  <r>
    <s v="028.393.466/0001-13"/>
    <x v="167"/>
    <s v="INCLUSAO  ANOT.INADIMPLENCIA"/>
    <x v="153"/>
    <x v="12"/>
    <s v="2025-05"/>
    <x v="33"/>
    <s v="PROSPECTAR"/>
    <x v="167"/>
    <n v="0"/>
    <n v="1"/>
  </r>
  <r>
    <s v="027.180.131/0001-54"/>
    <x v="188"/>
    <s v="EXCLUSAO  ANOT.INADIMPLENCIA"/>
    <x v="153"/>
    <x v="9"/>
    <s v="2025-05"/>
    <x v="33"/>
    <s v="PRISCILA METZ"/>
    <x v="188"/>
    <n v="1"/>
    <n v="0"/>
  </r>
  <r>
    <s v="025.094.292/0001-08"/>
    <x v="213"/>
    <s v="INCLUSAO  ANOT.INADIMPLENCIA"/>
    <x v="153"/>
    <x v="12"/>
    <s v="2025-05"/>
    <x v="33"/>
    <s v="PROSPECTAR"/>
    <x v="213"/>
    <n v="0"/>
    <n v="1"/>
  </r>
  <r>
    <s v="023.605.544/0001-82"/>
    <x v="21"/>
    <s v="INCLUSAO  ANOT.INADIMPLENCIA"/>
    <x v="153"/>
    <x v="9"/>
    <s v="2025-05"/>
    <x v="33"/>
    <s v="PRISCILA METZ"/>
    <x v="21"/>
    <n v="0"/>
    <n v="1"/>
  </r>
  <r>
    <s v="020.024.081/0001-77"/>
    <x v="177"/>
    <s v="INCL/EXCL ANOT.INADIMPLENCIA"/>
    <x v="153"/>
    <x v="10"/>
    <s v="2025-05"/>
    <x v="33"/>
    <s v="ROGERIO "/>
    <x v="177"/>
    <n v="1"/>
    <n v="1"/>
  </r>
  <r>
    <s v="016.757.535/0001-41"/>
    <x v="29"/>
    <s v="INCLUSAO  ANOT.INADIMPLENCIA"/>
    <x v="153"/>
    <x v="11"/>
    <s v="2025-05"/>
    <x v="33"/>
    <s v="DIOGO AZEVEDO"/>
    <x v="29"/>
    <n v="0"/>
    <n v="1"/>
  </r>
  <r>
    <s v="014.202.427/0001-87"/>
    <x v="214"/>
    <s v="INCLUSAO  ANOT.INADIMPLENCIA"/>
    <x v="153"/>
    <x v="21"/>
    <s v="2025-05"/>
    <x v="33"/>
    <s v="CAIO"/>
    <x v="214"/>
    <n v="0"/>
    <n v="1"/>
  </r>
  <r>
    <s v="013.749.701/0001-70"/>
    <x v="195"/>
    <s v="INCLUSAO  ANOT.INADIMPLENCIA"/>
    <x v="153"/>
    <x v="6"/>
    <s v="2025-05"/>
    <x v="33"/>
    <s v="RAFAEL PARISE"/>
    <x v="195"/>
    <n v="0"/>
    <n v="1"/>
  </r>
  <r>
    <s v="012.804.762/0001-20"/>
    <x v="67"/>
    <s v="EXCLUSAO  ANOT.INADIMPLENCIA"/>
    <x v="153"/>
    <x v="0"/>
    <s v="2025-05"/>
    <x v="33"/>
    <s v="ADMINISTRAÇÃO"/>
    <x v="67"/>
    <n v="1"/>
    <n v="0"/>
  </r>
  <r>
    <s v="012.520.791/0001-60"/>
    <x v="4"/>
    <s v="INCLUSAO  ANOT.INADIMPLENCIA"/>
    <x v="153"/>
    <x v="1"/>
    <s v="2025-05"/>
    <x v="33"/>
    <s v="CELIO PIMENTA"/>
    <x v="4"/>
    <n v="0"/>
    <n v="1"/>
  </r>
  <r>
    <s v="011.091.574/0001-39"/>
    <x v="26"/>
    <s v="INCLUSAO  ANOT.INADIMPLENCIA"/>
    <x v="153"/>
    <x v="5"/>
    <s v="2025-05"/>
    <x v="33"/>
    <s v="POENATELA"/>
    <x v="26"/>
    <n v="0"/>
    <n v="1"/>
  </r>
  <r>
    <s v="008.250.872/0001-10"/>
    <x v="121"/>
    <s v="INCLUSAO  ANOT.INADIMPLENCIA"/>
    <x v="153"/>
    <x v="6"/>
    <s v="2025-05"/>
    <x v="33"/>
    <s v="RAFAEL PARISE"/>
    <x v="121"/>
    <n v="0"/>
    <n v="1"/>
  </r>
  <r>
    <s v="007.102.721/0001-51"/>
    <x v="44"/>
    <s v="INCLUSAO  ANOT.INADIMPLENCIA"/>
    <x v="153"/>
    <x v="12"/>
    <s v="2025-05"/>
    <x v="33"/>
    <s v="PROSPECTAR"/>
    <x v="44"/>
    <n v="0"/>
    <n v="1"/>
  </r>
  <r>
    <s v="005.774.638/0001-01"/>
    <x v="197"/>
    <s v="INCLUSAO  ANOT.INADIMPLENCIA"/>
    <x v="153"/>
    <x v="21"/>
    <s v="2025-05"/>
    <x v="33"/>
    <s v="CAIO"/>
    <x v="197"/>
    <n v="0"/>
    <n v="1"/>
  </r>
  <r>
    <s v="004.622.554/0001-81"/>
    <x v="66"/>
    <s v="EXCLUSAO  ANOT.INADIMPLENCIA"/>
    <x v="153"/>
    <x v="4"/>
    <s v="2025-05"/>
    <x v="33"/>
    <s v="NOELI SALETE"/>
    <x v="66"/>
    <n v="1"/>
    <n v="0"/>
  </r>
  <r>
    <s v="055.979.736/0001-45"/>
    <x v="63"/>
    <s v="EXCLUSAO  ANOT.INADIMPLENCIA"/>
    <x v="153"/>
    <x v="16"/>
    <s v="2025-05"/>
    <x v="33"/>
    <s v="SACADO"/>
    <x v="63"/>
    <n v="1"/>
    <n v="0"/>
  </r>
  <r>
    <s v="057.696.093/0001-58"/>
    <x v="206"/>
    <s v="INCLUSAO  ANOT.INADIMPLENCIA"/>
    <x v="154"/>
    <x v="1"/>
    <s v="2025-05"/>
    <x v="34"/>
    <s v="CELIO PIMENTA"/>
    <x v="206"/>
    <n v="0"/>
    <n v="1"/>
  </r>
  <r>
    <s v="003.590.360/0001-89"/>
    <x v="3"/>
    <s v="INCLUSAO  ANOT.INADIMPLENCIA"/>
    <x v="155"/>
    <x v="1"/>
    <s v="2025-05"/>
    <x v="33"/>
    <s v="CELIO PIMENTA"/>
    <x v="3"/>
    <n v="0"/>
    <n v="1"/>
  </r>
  <r>
    <s v="007.102.721/0001-51"/>
    <x v="44"/>
    <s v="EXCLUSAO  ANOT.INADIMPLENCIA"/>
    <x v="155"/>
    <x v="12"/>
    <s v="2025-05"/>
    <x v="33"/>
    <s v="PROSPECTAR"/>
    <x v="44"/>
    <n v="1"/>
    <n v="0"/>
  </r>
  <r>
    <s v="008.250.872/0001-10"/>
    <x v="121"/>
    <s v="INCLUSAO  ANOT.INADIMPLENCIA"/>
    <x v="155"/>
    <x v="6"/>
    <s v="2025-05"/>
    <x v="33"/>
    <s v="RAFAEL PARISE"/>
    <x v="121"/>
    <n v="0"/>
    <n v="1"/>
  </r>
  <r>
    <s v="011.122.552/0001-99"/>
    <x v="59"/>
    <s v="INCLUSAO  ANOT.INADIMPLENCIA"/>
    <x v="155"/>
    <x v="6"/>
    <s v="2025-05"/>
    <x v="33"/>
    <s v="RAFAEL PARISE"/>
    <x v="59"/>
    <n v="0"/>
    <n v="1"/>
  </r>
  <r>
    <s v="012.520.791/0001-60"/>
    <x v="4"/>
    <s v="INCLUSAO  ANOT.INADIMPLENCIA"/>
    <x v="155"/>
    <x v="1"/>
    <s v="2025-05"/>
    <x v="33"/>
    <s v="CELIO PIMENTA"/>
    <x v="4"/>
    <n v="0"/>
    <n v="1"/>
  </r>
  <r>
    <s v="018.608.055/0001-44"/>
    <x v="131"/>
    <s v="INCLUSAO  ANOT.INADIMPLENCIA"/>
    <x v="155"/>
    <x v="3"/>
    <s v="2025-05"/>
    <x v="33"/>
    <s v="MARCUS VINICIUS "/>
    <x v="131"/>
    <n v="0"/>
    <n v="1"/>
  </r>
  <r>
    <s v="020.024.081/0001-77"/>
    <x v="177"/>
    <s v="INCLUSAO  ANOT.INADIMPLENCIA"/>
    <x v="155"/>
    <x v="10"/>
    <s v="2025-05"/>
    <x v="33"/>
    <s v="ROGERIO "/>
    <x v="177"/>
    <n v="0"/>
    <n v="1"/>
  </r>
  <r>
    <s v="020.242.216/0001-70"/>
    <x v="209"/>
    <s v="INCLUSAO  ANOT.INADIMPLENCIA"/>
    <x v="155"/>
    <x v="27"/>
    <s v="2025-05"/>
    <x v="33"/>
    <s v="ALISSON DE SOUZA LIMA"/>
    <x v="209"/>
    <n v="0"/>
    <n v="1"/>
  </r>
  <r>
    <s v="023.605.544/0001-82"/>
    <x v="21"/>
    <s v="EXCLUSAO  ANOT.INADIMPLENCIA"/>
    <x v="155"/>
    <x v="9"/>
    <s v="2025-05"/>
    <x v="33"/>
    <s v="PRISCILA METZ"/>
    <x v="21"/>
    <n v="1"/>
    <n v="0"/>
  </r>
  <r>
    <s v="023.637.987/0001-55"/>
    <x v="20"/>
    <s v="INCLUSAO  ANOT.INADIMPLENCIA"/>
    <x v="155"/>
    <x v="5"/>
    <s v="2025-05"/>
    <x v="33"/>
    <s v="POENATELA"/>
    <x v="20"/>
    <n v="0"/>
    <n v="1"/>
  </r>
  <r>
    <s v="028.393.466/0001-13"/>
    <x v="167"/>
    <s v="INCLUSAO  ANOT.INADIMPLENCIA"/>
    <x v="155"/>
    <x v="12"/>
    <s v="2025-05"/>
    <x v="33"/>
    <s v="PROSPECTAR"/>
    <x v="167"/>
    <n v="0"/>
    <n v="1"/>
  </r>
  <r>
    <s v="028.511.223/0001-32"/>
    <x v="189"/>
    <s v="INCLUSAO  ANOT.INADIMPLENCIA"/>
    <x v="155"/>
    <x v="0"/>
    <s v="2025-05"/>
    <x v="33"/>
    <s v="ADMINISTRAÇÃO"/>
    <x v="189"/>
    <n v="0"/>
    <n v="1"/>
  </r>
  <r>
    <s v="038.405.720/0001-00"/>
    <x v="202"/>
    <s v="INCLUSAO  ANOT.INADIMPLENCIA"/>
    <x v="155"/>
    <x v="18"/>
    <s v="2025-05"/>
    <x v="33"/>
    <s v="SEM GERENTE"/>
    <x v="202"/>
    <n v="0"/>
    <n v="1"/>
  </r>
  <r>
    <s v="044.032.421/0001-70"/>
    <x v="111"/>
    <s v="INCLUSAO  ANOT.INADIMPLENCIA"/>
    <x v="155"/>
    <x v="0"/>
    <s v="2025-05"/>
    <x v="33"/>
    <s v="ADMINISTRAÇÃO"/>
    <x v="111"/>
    <n v="0"/>
    <n v="1"/>
  </r>
  <r>
    <s v="044.126.379/0001-56"/>
    <x v="187"/>
    <s v="EXCLUSAO  ANOT.INADIMPLENCIA"/>
    <x v="155"/>
    <x v="1"/>
    <s v="2025-05"/>
    <x v="33"/>
    <s v="CELIO PIMENTA"/>
    <x v="187"/>
    <n v="1"/>
    <n v="0"/>
  </r>
  <r>
    <s v="049.218.819/0001-19"/>
    <x v="150"/>
    <s v="INCLUSAO  ANOT.INADIMPLENCIA"/>
    <x v="155"/>
    <x v="11"/>
    <s v="2025-05"/>
    <x v="33"/>
    <s v="DIOGO AZEVEDO"/>
    <x v="150"/>
    <n v="0"/>
    <n v="1"/>
  </r>
  <r>
    <s v="002.038.227/0001-51"/>
    <x v="55"/>
    <s v="INCLUSAO  ANOT.INADIMPLENCIA"/>
    <x v="156"/>
    <x v="1"/>
    <s v="2025-05"/>
    <x v="33"/>
    <s v="CELIO PIMENTA"/>
    <x v="55"/>
    <n v="0"/>
    <n v="1"/>
  </r>
  <r>
    <s v="038.405.720/0001-00"/>
    <x v="202"/>
    <s v="INCLUSAO  ANOT.INADIMPLENCIA"/>
    <x v="156"/>
    <x v="18"/>
    <s v="2025-05"/>
    <x v="33"/>
    <s v="SEM GERENTE"/>
    <x v="202"/>
    <n v="0"/>
    <n v="1"/>
  </r>
  <r>
    <s v="037.828.375/0001-54"/>
    <x v="39"/>
    <s v="EXCLUSAO  ANOT.INADIMPLENCIA"/>
    <x v="156"/>
    <x v="5"/>
    <s v="2025-05"/>
    <x v="33"/>
    <s v="POENATELA"/>
    <x v="39"/>
    <n v="1"/>
    <n v="0"/>
  </r>
  <r>
    <s v="033.611.837/0001-26"/>
    <x v="212"/>
    <s v="EXCLUSAO  ANOT.INADIMPLENCIA"/>
    <x v="156"/>
    <x v="10"/>
    <s v="2025-05"/>
    <x v="33"/>
    <s v="ROGERIO "/>
    <x v="212"/>
    <n v="1"/>
    <n v="0"/>
  </r>
  <r>
    <s v="032.781.707/0001-79"/>
    <x v="215"/>
    <s v="INCLUSAO  ANOT.INADIMPLENCIA"/>
    <x v="156"/>
    <x v="26"/>
    <s v="2025-05"/>
    <x v="33"/>
    <s v="ANTECIPA"/>
    <x v="215"/>
    <n v="0"/>
    <n v="1"/>
  </r>
  <r>
    <s v="028.511.223/0001-32"/>
    <x v="189"/>
    <s v="EXCLUSAO  ANOT.INADIMPLENCIA"/>
    <x v="156"/>
    <x v="0"/>
    <s v="2025-05"/>
    <x v="33"/>
    <s v="ADMINISTRAÇÃO"/>
    <x v="189"/>
    <n v="1"/>
    <n v="0"/>
  </r>
  <r>
    <s v="028.393.466/0001-13"/>
    <x v="167"/>
    <s v="INCLUSAO  ANOT.INADIMPLENCIA"/>
    <x v="156"/>
    <x v="12"/>
    <s v="2025-05"/>
    <x v="33"/>
    <s v="PROSPECTAR"/>
    <x v="167"/>
    <n v="0"/>
    <n v="1"/>
  </r>
  <r>
    <s v="027.508.008/0001-10"/>
    <x v="216"/>
    <s v="INCLUSAO  ANOT.INADIMPLENCIA"/>
    <x v="156"/>
    <x v="29"/>
    <s v="2025-05"/>
    <x v="33"/>
    <s v="DALVA"/>
    <x v="216"/>
    <n v="0"/>
    <n v="1"/>
  </r>
  <r>
    <s v="023.637.987/0001-55"/>
    <x v="20"/>
    <s v="EXCLUSAO  ANOT.INADIMPLENCIA"/>
    <x v="156"/>
    <x v="5"/>
    <s v="2025-05"/>
    <x v="33"/>
    <s v="POENATELA"/>
    <x v="20"/>
    <n v="1"/>
    <n v="0"/>
  </r>
  <r>
    <s v="020.242.216/0001-70"/>
    <x v="209"/>
    <s v="INCLUSAO  ANOT.INADIMPLENCIA"/>
    <x v="156"/>
    <x v="27"/>
    <s v="2025-05"/>
    <x v="33"/>
    <s v="ALISSON DE SOUZA LIMA"/>
    <x v="209"/>
    <n v="0"/>
    <n v="1"/>
  </r>
  <r>
    <s v="020.066.300/0001-80"/>
    <x v="2"/>
    <s v="INCLUSAO  ANOT.INADIMPLENCIA"/>
    <x v="156"/>
    <x v="1"/>
    <s v="2025-05"/>
    <x v="33"/>
    <s v="CELIO PIMENTA"/>
    <x v="2"/>
    <n v="0"/>
    <n v="1"/>
  </r>
  <r>
    <s v="012.645.814/0001-62"/>
    <x v="217"/>
    <s v="INCLUSAO  ANOT.INADIMPLENCIA"/>
    <x v="156"/>
    <x v="21"/>
    <s v="2025-05"/>
    <x v="33"/>
    <s v="CAIO"/>
    <x v="217"/>
    <n v="0"/>
    <n v="1"/>
  </r>
  <r>
    <s v="011.122.552/0001-99"/>
    <x v="59"/>
    <s v="INCLUSAO  ANOT.INADIMPLENCIA"/>
    <x v="156"/>
    <x v="6"/>
    <s v="2025-05"/>
    <x v="33"/>
    <s v="RAFAEL PARISE"/>
    <x v="59"/>
    <n v="0"/>
    <n v="1"/>
  </r>
  <r>
    <s v="008.991.603/0001-04"/>
    <x v="57"/>
    <s v="INCLUSAO  ANOT.INADIMPLENCIA"/>
    <x v="156"/>
    <x v="3"/>
    <s v="2025-05"/>
    <x v="33"/>
    <s v="MARCUS VINICIUS "/>
    <x v="57"/>
    <n v="0"/>
    <n v="1"/>
  </r>
  <r>
    <s v="007.102.721/0001-51"/>
    <x v="44"/>
    <s v="INCLUSAO  ANOT.INADIMPLENCIA"/>
    <x v="156"/>
    <x v="12"/>
    <s v="2025-05"/>
    <x v="33"/>
    <s v="PROSPECTAR"/>
    <x v="44"/>
    <n v="0"/>
    <n v="1"/>
  </r>
  <r>
    <s v="005.363.690/0001-67"/>
    <x v="90"/>
    <s v="EXCLUSAO  ANOT.INADIMPLENCIA"/>
    <x v="156"/>
    <x v="12"/>
    <s v="2025-05"/>
    <x v="33"/>
    <s v="PROSPECTAR"/>
    <x v="90"/>
    <n v="1"/>
    <n v="0"/>
  </r>
  <r>
    <s v="041.921.772/0001-43"/>
    <x v="218"/>
    <s v="ALTERACAO RAZAO SOCIAL"/>
    <x v="156"/>
    <x v="12"/>
    <s v="2025-05"/>
    <x v="33"/>
    <s v="PROSPECTAR"/>
    <x v="218"/>
    <n v="0"/>
    <n v="0"/>
  </r>
  <r>
    <s v="043.515.558/0001-12"/>
    <x v="176"/>
    <s v="EXCLUSAO  ANOT.INADIMPLENCIA"/>
    <x v="156"/>
    <x v="10"/>
    <s v="2025-05"/>
    <x v="33"/>
    <s v="ROGERIO "/>
    <x v="176"/>
    <n v="1"/>
    <n v="0"/>
  </r>
  <r>
    <s v="000.688.793/0001-83"/>
    <x v="149"/>
    <s v="INCLUSAO  ANOT.INADIMPLENCIA"/>
    <x v="148"/>
    <x v="1"/>
    <s v="2025-05"/>
    <x v="33"/>
    <s v="CELIO PIMENTA"/>
    <x v="149"/>
    <n v="0"/>
    <n v="1"/>
  </r>
  <r>
    <s v="045.501.529/0001-27"/>
    <x v="162"/>
    <s v="EXCLUSAO  ANOT.INADIMPLENCIA"/>
    <x v="148"/>
    <x v="12"/>
    <s v="2025-05"/>
    <x v="33"/>
    <s v="PROSPECTAR"/>
    <x v="162"/>
    <n v="1"/>
    <n v="0"/>
  </r>
  <r>
    <s v="044.637.793/0001-20"/>
    <x v="146"/>
    <s v="INCLUSAO  ANOT.INADIMPLENCIA"/>
    <x v="148"/>
    <x v="0"/>
    <s v="2025-05"/>
    <x v="33"/>
    <s v="ADMINISTRAÇÃO"/>
    <x v="146"/>
    <n v="0"/>
    <n v="1"/>
  </r>
  <r>
    <s v="043.515.558/0001-12"/>
    <x v="176"/>
    <s v="EXCLUSAO  ANOT.INADIMPLENCIA"/>
    <x v="148"/>
    <x v="10"/>
    <s v="2025-05"/>
    <x v="33"/>
    <s v="ROGERIO "/>
    <x v="176"/>
    <n v="1"/>
    <n v="0"/>
  </r>
  <r>
    <s v="037.828.375/0001-54"/>
    <x v="39"/>
    <s v="INCLUSAO  ANOT.INADIMPLENCIA"/>
    <x v="148"/>
    <x v="5"/>
    <s v="2025-05"/>
    <x v="33"/>
    <s v="POENATELA"/>
    <x v="39"/>
    <n v="0"/>
    <n v="1"/>
  </r>
  <r>
    <s v="035.679.705/0001-61"/>
    <x v="171"/>
    <s v="INCLUSAO  ANOT.INADIMPLENCIA"/>
    <x v="148"/>
    <x v="4"/>
    <s v="2025-05"/>
    <x v="33"/>
    <s v="NOELI SALETE"/>
    <x v="171"/>
    <n v="0"/>
    <n v="1"/>
  </r>
  <r>
    <s v="032.552.159/0001-05"/>
    <x v="211"/>
    <s v="EXCLUSAO  ANOT.INADIMPLENCIA"/>
    <x v="148"/>
    <x v="27"/>
    <s v="2025-05"/>
    <x v="33"/>
    <s v="ALISSON DE SOUZA LIMA"/>
    <x v="211"/>
    <n v="1"/>
    <n v="0"/>
  </r>
  <r>
    <s v="032.552.159/0001-05"/>
    <x v="211"/>
    <s v="ALTERACAO ENDERECO"/>
    <x v="148"/>
    <x v="27"/>
    <s v="2025-05"/>
    <x v="33"/>
    <s v="ALISSON DE SOUZA LIMA"/>
    <x v="211"/>
    <n v="0"/>
    <n v="0"/>
  </r>
  <r>
    <s v="028.511.223/0001-32"/>
    <x v="189"/>
    <s v="INCLUSAO  ANOT.INADIMPLENCIA"/>
    <x v="148"/>
    <x v="0"/>
    <s v="2025-05"/>
    <x v="33"/>
    <s v="ADMINISTRAÇÃO"/>
    <x v="189"/>
    <n v="0"/>
    <n v="1"/>
  </r>
  <r>
    <s v="028.393.466/0001-13"/>
    <x v="167"/>
    <s v="INCLUSAO  ANOT.INADIMPLENCIA"/>
    <x v="148"/>
    <x v="12"/>
    <s v="2025-05"/>
    <x v="33"/>
    <s v="PROSPECTAR"/>
    <x v="167"/>
    <n v="0"/>
    <n v="1"/>
  </r>
  <r>
    <s v="026.416.177/0001-67"/>
    <x v="130"/>
    <s v="INCLUSAO  ANOT.INADIMPLENCIA"/>
    <x v="148"/>
    <x v="3"/>
    <s v="2025-05"/>
    <x v="33"/>
    <s v="MARCUS VINICIUS "/>
    <x v="130"/>
    <n v="0"/>
    <n v="1"/>
  </r>
  <r>
    <s v="025.825.654/0001-85"/>
    <x v="7"/>
    <s v="INCLUSAO  ANOT.INADIMPLENCIA"/>
    <x v="148"/>
    <x v="3"/>
    <s v="2025-05"/>
    <x v="33"/>
    <s v="MARCUS VINICIUS "/>
    <x v="7"/>
    <n v="0"/>
    <n v="1"/>
  </r>
  <r>
    <s v="023.605.544/0001-82"/>
    <x v="21"/>
    <s v="INCLUSAO  ANOT.INADIMPLENCIA"/>
    <x v="148"/>
    <x v="9"/>
    <s v="2025-05"/>
    <x v="33"/>
    <s v="PRISCILA METZ"/>
    <x v="21"/>
    <n v="0"/>
    <n v="1"/>
  </r>
  <r>
    <s v="021.734.108/0001-88"/>
    <x v="41"/>
    <s v="INCLUSAO  ANOT.INADIMPLENCIA"/>
    <x v="148"/>
    <x v="0"/>
    <s v="2025-05"/>
    <x v="33"/>
    <s v="ADMINISTRAÇÃO"/>
    <x v="41"/>
    <n v="0"/>
    <n v="1"/>
  </r>
  <r>
    <s v="021.382.943/0001-04"/>
    <x v="205"/>
    <s v="INCLUSAO  ANOT.INADIMPLENCIA"/>
    <x v="148"/>
    <x v="0"/>
    <s v="2025-05"/>
    <x v="33"/>
    <s v="ADMINISTRAÇÃO"/>
    <x v="205"/>
    <n v="0"/>
    <n v="1"/>
  </r>
  <r>
    <s v="020.242.216/0001-70"/>
    <x v="209"/>
    <s v="INCLUSAO  ANOT.INADIMPLENCIA"/>
    <x v="148"/>
    <x v="27"/>
    <s v="2025-05"/>
    <x v="33"/>
    <s v="ALISSON DE SOUZA LIMA"/>
    <x v="209"/>
    <n v="0"/>
    <n v="1"/>
  </r>
  <r>
    <s v="020.066.300/0001-80"/>
    <x v="2"/>
    <s v="INCLUSAO  ANOT.INADIMPLENCIA"/>
    <x v="148"/>
    <x v="1"/>
    <s v="2025-05"/>
    <x v="33"/>
    <s v="CELIO PIMENTA"/>
    <x v="2"/>
    <n v="0"/>
    <n v="1"/>
  </r>
  <r>
    <s v="018.868.117/0001-57"/>
    <x v="163"/>
    <s v="EXCLUSAO  ANOT.INADIMPLENCIA"/>
    <x v="148"/>
    <x v="5"/>
    <s v="2025-05"/>
    <x v="33"/>
    <s v="POENATELA"/>
    <x v="163"/>
    <n v="1"/>
    <n v="0"/>
  </r>
  <r>
    <s v="016.757.535/0001-41"/>
    <x v="29"/>
    <s v="INCLUSAO  ANOT.INADIMPLENCIA"/>
    <x v="148"/>
    <x v="11"/>
    <s v="2025-05"/>
    <x v="33"/>
    <s v="DIOGO AZEVEDO"/>
    <x v="29"/>
    <n v="0"/>
    <n v="1"/>
  </r>
  <r>
    <s v="014.829.598/0001-30"/>
    <x v="31"/>
    <s v="INCLUSAO  ANOT.INADIMPLENCIA"/>
    <x v="148"/>
    <x v="9"/>
    <s v="2025-05"/>
    <x v="33"/>
    <s v="PRISCILA METZ"/>
    <x v="31"/>
    <n v="0"/>
    <n v="1"/>
  </r>
  <r>
    <s v="011.122.552/0001-99"/>
    <x v="59"/>
    <s v="INCLUSAO  ANOT.INADIMPLENCIA"/>
    <x v="148"/>
    <x v="6"/>
    <s v="2025-05"/>
    <x v="33"/>
    <s v="RAFAEL PARISE"/>
    <x v="59"/>
    <n v="0"/>
    <n v="1"/>
  </r>
  <r>
    <s v="011.091.574/0001-39"/>
    <x v="26"/>
    <s v="ALTERACAO ENDERECO"/>
    <x v="148"/>
    <x v="5"/>
    <s v="2025-05"/>
    <x v="33"/>
    <s v="POENATELA"/>
    <x v="26"/>
    <n v="0"/>
    <n v="0"/>
  </r>
  <r>
    <s v="008.991.603/0001-04"/>
    <x v="57"/>
    <s v="INCLUSAO  ANOT.INADIMPLENCIA"/>
    <x v="148"/>
    <x v="3"/>
    <s v="2025-05"/>
    <x v="33"/>
    <s v="MARCUS VINICIUS "/>
    <x v="57"/>
    <n v="0"/>
    <n v="1"/>
  </r>
  <r>
    <s v="008.250.872/0001-10"/>
    <x v="121"/>
    <s v="INCLUSAO  ANOT.INADIMPLENCIA"/>
    <x v="148"/>
    <x v="6"/>
    <s v="2025-05"/>
    <x v="33"/>
    <s v="RAFAEL PARISE"/>
    <x v="121"/>
    <n v="0"/>
    <n v="1"/>
  </r>
  <r>
    <s v="049.344.344/0001-07"/>
    <x v="193"/>
    <s v="EXCLUSAO  ANOT.INADIMPLENCIA"/>
    <x v="148"/>
    <x v="9"/>
    <s v="2025-05"/>
    <x v="33"/>
    <s v="PRISCILA METZ"/>
    <x v="193"/>
    <n v="1"/>
    <n v="0"/>
  </r>
  <r>
    <s v="057.696.093/0001-58"/>
    <x v="206"/>
    <s v="EXCLUSAO  ANOT.INADIMPLENCIA"/>
    <x v="157"/>
    <x v="1"/>
    <s v="2025-05"/>
    <x v="34"/>
    <s v="CELIO PIMENTA"/>
    <x v="206"/>
    <n v="1"/>
    <n v="0"/>
  </r>
  <r>
    <s v="006.315.490/0001-00"/>
    <x v="219"/>
    <s v="ALTERACAO RAZAO SOCIAL"/>
    <x v="158"/>
    <x v="12"/>
    <s v="2025-05"/>
    <x v="34"/>
    <s v="PROSPECTAR"/>
    <x v="219"/>
    <n v="0"/>
    <n v="0"/>
  </r>
  <r>
    <s v="006.315.490/0001-00"/>
    <x v="219"/>
    <s v="ALTERACAO ENDERECO"/>
    <x v="158"/>
    <x v="12"/>
    <s v="2025-05"/>
    <x v="34"/>
    <s v="PROSPECTAR"/>
    <x v="219"/>
    <n v="0"/>
    <n v="0"/>
  </r>
  <r>
    <s v="050.893.355/0001-25"/>
    <x v="156"/>
    <s v="ALTERACAO ENDERECO"/>
    <x v="158"/>
    <x v="0"/>
    <s v="2025-05"/>
    <x v="34"/>
    <s v="ADMINISTRAÇÃO"/>
    <x v="156"/>
    <n v="0"/>
    <n v="0"/>
  </r>
  <r>
    <s v="000.803.044/0001-50"/>
    <x v="45"/>
    <s v="EXCLUSAO  ANOT.INADIMPLENCIA"/>
    <x v="154"/>
    <x v="0"/>
    <s v="2025-05"/>
    <x v="34"/>
    <s v="ADMINISTRAÇÃO"/>
    <x v="45"/>
    <n v="1"/>
    <n v="0"/>
  </r>
  <r>
    <s v="025.825.654/0001-85"/>
    <x v="7"/>
    <s v="INCLUSAO  ANOT.INADIMPLENCIA"/>
    <x v="154"/>
    <x v="3"/>
    <s v="2025-05"/>
    <x v="34"/>
    <s v="MARCUS VINICIUS "/>
    <x v="7"/>
    <n v="0"/>
    <n v="1"/>
  </r>
  <r>
    <s v="026.416.177/0001-67"/>
    <x v="130"/>
    <s v="EXCLUSAO  ANOT.INADIMPLENCIA"/>
    <x v="154"/>
    <x v="3"/>
    <s v="2025-05"/>
    <x v="34"/>
    <s v="MARCUS VINICIUS "/>
    <x v="130"/>
    <n v="1"/>
    <n v="0"/>
  </r>
  <r>
    <s v="028.393.466/0001-13"/>
    <x v="167"/>
    <s v="INCLUSAO  ANOT.INADIMPLENCIA"/>
    <x v="154"/>
    <x v="12"/>
    <s v="2025-05"/>
    <x v="34"/>
    <s v="PROSPECTAR"/>
    <x v="167"/>
    <n v="0"/>
    <n v="1"/>
  </r>
  <r>
    <s v="028.511.223/0001-32"/>
    <x v="189"/>
    <s v="EXCLUSAO  ANOT.INADIMPLENCIA"/>
    <x v="154"/>
    <x v="0"/>
    <s v="2025-05"/>
    <x v="34"/>
    <s v="ADMINISTRAÇÃO"/>
    <x v="189"/>
    <n v="1"/>
    <n v="0"/>
  </r>
  <r>
    <s v="029.246.128/0001-11"/>
    <x v="127"/>
    <s v="INCLUSAO  ANOT.INADIMPLENCIA"/>
    <x v="154"/>
    <x v="9"/>
    <s v="2025-05"/>
    <x v="34"/>
    <s v="PRISCILA METZ"/>
    <x v="127"/>
    <n v="0"/>
    <n v="1"/>
  </r>
  <r>
    <s v="032.552.159/0001-05"/>
    <x v="211"/>
    <s v="EXCLUSAO  ANOT.INADIMPLENCIA"/>
    <x v="154"/>
    <x v="27"/>
    <s v="2025-05"/>
    <x v="34"/>
    <s v="ALISSON DE SOUZA LIMA"/>
    <x v="211"/>
    <n v="1"/>
    <n v="0"/>
  </r>
  <r>
    <s v="025.094.292/0001-08"/>
    <x v="213"/>
    <s v="INCLUSAO  ANOT.INADIMPLENCIA"/>
    <x v="154"/>
    <x v="12"/>
    <s v="2025-05"/>
    <x v="34"/>
    <s v="PROSPECTAR"/>
    <x v="213"/>
    <n v="0"/>
    <n v="1"/>
  </r>
  <r>
    <s v="035.679.705/0001-61"/>
    <x v="171"/>
    <s v="INCLUSAO  ANOT.INADIMPLENCIA"/>
    <x v="154"/>
    <x v="4"/>
    <s v="2025-05"/>
    <x v="34"/>
    <s v="NOELI SALETE"/>
    <x v="171"/>
    <n v="0"/>
    <n v="1"/>
  </r>
  <r>
    <s v="038.110.780/0001-03"/>
    <x v="47"/>
    <s v="INCLUSAO  ANOT.INADIMPLENCIA"/>
    <x v="154"/>
    <x v="6"/>
    <s v="2025-05"/>
    <x v="34"/>
    <s v="RAFAEL PARISE"/>
    <x v="47"/>
    <n v="0"/>
    <n v="1"/>
  </r>
  <r>
    <s v="043.515.558/0001-12"/>
    <x v="176"/>
    <s v="EXCLUSAO  ANOT.INADIMPLENCIA"/>
    <x v="154"/>
    <x v="10"/>
    <s v="2025-05"/>
    <x v="34"/>
    <s v="ROGERIO "/>
    <x v="176"/>
    <n v="1"/>
    <n v="0"/>
  </r>
  <r>
    <s v="045.452.509/0001-03"/>
    <x v="172"/>
    <s v="INCLUSAO  ANOT.INADIMPLENCIA"/>
    <x v="154"/>
    <x v="4"/>
    <s v="2025-05"/>
    <x v="34"/>
    <s v="NOELI SALETE"/>
    <x v="172"/>
    <n v="0"/>
    <n v="1"/>
  </r>
  <r>
    <s v="049.344.344/0001-07"/>
    <x v="193"/>
    <s v="EXCLUSAO  ANOT.INADIMPLENCIA"/>
    <x v="154"/>
    <x v="9"/>
    <s v="2025-05"/>
    <x v="34"/>
    <s v="PRISCILA METZ"/>
    <x v="193"/>
    <n v="1"/>
    <n v="0"/>
  </r>
  <r>
    <s v="057.696.093/0001-58"/>
    <x v="206"/>
    <s v="INCLUSAO  ANOT.INADIMPLENCIA"/>
    <x v="159"/>
    <x v="1"/>
    <s v="2025-05"/>
    <x v="35"/>
    <s v="CELIO PIMENTA"/>
    <x v="206"/>
    <n v="0"/>
    <n v="1"/>
  </r>
  <r>
    <s v="057.696.093/0001-58"/>
    <x v="206"/>
    <s v="EXCLUSAO  ANOT.INADIMPLENCIA"/>
    <x v="160"/>
    <x v="1"/>
    <s v="2025-05"/>
    <x v="35"/>
    <s v="CELIO PIMENTA"/>
    <x v="206"/>
    <n v="1"/>
    <n v="0"/>
  </r>
  <r>
    <s v="037.828.375/0001-54"/>
    <x v="39"/>
    <s v="INCLUSAO  ANOT.INADIMPLENCIA"/>
    <x v="154"/>
    <x v="5"/>
    <s v="2025-05"/>
    <x v="34"/>
    <s v="POENATELA"/>
    <x v="39"/>
    <n v="0"/>
    <n v="1"/>
  </r>
  <r>
    <s v="071.350.797/0001-03"/>
    <x v="48"/>
    <s v="INCL/EXCL ANOT.INADIMPLENCIA"/>
    <x v="154"/>
    <x v="10"/>
    <s v="2025-05"/>
    <x v="34"/>
    <s v="ROGERIO "/>
    <x v="48"/>
    <n v="1"/>
    <n v="1"/>
  </r>
  <r>
    <s v="024.331.138/0001-31"/>
    <x v="87"/>
    <s v="INCLUSAO  ANOT.INADIMPLENCIA"/>
    <x v="154"/>
    <x v="12"/>
    <s v="2025-05"/>
    <x v="34"/>
    <s v="PROSPECTAR"/>
    <x v="87"/>
    <n v="0"/>
    <n v="1"/>
  </r>
  <r>
    <s v="023.605.544/0001-82"/>
    <x v="21"/>
    <s v="INCLUSAO  ANOT.INADIMPLENCIA"/>
    <x v="154"/>
    <x v="9"/>
    <s v="2025-05"/>
    <x v="34"/>
    <s v="PRISCILA METZ"/>
    <x v="21"/>
    <n v="0"/>
    <n v="1"/>
  </r>
  <r>
    <s v="001.535.822/0001-30"/>
    <x v="170"/>
    <s v="INCLUSAO  ANOT.INADIMPLENCIA"/>
    <x v="154"/>
    <x v="12"/>
    <s v="2025-05"/>
    <x v="34"/>
    <s v="PROSPECTAR"/>
    <x v="170"/>
    <n v="0"/>
    <n v="1"/>
  </r>
  <r>
    <s v="002.862.437/0001-60"/>
    <x v="220"/>
    <s v="EXCLUSAO  ANOT.INADIMPLENCIA"/>
    <x v="154"/>
    <x v="21"/>
    <s v="2025-05"/>
    <x v="34"/>
    <s v="CAIO"/>
    <x v="220"/>
    <n v="1"/>
    <n v="0"/>
  </r>
  <r>
    <s v="004.067.472/0001-12"/>
    <x v="159"/>
    <s v="EXCLUSAO  ANOT.INADIMPLENCIA"/>
    <x v="154"/>
    <x v="9"/>
    <s v="2025-05"/>
    <x v="34"/>
    <s v="PRISCILA METZ"/>
    <x v="159"/>
    <n v="1"/>
    <n v="0"/>
  </r>
  <r>
    <s v="004.323.643/0001-27"/>
    <x v="221"/>
    <s v="INCL/EXCL ANOT.INADIMPLENCIA"/>
    <x v="154"/>
    <x v="0"/>
    <s v="2025-05"/>
    <x v="34"/>
    <s v="ADMINISTRAÇÃO"/>
    <x v="221"/>
    <n v="1"/>
    <n v="1"/>
  </r>
  <r>
    <s v="005.374.432/0001-86"/>
    <x v="222"/>
    <s v="INCLUSAO  ANOT.INADIMPLENCIA"/>
    <x v="154"/>
    <x v="29"/>
    <s v="2025-05"/>
    <x v="34"/>
    <s v="DALVA"/>
    <x v="222"/>
    <n v="0"/>
    <n v="1"/>
  </r>
  <r>
    <s v="007.102.721/0001-51"/>
    <x v="44"/>
    <s v="INCLUSAO  ANOT.INADIMPLENCIA"/>
    <x v="154"/>
    <x v="12"/>
    <s v="2025-05"/>
    <x v="34"/>
    <s v="PROSPECTAR"/>
    <x v="44"/>
    <n v="0"/>
    <n v="1"/>
  </r>
  <r>
    <s v="023.637.987/0001-55"/>
    <x v="20"/>
    <s v="INCLUSAO  ANOT.INADIMPLENCIA"/>
    <x v="154"/>
    <x v="5"/>
    <s v="2025-05"/>
    <x v="34"/>
    <s v="POENATELA"/>
    <x v="20"/>
    <n v="0"/>
    <n v="1"/>
  </r>
  <r>
    <s v="007.561.436/0001-07"/>
    <x v="34"/>
    <s v="INCLUSAO  ANOT.INADIMPLENCIA"/>
    <x v="154"/>
    <x v="12"/>
    <s v="2025-05"/>
    <x v="34"/>
    <s v="PROSPECTAR"/>
    <x v="34"/>
    <n v="0"/>
    <n v="1"/>
  </r>
  <r>
    <s v="009.171.140/0001-05"/>
    <x v="33"/>
    <s v="EXCLUSAO  ANOT.INADIMPLENCIA"/>
    <x v="154"/>
    <x v="13"/>
    <s v="2025-05"/>
    <x v="34"/>
    <s v="ANDERSON FRAGA"/>
    <x v="33"/>
    <n v="1"/>
    <n v="0"/>
  </r>
  <r>
    <s v="012.520.791/0001-60"/>
    <x v="4"/>
    <s v="INCLUSAO  ANOT.INADIMPLENCIA"/>
    <x v="154"/>
    <x v="1"/>
    <s v="2025-05"/>
    <x v="34"/>
    <s v="CELIO PIMENTA"/>
    <x v="4"/>
    <n v="0"/>
    <n v="1"/>
  </r>
  <r>
    <s v="020.024.081/0001-77"/>
    <x v="177"/>
    <s v="EXCLUSAO  ANOT.INADIMPLENCIA"/>
    <x v="154"/>
    <x v="10"/>
    <s v="2025-05"/>
    <x v="34"/>
    <s v="ROGERIO "/>
    <x v="177"/>
    <n v="1"/>
    <n v="0"/>
  </r>
  <r>
    <s v="020.242.216/0001-70"/>
    <x v="209"/>
    <s v="INCLUSAO  ANOT.INADIMPLENCIA"/>
    <x v="154"/>
    <x v="27"/>
    <s v="2025-05"/>
    <x v="34"/>
    <s v="ALISSON DE SOUZA LIMA"/>
    <x v="209"/>
    <n v="0"/>
    <n v="1"/>
  </r>
  <r>
    <s v="021.382.943/0001-04"/>
    <x v="205"/>
    <s v="INCLUSAO  ANOT.INADIMPLENCIA"/>
    <x v="154"/>
    <x v="0"/>
    <s v="2025-05"/>
    <x v="34"/>
    <s v="ADMINISTRAÇÃO"/>
    <x v="205"/>
    <n v="0"/>
    <n v="1"/>
  </r>
  <r>
    <s v="021.734.108/0001-88"/>
    <x v="41"/>
    <s v="INCLUSAO  ANOT.INADIMPLENCIA"/>
    <x v="154"/>
    <x v="0"/>
    <s v="2025-05"/>
    <x v="34"/>
    <s v="ADMINISTRAÇÃO"/>
    <x v="41"/>
    <n v="0"/>
    <n v="1"/>
  </r>
  <r>
    <s v="008.250.872/0001-10"/>
    <x v="121"/>
    <s v="INCLUSAO  ANOT.INADIMPLENCIA"/>
    <x v="154"/>
    <x v="6"/>
    <s v="2025-05"/>
    <x v="34"/>
    <s v="RAFAEL PARISE"/>
    <x v="121"/>
    <n v="0"/>
    <n v="1"/>
  </r>
  <r>
    <s v="092.279.363/0001-26"/>
    <x v="196"/>
    <s v="INCLUSAO  ANOT.INADIMPLENCIA"/>
    <x v="154"/>
    <x v="4"/>
    <s v="2025-05"/>
    <x v="34"/>
    <s v="NOELI SALETE"/>
    <x v="196"/>
    <n v="0"/>
    <n v="1"/>
  </r>
  <r>
    <s v="000.803.044/0001-50"/>
    <x v="45"/>
    <s v="EXCLUSAO  ANOT.INADIMPLENCIA"/>
    <x v="161"/>
    <x v="0"/>
    <s v="2025-05"/>
    <x v="34"/>
    <s v="ADMINISTRAÇÃO"/>
    <x v="45"/>
    <n v="1"/>
    <n v="0"/>
  </r>
  <r>
    <s v="045.452.509/0001-03"/>
    <x v="172"/>
    <s v="INCLUSAO  ANOT.INADIMPLENCIA"/>
    <x v="161"/>
    <x v="4"/>
    <s v="2025-05"/>
    <x v="34"/>
    <s v="NOELI SALETE"/>
    <x v="172"/>
    <n v="0"/>
    <n v="1"/>
  </r>
  <r>
    <s v="043.515.558/0001-12"/>
    <x v="176"/>
    <s v="EXCLUSAO  ANOT.INADIMPLENCIA"/>
    <x v="161"/>
    <x v="10"/>
    <s v="2025-05"/>
    <x v="34"/>
    <s v="ROGERIO "/>
    <x v="176"/>
    <n v="1"/>
    <n v="0"/>
  </r>
  <r>
    <s v="037.828.375/0001-54"/>
    <x v="39"/>
    <s v="EXCLUSAO  ANOT.INADIMPLENCIA"/>
    <x v="161"/>
    <x v="5"/>
    <s v="2025-05"/>
    <x v="34"/>
    <s v="POENATELA"/>
    <x v="39"/>
    <n v="1"/>
    <n v="0"/>
  </r>
  <r>
    <s v="035.679.705/0001-61"/>
    <x v="171"/>
    <s v="INCLUSAO  ANOT.INADIMPLENCIA"/>
    <x v="161"/>
    <x v="4"/>
    <s v="2025-05"/>
    <x v="34"/>
    <s v="NOELI SALETE"/>
    <x v="171"/>
    <n v="0"/>
    <n v="1"/>
  </r>
  <r>
    <s v="032.552.159/0001-05"/>
    <x v="211"/>
    <s v="EXCLUSAO  ANOT.INADIMPLENCIA"/>
    <x v="161"/>
    <x v="27"/>
    <s v="2025-05"/>
    <x v="34"/>
    <s v="ALISSON DE SOUZA LIMA"/>
    <x v="211"/>
    <n v="1"/>
    <n v="0"/>
  </r>
  <r>
    <s v="028.511.223/0001-32"/>
    <x v="189"/>
    <s v="INCLUSAO  ANOT.INADIMPLENCIA"/>
    <x v="161"/>
    <x v="0"/>
    <s v="2025-05"/>
    <x v="34"/>
    <s v="ADMINISTRAÇÃO"/>
    <x v="189"/>
    <n v="0"/>
    <n v="1"/>
  </r>
  <r>
    <s v="028.393.466/0001-13"/>
    <x v="167"/>
    <s v="INCLUSAO  ANOT.INADIMPLENCIA"/>
    <x v="161"/>
    <x v="12"/>
    <s v="2025-05"/>
    <x v="34"/>
    <s v="PROSPECTAR"/>
    <x v="167"/>
    <n v="0"/>
    <n v="1"/>
  </r>
  <r>
    <s v="025.383.640/0001-59"/>
    <x v="158"/>
    <s v="EXCLUSAO  ANOT.INADIMPLENCIA"/>
    <x v="161"/>
    <x v="5"/>
    <s v="2025-05"/>
    <x v="34"/>
    <s v="POENATELA"/>
    <x v="158"/>
    <n v="1"/>
    <n v="0"/>
  </r>
  <r>
    <s v="024.331.138/0001-31"/>
    <x v="87"/>
    <s v="INCLUSAO  ANOT.INADIMPLENCIA"/>
    <x v="161"/>
    <x v="12"/>
    <s v="2025-05"/>
    <x v="34"/>
    <s v="PROSPECTAR"/>
    <x v="87"/>
    <n v="0"/>
    <n v="1"/>
  </r>
  <r>
    <s v="023.909.177/0001-00"/>
    <x v="102"/>
    <s v="INCLUSAO  ANOT.INADIMPLENCIA"/>
    <x v="161"/>
    <x v="7"/>
    <s v="2025-05"/>
    <x v="34"/>
    <s v="WHELKYA IRIS"/>
    <x v="102"/>
    <n v="0"/>
    <n v="1"/>
  </r>
  <r>
    <s v="021.734.108/0001-88"/>
    <x v="41"/>
    <s v="INCLUSAO  ANOT.INADIMPLENCIA"/>
    <x v="161"/>
    <x v="0"/>
    <s v="2025-05"/>
    <x v="34"/>
    <s v="ADMINISTRAÇÃO"/>
    <x v="41"/>
    <n v="0"/>
    <n v="1"/>
  </r>
  <r>
    <s v="021.420.856/0001-96"/>
    <x v="129"/>
    <s v="EXCLUSAO  ANOT.INADIMPLENCIA"/>
    <x v="161"/>
    <x v="19"/>
    <s v="2025-05"/>
    <x v="34"/>
    <s v="JOSE ROBERTO"/>
    <x v="129"/>
    <n v="1"/>
    <n v="0"/>
  </r>
  <r>
    <s v="020.309.962/0001-34"/>
    <x v="191"/>
    <s v="INCLUSAO  ANOT.INADIMPLENCIA"/>
    <x v="161"/>
    <x v="12"/>
    <s v="2025-05"/>
    <x v="34"/>
    <s v="PROSPECTAR"/>
    <x v="191"/>
    <n v="0"/>
    <n v="1"/>
  </r>
  <r>
    <s v="020.242.216/0001-70"/>
    <x v="209"/>
    <s v="INCL/EXCL ANOT.INADIMPLENCIA"/>
    <x v="161"/>
    <x v="27"/>
    <s v="2025-05"/>
    <x v="34"/>
    <s v="ALISSON DE SOUZA LIMA"/>
    <x v="209"/>
    <n v="1"/>
    <n v="1"/>
  </r>
  <r>
    <s v="020.066.300/0001-80"/>
    <x v="2"/>
    <s v="INCLUSAO  ANOT.INADIMPLENCIA"/>
    <x v="161"/>
    <x v="1"/>
    <s v="2025-05"/>
    <x v="34"/>
    <s v="CELIO PIMENTA"/>
    <x v="2"/>
    <n v="0"/>
    <n v="1"/>
  </r>
  <r>
    <s v="020.024.081/0001-77"/>
    <x v="177"/>
    <s v="INCLUSAO  ANOT.INADIMPLENCIA"/>
    <x v="161"/>
    <x v="10"/>
    <s v="2025-05"/>
    <x v="34"/>
    <s v="ROGERIO "/>
    <x v="177"/>
    <n v="0"/>
    <n v="1"/>
  </r>
  <r>
    <s v="018.608.055/0001-44"/>
    <x v="131"/>
    <s v="INCLUSAO  ANOT.INADIMPLENCIA"/>
    <x v="161"/>
    <x v="3"/>
    <s v="2025-05"/>
    <x v="34"/>
    <s v="MARCUS VINICIUS "/>
    <x v="131"/>
    <n v="0"/>
    <n v="1"/>
  </r>
  <r>
    <s v="016.772.642/0001-49"/>
    <x v="69"/>
    <s v="INCLUSAO  ANOT.INADIMPLENCIA"/>
    <x v="161"/>
    <x v="0"/>
    <s v="2025-05"/>
    <x v="34"/>
    <s v="ADMINISTRAÇÃO"/>
    <x v="69"/>
    <n v="0"/>
    <n v="1"/>
  </r>
  <r>
    <s v="008.250.872/0001-10"/>
    <x v="121"/>
    <s v="INCLUSAO  ANOT.INADIMPLENCIA"/>
    <x v="161"/>
    <x v="6"/>
    <s v="2025-05"/>
    <x v="34"/>
    <s v="RAFAEL PARISE"/>
    <x v="121"/>
    <n v="0"/>
    <n v="1"/>
  </r>
  <r>
    <s v="007.561.436/0001-07"/>
    <x v="34"/>
    <s v="INCLUSAO  ANOT.INADIMPLENCIA"/>
    <x v="161"/>
    <x v="12"/>
    <s v="2025-05"/>
    <x v="34"/>
    <s v="PROSPECTAR"/>
    <x v="34"/>
    <n v="0"/>
    <n v="1"/>
  </r>
  <r>
    <s v="007.102.721/0001-51"/>
    <x v="44"/>
    <s v="EXCLUSAO  ANOT.INADIMPLENCIA"/>
    <x v="161"/>
    <x v="12"/>
    <s v="2025-05"/>
    <x v="34"/>
    <s v="PROSPECTAR"/>
    <x v="44"/>
    <n v="1"/>
    <n v="0"/>
  </r>
  <r>
    <s v="004.323.643/0001-27"/>
    <x v="221"/>
    <s v="EXCLUSAO  ANOT.INADIMPLENCIA"/>
    <x v="161"/>
    <x v="0"/>
    <s v="2025-05"/>
    <x v="34"/>
    <s v="ADMINISTRAÇÃO"/>
    <x v="221"/>
    <n v="1"/>
    <n v="0"/>
  </r>
  <r>
    <s v="004.041.192/0001-35"/>
    <x v="37"/>
    <s v="INCLUSAO  ANOT.INADIMPLENCIA"/>
    <x v="161"/>
    <x v="0"/>
    <s v="2025-05"/>
    <x v="34"/>
    <s v="ADMINISTRAÇÃO"/>
    <x v="37"/>
    <n v="0"/>
    <n v="1"/>
  </r>
  <r>
    <s v="047.635.671/0001-92"/>
    <x v="143"/>
    <s v="ALTERACAO RAZAO SOCIAL"/>
    <x v="161"/>
    <x v="1"/>
    <s v="2025-05"/>
    <x v="34"/>
    <s v="CELIO PIMENTA"/>
    <x v="143"/>
    <n v="0"/>
    <n v="0"/>
  </r>
  <r>
    <s v="049.344.344/0001-07"/>
    <x v="193"/>
    <s v="EXCLUSAO  ANOT.INADIMPLENCIA"/>
    <x v="161"/>
    <x v="9"/>
    <s v="2025-05"/>
    <x v="34"/>
    <s v="PRISCILA METZ"/>
    <x v="193"/>
    <n v="1"/>
    <n v="0"/>
  </r>
  <r>
    <s v="001.376.967/0001-35"/>
    <x v="192"/>
    <s v="INCLUSAO  ANOT.INADIMPLENCIA"/>
    <x v="162"/>
    <x v="26"/>
    <s v="2025-05"/>
    <x v="34"/>
    <s v="ANTECIPA"/>
    <x v="192"/>
    <n v="0"/>
    <n v="1"/>
  </r>
  <r>
    <s v="049.218.819/0001-19"/>
    <x v="150"/>
    <s v="EXCLUSAO  ANOT.INADIMPLENCIA"/>
    <x v="162"/>
    <x v="11"/>
    <s v="2025-05"/>
    <x v="34"/>
    <s v="DIOGO AZEVEDO"/>
    <x v="150"/>
    <n v="1"/>
    <n v="0"/>
  </r>
  <r>
    <s v="048.956.491/0001-75"/>
    <x v="179"/>
    <s v="EXCLUSAO  ANOT.INADIMPLENCIA"/>
    <x v="162"/>
    <x v="12"/>
    <s v="2025-05"/>
    <x v="34"/>
    <s v="PROSPECTAR"/>
    <x v="179"/>
    <n v="1"/>
    <n v="0"/>
  </r>
  <r>
    <s v="046.778.324/0001-56"/>
    <x v="210"/>
    <s v="EXCLUSAO  ANOT.INADIMPLENCIA"/>
    <x v="162"/>
    <x v="28"/>
    <s v="2025-05"/>
    <x v="34"/>
    <s v="PROSPER"/>
    <x v="210"/>
    <n v="1"/>
    <n v="0"/>
  </r>
  <r>
    <s v="044.320.551/0001-08"/>
    <x v="74"/>
    <s v="ALTERACAO ADMINISTRADORES"/>
    <x v="162"/>
    <x v="0"/>
    <s v="2025-05"/>
    <x v="34"/>
    <s v="ADMINISTRAÇÃO"/>
    <x v="74"/>
    <n v="0"/>
    <n v="0"/>
  </r>
  <r>
    <s v="038.110.780/0001-03"/>
    <x v="47"/>
    <s v="EXCLUSAO  ANOT.INADIMPLENCIA"/>
    <x v="162"/>
    <x v="6"/>
    <s v="2025-05"/>
    <x v="34"/>
    <s v="RAFAEL PARISE"/>
    <x v="47"/>
    <n v="1"/>
    <n v="0"/>
  </r>
  <r>
    <s v="037.828.375/0001-54"/>
    <x v="39"/>
    <s v="INCLUSAO  ANOT.INADIMPLENCIA"/>
    <x v="162"/>
    <x v="5"/>
    <s v="2025-05"/>
    <x v="34"/>
    <s v="POENATELA"/>
    <x v="39"/>
    <n v="0"/>
    <n v="1"/>
  </r>
  <r>
    <s v="028.511.223/0001-32"/>
    <x v="189"/>
    <s v="INCLUSAO  ANOT.INADIMPLENCIA"/>
    <x v="162"/>
    <x v="0"/>
    <s v="2025-05"/>
    <x v="34"/>
    <s v="ADMINISTRAÇÃO"/>
    <x v="189"/>
    <n v="0"/>
    <n v="1"/>
  </r>
  <r>
    <s v="027.180.131/0001-54"/>
    <x v="188"/>
    <s v="INCLUSAO  ANOT.INADIMPLENCIA"/>
    <x v="162"/>
    <x v="9"/>
    <s v="2025-05"/>
    <x v="34"/>
    <s v="PRISCILA METZ"/>
    <x v="188"/>
    <n v="0"/>
    <n v="1"/>
  </r>
  <r>
    <s v="024.331.138/0001-31"/>
    <x v="87"/>
    <s v="EXCLUSAO  ANOT.INADIMPLENCIA"/>
    <x v="162"/>
    <x v="12"/>
    <s v="2025-05"/>
    <x v="34"/>
    <s v="PROSPECTAR"/>
    <x v="87"/>
    <n v="1"/>
    <n v="0"/>
  </r>
  <r>
    <s v="023.605.544/0001-82"/>
    <x v="21"/>
    <s v="INCLUSAO  ANOT.INADIMPLENCIA"/>
    <x v="162"/>
    <x v="9"/>
    <s v="2025-05"/>
    <x v="34"/>
    <s v="PRISCILA METZ"/>
    <x v="21"/>
    <n v="0"/>
    <n v="1"/>
  </r>
  <r>
    <s v="021.458.691/0001-41"/>
    <x v="223"/>
    <s v="INCLUSAO  ANOT.INADIMPLENCIA"/>
    <x v="162"/>
    <x v="26"/>
    <s v="2025-05"/>
    <x v="34"/>
    <s v="ANTECIPA"/>
    <x v="223"/>
    <n v="0"/>
    <n v="1"/>
  </r>
  <r>
    <s v="021.382.943/0001-04"/>
    <x v="205"/>
    <s v="INCLUSAO  ANOT.INADIMPLENCIA"/>
    <x v="162"/>
    <x v="0"/>
    <s v="2025-05"/>
    <x v="34"/>
    <s v="ADMINISTRAÇÃO"/>
    <x v="205"/>
    <n v="0"/>
    <n v="1"/>
  </r>
  <r>
    <s v="020.242.216/0001-70"/>
    <x v="209"/>
    <s v="INCLUSAO  ANOT.INADIMPLENCIA"/>
    <x v="162"/>
    <x v="27"/>
    <s v="2025-05"/>
    <x v="34"/>
    <s v="ALISSON DE SOUZA LIMA"/>
    <x v="209"/>
    <n v="0"/>
    <n v="1"/>
  </r>
  <r>
    <s v="020.024.081/0001-77"/>
    <x v="177"/>
    <s v="EXCLUSAO  ANOT.INADIMPLENCIA"/>
    <x v="162"/>
    <x v="10"/>
    <s v="2025-05"/>
    <x v="34"/>
    <s v="ROGERIO "/>
    <x v="177"/>
    <n v="1"/>
    <n v="0"/>
  </r>
  <r>
    <s v="011.122.552/0001-99"/>
    <x v="59"/>
    <s v="INCLUSAO  ANOT.INADIMPLENCIA"/>
    <x v="162"/>
    <x v="6"/>
    <s v="2025-05"/>
    <x v="34"/>
    <s v="RAFAEL PARISE"/>
    <x v="59"/>
    <n v="0"/>
    <n v="1"/>
  </r>
  <r>
    <s v="010.354.613/0001-80"/>
    <x v="224"/>
    <s v="ALTERACAO ENDERECO"/>
    <x v="162"/>
    <x v="27"/>
    <s v="2025-05"/>
    <x v="34"/>
    <s v="ALISSON DE SOUZA LIMA"/>
    <x v="224"/>
    <n v="0"/>
    <n v="0"/>
  </r>
  <r>
    <s v="005.281.194/0001-64"/>
    <x v="225"/>
    <s v="INCLUSAO  ANOT.INADIMPLENCIA"/>
    <x v="162"/>
    <x v="29"/>
    <s v="2025-05"/>
    <x v="34"/>
    <s v="DALVA"/>
    <x v="225"/>
    <n v="0"/>
    <n v="1"/>
  </r>
  <r>
    <s v="049.344.344/0001-07"/>
    <x v="193"/>
    <s v="EXCLUSAO  ANOT.INADIMPLENCIA"/>
    <x v="162"/>
    <x v="9"/>
    <s v="2025-05"/>
    <x v="34"/>
    <s v="PRISCILA METZ"/>
    <x v="193"/>
    <n v="1"/>
    <n v="0"/>
  </r>
  <r>
    <s v="092.279.363/0001-26"/>
    <x v="196"/>
    <s v="EXCLUSAO  ANOT.INADIMPLENCIA"/>
    <x v="162"/>
    <x v="4"/>
    <s v="2025-05"/>
    <x v="34"/>
    <s v="NOELI SALETE"/>
    <x v="196"/>
    <n v="1"/>
    <n v="0"/>
  </r>
  <r>
    <s v="001.535.822/0001-30"/>
    <x v="170"/>
    <s v="EXCLUSAO  ANOT.INADIMPLENCIA"/>
    <x v="157"/>
    <x v="12"/>
    <s v="2025-05"/>
    <x v="34"/>
    <s v="PROSPECTAR"/>
    <x v="170"/>
    <n v="1"/>
    <n v="0"/>
  </r>
  <r>
    <s v="048.956.491/0001-75"/>
    <x v="179"/>
    <s v="EXCLUSAO  ANOT.INADIMPLENCIA"/>
    <x v="157"/>
    <x v="12"/>
    <s v="2025-05"/>
    <x v="34"/>
    <s v="PROSPECTAR"/>
    <x v="179"/>
    <n v="1"/>
    <n v="0"/>
  </r>
  <r>
    <s v="044.032.421/0001-70"/>
    <x v="111"/>
    <s v="EXCLUSAO  ANOT.INADIMPLENCIA"/>
    <x v="157"/>
    <x v="0"/>
    <s v="2025-05"/>
    <x v="34"/>
    <s v="ADMINISTRAÇÃO"/>
    <x v="111"/>
    <n v="1"/>
    <n v="0"/>
  </r>
  <r>
    <s v="039.535.425/0001-30"/>
    <x v="120"/>
    <s v="INCLUSAO  ANOT.INADIMPLENCIA"/>
    <x v="157"/>
    <x v="6"/>
    <s v="2025-05"/>
    <x v="34"/>
    <s v="RAFAEL PARISE"/>
    <x v="120"/>
    <n v="0"/>
    <n v="1"/>
  </r>
  <r>
    <s v="038.405.720/0001-00"/>
    <x v="202"/>
    <s v="INCLUSAO  ANOT.INADIMPLENCIA"/>
    <x v="157"/>
    <x v="18"/>
    <s v="2025-05"/>
    <x v="34"/>
    <s v="SEM GERENTE"/>
    <x v="202"/>
    <n v="0"/>
    <n v="1"/>
  </r>
  <r>
    <s v="038.110.780/0001-03"/>
    <x v="47"/>
    <s v="ALTERACAO ENDERECO"/>
    <x v="157"/>
    <x v="6"/>
    <s v="2025-05"/>
    <x v="34"/>
    <s v="RAFAEL PARISE"/>
    <x v="47"/>
    <n v="0"/>
    <n v="0"/>
  </r>
  <r>
    <s v="035.165.246/0001-06"/>
    <x v="104"/>
    <s v="INCLUSAO  ANOT.INADIMPLENCIA"/>
    <x v="157"/>
    <x v="3"/>
    <s v="2025-05"/>
    <x v="34"/>
    <s v="MARCUS VINICIUS "/>
    <x v="104"/>
    <n v="0"/>
    <n v="1"/>
  </r>
  <r>
    <s v="034.821.586/0001-77"/>
    <x v="38"/>
    <s v="INCLUSAO  ANOT.INADIMPLENCIA"/>
    <x v="157"/>
    <x v="3"/>
    <s v="2025-05"/>
    <x v="34"/>
    <s v="MARCUS VINICIUS "/>
    <x v="38"/>
    <n v="0"/>
    <n v="1"/>
  </r>
  <r>
    <s v="032.552.159/0001-05"/>
    <x v="211"/>
    <s v="EXCLUSAO  ANOT.INADIMPLENCIA"/>
    <x v="157"/>
    <x v="27"/>
    <s v="2025-05"/>
    <x v="34"/>
    <s v="ALISSON DE SOUZA LIMA"/>
    <x v="211"/>
    <n v="1"/>
    <n v="0"/>
  </r>
  <r>
    <s v="029.246.128/0001-11"/>
    <x v="127"/>
    <s v="EXCLUSAO  ANOT.INADIMPLENCIA"/>
    <x v="157"/>
    <x v="9"/>
    <s v="2025-05"/>
    <x v="34"/>
    <s v="PRISCILA METZ"/>
    <x v="127"/>
    <n v="1"/>
    <n v="0"/>
  </r>
  <r>
    <s v="028.511.223/0001-32"/>
    <x v="189"/>
    <s v="EXCLUSAO  ANOT.INADIMPLENCIA"/>
    <x v="157"/>
    <x v="0"/>
    <s v="2025-05"/>
    <x v="34"/>
    <s v="ADMINISTRAÇÃO"/>
    <x v="189"/>
    <n v="1"/>
    <n v="0"/>
  </r>
  <r>
    <s v="025.825.654/0001-85"/>
    <x v="7"/>
    <s v="INCLUSAO  ANOT.INADIMPLENCIA"/>
    <x v="157"/>
    <x v="3"/>
    <s v="2025-05"/>
    <x v="34"/>
    <s v="MARCUS VINICIUS "/>
    <x v="7"/>
    <n v="0"/>
    <n v="1"/>
  </r>
  <r>
    <s v="025.383.640/0001-59"/>
    <x v="158"/>
    <s v="EXCLUSAO  ANOT.INADIMPLENCIA"/>
    <x v="157"/>
    <x v="5"/>
    <s v="2025-05"/>
    <x v="34"/>
    <s v="POENATELA"/>
    <x v="158"/>
    <n v="1"/>
    <n v="0"/>
  </r>
  <r>
    <s v="021.382.943/0001-04"/>
    <x v="205"/>
    <s v="EXCLUSAO  ANOT.INADIMPLENCIA"/>
    <x v="157"/>
    <x v="0"/>
    <s v="2025-05"/>
    <x v="34"/>
    <s v="ADMINISTRAÇÃO"/>
    <x v="205"/>
    <n v="1"/>
    <n v="0"/>
  </r>
  <r>
    <s v="020.242.216/0001-70"/>
    <x v="209"/>
    <s v="INCLUSAO  ANOT.INADIMPLENCIA"/>
    <x v="157"/>
    <x v="27"/>
    <s v="2025-05"/>
    <x v="34"/>
    <s v="ALISSON DE SOUZA LIMA"/>
    <x v="209"/>
    <n v="0"/>
    <n v="1"/>
  </r>
  <r>
    <s v="020.066.300/0001-80"/>
    <x v="2"/>
    <s v="INCLUSAO  ANOT.INADIMPLENCIA"/>
    <x v="157"/>
    <x v="1"/>
    <s v="2025-05"/>
    <x v="34"/>
    <s v="CELIO PIMENTA"/>
    <x v="2"/>
    <n v="0"/>
    <n v="1"/>
  </r>
  <r>
    <s v="020.024.081/0001-77"/>
    <x v="177"/>
    <s v="EXCLUSAO  ANOT.INADIMPLENCIA"/>
    <x v="157"/>
    <x v="10"/>
    <s v="2025-05"/>
    <x v="34"/>
    <s v="ROGERIO "/>
    <x v="177"/>
    <n v="1"/>
    <n v="0"/>
  </r>
  <r>
    <s v="018.498.459/0001-22"/>
    <x v="226"/>
    <s v="INCLUSAO  ANOT.INADIMPLENCIA"/>
    <x v="157"/>
    <x v="9"/>
    <s v="2025-05"/>
    <x v="34"/>
    <s v="PRISCILA METZ"/>
    <x v="226"/>
    <n v="0"/>
    <n v="1"/>
  </r>
  <r>
    <s v="016.772.642/0001-49"/>
    <x v="69"/>
    <s v="INCLUSAO  ANOT.INADIMPLENCIA"/>
    <x v="157"/>
    <x v="0"/>
    <s v="2025-05"/>
    <x v="34"/>
    <s v="ADMINISTRAÇÃO"/>
    <x v="69"/>
    <n v="0"/>
    <n v="1"/>
  </r>
  <r>
    <s v="016.757.535/0001-41"/>
    <x v="29"/>
    <s v="EXCLUSAO  ANOT.INADIMPLENCIA"/>
    <x v="157"/>
    <x v="11"/>
    <s v="2025-05"/>
    <x v="34"/>
    <s v="DIOGO AZEVEDO"/>
    <x v="29"/>
    <n v="1"/>
    <n v="0"/>
  </r>
  <r>
    <s v="014.202.427/0001-87"/>
    <x v="214"/>
    <s v="EXCLUSAO  ANOT.INADIMPLENCIA"/>
    <x v="157"/>
    <x v="21"/>
    <s v="2025-05"/>
    <x v="34"/>
    <s v="CAIO"/>
    <x v="214"/>
    <n v="1"/>
    <n v="0"/>
  </r>
  <r>
    <s v="011.173.099/0001-40"/>
    <x v="227"/>
    <s v="EXCLUSAO  ANOT.INADIMPLENCIA"/>
    <x v="157"/>
    <x v="21"/>
    <s v="2025-05"/>
    <x v="34"/>
    <s v="CAIO"/>
    <x v="227"/>
    <n v="1"/>
    <n v="0"/>
  </r>
  <r>
    <s v="011.091.574/0001-39"/>
    <x v="26"/>
    <s v="EXCLUSAO  ANOT.INADIMPLENCIA"/>
    <x v="157"/>
    <x v="5"/>
    <s v="2025-05"/>
    <x v="34"/>
    <s v="POENATELA"/>
    <x v="26"/>
    <n v="1"/>
    <n v="0"/>
  </r>
  <r>
    <s v="010.672.840/0001-54"/>
    <x v="228"/>
    <s v="INCLUSAO  ANOT.INADIMPLENCIA"/>
    <x v="157"/>
    <x v="21"/>
    <s v="2025-05"/>
    <x v="34"/>
    <s v="CAIO"/>
    <x v="228"/>
    <n v="0"/>
    <n v="1"/>
  </r>
  <r>
    <s v="007.102.721/0001-51"/>
    <x v="44"/>
    <s v="INCLUSAO  ANOT.INADIMPLENCIA"/>
    <x v="157"/>
    <x v="12"/>
    <s v="2025-05"/>
    <x v="34"/>
    <s v="PROSPECTAR"/>
    <x v="44"/>
    <n v="0"/>
    <n v="1"/>
  </r>
  <r>
    <s v="004.323.643/0001-27"/>
    <x v="221"/>
    <s v="ALTERACAO ENDERECO"/>
    <x v="157"/>
    <x v="0"/>
    <s v="2025-05"/>
    <x v="34"/>
    <s v="ADMINISTRAÇÃO"/>
    <x v="221"/>
    <n v="0"/>
    <n v="0"/>
  </r>
  <r>
    <s v="051.980.425/0001-45"/>
    <x v="173"/>
    <s v="EXCLUSAO  ANOT.INADIMPLENCIA"/>
    <x v="157"/>
    <x v="10"/>
    <s v="2025-05"/>
    <x v="34"/>
    <s v="ROGERIO "/>
    <x v="173"/>
    <n v="1"/>
    <n v="0"/>
  </r>
  <r>
    <s v="002.038.227/0001-51"/>
    <x v="55"/>
    <s v="INCLUSAO  ANOT.INADIMPLENCIA"/>
    <x v="163"/>
    <x v="1"/>
    <s v="2025-05"/>
    <x v="34"/>
    <s v="CELIO PIMENTA"/>
    <x v="55"/>
    <n v="0"/>
    <n v="1"/>
  </r>
  <r>
    <s v="007.102.721/0001-51"/>
    <x v="44"/>
    <s v="INCL/EXCL ANOT.INADIMPLENCIA"/>
    <x v="163"/>
    <x v="12"/>
    <s v="2025-05"/>
    <x v="34"/>
    <s v="PROSPECTAR"/>
    <x v="44"/>
    <n v="1"/>
    <n v="1"/>
  </r>
  <r>
    <s v="008.250.872/0001-10"/>
    <x v="121"/>
    <s v="INCLUSAO  ANOT.INADIMPLENCIA"/>
    <x v="163"/>
    <x v="6"/>
    <s v="2025-05"/>
    <x v="34"/>
    <s v="RAFAEL PARISE"/>
    <x v="121"/>
    <n v="0"/>
    <n v="1"/>
  </r>
  <r>
    <s v="021.382.943/0001-04"/>
    <x v="205"/>
    <s v="INCL/EXCL ANOT.INADIMPLENCIA"/>
    <x v="163"/>
    <x v="0"/>
    <s v="2025-05"/>
    <x v="34"/>
    <s v="ADMINISTRAÇÃO"/>
    <x v="205"/>
    <n v="1"/>
    <n v="1"/>
  </r>
  <r>
    <s v="025.236.865/0001-82"/>
    <x v="50"/>
    <s v="EXCLUSAO  ANOT.INADIMPLENCIA"/>
    <x v="163"/>
    <x v="1"/>
    <s v="2025-05"/>
    <x v="34"/>
    <s v="CELIO PIMENTA"/>
    <x v="50"/>
    <n v="1"/>
    <n v="0"/>
  </r>
  <r>
    <s v="025.825.654/0001-85"/>
    <x v="7"/>
    <s v="INCLUSAO  ANOT.INADIMPLENCIA"/>
    <x v="163"/>
    <x v="3"/>
    <s v="2025-05"/>
    <x v="34"/>
    <s v="MARCUS VINICIUS "/>
    <x v="7"/>
    <n v="0"/>
    <n v="1"/>
  </r>
  <r>
    <s v="028.511.223/0001-32"/>
    <x v="189"/>
    <s v="INCLUSAO  ANOT.INADIMPLENCIA"/>
    <x v="163"/>
    <x v="0"/>
    <s v="2025-05"/>
    <x v="34"/>
    <s v="ADMINISTRAÇÃO"/>
    <x v="189"/>
    <n v="0"/>
    <n v="1"/>
  </r>
  <r>
    <s v="028.650.970/0001-51"/>
    <x v="166"/>
    <s v="INCLUSAO  ANOT.INADIMPLENCIA"/>
    <x v="163"/>
    <x v="10"/>
    <s v="2025-05"/>
    <x v="34"/>
    <s v="ROGERIO "/>
    <x v="166"/>
    <n v="0"/>
    <n v="1"/>
  </r>
  <r>
    <s v="038.110.780/0001-03"/>
    <x v="47"/>
    <s v="EXCLUSAO  ANOT.INADIMPLENCIA"/>
    <x v="163"/>
    <x v="6"/>
    <s v="2025-05"/>
    <x v="34"/>
    <s v="RAFAEL PARISE"/>
    <x v="47"/>
    <n v="1"/>
    <n v="0"/>
  </r>
  <r>
    <s v="038.634.242/0001-00"/>
    <x v="91"/>
    <s v="INCLUSAO  ANOT.INADIMPLENCIA"/>
    <x v="163"/>
    <x v="10"/>
    <s v="2025-05"/>
    <x v="34"/>
    <s v="ROGERIO "/>
    <x v="91"/>
    <n v="0"/>
    <n v="1"/>
  </r>
  <r>
    <s v="040.938.741/0001-32"/>
    <x v="161"/>
    <s v="EXCLUSAO  ANOT.INADIMPLENCIA"/>
    <x v="163"/>
    <x v="12"/>
    <s v="2025-05"/>
    <x v="34"/>
    <s v="PROSPECTAR"/>
    <x v="161"/>
    <n v="1"/>
    <n v="0"/>
  </r>
  <r>
    <s v="043.515.558/0001-12"/>
    <x v="176"/>
    <s v="EXCLUSAO  ANOT.INADIMPLENCIA"/>
    <x v="163"/>
    <x v="10"/>
    <s v="2025-05"/>
    <x v="34"/>
    <s v="ROGERIO "/>
    <x v="176"/>
    <n v="1"/>
    <n v="0"/>
  </r>
  <r>
    <s v="045.452.509/0001-03"/>
    <x v="172"/>
    <s v="INCLUSAO  ANOT.INADIMPLENCIA"/>
    <x v="163"/>
    <x v="4"/>
    <s v="2025-05"/>
    <x v="34"/>
    <s v="NOELI SALETE"/>
    <x v="172"/>
    <n v="0"/>
    <n v="1"/>
  </r>
  <r>
    <s v="057.698.087/0001-30"/>
    <x v="229"/>
    <s v="INCLUSAO  ANOT.INADIMPLENCIA"/>
    <x v="147"/>
    <x v="1"/>
    <s v="2025-05"/>
    <x v="32"/>
    <s v="CELIO PIMENTA"/>
    <x v="229"/>
    <n v="0"/>
    <n v="1"/>
  </r>
  <r>
    <s v="003.524.760/0001-96"/>
    <x v="230"/>
    <s v="INCLUSAO  ANOT.INADIMPLENCIA"/>
    <x v="159"/>
    <x v="30"/>
    <s v="2025-05"/>
    <x v="35"/>
    <s v="ANDRE CUNHA"/>
    <x v="230"/>
    <n v="0"/>
    <n v="1"/>
  </r>
  <r>
    <s v="051.980.425/0001-45"/>
    <x v="173"/>
    <s v="INCLUSAO  ANOT.INADIMPLENCIA"/>
    <x v="159"/>
    <x v="10"/>
    <s v="2025-05"/>
    <x v="35"/>
    <s v="ROGERIO "/>
    <x v="173"/>
    <n v="0"/>
    <n v="1"/>
  </r>
  <r>
    <s v="044.637.793/0001-20"/>
    <x v="146"/>
    <s v="EXCLUSAO  ANOT.INADIMPLENCIA"/>
    <x v="159"/>
    <x v="0"/>
    <s v="2025-05"/>
    <x v="35"/>
    <s v="ADMINISTRAÇÃO"/>
    <x v="146"/>
    <n v="1"/>
    <n v="0"/>
  </r>
  <r>
    <s v="043.515.558/0001-12"/>
    <x v="176"/>
    <s v="INCLUSAO  ANOT.INADIMPLENCIA"/>
    <x v="159"/>
    <x v="10"/>
    <s v="2025-05"/>
    <x v="35"/>
    <s v="ROGERIO "/>
    <x v="176"/>
    <n v="0"/>
    <n v="1"/>
  </r>
  <r>
    <s v="038.110.780/0001-03"/>
    <x v="47"/>
    <s v="INCLUSAO  ANOT.INADIMPLENCIA"/>
    <x v="159"/>
    <x v="6"/>
    <s v="2025-05"/>
    <x v="35"/>
    <s v="RAFAEL PARISE"/>
    <x v="47"/>
    <n v="0"/>
    <n v="1"/>
  </r>
  <r>
    <s v="037.828.375/0001-54"/>
    <x v="39"/>
    <s v="INCL/EXCL ANOT.INADIMPLENCIA"/>
    <x v="159"/>
    <x v="5"/>
    <s v="2025-05"/>
    <x v="35"/>
    <s v="POENATELA"/>
    <x v="39"/>
    <n v="1"/>
    <n v="1"/>
  </r>
  <r>
    <s v="036.726.274/0001-00"/>
    <x v="133"/>
    <s v="EXCLUSAO  ANOT.INADIMPLENCIA"/>
    <x v="159"/>
    <x v="1"/>
    <s v="2025-05"/>
    <x v="35"/>
    <s v="CELIO PIMENTA"/>
    <x v="133"/>
    <n v="1"/>
    <n v="0"/>
  </r>
  <r>
    <s v="035.679.705/0001-61"/>
    <x v="171"/>
    <s v="INCLUSAO  ANOT.INADIMPLENCIA"/>
    <x v="159"/>
    <x v="4"/>
    <s v="2025-05"/>
    <x v="35"/>
    <s v="NOELI SALETE"/>
    <x v="171"/>
    <n v="0"/>
    <n v="1"/>
  </r>
  <r>
    <s v="028.650.970/0001-51"/>
    <x v="166"/>
    <s v="INCLUSAO  ANOT.INADIMPLENCIA"/>
    <x v="159"/>
    <x v="10"/>
    <s v="2025-05"/>
    <x v="35"/>
    <s v="ROGERIO "/>
    <x v="166"/>
    <n v="0"/>
    <n v="1"/>
  </r>
  <r>
    <s v="028.511.223/0001-32"/>
    <x v="189"/>
    <s v="INCLUSAO  ANOT.INADIMPLENCIA"/>
    <x v="159"/>
    <x v="0"/>
    <s v="2025-05"/>
    <x v="35"/>
    <s v="ADMINISTRAÇÃO"/>
    <x v="189"/>
    <n v="0"/>
    <n v="1"/>
  </r>
  <r>
    <s v="028.393.466/0001-13"/>
    <x v="167"/>
    <s v="INCLUSAO  ANOT.INADIMPLENCIA"/>
    <x v="159"/>
    <x v="12"/>
    <s v="2025-05"/>
    <x v="35"/>
    <s v="PROSPECTAR"/>
    <x v="167"/>
    <n v="0"/>
    <n v="1"/>
  </r>
  <r>
    <s v="027.180.131/0001-54"/>
    <x v="188"/>
    <s v="INCLUSAO  ANOT.INADIMPLENCIA"/>
    <x v="159"/>
    <x v="9"/>
    <s v="2025-05"/>
    <x v="35"/>
    <s v="PRISCILA METZ"/>
    <x v="188"/>
    <n v="0"/>
    <n v="1"/>
  </r>
  <r>
    <s v="025.825.654/0001-85"/>
    <x v="7"/>
    <s v="INCLUSAO  ANOT.INADIMPLENCIA"/>
    <x v="159"/>
    <x v="3"/>
    <s v="2025-05"/>
    <x v="35"/>
    <s v="MARCUS VINICIUS "/>
    <x v="7"/>
    <n v="0"/>
    <n v="1"/>
  </r>
  <r>
    <s v="025.383.640/0001-59"/>
    <x v="158"/>
    <s v="EXCLUSAO  ANOT.INADIMPLENCIA"/>
    <x v="159"/>
    <x v="5"/>
    <s v="2025-05"/>
    <x v="35"/>
    <s v="POENATELA"/>
    <x v="158"/>
    <n v="1"/>
    <n v="0"/>
  </r>
  <r>
    <s v="023.605.544/0001-82"/>
    <x v="21"/>
    <s v="INCLUSAO  ANOT.INADIMPLENCIA"/>
    <x v="159"/>
    <x v="9"/>
    <s v="2025-05"/>
    <x v="35"/>
    <s v="PRISCILA METZ"/>
    <x v="21"/>
    <n v="0"/>
    <n v="1"/>
  </r>
  <r>
    <s v="021.285.266/0001-06"/>
    <x v="231"/>
    <s v="INCLUSAO  ANOT.INADIMPLENCIA"/>
    <x v="159"/>
    <x v="27"/>
    <s v="2025-05"/>
    <x v="35"/>
    <s v="ALISSON DE SOUZA LIMA"/>
    <x v="231"/>
    <n v="0"/>
    <n v="1"/>
  </r>
  <r>
    <s v="020.242.216/0001-70"/>
    <x v="209"/>
    <s v="INCLUSAO  ANOT.INADIMPLENCIA"/>
    <x v="159"/>
    <x v="27"/>
    <s v="2025-05"/>
    <x v="35"/>
    <s v="ALISSON DE SOUZA LIMA"/>
    <x v="209"/>
    <n v="0"/>
    <n v="1"/>
  </r>
  <r>
    <s v="020.066.300/0001-80"/>
    <x v="2"/>
    <s v="INCLUSAO  ANOT.INADIMPLENCIA"/>
    <x v="159"/>
    <x v="1"/>
    <s v="2025-05"/>
    <x v="35"/>
    <s v="CELIO PIMENTA"/>
    <x v="2"/>
    <n v="0"/>
    <n v="1"/>
  </r>
  <r>
    <s v="016.772.642/0001-49"/>
    <x v="69"/>
    <s v="INCLUSAO  ANOT.INADIMPLENCIA"/>
    <x v="159"/>
    <x v="0"/>
    <s v="2025-05"/>
    <x v="35"/>
    <s v="ADMINISTRAÇÃO"/>
    <x v="69"/>
    <n v="0"/>
    <n v="1"/>
  </r>
  <r>
    <s v="016.757.535/0001-41"/>
    <x v="29"/>
    <s v="INCLUSAO  ANOT.INADIMPLENCIA"/>
    <x v="159"/>
    <x v="11"/>
    <s v="2025-05"/>
    <x v="35"/>
    <s v="DIOGO AZEVEDO"/>
    <x v="29"/>
    <n v="0"/>
    <n v="1"/>
  </r>
  <r>
    <s v="014.829.598/0001-30"/>
    <x v="31"/>
    <s v="EXCLUSAO  ANOT.INADIMPLENCIA"/>
    <x v="159"/>
    <x v="9"/>
    <s v="2025-05"/>
    <x v="35"/>
    <s v="PRISCILA METZ"/>
    <x v="31"/>
    <n v="1"/>
    <n v="0"/>
  </r>
  <r>
    <s v="012.645.814/0001-62"/>
    <x v="217"/>
    <s v="INCLUSAO  ANOT.INADIMPLENCIA"/>
    <x v="159"/>
    <x v="21"/>
    <s v="2025-05"/>
    <x v="35"/>
    <s v="CAIO"/>
    <x v="217"/>
    <n v="0"/>
    <n v="1"/>
  </r>
  <r>
    <s v="012.520.791/0001-60"/>
    <x v="4"/>
    <s v="EXCLUSAO  ANOT.INADIMPLENCIA"/>
    <x v="159"/>
    <x v="1"/>
    <s v="2025-05"/>
    <x v="35"/>
    <s v="CELIO PIMENTA"/>
    <x v="4"/>
    <n v="1"/>
    <n v="0"/>
  </r>
  <r>
    <s v="008.250.872/0001-10"/>
    <x v="121"/>
    <s v="INCLUSAO  ANOT.INADIMPLENCIA"/>
    <x v="159"/>
    <x v="6"/>
    <s v="2025-05"/>
    <x v="35"/>
    <s v="RAFAEL PARISE"/>
    <x v="121"/>
    <n v="0"/>
    <n v="1"/>
  </r>
  <r>
    <s v="007.102.721/0001-51"/>
    <x v="44"/>
    <s v="INCL/EXCL ANOT.INADIMPLENCIA"/>
    <x v="159"/>
    <x v="12"/>
    <s v="2025-05"/>
    <x v="35"/>
    <s v="PROSPECTAR"/>
    <x v="44"/>
    <n v="1"/>
    <n v="1"/>
  </r>
  <r>
    <s v="005.774.638/0001-01"/>
    <x v="197"/>
    <s v="INCLUSAO  ANOT.INADIMPLENCIA"/>
    <x v="159"/>
    <x v="21"/>
    <s v="2025-05"/>
    <x v="35"/>
    <s v="CAIO"/>
    <x v="197"/>
    <n v="0"/>
    <n v="1"/>
  </r>
  <r>
    <s v="005.374.432/0001-86"/>
    <x v="222"/>
    <s v="INCLUSAO  ANOT.INADIMPLENCIA"/>
    <x v="159"/>
    <x v="29"/>
    <s v="2025-05"/>
    <x v="35"/>
    <s v="DALVA"/>
    <x v="222"/>
    <n v="0"/>
    <n v="1"/>
  </r>
  <r>
    <s v="004.126.524/0001-84"/>
    <x v="28"/>
    <s v="EXCLUSAO  ANOT.INADIMPLENCIA"/>
    <x v="159"/>
    <x v="0"/>
    <s v="2025-05"/>
    <x v="35"/>
    <s v="ADMINISTRAÇÃO"/>
    <x v="28"/>
    <n v="1"/>
    <n v="0"/>
  </r>
  <r>
    <s v="057.698.087/0001-30"/>
    <x v="229"/>
    <s v="EXCLUSAO  ANOT.INADIMPLENCIA"/>
    <x v="153"/>
    <x v="1"/>
    <s v="2025-05"/>
    <x v="33"/>
    <s v="CELIO PIMENTA"/>
    <x v="229"/>
    <n v="1"/>
    <n v="0"/>
  </r>
  <r>
    <s v="057.698.087/0001-30"/>
    <x v="229"/>
    <s v="INCLUSAO  ANOT.INADIMPLENCIA"/>
    <x v="154"/>
    <x v="1"/>
    <s v="2025-05"/>
    <x v="34"/>
    <s v="CELIO PIMENTA"/>
    <x v="229"/>
    <n v="0"/>
    <n v="1"/>
  </r>
  <r>
    <s v="000.803.044/0001-50"/>
    <x v="45"/>
    <s v="EXCLUSAO  ANOT.INADIMPLENCIA"/>
    <x v="164"/>
    <x v="0"/>
    <s v="2025-05"/>
    <x v="35"/>
    <s v="ADMINISTRAÇÃO"/>
    <x v="45"/>
    <n v="1"/>
    <n v="0"/>
  </r>
  <r>
    <s v="047.635.671/0001-92"/>
    <x v="143"/>
    <s v="INCLUSAO  ANOT.INADIMPLENCIA"/>
    <x v="164"/>
    <x v="1"/>
    <s v="2025-05"/>
    <x v="35"/>
    <s v="CELIO PIMENTA"/>
    <x v="143"/>
    <n v="0"/>
    <n v="1"/>
  </r>
  <r>
    <s v="043.515.558/0001-12"/>
    <x v="176"/>
    <s v="INCLUSAO  ANOT.INADIMPLENCIA"/>
    <x v="164"/>
    <x v="10"/>
    <s v="2025-05"/>
    <x v="35"/>
    <s v="ROGERIO "/>
    <x v="176"/>
    <n v="0"/>
    <n v="1"/>
  </r>
  <r>
    <s v="038.110.780/0001-03"/>
    <x v="47"/>
    <s v="EXCLUSAO  ANOT.INADIMPLENCIA"/>
    <x v="164"/>
    <x v="6"/>
    <s v="2025-05"/>
    <x v="35"/>
    <s v="RAFAEL PARISE"/>
    <x v="47"/>
    <n v="1"/>
    <n v="0"/>
  </r>
  <r>
    <s v="037.599.774/0001-90"/>
    <x v="201"/>
    <s v="INCLUSAO  ANOT.INADIMPLENCIA"/>
    <x v="164"/>
    <x v="21"/>
    <s v="2025-05"/>
    <x v="35"/>
    <s v="CAIO"/>
    <x v="201"/>
    <n v="0"/>
    <n v="1"/>
  </r>
  <r>
    <s v="035.679.705/0001-61"/>
    <x v="171"/>
    <s v="INCLUSAO  ANOT.INADIMPLENCIA"/>
    <x v="164"/>
    <x v="4"/>
    <s v="2025-05"/>
    <x v="35"/>
    <s v="NOELI SALETE"/>
    <x v="171"/>
    <n v="0"/>
    <n v="1"/>
  </r>
  <r>
    <s v="028.393.466/0001-13"/>
    <x v="167"/>
    <s v="INCLUSAO  ANOT.INADIMPLENCIA"/>
    <x v="164"/>
    <x v="12"/>
    <s v="2025-05"/>
    <x v="35"/>
    <s v="PROSPECTAR"/>
    <x v="167"/>
    <n v="0"/>
    <n v="1"/>
  </r>
  <r>
    <s v="027.180.131/0001-54"/>
    <x v="188"/>
    <s v="INCLUSAO  ANOT.INADIMPLENCIA"/>
    <x v="164"/>
    <x v="9"/>
    <s v="2025-05"/>
    <x v="35"/>
    <s v="PRISCILA METZ"/>
    <x v="188"/>
    <n v="0"/>
    <n v="1"/>
  </r>
  <r>
    <s v="025.825.654/0001-85"/>
    <x v="7"/>
    <s v="INCLUSAO  ANOT.INADIMPLENCIA"/>
    <x v="164"/>
    <x v="3"/>
    <s v="2025-05"/>
    <x v="35"/>
    <s v="MARCUS VINICIUS "/>
    <x v="7"/>
    <n v="0"/>
    <n v="1"/>
  </r>
  <r>
    <s v="023.637.987/0001-55"/>
    <x v="20"/>
    <s v="INCLUSAO  ANOT.INADIMPLENCIA"/>
    <x v="164"/>
    <x v="5"/>
    <s v="2025-05"/>
    <x v="35"/>
    <s v="POENATELA"/>
    <x v="20"/>
    <n v="0"/>
    <n v="1"/>
  </r>
  <r>
    <s v="020.309.962/0001-34"/>
    <x v="191"/>
    <s v="INCLUSAO  ANOT.INADIMPLENCIA"/>
    <x v="164"/>
    <x v="12"/>
    <s v="2025-05"/>
    <x v="35"/>
    <s v="PROSPECTAR"/>
    <x v="191"/>
    <n v="0"/>
    <n v="1"/>
  </r>
  <r>
    <s v="020.242.216/0001-70"/>
    <x v="209"/>
    <s v="INCLUSAO  ANOT.INADIMPLENCIA"/>
    <x v="164"/>
    <x v="27"/>
    <s v="2025-05"/>
    <x v="35"/>
    <s v="ALISSON DE SOUZA LIMA"/>
    <x v="209"/>
    <n v="0"/>
    <n v="1"/>
  </r>
  <r>
    <s v="020.066.300/0001-80"/>
    <x v="2"/>
    <s v="INCLUSAO  ANOT.INADIMPLENCIA"/>
    <x v="164"/>
    <x v="1"/>
    <s v="2025-05"/>
    <x v="35"/>
    <s v="CELIO PIMENTA"/>
    <x v="2"/>
    <n v="0"/>
    <n v="1"/>
  </r>
  <r>
    <s v="020.024.081/0001-77"/>
    <x v="177"/>
    <s v="EXCLUSAO  ANOT.INADIMPLENCIA"/>
    <x v="164"/>
    <x v="10"/>
    <s v="2025-05"/>
    <x v="35"/>
    <s v="ROGERIO "/>
    <x v="177"/>
    <n v="1"/>
    <n v="0"/>
  </r>
  <r>
    <s v="016.772.642/0001-49"/>
    <x v="69"/>
    <s v="INCLUSAO  ANOT.INADIMPLENCIA"/>
    <x v="164"/>
    <x v="0"/>
    <s v="2025-05"/>
    <x v="35"/>
    <s v="ADMINISTRAÇÃO"/>
    <x v="69"/>
    <n v="0"/>
    <n v="1"/>
  </r>
  <r>
    <s v="008.250.872/0001-10"/>
    <x v="121"/>
    <s v="INCLUSAO  ANOT.INADIMPLENCIA"/>
    <x v="164"/>
    <x v="6"/>
    <s v="2025-05"/>
    <x v="35"/>
    <s v="RAFAEL PARISE"/>
    <x v="121"/>
    <n v="0"/>
    <n v="1"/>
  </r>
  <r>
    <s v="007.102.721/0001-51"/>
    <x v="44"/>
    <s v="INCLUSAO  ANOT.INADIMPLENCIA"/>
    <x v="164"/>
    <x v="12"/>
    <s v="2025-05"/>
    <x v="35"/>
    <s v="PROSPECTAR"/>
    <x v="44"/>
    <n v="0"/>
    <n v="1"/>
  </r>
  <r>
    <s v="004.323.643/0001-27"/>
    <x v="221"/>
    <s v="INCLUSAO  ANOT.INADIMPLENCIA"/>
    <x v="164"/>
    <x v="0"/>
    <s v="2025-05"/>
    <x v="35"/>
    <s v="ADMINISTRAÇÃO"/>
    <x v="221"/>
    <n v="0"/>
    <n v="1"/>
  </r>
  <r>
    <s v="003.590.360/0001-89"/>
    <x v="3"/>
    <s v="INCLUSAO  ANOT.INADIMPLENCIA"/>
    <x v="164"/>
    <x v="1"/>
    <s v="2025-05"/>
    <x v="35"/>
    <s v="CELIO PIMENTA"/>
    <x v="3"/>
    <n v="0"/>
    <n v="1"/>
  </r>
  <r>
    <s v="003.524.760/0001-96"/>
    <x v="230"/>
    <s v="EXCLUSAO  ANOT.INADIMPLENCIA"/>
    <x v="164"/>
    <x v="30"/>
    <s v="2025-05"/>
    <x v="35"/>
    <s v="ANDRE CUNHA"/>
    <x v="230"/>
    <n v="1"/>
    <n v="0"/>
  </r>
  <r>
    <s v="050.164.951/0001-74"/>
    <x v="51"/>
    <s v="INCLUSAO  ANOT.INADIMPLENCIA"/>
    <x v="164"/>
    <x v="0"/>
    <s v="2025-05"/>
    <x v="35"/>
    <s v="ADMINISTRAÇÃO"/>
    <x v="51"/>
    <n v="0"/>
    <n v="1"/>
  </r>
  <r>
    <s v="050.901.671/0001-00"/>
    <x v="126"/>
    <s v="INCLUSAO  ANOT.INADIMPLENCIA"/>
    <x v="164"/>
    <x v="10"/>
    <s v="2025-05"/>
    <x v="35"/>
    <s v="ROGERIO "/>
    <x v="126"/>
    <n v="0"/>
    <n v="1"/>
  </r>
  <r>
    <s v="001.376.967/0001-35"/>
    <x v="192"/>
    <s v="EXCLUSAO  ANOT.INADIMPLENCIA"/>
    <x v="160"/>
    <x v="26"/>
    <s v="2025-05"/>
    <x v="35"/>
    <s v="ANTECIPA"/>
    <x v="192"/>
    <n v="1"/>
    <n v="0"/>
  </r>
  <r>
    <s v="043.515.558/0001-12"/>
    <x v="176"/>
    <s v="EXCLUSAO  ANOT.INADIMPLENCIA"/>
    <x v="160"/>
    <x v="10"/>
    <s v="2025-05"/>
    <x v="35"/>
    <s v="ROGERIO "/>
    <x v="176"/>
    <n v="1"/>
    <n v="0"/>
  </r>
  <r>
    <s v="038.405.720/0001-00"/>
    <x v="202"/>
    <s v="EXCLUSAO  ANOT.INADIMPLENCIA"/>
    <x v="160"/>
    <x v="18"/>
    <s v="2025-05"/>
    <x v="35"/>
    <s v="SEM GERENTE"/>
    <x v="202"/>
    <n v="1"/>
    <n v="0"/>
  </r>
  <r>
    <s v="032.781.707/0001-79"/>
    <x v="215"/>
    <s v="INCLUSAO  ANOT.INADIMPLENCIA"/>
    <x v="160"/>
    <x v="26"/>
    <s v="2025-05"/>
    <x v="35"/>
    <s v="ANTECIPA"/>
    <x v="215"/>
    <n v="0"/>
    <n v="1"/>
  </r>
  <r>
    <s v="028.650.970/0001-51"/>
    <x v="166"/>
    <s v="INCLUSAO  ANOT.INADIMPLENCIA"/>
    <x v="160"/>
    <x v="10"/>
    <s v="2025-05"/>
    <x v="35"/>
    <s v="ROGERIO "/>
    <x v="166"/>
    <n v="0"/>
    <n v="1"/>
  </r>
  <r>
    <s v="028.511.223/0001-32"/>
    <x v="189"/>
    <s v="INCLUSAO  ANOT.INADIMPLENCIA"/>
    <x v="160"/>
    <x v="0"/>
    <s v="2025-05"/>
    <x v="35"/>
    <s v="ADMINISTRAÇÃO"/>
    <x v="189"/>
    <n v="0"/>
    <n v="1"/>
  </r>
  <r>
    <s v="028.393.466/0001-13"/>
    <x v="167"/>
    <s v="EXCLUSAO  ANOT.INADIMPLENCIA"/>
    <x v="160"/>
    <x v="12"/>
    <s v="2025-05"/>
    <x v="35"/>
    <s v="PROSPECTAR"/>
    <x v="167"/>
    <n v="1"/>
    <n v="0"/>
  </r>
  <r>
    <s v="021.734.108/0001-88"/>
    <x v="41"/>
    <s v="INCLUSAO  ANOT.INADIMPLENCIA"/>
    <x v="160"/>
    <x v="0"/>
    <s v="2025-05"/>
    <x v="35"/>
    <s v="ADMINISTRAÇÃO"/>
    <x v="41"/>
    <n v="0"/>
    <n v="1"/>
  </r>
  <r>
    <s v="057.698.087/0001-30"/>
    <x v="229"/>
    <s v="EXCLUSAO  ANOT.INADIMPLENCIA"/>
    <x v="163"/>
    <x v="1"/>
    <s v="2025-05"/>
    <x v="34"/>
    <s v="CELIO PIMENTA"/>
    <x v="229"/>
    <n v="1"/>
    <n v="0"/>
  </r>
  <r>
    <s v="020.066.300/0001-80"/>
    <x v="2"/>
    <s v="INCLUSAO  ANOT.INADIMPLENCIA"/>
    <x v="160"/>
    <x v="1"/>
    <s v="2025-05"/>
    <x v="35"/>
    <s v="CELIO PIMENTA"/>
    <x v="2"/>
    <n v="0"/>
    <n v="1"/>
  </r>
  <r>
    <s v="016.757.535/0001-41"/>
    <x v="29"/>
    <s v="INCLUSAO  ANOT.INADIMPLENCIA"/>
    <x v="160"/>
    <x v="11"/>
    <s v="2025-05"/>
    <x v="35"/>
    <s v="DIOGO AZEVEDO"/>
    <x v="29"/>
    <n v="0"/>
    <n v="1"/>
  </r>
  <r>
    <s v="012.520.791/0001-60"/>
    <x v="4"/>
    <s v="INCLUSAO  ANOT.INADIMPLENCIA"/>
    <x v="160"/>
    <x v="1"/>
    <s v="2025-05"/>
    <x v="35"/>
    <s v="CELIO PIMENTA"/>
    <x v="4"/>
    <n v="0"/>
    <n v="1"/>
  </r>
  <r>
    <s v="011.122.552/0001-99"/>
    <x v="59"/>
    <s v="INCLUSAO  ANOT.INADIMPLENCIA"/>
    <x v="160"/>
    <x v="6"/>
    <s v="2025-05"/>
    <x v="35"/>
    <s v="RAFAEL PARISE"/>
    <x v="59"/>
    <n v="0"/>
    <n v="1"/>
  </r>
  <r>
    <s v="008.250.872/0001-10"/>
    <x v="121"/>
    <s v="INCLUSAO  ANOT.INADIMPLENCIA"/>
    <x v="160"/>
    <x v="6"/>
    <s v="2025-05"/>
    <x v="35"/>
    <s v="RAFAEL PARISE"/>
    <x v="121"/>
    <n v="0"/>
    <n v="1"/>
  </r>
  <r>
    <s v="007.102.721/0001-51"/>
    <x v="44"/>
    <s v="EXCLUSAO  ANOT.INADIMPLENCIA"/>
    <x v="160"/>
    <x v="12"/>
    <s v="2025-05"/>
    <x v="35"/>
    <s v="PROSPECTAR"/>
    <x v="44"/>
    <n v="1"/>
    <n v="0"/>
  </r>
  <r>
    <s v="006.107.454/0001-42"/>
    <x v="42"/>
    <s v="EXCLUSAO  ANOT.INADIMPLENCIA"/>
    <x v="160"/>
    <x v="0"/>
    <s v="2025-05"/>
    <x v="35"/>
    <s v="ADMINISTRAÇÃO"/>
    <x v="42"/>
    <n v="1"/>
    <n v="0"/>
  </r>
  <r>
    <s v="003.524.760/0001-96"/>
    <x v="230"/>
    <s v="EXCLUSAO  ANOT.INADIMPLENCIA"/>
    <x v="160"/>
    <x v="30"/>
    <s v="2025-05"/>
    <x v="35"/>
    <s v="ANDRE CUNHA"/>
    <x v="230"/>
    <n v="1"/>
    <n v="0"/>
  </r>
  <r>
    <s v="020.024.081/0001-77"/>
    <x v="177"/>
    <s v="INCLUSAO  ANOT.INADIMPLENCIA"/>
    <x v="160"/>
    <x v="10"/>
    <s v="2025-05"/>
    <x v="35"/>
    <s v="ROGERIO "/>
    <x v="177"/>
    <n v="0"/>
    <n v="1"/>
  </r>
  <r>
    <s v="057.698.087/0001-30"/>
    <x v="229"/>
    <s v="INCLUSAO  ANOT.INADIMPLENCIA"/>
    <x v="159"/>
    <x v="1"/>
    <s v="2025-05"/>
    <x v="35"/>
    <s v="CELIO PIMENTA"/>
    <x v="229"/>
    <n v="0"/>
    <n v="1"/>
  </r>
  <r>
    <s v="005.363.690/0001-67"/>
    <x v="90"/>
    <s v="INCLUSAO  ANOT.INADIMPLENCIA"/>
    <x v="165"/>
    <x v="12"/>
    <s v="2025-05"/>
    <x v="35"/>
    <s v="PROSPECTAR"/>
    <x v="90"/>
    <n v="0"/>
    <n v="1"/>
  </r>
  <r>
    <s v="005.374.432/0001-86"/>
    <x v="222"/>
    <s v="EXCLUSAO  ANOT.INADIMPLENCIA"/>
    <x v="165"/>
    <x v="29"/>
    <s v="2025-05"/>
    <x v="35"/>
    <s v="DALVA"/>
    <x v="222"/>
    <n v="1"/>
    <n v="0"/>
  </r>
  <r>
    <s v="008.250.872/0001-10"/>
    <x v="121"/>
    <s v="EXCLUSAO  ANOT.INADIMPLENCIA"/>
    <x v="165"/>
    <x v="6"/>
    <s v="2025-05"/>
    <x v="35"/>
    <s v="RAFAEL PARISE"/>
    <x v="121"/>
    <n v="1"/>
    <n v="0"/>
  </r>
  <r>
    <s v="010.672.840/0001-54"/>
    <x v="228"/>
    <s v="EXCLUSAO  ANOT.INADIMPLENCIA"/>
    <x v="165"/>
    <x v="21"/>
    <s v="2025-05"/>
    <x v="35"/>
    <s v="CAIO"/>
    <x v="228"/>
    <n v="1"/>
    <n v="0"/>
  </r>
  <r>
    <s v="011.122.552/0001-99"/>
    <x v="59"/>
    <s v="INCL/EXCL ANOT.INADIMPLENCIA"/>
    <x v="165"/>
    <x v="6"/>
    <s v="2025-05"/>
    <x v="35"/>
    <s v="RAFAEL PARISE"/>
    <x v="59"/>
    <n v="1"/>
    <n v="1"/>
  </r>
  <r>
    <s v="020.066.300/0001-80"/>
    <x v="2"/>
    <s v="INCLUSAO  ANOT.INADIMPLENCIA"/>
    <x v="165"/>
    <x v="1"/>
    <s v="2025-05"/>
    <x v="35"/>
    <s v="CELIO PIMENTA"/>
    <x v="2"/>
    <n v="0"/>
    <n v="1"/>
  </r>
  <r>
    <s v="021.734.108/0001-88"/>
    <x v="41"/>
    <s v="EXCLUSAO  ANOT.INADIMPLENCIA"/>
    <x v="165"/>
    <x v="0"/>
    <s v="2025-05"/>
    <x v="35"/>
    <s v="ADMINISTRAÇÃO"/>
    <x v="41"/>
    <n v="1"/>
    <n v="0"/>
  </r>
  <r>
    <s v="028.511.223/0001-32"/>
    <x v="189"/>
    <s v="INCLUSAO  ANOT.INADIMPLENCIA"/>
    <x v="165"/>
    <x v="0"/>
    <s v="2025-05"/>
    <x v="35"/>
    <s v="ADMINISTRAÇÃO"/>
    <x v="189"/>
    <n v="0"/>
    <n v="1"/>
  </r>
  <r>
    <s v="032.781.707/0001-79"/>
    <x v="215"/>
    <s v="EXCLUSAO  ANOT.INADIMPLENCIA"/>
    <x v="165"/>
    <x v="26"/>
    <s v="2025-05"/>
    <x v="35"/>
    <s v="ANTECIPA"/>
    <x v="215"/>
    <n v="1"/>
    <n v="0"/>
  </r>
  <r>
    <s v="037.828.375/0001-54"/>
    <x v="39"/>
    <s v="EXCLUSAO  ANOT.INADIMPLENCIA"/>
    <x v="165"/>
    <x v="5"/>
    <s v="2025-05"/>
    <x v="35"/>
    <s v="POENATELA"/>
    <x v="39"/>
    <n v="1"/>
    <n v="0"/>
  </r>
  <r>
    <s v="000.688.793/0001-83"/>
    <x v="149"/>
    <s v="INCLUSAO  ANOT.INADIMPLENCIA"/>
    <x v="166"/>
    <x v="1"/>
    <s v="2025-05"/>
    <x v="35"/>
    <s v="CELIO PIMENTA"/>
    <x v="149"/>
    <n v="0"/>
    <n v="1"/>
  </r>
  <r>
    <s v="035.679.705/0001-61"/>
    <x v="171"/>
    <s v="INCLUSAO  ANOT.INADIMPLENCIA"/>
    <x v="166"/>
    <x v="4"/>
    <s v="2025-05"/>
    <x v="35"/>
    <s v="NOELI SALETE"/>
    <x v="171"/>
    <n v="0"/>
    <n v="1"/>
  </r>
  <r>
    <s v="028.511.223/0001-32"/>
    <x v="189"/>
    <s v="INCL/EXCL ANOT.INADIMPLENCIA"/>
    <x v="166"/>
    <x v="0"/>
    <s v="2025-05"/>
    <x v="35"/>
    <s v="ADMINISTRAÇÃO"/>
    <x v="189"/>
    <n v="1"/>
    <n v="1"/>
  </r>
  <r>
    <s v="028.393.466/0001-13"/>
    <x v="167"/>
    <s v="INCLUSAO  ANOT.INADIMPLENCIA"/>
    <x v="166"/>
    <x v="12"/>
    <s v="2025-05"/>
    <x v="35"/>
    <s v="PROSPECTAR"/>
    <x v="167"/>
    <n v="0"/>
    <n v="1"/>
  </r>
  <r>
    <s v="025.825.654/0001-85"/>
    <x v="7"/>
    <s v="INCLUSAO  ANOT.INADIMPLENCIA"/>
    <x v="166"/>
    <x v="3"/>
    <s v="2025-05"/>
    <x v="35"/>
    <s v="MARCUS VINICIUS "/>
    <x v="7"/>
    <n v="0"/>
    <n v="1"/>
  </r>
  <r>
    <s v="023.605.544/0001-82"/>
    <x v="21"/>
    <s v="INCLUSAO  ANOT.INADIMPLENCIA"/>
    <x v="166"/>
    <x v="9"/>
    <s v="2025-05"/>
    <x v="35"/>
    <s v="PRISCILA METZ"/>
    <x v="21"/>
    <n v="0"/>
    <n v="1"/>
  </r>
  <r>
    <s v="021.420.856/0001-96"/>
    <x v="129"/>
    <s v="INCLUSAO  ANOT.INADIMPLENCIA"/>
    <x v="166"/>
    <x v="19"/>
    <s v="2025-05"/>
    <x v="35"/>
    <s v="JOSE ROBERTO"/>
    <x v="129"/>
    <n v="0"/>
    <n v="1"/>
  </r>
  <r>
    <s v="021.382.943/0001-04"/>
    <x v="205"/>
    <s v="EXCLUSAO  ANOT.INADIMPLENCIA"/>
    <x v="166"/>
    <x v="0"/>
    <s v="2025-05"/>
    <x v="35"/>
    <s v="ADMINISTRAÇÃO"/>
    <x v="205"/>
    <n v="1"/>
    <n v="0"/>
  </r>
  <r>
    <s v="020.066.300/0001-80"/>
    <x v="2"/>
    <s v="INCLUSAO  ANOT.INADIMPLENCIA"/>
    <x v="166"/>
    <x v="1"/>
    <s v="2025-05"/>
    <x v="35"/>
    <s v="CELIO PIMENTA"/>
    <x v="2"/>
    <n v="0"/>
    <n v="1"/>
  </r>
  <r>
    <s v="018.498.459/0001-22"/>
    <x v="226"/>
    <s v="EXCLUSAO  ANOT.INADIMPLENCIA"/>
    <x v="166"/>
    <x v="9"/>
    <s v="2025-05"/>
    <x v="35"/>
    <s v="PRISCILA METZ"/>
    <x v="226"/>
    <n v="1"/>
    <n v="0"/>
  </r>
  <r>
    <s v="011.173.099/0001-40"/>
    <x v="227"/>
    <s v="EXCLUSAO  ANOT.INADIMPLENCIA"/>
    <x v="166"/>
    <x v="21"/>
    <s v="2025-05"/>
    <x v="35"/>
    <s v="CAIO"/>
    <x v="227"/>
    <n v="1"/>
    <n v="0"/>
  </r>
  <r>
    <s v="011.122.552/0001-99"/>
    <x v="59"/>
    <s v="EXCLUSAO  ANOT.INADIMPLENCIA"/>
    <x v="166"/>
    <x v="6"/>
    <s v="2025-05"/>
    <x v="35"/>
    <s v="RAFAEL PARISE"/>
    <x v="59"/>
    <n v="1"/>
    <n v="0"/>
  </r>
  <r>
    <s v="008.250.872/0001-10"/>
    <x v="121"/>
    <s v="INCL/EXCL ANOT.INADIMPLENCIA"/>
    <x v="166"/>
    <x v="6"/>
    <s v="2025-05"/>
    <x v="35"/>
    <s v="RAFAEL PARISE"/>
    <x v="121"/>
    <n v="1"/>
    <n v="1"/>
  </r>
  <r>
    <s v="007.645.213/0001-10"/>
    <x v="232"/>
    <s v="INCLUSAO  ANOT.INADIMPLENCIA"/>
    <x v="166"/>
    <x v="6"/>
    <s v="2025-05"/>
    <x v="35"/>
    <s v="RAFAEL PARISE"/>
    <x v="232"/>
    <n v="0"/>
    <n v="1"/>
  </r>
  <r>
    <s v="007.102.721/0001-51"/>
    <x v="44"/>
    <s v="INCL/EXCL ANOT.INADIMPLENCIA"/>
    <x v="166"/>
    <x v="12"/>
    <s v="2025-05"/>
    <x v="35"/>
    <s v="PROSPECTAR"/>
    <x v="44"/>
    <n v="1"/>
    <n v="1"/>
  </r>
  <r>
    <s v="005.374.432/0001-86"/>
    <x v="222"/>
    <s v="EXCLUSAO  ANOT.INADIMPLENCIA"/>
    <x v="166"/>
    <x v="29"/>
    <s v="2025-05"/>
    <x v="35"/>
    <s v="DALVA"/>
    <x v="222"/>
    <n v="1"/>
    <n v="0"/>
  </r>
  <r>
    <s v="004.323.643/0001-27"/>
    <x v="221"/>
    <s v="INCLUSAO  ANOT.INADIMPLENCIA"/>
    <x v="166"/>
    <x v="0"/>
    <s v="2025-05"/>
    <x v="35"/>
    <s v="ADMINISTRAÇÃO"/>
    <x v="221"/>
    <n v="0"/>
    <n v="1"/>
  </r>
  <r>
    <s v="000.803.044/0001-50"/>
    <x v="45"/>
    <s v="EXCLUSAO  ANOT.INADIMPLENCIA"/>
    <x v="166"/>
    <x v="0"/>
    <s v="2025-05"/>
    <x v="35"/>
    <s v="ADMINISTRAÇÃO"/>
    <x v="45"/>
    <n v="1"/>
    <n v="0"/>
  </r>
  <r>
    <s v="044.126.379/0001-56"/>
    <x v="187"/>
    <s v="INCLUSAO  ANOT.INADIMPLENCIA"/>
    <x v="166"/>
    <x v="1"/>
    <s v="2025-05"/>
    <x v="35"/>
    <s v="CELIO PIMENTA"/>
    <x v="187"/>
    <n v="0"/>
    <n v="1"/>
  </r>
  <r>
    <s v="048.956.491/0001-75"/>
    <x v="179"/>
    <s v="EXCLUSAO  ANOT.INADIMPLENCIA"/>
    <x v="166"/>
    <x v="12"/>
    <s v="2025-05"/>
    <x v="35"/>
    <s v="PROSPECTAR"/>
    <x v="179"/>
    <n v="1"/>
    <n v="0"/>
  </r>
  <r>
    <s v="057.698.087/0001-30"/>
    <x v="229"/>
    <s v="EXCLUSAO  ANOT.INADIMPLENCIA"/>
    <x v="160"/>
    <x v="1"/>
    <s v="2025-05"/>
    <x v="35"/>
    <s v="CELIO PIMENTA"/>
    <x v="229"/>
    <n v="1"/>
    <n v="0"/>
  </r>
  <r>
    <s v="057.696.093/0001-58"/>
    <x v="206"/>
    <s v="INCLUSAO  ANOT.INADIMPLENCIA"/>
    <x v="167"/>
    <x v="1"/>
    <s v="2025-06"/>
    <x v="36"/>
    <s v="CELIO PIMENTA"/>
    <x v="206"/>
    <n v="0"/>
    <n v="1"/>
  </r>
  <r>
    <s v="003.590.360/0001-89"/>
    <x v="3"/>
    <s v="INCLUSAO  ANOT.INADIMPLENCIA"/>
    <x v="168"/>
    <x v="1"/>
    <s v="2025-06"/>
    <x v="37"/>
    <s v="CELIO PIMENTA"/>
    <x v="3"/>
    <n v="0"/>
    <n v="1"/>
  </r>
  <r>
    <s v="040.582.798/0001-41"/>
    <x v="144"/>
    <s v="INCLUSAO  ANOT.INADIMPLENCIA"/>
    <x v="168"/>
    <x v="16"/>
    <s v="2025-06"/>
    <x v="37"/>
    <s v="SACADO"/>
    <x v="144"/>
    <n v="0"/>
    <n v="1"/>
  </r>
  <r>
    <s v="037.599.774/0001-90"/>
    <x v="201"/>
    <s v="INCLUSAO  ANOT.INADIMPLENCIA"/>
    <x v="168"/>
    <x v="21"/>
    <s v="2025-06"/>
    <x v="37"/>
    <s v="CAIO"/>
    <x v="201"/>
    <n v="0"/>
    <n v="1"/>
  </r>
  <r>
    <s v="035.679.705/0001-61"/>
    <x v="171"/>
    <s v="INCL/EXCL ANOT.INADIMPLENCIA"/>
    <x v="168"/>
    <x v="4"/>
    <s v="2025-06"/>
    <x v="37"/>
    <s v="NOELI SALETE"/>
    <x v="171"/>
    <n v="1"/>
    <n v="1"/>
  </r>
  <r>
    <s v="035.165.246/0001-06"/>
    <x v="104"/>
    <s v="INCLUSAO  ANOT.INADIMPLENCIA"/>
    <x v="168"/>
    <x v="3"/>
    <s v="2025-06"/>
    <x v="37"/>
    <s v="MARCUS VINICIUS "/>
    <x v="104"/>
    <n v="0"/>
    <n v="1"/>
  </r>
  <r>
    <s v="033.803.691/0001-10"/>
    <x v="103"/>
    <s v="INCLUSAO  ANOT.INADIMPLENCIA"/>
    <x v="168"/>
    <x v="0"/>
    <s v="2025-06"/>
    <x v="37"/>
    <s v="ADMINISTRAÇÃO"/>
    <x v="103"/>
    <n v="0"/>
    <n v="1"/>
  </r>
  <r>
    <s v="032.552.159/0001-05"/>
    <x v="211"/>
    <s v="INCLUSAO  ANOT.INADIMPLENCIA"/>
    <x v="168"/>
    <x v="27"/>
    <s v="2025-06"/>
    <x v="37"/>
    <s v="ALISSON DE SOUZA LIMA"/>
    <x v="211"/>
    <n v="0"/>
    <n v="1"/>
  </r>
  <r>
    <s v="028.650.970/0001-51"/>
    <x v="166"/>
    <s v="INCLUSAO  ANOT.INADIMPLENCIA"/>
    <x v="168"/>
    <x v="10"/>
    <s v="2025-06"/>
    <x v="37"/>
    <s v="ROGERIO "/>
    <x v="166"/>
    <n v="0"/>
    <n v="1"/>
  </r>
  <r>
    <s v="028.511.223/0001-32"/>
    <x v="189"/>
    <s v="INCL/EXCL ANOT.INADIMPLENCIA"/>
    <x v="168"/>
    <x v="0"/>
    <s v="2025-06"/>
    <x v="37"/>
    <s v="ADMINISTRAÇÃO"/>
    <x v="189"/>
    <n v="1"/>
    <n v="1"/>
  </r>
  <r>
    <s v="028.393.466/0001-13"/>
    <x v="167"/>
    <s v="INCL/EXCL ANOT.INADIMPLENCIA"/>
    <x v="168"/>
    <x v="12"/>
    <s v="2025-06"/>
    <x v="37"/>
    <s v="PROSPECTAR"/>
    <x v="167"/>
    <n v="1"/>
    <n v="1"/>
  </r>
  <r>
    <s v="027.180.131/0001-54"/>
    <x v="188"/>
    <s v="INCL/EXCL ANOT.INADIMPLENCIA"/>
    <x v="168"/>
    <x v="9"/>
    <s v="2025-06"/>
    <x v="37"/>
    <s v="PRISCILA METZ"/>
    <x v="188"/>
    <n v="1"/>
    <n v="1"/>
  </r>
  <r>
    <s v="025.825.654/0001-85"/>
    <x v="7"/>
    <s v="INCL/EXCL ANOT.INADIMPLENCIA"/>
    <x v="168"/>
    <x v="3"/>
    <s v="2025-06"/>
    <x v="37"/>
    <s v="MARCUS VINICIUS "/>
    <x v="7"/>
    <n v="1"/>
    <n v="1"/>
  </r>
  <r>
    <s v="023.909.177/0001-00"/>
    <x v="102"/>
    <s v="INCL/EXCL ANOT.INADIMPLENCIA"/>
    <x v="168"/>
    <x v="7"/>
    <s v="2025-06"/>
    <x v="37"/>
    <s v="WHELKYA IRIS"/>
    <x v="102"/>
    <n v="1"/>
    <n v="1"/>
  </r>
  <r>
    <s v="044.637.793/0001-20"/>
    <x v="146"/>
    <s v="EXCLUSAO  ANOT.INADIMPLENCIA"/>
    <x v="168"/>
    <x v="0"/>
    <s v="2025-06"/>
    <x v="37"/>
    <s v="ADMINISTRAÇÃO"/>
    <x v="146"/>
    <n v="1"/>
    <n v="0"/>
  </r>
  <r>
    <s v="023.605.544/0001-82"/>
    <x v="21"/>
    <s v="INCLUSAO  ANOT.INADIMPLENCIA"/>
    <x v="168"/>
    <x v="9"/>
    <s v="2025-06"/>
    <x v="37"/>
    <s v="PRISCILA METZ"/>
    <x v="21"/>
    <n v="0"/>
    <n v="1"/>
  </r>
  <r>
    <s v="021.382.943/0001-04"/>
    <x v="205"/>
    <s v="INCLUSAO  ANOT.INADIMPLENCIA"/>
    <x v="168"/>
    <x v="0"/>
    <s v="2025-06"/>
    <x v="37"/>
    <s v="ADMINISTRAÇÃO"/>
    <x v="205"/>
    <n v="0"/>
    <n v="1"/>
  </r>
  <r>
    <s v="020.242.216/0001-70"/>
    <x v="209"/>
    <s v="INCLUSAO  ANOT.INADIMPLENCIA"/>
    <x v="168"/>
    <x v="27"/>
    <s v="2025-06"/>
    <x v="37"/>
    <s v="ALISSON DE SOUZA LIMA"/>
    <x v="209"/>
    <n v="0"/>
    <n v="1"/>
  </r>
  <r>
    <s v="020.066.300/0001-80"/>
    <x v="2"/>
    <s v="INCLUSAO  ANOT.INADIMPLENCIA"/>
    <x v="168"/>
    <x v="1"/>
    <s v="2025-06"/>
    <x v="37"/>
    <s v="CELIO PIMENTA"/>
    <x v="2"/>
    <n v="0"/>
    <n v="1"/>
  </r>
  <r>
    <s v="020.024.081/0001-77"/>
    <x v="177"/>
    <s v="INCLUSAO  ANOT.INADIMPLENCIA"/>
    <x v="168"/>
    <x v="10"/>
    <s v="2025-06"/>
    <x v="37"/>
    <s v="ROGERIO "/>
    <x v="177"/>
    <n v="0"/>
    <n v="1"/>
  </r>
  <r>
    <s v="016.772.642/0001-49"/>
    <x v="69"/>
    <s v="INCLUSAO  ANOT.INADIMPLENCIA"/>
    <x v="168"/>
    <x v="0"/>
    <s v="2025-06"/>
    <x v="37"/>
    <s v="ADMINISTRAÇÃO"/>
    <x v="69"/>
    <n v="0"/>
    <n v="1"/>
  </r>
  <r>
    <s v="012.520.791/0001-60"/>
    <x v="4"/>
    <s v="INCLUSAO  ANOT.INADIMPLENCIA"/>
    <x v="168"/>
    <x v="1"/>
    <s v="2025-06"/>
    <x v="37"/>
    <s v="CELIO PIMENTA"/>
    <x v="4"/>
    <n v="0"/>
    <n v="1"/>
  </r>
  <r>
    <s v="011.122.552/0001-99"/>
    <x v="59"/>
    <s v="INCLUSAO  ANOT.INADIMPLENCIA"/>
    <x v="168"/>
    <x v="6"/>
    <s v="2025-06"/>
    <x v="37"/>
    <s v="RAFAEL PARISE"/>
    <x v="59"/>
    <n v="0"/>
    <n v="1"/>
  </r>
  <r>
    <s v="009.674.456/0001-01"/>
    <x v="233"/>
    <s v="INCLUSAO  ANOT.INADIMPLENCIA"/>
    <x v="168"/>
    <x v="6"/>
    <s v="2025-06"/>
    <x v="37"/>
    <s v="RAFAEL PARISE"/>
    <x v="233"/>
    <n v="0"/>
    <n v="1"/>
  </r>
  <r>
    <s v="008.250.872/0001-10"/>
    <x v="121"/>
    <s v="INCLUSAO  ANOT.INADIMPLENCIA"/>
    <x v="168"/>
    <x v="6"/>
    <s v="2025-06"/>
    <x v="37"/>
    <s v="RAFAEL PARISE"/>
    <x v="121"/>
    <n v="0"/>
    <n v="1"/>
  </r>
  <r>
    <s v="007.561.436/0001-07"/>
    <x v="34"/>
    <s v="INCLUSAO  ANOT.INADIMPLENCIA"/>
    <x v="168"/>
    <x v="12"/>
    <s v="2025-06"/>
    <x v="37"/>
    <s v="PROSPECTAR"/>
    <x v="34"/>
    <n v="0"/>
    <n v="1"/>
  </r>
  <r>
    <s v="007.102.721/0001-51"/>
    <x v="44"/>
    <s v="INCL/EXCL ANOT.INADIMPLENCIA"/>
    <x v="168"/>
    <x v="12"/>
    <s v="2025-06"/>
    <x v="37"/>
    <s v="PROSPECTAR"/>
    <x v="44"/>
    <n v="1"/>
    <n v="1"/>
  </r>
  <r>
    <s v="005.363.690/0001-67"/>
    <x v="90"/>
    <s v="EXCLUSAO  ANOT.INADIMPLENCIA"/>
    <x v="168"/>
    <x v="12"/>
    <s v="2025-06"/>
    <x v="37"/>
    <s v="PROSPECTAR"/>
    <x v="90"/>
    <n v="1"/>
    <n v="0"/>
  </r>
  <r>
    <s v="021.420.856/0001-96"/>
    <x v="129"/>
    <s v="INCLUSAO  ANOT.INADIMPLENCIA"/>
    <x v="168"/>
    <x v="19"/>
    <s v="2025-06"/>
    <x v="37"/>
    <s v="JOSE ROBERTO"/>
    <x v="129"/>
    <n v="0"/>
    <n v="1"/>
  </r>
  <r>
    <s v="071.350.797/0001-03"/>
    <x v="48"/>
    <s v="INCLUSAO  ANOT.INADIMPLENCIA"/>
    <x v="168"/>
    <x v="10"/>
    <s v="2025-06"/>
    <x v="37"/>
    <s v="ROGERIO "/>
    <x v="48"/>
    <n v="0"/>
    <n v="1"/>
  </r>
  <r>
    <s v="003.590.360/0001-89"/>
    <x v="3"/>
    <s v="EXCLUSAO  ANOT.INADIMPLENCIA"/>
    <x v="169"/>
    <x v="1"/>
    <s v="2025-06"/>
    <x v="37"/>
    <s v="CELIO PIMENTA"/>
    <x v="3"/>
    <n v="1"/>
    <n v="0"/>
  </r>
  <r>
    <s v="038.405.720/0001-00"/>
    <x v="202"/>
    <s v="INCLUSAO  ANOT.INADIMPLENCIA"/>
    <x v="169"/>
    <x v="18"/>
    <s v="2025-06"/>
    <x v="37"/>
    <s v="SEM GERENTE"/>
    <x v="202"/>
    <n v="0"/>
    <n v="1"/>
  </r>
  <r>
    <s v="037.828.375/0001-54"/>
    <x v="39"/>
    <s v="EXCLUSAO  ANOT.INADIMPLENCIA"/>
    <x v="169"/>
    <x v="5"/>
    <s v="2025-06"/>
    <x v="37"/>
    <s v="POENATELA"/>
    <x v="39"/>
    <n v="1"/>
    <n v="0"/>
  </r>
  <r>
    <s v="035.679.705/0001-61"/>
    <x v="171"/>
    <s v="INCLUSAO  ANOT.INADIMPLENCIA"/>
    <x v="169"/>
    <x v="4"/>
    <s v="2025-06"/>
    <x v="37"/>
    <s v="NOELI SALETE"/>
    <x v="171"/>
    <n v="0"/>
    <n v="1"/>
  </r>
  <r>
    <s v="034.821.586/0001-77"/>
    <x v="38"/>
    <s v="INCLUSAO  ANOT.INADIMPLENCIA"/>
    <x v="169"/>
    <x v="3"/>
    <s v="2025-06"/>
    <x v="37"/>
    <s v="MARCUS VINICIUS "/>
    <x v="38"/>
    <n v="0"/>
    <n v="1"/>
  </r>
  <r>
    <s v="028.650.970/0001-51"/>
    <x v="166"/>
    <s v="INCLUSAO  ANOT.INADIMPLENCIA"/>
    <x v="169"/>
    <x v="10"/>
    <s v="2025-06"/>
    <x v="37"/>
    <s v="ROGERIO "/>
    <x v="166"/>
    <n v="0"/>
    <n v="1"/>
  </r>
  <r>
    <s v="028.511.223/0001-32"/>
    <x v="189"/>
    <s v="INCL/EXCL ANOT.INADIMPLENCIA"/>
    <x v="169"/>
    <x v="0"/>
    <s v="2025-06"/>
    <x v="37"/>
    <s v="ADMINISTRAÇÃO"/>
    <x v="189"/>
    <n v="1"/>
    <n v="1"/>
  </r>
  <r>
    <s v="028.477.685/0001-80"/>
    <x v="95"/>
    <s v="INCLUSAO  ANOT.INADIMPLENCIA"/>
    <x v="169"/>
    <x v="5"/>
    <s v="2025-06"/>
    <x v="37"/>
    <s v="POENATELA"/>
    <x v="95"/>
    <n v="0"/>
    <n v="1"/>
  </r>
  <r>
    <s v="028.393.466/0001-13"/>
    <x v="167"/>
    <s v="INCLUSAO  ANOT.INADIMPLENCIA"/>
    <x v="169"/>
    <x v="12"/>
    <s v="2025-06"/>
    <x v="37"/>
    <s v="PROSPECTAR"/>
    <x v="167"/>
    <n v="0"/>
    <n v="1"/>
  </r>
  <r>
    <s v="025.825.654/0001-85"/>
    <x v="7"/>
    <s v="INCLUSAO  ANOT.INADIMPLENCIA"/>
    <x v="169"/>
    <x v="3"/>
    <s v="2025-06"/>
    <x v="37"/>
    <s v="MARCUS VINICIUS "/>
    <x v="7"/>
    <n v="0"/>
    <n v="1"/>
  </r>
  <r>
    <s v="021.382.943/0001-04"/>
    <x v="205"/>
    <s v="EXCLUSAO  ANOT.INADIMPLENCIA"/>
    <x v="169"/>
    <x v="0"/>
    <s v="2025-06"/>
    <x v="37"/>
    <s v="ADMINISTRAÇÃO"/>
    <x v="205"/>
    <n v="1"/>
    <n v="0"/>
  </r>
  <r>
    <s v="020.242.216/0001-70"/>
    <x v="209"/>
    <s v="INCLUSAO  ANOT.INADIMPLENCIA"/>
    <x v="169"/>
    <x v="27"/>
    <s v="2025-06"/>
    <x v="37"/>
    <s v="ALISSON DE SOUZA LIMA"/>
    <x v="209"/>
    <n v="0"/>
    <n v="1"/>
  </r>
  <r>
    <s v="020.066.300/0001-80"/>
    <x v="2"/>
    <s v="INCLUSAO  ANOT.INADIMPLENCIA"/>
    <x v="169"/>
    <x v="1"/>
    <s v="2025-06"/>
    <x v="37"/>
    <s v="CELIO PIMENTA"/>
    <x v="2"/>
    <n v="0"/>
    <n v="1"/>
  </r>
  <r>
    <s v="020.024.081/0001-77"/>
    <x v="177"/>
    <s v="EXCLUSAO  ANOT.INADIMPLENCIA"/>
    <x v="169"/>
    <x v="10"/>
    <s v="2025-06"/>
    <x v="37"/>
    <s v="ROGERIO "/>
    <x v="177"/>
    <n v="1"/>
    <n v="0"/>
  </r>
  <r>
    <s v="015.638.029/0001-70"/>
    <x v="234"/>
    <s v="EXCLUSAO  ANOT.INADIMPLENCIA"/>
    <x v="169"/>
    <x v="3"/>
    <s v="2025-06"/>
    <x v="37"/>
    <s v="MARCUS VINICIUS "/>
    <x v="234"/>
    <n v="1"/>
    <n v="0"/>
  </r>
  <r>
    <s v="012.520.791/0001-60"/>
    <x v="4"/>
    <s v="INCLUSAO  ANOT.INADIMPLENCIA"/>
    <x v="169"/>
    <x v="1"/>
    <s v="2025-06"/>
    <x v="37"/>
    <s v="CELIO PIMENTA"/>
    <x v="4"/>
    <n v="0"/>
    <n v="1"/>
  </r>
  <r>
    <s v="011.173.099/0001-40"/>
    <x v="227"/>
    <s v="INCLUSAO  ANOT.INADIMPLENCIA"/>
    <x v="169"/>
    <x v="21"/>
    <s v="2025-06"/>
    <x v="37"/>
    <s v="CAIO"/>
    <x v="227"/>
    <n v="0"/>
    <n v="1"/>
  </r>
  <r>
    <s v="011.122.552/0001-99"/>
    <x v="59"/>
    <s v="INCLUSAO  ANOT.INADIMPLENCIA"/>
    <x v="169"/>
    <x v="6"/>
    <s v="2025-06"/>
    <x v="37"/>
    <s v="RAFAEL PARISE"/>
    <x v="59"/>
    <n v="0"/>
    <n v="1"/>
  </r>
  <r>
    <s v="008.250.872/0001-10"/>
    <x v="121"/>
    <s v="INCL/EXCL ANOT.INADIMPLENCIA"/>
    <x v="169"/>
    <x v="6"/>
    <s v="2025-06"/>
    <x v="37"/>
    <s v="RAFAEL PARISE"/>
    <x v="121"/>
    <n v="1"/>
    <n v="1"/>
  </r>
  <r>
    <s v="007.561.436/0001-07"/>
    <x v="34"/>
    <s v="EXCLUSAO  ANOT.INADIMPLENCIA"/>
    <x v="169"/>
    <x v="12"/>
    <s v="2025-06"/>
    <x v="37"/>
    <s v="PROSPECTAR"/>
    <x v="34"/>
    <n v="1"/>
    <n v="0"/>
  </r>
  <r>
    <s v="007.102.721/0001-51"/>
    <x v="44"/>
    <s v="INCLUSAO  ANOT.INADIMPLENCIA"/>
    <x v="169"/>
    <x v="12"/>
    <s v="2025-06"/>
    <x v="37"/>
    <s v="PROSPECTAR"/>
    <x v="44"/>
    <n v="0"/>
    <n v="1"/>
  </r>
  <r>
    <s v="004.323.643/0001-27"/>
    <x v="221"/>
    <s v="EXCLUSAO  ANOT.INADIMPLENCIA"/>
    <x v="169"/>
    <x v="0"/>
    <s v="2025-06"/>
    <x v="37"/>
    <s v="ADMINISTRAÇÃO"/>
    <x v="221"/>
    <n v="1"/>
    <n v="0"/>
  </r>
  <r>
    <s v="043.515.558/0001-12"/>
    <x v="176"/>
    <s v="EXCLUSAO  ANOT.INADIMPLENCIA"/>
    <x v="169"/>
    <x v="10"/>
    <s v="2025-06"/>
    <x v="37"/>
    <s v="ROGERIO "/>
    <x v="176"/>
    <n v="1"/>
    <n v="0"/>
  </r>
  <r>
    <s v="055.979.736/0001-45"/>
    <x v="63"/>
    <s v="INCLUSAO  ANOT.INADIMPLENCIA"/>
    <x v="169"/>
    <x v="16"/>
    <s v="2025-06"/>
    <x v="37"/>
    <s v="SACADO"/>
    <x v="63"/>
    <n v="0"/>
    <n v="1"/>
  </r>
  <r>
    <s v="001.376.967/0001-35"/>
    <x v="192"/>
    <s v="EXCLUSAO  ANOT.INADIMPLENCIA"/>
    <x v="170"/>
    <x v="26"/>
    <s v="2025-06"/>
    <x v="37"/>
    <s v="ANTECIPA"/>
    <x v="192"/>
    <n v="1"/>
    <n v="0"/>
  </r>
  <r>
    <s v="007.102.721/0001-51"/>
    <x v="44"/>
    <s v="EXCLUSAO  ANOT.INADIMPLENCIA"/>
    <x v="170"/>
    <x v="12"/>
    <s v="2025-06"/>
    <x v="37"/>
    <s v="PROSPECTAR"/>
    <x v="44"/>
    <n v="1"/>
    <n v="0"/>
  </r>
  <r>
    <s v="007.561.436/0001-07"/>
    <x v="34"/>
    <s v="EXCLUSAO  ANOT.INADIMPLENCIA"/>
    <x v="170"/>
    <x v="12"/>
    <s v="2025-06"/>
    <x v="37"/>
    <s v="PROSPECTAR"/>
    <x v="34"/>
    <n v="1"/>
    <n v="0"/>
  </r>
  <r>
    <s v="008.250.872/0001-10"/>
    <x v="121"/>
    <s v="EXCLUSAO  ANOT.INADIMPLENCIA"/>
    <x v="170"/>
    <x v="6"/>
    <s v="2025-06"/>
    <x v="37"/>
    <s v="RAFAEL PARISE"/>
    <x v="121"/>
    <n v="1"/>
    <n v="0"/>
  </r>
  <r>
    <s v="011.122.552/0001-99"/>
    <x v="59"/>
    <s v="INCL/EXCL ANOT.INADIMPLENCIA"/>
    <x v="170"/>
    <x v="6"/>
    <s v="2025-06"/>
    <x v="37"/>
    <s v="RAFAEL PARISE"/>
    <x v="59"/>
    <n v="1"/>
    <n v="1"/>
  </r>
  <r>
    <s v="016.772.642/0001-49"/>
    <x v="69"/>
    <s v="INCLUSAO  ANOT.INADIMPLENCIA"/>
    <x v="170"/>
    <x v="0"/>
    <s v="2025-06"/>
    <x v="37"/>
    <s v="ADMINISTRAÇÃO"/>
    <x v="69"/>
    <n v="0"/>
    <n v="1"/>
  </r>
  <r>
    <s v="020.024.081/0001-77"/>
    <x v="177"/>
    <s v="INCL/EXCL ANOT.INADIMPLENCIA"/>
    <x v="170"/>
    <x v="10"/>
    <s v="2025-06"/>
    <x v="37"/>
    <s v="ROGERIO "/>
    <x v="177"/>
    <n v="1"/>
    <n v="1"/>
  </r>
  <r>
    <s v="020.066.300/0001-80"/>
    <x v="2"/>
    <s v="INCLUSAO  ANOT.INADIMPLENCIA"/>
    <x v="170"/>
    <x v="1"/>
    <s v="2025-06"/>
    <x v="37"/>
    <s v="CELIO PIMENTA"/>
    <x v="2"/>
    <n v="0"/>
    <n v="1"/>
  </r>
  <r>
    <s v="020.242.216/0001-70"/>
    <x v="209"/>
    <s v="INCL/EXCL ANOT.INADIMPLENCIA"/>
    <x v="170"/>
    <x v="27"/>
    <s v="2025-06"/>
    <x v="37"/>
    <s v="ALISSON DE SOUZA LIMA"/>
    <x v="209"/>
    <n v="1"/>
    <n v="1"/>
  </r>
  <r>
    <s v="021.420.856/0001-96"/>
    <x v="129"/>
    <s v="EXCLUSAO  ANOT.INADIMPLENCIA"/>
    <x v="170"/>
    <x v="19"/>
    <s v="2025-06"/>
    <x v="37"/>
    <s v="JOSE ROBERTO"/>
    <x v="129"/>
    <n v="1"/>
    <n v="0"/>
  </r>
  <r>
    <s v="025.825.654/0001-85"/>
    <x v="7"/>
    <s v="INCLUSAO  ANOT.INADIMPLENCIA"/>
    <x v="170"/>
    <x v="3"/>
    <s v="2025-06"/>
    <x v="37"/>
    <s v="MARCUS VINICIUS "/>
    <x v="7"/>
    <n v="0"/>
    <n v="1"/>
  </r>
  <r>
    <s v="028.650.970/0001-51"/>
    <x v="166"/>
    <s v="INCL/EXCL ANOT.INADIMPLENCIA"/>
    <x v="170"/>
    <x v="10"/>
    <s v="2025-06"/>
    <x v="37"/>
    <s v="ROGERIO "/>
    <x v="166"/>
    <n v="1"/>
    <n v="1"/>
  </r>
  <r>
    <s v="043.515.558/0001-12"/>
    <x v="176"/>
    <s v="EXCLUSAO  ANOT.INADIMPLENCIA"/>
    <x v="170"/>
    <x v="10"/>
    <s v="2025-06"/>
    <x v="37"/>
    <s v="ROGERIO "/>
    <x v="176"/>
    <n v="1"/>
    <n v="0"/>
  </r>
  <r>
    <s v="007.102.721/0001-51"/>
    <x v="44"/>
    <s v="EXCLUSAO  ANOT.INADIMPLENCIA"/>
    <x v="171"/>
    <x v="12"/>
    <s v="2025-06"/>
    <x v="37"/>
    <s v="PROSPECTAR"/>
    <x v="44"/>
    <n v="1"/>
    <n v="0"/>
  </r>
  <r>
    <s v="009.674.456/0001-01"/>
    <x v="233"/>
    <s v="EXCLUSAO  ANOT.INADIMPLENCIA"/>
    <x v="171"/>
    <x v="6"/>
    <s v="2025-06"/>
    <x v="37"/>
    <s v="RAFAEL PARISE"/>
    <x v="233"/>
    <n v="1"/>
    <n v="0"/>
  </r>
  <r>
    <s v="011.122.552/0001-99"/>
    <x v="59"/>
    <s v="INCLUSAO  ANOT.INADIMPLENCIA"/>
    <x v="171"/>
    <x v="6"/>
    <s v="2025-06"/>
    <x v="37"/>
    <s v="RAFAEL PARISE"/>
    <x v="59"/>
    <n v="0"/>
    <n v="1"/>
  </r>
  <r>
    <s v="020.309.962/0001-34"/>
    <x v="191"/>
    <s v="EXCLUSAO  ANOT.INADIMPLENCIA"/>
    <x v="171"/>
    <x v="12"/>
    <s v="2025-06"/>
    <x v="37"/>
    <s v="PROSPECTAR"/>
    <x v="191"/>
    <n v="1"/>
    <n v="0"/>
  </r>
  <r>
    <s v="021.734.108/0001-88"/>
    <x v="41"/>
    <s v="INCLUSAO  ANOT.INADIMPLENCIA"/>
    <x v="171"/>
    <x v="0"/>
    <s v="2025-06"/>
    <x v="37"/>
    <s v="ADMINISTRAÇÃO"/>
    <x v="41"/>
    <n v="0"/>
    <n v="1"/>
  </r>
  <r>
    <s v="027.180.131/0001-54"/>
    <x v="188"/>
    <s v="EXCLUSAO  ANOT.INADIMPLENCIA"/>
    <x v="171"/>
    <x v="9"/>
    <s v="2025-06"/>
    <x v="37"/>
    <s v="PRISCILA METZ"/>
    <x v="188"/>
    <n v="1"/>
    <n v="0"/>
  </r>
  <r>
    <s v="028.511.223/0001-32"/>
    <x v="189"/>
    <s v="INCL/EXCL ANOT.INADIMPLENCIA"/>
    <x v="171"/>
    <x v="0"/>
    <s v="2025-06"/>
    <x v="37"/>
    <s v="ADMINISTRAÇÃO"/>
    <x v="189"/>
    <n v="1"/>
    <n v="1"/>
  </r>
  <r>
    <s v="034.821.586/0001-77"/>
    <x v="38"/>
    <s v="INCLUSAO  ANOT.INADIMPLENCIA"/>
    <x v="171"/>
    <x v="3"/>
    <s v="2025-06"/>
    <x v="37"/>
    <s v="MARCUS VINICIUS "/>
    <x v="38"/>
    <n v="0"/>
    <n v="1"/>
  </r>
  <r>
    <s v="039.535.425/0001-30"/>
    <x v="120"/>
    <s v="EXCLUSAO  ANOT.INADIMPLENCIA"/>
    <x v="171"/>
    <x v="6"/>
    <s v="2025-06"/>
    <x v="37"/>
    <s v="RAFAEL PARISE"/>
    <x v="120"/>
    <n v="1"/>
    <n v="0"/>
  </r>
  <r>
    <s v="043.515.558/0001-12"/>
    <x v="176"/>
    <s v="INCLUSAO  ANOT.INADIMPLENCIA"/>
    <x v="171"/>
    <x v="10"/>
    <s v="2025-06"/>
    <x v="37"/>
    <s v="ROGERIO "/>
    <x v="176"/>
    <n v="0"/>
    <n v="1"/>
  </r>
  <r>
    <s v="004.126.524/0001-84"/>
    <x v="28"/>
    <s v="EXCLUSAO  ANOT.INADIMPLENCIA"/>
    <x v="172"/>
    <x v="0"/>
    <s v="2025-06"/>
    <x v="37"/>
    <s v="ADMINISTRAÇÃO"/>
    <x v="28"/>
    <n v="1"/>
    <n v="0"/>
  </r>
  <r>
    <s v="036.726.274/0001-00"/>
    <x v="133"/>
    <s v="EXCLUSAO  ANOT.INADIMPLENCIA"/>
    <x v="172"/>
    <x v="1"/>
    <s v="2025-06"/>
    <x v="37"/>
    <s v="CELIO PIMENTA"/>
    <x v="133"/>
    <n v="1"/>
    <n v="0"/>
  </r>
  <r>
    <s v="028.650.970/0001-51"/>
    <x v="166"/>
    <s v="INCLUSAO  ANOT.INADIMPLENCIA"/>
    <x v="172"/>
    <x v="10"/>
    <s v="2025-06"/>
    <x v="37"/>
    <s v="ROGERIO "/>
    <x v="166"/>
    <n v="0"/>
    <n v="1"/>
  </r>
  <r>
    <s v="028.511.223/0001-32"/>
    <x v="189"/>
    <s v="INCL/EXCL ANOT.INADIMPLENCIA"/>
    <x v="172"/>
    <x v="0"/>
    <s v="2025-06"/>
    <x v="37"/>
    <s v="ADMINISTRAÇÃO"/>
    <x v="189"/>
    <n v="1"/>
    <n v="1"/>
  </r>
  <r>
    <s v="028.393.466/0001-13"/>
    <x v="167"/>
    <s v="INCLUSAO  ANOT.INADIMPLENCIA"/>
    <x v="172"/>
    <x v="12"/>
    <s v="2025-06"/>
    <x v="37"/>
    <s v="PROSPECTAR"/>
    <x v="167"/>
    <n v="0"/>
    <n v="1"/>
  </r>
  <r>
    <s v="027.180.131/0001-54"/>
    <x v="188"/>
    <s v="EXCLUSAO  ANOT.INADIMPLENCIA"/>
    <x v="172"/>
    <x v="9"/>
    <s v="2025-06"/>
    <x v="37"/>
    <s v="PRISCILA METZ"/>
    <x v="188"/>
    <n v="1"/>
    <n v="0"/>
  </r>
  <r>
    <s v="026.416.177/0001-67"/>
    <x v="130"/>
    <s v="INCLUSAO  ANOT.INADIMPLENCIA"/>
    <x v="172"/>
    <x v="3"/>
    <s v="2025-06"/>
    <x v="37"/>
    <s v="MARCUS VINICIUS "/>
    <x v="130"/>
    <n v="0"/>
    <n v="1"/>
  </r>
  <r>
    <s v="044.126.379/0001-56"/>
    <x v="187"/>
    <s v="EXCLUSAO  ANOT.INADIMPLENCIA"/>
    <x v="172"/>
    <x v="1"/>
    <s v="2025-06"/>
    <x v="37"/>
    <s v="CELIO PIMENTA"/>
    <x v="187"/>
    <n v="1"/>
    <n v="0"/>
  </r>
  <r>
    <s v="025.825.654/0001-85"/>
    <x v="7"/>
    <s v="INCLUSAO  ANOT.INADIMPLENCIA"/>
    <x v="172"/>
    <x v="3"/>
    <s v="2025-06"/>
    <x v="37"/>
    <s v="MARCUS VINICIUS "/>
    <x v="7"/>
    <n v="0"/>
    <n v="1"/>
  </r>
  <r>
    <s v="021.382.943/0001-04"/>
    <x v="205"/>
    <s v="EXCLUSAO  ANOT.INADIMPLENCIA"/>
    <x v="172"/>
    <x v="0"/>
    <s v="2025-06"/>
    <x v="37"/>
    <s v="ADMINISTRAÇÃO"/>
    <x v="205"/>
    <n v="1"/>
    <n v="0"/>
  </r>
  <r>
    <s v="020.066.300/0001-80"/>
    <x v="2"/>
    <s v="INCLUSAO  ANOT.INADIMPLENCIA"/>
    <x v="172"/>
    <x v="1"/>
    <s v="2025-06"/>
    <x v="37"/>
    <s v="CELIO PIMENTA"/>
    <x v="2"/>
    <n v="0"/>
    <n v="1"/>
  </r>
  <r>
    <s v="020.024.081/0001-77"/>
    <x v="177"/>
    <s v="INCLUSAO  ANOT.INADIMPLENCIA"/>
    <x v="172"/>
    <x v="10"/>
    <s v="2025-06"/>
    <x v="37"/>
    <s v="ROGERIO "/>
    <x v="177"/>
    <n v="0"/>
    <n v="1"/>
  </r>
  <r>
    <s v="008.250.872/0001-10"/>
    <x v="121"/>
    <s v="INCLUSAO  ANOT.INADIMPLENCIA"/>
    <x v="172"/>
    <x v="6"/>
    <s v="2025-06"/>
    <x v="37"/>
    <s v="RAFAEL PARISE"/>
    <x v="121"/>
    <n v="0"/>
    <n v="1"/>
  </r>
  <r>
    <s v="007.102.721/0001-51"/>
    <x v="44"/>
    <s v="INCL/EXCL ANOT.INADIMPLENCIA"/>
    <x v="172"/>
    <x v="12"/>
    <s v="2025-06"/>
    <x v="37"/>
    <s v="PROSPECTAR"/>
    <x v="44"/>
    <n v="1"/>
    <n v="1"/>
  </r>
  <r>
    <s v="004.323.643/0001-27"/>
    <x v="221"/>
    <s v="INCLUSAO  ANOT.INADIMPLENCIA"/>
    <x v="172"/>
    <x v="0"/>
    <s v="2025-06"/>
    <x v="37"/>
    <s v="ADMINISTRAÇÃO"/>
    <x v="221"/>
    <n v="0"/>
    <n v="1"/>
  </r>
  <r>
    <s v="021.458.691/0001-41"/>
    <x v="223"/>
    <s v="INCLUSAO  ANOT.INADIMPLENCIA"/>
    <x v="172"/>
    <x v="26"/>
    <s v="2025-06"/>
    <x v="37"/>
    <s v="ANTECIPA"/>
    <x v="223"/>
    <n v="0"/>
    <n v="1"/>
  </r>
  <r>
    <s v="050.901.671/0001-00"/>
    <x v="126"/>
    <s v="EXCLUSAO  ANOT.INADIMPLENCIA"/>
    <x v="172"/>
    <x v="10"/>
    <s v="2025-06"/>
    <x v="37"/>
    <s v="ROGERIO "/>
    <x v="126"/>
    <n v="1"/>
    <n v="0"/>
  </r>
  <r>
    <s v="000.803.044/0001-50"/>
    <x v="45"/>
    <s v="EXCLUSAO  ANOT.INADIMPLENCIA"/>
    <x v="173"/>
    <x v="0"/>
    <s v="2025-06"/>
    <x v="38"/>
    <s v="ADMINISTRAÇÃO"/>
    <x v="45"/>
    <n v="1"/>
    <n v="0"/>
  </r>
  <r>
    <s v="044.637.793/0001-20"/>
    <x v="146"/>
    <s v="INCLUSAO  ANOT.INADIMPLENCIA"/>
    <x v="173"/>
    <x v="0"/>
    <s v="2025-06"/>
    <x v="38"/>
    <s v="ADMINISTRAÇÃO"/>
    <x v="146"/>
    <n v="0"/>
    <n v="1"/>
  </r>
  <r>
    <s v="044.570.311/0001-61"/>
    <x v="116"/>
    <s v="INCLUSAO  ANOT.INADIMPLENCIA"/>
    <x v="173"/>
    <x v="12"/>
    <s v="2025-06"/>
    <x v="38"/>
    <s v="PROSPECTAR"/>
    <x v="116"/>
    <n v="0"/>
    <n v="1"/>
  </r>
  <r>
    <s v="043.515.558/0001-12"/>
    <x v="176"/>
    <s v="INCLUSAO  ANOT.INADIMPLENCIA"/>
    <x v="173"/>
    <x v="10"/>
    <s v="2025-06"/>
    <x v="38"/>
    <s v="ROGERIO "/>
    <x v="176"/>
    <n v="0"/>
    <n v="1"/>
  </r>
  <r>
    <s v="038.110.780/0001-03"/>
    <x v="47"/>
    <s v="INCLUSAO  ANOT.INADIMPLENCIA"/>
    <x v="173"/>
    <x v="6"/>
    <s v="2025-06"/>
    <x v="38"/>
    <s v="RAFAEL PARISE"/>
    <x v="47"/>
    <n v="0"/>
    <n v="1"/>
  </r>
  <r>
    <s v="037.828.375/0001-54"/>
    <x v="39"/>
    <s v="EXCLUSAO  ANOT.INADIMPLENCIA"/>
    <x v="173"/>
    <x v="5"/>
    <s v="2025-06"/>
    <x v="38"/>
    <s v="POENATELA"/>
    <x v="39"/>
    <n v="1"/>
    <n v="0"/>
  </r>
  <r>
    <s v="037.599.774/0001-90"/>
    <x v="201"/>
    <s v="INCLUSAO  ANOT.INADIMPLENCIA"/>
    <x v="173"/>
    <x v="21"/>
    <s v="2025-06"/>
    <x v="38"/>
    <s v="CAIO"/>
    <x v="201"/>
    <n v="0"/>
    <n v="1"/>
  </r>
  <r>
    <s v="032.925.977/0001-06"/>
    <x v="235"/>
    <s v="INCLUSAO  ANOT.INADIMPLENCIA"/>
    <x v="173"/>
    <x v="1"/>
    <s v="2025-06"/>
    <x v="38"/>
    <s v="CELIO PIMENTA"/>
    <x v="235"/>
    <n v="0"/>
    <n v="1"/>
  </r>
  <r>
    <s v="028.511.223/0001-32"/>
    <x v="189"/>
    <s v="INCLUSAO  ANOT.INADIMPLENCIA"/>
    <x v="173"/>
    <x v="0"/>
    <s v="2025-06"/>
    <x v="38"/>
    <s v="ADMINISTRAÇÃO"/>
    <x v="189"/>
    <n v="0"/>
    <n v="1"/>
  </r>
  <r>
    <s v="028.477.685/0001-80"/>
    <x v="95"/>
    <s v="EXCLUSAO  ANOT.INADIMPLENCIA"/>
    <x v="173"/>
    <x v="5"/>
    <s v="2025-06"/>
    <x v="38"/>
    <s v="POENATELA"/>
    <x v="95"/>
    <n v="1"/>
    <n v="0"/>
  </r>
  <r>
    <s v="028.393.466/0001-13"/>
    <x v="167"/>
    <s v="INCLUSAO  ANOT.INADIMPLENCIA"/>
    <x v="173"/>
    <x v="12"/>
    <s v="2025-06"/>
    <x v="38"/>
    <s v="PROSPECTAR"/>
    <x v="167"/>
    <n v="0"/>
    <n v="1"/>
  </r>
  <r>
    <s v="025.825.654/0001-85"/>
    <x v="7"/>
    <s v="INCLUSAO  ANOT.INADIMPLENCIA"/>
    <x v="173"/>
    <x v="3"/>
    <s v="2025-06"/>
    <x v="38"/>
    <s v="MARCUS VINICIUS "/>
    <x v="7"/>
    <n v="0"/>
    <n v="1"/>
  </r>
  <r>
    <s v="025.094.292/0001-08"/>
    <x v="213"/>
    <s v="INCLUSAO  ANOT.INADIMPLENCIA"/>
    <x v="173"/>
    <x v="12"/>
    <s v="2025-06"/>
    <x v="38"/>
    <s v="PROSPECTAR"/>
    <x v="213"/>
    <n v="0"/>
    <n v="1"/>
  </r>
  <r>
    <s v="023.605.544/0001-82"/>
    <x v="21"/>
    <s v="INCLUSAO  ANOT.INADIMPLENCIA"/>
    <x v="173"/>
    <x v="9"/>
    <s v="2025-06"/>
    <x v="38"/>
    <s v="PRISCILA METZ"/>
    <x v="21"/>
    <n v="0"/>
    <n v="1"/>
  </r>
  <r>
    <s v="021.382.943/0001-04"/>
    <x v="205"/>
    <s v="EXCLUSAO  ANOT.INADIMPLENCIA"/>
    <x v="173"/>
    <x v="0"/>
    <s v="2025-06"/>
    <x v="38"/>
    <s v="ADMINISTRAÇÃO"/>
    <x v="205"/>
    <n v="1"/>
    <n v="0"/>
  </r>
  <r>
    <s v="021.285.266/0001-06"/>
    <x v="231"/>
    <s v="EXCLUSAO  ANOT.INADIMPLENCIA"/>
    <x v="173"/>
    <x v="27"/>
    <s v="2025-06"/>
    <x v="38"/>
    <s v="ALISSON DE SOUZA LIMA"/>
    <x v="231"/>
    <n v="1"/>
    <n v="0"/>
  </r>
  <r>
    <s v="020.066.300/0001-80"/>
    <x v="2"/>
    <s v="INCLUSAO  ANOT.INADIMPLENCIA"/>
    <x v="173"/>
    <x v="1"/>
    <s v="2025-06"/>
    <x v="38"/>
    <s v="CELIO PIMENTA"/>
    <x v="2"/>
    <n v="0"/>
    <n v="1"/>
  </r>
  <r>
    <s v="020.024.081/0001-77"/>
    <x v="177"/>
    <s v="INCLUSAO  ANOT.INADIMPLENCIA"/>
    <x v="173"/>
    <x v="10"/>
    <s v="2025-06"/>
    <x v="38"/>
    <s v="ROGERIO "/>
    <x v="177"/>
    <n v="0"/>
    <n v="1"/>
  </r>
  <r>
    <s v="016.772.642/0001-49"/>
    <x v="69"/>
    <s v="INCLUSAO  ANOT.INADIMPLENCIA"/>
    <x v="173"/>
    <x v="0"/>
    <s v="2025-06"/>
    <x v="38"/>
    <s v="ADMINISTRAÇÃO"/>
    <x v="69"/>
    <n v="0"/>
    <n v="1"/>
  </r>
  <r>
    <s v="011.122.552/0001-99"/>
    <x v="59"/>
    <s v="INCLUSAO  ANOT.INADIMPLENCIA"/>
    <x v="173"/>
    <x v="6"/>
    <s v="2025-06"/>
    <x v="38"/>
    <s v="RAFAEL PARISE"/>
    <x v="59"/>
    <n v="0"/>
    <n v="1"/>
  </r>
  <r>
    <s v="009.171.140/0001-05"/>
    <x v="33"/>
    <s v="INCLUSAO  ANOT.INADIMPLENCIA"/>
    <x v="173"/>
    <x v="13"/>
    <s v="2025-06"/>
    <x v="38"/>
    <s v="ANDERSON FRAGA"/>
    <x v="33"/>
    <n v="0"/>
    <n v="1"/>
  </r>
  <r>
    <s v="008.991.603/0001-04"/>
    <x v="57"/>
    <s v="EXCLUSAO  ANOT.INADIMPLENCIA"/>
    <x v="173"/>
    <x v="3"/>
    <s v="2025-06"/>
    <x v="38"/>
    <s v="MARCUS VINICIUS "/>
    <x v="57"/>
    <n v="1"/>
    <n v="0"/>
  </r>
  <r>
    <s v="008.250.872/0001-10"/>
    <x v="121"/>
    <s v="INCLUSAO  ANOT.INADIMPLENCIA"/>
    <x v="173"/>
    <x v="6"/>
    <s v="2025-06"/>
    <x v="38"/>
    <s v="RAFAEL PARISE"/>
    <x v="121"/>
    <n v="0"/>
    <n v="1"/>
  </r>
  <r>
    <s v="007.102.721/0001-51"/>
    <x v="44"/>
    <s v="INCL/EXCL ANOT.INADIMPLENCIA"/>
    <x v="173"/>
    <x v="12"/>
    <s v="2025-06"/>
    <x v="38"/>
    <s v="PROSPECTAR"/>
    <x v="44"/>
    <n v="1"/>
    <n v="1"/>
  </r>
  <r>
    <s v="004.323.643/0001-27"/>
    <x v="221"/>
    <s v="INCLUSAO  ANOT.INADIMPLENCIA"/>
    <x v="173"/>
    <x v="0"/>
    <s v="2025-06"/>
    <x v="38"/>
    <s v="ADMINISTRAÇÃO"/>
    <x v="221"/>
    <n v="0"/>
    <n v="1"/>
  </r>
  <r>
    <s v="003.603.516/0001-19"/>
    <x v="236"/>
    <s v="INCLUSAO  ANOT.INADIMPLENCIA"/>
    <x v="173"/>
    <x v="3"/>
    <s v="2025-06"/>
    <x v="38"/>
    <s v="MARCUS VINICIUS "/>
    <x v="236"/>
    <n v="0"/>
    <n v="1"/>
  </r>
  <r>
    <s v="052.755.043/0001-80"/>
    <x v="237"/>
    <s v="INCLUSAO  ANOT.INADIMPLENCIA"/>
    <x v="173"/>
    <x v="3"/>
    <s v="2025-06"/>
    <x v="38"/>
    <s v="MARCUS VINICIUS "/>
    <x v="237"/>
    <n v="0"/>
    <n v="1"/>
  </r>
  <r>
    <s v="071.350.797/0001-03"/>
    <x v="48"/>
    <s v="INCL/EXCL ANOT.INADIMPLENCIA"/>
    <x v="173"/>
    <x v="10"/>
    <s v="2025-06"/>
    <x v="38"/>
    <s v="ROGERIO "/>
    <x v="48"/>
    <n v="1"/>
    <n v="1"/>
  </r>
  <r>
    <s v="003.603.516/0001-19"/>
    <x v="236"/>
    <s v="INCLUSAO  ANOT.INADIMPLENCIA"/>
    <x v="174"/>
    <x v="3"/>
    <s v="2025-06"/>
    <x v="38"/>
    <s v="MARCUS VINICIUS "/>
    <x v="236"/>
    <n v="0"/>
    <n v="1"/>
  </r>
  <r>
    <s v="008.250.872/0001-10"/>
    <x v="121"/>
    <s v="INCL/EXCL ANOT.INADIMPLENCIA"/>
    <x v="174"/>
    <x v="6"/>
    <s v="2025-06"/>
    <x v="38"/>
    <s v="RAFAEL PARISE"/>
    <x v="121"/>
    <n v="1"/>
    <n v="1"/>
  </r>
  <r>
    <s v="012.520.791/0001-60"/>
    <x v="4"/>
    <s v="INCLUSAO  ANOT.INADIMPLENCIA"/>
    <x v="174"/>
    <x v="1"/>
    <s v="2025-06"/>
    <x v="38"/>
    <s v="CELIO PIMENTA"/>
    <x v="4"/>
    <n v="0"/>
    <n v="1"/>
  </r>
  <r>
    <s v="020.024.081/0001-77"/>
    <x v="177"/>
    <s v="INCLUSAO  ANOT.INADIMPLENCIA"/>
    <x v="174"/>
    <x v="10"/>
    <s v="2025-06"/>
    <x v="38"/>
    <s v="ROGERIO "/>
    <x v="177"/>
    <n v="0"/>
    <n v="1"/>
  </r>
  <r>
    <s v="021.382.943/0001-04"/>
    <x v="205"/>
    <s v="INCLUSAO  ANOT.INADIMPLENCIA"/>
    <x v="174"/>
    <x v="0"/>
    <s v="2025-06"/>
    <x v="38"/>
    <s v="ADMINISTRAÇÃO"/>
    <x v="205"/>
    <n v="0"/>
    <n v="1"/>
  </r>
  <r>
    <s v="025.825.654/0001-85"/>
    <x v="7"/>
    <s v="INCLUSAO  ANOT.INADIMPLENCIA"/>
    <x v="174"/>
    <x v="3"/>
    <s v="2025-06"/>
    <x v="38"/>
    <s v="MARCUS VINICIUS "/>
    <x v="7"/>
    <n v="0"/>
    <n v="1"/>
  </r>
  <r>
    <s v="028.393.466/0001-13"/>
    <x v="167"/>
    <s v="INCLUSAO  ANOT.INADIMPLENCIA"/>
    <x v="174"/>
    <x v="12"/>
    <s v="2025-06"/>
    <x v="38"/>
    <s v="PROSPECTAR"/>
    <x v="167"/>
    <n v="0"/>
    <n v="1"/>
  </r>
  <r>
    <s v="028.511.223/0001-32"/>
    <x v="189"/>
    <s v="EXCLUSAO  ANOT.INADIMPLENCIA"/>
    <x v="174"/>
    <x v="0"/>
    <s v="2025-06"/>
    <x v="38"/>
    <s v="ADMINISTRAÇÃO"/>
    <x v="189"/>
    <n v="1"/>
    <n v="0"/>
  </r>
  <r>
    <s v="028.650.970/0001-51"/>
    <x v="166"/>
    <s v="INCLUSAO  ANOT.INADIMPLENCIA"/>
    <x v="174"/>
    <x v="10"/>
    <s v="2025-06"/>
    <x v="38"/>
    <s v="ROGERIO "/>
    <x v="166"/>
    <n v="0"/>
    <n v="1"/>
  </r>
  <r>
    <s v="033.249.279/0001-09"/>
    <x v="238"/>
    <s v="ALTERACAO ENDERECO"/>
    <x v="174"/>
    <x v="27"/>
    <s v="2025-06"/>
    <x v="38"/>
    <s v="ALISSON DE SOUZA LIMA"/>
    <x v="238"/>
    <n v="0"/>
    <n v="0"/>
  </r>
  <r>
    <s v="035.679.705/0001-61"/>
    <x v="171"/>
    <s v="INCLUSAO  ANOT.INADIMPLENCIA"/>
    <x v="174"/>
    <x v="4"/>
    <s v="2025-06"/>
    <x v="38"/>
    <s v="NOELI SALETE"/>
    <x v="171"/>
    <n v="0"/>
    <n v="1"/>
  </r>
  <r>
    <s v="037.599.774/0001-90"/>
    <x v="201"/>
    <s v="EXCLUSAO  ANOT.INADIMPLENCIA"/>
    <x v="174"/>
    <x v="21"/>
    <s v="2025-06"/>
    <x v="38"/>
    <s v="CAIO"/>
    <x v="201"/>
    <n v="1"/>
    <n v="0"/>
  </r>
  <r>
    <s v="038.110.780/0001-03"/>
    <x v="47"/>
    <s v="EXCLUSAO  ANOT.INADIMPLENCIA"/>
    <x v="174"/>
    <x v="6"/>
    <s v="2025-06"/>
    <x v="38"/>
    <s v="RAFAEL PARISE"/>
    <x v="47"/>
    <n v="1"/>
    <n v="0"/>
  </r>
  <r>
    <s v="004.126.524/0001-84"/>
    <x v="28"/>
    <s v="INCLUSAO  ANOT.INADIMPLENCIA"/>
    <x v="175"/>
    <x v="0"/>
    <s v="2025-06"/>
    <x v="38"/>
    <s v="ADMINISTRAÇÃO"/>
    <x v="28"/>
    <n v="0"/>
    <n v="1"/>
  </r>
  <r>
    <s v="004.622.554/0001-81"/>
    <x v="66"/>
    <s v="EXCLUSAO  ANOT.INADIMPLENCIA"/>
    <x v="175"/>
    <x v="4"/>
    <s v="2025-06"/>
    <x v="38"/>
    <s v="NOELI SALETE"/>
    <x v="66"/>
    <n v="1"/>
    <n v="0"/>
  </r>
  <r>
    <s v="005.774.638/0001-01"/>
    <x v="197"/>
    <s v="EXCLUSAO  ANOT.INADIMPLENCIA"/>
    <x v="175"/>
    <x v="21"/>
    <s v="2025-06"/>
    <x v="38"/>
    <s v="CAIO"/>
    <x v="197"/>
    <n v="1"/>
    <n v="0"/>
  </r>
  <r>
    <s v="011.091.574/0001-39"/>
    <x v="26"/>
    <s v="EXCLUSAO  ANOT.INADIMPLENCIA"/>
    <x v="175"/>
    <x v="5"/>
    <s v="2025-06"/>
    <x v="38"/>
    <s v="POENATELA"/>
    <x v="26"/>
    <n v="1"/>
    <n v="0"/>
  </r>
  <r>
    <s v="012.520.791/0001-60"/>
    <x v="4"/>
    <s v="INCLUSAO  ANOT.INADIMPLENCIA"/>
    <x v="175"/>
    <x v="1"/>
    <s v="2025-06"/>
    <x v="38"/>
    <s v="CELIO PIMENTA"/>
    <x v="4"/>
    <n v="0"/>
    <n v="1"/>
  </r>
  <r>
    <s v="012.645.814/0001-62"/>
    <x v="217"/>
    <s v="EXCLUSAO  ANOT.INADIMPLENCIA"/>
    <x v="175"/>
    <x v="21"/>
    <s v="2025-06"/>
    <x v="38"/>
    <s v="CAIO"/>
    <x v="217"/>
    <n v="1"/>
    <n v="0"/>
  </r>
  <r>
    <s v="020.024.081/0001-77"/>
    <x v="177"/>
    <s v="INCLUSAO  ANOT.INADIMPLENCIA"/>
    <x v="175"/>
    <x v="10"/>
    <s v="2025-06"/>
    <x v="38"/>
    <s v="ROGERIO "/>
    <x v="177"/>
    <n v="0"/>
    <n v="1"/>
  </r>
  <r>
    <s v="021.382.943/0001-04"/>
    <x v="205"/>
    <s v="EXCLUSAO  ANOT.INADIMPLENCIA"/>
    <x v="175"/>
    <x v="0"/>
    <s v="2025-06"/>
    <x v="38"/>
    <s v="ADMINISTRAÇÃO"/>
    <x v="205"/>
    <n v="1"/>
    <n v="0"/>
  </r>
  <r>
    <s v="021.458.691/0001-41"/>
    <x v="223"/>
    <s v="INCLUSAO  ANOT.INADIMPLENCIA"/>
    <x v="175"/>
    <x v="26"/>
    <s v="2025-06"/>
    <x v="38"/>
    <s v="ANTECIPA"/>
    <x v="223"/>
    <n v="0"/>
    <n v="1"/>
  </r>
  <r>
    <s v="026.416.177/0001-67"/>
    <x v="130"/>
    <s v="EXCLUSAO  ANOT.INADIMPLENCIA"/>
    <x v="175"/>
    <x v="3"/>
    <s v="2025-06"/>
    <x v="38"/>
    <s v="MARCUS VINICIUS "/>
    <x v="130"/>
    <n v="1"/>
    <n v="0"/>
  </r>
  <r>
    <s v="028.650.970/0001-51"/>
    <x v="166"/>
    <s v="EXCLUSAO  ANOT.INADIMPLENCIA"/>
    <x v="175"/>
    <x v="10"/>
    <s v="2025-06"/>
    <x v="38"/>
    <s v="ROGERIO "/>
    <x v="166"/>
    <n v="1"/>
    <n v="0"/>
  </r>
  <r>
    <s v="037.599.774/0001-90"/>
    <x v="201"/>
    <s v="EXCLUSAO  ANOT.INADIMPLENCIA"/>
    <x v="175"/>
    <x v="21"/>
    <s v="2025-06"/>
    <x v="38"/>
    <s v="CAIO"/>
    <x v="201"/>
    <n v="1"/>
    <n v="0"/>
  </r>
  <r>
    <s v="003.590.360/0001-89"/>
    <x v="3"/>
    <s v="INCLUSAO  ANOT.INADIMPLENCIA"/>
    <x v="176"/>
    <x v="1"/>
    <s v="2025-06"/>
    <x v="38"/>
    <s v="CELIO PIMENTA"/>
    <x v="3"/>
    <n v="0"/>
    <n v="1"/>
  </r>
  <r>
    <s v="049.915.471/0001-19"/>
    <x v="239"/>
    <s v="INCLUSAO  ANOT.INADIMPLENCIA"/>
    <x v="176"/>
    <x v="27"/>
    <s v="2025-06"/>
    <x v="38"/>
    <s v="ALISSON DE SOUZA LIMA"/>
    <x v="239"/>
    <n v="0"/>
    <n v="1"/>
  </r>
  <r>
    <s v="043.515.558/0001-12"/>
    <x v="176"/>
    <s v="EXCLUSAO  ANOT.INADIMPLENCIA"/>
    <x v="176"/>
    <x v="10"/>
    <s v="2025-06"/>
    <x v="38"/>
    <s v="ROGERIO "/>
    <x v="176"/>
    <n v="1"/>
    <n v="0"/>
  </r>
  <r>
    <s v="038.405.720/0001-00"/>
    <x v="202"/>
    <s v="EXCLUSAO  ANOT.INADIMPLENCIA"/>
    <x v="176"/>
    <x v="18"/>
    <s v="2025-06"/>
    <x v="38"/>
    <s v="SEM GERENTE"/>
    <x v="202"/>
    <n v="1"/>
    <n v="0"/>
  </r>
  <r>
    <s v="032.925.977/0001-06"/>
    <x v="235"/>
    <s v="EXCLUSAO  ANOT.INADIMPLENCIA"/>
    <x v="176"/>
    <x v="1"/>
    <s v="2025-06"/>
    <x v="38"/>
    <s v="CELIO PIMENTA"/>
    <x v="235"/>
    <n v="1"/>
    <n v="0"/>
  </r>
  <r>
    <s v="028.393.466/0001-13"/>
    <x v="167"/>
    <s v="INCLUSAO  ANOT.INADIMPLENCIA"/>
    <x v="176"/>
    <x v="12"/>
    <s v="2025-06"/>
    <x v="38"/>
    <s v="PROSPECTAR"/>
    <x v="167"/>
    <n v="0"/>
    <n v="1"/>
  </r>
  <r>
    <s v="025.094.292/0001-08"/>
    <x v="213"/>
    <s v="EXCLUSAO  ANOT.INADIMPLENCIA"/>
    <x v="176"/>
    <x v="12"/>
    <s v="2025-06"/>
    <x v="38"/>
    <s v="PROSPECTAR"/>
    <x v="213"/>
    <n v="1"/>
    <n v="0"/>
  </r>
  <r>
    <s v="021.420.856/0001-96"/>
    <x v="129"/>
    <s v="EXCLUSAO  ANOT.INADIMPLENCIA"/>
    <x v="176"/>
    <x v="19"/>
    <s v="2025-06"/>
    <x v="38"/>
    <s v="JOSE ROBERTO"/>
    <x v="129"/>
    <n v="1"/>
    <n v="0"/>
  </r>
  <r>
    <s v="020.066.300/0001-80"/>
    <x v="2"/>
    <s v="EXCLUSAO  ANOT.INADIMPLENCIA"/>
    <x v="176"/>
    <x v="1"/>
    <s v="2025-06"/>
    <x v="38"/>
    <s v="CELIO PIMENTA"/>
    <x v="2"/>
    <n v="1"/>
    <n v="0"/>
  </r>
  <r>
    <s v="020.024.081/0001-77"/>
    <x v="177"/>
    <s v="INCLUSAO  ANOT.INADIMPLENCIA"/>
    <x v="176"/>
    <x v="10"/>
    <s v="2025-06"/>
    <x v="38"/>
    <s v="ROGERIO "/>
    <x v="177"/>
    <n v="0"/>
    <n v="1"/>
  </r>
  <r>
    <s v="018.608.055/0001-44"/>
    <x v="131"/>
    <s v="INCLUSAO  ANOT.INADIMPLENCIA"/>
    <x v="176"/>
    <x v="3"/>
    <s v="2025-06"/>
    <x v="38"/>
    <s v="MARCUS VINICIUS "/>
    <x v="131"/>
    <n v="0"/>
    <n v="1"/>
  </r>
  <r>
    <s v="013.749.701/0001-70"/>
    <x v="195"/>
    <s v="INCLUSAO  ANOT.INADIMPLENCIA"/>
    <x v="176"/>
    <x v="6"/>
    <s v="2025-06"/>
    <x v="38"/>
    <s v="RAFAEL PARISE"/>
    <x v="195"/>
    <n v="0"/>
    <n v="1"/>
  </r>
  <r>
    <s v="011.173.099/0001-40"/>
    <x v="227"/>
    <s v="INCLUSAO  ANOT.INADIMPLENCIA"/>
    <x v="176"/>
    <x v="21"/>
    <s v="2025-06"/>
    <x v="38"/>
    <s v="CAIO"/>
    <x v="227"/>
    <n v="0"/>
    <n v="1"/>
  </r>
  <r>
    <s v="011.091.574/0001-39"/>
    <x v="26"/>
    <s v="INCLUSAO  ANOT.INADIMPLENCIA"/>
    <x v="176"/>
    <x v="5"/>
    <s v="2025-06"/>
    <x v="38"/>
    <s v="POENATELA"/>
    <x v="26"/>
    <n v="0"/>
    <n v="1"/>
  </r>
  <r>
    <s v="007.561.436/0001-07"/>
    <x v="34"/>
    <s v="EXCLUSAO  ANOT.INADIMPLENCIA"/>
    <x v="176"/>
    <x v="12"/>
    <s v="2025-06"/>
    <x v="38"/>
    <s v="PROSPECTAR"/>
    <x v="34"/>
    <n v="1"/>
    <n v="0"/>
  </r>
  <r>
    <s v="007.102.721/0001-51"/>
    <x v="44"/>
    <s v="INCLUSAO  ANOT.INADIMPLENCIA"/>
    <x v="176"/>
    <x v="12"/>
    <s v="2025-06"/>
    <x v="38"/>
    <s v="PROSPECTAR"/>
    <x v="44"/>
    <n v="0"/>
    <n v="1"/>
  </r>
  <r>
    <s v="055.979.736/0001-45"/>
    <x v="63"/>
    <s v="EXCLUSAO  ANOT.INADIMPLENCIA"/>
    <x v="176"/>
    <x v="16"/>
    <s v="2025-06"/>
    <x v="38"/>
    <s v="SACADO"/>
    <x v="63"/>
    <n v="1"/>
    <n v="0"/>
  </r>
  <r>
    <s v="071.350.797/0001-03"/>
    <x v="48"/>
    <s v="EXCLUSAO  ANOT.INADIMPLENCIA"/>
    <x v="176"/>
    <x v="10"/>
    <s v="2025-06"/>
    <x v="38"/>
    <s v="ROGERIO "/>
    <x v="48"/>
    <n v="1"/>
    <n v="0"/>
  </r>
  <r>
    <s v="003.590.360/0001-89"/>
    <x v="3"/>
    <s v="INCLUSAO  ANOT.INADIMPLENCIA"/>
    <x v="177"/>
    <x v="1"/>
    <s v="2025-06"/>
    <x v="38"/>
    <s v="CELIO PIMENTA"/>
    <x v="3"/>
    <n v="0"/>
    <n v="1"/>
  </r>
  <r>
    <s v="005.374.432/0001-86"/>
    <x v="222"/>
    <s v="INCLUSAO  ANOT.INADIMPLENCIA"/>
    <x v="177"/>
    <x v="29"/>
    <s v="2025-06"/>
    <x v="38"/>
    <s v="DALVA"/>
    <x v="222"/>
    <n v="0"/>
    <n v="1"/>
  </r>
  <r>
    <s v="008.250.872/0001-10"/>
    <x v="121"/>
    <s v="INCLUSAO  ANOT.INADIMPLENCIA"/>
    <x v="177"/>
    <x v="6"/>
    <s v="2025-06"/>
    <x v="38"/>
    <s v="RAFAEL PARISE"/>
    <x v="121"/>
    <n v="0"/>
    <n v="1"/>
  </r>
  <r>
    <s v="012.520.791/0001-60"/>
    <x v="4"/>
    <s v="INCLUSAO  ANOT.INADIMPLENCIA"/>
    <x v="177"/>
    <x v="1"/>
    <s v="2025-06"/>
    <x v="38"/>
    <s v="CELIO PIMENTA"/>
    <x v="4"/>
    <n v="0"/>
    <n v="1"/>
  </r>
  <r>
    <s v="021.420.856/0001-96"/>
    <x v="129"/>
    <s v="INCLUSAO  ANOT.INADIMPLENCIA"/>
    <x v="177"/>
    <x v="19"/>
    <s v="2025-06"/>
    <x v="38"/>
    <s v="JOSE ROBERTO"/>
    <x v="129"/>
    <n v="0"/>
    <n v="1"/>
  </r>
  <r>
    <s v="024.255.748/0001-01"/>
    <x v="30"/>
    <s v="INCLUSAO  ANOT.INADIMPLENCIA"/>
    <x v="177"/>
    <x v="12"/>
    <s v="2025-06"/>
    <x v="38"/>
    <s v="PROSPECTAR"/>
    <x v="30"/>
    <n v="0"/>
    <n v="1"/>
  </r>
  <r>
    <s v="028.393.466/0001-13"/>
    <x v="167"/>
    <s v="INCLUSAO  ANOT.INADIMPLENCIA"/>
    <x v="177"/>
    <x v="12"/>
    <s v="2025-06"/>
    <x v="38"/>
    <s v="PROSPECTAR"/>
    <x v="167"/>
    <n v="0"/>
    <n v="1"/>
  </r>
  <r>
    <s v="038.479.255/0001-51"/>
    <x v="240"/>
    <s v="EXCLUSAO  ANOT.INADIMPLENCIA"/>
    <x v="177"/>
    <x v="3"/>
    <s v="2025-06"/>
    <x v="38"/>
    <s v="MARCUS VINICIUS "/>
    <x v="240"/>
    <n v="1"/>
    <n v="0"/>
  </r>
  <r>
    <s v="003.524.760/0001-96"/>
    <x v="230"/>
    <s v="INCLUSAO  ANOT.INADIMPLENCIA"/>
    <x v="178"/>
    <x v="30"/>
    <s v="2025-06"/>
    <x v="39"/>
    <s v="ANDRE CUNHA"/>
    <x v="230"/>
    <n v="0"/>
    <n v="1"/>
  </r>
  <r>
    <s v="043.515.558/0001-12"/>
    <x v="176"/>
    <s v="INCL/EXCL ANOT.INADIMPLENCIA"/>
    <x v="178"/>
    <x v="10"/>
    <s v="2025-06"/>
    <x v="39"/>
    <s v="ROGERIO "/>
    <x v="176"/>
    <n v="1"/>
    <n v="1"/>
  </r>
  <r>
    <s v="041.921.772/0001-43"/>
    <x v="218"/>
    <s v="INCLUSAO  ANOT.INADIMPLENCIA"/>
    <x v="178"/>
    <x v="12"/>
    <s v="2025-06"/>
    <x v="39"/>
    <s v="PROSPECTAR"/>
    <x v="218"/>
    <n v="0"/>
    <n v="1"/>
  </r>
  <r>
    <s v="040.582.798/0001-41"/>
    <x v="144"/>
    <s v="INCL/EXCL ANOT.INADIMPLENCIA"/>
    <x v="178"/>
    <x v="16"/>
    <s v="2025-06"/>
    <x v="39"/>
    <s v="SACADO"/>
    <x v="144"/>
    <n v="1"/>
    <n v="1"/>
  </r>
  <r>
    <s v="038.479.255/0001-51"/>
    <x v="240"/>
    <s v="EXCLUSAO  ANOT.INADIMPLENCIA"/>
    <x v="178"/>
    <x v="3"/>
    <s v="2025-06"/>
    <x v="39"/>
    <s v="MARCUS VINICIUS "/>
    <x v="240"/>
    <n v="1"/>
    <n v="0"/>
  </r>
  <r>
    <s v="036.726.274/0001-00"/>
    <x v="133"/>
    <s v="INCLUSAO  ANOT.INADIMPLENCIA"/>
    <x v="178"/>
    <x v="1"/>
    <s v="2025-06"/>
    <x v="39"/>
    <s v="CELIO PIMENTA"/>
    <x v="133"/>
    <n v="0"/>
    <n v="1"/>
  </r>
  <r>
    <s v="034.821.586/0001-77"/>
    <x v="38"/>
    <s v="INCLUSAO  ANOT.INADIMPLENCIA"/>
    <x v="178"/>
    <x v="3"/>
    <s v="2025-06"/>
    <x v="39"/>
    <s v="MARCUS VINICIUS "/>
    <x v="38"/>
    <n v="0"/>
    <n v="1"/>
  </r>
  <r>
    <s v="033.803.691/0001-10"/>
    <x v="103"/>
    <s v="INCL/EXCL ANOT.INADIMPLENCIA"/>
    <x v="178"/>
    <x v="0"/>
    <s v="2025-06"/>
    <x v="39"/>
    <s v="ADMINISTRAÇÃO"/>
    <x v="103"/>
    <n v="1"/>
    <n v="1"/>
  </r>
  <r>
    <s v="028.650.970/0001-51"/>
    <x v="166"/>
    <s v="INCLUSAO  ANOT.INADIMPLENCIA"/>
    <x v="178"/>
    <x v="10"/>
    <s v="2025-06"/>
    <x v="39"/>
    <s v="ROGERIO "/>
    <x v="166"/>
    <n v="0"/>
    <n v="1"/>
  </r>
  <r>
    <s v="028.511.223/0001-32"/>
    <x v="189"/>
    <s v="INCLUSAO  ANOT.INADIMPLENCIA"/>
    <x v="178"/>
    <x v="0"/>
    <s v="2025-06"/>
    <x v="39"/>
    <s v="ADMINISTRAÇÃO"/>
    <x v="189"/>
    <n v="0"/>
    <n v="1"/>
  </r>
  <r>
    <s v="028.393.466/0001-13"/>
    <x v="167"/>
    <s v="INCLUSAO  ANOT.INADIMPLENCIA"/>
    <x v="178"/>
    <x v="12"/>
    <s v="2025-06"/>
    <x v="39"/>
    <s v="PROSPECTAR"/>
    <x v="167"/>
    <n v="0"/>
    <n v="1"/>
  </r>
  <r>
    <s v="050.164.951/0001-74"/>
    <x v="51"/>
    <s v="INCLUSAO  ANOT.INADIMPLENCIA"/>
    <x v="178"/>
    <x v="0"/>
    <s v="2025-06"/>
    <x v="39"/>
    <s v="ADMINISTRAÇÃO"/>
    <x v="51"/>
    <n v="0"/>
    <n v="1"/>
  </r>
  <r>
    <s v="023.637.987/0001-55"/>
    <x v="20"/>
    <s v="INCLUSAO  ANOT.INADIMPLENCIA"/>
    <x v="178"/>
    <x v="5"/>
    <s v="2025-06"/>
    <x v="39"/>
    <s v="POENATELA"/>
    <x v="20"/>
    <n v="0"/>
    <n v="1"/>
  </r>
  <r>
    <s v="018.608.055/0001-44"/>
    <x v="131"/>
    <s v="INCLUSAO  ANOT.INADIMPLENCIA"/>
    <x v="178"/>
    <x v="3"/>
    <s v="2025-06"/>
    <x v="39"/>
    <s v="MARCUS VINICIUS "/>
    <x v="131"/>
    <n v="0"/>
    <n v="1"/>
  </r>
  <r>
    <s v="016.772.642/0001-49"/>
    <x v="69"/>
    <s v="EXCLUSAO  ANOT.INADIMPLENCIA"/>
    <x v="178"/>
    <x v="0"/>
    <s v="2025-06"/>
    <x v="39"/>
    <s v="ADMINISTRAÇÃO"/>
    <x v="69"/>
    <n v="1"/>
    <n v="0"/>
  </r>
  <r>
    <s v="011.122.552/0001-99"/>
    <x v="59"/>
    <s v="INCLUSAO  ANOT.INADIMPLENCIA"/>
    <x v="178"/>
    <x v="6"/>
    <s v="2025-06"/>
    <x v="39"/>
    <s v="RAFAEL PARISE"/>
    <x v="59"/>
    <n v="0"/>
    <n v="1"/>
  </r>
  <r>
    <s v="008.250.872/0001-10"/>
    <x v="121"/>
    <s v="INCLUSAO  ANOT.INADIMPLENCIA"/>
    <x v="178"/>
    <x v="6"/>
    <s v="2025-06"/>
    <x v="39"/>
    <s v="RAFAEL PARISE"/>
    <x v="121"/>
    <n v="0"/>
    <n v="1"/>
  </r>
  <r>
    <s v="007.102.721/0001-51"/>
    <x v="44"/>
    <s v="INCLUSAO  ANOT.INADIMPLENCIA"/>
    <x v="178"/>
    <x v="12"/>
    <s v="2025-06"/>
    <x v="39"/>
    <s v="PROSPECTAR"/>
    <x v="44"/>
    <n v="0"/>
    <n v="1"/>
  </r>
  <r>
    <s v="005.374.432/0001-86"/>
    <x v="222"/>
    <s v="INCLUSAO  ANOT.INADIMPLENCIA"/>
    <x v="178"/>
    <x v="29"/>
    <s v="2025-06"/>
    <x v="39"/>
    <s v="DALVA"/>
    <x v="222"/>
    <n v="0"/>
    <n v="1"/>
  </r>
  <r>
    <s v="004.622.554/0001-81"/>
    <x v="66"/>
    <s v="EXCLUSAO  ANOT.INADIMPLENCIA"/>
    <x v="178"/>
    <x v="4"/>
    <s v="2025-06"/>
    <x v="39"/>
    <s v="NOELI SALETE"/>
    <x v="66"/>
    <n v="1"/>
    <n v="0"/>
  </r>
  <r>
    <s v="004.323.643/0001-27"/>
    <x v="221"/>
    <s v="INCLUSAO  ANOT.INADIMPLENCIA"/>
    <x v="178"/>
    <x v="0"/>
    <s v="2025-06"/>
    <x v="39"/>
    <s v="ADMINISTRAÇÃO"/>
    <x v="221"/>
    <n v="0"/>
    <n v="1"/>
  </r>
  <r>
    <s v="004.041.192/0001-35"/>
    <x v="37"/>
    <s v="INCLUSAO  ANOT.INADIMPLENCIA"/>
    <x v="178"/>
    <x v="0"/>
    <s v="2025-06"/>
    <x v="39"/>
    <s v="ADMINISTRAÇÃO"/>
    <x v="37"/>
    <n v="0"/>
    <n v="1"/>
  </r>
  <r>
    <s v="003.603.516/0001-19"/>
    <x v="236"/>
    <s v="INCL/EXCL ANOT.INADIMPLENCIA"/>
    <x v="178"/>
    <x v="3"/>
    <s v="2025-06"/>
    <x v="39"/>
    <s v="MARCUS VINICIUS "/>
    <x v="236"/>
    <n v="1"/>
    <n v="1"/>
  </r>
  <r>
    <s v="020.024.081/0001-77"/>
    <x v="177"/>
    <s v="INCLUSAO  ANOT.INADIMPLENCIA"/>
    <x v="178"/>
    <x v="10"/>
    <s v="2025-06"/>
    <x v="39"/>
    <s v="ROGERIO "/>
    <x v="177"/>
    <n v="0"/>
    <n v="1"/>
  </r>
  <r>
    <s v="071.350.797/0001-03"/>
    <x v="48"/>
    <s v="EXCLUSAO  ANOT.INADIMPLENCIA"/>
    <x v="178"/>
    <x v="10"/>
    <s v="2025-06"/>
    <x v="39"/>
    <s v="ROGERIO "/>
    <x v="48"/>
    <n v="1"/>
    <n v="0"/>
  </r>
  <r>
    <s v="004.323.643/0001-27"/>
    <x v="221"/>
    <s v="INCLUSAO  ANOT.INADIMPLENCIA"/>
    <x v="179"/>
    <x v="0"/>
    <s v="2025-06"/>
    <x v="39"/>
    <s v="ADMINISTRAÇÃO"/>
    <x v="221"/>
    <n v="0"/>
    <n v="1"/>
  </r>
  <r>
    <s v="007.102.721/0001-51"/>
    <x v="44"/>
    <s v="EXCLUSAO  ANOT.INADIMPLENCIA"/>
    <x v="179"/>
    <x v="12"/>
    <s v="2025-06"/>
    <x v="39"/>
    <s v="PROSPECTAR"/>
    <x v="44"/>
    <n v="1"/>
    <n v="0"/>
  </r>
  <r>
    <s v="008.250.872/0001-10"/>
    <x v="121"/>
    <s v="INCLUSAO  ANOT.INADIMPLENCIA"/>
    <x v="179"/>
    <x v="6"/>
    <s v="2025-06"/>
    <x v="39"/>
    <s v="RAFAEL PARISE"/>
    <x v="121"/>
    <n v="0"/>
    <n v="1"/>
  </r>
  <r>
    <s v="011.122.552/0001-99"/>
    <x v="59"/>
    <s v="INCLUSAO  ANOT.INADIMPLENCIA"/>
    <x v="179"/>
    <x v="6"/>
    <s v="2025-06"/>
    <x v="39"/>
    <s v="RAFAEL PARISE"/>
    <x v="59"/>
    <n v="0"/>
    <n v="1"/>
  </r>
  <r>
    <s v="016.757.535/0001-41"/>
    <x v="29"/>
    <s v="INCLUSAO  ANOT.INADIMPLENCIA"/>
    <x v="179"/>
    <x v="11"/>
    <s v="2025-06"/>
    <x v="39"/>
    <s v="DIOGO AZEVEDO"/>
    <x v="29"/>
    <n v="0"/>
    <n v="1"/>
  </r>
  <r>
    <s v="020.066.300/0001-80"/>
    <x v="2"/>
    <s v="EXCLUSAO  ANOT.INADIMPLENCIA"/>
    <x v="179"/>
    <x v="1"/>
    <s v="2025-06"/>
    <x v="39"/>
    <s v="CELIO PIMENTA"/>
    <x v="2"/>
    <n v="1"/>
    <n v="0"/>
  </r>
  <r>
    <s v="021.734.108/0001-88"/>
    <x v="41"/>
    <s v="EXCLUSAO  ANOT.INADIMPLENCIA"/>
    <x v="179"/>
    <x v="0"/>
    <s v="2025-06"/>
    <x v="39"/>
    <s v="ADMINISTRAÇÃO"/>
    <x v="41"/>
    <n v="1"/>
    <n v="0"/>
  </r>
  <r>
    <s v="023.637.987/0001-55"/>
    <x v="20"/>
    <s v="INCLUSAO  ANOT.INADIMPLENCIA"/>
    <x v="179"/>
    <x v="5"/>
    <s v="2025-06"/>
    <x v="39"/>
    <s v="POENATELA"/>
    <x v="20"/>
    <n v="0"/>
    <n v="1"/>
  </r>
  <r>
    <s v="028.650.970/0001-51"/>
    <x v="166"/>
    <s v="INCL/EXCL ANOT.INADIMPLENCIA"/>
    <x v="179"/>
    <x v="10"/>
    <s v="2025-06"/>
    <x v="39"/>
    <s v="ROGERIO "/>
    <x v="166"/>
    <n v="1"/>
    <n v="1"/>
  </r>
  <r>
    <s v="034.821.586/0001-77"/>
    <x v="38"/>
    <s v="INCL/EXCL ANOT.INADIMPLENCIA"/>
    <x v="179"/>
    <x v="3"/>
    <s v="2025-06"/>
    <x v="39"/>
    <s v="MARCUS VINICIUS "/>
    <x v="38"/>
    <n v="1"/>
    <n v="1"/>
  </r>
  <r>
    <s v="041.397.377/0001-03"/>
    <x v="241"/>
    <s v="INCLUSAO  ANOT.INADIMPLENCIA"/>
    <x v="179"/>
    <x v="10"/>
    <s v="2025-06"/>
    <x v="39"/>
    <s v="ROGERIO "/>
    <x v="241"/>
    <n v="0"/>
    <n v="1"/>
  </r>
  <r>
    <s v="051.980.425/0001-45"/>
    <x v="173"/>
    <s v="INCLUSAO  ANOT.INADIMPLENCIA"/>
    <x v="179"/>
    <x v="10"/>
    <s v="2025-06"/>
    <x v="39"/>
    <s v="ROGERIO "/>
    <x v="173"/>
    <n v="0"/>
    <n v="1"/>
  </r>
  <r>
    <s v="071.350.797/0001-03"/>
    <x v="48"/>
    <s v="INCLUSAO  ANOT.INADIMPLENCIA"/>
    <x v="179"/>
    <x v="10"/>
    <s v="2025-06"/>
    <x v="39"/>
    <s v="ROGERIO "/>
    <x v="48"/>
    <n v="0"/>
    <n v="1"/>
  </r>
  <r>
    <s v="003.524.760/0001-96"/>
    <x v="230"/>
    <s v="INCLUSAO  ANOT.INADIMPLENCIA"/>
    <x v="180"/>
    <x v="30"/>
    <s v="2025-06"/>
    <x v="39"/>
    <s v="ANDRE CUNHA"/>
    <x v="230"/>
    <n v="0"/>
    <n v="1"/>
  </r>
  <r>
    <s v="005.374.432/0001-86"/>
    <x v="222"/>
    <s v="INCLUSAO  ANOT.INADIMPLENCIA"/>
    <x v="180"/>
    <x v="29"/>
    <s v="2025-06"/>
    <x v="39"/>
    <s v="DALVA"/>
    <x v="222"/>
    <n v="0"/>
    <n v="1"/>
  </r>
  <r>
    <s v="007.102.721/0001-51"/>
    <x v="44"/>
    <s v="EXCLUSAO  ANOT.INADIMPLENCIA"/>
    <x v="180"/>
    <x v="12"/>
    <s v="2025-06"/>
    <x v="39"/>
    <s v="PROSPECTAR"/>
    <x v="44"/>
    <n v="1"/>
    <n v="0"/>
  </r>
  <r>
    <s v="013.749.701/0001-70"/>
    <x v="195"/>
    <s v="INCLUSAO  ANOT.INADIMPLENCIA"/>
    <x v="180"/>
    <x v="6"/>
    <s v="2025-06"/>
    <x v="39"/>
    <s v="RAFAEL PARISE"/>
    <x v="195"/>
    <n v="0"/>
    <n v="1"/>
  </r>
  <r>
    <s v="016.757.535/0001-41"/>
    <x v="29"/>
    <s v="EXCLUSAO  ANOT.INADIMPLENCIA"/>
    <x v="180"/>
    <x v="11"/>
    <s v="2025-06"/>
    <x v="39"/>
    <s v="DIOGO AZEVEDO"/>
    <x v="29"/>
    <n v="1"/>
    <n v="0"/>
  </r>
  <r>
    <s v="016.772.642/0001-49"/>
    <x v="69"/>
    <s v="INCLUSAO  ANOT.INADIMPLENCIA"/>
    <x v="180"/>
    <x v="0"/>
    <s v="2025-06"/>
    <x v="39"/>
    <s v="ADMINISTRAÇÃO"/>
    <x v="69"/>
    <n v="0"/>
    <n v="1"/>
  </r>
  <r>
    <s v="020.024.081/0001-77"/>
    <x v="177"/>
    <s v="EXCLUSAO  ANOT.INADIMPLENCIA"/>
    <x v="180"/>
    <x v="10"/>
    <s v="2025-06"/>
    <x v="39"/>
    <s v="ROGERIO "/>
    <x v="177"/>
    <n v="1"/>
    <n v="0"/>
  </r>
  <r>
    <s v="020.066.300/0001-80"/>
    <x v="2"/>
    <s v="INCLUSAO  ANOT.INADIMPLENCIA"/>
    <x v="180"/>
    <x v="1"/>
    <s v="2025-06"/>
    <x v="39"/>
    <s v="CELIO PIMENTA"/>
    <x v="2"/>
    <n v="0"/>
    <n v="1"/>
  </r>
  <r>
    <s v="021.734.108/0001-88"/>
    <x v="41"/>
    <s v="EXCLUSAO  ANOT.INADIMPLENCIA"/>
    <x v="180"/>
    <x v="0"/>
    <s v="2025-06"/>
    <x v="39"/>
    <s v="ADMINISTRAÇÃO"/>
    <x v="41"/>
    <n v="1"/>
    <n v="0"/>
  </r>
  <r>
    <s v="023.637.987/0001-55"/>
    <x v="20"/>
    <s v="EXCLUSAO  ANOT.INADIMPLENCIA"/>
    <x v="180"/>
    <x v="5"/>
    <s v="2025-06"/>
    <x v="39"/>
    <s v="POENATELA"/>
    <x v="20"/>
    <n v="1"/>
    <n v="0"/>
  </r>
  <r>
    <s v="028.511.223/0001-32"/>
    <x v="189"/>
    <s v="INCLUSAO  ANOT.INADIMPLENCIA"/>
    <x v="180"/>
    <x v="0"/>
    <s v="2025-06"/>
    <x v="39"/>
    <s v="ADMINISTRAÇÃO"/>
    <x v="189"/>
    <n v="0"/>
    <n v="1"/>
  </r>
  <r>
    <s v="028.650.970/0001-51"/>
    <x v="166"/>
    <s v="INCL/EXCL ANOT.INADIMPLENCIA"/>
    <x v="180"/>
    <x v="10"/>
    <s v="2025-06"/>
    <x v="39"/>
    <s v="ROGERIO "/>
    <x v="166"/>
    <n v="1"/>
    <n v="1"/>
  </r>
  <r>
    <s v="032.552.159/0001-05"/>
    <x v="211"/>
    <s v="EXCLUSAO  ANOT.INADIMPLENCIA"/>
    <x v="180"/>
    <x v="27"/>
    <s v="2025-06"/>
    <x v="39"/>
    <s v="ALISSON DE SOUZA LIMA"/>
    <x v="211"/>
    <n v="1"/>
    <n v="0"/>
  </r>
  <r>
    <s v="032.925.977/0001-06"/>
    <x v="235"/>
    <s v="INCLUSAO  ANOT.INADIMPLENCIA"/>
    <x v="180"/>
    <x v="1"/>
    <s v="2025-06"/>
    <x v="39"/>
    <s v="CELIO PIMENTA"/>
    <x v="235"/>
    <n v="0"/>
    <n v="1"/>
  </r>
  <r>
    <s v="033.249.279/0001-09"/>
    <x v="238"/>
    <s v="EXCLUSAO  ANOT.INADIMPLENCIA"/>
    <x v="180"/>
    <x v="27"/>
    <s v="2025-06"/>
    <x v="39"/>
    <s v="ALISSON DE SOUZA LIMA"/>
    <x v="238"/>
    <n v="1"/>
    <n v="0"/>
  </r>
  <r>
    <s v="033.281.410/0001-07"/>
    <x v="242"/>
    <s v="EXCLUSAO  ANOT.INADIMPLENCIA"/>
    <x v="180"/>
    <x v="29"/>
    <s v="2025-06"/>
    <x v="39"/>
    <s v="DALVA"/>
    <x v="242"/>
    <n v="1"/>
    <n v="0"/>
  </r>
  <r>
    <s v="071.350.797/0001-03"/>
    <x v="48"/>
    <s v="EXCLUSAO  ANOT.INADIMPLENCIA"/>
    <x v="180"/>
    <x v="10"/>
    <s v="2025-06"/>
    <x v="39"/>
    <s v="ROGERIO "/>
    <x v="48"/>
    <n v="1"/>
    <n v="0"/>
  </r>
  <r>
    <s v="008.991.603/0001-04"/>
    <x v="57"/>
    <s v="ALTERACAO RAMO DE ATIVIDADE"/>
    <x v="180"/>
    <x v="3"/>
    <s v="2025-06"/>
    <x v="39"/>
    <s v="MARCUS VINICIUS "/>
    <x v="57"/>
    <n v="0"/>
    <n v="0"/>
  </r>
  <r>
    <s v="008.991.603/0001-04"/>
    <x v="57"/>
    <s v="ALTERACAO ENDERECO"/>
    <x v="180"/>
    <x v="3"/>
    <s v="2025-06"/>
    <x v="39"/>
    <s v="MARCUS VINICIUS "/>
    <x v="57"/>
    <n v="0"/>
    <n v="0"/>
  </r>
  <r>
    <s v="013.918.473/0001-14"/>
    <x v="243"/>
    <s v="ALTERACAO ENDERECO"/>
    <x v="180"/>
    <x v="21"/>
    <s v="2025-06"/>
    <x v="39"/>
    <s v="CAIO"/>
    <x v="243"/>
    <n v="0"/>
    <n v="0"/>
  </r>
  <r>
    <s v="022.143.692/0001-60"/>
    <x v="180"/>
    <s v="ALTERACAO ENDERECO"/>
    <x v="180"/>
    <x v="10"/>
    <s v="2025-06"/>
    <x v="39"/>
    <s v="ROGERIO "/>
    <x v="180"/>
    <n v="0"/>
    <n v="0"/>
  </r>
  <r>
    <s v="026.438.913/0001-88"/>
    <x v="128"/>
    <s v="ALTERACAO ENDERECO"/>
    <x v="180"/>
    <x v="6"/>
    <s v="2025-06"/>
    <x v="39"/>
    <s v="RAFAEL PARISE"/>
    <x v="128"/>
    <n v="0"/>
    <n v="0"/>
  </r>
  <r>
    <s v="026.628.832/0001-40"/>
    <x v="244"/>
    <s v="ALTERACAO QUADRO SOCIAL"/>
    <x v="180"/>
    <x v="27"/>
    <s v="2025-06"/>
    <x v="39"/>
    <s v="ALISSON DE SOUZA LIMA"/>
    <x v="244"/>
    <n v="0"/>
    <n v="0"/>
  </r>
  <r>
    <s v="026.628.832/0001-40"/>
    <x v="244"/>
    <s v="ALTERACAO ADMINISTRADORES"/>
    <x v="180"/>
    <x v="27"/>
    <s v="2025-06"/>
    <x v="39"/>
    <s v="ALISSON DE SOUZA LIMA"/>
    <x v="244"/>
    <n v="0"/>
    <n v="0"/>
  </r>
  <r>
    <s v="029.258.293/0001-93"/>
    <x v="245"/>
    <s v="ALTERACAO RAZAO SOCIAL"/>
    <x v="180"/>
    <x v="3"/>
    <s v="2025-06"/>
    <x v="39"/>
    <s v="MARCUS VINICIUS "/>
    <x v="245"/>
    <n v="0"/>
    <n v="0"/>
  </r>
  <r>
    <s v="033.249.279/0001-09"/>
    <x v="238"/>
    <s v="ALTERACAO ENDERECO"/>
    <x v="180"/>
    <x v="27"/>
    <s v="2025-06"/>
    <x v="39"/>
    <s v="ALISSON DE SOUZA LIMA"/>
    <x v="238"/>
    <n v="0"/>
    <n v="0"/>
  </r>
  <r>
    <s v="052.432.693/0001-95"/>
    <x v="246"/>
    <s v="ALTERACAO RAZAO SOCIAL"/>
    <x v="180"/>
    <x v="12"/>
    <s v="2025-06"/>
    <x v="39"/>
    <s v="PROSPECTAR"/>
    <x v="246"/>
    <n v="0"/>
    <n v="0"/>
  </r>
  <r>
    <s v="052.432.693/0001-95"/>
    <x v="246"/>
    <s v="ALTERACAO ENDERECO"/>
    <x v="180"/>
    <x v="12"/>
    <s v="2025-06"/>
    <x v="39"/>
    <s v="PROSPECTAR"/>
    <x v="246"/>
    <n v="0"/>
    <n v="0"/>
  </r>
  <r>
    <s v="003.603.516/0001-19"/>
    <x v="236"/>
    <s v="INCLUSAO  ANOT.INADIMPLENCIA"/>
    <x v="181"/>
    <x v="3"/>
    <s v="2025-06"/>
    <x v="39"/>
    <s v="MARCUS VINICIUS "/>
    <x v="236"/>
    <n v="0"/>
    <n v="1"/>
  </r>
  <r>
    <s v="045.123.456/0001-87"/>
    <x v="123"/>
    <s v="INCLUSAO  ANOT.INADIMPLENCIA"/>
    <x v="181"/>
    <x v="0"/>
    <s v="2025-06"/>
    <x v="39"/>
    <s v="ADMINISTRAÇÃO"/>
    <x v="123"/>
    <n v="0"/>
    <n v="1"/>
  </r>
  <r>
    <s v="042.119.428/0001-06"/>
    <x v="247"/>
    <s v="INCLUSAO  ANOT.INADIMPLENCIA"/>
    <x v="181"/>
    <x v="31"/>
    <s v="2025-06"/>
    <x v="39"/>
    <s v="TIAGO NEVES"/>
    <x v="247"/>
    <n v="0"/>
    <n v="1"/>
  </r>
  <r>
    <s v="041.921.772/0001-43"/>
    <x v="218"/>
    <s v="EXCLUSAO  ANOT.INADIMPLENCIA"/>
    <x v="181"/>
    <x v="12"/>
    <s v="2025-06"/>
    <x v="39"/>
    <s v="PROSPECTAR"/>
    <x v="218"/>
    <n v="1"/>
    <n v="0"/>
  </r>
  <r>
    <s v="040.582.798/0001-41"/>
    <x v="144"/>
    <s v="EXCLUSAO  ANOT.INADIMPLENCIA"/>
    <x v="181"/>
    <x v="16"/>
    <s v="2025-06"/>
    <x v="39"/>
    <s v="SACADO"/>
    <x v="144"/>
    <n v="1"/>
    <n v="0"/>
  </r>
  <r>
    <s v="038.479.255/0001-51"/>
    <x v="240"/>
    <s v="INCLUSAO  ANOT.INADIMPLENCIA"/>
    <x v="181"/>
    <x v="3"/>
    <s v="2025-06"/>
    <x v="39"/>
    <s v="MARCUS VINICIUS "/>
    <x v="240"/>
    <n v="0"/>
    <n v="1"/>
  </r>
  <r>
    <s v="036.726.274/0001-00"/>
    <x v="133"/>
    <s v="INCLUSAO  ANOT.INADIMPLENCIA"/>
    <x v="181"/>
    <x v="1"/>
    <s v="2025-06"/>
    <x v="39"/>
    <s v="CELIO PIMENTA"/>
    <x v="133"/>
    <n v="0"/>
    <n v="1"/>
  </r>
  <r>
    <s v="032.925.977/0001-06"/>
    <x v="235"/>
    <s v="INCLUSAO  ANOT.INADIMPLENCIA"/>
    <x v="181"/>
    <x v="1"/>
    <s v="2025-06"/>
    <x v="39"/>
    <s v="CELIO PIMENTA"/>
    <x v="235"/>
    <n v="0"/>
    <n v="1"/>
  </r>
  <r>
    <s v="028.650.970/0001-51"/>
    <x v="166"/>
    <s v="INCLUSAO  ANOT.INADIMPLENCIA"/>
    <x v="181"/>
    <x v="10"/>
    <s v="2025-06"/>
    <x v="39"/>
    <s v="ROGERIO "/>
    <x v="166"/>
    <n v="0"/>
    <n v="1"/>
  </r>
  <r>
    <s v="028.511.223/0001-32"/>
    <x v="189"/>
    <s v="INCLUSAO  ANOT.INADIMPLENCIA"/>
    <x v="181"/>
    <x v="0"/>
    <s v="2025-06"/>
    <x v="39"/>
    <s v="ADMINISTRAÇÃO"/>
    <x v="189"/>
    <n v="0"/>
    <n v="1"/>
  </r>
  <r>
    <s v="027.508.008/0001-10"/>
    <x v="216"/>
    <s v="INCLUSAO  ANOT.INADIMPLENCIA"/>
    <x v="181"/>
    <x v="29"/>
    <s v="2025-06"/>
    <x v="39"/>
    <s v="DALVA"/>
    <x v="216"/>
    <n v="0"/>
    <n v="1"/>
  </r>
  <r>
    <s v="026.416.177/0001-67"/>
    <x v="130"/>
    <s v="INCLUSAO  ANOT.INADIMPLENCIA"/>
    <x v="181"/>
    <x v="3"/>
    <s v="2025-06"/>
    <x v="39"/>
    <s v="MARCUS VINICIUS "/>
    <x v="130"/>
    <n v="0"/>
    <n v="1"/>
  </r>
  <r>
    <s v="021.420.856/0001-96"/>
    <x v="129"/>
    <s v="EXCLUSAO  ANOT.INADIMPLENCIA"/>
    <x v="181"/>
    <x v="19"/>
    <s v="2025-06"/>
    <x v="39"/>
    <s v="JOSE ROBERTO"/>
    <x v="129"/>
    <n v="1"/>
    <n v="0"/>
  </r>
  <r>
    <s v="020.066.300/0001-80"/>
    <x v="2"/>
    <s v="INCLUSAO  ANOT.INADIMPLENCIA"/>
    <x v="181"/>
    <x v="1"/>
    <s v="2025-06"/>
    <x v="39"/>
    <s v="CELIO PIMENTA"/>
    <x v="2"/>
    <n v="0"/>
    <n v="1"/>
  </r>
  <r>
    <s v="020.024.081/0001-77"/>
    <x v="177"/>
    <s v="INCLUSAO  ANOT.INADIMPLENCIA"/>
    <x v="181"/>
    <x v="10"/>
    <s v="2025-06"/>
    <x v="39"/>
    <s v="ROGERIO "/>
    <x v="177"/>
    <n v="0"/>
    <n v="1"/>
  </r>
  <r>
    <s v="012.299.369/0001-26"/>
    <x v="13"/>
    <s v="INCLUSAO  ANOT.INADIMPLENCIA"/>
    <x v="181"/>
    <x v="5"/>
    <s v="2025-06"/>
    <x v="39"/>
    <s v="POENATELA"/>
    <x v="13"/>
    <n v="0"/>
    <n v="1"/>
  </r>
  <r>
    <s v="008.250.872/0001-10"/>
    <x v="121"/>
    <s v="INCLUSAO  ANOT.INADIMPLENCIA"/>
    <x v="181"/>
    <x v="6"/>
    <s v="2025-06"/>
    <x v="39"/>
    <s v="RAFAEL PARISE"/>
    <x v="121"/>
    <n v="0"/>
    <n v="1"/>
  </r>
  <r>
    <s v="007.102.721/0001-51"/>
    <x v="44"/>
    <s v="INCL/EXCL ANOT.INADIMPLENCIA"/>
    <x v="181"/>
    <x v="12"/>
    <s v="2025-06"/>
    <x v="39"/>
    <s v="PROSPECTAR"/>
    <x v="44"/>
    <n v="1"/>
    <n v="1"/>
  </r>
  <r>
    <s v="005.374.432/0001-86"/>
    <x v="222"/>
    <s v="INCLUSAO  ANOT.INADIMPLENCIA"/>
    <x v="181"/>
    <x v="29"/>
    <s v="2025-06"/>
    <x v="39"/>
    <s v="DALVA"/>
    <x v="222"/>
    <n v="0"/>
    <n v="1"/>
  </r>
  <r>
    <s v="004.323.643/0001-27"/>
    <x v="221"/>
    <s v="EXCLUSAO  ANOT.INADIMPLENCIA"/>
    <x v="181"/>
    <x v="0"/>
    <s v="2025-06"/>
    <x v="39"/>
    <s v="ADMINISTRAÇÃO"/>
    <x v="221"/>
    <n v="1"/>
    <n v="0"/>
  </r>
  <r>
    <s v="052.755.043/0001-80"/>
    <x v="237"/>
    <s v="INCLUSAO  ANOT.INADIMPLENCIA"/>
    <x v="181"/>
    <x v="3"/>
    <s v="2025-06"/>
    <x v="39"/>
    <s v="MARCUS VINICIUS "/>
    <x v="237"/>
    <n v="0"/>
    <n v="1"/>
  </r>
  <r>
    <s v="086.490.885/0001-70"/>
    <x v="207"/>
    <s v="INCLUSAO  ANOT.INADIMPLENCIA"/>
    <x v="181"/>
    <x v="6"/>
    <s v="2025-06"/>
    <x v="39"/>
    <s v="RAFAEL PARISE"/>
    <x v="207"/>
    <n v="0"/>
    <n v="1"/>
  </r>
  <r>
    <s v="003.524.760/0001-96"/>
    <x v="230"/>
    <s v="INCLUSAO  ANOT.INADIMPLENCIA"/>
    <x v="167"/>
    <x v="30"/>
    <s v="2025-06"/>
    <x v="36"/>
    <s v="ANDRE CUNHA"/>
    <x v="230"/>
    <n v="0"/>
    <n v="1"/>
  </r>
  <r>
    <s v="055.466.241/0001-12"/>
    <x v="181"/>
    <s v="INCLUSAO  ANOT.INADIMPLENCIA"/>
    <x v="167"/>
    <x v="12"/>
    <s v="2025-06"/>
    <x v="36"/>
    <s v="PROSPECTAR"/>
    <x v="181"/>
    <n v="0"/>
    <n v="1"/>
  </r>
  <r>
    <s v="044.888.871/0001-69"/>
    <x v="106"/>
    <s v="INCLUSAO  ANOT.INADIMPLENCIA"/>
    <x v="167"/>
    <x v="12"/>
    <s v="2025-06"/>
    <x v="36"/>
    <s v="PROSPECTAR"/>
    <x v="106"/>
    <n v="0"/>
    <n v="1"/>
  </r>
  <r>
    <s v="043.515.558/0001-12"/>
    <x v="176"/>
    <s v="INCLUSAO  ANOT.INADIMPLENCIA"/>
    <x v="167"/>
    <x v="10"/>
    <s v="2025-06"/>
    <x v="36"/>
    <s v="ROGERIO "/>
    <x v="176"/>
    <n v="0"/>
    <n v="1"/>
  </r>
  <r>
    <s v="040.938.741/0001-32"/>
    <x v="161"/>
    <s v="INCLUSAO  ANOT.INADIMPLENCIA"/>
    <x v="167"/>
    <x v="12"/>
    <s v="2025-06"/>
    <x v="36"/>
    <s v="PROSPECTAR"/>
    <x v="161"/>
    <n v="0"/>
    <n v="1"/>
  </r>
  <r>
    <s v="035.298.171/0001-23"/>
    <x v="248"/>
    <s v="INCLUSAO  ANOT.INADIMPLENCIA"/>
    <x v="167"/>
    <x v="29"/>
    <s v="2025-06"/>
    <x v="36"/>
    <s v="DALVA"/>
    <x v="248"/>
    <n v="0"/>
    <n v="1"/>
  </r>
  <r>
    <s v="034.821.586/0001-77"/>
    <x v="38"/>
    <s v="INCLUSAO  ANOT.INADIMPLENCIA"/>
    <x v="167"/>
    <x v="3"/>
    <s v="2025-06"/>
    <x v="36"/>
    <s v="MARCUS VINICIUS "/>
    <x v="38"/>
    <n v="0"/>
    <n v="1"/>
  </r>
  <r>
    <s v="028.650.970/0001-51"/>
    <x v="166"/>
    <s v="INCLUSAO  ANOT.INADIMPLENCIA"/>
    <x v="167"/>
    <x v="10"/>
    <s v="2025-06"/>
    <x v="36"/>
    <s v="ROGERIO "/>
    <x v="166"/>
    <n v="0"/>
    <n v="1"/>
  </r>
  <r>
    <s v="028.514.938/0001-49"/>
    <x v="249"/>
    <s v="INCLUSAO  ANOT.INADIMPLENCIA"/>
    <x v="167"/>
    <x v="6"/>
    <s v="2025-06"/>
    <x v="36"/>
    <s v="RAFAEL PARISE"/>
    <x v="249"/>
    <n v="0"/>
    <n v="1"/>
  </r>
  <r>
    <s v="028.511.223/0001-32"/>
    <x v="189"/>
    <s v="INCLUSAO  ANOT.INADIMPLENCIA"/>
    <x v="167"/>
    <x v="0"/>
    <s v="2025-06"/>
    <x v="36"/>
    <s v="ADMINISTRAÇÃO"/>
    <x v="189"/>
    <n v="0"/>
    <n v="1"/>
  </r>
  <r>
    <s v="028.393.466/0001-13"/>
    <x v="167"/>
    <s v="INCLUSAO  ANOT.INADIMPLENCIA"/>
    <x v="167"/>
    <x v="12"/>
    <s v="2025-06"/>
    <x v="36"/>
    <s v="PROSPECTAR"/>
    <x v="167"/>
    <n v="0"/>
    <n v="1"/>
  </r>
  <r>
    <s v="026.628.832/0001-40"/>
    <x v="244"/>
    <s v="INCLUSAO  ANOT.INADIMPLENCIA"/>
    <x v="167"/>
    <x v="27"/>
    <s v="2025-06"/>
    <x v="36"/>
    <s v="ALISSON DE SOUZA LIMA"/>
    <x v="244"/>
    <n v="0"/>
    <n v="1"/>
  </r>
  <r>
    <s v="025.383.640/0001-59"/>
    <x v="158"/>
    <s v="EXCLUSAO  ANOT.INADIMPLENCIA"/>
    <x v="167"/>
    <x v="5"/>
    <s v="2025-06"/>
    <x v="36"/>
    <s v="POENATELA"/>
    <x v="158"/>
    <n v="1"/>
    <n v="0"/>
  </r>
  <r>
    <s v="021.734.108/0001-88"/>
    <x v="41"/>
    <s v="INCLUSAO  ANOT.INADIMPLENCIA"/>
    <x v="167"/>
    <x v="0"/>
    <s v="2025-06"/>
    <x v="36"/>
    <s v="ADMINISTRAÇÃO"/>
    <x v="41"/>
    <n v="0"/>
    <n v="1"/>
  </r>
  <r>
    <s v="021.420.856/0001-96"/>
    <x v="129"/>
    <s v="INCL/EXCL ANOT.INADIMPLENCIA"/>
    <x v="167"/>
    <x v="19"/>
    <s v="2025-06"/>
    <x v="36"/>
    <s v="JOSE ROBERTO"/>
    <x v="129"/>
    <n v="1"/>
    <n v="1"/>
  </r>
  <r>
    <s v="021.382.943/0001-04"/>
    <x v="205"/>
    <s v="INCLUSAO  ANOT.INADIMPLENCIA"/>
    <x v="167"/>
    <x v="0"/>
    <s v="2025-06"/>
    <x v="36"/>
    <s v="ADMINISTRAÇÃO"/>
    <x v="205"/>
    <n v="0"/>
    <n v="1"/>
  </r>
  <r>
    <s v="020.066.300/0001-80"/>
    <x v="2"/>
    <s v="INCLUSAO  ANOT.INADIMPLENCIA"/>
    <x v="167"/>
    <x v="1"/>
    <s v="2025-06"/>
    <x v="36"/>
    <s v="CELIO PIMENTA"/>
    <x v="2"/>
    <n v="0"/>
    <n v="1"/>
  </r>
  <r>
    <s v="018.868.117/0001-57"/>
    <x v="163"/>
    <s v="INCLUSAO  ANOT.INADIMPLENCIA"/>
    <x v="167"/>
    <x v="5"/>
    <s v="2025-06"/>
    <x v="36"/>
    <s v="POENATELA"/>
    <x v="163"/>
    <n v="0"/>
    <n v="1"/>
  </r>
  <r>
    <s v="016.757.535/0001-41"/>
    <x v="29"/>
    <s v="INCLUSAO  ANOT.INADIMPLENCIA"/>
    <x v="167"/>
    <x v="11"/>
    <s v="2025-06"/>
    <x v="36"/>
    <s v="DIOGO AZEVEDO"/>
    <x v="29"/>
    <n v="0"/>
    <n v="1"/>
  </r>
  <r>
    <s v="014.829.598/0001-30"/>
    <x v="31"/>
    <s v="INCLUSAO  ANOT.INADIMPLENCIA"/>
    <x v="167"/>
    <x v="9"/>
    <s v="2025-06"/>
    <x v="36"/>
    <s v="PRISCILA METZ"/>
    <x v="31"/>
    <n v="0"/>
    <n v="1"/>
  </r>
  <r>
    <s v="011.122.552/0001-99"/>
    <x v="59"/>
    <s v="INCLUSAO  ANOT.INADIMPLENCIA"/>
    <x v="167"/>
    <x v="6"/>
    <s v="2025-06"/>
    <x v="36"/>
    <s v="RAFAEL PARISE"/>
    <x v="59"/>
    <n v="0"/>
    <n v="1"/>
  </r>
  <r>
    <s v="011.091.574/0001-39"/>
    <x v="26"/>
    <s v="EXCLUSAO  ANOT.INADIMPLENCIA"/>
    <x v="167"/>
    <x v="5"/>
    <s v="2025-06"/>
    <x v="36"/>
    <s v="POENATELA"/>
    <x v="26"/>
    <n v="1"/>
    <n v="0"/>
  </r>
  <r>
    <s v="009.674.456/0001-01"/>
    <x v="233"/>
    <s v="INCLUSAO  ANOT.INADIMPLENCIA"/>
    <x v="167"/>
    <x v="6"/>
    <s v="2025-06"/>
    <x v="36"/>
    <s v="RAFAEL PARISE"/>
    <x v="233"/>
    <n v="0"/>
    <n v="1"/>
  </r>
  <r>
    <s v="008.250.872/0001-10"/>
    <x v="121"/>
    <s v="INCLUSAO  ANOT.INADIMPLENCIA"/>
    <x v="167"/>
    <x v="6"/>
    <s v="2025-06"/>
    <x v="36"/>
    <s v="RAFAEL PARISE"/>
    <x v="121"/>
    <n v="0"/>
    <n v="1"/>
  </r>
  <r>
    <s v="007.561.436/0001-07"/>
    <x v="34"/>
    <s v="INCLUSAO  ANOT.INADIMPLENCIA"/>
    <x v="167"/>
    <x v="12"/>
    <s v="2025-06"/>
    <x v="36"/>
    <s v="PROSPECTAR"/>
    <x v="34"/>
    <n v="0"/>
    <n v="1"/>
  </r>
  <r>
    <s v="007.102.721/0001-51"/>
    <x v="44"/>
    <s v="INCL/EXCL ANOT.INADIMPLENCIA"/>
    <x v="167"/>
    <x v="12"/>
    <s v="2025-06"/>
    <x v="36"/>
    <s v="PROSPECTAR"/>
    <x v="44"/>
    <n v="1"/>
    <n v="1"/>
  </r>
  <r>
    <s v="005.374.432/0001-86"/>
    <x v="222"/>
    <s v="INCLUSAO  ANOT.INADIMPLENCIA"/>
    <x v="167"/>
    <x v="29"/>
    <s v="2025-06"/>
    <x v="36"/>
    <s v="DALVA"/>
    <x v="222"/>
    <n v="0"/>
    <n v="1"/>
  </r>
  <r>
    <s v="004.323.643/0001-27"/>
    <x v="221"/>
    <s v="INCLUSAO  ANOT.INADIMPLENCIA"/>
    <x v="167"/>
    <x v="0"/>
    <s v="2025-06"/>
    <x v="36"/>
    <s v="ADMINISTRAÇÃO"/>
    <x v="221"/>
    <n v="0"/>
    <n v="1"/>
  </r>
  <r>
    <s v="003.603.516/0001-19"/>
    <x v="236"/>
    <s v="INCLUSAO  ANOT.INADIMPLENCIA"/>
    <x v="167"/>
    <x v="3"/>
    <s v="2025-06"/>
    <x v="36"/>
    <s v="MARCUS VINICIUS "/>
    <x v="236"/>
    <n v="0"/>
    <n v="1"/>
  </r>
  <r>
    <s v="003.590.360/0001-89"/>
    <x v="3"/>
    <s v="INCLUSAO  ANOT.INADIMPLENCIA"/>
    <x v="167"/>
    <x v="1"/>
    <s v="2025-06"/>
    <x v="36"/>
    <s v="CELIO PIMENTA"/>
    <x v="3"/>
    <n v="0"/>
    <n v="1"/>
  </r>
  <r>
    <s v="057.698.087/0001-30"/>
    <x v="229"/>
    <s v="INCLUSAO  ANOT.INADIMPLENCIA"/>
    <x v="167"/>
    <x v="1"/>
    <s v="2025-06"/>
    <x v="36"/>
    <s v="CELIO PIMENTA"/>
    <x v="229"/>
    <n v="0"/>
    <n v="1"/>
  </r>
  <r>
    <s v="003.524.760/0001-96"/>
    <x v="230"/>
    <s v="INCLUSAO  ANOT.INADIMPLENCIA"/>
    <x v="182"/>
    <x v="30"/>
    <s v="2025-06"/>
    <x v="36"/>
    <s v="ANDRE CUNHA"/>
    <x v="230"/>
    <n v="0"/>
    <n v="1"/>
  </r>
  <r>
    <s v="042.119.428/0001-06"/>
    <x v="247"/>
    <s v="INCLUSAO  ANOT.INADIMPLENCIA"/>
    <x v="182"/>
    <x v="31"/>
    <s v="2025-06"/>
    <x v="36"/>
    <s v="TIAGO NEVES"/>
    <x v="247"/>
    <n v="0"/>
    <n v="1"/>
  </r>
  <r>
    <s v="040.582.798/0001-41"/>
    <x v="144"/>
    <s v="INCLUSAO  ANOT.INADIMPLENCIA"/>
    <x v="182"/>
    <x v="16"/>
    <s v="2025-06"/>
    <x v="36"/>
    <s v="SACADO"/>
    <x v="144"/>
    <n v="0"/>
    <n v="1"/>
  </r>
  <r>
    <s v="038.479.255/0001-51"/>
    <x v="240"/>
    <s v="INCLUSAO  ANOT.INADIMPLENCIA"/>
    <x v="182"/>
    <x v="3"/>
    <s v="2025-06"/>
    <x v="36"/>
    <s v="MARCUS VINICIUS "/>
    <x v="240"/>
    <n v="0"/>
    <n v="1"/>
  </r>
  <r>
    <s v="037.599.774/0001-90"/>
    <x v="201"/>
    <s v="INCLUSAO  ANOT.INADIMPLENCIA"/>
    <x v="182"/>
    <x v="21"/>
    <s v="2025-06"/>
    <x v="36"/>
    <s v="CAIO"/>
    <x v="201"/>
    <n v="0"/>
    <n v="1"/>
  </r>
  <r>
    <s v="035.797.639/0001-24"/>
    <x v="250"/>
    <s v="INCLUSAO  ANOT.INADIMPLENCIA"/>
    <x v="182"/>
    <x v="9"/>
    <s v="2025-06"/>
    <x v="36"/>
    <s v="PRISCILA METZ"/>
    <x v="250"/>
    <n v="0"/>
    <n v="1"/>
  </r>
  <r>
    <s v="034.821.586/0001-77"/>
    <x v="38"/>
    <s v="INCLUSAO  ANOT.INADIMPLENCIA"/>
    <x v="182"/>
    <x v="3"/>
    <s v="2025-06"/>
    <x v="36"/>
    <s v="MARCUS VINICIUS "/>
    <x v="38"/>
    <n v="0"/>
    <n v="1"/>
  </r>
  <r>
    <s v="028.511.223/0001-32"/>
    <x v="189"/>
    <s v="INCLUSAO  ANOT.INADIMPLENCIA"/>
    <x v="182"/>
    <x v="0"/>
    <s v="2025-06"/>
    <x v="36"/>
    <s v="ADMINISTRAÇÃO"/>
    <x v="189"/>
    <n v="0"/>
    <n v="1"/>
  </r>
  <r>
    <s v="028.393.466/0001-13"/>
    <x v="167"/>
    <s v="INCLUSAO  ANOT.INADIMPLENCIA"/>
    <x v="182"/>
    <x v="12"/>
    <s v="2025-06"/>
    <x v="36"/>
    <s v="PROSPECTAR"/>
    <x v="167"/>
    <n v="0"/>
    <n v="1"/>
  </r>
  <r>
    <s v="021.734.108/0001-88"/>
    <x v="41"/>
    <s v="INCLUSAO  ANOT.INADIMPLENCIA"/>
    <x v="182"/>
    <x v="0"/>
    <s v="2025-06"/>
    <x v="36"/>
    <s v="ADMINISTRAÇÃO"/>
    <x v="41"/>
    <n v="0"/>
    <n v="1"/>
  </r>
  <r>
    <s v="047.635.671/0001-92"/>
    <x v="143"/>
    <s v="INCLUSAO  ANOT.INADIMPLENCIA"/>
    <x v="182"/>
    <x v="1"/>
    <s v="2025-06"/>
    <x v="36"/>
    <s v="CELIO PIMENTA"/>
    <x v="143"/>
    <n v="0"/>
    <n v="1"/>
  </r>
  <r>
    <s v="021.420.856/0001-96"/>
    <x v="129"/>
    <s v="INCLUSAO  ANOT.INADIMPLENCIA"/>
    <x v="182"/>
    <x v="19"/>
    <s v="2025-06"/>
    <x v="36"/>
    <s v="JOSE ROBERTO"/>
    <x v="129"/>
    <n v="0"/>
    <n v="1"/>
  </r>
  <r>
    <s v="020.066.300/0001-80"/>
    <x v="2"/>
    <s v="EXCLUSAO  ANOT.INADIMPLENCIA"/>
    <x v="182"/>
    <x v="1"/>
    <s v="2025-06"/>
    <x v="36"/>
    <s v="CELIO PIMENTA"/>
    <x v="2"/>
    <n v="1"/>
    <n v="0"/>
  </r>
  <r>
    <s v="013.749.701/0001-70"/>
    <x v="195"/>
    <s v="INCLUSAO  ANOT.INADIMPLENCIA"/>
    <x v="182"/>
    <x v="6"/>
    <s v="2025-06"/>
    <x v="36"/>
    <s v="RAFAEL PARISE"/>
    <x v="195"/>
    <n v="0"/>
    <n v="1"/>
  </r>
  <r>
    <s v="009.674.456/0001-01"/>
    <x v="233"/>
    <s v="INCL/EXCL ANOT.INADIMPLENCIA"/>
    <x v="182"/>
    <x v="6"/>
    <s v="2025-06"/>
    <x v="36"/>
    <s v="RAFAEL PARISE"/>
    <x v="233"/>
    <n v="1"/>
    <n v="1"/>
  </r>
  <r>
    <s v="008.250.872/0001-10"/>
    <x v="121"/>
    <s v="INCLUSAO  ANOT.INADIMPLENCIA"/>
    <x v="182"/>
    <x v="6"/>
    <s v="2025-06"/>
    <x v="36"/>
    <s v="RAFAEL PARISE"/>
    <x v="121"/>
    <n v="0"/>
    <n v="1"/>
  </r>
  <r>
    <s v="007.561.436/0001-07"/>
    <x v="34"/>
    <s v="EXCLUSAO  ANOT.INADIMPLENCIA"/>
    <x v="182"/>
    <x v="12"/>
    <s v="2025-06"/>
    <x v="36"/>
    <s v="PROSPECTAR"/>
    <x v="34"/>
    <n v="1"/>
    <n v="0"/>
  </r>
  <r>
    <s v="007.102.721/0001-51"/>
    <x v="44"/>
    <s v="EXCLUSAO  ANOT.INADIMPLENCIA"/>
    <x v="182"/>
    <x v="12"/>
    <s v="2025-06"/>
    <x v="36"/>
    <s v="PROSPECTAR"/>
    <x v="44"/>
    <n v="1"/>
    <n v="0"/>
  </r>
  <r>
    <s v="004.323.643/0001-27"/>
    <x v="221"/>
    <s v="EXCLUSAO  ANOT.INADIMPLENCIA"/>
    <x v="182"/>
    <x v="0"/>
    <s v="2025-06"/>
    <x v="36"/>
    <s v="ADMINISTRAÇÃO"/>
    <x v="221"/>
    <n v="1"/>
    <n v="0"/>
  </r>
  <r>
    <s v="004.041.192/0001-35"/>
    <x v="37"/>
    <s v="INCLUSAO  ANOT.INADIMPLENCIA"/>
    <x v="182"/>
    <x v="0"/>
    <s v="2025-06"/>
    <x v="36"/>
    <s v="ADMINISTRAÇÃO"/>
    <x v="37"/>
    <n v="0"/>
    <n v="1"/>
  </r>
  <r>
    <s v="003.603.516/0001-19"/>
    <x v="236"/>
    <s v="INCLUSAO  ANOT.INADIMPLENCIA"/>
    <x v="182"/>
    <x v="3"/>
    <s v="2025-06"/>
    <x v="36"/>
    <s v="MARCUS VINICIUS "/>
    <x v="236"/>
    <n v="0"/>
    <n v="1"/>
  </r>
  <r>
    <s v="021.382.943/0001-04"/>
    <x v="205"/>
    <s v="EXCLUSAO  ANOT.INADIMPLENCIA"/>
    <x v="182"/>
    <x v="0"/>
    <s v="2025-06"/>
    <x v="36"/>
    <s v="ADMINISTRAÇÃO"/>
    <x v="205"/>
    <n v="1"/>
    <n v="0"/>
  </r>
  <r>
    <s v="049.344.344/0001-07"/>
    <x v="193"/>
    <s v="INCLUSAO  ANOT.INADIMPLENCIA"/>
    <x v="182"/>
    <x v="9"/>
    <s v="2025-06"/>
    <x v="36"/>
    <s v="PRISCILA METZ"/>
    <x v="193"/>
    <n v="0"/>
    <n v="1"/>
  </r>
  <r>
    <s v="004.323.643/0001-27"/>
    <x v="221"/>
    <s v="EXCLUSAO  ANOT.INADIMPLENCIA"/>
    <x v="183"/>
    <x v="0"/>
    <s v="2025-06"/>
    <x v="36"/>
    <s v="ADMINISTRAÇÃO"/>
    <x v="221"/>
    <n v="1"/>
    <n v="0"/>
  </r>
  <r>
    <s v="049.344.344/0001-07"/>
    <x v="193"/>
    <s v="EXCLUSAO  ANOT.INADIMPLENCIA"/>
    <x v="183"/>
    <x v="9"/>
    <s v="2025-06"/>
    <x v="36"/>
    <s v="PRISCILA METZ"/>
    <x v="193"/>
    <n v="1"/>
    <n v="0"/>
  </r>
  <r>
    <s v="044.921.612/0001-92"/>
    <x v="251"/>
    <s v="INCLUSAO  ANOT.INADIMPLENCIA"/>
    <x v="183"/>
    <x v="0"/>
    <s v="2025-06"/>
    <x v="36"/>
    <s v="ADMINISTRAÇÃO"/>
    <x v="251"/>
    <n v="0"/>
    <n v="1"/>
  </r>
  <r>
    <s v="041.397.377/0001-03"/>
    <x v="241"/>
    <s v="EXCLUSAO  ANOT.INADIMPLENCIA"/>
    <x v="183"/>
    <x v="10"/>
    <s v="2025-06"/>
    <x v="36"/>
    <s v="ROGERIO "/>
    <x v="241"/>
    <n v="1"/>
    <n v="0"/>
  </r>
  <r>
    <s v="035.298.171/0001-23"/>
    <x v="248"/>
    <s v="INCLUSAO  ANOT.INADIMPLENCIA"/>
    <x v="183"/>
    <x v="29"/>
    <s v="2025-06"/>
    <x v="36"/>
    <s v="DALVA"/>
    <x v="248"/>
    <n v="0"/>
    <n v="1"/>
  </r>
  <r>
    <s v="033.803.691/0001-10"/>
    <x v="103"/>
    <s v="INCLUSAO  ANOT.INADIMPLENCIA"/>
    <x v="183"/>
    <x v="0"/>
    <s v="2025-06"/>
    <x v="36"/>
    <s v="ADMINISTRAÇÃO"/>
    <x v="103"/>
    <n v="0"/>
    <n v="1"/>
  </r>
  <r>
    <s v="026.628.832/0001-40"/>
    <x v="244"/>
    <s v="INCL/EXCL ANOT.INADIMPLENCIA"/>
    <x v="183"/>
    <x v="27"/>
    <s v="2025-06"/>
    <x v="36"/>
    <s v="ALISSON DE SOUZA LIMA"/>
    <x v="244"/>
    <n v="1"/>
    <n v="1"/>
  </r>
  <r>
    <s v="051.323.061/0001-20"/>
    <x v="252"/>
    <s v="EXCLUSAO  ANOT.INADIMPLENCIA"/>
    <x v="183"/>
    <x v="27"/>
    <s v="2025-06"/>
    <x v="36"/>
    <s v="ALISSON DE SOUZA LIMA"/>
    <x v="252"/>
    <n v="1"/>
    <n v="0"/>
  </r>
  <r>
    <s v="024.271.279/0001-06"/>
    <x v="142"/>
    <s v="INCLUSAO  ANOT.INADIMPLENCIA"/>
    <x v="183"/>
    <x v="0"/>
    <s v="2025-06"/>
    <x v="36"/>
    <s v="ADMINISTRAÇÃO"/>
    <x v="142"/>
    <n v="0"/>
    <n v="1"/>
  </r>
  <r>
    <s v="020.066.300/0001-80"/>
    <x v="2"/>
    <s v="INCLUSAO  ANOT.INADIMPLENCIA"/>
    <x v="183"/>
    <x v="1"/>
    <s v="2025-06"/>
    <x v="36"/>
    <s v="CELIO PIMENTA"/>
    <x v="2"/>
    <n v="0"/>
    <n v="1"/>
  </r>
  <r>
    <s v="016.772.642/0001-49"/>
    <x v="69"/>
    <s v="INCLUSAO  ANOT.INADIMPLENCIA"/>
    <x v="183"/>
    <x v="0"/>
    <s v="2025-06"/>
    <x v="36"/>
    <s v="ADMINISTRAÇÃO"/>
    <x v="69"/>
    <n v="0"/>
    <n v="1"/>
  </r>
  <r>
    <s v="012.299.369/0001-26"/>
    <x v="13"/>
    <s v="EXCLUSAO  ANOT.INADIMPLENCIA"/>
    <x v="183"/>
    <x v="5"/>
    <s v="2025-06"/>
    <x v="36"/>
    <s v="POENATELA"/>
    <x v="13"/>
    <n v="1"/>
    <n v="0"/>
  </r>
  <r>
    <s v="008.250.872/0001-10"/>
    <x v="121"/>
    <s v="EXCLUSAO  ANOT.INADIMPLENCIA"/>
    <x v="183"/>
    <x v="6"/>
    <s v="2025-06"/>
    <x v="36"/>
    <s v="RAFAEL PARISE"/>
    <x v="121"/>
    <n v="1"/>
    <n v="0"/>
  </r>
  <r>
    <s v="007.102.721/0001-51"/>
    <x v="44"/>
    <s v="EXCLUSAO  ANOT.INADIMPLENCIA"/>
    <x v="183"/>
    <x v="12"/>
    <s v="2025-06"/>
    <x v="36"/>
    <s v="PROSPECTAR"/>
    <x v="44"/>
    <n v="1"/>
    <n v="0"/>
  </r>
  <r>
    <s v="005.374.432/0001-86"/>
    <x v="222"/>
    <s v="INCLUSAO  ANOT.INADIMPLENCIA"/>
    <x v="183"/>
    <x v="29"/>
    <s v="2025-06"/>
    <x v="36"/>
    <s v="DALVA"/>
    <x v="222"/>
    <n v="0"/>
    <n v="1"/>
  </r>
  <r>
    <s v="021.382.943/0001-04"/>
    <x v="205"/>
    <s v="INCLUSAO  ANOT.INADIMPLENCIA"/>
    <x v="183"/>
    <x v="0"/>
    <s v="2025-06"/>
    <x v="36"/>
    <s v="ADMINISTRAÇÃO"/>
    <x v="205"/>
    <n v="0"/>
    <n v="1"/>
  </r>
  <r>
    <s v="071.350.797/0001-03"/>
    <x v="48"/>
    <s v="EXCLUSAO  ANOT.INADIMPLENCIA"/>
    <x v="183"/>
    <x v="10"/>
    <s v="2025-06"/>
    <x v="36"/>
    <s v="ROGERIO "/>
    <x v="48"/>
    <n v="1"/>
    <n v="0"/>
  </r>
  <r>
    <s v="003.524.760/0001-96"/>
    <x v="230"/>
    <s v="INCLUSAO  ANOT.INADIMPLENCIA"/>
    <x v="184"/>
    <x v="30"/>
    <s v="2025-06"/>
    <x v="36"/>
    <s v="ANDRE CUNHA"/>
    <x v="230"/>
    <n v="0"/>
    <n v="1"/>
  </r>
  <r>
    <s v="045.123.456/0001-87"/>
    <x v="123"/>
    <s v="EXCLUSAO  ANOT.INADIMPLENCIA"/>
    <x v="184"/>
    <x v="0"/>
    <s v="2025-06"/>
    <x v="36"/>
    <s v="ADMINISTRAÇÃO"/>
    <x v="123"/>
    <n v="1"/>
    <n v="0"/>
  </r>
  <r>
    <s v="043.515.558/0001-12"/>
    <x v="176"/>
    <s v="EXCLUSAO  ANOT.INADIMPLENCIA"/>
    <x v="184"/>
    <x v="10"/>
    <s v="2025-06"/>
    <x v="36"/>
    <s v="ROGERIO "/>
    <x v="176"/>
    <n v="1"/>
    <n v="0"/>
  </r>
  <r>
    <s v="040.582.798/0001-41"/>
    <x v="144"/>
    <s v="EXCLUSAO  ANOT.INADIMPLENCIA"/>
    <x v="184"/>
    <x v="16"/>
    <s v="2025-06"/>
    <x v="36"/>
    <s v="SACADO"/>
    <x v="144"/>
    <n v="1"/>
    <n v="0"/>
  </r>
  <r>
    <s v="038.479.255/0001-51"/>
    <x v="240"/>
    <s v="EXCLUSAO  ANOT.INADIMPLENCIA"/>
    <x v="184"/>
    <x v="3"/>
    <s v="2025-06"/>
    <x v="36"/>
    <s v="MARCUS VINICIUS "/>
    <x v="240"/>
    <n v="1"/>
    <n v="0"/>
  </r>
  <r>
    <s v="032.925.977/0001-06"/>
    <x v="235"/>
    <s v="INCLUSAO  ANOT.INADIMPLENCIA"/>
    <x v="184"/>
    <x v="1"/>
    <s v="2025-06"/>
    <x v="36"/>
    <s v="CELIO PIMENTA"/>
    <x v="235"/>
    <n v="0"/>
    <n v="1"/>
  </r>
  <r>
    <s v="028.650.970/0001-51"/>
    <x v="166"/>
    <s v="INCLUSAO  ANOT.INADIMPLENCIA"/>
    <x v="184"/>
    <x v="10"/>
    <s v="2025-06"/>
    <x v="36"/>
    <s v="ROGERIO "/>
    <x v="166"/>
    <n v="0"/>
    <n v="1"/>
  </r>
  <r>
    <s v="028.511.223/0001-32"/>
    <x v="189"/>
    <s v="INCLUSAO  ANOT.INADIMPLENCIA"/>
    <x v="184"/>
    <x v="0"/>
    <s v="2025-06"/>
    <x v="36"/>
    <s v="ADMINISTRAÇÃO"/>
    <x v="189"/>
    <n v="0"/>
    <n v="1"/>
  </r>
  <r>
    <s v="028.393.466/0001-13"/>
    <x v="167"/>
    <s v="INCLUSAO  ANOT.INADIMPLENCIA"/>
    <x v="184"/>
    <x v="12"/>
    <s v="2025-06"/>
    <x v="36"/>
    <s v="PROSPECTAR"/>
    <x v="167"/>
    <n v="0"/>
    <n v="1"/>
  </r>
  <r>
    <s v="021.420.856/0001-96"/>
    <x v="129"/>
    <s v="EXCLUSAO  ANOT.INADIMPLENCIA"/>
    <x v="184"/>
    <x v="19"/>
    <s v="2025-06"/>
    <x v="36"/>
    <s v="JOSE ROBERTO"/>
    <x v="129"/>
    <n v="1"/>
    <n v="0"/>
  </r>
  <r>
    <s v="020.024.081/0001-77"/>
    <x v="177"/>
    <s v="EXCLUSAO  ANOT.INADIMPLENCIA"/>
    <x v="184"/>
    <x v="10"/>
    <s v="2025-06"/>
    <x v="36"/>
    <s v="ROGERIO "/>
    <x v="177"/>
    <n v="1"/>
    <n v="0"/>
  </r>
  <r>
    <s v="019.450.138/0001-10"/>
    <x v="70"/>
    <s v="EXCLUSAO  ANOT.INADIMPLENCIA"/>
    <x v="184"/>
    <x v="17"/>
    <s v="2025-06"/>
    <x v="36"/>
    <s v="MARCIO LEONEL"/>
    <x v="70"/>
    <n v="1"/>
    <n v="0"/>
  </r>
  <r>
    <s v="016.757.535/0001-41"/>
    <x v="29"/>
    <s v="INCLUSAO  ANOT.INADIMPLENCIA"/>
    <x v="184"/>
    <x v="11"/>
    <s v="2025-06"/>
    <x v="36"/>
    <s v="DIOGO AZEVEDO"/>
    <x v="29"/>
    <n v="0"/>
    <n v="1"/>
  </r>
  <r>
    <s v="012.645.814/0001-62"/>
    <x v="217"/>
    <s v="INCLUSAO  ANOT.INADIMPLENCIA"/>
    <x v="184"/>
    <x v="21"/>
    <s v="2025-06"/>
    <x v="36"/>
    <s v="CAIO"/>
    <x v="217"/>
    <n v="0"/>
    <n v="1"/>
  </r>
  <r>
    <s v="010.497.973/0001-31"/>
    <x v="53"/>
    <s v="INCLUSAO  ANOT.INADIMPLENCIA"/>
    <x v="184"/>
    <x v="0"/>
    <s v="2025-06"/>
    <x v="36"/>
    <s v="ADMINISTRAÇÃO"/>
    <x v="53"/>
    <n v="0"/>
    <n v="1"/>
  </r>
  <r>
    <s v="009.674.456/0001-01"/>
    <x v="233"/>
    <s v="INCL/EXCL ANOT.INADIMPLENCIA"/>
    <x v="184"/>
    <x v="6"/>
    <s v="2025-06"/>
    <x v="36"/>
    <s v="RAFAEL PARISE"/>
    <x v="233"/>
    <n v="1"/>
    <n v="1"/>
  </r>
  <r>
    <s v="008.250.872/0001-10"/>
    <x v="121"/>
    <s v="INCLUSAO  ANOT.INADIMPLENCIA"/>
    <x v="184"/>
    <x v="6"/>
    <s v="2025-06"/>
    <x v="36"/>
    <s v="RAFAEL PARISE"/>
    <x v="121"/>
    <n v="0"/>
    <n v="1"/>
  </r>
  <r>
    <s v="007.102.721/0001-51"/>
    <x v="44"/>
    <s v="INCL/EXCL ANOT.INADIMPLENCIA"/>
    <x v="184"/>
    <x v="12"/>
    <s v="2025-06"/>
    <x v="36"/>
    <s v="PROSPECTAR"/>
    <x v="44"/>
    <n v="1"/>
    <n v="1"/>
  </r>
  <r>
    <s v="005.774.638/0001-01"/>
    <x v="197"/>
    <s v="INCLUSAO  ANOT.INADIMPLENCIA"/>
    <x v="184"/>
    <x v="21"/>
    <s v="2025-06"/>
    <x v="36"/>
    <s v="CAIO"/>
    <x v="197"/>
    <n v="0"/>
    <n v="1"/>
  </r>
  <r>
    <s v="004.323.643/0001-27"/>
    <x v="221"/>
    <s v="INCLUSAO  ANOT.INADIMPLENCIA"/>
    <x v="184"/>
    <x v="0"/>
    <s v="2025-06"/>
    <x v="36"/>
    <s v="ADMINISTRAÇÃO"/>
    <x v="221"/>
    <n v="0"/>
    <n v="1"/>
  </r>
  <r>
    <s v="004.126.524/0001-84"/>
    <x v="28"/>
    <s v="EXCLUSAO  ANOT.INADIMPLENCIA"/>
    <x v="184"/>
    <x v="0"/>
    <s v="2025-06"/>
    <x v="36"/>
    <s v="ADMINISTRAÇÃO"/>
    <x v="28"/>
    <n v="1"/>
    <n v="0"/>
  </r>
  <r>
    <s v="003.603.516/0001-19"/>
    <x v="236"/>
    <s v="EXCLUSAO  ANOT.INADIMPLENCIA"/>
    <x v="184"/>
    <x v="3"/>
    <s v="2025-06"/>
    <x v="36"/>
    <s v="MARCUS VINICIUS "/>
    <x v="236"/>
    <n v="1"/>
    <n v="0"/>
  </r>
  <r>
    <s v="051.980.425/0001-45"/>
    <x v="173"/>
    <s v="EXCLUSAO  ANOT.INADIMPLENCIA"/>
    <x v="184"/>
    <x v="10"/>
    <s v="2025-06"/>
    <x v="36"/>
    <s v="ROGERIO "/>
    <x v="173"/>
    <n v="1"/>
    <n v="0"/>
  </r>
  <r>
    <s v="086.490.885/0001-70"/>
    <x v="207"/>
    <s v="EXCLUSAO  ANOT.INADIMPLENCIA"/>
    <x v="184"/>
    <x v="6"/>
    <s v="2025-06"/>
    <x v="36"/>
    <s v="RAFAEL PARISE"/>
    <x v="207"/>
    <n v="1"/>
    <n v="0"/>
  </r>
  <r>
    <s v="003.524.760/0001-96"/>
    <x v="230"/>
    <s v="EXCLUSAO  ANOT.INADIMPLENCIA"/>
    <x v="185"/>
    <x v="30"/>
    <s v="2025-06"/>
    <x v="36"/>
    <s v="ANDRE CUNHA"/>
    <x v="230"/>
    <n v="1"/>
    <n v="0"/>
  </r>
  <r>
    <s v="050.893.355/0001-25"/>
    <x v="156"/>
    <s v="INCLUSAO  ANOT.INADIMPLENCIA"/>
    <x v="185"/>
    <x v="0"/>
    <s v="2025-06"/>
    <x v="36"/>
    <s v="ADMINISTRAÇÃO"/>
    <x v="156"/>
    <n v="0"/>
    <n v="1"/>
  </r>
  <r>
    <s v="044.888.871/0001-69"/>
    <x v="106"/>
    <s v="INCLUSAO  ANOT.INADIMPLENCIA"/>
    <x v="185"/>
    <x v="12"/>
    <s v="2025-06"/>
    <x v="36"/>
    <s v="PROSPECTAR"/>
    <x v="106"/>
    <n v="0"/>
    <n v="1"/>
  </r>
  <r>
    <s v="037.828.375/0001-54"/>
    <x v="39"/>
    <s v="INCLUSAO  ANOT.INADIMPLENCIA"/>
    <x v="185"/>
    <x v="5"/>
    <s v="2025-06"/>
    <x v="36"/>
    <s v="POENATELA"/>
    <x v="39"/>
    <n v="0"/>
    <n v="1"/>
  </r>
  <r>
    <s v="032.552.159/0001-05"/>
    <x v="211"/>
    <s v="INCLUSAO  ANOT.INADIMPLENCIA"/>
    <x v="185"/>
    <x v="27"/>
    <s v="2025-06"/>
    <x v="36"/>
    <s v="ALISSON DE SOUZA LIMA"/>
    <x v="211"/>
    <n v="0"/>
    <n v="1"/>
  </r>
  <r>
    <s v="031.743.464/0001-11"/>
    <x v="253"/>
    <s v="EXCLUSAO  ANOT.INADIMPLENCIA"/>
    <x v="185"/>
    <x v="32"/>
    <s v="2025-06"/>
    <x v="36"/>
    <s v="WASHINGTON"/>
    <x v="253"/>
    <n v="1"/>
    <n v="0"/>
  </r>
  <r>
    <s v="028.511.223/0001-32"/>
    <x v="189"/>
    <s v="INCL/EXCL ANOT.INADIMPLENCIA"/>
    <x v="185"/>
    <x v="0"/>
    <s v="2025-06"/>
    <x v="36"/>
    <s v="ADMINISTRAÇÃO"/>
    <x v="189"/>
    <n v="1"/>
    <n v="1"/>
  </r>
  <r>
    <s v="024.271.279/0001-06"/>
    <x v="142"/>
    <s v="INCLUSAO  ANOT.INADIMPLENCIA"/>
    <x v="185"/>
    <x v="0"/>
    <s v="2025-06"/>
    <x v="36"/>
    <s v="ADMINISTRAÇÃO"/>
    <x v="142"/>
    <n v="0"/>
    <n v="1"/>
  </r>
  <r>
    <s v="024.255.748/0001-01"/>
    <x v="30"/>
    <s v="EXCLUSAO  ANOT.INADIMPLENCIA"/>
    <x v="185"/>
    <x v="12"/>
    <s v="2025-06"/>
    <x v="36"/>
    <s v="PROSPECTAR"/>
    <x v="30"/>
    <n v="1"/>
    <n v="0"/>
  </r>
  <r>
    <s v="023.637.987/0001-55"/>
    <x v="20"/>
    <s v="INCLUSAO  ANOT.INADIMPLENCIA"/>
    <x v="185"/>
    <x v="5"/>
    <s v="2025-06"/>
    <x v="36"/>
    <s v="POENATELA"/>
    <x v="20"/>
    <n v="0"/>
    <n v="1"/>
  </r>
  <r>
    <s v="021.734.108/0001-88"/>
    <x v="41"/>
    <s v="EXCLUSAO  ANOT.INADIMPLENCIA"/>
    <x v="185"/>
    <x v="0"/>
    <s v="2025-06"/>
    <x v="36"/>
    <s v="ADMINISTRAÇÃO"/>
    <x v="41"/>
    <n v="1"/>
    <n v="0"/>
  </r>
  <r>
    <s v="021.420.856/0001-96"/>
    <x v="129"/>
    <s v="EXCLUSAO  ANOT.INADIMPLENCIA"/>
    <x v="185"/>
    <x v="19"/>
    <s v="2025-06"/>
    <x v="36"/>
    <s v="JOSE ROBERTO"/>
    <x v="129"/>
    <n v="1"/>
    <n v="0"/>
  </r>
  <r>
    <s v="020.066.300/0001-80"/>
    <x v="2"/>
    <s v="EXCLUSAO  ANOT.INADIMPLENCIA"/>
    <x v="185"/>
    <x v="1"/>
    <s v="2025-06"/>
    <x v="36"/>
    <s v="CELIO PIMENTA"/>
    <x v="2"/>
    <n v="1"/>
    <n v="0"/>
  </r>
  <r>
    <s v="019.450.138/0001-10"/>
    <x v="70"/>
    <s v="INCLUSAO  ANOT.INADIMPLENCIA"/>
    <x v="185"/>
    <x v="17"/>
    <s v="2025-06"/>
    <x v="36"/>
    <s v="MARCIO LEONEL"/>
    <x v="70"/>
    <n v="0"/>
    <n v="1"/>
  </r>
  <r>
    <s v="014.829.598/0001-30"/>
    <x v="31"/>
    <s v="EXCLUSAO  ANOT.INADIMPLENCIA"/>
    <x v="185"/>
    <x v="9"/>
    <s v="2025-06"/>
    <x v="36"/>
    <s v="PRISCILA METZ"/>
    <x v="31"/>
    <n v="1"/>
    <n v="0"/>
  </r>
  <r>
    <s v="012.520.791/0001-60"/>
    <x v="4"/>
    <s v="INCLUSAO  ANOT.INADIMPLENCIA"/>
    <x v="185"/>
    <x v="1"/>
    <s v="2025-06"/>
    <x v="36"/>
    <s v="CELIO PIMENTA"/>
    <x v="4"/>
    <n v="0"/>
    <n v="1"/>
  </r>
  <r>
    <s v="008.250.872/0001-10"/>
    <x v="121"/>
    <s v="INCL/EXCL ANOT.INADIMPLENCIA"/>
    <x v="185"/>
    <x v="6"/>
    <s v="2025-06"/>
    <x v="36"/>
    <s v="RAFAEL PARISE"/>
    <x v="121"/>
    <n v="1"/>
    <n v="1"/>
  </r>
  <r>
    <s v="007.102.721/0001-51"/>
    <x v="44"/>
    <s v="INCLUSAO  ANOT.INADIMPLENCIA"/>
    <x v="185"/>
    <x v="12"/>
    <s v="2025-06"/>
    <x v="36"/>
    <s v="PROSPECTAR"/>
    <x v="44"/>
    <n v="0"/>
    <n v="1"/>
  </r>
  <r>
    <s v="005.374.432/0001-86"/>
    <x v="222"/>
    <s v="INCLUSAO  ANOT.INADIMPLENCIA"/>
    <x v="185"/>
    <x v="29"/>
    <s v="2025-06"/>
    <x v="36"/>
    <s v="DALVA"/>
    <x v="222"/>
    <n v="0"/>
    <n v="1"/>
  </r>
  <r>
    <s v="003.603.516/0001-19"/>
    <x v="236"/>
    <s v="INCL/EXCL ANOT.INADIMPLENCIA"/>
    <x v="185"/>
    <x v="3"/>
    <s v="2025-06"/>
    <x v="36"/>
    <s v="MARCUS VINICIUS "/>
    <x v="236"/>
    <n v="1"/>
    <n v="1"/>
  </r>
  <r>
    <s v="052.755.043/0001-80"/>
    <x v="237"/>
    <s v="EXCLUSAO  ANOT.INADIMPLENCIA"/>
    <x v="185"/>
    <x v="3"/>
    <s v="2025-06"/>
    <x v="36"/>
    <s v="MARCUS VINICIUS "/>
    <x v="237"/>
    <n v="1"/>
    <n v="0"/>
  </r>
  <r>
    <s v="055.466.241/0001-12"/>
    <x v="181"/>
    <s v="EXCLUSAO  ANOT.INADIMPLENCIA"/>
    <x v="185"/>
    <x v="12"/>
    <s v="2025-06"/>
    <x v="36"/>
    <s v="PROSPECTAR"/>
    <x v="181"/>
    <n v="1"/>
    <n v="0"/>
  </r>
  <r>
    <s v="003.603.516/0001-19"/>
    <x v="236"/>
    <s v="INCLUSAO  ANOT.INADIMPLENCIA"/>
    <x v="186"/>
    <x v="3"/>
    <s v="2025-07"/>
    <x v="40"/>
    <s v="MARCUS VINICIUS "/>
    <x v="236"/>
    <n v="0"/>
    <n v="1"/>
  </r>
  <r>
    <s v="038.479.255/0001-51"/>
    <x v="240"/>
    <s v="INCLUSAO  ANOT.INADIMPLENCIA"/>
    <x v="186"/>
    <x v="3"/>
    <s v="2025-07"/>
    <x v="40"/>
    <s v="MARCUS VINICIUS "/>
    <x v="240"/>
    <n v="0"/>
    <n v="1"/>
  </r>
  <r>
    <s v="035.298.171/0001-23"/>
    <x v="248"/>
    <s v="EXCLUSAO  ANOT.INADIMPLENCIA"/>
    <x v="186"/>
    <x v="29"/>
    <s v="2025-07"/>
    <x v="40"/>
    <s v="DALVA"/>
    <x v="248"/>
    <n v="1"/>
    <n v="0"/>
  </r>
  <r>
    <s v="031.743.464/0001-11"/>
    <x v="253"/>
    <s v="INCLUSAO  ANOT.INADIMPLENCIA"/>
    <x v="186"/>
    <x v="32"/>
    <s v="2025-07"/>
    <x v="40"/>
    <s v="WASHINGTON"/>
    <x v="253"/>
    <n v="0"/>
    <n v="1"/>
  </r>
  <r>
    <s v="028.650.970/0001-51"/>
    <x v="166"/>
    <s v="INCLUSAO  ANOT.INADIMPLENCIA"/>
    <x v="186"/>
    <x v="10"/>
    <s v="2025-07"/>
    <x v="40"/>
    <s v="ROGERIO "/>
    <x v="166"/>
    <n v="0"/>
    <n v="1"/>
  </r>
  <r>
    <s v="028.511.223/0001-32"/>
    <x v="189"/>
    <s v="INCL/EXCL ANOT.INADIMPLENCIA"/>
    <x v="186"/>
    <x v="0"/>
    <s v="2025-07"/>
    <x v="40"/>
    <s v="ADMINISTRAÇÃO"/>
    <x v="189"/>
    <n v="1"/>
    <n v="1"/>
  </r>
  <r>
    <s v="028.393.466/0001-13"/>
    <x v="167"/>
    <s v="INCL/EXCL ANOT.INADIMPLENCIA"/>
    <x v="186"/>
    <x v="12"/>
    <s v="2025-07"/>
    <x v="40"/>
    <s v="PROSPECTAR"/>
    <x v="167"/>
    <n v="1"/>
    <n v="1"/>
  </r>
  <r>
    <s v="027.647.097/0001-85"/>
    <x v="254"/>
    <s v="EXCLUSAO  ANOT.INADIMPLENCIA"/>
    <x v="186"/>
    <x v="33"/>
    <s v="2025-07"/>
    <x v="40"/>
    <s v="FERNANDO ABRAS"/>
    <x v="254"/>
    <n v="1"/>
    <n v="0"/>
  </r>
  <r>
    <s v="023.637.987/0001-55"/>
    <x v="20"/>
    <s v="EXCLUSAO  ANOT.INADIMPLENCIA"/>
    <x v="186"/>
    <x v="5"/>
    <s v="2025-07"/>
    <x v="40"/>
    <s v="POENATELA"/>
    <x v="20"/>
    <n v="1"/>
    <n v="0"/>
  </r>
  <r>
    <s v="021.458.691/0001-41"/>
    <x v="223"/>
    <s v="INCLUSAO  ANOT.INADIMPLENCIA"/>
    <x v="186"/>
    <x v="26"/>
    <s v="2025-07"/>
    <x v="40"/>
    <s v="ANTECIPA"/>
    <x v="223"/>
    <n v="0"/>
    <n v="1"/>
  </r>
  <r>
    <s v="044.570.311/0001-61"/>
    <x v="116"/>
    <s v="INCLUSAO  ANOT.INADIMPLENCIA"/>
    <x v="186"/>
    <x v="12"/>
    <s v="2025-07"/>
    <x v="40"/>
    <s v="PROSPECTAR"/>
    <x v="116"/>
    <n v="0"/>
    <n v="1"/>
  </r>
  <r>
    <s v="021.420.856/0001-96"/>
    <x v="129"/>
    <s v="EXCLUSAO  ANOT.INADIMPLENCIA"/>
    <x v="186"/>
    <x v="19"/>
    <s v="2025-07"/>
    <x v="40"/>
    <s v="JOSE ROBERTO"/>
    <x v="129"/>
    <n v="1"/>
    <n v="0"/>
  </r>
  <r>
    <s v="020.024.081/0001-77"/>
    <x v="177"/>
    <s v="INCLUSAO  ANOT.INADIMPLENCIA"/>
    <x v="186"/>
    <x v="10"/>
    <s v="2025-07"/>
    <x v="40"/>
    <s v="ROGERIO "/>
    <x v="177"/>
    <n v="0"/>
    <n v="1"/>
  </r>
  <r>
    <s v="015.638.029/0001-70"/>
    <x v="234"/>
    <s v="INCLUSAO  ANOT.INADIMPLENCIA"/>
    <x v="186"/>
    <x v="3"/>
    <s v="2025-07"/>
    <x v="40"/>
    <s v="MARCUS VINICIUS "/>
    <x v="234"/>
    <n v="0"/>
    <n v="1"/>
  </r>
  <r>
    <s v="009.674.456/0001-01"/>
    <x v="233"/>
    <s v="EXCLUSAO  ANOT.INADIMPLENCIA"/>
    <x v="186"/>
    <x v="6"/>
    <s v="2025-07"/>
    <x v="40"/>
    <s v="RAFAEL PARISE"/>
    <x v="233"/>
    <n v="1"/>
    <n v="0"/>
  </r>
  <r>
    <s v="008.250.872/0001-10"/>
    <x v="121"/>
    <s v="INCLUSAO  ANOT.INADIMPLENCIA"/>
    <x v="186"/>
    <x v="6"/>
    <s v="2025-07"/>
    <x v="40"/>
    <s v="RAFAEL PARISE"/>
    <x v="121"/>
    <n v="0"/>
    <n v="1"/>
  </r>
  <r>
    <s v="008.196.295/0001-25"/>
    <x v="255"/>
    <s v="EXCLUSAO  ANOT.INADIMPLENCIA"/>
    <x v="186"/>
    <x v="34"/>
    <s v="2025-07"/>
    <x v="40"/>
    <s v="CREDTEM"/>
    <x v="255"/>
    <n v="1"/>
    <n v="0"/>
  </r>
  <r>
    <s v="007.561.436/0001-07"/>
    <x v="34"/>
    <s v="EXCLUSAO  ANOT.INADIMPLENCIA"/>
    <x v="186"/>
    <x v="12"/>
    <s v="2025-07"/>
    <x v="40"/>
    <s v="PROSPECTAR"/>
    <x v="34"/>
    <n v="1"/>
    <n v="0"/>
  </r>
  <r>
    <s v="007.102.721/0001-51"/>
    <x v="44"/>
    <s v="INCLUSAO  ANOT.INADIMPLENCIA"/>
    <x v="186"/>
    <x v="12"/>
    <s v="2025-07"/>
    <x v="40"/>
    <s v="PROSPECTAR"/>
    <x v="44"/>
    <n v="0"/>
    <n v="1"/>
  </r>
  <r>
    <s v="005.374.432/0001-86"/>
    <x v="222"/>
    <s v="EXCLUSAO  ANOT.INADIMPLENCIA"/>
    <x v="186"/>
    <x v="29"/>
    <s v="2025-07"/>
    <x v="40"/>
    <s v="DALVA"/>
    <x v="222"/>
    <n v="1"/>
    <n v="0"/>
  </r>
  <r>
    <s v="004.323.643/0001-27"/>
    <x v="221"/>
    <s v="INCL/EXCL ANOT.INADIMPLENCIA"/>
    <x v="186"/>
    <x v="0"/>
    <s v="2025-07"/>
    <x v="40"/>
    <s v="ADMINISTRAÇÃO"/>
    <x v="221"/>
    <n v="1"/>
    <n v="1"/>
  </r>
  <r>
    <s v="021.382.943/0001-04"/>
    <x v="205"/>
    <s v="INCLUSAO  ANOT.INADIMPLENCIA"/>
    <x v="186"/>
    <x v="0"/>
    <s v="2025-07"/>
    <x v="40"/>
    <s v="ADMINISTRAÇÃO"/>
    <x v="205"/>
    <n v="0"/>
    <n v="1"/>
  </r>
  <r>
    <s v="055.466.241/0001-12"/>
    <x v="181"/>
    <s v="INCLUSAO  ANOT.INADIMPLENCIA"/>
    <x v="186"/>
    <x v="12"/>
    <s v="2025-07"/>
    <x v="40"/>
    <s v="PROSPECTAR"/>
    <x v="181"/>
    <n v="0"/>
    <n v="1"/>
  </r>
  <r>
    <s v="003.524.760/0001-96"/>
    <x v="230"/>
    <s v="INCLUSAO  ANOT.INADIMPLENCIA"/>
    <x v="187"/>
    <x v="30"/>
    <s v="2025-07"/>
    <x v="40"/>
    <s v="ANDRE CUNHA"/>
    <x v="230"/>
    <n v="0"/>
    <n v="1"/>
  </r>
  <r>
    <s v="044.470.678/0001-03"/>
    <x v="203"/>
    <s v="INCLUSAO  ANOT.INADIMPLENCIA"/>
    <x v="187"/>
    <x v="9"/>
    <s v="2025-07"/>
    <x v="40"/>
    <s v="PRISCILA METZ"/>
    <x v="203"/>
    <n v="0"/>
    <n v="1"/>
  </r>
  <r>
    <s v="042.119.428/0001-06"/>
    <x v="247"/>
    <s v="INCLUSAO  ANOT.INADIMPLENCIA"/>
    <x v="187"/>
    <x v="31"/>
    <s v="2025-07"/>
    <x v="40"/>
    <s v="TIAGO NEVES"/>
    <x v="247"/>
    <n v="0"/>
    <n v="1"/>
  </r>
  <r>
    <s v="034.165.528/0001-32"/>
    <x v="256"/>
    <s v="INCLUSAO  ANOT.INADIMPLENCIA"/>
    <x v="187"/>
    <x v="27"/>
    <s v="2025-07"/>
    <x v="40"/>
    <s v="ALISSON DE SOUZA LIMA"/>
    <x v="256"/>
    <n v="0"/>
    <n v="1"/>
  </r>
  <r>
    <s v="032.925.977/0001-06"/>
    <x v="235"/>
    <s v="EXCLUSAO  ANOT.INADIMPLENCIA"/>
    <x v="187"/>
    <x v="1"/>
    <s v="2025-07"/>
    <x v="40"/>
    <s v="CELIO PIMENTA"/>
    <x v="235"/>
    <n v="1"/>
    <n v="0"/>
  </r>
  <r>
    <s v="032.552.159/0001-05"/>
    <x v="211"/>
    <s v="INCLUSAO  ANOT.INADIMPLENCIA"/>
    <x v="187"/>
    <x v="27"/>
    <s v="2025-07"/>
    <x v="40"/>
    <s v="ALISSON DE SOUZA LIMA"/>
    <x v="211"/>
    <n v="0"/>
    <n v="1"/>
  </r>
  <r>
    <s v="028.514.938/0001-49"/>
    <x v="249"/>
    <s v="INCL/EXCL ANOT.INADIMPLENCIA"/>
    <x v="187"/>
    <x v="6"/>
    <s v="2025-07"/>
    <x v="40"/>
    <s v="RAFAEL PARISE"/>
    <x v="249"/>
    <n v="1"/>
    <n v="1"/>
  </r>
  <r>
    <s v="028.511.223/0001-32"/>
    <x v="189"/>
    <s v="INCLUSAO  ANOT.INADIMPLENCIA"/>
    <x v="187"/>
    <x v="0"/>
    <s v="2025-07"/>
    <x v="40"/>
    <s v="ADMINISTRAÇÃO"/>
    <x v="189"/>
    <n v="0"/>
    <n v="1"/>
  </r>
  <r>
    <s v="028.477.685/0001-80"/>
    <x v="95"/>
    <s v="INCLUSAO  ANOT.INADIMPLENCIA"/>
    <x v="187"/>
    <x v="5"/>
    <s v="2025-07"/>
    <x v="40"/>
    <s v="POENATELA"/>
    <x v="95"/>
    <n v="0"/>
    <n v="1"/>
  </r>
  <r>
    <s v="024.271.279/0001-06"/>
    <x v="142"/>
    <s v="INCLUSAO  ANOT.INADIMPLENCIA"/>
    <x v="187"/>
    <x v="0"/>
    <s v="2025-07"/>
    <x v="40"/>
    <s v="ADMINISTRAÇÃO"/>
    <x v="142"/>
    <n v="0"/>
    <n v="1"/>
  </r>
  <r>
    <s v="057.698.087/0001-30"/>
    <x v="229"/>
    <s v="INCLUSAO  ANOT.INADIMPLENCIA"/>
    <x v="187"/>
    <x v="1"/>
    <s v="2025-07"/>
    <x v="40"/>
    <s v="CELIO PIMENTA"/>
    <x v="229"/>
    <n v="0"/>
    <n v="1"/>
  </r>
  <r>
    <s v="022.457.202/0001-08"/>
    <x v="257"/>
    <s v="INCLUSAO  ANOT.INADIMPLENCIA"/>
    <x v="187"/>
    <x v="35"/>
    <s v="2025-07"/>
    <x v="40"/>
    <s v="VALERIA"/>
    <x v="257"/>
    <n v="0"/>
    <n v="1"/>
  </r>
  <r>
    <s v="018.608.055/0001-44"/>
    <x v="131"/>
    <s v="INCLUSAO  ANOT.INADIMPLENCIA"/>
    <x v="187"/>
    <x v="3"/>
    <s v="2025-07"/>
    <x v="40"/>
    <s v="MARCUS VINICIUS "/>
    <x v="131"/>
    <n v="0"/>
    <n v="1"/>
  </r>
  <r>
    <s v="016.772.642/0001-49"/>
    <x v="69"/>
    <s v="INCLUSAO  ANOT.INADIMPLENCIA"/>
    <x v="187"/>
    <x v="0"/>
    <s v="2025-07"/>
    <x v="40"/>
    <s v="ADMINISTRAÇÃO"/>
    <x v="69"/>
    <n v="0"/>
    <n v="1"/>
  </r>
  <r>
    <s v="016.757.535/0001-41"/>
    <x v="29"/>
    <s v="INCLUSAO  ANOT.INADIMPLENCIA"/>
    <x v="187"/>
    <x v="11"/>
    <s v="2025-07"/>
    <x v="40"/>
    <s v="DIOGO AZEVEDO"/>
    <x v="29"/>
    <n v="0"/>
    <n v="1"/>
  </r>
  <r>
    <s v="014.385.825/0001-86"/>
    <x v="110"/>
    <s v="INCLUSAO  ANOT.INADIMPLENCIA"/>
    <x v="187"/>
    <x v="6"/>
    <s v="2025-07"/>
    <x v="40"/>
    <s v="RAFAEL PARISE"/>
    <x v="110"/>
    <n v="0"/>
    <n v="1"/>
  </r>
  <r>
    <s v="008.250.872/0001-10"/>
    <x v="121"/>
    <s v="INCLUSAO  ANOT.INADIMPLENCIA"/>
    <x v="187"/>
    <x v="6"/>
    <s v="2025-07"/>
    <x v="40"/>
    <s v="RAFAEL PARISE"/>
    <x v="121"/>
    <n v="0"/>
    <n v="1"/>
  </r>
  <r>
    <s v="007.561.436/0001-07"/>
    <x v="34"/>
    <s v="INCLUSAO  ANOT.INADIMPLENCIA"/>
    <x v="187"/>
    <x v="12"/>
    <s v="2025-07"/>
    <x v="40"/>
    <s v="PROSPECTAR"/>
    <x v="34"/>
    <n v="0"/>
    <n v="1"/>
  </r>
  <r>
    <s v="005.374.432/0001-86"/>
    <x v="222"/>
    <s v="INCLUSAO  ANOT.INADIMPLENCIA"/>
    <x v="187"/>
    <x v="29"/>
    <s v="2025-07"/>
    <x v="40"/>
    <s v="DALVA"/>
    <x v="222"/>
    <n v="0"/>
    <n v="1"/>
  </r>
  <r>
    <s v="004.323.643/0001-27"/>
    <x v="221"/>
    <s v="INCL/EXCL ANOT.INADIMPLENCIA"/>
    <x v="187"/>
    <x v="0"/>
    <s v="2025-07"/>
    <x v="40"/>
    <s v="ADMINISTRAÇÃO"/>
    <x v="221"/>
    <n v="1"/>
    <n v="1"/>
  </r>
  <r>
    <s v="003.590.360/0001-89"/>
    <x v="3"/>
    <s v="EXCLUSAO  ANOT.INADIMPLENCIA"/>
    <x v="187"/>
    <x v="1"/>
    <s v="2025-07"/>
    <x v="40"/>
    <s v="CELIO PIMENTA"/>
    <x v="3"/>
    <n v="1"/>
    <n v="0"/>
  </r>
  <r>
    <s v="021.734.108/0001-88"/>
    <x v="41"/>
    <s v="EXCLUSAO  ANOT.INADIMPLENCIA"/>
    <x v="187"/>
    <x v="0"/>
    <s v="2025-07"/>
    <x v="40"/>
    <s v="ADMINISTRAÇÃO"/>
    <x v="41"/>
    <n v="1"/>
    <n v="0"/>
  </r>
  <r>
    <s v="093.274.124/0001-46"/>
    <x v="82"/>
    <s v="INCLUSAO  ANOT.INADIMPLENCIA"/>
    <x v="187"/>
    <x v="4"/>
    <s v="2025-07"/>
    <x v="40"/>
    <s v="NOELI SALETE"/>
    <x v="82"/>
    <n v="0"/>
    <n v="1"/>
  </r>
  <r>
    <s v="003.603.516/0001-19"/>
    <x v="236"/>
    <s v="INCL/EXCL ANOT.INADIMPLENCIA"/>
    <x v="188"/>
    <x v="3"/>
    <s v="2025-07"/>
    <x v="40"/>
    <s v="MARCUS VINICIUS "/>
    <x v="236"/>
    <n v="1"/>
    <n v="1"/>
  </r>
  <r>
    <s v="044.126.379/0001-56"/>
    <x v="187"/>
    <s v="EXCLUSAO  ANOT.INADIMPLENCIA"/>
    <x v="188"/>
    <x v="1"/>
    <s v="2025-07"/>
    <x v="40"/>
    <s v="CELIO PIMENTA"/>
    <x v="187"/>
    <n v="1"/>
    <n v="0"/>
  </r>
  <r>
    <s v="034.165.528/0001-32"/>
    <x v="256"/>
    <s v="EXCLUSAO  ANOT.INADIMPLENCIA"/>
    <x v="188"/>
    <x v="27"/>
    <s v="2025-07"/>
    <x v="40"/>
    <s v="ALISSON DE SOUZA LIMA"/>
    <x v="256"/>
    <n v="1"/>
    <n v="0"/>
  </r>
  <r>
    <s v="031.743.464/0001-11"/>
    <x v="253"/>
    <s v="INCLUSAO  ANOT.INADIMPLENCIA"/>
    <x v="188"/>
    <x v="32"/>
    <s v="2025-07"/>
    <x v="40"/>
    <s v="WASHINGTON"/>
    <x v="253"/>
    <n v="0"/>
    <n v="1"/>
  </r>
  <r>
    <s v="028.650.970/0001-51"/>
    <x v="166"/>
    <s v="EXCLUSAO  ANOT.INADIMPLENCIA"/>
    <x v="188"/>
    <x v="10"/>
    <s v="2025-07"/>
    <x v="40"/>
    <s v="ROGERIO "/>
    <x v="166"/>
    <n v="1"/>
    <n v="0"/>
  </r>
  <r>
    <s v="028.511.223/0001-32"/>
    <x v="189"/>
    <s v="INCLUSAO  ANOT.INADIMPLENCIA"/>
    <x v="188"/>
    <x v="0"/>
    <s v="2025-07"/>
    <x v="40"/>
    <s v="ADMINISTRAÇÃO"/>
    <x v="189"/>
    <n v="0"/>
    <n v="1"/>
  </r>
  <r>
    <s v="026.628.832/0001-40"/>
    <x v="244"/>
    <s v="EXCLUSAO  ANOT.INADIMPLENCIA"/>
    <x v="188"/>
    <x v="27"/>
    <s v="2025-07"/>
    <x v="40"/>
    <s v="ALISSON DE SOUZA LIMA"/>
    <x v="244"/>
    <n v="1"/>
    <n v="0"/>
  </r>
  <r>
    <s v="024.271.279/0001-06"/>
    <x v="142"/>
    <s v="INCLUSAO  ANOT.INADIMPLENCIA"/>
    <x v="188"/>
    <x v="0"/>
    <s v="2025-07"/>
    <x v="40"/>
    <s v="ADMINISTRAÇÃO"/>
    <x v="142"/>
    <n v="0"/>
    <n v="1"/>
  </r>
  <r>
    <s v="057.696.093/0001-58"/>
    <x v="206"/>
    <s v="EXCLUSAO  ANOT.INADIMPLENCIA"/>
    <x v="188"/>
    <x v="1"/>
    <s v="2025-07"/>
    <x v="40"/>
    <s v="CELIO PIMENTA"/>
    <x v="206"/>
    <n v="1"/>
    <n v="0"/>
  </r>
  <r>
    <s v="022.998.836/0001-60"/>
    <x v="24"/>
    <s v="INCLUSAO  ANOT.INADIMPLENCIA"/>
    <x v="188"/>
    <x v="0"/>
    <s v="2025-07"/>
    <x v="40"/>
    <s v="ADMINISTRAÇÃO"/>
    <x v="24"/>
    <n v="0"/>
    <n v="1"/>
  </r>
  <r>
    <s v="020.024.081/0001-77"/>
    <x v="177"/>
    <s v="EXCLUSAO  ANOT.INADIMPLENCIA"/>
    <x v="188"/>
    <x v="10"/>
    <s v="2025-07"/>
    <x v="40"/>
    <s v="ROGERIO "/>
    <x v="177"/>
    <n v="1"/>
    <n v="0"/>
  </r>
  <r>
    <s v="012.645.814/0001-62"/>
    <x v="217"/>
    <s v="EXCLUSAO  ANOT.INADIMPLENCIA"/>
    <x v="188"/>
    <x v="21"/>
    <s v="2025-07"/>
    <x v="40"/>
    <s v="CAIO"/>
    <x v="217"/>
    <n v="1"/>
    <n v="0"/>
  </r>
  <r>
    <s v="008.250.872/0001-10"/>
    <x v="121"/>
    <s v="INCLUSAO  ANOT.INADIMPLENCIA"/>
    <x v="188"/>
    <x v="6"/>
    <s v="2025-07"/>
    <x v="40"/>
    <s v="RAFAEL PARISE"/>
    <x v="121"/>
    <n v="0"/>
    <n v="1"/>
  </r>
  <r>
    <s v="008.196.295/0001-25"/>
    <x v="255"/>
    <s v="EXCLUSAO  ANOT.INADIMPLENCIA"/>
    <x v="188"/>
    <x v="34"/>
    <s v="2025-07"/>
    <x v="40"/>
    <s v="CREDTEM"/>
    <x v="255"/>
    <n v="1"/>
    <n v="0"/>
  </r>
  <r>
    <s v="007.102.721/0001-51"/>
    <x v="44"/>
    <s v="INCL/EXCL ANOT.INADIMPLENCIA"/>
    <x v="188"/>
    <x v="12"/>
    <s v="2025-07"/>
    <x v="40"/>
    <s v="PROSPECTAR"/>
    <x v="44"/>
    <n v="1"/>
    <n v="1"/>
  </r>
  <r>
    <s v="005.997.418/0001-39"/>
    <x v="165"/>
    <s v="INCLUSAO  ANOT.INADIMPLENCIA"/>
    <x v="188"/>
    <x v="6"/>
    <s v="2025-07"/>
    <x v="40"/>
    <s v="RAFAEL PARISE"/>
    <x v="165"/>
    <n v="0"/>
    <n v="1"/>
  </r>
  <r>
    <s v="005.350.235/0001-27"/>
    <x v="72"/>
    <s v="EXCLUSAO  ANOT.INADIMPLENCIA"/>
    <x v="188"/>
    <x v="3"/>
    <s v="2025-07"/>
    <x v="40"/>
    <s v="MARCUS VINICIUS "/>
    <x v="72"/>
    <n v="1"/>
    <n v="0"/>
  </r>
  <r>
    <s v="022.457.202/0001-08"/>
    <x v="257"/>
    <s v="EXCLUSAO  ANOT.INADIMPLENCIA"/>
    <x v="188"/>
    <x v="35"/>
    <s v="2025-07"/>
    <x v="40"/>
    <s v="VALERIA"/>
    <x v="257"/>
    <n v="1"/>
    <n v="0"/>
  </r>
  <r>
    <s v="057.698.087/0001-30"/>
    <x v="229"/>
    <s v="EXCLUSAO  ANOT.INADIMPLENCIA"/>
    <x v="188"/>
    <x v="1"/>
    <s v="2025-07"/>
    <x v="40"/>
    <s v="CELIO PIMENTA"/>
    <x v="229"/>
    <n v="1"/>
    <n v="0"/>
  </r>
  <r>
    <s v="003.524.760/0001-96"/>
    <x v="230"/>
    <s v="INCLUSAO  ANOT.INADIMPLENCIA"/>
    <x v="189"/>
    <x v="30"/>
    <s v="2025-07"/>
    <x v="40"/>
    <s v="ANDRE CUNHA"/>
    <x v="230"/>
    <n v="0"/>
    <n v="1"/>
  </r>
  <r>
    <s v="046.674.060/0001-90"/>
    <x v="140"/>
    <s v="INCLUSAO  ANOT.INADIMPLENCIA"/>
    <x v="189"/>
    <x v="10"/>
    <s v="2025-07"/>
    <x v="40"/>
    <s v="ROGERIO "/>
    <x v="140"/>
    <n v="0"/>
    <n v="1"/>
  </r>
  <r>
    <s v="044.888.871/0001-69"/>
    <x v="106"/>
    <s v="INCLUSAO  ANOT.INADIMPLENCIA"/>
    <x v="189"/>
    <x v="12"/>
    <s v="2025-07"/>
    <x v="40"/>
    <s v="PROSPECTAR"/>
    <x v="106"/>
    <n v="0"/>
    <n v="1"/>
  </r>
  <r>
    <s v="044.470.678/0001-03"/>
    <x v="203"/>
    <s v="INCLUSAO  ANOT.INADIMPLENCIA"/>
    <x v="189"/>
    <x v="9"/>
    <s v="2025-07"/>
    <x v="40"/>
    <s v="PRISCILA METZ"/>
    <x v="203"/>
    <n v="0"/>
    <n v="1"/>
  </r>
  <r>
    <s v="035.797.639/0001-24"/>
    <x v="250"/>
    <s v="EXCLUSAO  ANOT.INADIMPLENCIA"/>
    <x v="189"/>
    <x v="9"/>
    <s v="2025-07"/>
    <x v="40"/>
    <s v="PRISCILA METZ"/>
    <x v="250"/>
    <n v="1"/>
    <n v="0"/>
  </r>
  <r>
    <s v="031.743.464/0001-11"/>
    <x v="253"/>
    <s v="EXCLUSAO  ANOT.INADIMPLENCIA"/>
    <x v="189"/>
    <x v="32"/>
    <s v="2025-07"/>
    <x v="40"/>
    <s v="WASHINGTON"/>
    <x v="253"/>
    <n v="1"/>
    <n v="0"/>
  </r>
  <r>
    <s v="028.511.223/0001-32"/>
    <x v="189"/>
    <s v="INCLUSAO  ANOT.INADIMPLENCIA"/>
    <x v="189"/>
    <x v="0"/>
    <s v="2025-07"/>
    <x v="40"/>
    <s v="ADMINISTRAÇÃO"/>
    <x v="189"/>
    <n v="0"/>
    <n v="1"/>
  </r>
  <r>
    <s v="028.393.466/0001-13"/>
    <x v="167"/>
    <s v="INCL/EXCL ANOT.INADIMPLENCIA"/>
    <x v="189"/>
    <x v="12"/>
    <s v="2025-07"/>
    <x v="40"/>
    <s v="PROSPECTAR"/>
    <x v="167"/>
    <n v="1"/>
    <n v="1"/>
  </r>
  <r>
    <s v="025.788.035/0001-68"/>
    <x v="258"/>
    <s v="INCLUSAO  ANOT.INADIMPLENCIA"/>
    <x v="189"/>
    <x v="31"/>
    <s v="2025-07"/>
    <x v="40"/>
    <s v="TIAGO NEVES"/>
    <x v="258"/>
    <n v="0"/>
    <n v="1"/>
  </r>
  <r>
    <s v="021.382.943/0001-04"/>
    <x v="205"/>
    <s v="EXCLUSAO  ANOT.INADIMPLENCIA"/>
    <x v="189"/>
    <x v="0"/>
    <s v="2025-07"/>
    <x v="40"/>
    <s v="ADMINISTRAÇÃO"/>
    <x v="205"/>
    <n v="1"/>
    <n v="0"/>
  </r>
  <r>
    <s v="020.024.081/0001-77"/>
    <x v="177"/>
    <s v="INCLUSAO  ANOT.INADIMPLENCIA"/>
    <x v="189"/>
    <x v="10"/>
    <s v="2025-07"/>
    <x v="40"/>
    <s v="ROGERIO "/>
    <x v="177"/>
    <n v="0"/>
    <n v="1"/>
  </r>
  <r>
    <s v="071.350.797/0001-03"/>
    <x v="48"/>
    <s v="EXCLUSAO  ANOT.INADIMPLENCIA"/>
    <x v="189"/>
    <x v="10"/>
    <s v="2025-07"/>
    <x v="40"/>
    <s v="ROGERIO "/>
    <x v="48"/>
    <n v="1"/>
    <n v="0"/>
  </r>
  <r>
    <s v="017.177.331/0001-02"/>
    <x v="259"/>
    <s v="INCLUSAO  ANOT.INADIMPLENCIA"/>
    <x v="189"/>
    <x v="13"/>
    <s v="2025-07"/>
    <x v="40"/>
    <s v="ANDERSON FRAGA"/>
    <x v="259"/>
    <n v="0"/>
    <n v="1"/>
  </r>
  <r>
    <s v="016.757.535/0001-41"/>
    <x v="29"/>
    <s v="EXCLUSAO  ANOT.INADIMPLENCIA"/>
    <x v="189"/>
    <x v="11"/>
    <s v="2025-07"/>
    <x v="40"/>
    <s v="DIOGO AZEVEDO"/>
    <x v="29"/>
    <n v="1"/>
    <n v="0"/>
  </r>
  <r>
    <s v="014.829.598/0001-30"/>
    <x v="31"/>
    <s v="INCLUSAO  ANOT.INADIMPLENCIA"/>
    <x v="189"/>
    <x v="9"/>
    <s v="2025-07"/>
    <x v="40"/>
    <s v="PRISCILA METZ"/>
    <x v="31"/>
    <n v="0"/>
    <n v="1"/>
  </r>
  <r>
    <s v="014.385.825/0001-86"/>
    <x v="110"/>
    <s v="EXCLUSAO  ANOT.INADIMPLENCIA"/>
    <x v="189"/>
    <x v="6"/>
    <s v="2025-07"/>
    <x v="40"/>
    <s v="RAFAEL PARISE"/>
    <x v="110"/>
    <n v="1"/>
    <n v="0"/>
  </r>
  <r>
    <s v="008.250.872/0001-10"/>
    <x v="121"/>
    <s v="INCLUSAO  ANOT.INADIMPLENCIA"/>
    <x v="189"/>
    <x v="6"/>
    <s v="2025-07"/>
    <x v="40"/>
    <s v="RAFAEL PARISE"/>
    <x v="121"/>
    <n v="0"/>
    <n v="1"/>
  </r>
  <r>
    <s v="008.196.295/0001-25"/>
    <x v="255"/>
    <s v="INCLUSAO  ANOT.INADIMPLENCIA"/>
    <x v="189"/>
    <x v="34"/>
    <s v="2025-07"/>
    <x v="40"/>
    <s v="CREDTEM"/>
    <x v="255"/>
    <n v="0"/>
    <n v="1"/>
  </r>
  <r>
    <s v="007.561.436/0001-07"/>
    <x v="34"/>
    <s v="INCLUSAO  ANOT.INADIMPLENCIA"/>
    <x v="189"/>
    <x v="12"/>
    <s v="2025-07"/>
    <x v="40"/>
    <s v="PROSPECTAR"/>
    <x v="34"/>
    <n v="0"/>
    <n v="1"/>
  </r>
  <r>
    <s v="007.102.721/0001-51"/>
    <x v="44"/>
    <s v="EXCLUSAO  ANOT.INADIMPLENCIA"/>
    <x v="189"/>
    <x v="12"/>
    <s v="2025-07"/>
    <x v="40"/>
    <s v="PROSPECTAR"/>
    <x v="44"/>
    <n v="1"/>
    <n v="0"/>
  </r>
  <r>
    <s v="004.622.554/0001-81"/>
    <x v="66"/>
    <s v="INCLUSAO  ANOT.INADIMPLENCIA"/>
    <x v="189"/>
    <x v="4"/>
    <s v="2025-07"/>
    <x v="40"/>
    <s v="NOELI SALETE"/>
    <x v="66"/>
    <n v="0"/>
    <n v="1"/>
  </r>
  <r>
    <s v="004.323.643/0001-27"/>
    <x v="221"/>
    <s v="INCL/EXCL ANOT.INADIMPLENCIA"/>
    <x v="189"/>
    <x v="0"/>
    <s v="2025-07"/>
    <x v="40"/>
    <s v="ADMINISTRAÇÃO"/>
    <x v="221"/>
    <n v="1"/>
    <n v="1"/>
  </r>
  <r>
    <s v="003.603.516/0001-19"/>
    <x v="236"/>
    <s v="INCLUSAO  ANOT.INADIMPLENCIA"/>
    <x v="189"/>
    <x v="3"/>
    <s v="2025-07"/>
    <x v="40"/>
    <s v="MARCUS VINICIUS "/>
    <x v="236"/>
    <n v="0"/>
    <n v="1"/>
  </r>
  <r>
    <s v="016.772.642/0001-49"/>
    <x v="69"/>
    <s v="INCLUSAO  ANOT.INADIMPLENCIA"/>
    <x v="189"/>
    <x v="0"/>
    <s v="2025-07"/>
    <x v="40"/>
    <s v="ADMINISTRAÇÃO"/>
    <x v="69"/>
    <n v="0"/>
    <n v="1"/>
  </r>
  <r>
    <s v="093.274.124/0001-46"/>
    <x v="82"/>
    <s v="EXCLUSAO  ANOT.INADIMPLENCIA"/>
    <x v="189"/>
    <x v="4"/>
    <s v="2025-07"/>
    <x v="40"/>
    <s v="NOELI SALETE"/>
    <x v="82"/>
    <n v="1"/>
    <n v="0"/>
  </r>
  <r>
    <s v="003.524.760/0001-96"/>
    <x v="230"/>
    <s v="INCLUSAO  ANOT.INADIMPLENCIA"/>
    <x v="190"/>
    <x v="30"/>
    <s v="2025-07"/>
    <x v="41"/>
    <s v="ANDRE CUNHA"/>
    <x v="230"/>
    <n v="0"/>
    <n v="1"/>
  </r>
  <r>
    <s v="055.979.736/0001-45"/>
    <x v="63"/>
    <s v="INCLUSAO  ANOT.INADIMPLENCIA"/>
    <x v="190"/>
    <x v="16"/>
    <s v="2025-07"/>
    <x v="41"/>
    <s v="SACADO"/>
    <x v="63"/>
    <n v="0"/>
    <n v="1"/>
  </r>
  <r>
    <s v="055.466.241/0001-12"/>
    <x v="181"/>
    <s v="INCLUSAO  ANOT.INADIMPLENCIA"/>
    <x v="190"/>
    <x v="12"/>
    <s v="2025-07"/>
    <x v="41"/>
    <s v="PROSPECTAR"/>
    <x v="181"/>
    <n v="0"/>
    <n v="1"/>
  </r>
  <r>
    <s v="050.893.355/0001-25"/>
    <x v="156"/>
    <s v="INCLUSAO  ANOT.INADIMPLENCIA"/>
    <x v="190"/>
    <x v="0"/>
    <s v="2025-07"/>
    <x v="41"/>
    <s v="ADMINISTRAÇÃO"/>
    <x v="156"/>
    <n v="0"/>
    <n v="1"/>
  </r>
  <r>
    <s v="044.921.612/0001-92"/>
    <x v="251"/>
    <s v="INCLUSAO  ANOT.INADIMPLENCIA"/>
    <x v="190"/>
    <x v="0"/>
    <s v="2025-07"/>
    <x v="41"/>
    <s v="ADMINISTRAÇÃO"/>
    <x v="251"/>
    <n v="0"/>
    <n v="1"/>
  </r>
  <r>
    <s v="044.888.871/0001-69"/>
    <x v="106"/>
    <s v="INCLUSAO  ANOT.INADIMPLENCIA"/>
    <x v="190"/>
    <x v="12"/>
    <s v="2025-07"/>
    <x v="41"/>
    <s v="PROSPECTAR"/>
    <x v="106"/>
    <n v="0"/>
    <n v="1"/>
  </r>
  <r>
    <s v="044.470.678/0001-03"/>
    <x v="203"/>
    <s v="INCLUSAO  ANOT.INADIMPLENCIA"/>
    <x v="190"/>
    <x v="9"/>
    <s v="2025-07"/>
    <x v="41"/>
    <s v="PRISCILA METZ"/>
    <x v="203"/>
    <n v="0"/>
    <n v="1"/>
  </r>
  <r>
    <s v="043.515.558/0001-12"/>
    <x v="176"/>
    <s v="INCLUSAO  ANOT.INADIMPLENCIA"/>
    <x v="190"/>
    <x v="10"/>
    <s v="2025-07"/>
    <x v="41"/>
    <s v="ROGERIO "/>
    <x v="176"/>
    <n v="0"/>
    <n v="1"/>
  </r>
  <r>
    <s v="038.479.255/0001-51"/>
    <x v="240"/>
    <s v="INCLUSAO  ANOT.INADIMPLENCIA"/>
    <x v="190"/>
    <x v="3"/>
    <s v="2025-07"/>
    <x v="41"/>
    <s v="MARCUS VINICIUS "/>
    <x v="240"/>
    <n v="0"/>
    <n v="1"/>
  </r>
  <r>
    <s v="037.828.375/0001-54"/>
    <x v="39"/>
    <s v="INCLUSAO  ANOT.INADIMPLENCIA"/>
    <x v="190"/>
    <x v="5"/>
    <s v="2025-07"/>
    <x v="41"/>
    <s v="POENATELA"/>
    <x v="39"/>
    <n v="0"/>
    <n v="1"/>
  </r>
  <r>
    <s v="036.726.274/0001-00"/>
    <x v="133"/>
    <s v="INCLUSAO  ANOT.INADIMPLENCIA"/>
    <x v="190"/>
    <x v="1"/>
    <s v="2025-07"/>
    <x v="41"/>
    <s v="CELIO PIMENTA"/>
    <x v="133"/>
    <n v="0"/>
    <n v="1"/>
  </r>
  <r>
    <s v="032.552.159/0001-05"/>
    <x v="211"/>
    <s v="INCLUSAO  ANOT.INADIMPLENCIA"/>
    <x v="190"/>
    <x v="27"/>
    <s v="2025-07"/>
    <x v="41"/>
    <s v="ALISSON DE SOUZA LIMA"/>
    <x v="211"/>
    <n v="0"/>
    <n v="1"/>
  </r>
  <r>
    <s v="031.743.464/0001-11"/>
    <x v="253"/>
    <s v="INCLUSAO  ANOT.INADIMPLENCIA"/>
    <x v="190"/>
    <x v="32"/>
    <s v="2025-07"/>
    <x v="41"/>
    <s v="WASHINGTON"/>
    <x v="253"/>
    <n v="0"/>
    <n v="1"/>
  </r>
  <r>
    <s v="028.511.223/0001-32"/>
    <x v="189"/>
    <s v="INCL/EXCL ANOT.INADIMPLENCIA"/>
    <x v="190"/>
    <x v="0"/>
    <s v="2025-07"/>
    <x v="41"/>
    <s v="ADMINISTRAÇÃO"/>
    <x v="189"/>
    <n v="1"/>
    <n v="1"/>
  </r>
  <r>
    <s v="028.393.466/0001-13"/>
    <x v="167"/>
    <s v="INCLUSAO  ANOT.INADIMPLENCIA"/>
    <x v="190"/>
    <x v="12"/>
    <s v="2025-07"/>
    <x v="41"/>
    <s v="PROSPECTAR"/>
    <x v="167"/>
    <n v="0"/>
    <n v="1"/>
  </r>
  <r>
    <s v="025.788.035/0001-68"/>
    <x v="258"/>
    <s v="INCLUSAO  ANOT.INADIMPLENCIA"/>
    <x v="190"/>
    <x v="31"/>
    <s v="2025-07"/>
    <x v="41"/>
    <s v="TIAGO NEVES"/>
    <x v="258"/>
    <n v="0"/>
    <n v="1"/>
  </r>
  <r>
    <s v="022.457.202/0001-08"/>
    <x v="257"/>
    <s v="INCLUSAO  ANOT.INADIMPLENCIA"/>
    <x v="190"/>
    <x v="35"/>
    <s v="2025-07"/>
    <x v="41"/>
    <s v="VALERIA"/>
    <x v="257"/>
    <n v="0"/>
    <n v="1"/>
  </r>
  <r>
    <s v="021.382.943/0001-04"/>
    <x v="205"/>
    <s v="INCLUSAO  ANOT.INADIMPLENCIA"/>
    <x v="190"/>
    <x v="0"/>
    <s v="2025-07"/>
    <x v="41"/>
    <s v="ADMINISTRAÇÃO"/>
    <x v="205"/>
    <n v="0"/>
    <n v="1"/>
  </r>
  <r>
    <s v="020.024.081/0001-77"/>
    <x v="177"/>
    <s v="EXCLUSAO  ANOT.INADIMPLENCIA"/>
    <x v="190"/>
    <x v="10"/>
    <s v="2025-07"/>
    <x v="41"/>
    <s v="ROGERIO "/>
    <x v="177"/>
    <n v="1"/>
    <n v="0"/>
  </r>
  <r>
    <s v="018.868.117/0001-57"/>
    <x v="163"/>
    <s v="EXCLUSAO  ANOT.INADIMPLENCIA"/>
    <x v="190"/>
    <x v="5"/>
    <s v="2025-07"/>
    <x v="41"/>
    <s v="POENATELA"/>
    <x v="163"/>
    <n v="1"/>
    <n v="0"/>
  </r>
  <r>
    <s v="014.385.825/0001-86"/>
    <x v="110"/>
    <s v="INCLUSAO  ANOT.INADIMPLENCIA"/>
    <x v="190"/>
    <x v="6"/>
    <s v="2025-07"/>
    <x v="41"/>
    <s v="RAFAEL PARISE"/>
    <x v="110"/>
    <n v="0"/>
    <n v="1"/>
  </r>
  <r>
    <s v="011.122.552/0001-99"/>
    <x v="59"/>
    <s v="INCLUSAO  ANOT.INADIMPLENCIA"/>
    <x v="190"/>
    <x v="6"/>
    <s v="2025-07"/>
    <x v="41"/>
    <s v="RAFAEL PARISE"/>
    <x v="59"/>
    <n v="0"/>
    <n v="1"/>
  </r>
  <r>
    <s v="008.250.872/0001-10"/>
    <x v="121"/>
    <s v="INCLUSAO  ANOT.INADIMPLENCIA"/>
    <x v="190"/>
    <x v="6"/>
    <s v="2025-07"/>
    <x v="41"/>
    <s v="RAFAEL PARISE"/>
    <x v="121"/>
    <n v="0"/>
    <n v="1"/>
  </r>
  <r>
    <s v="007.102.721/0001-51"/>
    <x v="44"/>
    <s v="INCLUSAO  ANOT.INADIMPLENCIA"/>
    <x v="190"/>
    <x v="12"/>
    <s v="2025-07"/>
    <x v="41"/>
    <s v="PROSPECTAR"/>
    <x v="44"/>
    <n v="0"/>
    <n v="1"/>
  </r>
  <r>
    <s v="005.374.432/0001-86"/>
    <x v="222"/>
    <s v="INCLUSAO  ANOT.INADIMPLENCIA"/>
    <x v="190"/>
    <x v="29"/>
    <s v="2025-07"/>
    <x v="41"/>
    <s v="DALVA"/>
    <x v="222"/>
    <n v="0"/>
    <n v="1"/>
  </r>
  <r>
    <s v="004.622.554/0001-81"/>
    <x v="66"/>
    <s v="INCLUSAO  ANOT.INADIMPLENCIA"/>
    <x v="190"/>
    <x v="4"/>
    <s v="2025-07"/>
    <x v="41"/>
    <s v="NOELI SALETE"/>
    <x v="66"/>
    <n v="0"/>
    <n v="1"/>
  </r>
  <r>
    <s v="004.323.643/0001-27"/>
    <x v="221"/>
    <s v="INCL/EXCL ANOT.INADIMPLENCIA"/>
    <x v="190"/>
    <x v="0"/>
    <s v="2025-07"/>
    <x v="41"/>
    <s v="ADMINISTRAÇÃO"/>
    <x v="221"/>
    <n v="1"/>
    <n v="1"/>
  </r>
  <r>
    <s v="003.603.516/0001-19"/>
    <x v="236"/>
    <s v="INCLUSAO  ANOT.INADIMPLENCIA"/>
    <x v="190"/>
    <x v="3"/>
    <s v="2025-07"/>
    <x v="41"/>
    <s v="MARCUS VINICIUS "/>
    <x v="236"/>
    <n v="0"/>
    <n v="1"/>
  </r>
  <r>
    <s v="057.696.093/0001-58"/>
    <x v="206"/>
    <s v="INCLUSAO  ANOT.INADIMPLENCIA"/>
    <x v="190"/>
    <x v="1"/>
    <s v="2025-07"/>
    <x v="41"/>
    <s v="CELIO PIMENTA"/>
    <x v="206"/>
    <n v="0"/>
    <n v="1"/>
  </r>
  <r>
    <s v="071.350.797/0001-03"/>
    <x v="48"/>
    <s v="INCLUSAO  ANOT.INADIMPLENCIA"/>
    <x v="190"/>
    <x v="10"/>
    <s v="2025-07"/>
    <x v="41"/>
    <s v="ROGERIO "/>
    <x v="48"/>
    <n v="0"/>
    <n v="1"/>
  </r>
  <r>
    <s v="003.524.760/0001-96"/>
    <x v="230"/>
    <s v="INCL/EXCL ANOT.INADIMPLENCIA"/>
    <x v="191"/>
    <x v="30"/>
    <s v="2025-07"/>
    <x v="41"/>
    <s v="ANDRE CUNHA"/>
    <x v="230"/>
    <n v="1"/>
    <n v="1"/>
  </r>
  <r>
    <s v="044.888.871/0001-69"/>
    <x v="106"/>
    <s v="EXCLUSAO  ANOT.INADIMPLENCIA"/>
    <x v="191"/>
    <x v="12"/>
    <s v="2025-07"/>
    <x v="41"/>
    <s v="PROSPECTAR"/>
    <x v="106"/>
    <n v="1"/>
    <n v="0"/>
  </r>
  <r>
    <s v="036.726.274/0001-00"/>
    <x v="133"/>
    <s v="INCLUSAO  ANOT.INADIMPLENCIA"/>
    <x v="191"/>
    <x v="1"/>
    <s v="2025-07"/>
    <x v="41"/>
    <s v="CELIO PIMENTA"/>
    <x v="133"/>
    <n v="0"/>
    <n v="1"/>
  </r>
  <r>
    <s v="033.803.691/0001-10"/>
    <x v="103"/>
    <s v="INCLUSAO  ANOT.INADIMPLENCIA"/>
    <x v="191"/>
    <x v="0"/>
    <s v="2025-07"/>
    <x v="41"/>
    <s v="ADMINISTRAÇÃO"/>
    <x v="103"/>
    <n v="0"/>
    <n v="1"/>
  </r>
  <r>
    <s v="033.028.017/0001-06"/>
    <x v="260"/>
    <s v="EXCLUSAO  ANOT.INADIMPLENCIA"/>
    <x v="191"/>
    <x v="31"/>
    <s v="2025-07"/>
    <x v="41"/>
    <s v="TIAGO NEVES"/>
    <x v="260"/>
    <n v="1"/>
    <n v="0"/>
  </r>
  <r>
    <s v="032.552.159/0001-05"/>
    <x v="211"/>
    <s v="EXCLUSAO  ANOT.INADIMPLENCIA"/>
    <x v="191"/>
    <x v="27"/>
    <s v="2025-07"/>
    <x v="41"/>
    <s v="ALISSON DE SOUZA LIMA"/>
    <x v="211"/>
    <n v="1"/>
    <n v="0"/>
  </r>
  <r>
    <s v="029.246.128/0001-11"/>
    <x v="127"/>
    <s v="INCLUSAO  ANOT.INADIMPLENCIA"/>
    <x v="191"/>
    <x v="9"/>
    <s v="2025-07"/>
    <x v="41"/>
    <s v="PRISCILA METZ"/>
    <x v="127"/>
    <n v="0"/>
    <n v="1"/>
  </r>
  <r>
    <s v="028.650.970/0001-51"/>
    <x v="166"/>
    <s v="INCLUSAO  ANOT.INADIMPLENCIA"/>
    <x v="191"/>
    <x v="10"/>
    <s v="2025-07"/>
    <x v="41"/>
    <s v="ROGERIO "/>
    <x v="166"/>
    <n v="0"/>
    <n v="1"/>
  </r>
  <r>
    <s v="045.123.456/0001-87"/>
    <x v="123"/>
    <s v="INCLUSAO  ANOT.INADIMPLENCIA"/>
    <x v="191"/>
    <x v="0"/>
    <s v="2025-07"/>
    <x v="41"/>
    <s v="ADMINISTRAÇÃO"/>
    <x v="123"/>
    <n v="0"/>
    <n v="1"/>
  </r>
  <r>
    <s v="028.477.685/0001-80"/>
    <x v="95"/>
    <s v="EXCLUSAO  ANOT.INADIMPLENCIA"/>
    <x v="191"/>
    <x v="5"/>
    <s v="2025-07"/>
    <x v="41"/>
    <s v="POENATELA"/>
    <x v="95"/>
    <n v="1"/>
    <n v="0"/>
  </r>
  <r>
    <s v="021.420.856/0001-96"/>
    <x v="129"/>
    <s v="INCLUSAO  ANOT.INADIMPLENCIA"/>
    <x v="191"/>
    <x v="19"/>
    <s v="2025-07"/>
    <x v="41"/>
    <s v="JOSE ROBERTO"/>
    <x v="129"/>
    <n v="0"/>
    <n v="1"/>
  </r>
  <r>
    <s v="014.829.598/0001-30"/>
    <x v="31"/>
    <s v="EXCLUSAO  ANOT.INADIMPLENCIA"/>
    <x v="191"/>
    <x v="9"/>
    <s v="2025-07"/>
    <x v="41"/>
    <s v="PRISCILA METZ"/>
    <x v="31"/>
    <n v="1"/>
    <n v="0"/>
  </r>
  <r>
    <s v="012.520.791/0001-60"/>
    <x v="4"/>
    <s v="INCLUSAO  ANOT.INADIMPLENCIA"/>
    <x v="191"/>
    <x v="1"/>
    <s v="2025-07"/>
    <x v="41"/>
    <s v="CELIO PIMENTA"/>
    <x v="4"/>
    <n v="0"/>
    <n v="1"/>
  </r>
  <r>
    <s v="008.250.872/0001-10"/>
    <x v="121"/>
    <s v="INCL/EXCL ANOT.INADIMPLENCIA"/>
    <x v="191"/>
    <x v="6"/>
    <s v="2025-07"/>
    <x v="41"/>
    <s v="RAFAEL PARISE"/>
    <x v="121"/>
    <n v="1"/>
    <n v="1"/>
  </r>
  <r>
    <s v="008.196.295/0001-25"/>
    <x v="255"/>
    <s v="INCLUSAO  ANOT.INADIMPLENCIA"/>
    <x v="191"/>
    <x v="34"/>
    <s v="2025-07"/>
    <x v="41"/>
    <s v="CREDTEM"/>
    <x v="255"/>
    <n v="0"/>
    <n v="1"/>
  </r>
  <r>
    <s v="007.561.436/0001-07"/>
    <x v="34"/>
    <s v="EXCLUSAO  ANOT.INADIMPLENCIA"/>
    <x v="191"/>
    <x v="12"/>
    <s v="2025-07"/>
    <x v="41"/>
    <s v="PROSPECTAR"/>
    <x v="34"/>
    <n v="1"/>
    <n v="0"/>
  </r>
  <r>
    <s v="004.323.643/0001-27"/>
    <x v="221"/>
    <s v="EXCLUSAO  ANOT.INADIMPLENCIA"/>
    <x v="191"/>
    <x v="0"/>
    <s v="2025-07"/>
    <x v="41"/>
    <s v="ADMINISTRAÇÃO"/>
    <x v="221"/>
    <n v="1"/>
    <n v="0"/>
  </r>
  <r>
    <s v="021.458.691/0001-41"/>
    <x v="223"/>
    <s v="EXCLUSAO  ANOT.INADIMPLENCIA"/>
    <x v="191"/>
    <x v="26"/>
    <s v="2025-07"/>
    <x v="41"/>
    <s v="ANTECIPA"/>
    <x v="223"/>
    <n v="1"/>
    <n v="0"/>
  </r>
  <r>
    <s v="046.674.060/0001-90"/>
    <x v="140"/>
    <s v="EXCLUSAO  ANOT.INADIMPLENCIA"/>
    <x v="191"/>
    <x v="10"/>
    <s v="2025-07"/>
    <x v="41"/>
    <s v="ROGERIO "/>
    <x v="140"/>
    <n v="1"/>
    <n v="0"/>
  </r>
  <r>
    <s v="003.524.760/0001-96"/>
    <x v="230"/>
    <s v="INCLUSAO  ANOT.INADIMPLENCIA"/>
    <x v="192"/>
    <x v="30"/>
    <s v="2025-07"/>
    <x v="41"/>
    <s v="ANDRE CUNHA"/>
    <x v="230"/>
    <n v="0"/>
    <n v="1"/>
  </r>
  <r>
    <s v="003.603.516/0001-19"/>
    <x v="236"/>
    <s v="INCLUSAO  ANOT.INADIMPLENCIA"/>
    <x v="192"/>
    <x v="3"/>
    <s v="2025-07"/>
    <x v="41"/>
    <s v="MARCUS VINICIUS "/>
    <x v="236"/>
    <n v="0"/>
    <n v="1"/>
  </r>
  <r>
    <s v="007.102.721/0001-51"/>
    <x v="44"/>
    <s v="INCL/EXCL ANOT.INADIMPLENCIA"/>
    <x v="192"/>
    <x v="12"/>
    <s v="2025-07"/>
    <x v="41"/>
    <s v="PROSPECTAR"/>
    <x v="44"/>
    <n v="1"/>
    <n v="1"/>
  </r>
  <r>
    <s v="020.024.081/0001-77"/>
    <x v="177"/>
    <s v="INCL/EXCL ANOT.INADIMPLENCIA"/>
    <x v="192"/>
    <x v="10"/>
    <s v="2025-07"/>
    <x v="41"/>
    <s v="ROGERIO "/>
    <x v="177"/>
    <n v="1"/>
    <n v="1"/>
  </r>
  <r>
    <s v="021.382.943/0001-04"/>
    <x v="205"/>
    <s v="EXCLUSAO  ANOT.INADIMPLENCIA"/>
    <x v="192"/>
    <x v="0"/>
    <s v="2025-07"/>
    <x v="41"/>
    <s v="ADMINISTRAÇÃO"/>
    <x v="205"/>
    <n v="1"/>
    <n v="0"/>
  </r>
  <r>
    <s v="026.416.177/0001-67"/>
    <x v="130"/>
    <s v="EXCLUSAO  ANOT.INADIMPLENCIA"/>
    <x v="192"/>
    <x v="3"/>
    <s v="2025-07"/>
    <x v="41"/>
    <s v="MARCUS VINICIUS "/>
    <x v="130"/>
    <n v="1"/>
    <n v="0"/>
  </r>
  <r>
    <s v="028.650.970/0001-51"/>
    <x v="166"/>
    <s v="EXCLUSAO  ANOT.INADIMPLENCIA"/>
    <x v="192"/>
    <x v="10"/>
    <s v="2025-07"/>
    <x v="41"/>
    <s v="ROGERIO "/>
    <x v="166"/>
    <n v="1"/>
    <n v="0"/>
  </r>
  <r>
    <s v="037.828.375/0001-54"/>
    <x v="39"/>
    <s v="EXCLUSAO  ANOT.INADIMPLENCIA"/>
    <x v="192"/>
    <x v="5"/>
    <s v="2025-07"/>
    <x v="41"/>
    <s v="POENATELA"/>
    <x v="39"/>
    <n v="1"/>
    <n v="0"/>
  </r>
  <r>
    <s v="038.479.255/0001-51"/>
    <x v="240"/>
    <s v="INCL/EXCL ANOT.INADIMPLENCIA"/>
    <x v="192"/>
    <x v="3"/>
    <s v="2025-07"/>
    <x v="41"/>
    <s v="MARCUS VINICIUS "/>
    <x v="240"/>
    <n v="1"/>
    <n v="1"/>
  </r>
  <r>
    <s v="042.119.428/0001-06"/>
    <x v="247"/>
    <s v="EXCLUSAO  ANOT.INADIMPLENCIA"/>
    <x v="192"/>
    <x v="31"/>
    <s v="2025-07"/>
    <x v="41"/>
    <s v="TIAGO NEVES"/>
    <x v="247"/>
    <n v="1"/>
    <n v="0"/>
  </r>
  <r>
    <s v="086.490.885/0001-70"/>
    <x v="207"/>
    <s v="INCLUSAO  ANOT.INADIMPLENCIA"/>
    <x v="192"/>
    <x v="6"/>
    <s v="2025-07"/>
    <x v="41"/>
    <s v="RAFAEL PARISE"/>
    <x v="207"/>
    <n v="0"/>
    <n v="1"/>
  </r>
  <r>
    <s v="093.274.124/0001-46"/>
    <x v="82"/>
    <s v="INCLUSAO  ANOT.INADIMPLENCIA"/>
    <x v="192"/>
    <x v="4"/>
    <s v="2025-07"/>
    <x v="41"/>
    <s v="NOELI SALETE"/>
    <x v="82"/>
    <n v="0"/>
    <n v="1"/>
  </r>
  <r>
    <s v="001.831.532/0001-33"/>
    <x v="132"/>
    <s v="INCLUSAO  ANOT.INADIMPLENCIA"/>
    <x v="193"/>
    <x v="0"/>
    <s v="2025-07"/>
    <x v="41"/>
    <s v="ADMINISTRAÇÃO"/>
    <x v="132"/>
    <n v="0"/>
    <n v="1"/>
  </r>
  <r>
    <s v="003.524.760/0001-96"/>
    <x v="230"/>
    <s v="EXCLUSAO  ANOT.INADIMPLENCIA"/>
    <x v="193"/>
    <x v="30"/>
    <s v="2025-07"/>
    <x v="41"/>
    <s v="ANDRE CUNHA"/>
    <x v="230"/>
    <n v="1"/>
    <n v="0"/>
  </r>
  <r>
    <s v="007.102.721/0001-51"/>
    <x v="44"/>
    <s v="INCLUSAO  ANOT.INADIMPLENCIA"/>
    <x v="193"/>
    <x v="12"/>
    <s v="2025-07"/>
    <x v="41"/>
    <s v="PROSPECTAR"/>
    <x v="44"/>
    <n v="0"/>
    <n v="1"/>
  </r>
  <r>
    <s v="008.196.295/0001-25"/>
    <x v="255"/>
    <s v="INCLUSAO  ANOT.INADIMPLENCIA"/>
    <x v="193"/>
    <x v="34"/>
    <s v="2025-07"/>
    <x v="41"/>
    <s v="CREDTEM"/>
    <x v="255"/>
    <n v="0"/>
    <n v="1"/>
  </r>
  <r>
    <s v="008.250.872/0001-10"/>
    <x v="121"/>
    <s v="INCLUSAO  ANOT.INADIMPLENCIA"/>
    <x v="193"/>
    <x v="6"/>
    <s v="2025-07"/>
    <x v="41"/>
    <s v="RAFAEL PARISE"/>
    <x v="121"/>
    <n v="0"/>
    <n v="1"/>
  </r>
  <r>
    <s v="016.772.642/0001-49"/>
    <x v="69"/>
    <s v="INCLUSAO  ANOT.INADIMPLENCIA"/>
    <x v="193"/>
    <x v="0"/>
    <s v="2025-07"/>
    <x v="41"/>
    <s v="ADMINISTRAÇÃO"/>
    <x v="69"/>
    <n v="0"/>
    <n v="1"/>
  </r>
  <r>
    <s v="020.024.081/0001-77"/>
    <x v="177"/>
    <s v="INCLUSAO  ANOT.INADIMPLENCIA"/>
    <x v="193"/>
    <x v="10"/>
    <s v="2025-07"/>
    <x v="41"/>
    <s v="ROGERIO "/>
    <x v="177"/>
    <n v="0"/>
    <n v="1"/>
  </r>
  <r>
    <s v="028.393.466/0001-13"/>
    <x v="167"/>
    <s v="INCLUSAO  ANOT.INADIMPLENCIA"/>
    <x v="193"/>
    <x v="12"/>
    <s v="2025-07"/>
    <x v="41"/>
    <s v="PROSPECTAR"/>
    <x v="167"/>
    <n v="0"/>
    <n v="1"/>
  </r>
  <r>
    <s v="028.650.970/0001-51"/>
    <x v="166"/>
    <s v="INCLUSAO  ANOT.INADIMPLENCIA"/>
    <x v="193"/>
    <x v="10"/>
    <s v="2025-07"/>
    <x v="41"/>
    <s v="ROGERIO "/>
    <x v="166"/>
    <n v="0"/>
    <n v="1"/>
  </r>
  <r>
    <s v="031.743.464/0001-11"/>
    <x v="253"/>
    <s v="EXCLUSAO  ANOT.INADIMPLENCIA"/>
    <x v="193"/>
    <x v="32"/>
    <s v="2025-07"/>
    <x v="41"/>
    <s v="WASHINGTON"/>
    <x v="253"/>
    <n v="1"/>
    <n v="0"/>
  </r>
  <r>
    <s v="032.552.159/0001-05"/>
    <x v="211"/>
    <s v="INCL/EXCL ANOT.INADIMPLENCIA"/>
    <x v="193"/>
    <x v="27"/>
    <s v="2025-07"/>
    <x v="41"/>
    <s v="ALISSON DE SOUZA LIMA"/>
    <x v="211"/>
    <n v="1"/>
    <n v="1"/>
  </r>
  <r>
    <s v="036.726.274/0001-00"/>
    <x v="133"/>
    <s v="EXCLUSAO  ANOT.INADIMPLENCIA"/>
    <x v="193"/>
    <x v="1"/>
    <s v="2025-07"/>
    <x v="41"/>
    <s v="CELIO PIMENTA"/>
    <x v="133"/>
    <n v="1"/>
    <n v="0"/>
  </r>
  <r>
    <s v="045.123.456/0001-87"/>
    <x v="123"/>
    <s v="INCLUSAO  ANOT.INADIMPLENCIA"/>
    <x v="193"/>
    <x v="0"/>
    <s v="2025-07"/>
    <x v="41"/>
    <s v="ADMINISTRAÇÃO"/>
    <x v="123"/>
    <n v="0"/>
    <n v="1"/>
  </r>
  <r>
    <s v="046.674.060/0001-90"/>
    <x v="140"/>
    <s v="EXCLUSAO  ANOT.INADIMPLENCIA"/>
    <x v="193"/>
    <x v="10"/>
    <s v="2025-07"/>
    <x v="41"/>
    <s v="ROGERIO "/>
    <x v="140"/>
    <n v="1"/>
    <n v="0"/>
  </r>
  <r>
    <s v="047.635.671/0001-92"/>
    <x v="143"/>
    <s v="INCLUSAO  ANOT.INADIMPLENCIA"/>
    <x v="193"/>
    <x v="1"/>
    <s v="2025-07"/>
    <x v="41"/>
    <s v="CELIO PIMENTA"/>
    <x v="143"/>
    <n v="0"/>
    <n v="1"/>
  </r>
  <r>
    <s v="093.274.124/0001-46"/>
    <x v="82"/>
    <s v="INCLUSAO  ANOT.INADIMPLENCIA"/>
    <x v="193"/>
    <x v="4"/>
    <s v="2025-07"/>
    <x v="41"/>
    <s v="NOELI SALETE"/>
    <x v="82"/>
    <n v="0"/>
    <n v="1"/>
  </r>
  <r>
    <s v="003.524.760/0001-96"/>
    <x v="230"/>
    <s v="INCLUSAO  ANOT.INADIMPLENCIA"/>
    <x v="194"/>
    <x v="30"/>
    <s v="2025-07"/>
    <x v="41"/>
    <s v="ANDRE CUNHA"/>
    <x v="230"/>
    <n v="0"/>
    <n v="1"/>
  </r>
  <r>
    <s v="046.674.060/0001-90"/>
    <x v="140"/>
    <s v="EXCLUSAO  ANOT.INADIMPLENCIA"/>
    <x v="194"/>
    <x v="10"/>
    <s v="2025-07"/>
    <x v="41"/>
    <s v="ROGERIO "/>
    <x v="140"/>
    <n v="1"/>
    <n v="0"/>
  </r>
  <r>
    <s v="045.123.456/0001-87"/>
    <x v="123"/>
    <s v="INCLUSAO  ANOT.INADIMPLENCIA"/>
    <x v="194"/>
    <x v="0"/>
    <s v="2025-07"/>
    <x v="41"/>
    <s v="ADMINISTRAÇÃO"/>
    <x v="123"/>
    <n v="0"/>
    <n v="1"/>
  </r>
  <r>
    <s v="044.888.871/0001-69"/>
    <x v="106"/>
    <s v="INCLUSAO  ANOT.INADIMPLENCIA"/>
    <x v="194"/>
    <x v="12"/>
    <s v="2025-07"/>
    <x v="41"/>
    <s v="PROSPECTAR"/>
    <x v="106"/>
    <n v="0"/>
    <n v="1"/>
  </r>
  <r>
    <s v="038.479.255/0001-51"/>
    <x v="240"/>
    <s v="EXCLUSAO  ANOT.INADIMPLENCIA"/>
    <x v="194"/>
    <x v="3"/>
    <s v="2025-07"/>
    <x v="41"/>
    <s v="MARCUS VINICIUS "/>
    <x v="240"/>
    <n v="1"/>
    <n v="0"/>
  </r>
  <r>
    <s v="032.925.977/0001-06"/>
    <x v="235"/>
    <s v="EXCLUSAO  ANOT.INADIMPLENCIA"/>
    <x v="194"/>
    <x v="1"/>
    <s v="2025-07"/>
    <x v="41"/>
    <s v="CELIO PIMENTA"/>
    <x v="235"/>
    <n v="1"/>
    <n v="0"/>
  </r>
  <r>
    <s v="032.552.159/0001-05"/>
    <x v="211"/>
    <s v="EXCLUSAO  ANOT.INADIMPLENCIA"/>
    <x v="194"/>
    <x v="27"/>
    <s v="2025-07"/>
    <x v="41"/>
    <s v="ALISSON DE SOUZA LIMA"/>
    <x v="211"/>
    <n v="1"/>
    <n v="0"/>
  </r>
  <r>
    <s v="028.511.223/0001-32"/>
    <x v="189"/>
    <s v="INCLUSAO  ANOT.INADIMPLENCIA"/>
    <x v="194"/>
    <x v="0"/>
    <s v="2025-07"/>
    <x v="41"/>
    <s v="ADMINISTRAÇÃO"/>
    <x v="189"/>
    <n v="0"/>
    <n v="1"/>
  </r>
  <r>
    <s v="025.788.035/0001-68"/>
    <x v="258"/>
    <s v="EXCLUSAO  ANOT.INADIMPLENCIA"/>
    <x v="194"/>
    <x v="31"/>
    <s v="2025-07"/>
    <x v="41"/>
    <s v="TIAGO NEVES"/>
    <x v="258"/>
    <n v="1"/>
    <n v="0"/>
  </r>
  <r>
    <s v="014.829.598/0001-30"/>
    <x v="31"/>
    <s v="EXCLUSAO  ANOT.INADIMPLENCIA"/>
    <x v="194"/>
    <x v="9"/>
    <s v="2025-07"/>
    <x v="41"/>
    <s v="PRISCILA METZ"/>
    <x v="31"/>
    <n v="1"/>
    <n v="0"/>
  </r>
  <r>
    <s v="013.749.701/0001-70"/>
    <x v="195"/>
    <s v="INCLUSAO  ANOT.INADIMPLENCIA"/>
    <x v="194"/>
    <x v="6"/>
    <s v="2025-07"/>
    <x v="41"/>
    <s v="RAFAEL PARISE"/>
    <x v="195"/>
    <n v="0"/>
    <n v="1"/>
  </r>
  <r>
    <s v="012.520.791/0001-60"/>
    <x v="4"/>
    <s v="INCLUSAO  ANOT.INADIMPLENCIA"/>
    <x v="194"/>
    <x v="1"/>
    <s v="2025-07"/>
    <x v="41"/>
    <s v="CELIO PIMENTA"/>
    <x v="4"/>
    <n v="0"/>
    <n v="1"/>
  </r>
  <r>
    <s v="009.674.456/0001-01"/>
    <x v="233"/>
    <s v="INCLUSAO  ANOT.INADIMPLENCIA"/>
    <x v="194"/>
    <x v="6"/>
    <s v="2025-07"/>
    <x v="41"/>
    <s v="RAFAEL PARISE"/>
    <x v="233"/>
    <n v="0"/>
    <n v="1"/>
  </r>
  <r>
    <s v="008.250.872/0001-10"/>
    <x v="121"/>
    <s v="INCLUSAO  ANOT.INADIMPLENCIA"/>
    <x v="194"/>
    <x v="6"/>
    <s v="2025-07"/>
    <x v="41"/>
    <s v="RAFAEL PARISE"/>
    <x v="121"/>
    <n v="0"/>
    <n v="1"/>
  </r>
  <r>
    <s v="007.561.436/0001-07"/>
    <x v="34"/>
    <s v="INCLUSAO  ANOT.INADIMPLENCIA"/>
    <x v="194"/>
    <x v="12"/>
    <s v="2025-07"/>
    <x v="41"/>
    <s v="PROSPECTAR"/>
    <x v="34"/>
    <n v="0"/>
    <n v="1"/>
  </r>
  <r>
    <s v="004.323.643/0001-27"/>
    <x v="221"/>
    <s v="INCLUSAO  ANOT.INADIMPLENCIA"/>
    <x v="194"/>
    <x v="0"/>
    <s v="2025-07"/>
    <x v="41"/>
    <s v="ADMINISTRAÇÃO"/>
    <x v="221"/>
    <n v="0"/>
    <n v="1"/>
  </r>
  <r>
    <s v="049.218.819/0001-19"/>
    <x v="150"/>
    <s v="INCLUSAO  ANOT.INADIMPLENCIA"/>
    <x v="194"/>
    <x v="11"/>
    <s v="2025-07"/>
    <x v="41"/>
    <s v="DIOGO AZEVEDO"/>
    <x v="150"/>
    <n v="0"/>
    <n v="1"/>
  </r>
  <r>
    <s v="052.755.043/0001-80"/>
    <x v="237"/>
    <s v="INCLUSAO  ANOT.INADIMPLENCIA"/>
    <x v="194"/>
    <x v="3"/>
    <s v="2025-07"/>
    <x v="41"/>
    <s v="MARCUS VINICIUS "/>
    <x v="237"/>
    <n v="0"/>
    <n v="1"/>
  </r>
  <r>
    <s v="003.524.760/0001-96"/>
    <x v="230"/>
    <s v="INCLUSAO  ANOT.INADIMPLENCIA"/>
    <x v="195"/>
    <x v="30"/>
    <s v="2025-07"/>
    <x v="42"/>
    <s v="ANDRE CUNHA"/>
    <x v="230"/>
    <n v="0"/>
    <n v="1"/>
  </r>
  <r>
    <s v="024.255.748/0001-01"/>
    <x v="30"/>
    <s v="INCLUSAO  ANOT.INADIMPLENCIA"/>
    <x v="195"/>
    <x v="12"/>
    <s v="2025-07"/>
    <x v="42"/>
    <s v="PROSPECTAR"/>
    <x v="30"/>
    <n v="0"/>
    <n v="1"/>
  </r>
  <r>
    <s v="025.094.292/0001-08"/>
    <x v="213"/>
    <s v="INCLUSAO  ANOT.INADIMPLENCIA"/>
    <x v="195"/>
    <x v="12"/>
    <s v="2025-07"/>
    <x v="42"/>
    <s v="PROSPECTAR"/>
    <x v="213"/>
    <n v="0"/>
    <n v="1"/>
  </r>
  <r>
    <s v="027.508.008/0001-10"/>
    <x v="216"/>
    <s v="INCLUSAO  ANOT.INADIMPLENCIA"/>
    <x v="195"/>
    <x v="29"/>
    <s v="2025-07"/>
    <x v="42"/>
    <s v="DALVA"/>
    <x v="216"/>
    <n v="0"/>
    <n v="1"/>
  </r>
  <r>
    <s v="028.393.466/0001-13"/>
    <x v="167"/>
    <s v="INCLUSAO  ANOT.INADIMPLENCIA"/>
    <x v="195"/>
    <x v="12"/>
    <s v="2025-07"/>
    <x v="42"/>
    <s v="PROSPECTAR"/>
    <x v="167"/>
    <n v="0"/>
    <n v="1"/>
  </r>
  <r>
    <s v="028.511.223/0001-32"/>
    <x v="189"/>
    <s v="INCLUSAO  ANOT.INADIMPLENCIA"/>
    <x v="195"/>
    <x v="0"/>
    <s v="2025-07"/>
    <x v="42"/>
    <s v="ADMINISTRAÇÃO"/>
    <x v="189"/>
    <n v="0"/>
    <n v="1"/>
  </r>
  <r>
    <s v="028.650.970/0001-51"/>
    <x v="166"/>
    <s v="EXCLUSAO  ANOT.INADIMPLENCIA"/>
    <x v="195"/>
    <x v="10"/>
    <s v="2025-07"/>
    <x v="42"/>
    <s v="ROGERIO "/>
    <x v="166"/>
    <n v="1"/>
    <n v="0"/>
  </r>
  <r>
    <s v="031.743.464/0001-11"/>
    <x v="253"/>
    <s v="INCLUSAO  ANOT.INADIMPLENCIA"/>
    <x v="195"/>
    <x v="32"/>
    <s v="2025-07"/>
    <x v="42"/>
    <s v="WASHINGTON"/>
    <x v="253"/>
    <n v="0"/>
    <n v="1"/>
  </r>
  <r>
    <s v="023.637.987/0001-55"/>
    <x v="20"/>
    <s v="INCLUSAO  ANOT.INADIMPLENCIA"/>
    <x v="195"/>
    <x v="5"/>
    <s v="2025-07"/>
    <x v="42"/>
    <s v="POENATELA"/>
    <x v="20"/>
    <n v="0"/>
    <n v="1"/>
  </r>
  <r>
    <s v="033.028.017/0001-06"/>
    <x v="260"/>
    <s v="INCLUSAO  ANOT.INADIMPLENCIA"/>
    <x v="195"/>
    <x v="31"/>
    <s v="2025-07"/>
    <x v="42"/>
    <s v="TIAGO NEVES"/>
    <x v="260"/>
    <n v="0"/>
    <n v="1"/>
  </r>
  <r>
    <s v="034.821.586/0001-77"/>
    <x v="38"/>
    <s v="INCLUSAO  ANOT.INADIMPLENCIA"/>
    <x v="195"/>
    <x v="3"/>
    <s v="2025-07"/>
    <x v="42"/>
    <s v="MARCUS VINICIUS "/>
    <x v="38"/>
    <n v="0"/>
    <n v="1"/>
  </r>
  <r>
    <s v="043.515.558/0001-12"/>
    <x v="176"/>
    <s v="INCLUSAO  ANOT.INADIMPLENCIA"/>
    <x v="195"/>
    <x v="10"/>
    <s v="2025-07"/>
    <x v="42"/>
    <s v="ROGERIO "/>
    <x v="176"/>
    <n v="0"/>
    <n v="1"/>
  </r>
  <r>
    <s v="045.123.456/0001-87"/>
    <x v="123"/>
    <s v="EXCLUSAO  ANOT.INADIMPLENCIA"/>
    <x v="195"/>
    <x v="0"/>
    <s v="2025-07"/>
    <x v="42"/>
    <s v="ADMINISTRAÇÃO"/>
    <x v="123"/>
    <n v="1"/>
    <n v="0"/>
  </r>
  <r>
    <s v="051.323.061/0001-20"/>
    <x v="252"/>
    <s v="INCLUSAO  ANOT.INADIMPLENCIA"/>
    <x v="195"/>
    <x v="27"/>
    <s v="2025-07"/>
    <x v="42"/>
    <s v="ALISSON DE SOUZA LIMA"/>
    <x v="252"/>
    <n v="0"/>
    <n v="1"/>
  </r>
  <r>
    <s v="051.980.425/0001-45"/>
    <x v="173"/>
    <s v="INCLUSAO  ANOT.INADIMPLENCIA"/>
    <x v="195"/>
    <x v="10"/>
    <s v="2025-07"/>
    <x v="42"/>
    <s v="ROGERIO "/>
    <x v="173"/>
    <n v="0"/>
    <n v="1"/>
  </r>
  <r>
    <s v="055.979.736/0001-45"/>
    <x v="63"/>
    <s v="EXCLUSAO  ANOT.INADIMPLENCIA"/>
    <x v="195"/>
    <x v="16"/>
    <s v="2025-07"/>
    <x v="42"/>
    <s v="SACADO"/>
    <x v="63"/>
    <n v="1"/>
    <n v="0"/>
  </r>
  <r>
    <s v="071.350.797/0001-03"/>
    <x v="48"/>
    <s v="EXCLUSAO  ANOT.INADIMPLENCIA"/>
    <x v="195"/>
    <x v="10"/>
    <s v="2025-07"/>
    <x v="42"/>
    <s v="ROGERIO "/>
    <x v="48"/>
    <n v="1"/>
    <n v="0"/>
  </r>
  <r>
    <s v="033.803.691/0001-10"/>
    <x v="103"/>
    <s v="INCLUSAO  ANOT.INADIMPLENCIA"/>
    <x v="195"/>
    <x v="0"/>
    <s v="2025-07"/>
    <x v="42"/>
    <s v="ADMINISTRAÇÃO"/>
    <x v="103"/>
    <n v="0"/>
    <n v="1"/>
  </r>
  <r>
    <s v="081.081.028/0001-00"/>
    <x v="261"/>
    <s v="INCLUSAO  ANOT.INADIMPLENCIA"/>
    <x v="195"/>
    <x v="27"/>
    <s v="2025-07"/>
    <x v="42"/>
    <s v="ALISSON DE SOUZA LIMA"/>
    <x v="261"/>
    <n v="0"/>
    <n v="1"/>
  </r>
  <r>
    <s v="021.420.856/0001-96"/>
    <x v="129"/>
    <s v="INCL/EXCL ANOT.INADIMPLENCIA"/>
    <x v="195"/>
    <x v="19"/>
    <s v="2025-07"/>
    <x v="42"/>
    <s v="JOSE ROBERTO"/>
    <x v="129"/>
    <n v="1"/>
    <n v="1"/>
  </r>
  <r>
    <s v="020.024.081/0001-77"/>
    <x v="177"/>
    <s v="INCLUSAO  ANOT.INADIMPLENCIA"/>
    <x v="195"/>
    <x v="10"/>
    <s v="2025-07"/>
    <x v="42"/>
    <s v="ROGERIO "/>
    <x v="177"/>
    <n v="0"/>
    <n v="1"/>
  </r>
  <r>
    <s v="003.590.360/0001-89"/>
    <x v="3"/>
    <s v="INCLUSAO  ANOT.INADIMPLENCIA"/>
    <x v="195"/>
    <x v="1"/>
    <s v="2025-07"/>
    <x v="42"/>
    <s v="CELIO PIMENTA"/>
    <x v="3"/>
    <n v="0"/>
    <n v="1"/>
  </r>
  <r>
    <s v="003.603.516/0001-19"/>
    <x v="236"/>
    <s v="INCLUSAO  ANOT.INADIMPLENCIA"/>
    <x v="195"/>
    <x v="3"/>
    <s v="2025-07"/>
    <x v="42"/>
    <s v="MARCUS VINICIUS "/>
    <x v="236"/>
    <n v="0"/>
    <n v="1"/>
  </r>
  <r>
    <s v="004.323.643/0001-27"/>
    <x v="221"/>
    <s v="INCL/EXCL ANOT.INADIMPLENCIA"/>
    <x v="195"/>
    <x v="0"/>
    <s v="2025-07"/>
    <x v="42"/>
    <s v="ADMINISTRAÇÃO"/>
    <x v="221"/>
    <n v="1"/>
    <n v="1"/>
  </r>
  <r>
    <s v="007.102.721/0001-51"/>
    <x v="44"/>
    <s v="INCLUSAO  ANOT.INADIMPLENCIA"/>
    <x v="195"/>
    <x v="12"/>
    <s v="2025-07"/>
    <x v="42"/>
    <s v="PROSPECTAR"/>
    <x v="44"/>
    <n v="0"/>
    <n v="1"/>
  </r>
  <r>
    <s v="008.196.295/0001-25"/>
    <x v="255"/>
    <s v="INCLUSAO  ANOT.INADIMPLENCIA"/>
    <x v="195"/>
    <x v="34"/>
    <s v="2025-07"/>
    <x v="42"/>
    <s v="CREDTEM"/>
    <x v="255"/>
    <n v="0"/>
    <n v="1"/>
  </r>
  <r>
    <s v="008.250.872/0001-10"/>
    <x v="121"/>
    <s v="INCLUSAO  ANOT.INADIMPLENCIA"/>
    <x v="195"/>
    <x v="6"/>
    <s v="2025-07"/>
    <x v="42"/>
    <s v="RAFAEL PARISE"/>
    <x v="121"/>
    <n v="0"/>
    <n v="1"/>
  </r>
  <r>
    <s v="009.674.456/0001-01"/>
    <x v="233"/>
    <s v="EXCLUSAO  ANOT.INADIMPLENCIA"/>
    <x v="195"/>
    <x v="6"/>
    <s v="2025-07"/>
    <x v="42"/>
    <s v="RAFAEL PARISE"/>
    <x v="233"/>
    <n v="1"/>
    <n v="0"/>
  </r>
  <r>
    <s v="021.382.943/0001-04"/>
    <x v="205"/>
    <s v="INCL/EXCL ANOT.INADIMPLENCIA"/>
    <x v="195"/>
    <x v="0"/>
    <s v="2025-07"/>
    <x v="42"/>
    <s v="ADMINISTRAÇÃO"/>
    <x v="205"/>
    <n v="1"/>
    <n v="1"/>
  </r>
  <r>
    <s v="011.122.552/0001-99"/>
    <x v="59"/>
    <s v="INCLUSAO  ANOT.INADIMPLENCIA"/>
    <x v="195"/>
    <x v="6"/>
    <s v="2025-07"/>
    <x v="42"/>
    <s v="RAFAEL PARISE"/>
    <x v="59"/>
    <n v="0"/>
    <n v="1"/>
  </r>
  <r>
    <s v="012.520.791/0001-60"/>
    <x v="4"/>
    <s v="INCLUSAO  ANOT.INADIMPLENCIA"/>
    <x v="195"/>
    <x v="1"/>
    <s v="2025-07"/>
    <x v="42"/>
    <s v="CELIO PIMENTA"/>
    <x v="4"/>
    <n v="0"/>
    <n v="1"/>
  </r>
  <r>
    <s v="013.323.483/0001-07"/>
    <x v="199"/>
    <s v="INCLUSAO  ANOT.INADIMPLENCIA"/>
    <x v="195"/>
    <x v="21"/>
    <s v="2025-07"/>
    <x v="42"/>
    <s v="CAIO"/>
    <x v="199"/>
    <n v="0"/>
    <n v="1"/>
  </r>
  <r>
    <s v="013.749.701/0001-70"/>
    <x v="195"/>
    <s v="INCLUSAO  ANOT.INADIMPLENCIA"/>
    <x v="195"/>
    <x v="6"/>
    <s v="2025-07"/>
    <x v="42"/>
    <s v="RAFAEL PARISE"/>
    <x v="195"/>
    <n v="0"/>
    <n v="1"/>
  </r>
  <r>
    <s v="017.177.331/0001-02"/>
    <x v="259"/>
    <s v="EXCLUSAO  ANOT.INADIMPLENCIA"/>
    <x v="195"/>
    <x v="13"/>
    <s v="2025-07"/>
    <x v="42"/>
    <s v="ANDERSON FRAGA"/>
    <x v="259"/>
    <n v="1"/>
    <n v="0"/>
  </r>
  <r>
    <s v="018.608.055/0001-44"/>
    <x v="131"/>
    <s v="EXCLUSAO  ANOT.INADIMPLENCIA"/>
    <x v="195"/>
    <x v="3"/>
    <s v="2025-07"/>
    <x v="42"/>
    <s v="MARCUS VINICIUS "/>
    <x v="131"/>
    <n v="1"/>
    <n v="0"/>
  </r>
  <r>
    <s v="019.450.138/0001-10"/>
    <x v="70"/>
    <s v="INCLUSAO  ANOT.INADIMPLENCIA"/>
    <x v="195"/>
    <x v="17"/>
    <s v="2025-07"/>
    <x v="42"/>
    <s v="MARCIO LEONEL"/>
    <x v="70"/>
    <n v="0"/>
    <n v="1"/>
  </r>
  <r>
    <s v="019.961.036/0001-60"/>
    <x v="262"/>
    <s v="INCLUSAO  ANOT.INADIMPLENCIA"/>
    <x v="195"/>
    <x v="36"/>
    <s v="2025-07"/>
    <x v="42"/>
    <s v="JJPH"/>
    <x v="262"/>
    <n v="0"/>
    <n v="1"/>
  </r>
  <r>
    <s v="011.173.099/0001-40"/>
    <x v="227"/>
    <s v="INCLUSAO  ANOT.INADIMPLENCIA"/>
    <x v="195"/>
    <x v="21"/>
    <s v="2025-07"/>
    <x v="42"/>
    <s v="CAIO"/>
    <x v="227"/>
    <n v="0"/>
    <n v="1"/>
  </r>
  <r>
    <s v="093.274.124/0001-46"/>
    <x v="82"/>
    <s v="INCLUSAO  ANOT.INADIMPLENCIA"/>
    <x v="195"/>
    <x v="4"/>
    <s v="2025-07"/>
    <x v="42"/>
    <s v="NOELI SALETE"/>
    <x v="82"/>
    <n v="0"/>
    <n v="1"/>
  </r>
  <r>
    <s v="004.323.643/0001-27"/>
    <x v="221"/>
    <s v="INCLUSAO  ANOT.INADIMPLENCIA"/>
    <x v="196"/>
    <x v="0"/>
    <s v="2025-07"/>
    <x v="42"/>
    <s v="ADMINISTRAÇÃO"/>
    <x v="221"/>
    <n v="0"/>
    <n v="1"/>
  </r>
  <r>
    <s v="033.028.017/0001-06"/>
    <x v="260"/>
    <s v="EXCLUSAO  ANOT.INADIMPLENCIA"/>
    <x v="196"/>
    <x v="31"/>
    <s v="2025-07"/>
    <x v="42"/>
    <s v="TIAGO NEVES"/>
    <x v="260"/>
    <n v="1"/>
    <n v="0"/>
  </r>
  <r>
    <s v="032.781.707/0001-79"/>
    <x v="215"/>
    <s v="INCLUSAO  ANOT.INADIMPLENCIA"/>
    <x v="196"/>
    <x v="26"/>
    <s v="2025-07"/>
    <x v="42"/>
    <s v="ANTECIPA"/>
    <x v="215"/>
    <n v="0"/>
    <n v="1"/>
  </r>
  <r>
    <s v="028.393.466/0001-13"/>
    <x v="167"/>
    <s v="INCLUSAO  ANOT.INADIMPLENCIA"/>
    <x v="196"/>
    <x v="12"/>
    <s v="2025-07"/>
    <x v="42"/>
    <s v="PROSPECTAR"/>
    <x v="167"/>
    <n v="0"/>
    <n v="1"/>
  </r>
  <r>
    <s v="025.788.035/0001-68"/>
    <x v="258"/>
    <s v="INCLUSAO  ANOT.INADIMPLENCIA"/>
    <x v="196"/>
    <x v="31"/>
    <s v="2025-07"/>
    <x v="42"/>
    <s v="TIAGO NEVES"/>
    <x v="258"/>
    <n v="0"/>
    <n v="1"/>
  </r>
  <r>
    <s v="022.457.202/0001-08"/>
    <x v="257"/>
    <s v="INCLUSAO  ANOT.INADIMPLENCIA"/>
    <x v="196"/>
    <x v="35"/>
    <s v="2025-07"/>
    <x v="42"/>
    <s v="VALERIA"/>
    <x v="257"/>
    <n v="0"/>
    <n v="1"/>
  </r>
  <r>
    <s v="021.382.943/0001-04"/>
    <x v="205"/>
    <s v="INCLUSAO  ANOT.INADIMPLENCIA"/>
    <x v="196"/>
    <x v="0"/>
    <s v="2025-07"/>
    <x v="42"/>
    <s v="ADMINISTRAÇÃO"/>
    <x v="205"/>
    <n v="0"/>
    <n v="1"/>
  </r>
  <r>
    <s v="020.024.081/0001-77"/>
    <x v="177"/>
    <s v="INCLUSAO  ANOT.INADIMPLENCIA"/>
    <x v="196"/>
    <x v="10"/>
    <s v="2025-07"/>
    <x v="42"/>
    <s v="ROGERIO "/>
    <x v="177"/>
    <n v="0"/>
    <n v="1"/>
  </r>
  <r>
    <s v="043.515.558/0001-12"/>
    <x v="176"/>
    <s v="EXCLUSAO  ANOT.INADIMPLENCIA"/>
    <x v="196"/>
    <x v="10"/>
    <s v="2025-07"/>
    <x v="42"/>
    <s v="ROGERIO "/>
    <x v="176"/>
    <n v="1"/>
    <n v="0"/>
  </r>
  <r>
    <s v="016.772.642/0001-49"/>
    <x v="69"/>
    <s v="INCLUSAO  ANOT.INADIMPLENCIA"/>
    <x v="196"/>
    <x v="0"/>
    <s v="2025-07"/>
    <x v="42"/>
    <s v="ADMINISTRAÇÃO"/>
    <x v="69"/>
    <n v="0"/>
    <n v="1"/>
  </r>
  <r>
    <s v="014.385.825/0001-86"/>
    <x v="110"/>
    <s v="EXCLUSAO  ANOT.INADIMPLENCIA"/>
    <x v="196"/>
    <x v="6"/>
    <s v="2025-07"/>
    <x v="42"/>
    <s v="RAFAEL PARISE"/>
    <x v="110"/>
    <n v="1"/>
    <n v="0"/>
  </r>
  <r>
    <s v="013.749.701/0001-70"/>
    <x v="195"/>
    <s v="EXCLUSAO  ANOT.INADIMPLENCIA"/>
    <x v="196"/>
    <x v="6"/>
    <s v="2025-07"/>
    <x v="42"/>
    <s v="RAFAEL PARISE"/>
    <x v="195"/>
    <n v="1"/>
    <n v="0"/>
  </r>
  <r>
    <s v="008.250.872/0001-10"/>
    <x v="121"/>
    <s v="INCLUSAO  ANOT.INADIMPLENCIA"/>
    <x v="196"/>
    <x v="6"/>
    <s v="2025-07"/>
    <x v="42"/>
    <s v="RAFAEL PARISE"/>
    <x v="121"/>
    <n v="0"/>
    <n v="1"/>
  </r>
  <r>
    <s v="008.196.295/0001-25"/>
    <x v="255"/>
    <s v="INCLUSAO  ANOT.INADIMPLENCIA"/>
    <x v="196"/>
    <x v="34"/>
    <s v="2025-07"/>
    <x v="42"/>
    <s v="CREDTEM"/>
    <x v="255"/>
    <n v="0"/>
    <n v="1"/>
  </r>
  <r>
    <s v="007.561.436/0001-07"/>
    <x v="34"/>
    <s v="EXCLUSAO  ANOT.INADIMPLENCIA"/>
    <x v="196"/>
    <x v="12"/>
    <s v="2025-07"/>
    <x v="42"/>
    <s v="PROSPECTAR"/>
    <x v="34"/>
    <n v="1"/>
    <n v="0"/>
  </r>
  <r>
    <s v="005.374.432/0001-86"/>
    <x v="222"/>
    <s v="INCLUSAO  ANOT.INADIMPLENCIA"/>
    <x v="196"/>
    <x v="29"/>
    <s v="2025-07"/>
    <x v="42"/>
    <s v="DALVA"/>
    <x v="222"/>
    <n v="0"/>
    <n v="1"/>
  </r>
  <r>
    <s v="004.622.554/0001-81"/>
    <x v="66"/>
    <s v="EXCLUSAO  ANOT.INADIMPLENCIA"/>
    <x v="196"/>
    <x v="4"/>
    <s v="2025-07"/>
    <x v="42"/>
    <s v="NOELI SALETE"/>
    <x v="66"/>
    <n v="1"/>
    <n v="0"/>
  </r>
  <r>
    <s v="016.757.535/0001-41"/>
    <x v="29"/>
    <s v="INCLUSAO  ANOT.INADIMPLENCIA"/>
    <x v="196"/>
    <x v="11"/>
    <s v="2025-07"/>
    <x v="42"/>
    <s v="DIOGO AZEVEDO"/>
    <x v="29"/>
    <n v="0"/>
    <n v="1"/>
  </r>
  <r>
    <s v="047.635.671/0001-92"/>
    <x v="143"/>
    <s v="INCLUSAO  ANOT.INADIMPLENCIA"/>
    <x v="196"/>
    <x v="1"/>
    <s v="2025-07"/>
    <x v="42"/>
    <s v="CELIO PIMENTA"/>
    <x v="143"/>
    <n v="0"/>
    <n v="1"/>
  </r>
  <r>
    <s v="003.524.760/0001-96"/>
    <x v="230"/>
    <s v="INCLUSAO  ANOT.INADIMPLENCIA"/>
    <x v="197"/>
    <x v="30"/>
    <s v="2025-07"/>
    <x v="42"/>
    <s v="ANDRE CUNHA"/>
    <x v="230"/>
    <n v="0"/>
    <n v="1"/>
  </r>
  <r>
    <s v="034.821.586/0001-77"/>
    <x v="38"/>
    <s v="EXCLUSAO  ANOT.INADIMPLENCIA"/>
    <x v="197"/>
    <x v="3"/>
    <s v="2025-07"/>
    <x v="42"/>
    <s v="MARCUS VINICIUS "/>
    <x v="38"/>
    <n v="1"/>
    <n v="0"/>
  </r>
  <r>
    <s v="032.552.159/0001-05"/>
    <x v="211"/>
    <s v="EXCLUSAO  ANOT.INADIMPLENCIA"/>
    <x v="197"/>
    <x v="27"/>
    <s v="2025-07"/>
    <x v="42"/>
    <s v="ALISSON DE SOUZA LIMA"/>
    <x v="211"/>
    <n v="1"/>
    <n v="0"/>
  </r>
  <r>
    <s v="029.246.128/0001-11"/>
    <x v="127"/>
    <s v="EXCLUSAO  ANOT.INADIMPLENCIA"/>
    <x v="197"/>
    <x v="9"/>
    <s v="2025-07"/>
    <x v="42"/>
    <s v="PRISCILA METZ"/>
    <x v="127"/>
    <n v="1"/>
    <n v="0"/>
  </r>
  <r>
    <s v="028.650.970/0001-51"/>
    <x v="166"/>
    <s v="EXCLUSAO  ANOT.INADIMPLENCIA"/>
    <x v="197"/>
    <x v="10"/>
    <s v="2025-07"/>
    <x v="42"/>
    <s v="ROGERIO "/>
    <x v="166"/>
    <n v="1"/>
    <n v="0"/>
  </r>
  <r>
    <s v="025.788.035/0001-68"/>
    <x v="258"/>
    <s v="INCLUSAO  ANOT.INADIMPLENCIA"/>
    <x v="197"/>
    <x v="31"/>
    <s v="2025-07"/>
    <x v="42"/>
    <s v="TIAGO NEVES"/>
    <x v="258"/>
    <n v="0"/>
    <n v="1"/>
  </r>
  <r>
    <s v="025.383.640/0001-59"/>
    <x v="158"/>
    <s v="EXCLUSAO  ANOT.INADIMPLENCIA"/>
    <x v="197"/>
    <x v="5"/>
    <s v="2025-07"/>
    <x v="42"/>
    <s v="POENATELA"/>
    <x v="158"/>
    <n v="1"/>
    <n v="0"/>
  </r>
  <r>
    <s v="022.998.836/0001-60"/>
    <x v="24"/>
    <s v="EXCLUSAO  ANOT.INADIMPLENCIA"/>
    <x v="197"/>
    <x v="0"/>
    <s v="2025-07"/>
    <x v="42"/>
    <s v="ADMINISTRAÇÃO"/>
    <x v="24"/>
    <n v="1"/>
    <n v="0"/>
  </r>
  <r>
    <s v="020.066.300/0001-80"/>
    <x v="2"/>
    <s v="INCLUSAO  ANOT.INADIMPLENCIA"/>
    <x v="197"/>
    <x v="1"/>
    <s v="2025-07"/>
    <x v="42"/>
    <s v="CELIO PIMENTA"/>
    <x v="2"/>
    <n v="0"/>
    <n v="1"/>
  </r>
  <r>
    <s v="020.024.081/0001-77"/>
    <x v="177"/>
    <s v="INCLUSAO  ANOT.INADIMPLENCIA"/>
    <x v="197"/>
    <x v="10"/>
    <s v="2025-07"/>
    <x v="42"/>
    <s v="ROGERIO "/>
    <x v="177"/>
    <n v="0"/>
    <n v="1"/>
  </r>
  <r>
    <s v="011.655.076/0001-71"/>
    <x v="263"/>
    <s v="EXCLUSAO  ANOT.INADIMPLENCIA"/>
    <x v="197"/>
    <x v="21"/>
    <s v="2025-07"/>
    <x v="42"/>
    <s v="CAIO"/>
    <x v="263"/>
    <n v="1"/>
    <n v="0"/>
  </r>
  <r>
    <s v="008.991.603/0001-04"/>
    <x v="57"/>
    <s v="INCLUSAO  ANOT.INADIMPLENCIA"/>
    <x v="197"/>
    <x v="3"/>
    <s v="2025-07"/>
    <x v="42"/>
    <s v="MARCUS VINICIUS "/>
    <x v="57"/>
    <n v="0"/>
    <n v="1"/>
  </r>
  <r>
    <s v="008.250.872/0001-10"/>
    <x v="121"/>
    <s v="INCLUSAO  ANOT.INADIMPLENCIA"/>
    <x v="197"/>
    <x v="6"/>
    <s v="2025-07"/>
    <x v="42"/>
    <s v="RAFAEL PARISE"/>
    <x v="121"/>
    <n v="0"/>
    <n v="1"/>
  </r>
  <r>
    <s v="008.196.295/0001-25"/>
    <x v="255"/>
    <s v="INCLUSAO  ANOT.INADIMPLENCIA"/>
    <x v="197"/>
    <x v="34"/>
    <s v="2025-07"/>
    <x v="42"/>
    <s v="CREDTEM"/>
    <x v="255"/>
    <n v="0"/>
    <n v="1"/>
  </r>
  <r>
    <s v="007.102.721/0001-51"/>
    <x v="44"/>
    <s v="INCLUSAO  ANOT.INADIMPLENCIA"/>
    <x v="197"/>
    <x v="12"/>
    <s v="2025-07"/>
    <x v="42"/>
    <s v="PROSPECTAR"/>
    <x v="44"/>
    <n v="0"/>
    <n v="1"/>
  </r>
  <r>
    <s v="005.997.418/0001-39"/>
    <x v="165"/>
    <s v="EXCLUSAO  ANOT.INADIMPLENCIA"/>
    <x v="197"/>
    <x v="6"/>
    <s v="2025-07"/>
    <x v="42"/>
    <s v="RAFAEL PARISE"/>
    <x v="165"/>
    <n v="1"/>
    <n v="0"/>
  </r>
  <r>
    <s v="005.363.690/0001-67"/>
    <x v="90"/>
    <s v="INCLUSAO  ANOT.INADIMPLENCIA"/>
    <x v="197"/>
    <x v="12"/>
    <s v="2025-07"/>
    <x v="42"/>
    <s v="PROSPECTAR"/>
    <x v="90"/>
    <n v="0"/>
    <n v="1"/>
  </r>
  <r>
    <s v="004.622.554/0001-81"/>
    <x v="66"/>
    <s v="INCL/EXCL ANOT.INADIMPLENCIA"/>
    <x v="197"/>
    <x v="4"/>
    <s v="2025-07"/>
    <x v="42"/>
    <s v="NOELI SALETE"/>
    <x v="66"/>
    <n v="1"/>
    <n v="1"/>
  </r>
  <r>
    <s v="037.828.375/0001-54"/>
    <x v="39"/>
    <s v="INCLUSAO  ANOT.INADIMPLENCIA"/>
    <x v="197"/>
    <x v="5"/>
    <s v="2025-07"/>
    <x v="42"/>
    <s v="POENATELA"/>
    <x v="39"/>
    <n v="0"/>
    <n v="1"/>
  </r>
  <r>
    <s v="044.470.678/0001-03"/>
    <x v="203"/>
    <s v="EXCLUSAO  ANOT.INADIMPLENCIA"/>
    <x v="197"/>
    <x v="9"/>
    <s v="2025-07"/>
    <x v="42"/>
    <s v="PRISCILA METZ"/>
    <x v="203"/>
    <n v="1"/>
    <n v="0"/>
  </r>
  <r>
    <s v="003.524.760/0001-96"/>
    <x v="230"/>
    <s v="INCLUSAO  ANOT.INADIMPLENCIA"/>
    <x v="197"/>
    <x v="30"/>
    <s v="2025-07"/>
    <x v="42"/>
    <s v="ANDRE CUNHA"/>
    <x v="230"/>
    <n v="0"/>
    <n v="1"/>
  </r>
  <r>
    <s v="034.821.586/0001-77"/>
    <x v="38"/>
    <s v="EXCLUSAO  ANOT.INADIMPLENCIA"/>
    <x v="197"/>
    <x v="3"/>
    <s v="2025-07"/>
    <x v="42"/>
    <s v="MARCUS VINICIUS "/>
    <x v="38"/>
    <n v="1"/>
    <n v="0"/>
  </r>
  <r>
    <s v="032.552.159/0001-05"/>
    <x v="211"/>
    <s v="EXCLUSAO  ANOT.INADIMPLENCIA"/>
    <x v="197"/>
    <x v="27"/>
    <s v="2025-07"/>
    <x v="42"/>
    <s v="ALISSON DE SOUZA LIMA"/>
    <x v="211"/>
    <n v="1"/>
    <n v="0"/>
  </r>
  <r>
    <s v="029.246.128/0001-11"/>
    <x v="127"/>
    <s v="EXCLUSAO  ANOT.INADIMPLENCIA"/>
    <x v="197"/>
    <x v="9"/>
    <s v="2025-07"/>
    <x v="42"/>
    <s v="PRISCILA METZ"/>
    <x v="127"/>
    <n v="1"/>
    <n v="0"/>
  </r>
  <r>
    <s v="028.650.970/0001-51"/>
    <x v="166"/>
    <s v="EXCLUSAO  ANOT.INADIMPLENCIA"/>
    <x v="197"/>
    <x v="10"/>
    <s v="2025-07"/>
    <x v="42"/>
    <s v="ROGERIO "/>
    <x v="166"/>
    <n v="1"/>
    <n v="0"/>
  </r>
  <r>
    <s v="025.788.035/0001-68"/>
    <x v="258"/>
    <s v="INCLUSAO  ANOT.INADIMPLENCIA"/>
    <x v="197"/>
    <x v="31"/>
    <s v="2025-07"/>
    <x v="42"/>
    <s v="TIAGO NEVES"/>
    <x v="258"/>
    <n v="0"/>
    <n v="1"/>
  </r>
  <r>
    <s v="025.383.640/0001-59"/>
    <x v="158"/>
    <s v="EXCLUSAO  ANOT.INADIMPLENCIA"/>
    <x v="197"/>
    <x v="5"/>
    <s v="2025-07"/>
    <x v="42"/>
    <s v="POENATELA"/>
    <x v="158"/>
    <n v="1"/>
    <n v="0"/>
  </r>
  <r>
    <s v="022.998.836/0001-60"/>
    <x v="24"/>
    <s v="EXCLUSAO  ANOT.INADIMPLENCIA"/>
    <x v="197"/>
    <x v="0"/>
    <s v="2025-07"/>
    <x v="42"/>
    <s v="ADMINISTRAÇÃO"/>
    <x v="24"/>
    <n v="1"/>
    <n v="0"/>
  </r>
  <r>
    <s v="020.066.300/0001-80"/>
    <x v="2"/>
    <s v="INCLUSAO  ANOT.INADIMPLENCIA"/>
    <x v="197"/>
    <x v="1"/>
    <s v="2025-07"/>
    <x v="42"/>
    <s v="CELIO PIMENTA"/>
    <x v="2"/>
    <n v="0"/>
    <n v="1"/>
  </r>
  <r>
    <s v="020.024.081/0001-77"/>
    <x v="177"/>
    <s v="INCLUSAO  ANOT.INADIMPLENCIA"/>
    <x v="197"/>
    <x v="10"/>
    <s v="2025-07"/>
    <x v="42"/>
    <s v="ROGERIO "/>
    <x v="177"/>
    <n v="0"/>
    <n v="1"/>
  </r>
  <r>
    <s v="011.655.076/0001-71"/>
    <x v="263"/>
    <s v="EXCLUSAO  ANOT.INADIMPLENCIA"/>
    <x v="197"/>
    <x v="21"/>
    <s v="2025-07"/>
    <x v="42"/>
    <s v="CAIO"/>
    <x v="263"/>
    <n v="1"/>
    <n v="0"/>
  </r>
  <r>
    <s v="008.991.603/0001-04"/>
    <x v="57"/>
    <s v="INCLUSAO  ANOT.INADIMPLENCIA"/>
    <x v="197"/>
    <x v="3"/>
    <s v="2025-07"/>
    <x v="42"/>
    <s v="MARCUS VINICIUS "/>
    <x v="57"/>
    <n v="0"/>
    <n v="1"/>
  </r>
  <r>
    <s v="008.250.872/0001-10"/>
    <x v="121"/>
    <s v="INCLUSAO  ANOT.INADIMPLENCIA"/>
    <x v="197"/>
    <x v="6"/>
    <s v="2025-07"/>
    <x v="42"/>
    <s v="RAFAEL PARISE"/>
    <x v="121"/>
    <n v="0"/>
    <n v="1"/>
  </r>
  <r>
    <s v="008.196.295/0001-25"/>
    <x v="255"/>
    <s v="INCLUSAO  ANOT.INADIMPLENCIA"/>
    <x v="197"/>
    <x v="34"/>
    <s v="2025-07"/>
    <x v="42"/>
    <s v="CREDTEM"/>
    <x v="255"/>
    <n v="0"/>
    <n v="1"/>
  </r>
  <r>
    <s v="007.102.721/0001-51"/>
    <x v="44"/>
    <s v="INCLUSAO  ANOT.INADIMPLENCIA"/>
    <x v="197"/>
    <x v="12"/>
    <s v="2025-07"/>
    <x v="42"/>
    <s v="PROSPECTAR"/>
    <x v="44"/>
    <n v="0"/>
    <n v="1"/>
  </r>
  <r>
    <s v="005.997.418/0001-39"/>
    <x v="165"/>
    <s v="EXCLUSAO  ANOT.INADIMPLENCIA"/>
    <x v="197"/>
    <x v="6"/>
    <s v="2025-07"/>
    <x v="42"/>
    <s v="RAFAEL PARISE"/>
    <x v="165"/>
    <n v="1"/>
    <n v="0"/>
  </r>
  <r>
    <s v="005.363.690/0001-67"/>
    <x v="90"/>
    <s v="INCLUSAO  ANOT.INADIMPLENCIA"/>
    <x v="197"/>
    <x v="12"/>
    <s v="2025-07"/>
    <x v="42"/>
    <s v="PROSPECTAR"/>
    <x v="90"/>
    <n v="0"/>
    <n v="1"/>
  </r>
  <r>
    <s v="004.622.554/0001-81"/>
    <x v="66"/>
    <s v="INCL/EXCL ANOT.INADIMPLENCIA"/>
    <x v="197"/>
    <x v="4"/>
    <s v="2025-07"/>
    <x v="42"/>
    <s v="NOELI SALETE"/>
    <x v="66"/>
    <n v="1"/>
    <n v="1"/>
  </r>
  <r>
    <s v="037.828.375/0001-54"/>
    <x v="39"/>
    <s v="INCLUSAO  ANOT.INADIMPLENCIA"/>
    <x v="197"/>
    <x v="5"/>
    <s v="2025-07"/>
    <x v="42"/>
    <s v="POENATELA"/>
    <x v="39"/>
    <n v="0"/>
    <n v="1"/>
  </r>
  <r>
    <s v="044.470.678/0001-03"/>
    <x v="203"/>
    <s v="EXCLUSAO  ANOT.INADIMPLENCIA"/>
    <x v="197"/>
    <x v="9"/>
    <s v="2025-07"/>
    <x v="42"/>
    <s v="PRISCILA METZ"/>
    <x v="203"/>
    <n v="1"/>
    <n v="0"/>
  </r>
  <r>
    <s v="003.524.760/0001-96"/>
    <x v="230"/>
    <s v="INCLUSAO  ANOT.INADIMPLENCIA"/>
    <x v="198"/>
    <x v="30"/>
    <s v="2025-07"/>
    <x v="42"/>
    <s v="ANDRE CUNHA"/>
    <x v="230"/>
    <n v="0"/>
    <n v="1"/>
  </r>
  <r>
    <s v="045.123.456/0001-87"/>
    <x v="123"/>
    <s v="EXCLUSAO  ANOT.INADIMPLENCIA"/>
    <x v="198"/>
    <x v="0"/>
    <s v="2025-07"/>
    <x v="42"/>
    <s v="ADMINISTRAÇÃO"/>
    <x v="123"/>
    <n v="1"/>
    <n v="0"/>
  </r>
  <r>
    <s v="044.888.871/0001-69"/>
    <x v="106"/>
    <s v="INCLUSAO  ANOT.INADIMPLENCIA"/>
    <x v="198"/>
    <x v="12"/>
    <s v="2025-07"/>
    <x v="42"/>
    <s v="PROSPECTAR"/>
    <x v="106"/>
    <n v="0"/>
    <n v="1"/>
  </r>
  <r>
    <s v="044.126.379/0001-56"/>
    <x v="187"/>
    <s v="INCLUSAO  ANOT.INADIMPLENCIA"/>
    <x v="198"/>
    <x v="1"/>
    <s v="2025-07"/>
    <x v="42"/>
    <s v="CELIO PIMENTA"/>
    <x v="187"/>
    <n v="0"/>
    <n v="1"/>
  </r>
  <r>
    <s v="043.515.558/0001-12"/>
    <x v="176"/>
    <s v="EXCLUSAO  ANOT.INADIMPLENCIA"/>
    <x v="198"/>
    <x v="10"/>
    <s v="2025-07"/>
    <x v="42"/>
    <s v="ROGERIO "/>
    <x v="176"/>
    <n v="1"/>
    <n v="0"/>
  </r>
  <r>
    <s v="039.535.425/0001-30"/>
    <x v="120"/>
    <s v="INCLUSAO  ANOT.INADIMPLENCIA"/>
    <x v="198"/>
    <x v="6"/>
    <s v="2025-07"/>
    <x v="42"/>
    <s v="RAFAEL PARISE"/>
    <x v="120"/>
    <n v="0"/>
    <n v="1"/>
  </r>
  <r>
    <s v="028.650.970/0001-51"/>
    <x v="166"/>
    <s v="EXCLUSAO  ANOT.INADIMPLENCIA"/>
    <x v="198"/>
    <x v="10"/>
    <s v="2025-07"/>
    <x v="42"/>
    <s v="ROGERIO "/>
    <x v="166"/>
    <n v="1"/>
    <n v="0"/>
  </r>
  <r>
    <s v="028.511.223/0001-32"/>
    <x v="189"/>
    <s v="INCLUSAO  ANOT.INADIMPLENCIA"/>
    <x v="198"/>
    <x v="0"/>
    <s v="2025-07"/>
    <x v="42"/>
    <s v="ADMINISTRAÇÃO"/>
    <x v="189"/>
    <n v="0"/>
    <n v="1"/>
  </r>
  <r>
    <s v="028.393.466/0001-13"/>
    <x v="167"/>
    <s v="INCLUSAO  ANOT.INADIMPLENCIA"/>
    <x v="198"/>
    <x v="12"/>
    <s v="2025-07"/>
    <x v="42"/>
    <s v="PROSPECTAR"/>
    <x v="167"/>
    <n v="0"/>
    <n v="1"/>
  </r>
  <r>
    <s v="027.508.008/0001-10"/>
    <x v="216"/>
    <s v="EXCLUSAO  ANOT.INADIMPLENCIA"/>
    <x v="198"/>
    <x v="29"/>
    <s v="2025-07"/>
    <x v="42"/>
    <s v="DALVA"/>
    <x v="216"/>
    <n v="1"/>
    <n v="0"/>
  </r>
  <r>
    <s v="026.416.177/0001-67"/>
    <x v="130"/>
    <s v="INCLUSAO  ANOT.INADIMPLENCIA"/>
    <x v="198"/>
    <x v="3"/>
    <s v="2025-07"/>
    <x v="42"/>
    <s v="MARCUS VINICIUS "/>
    <x v="130"/>
    <n v="0"/>
    <n v="1"/>
  </r>
  <r>
    <s v="024.255.748/0001-01"/>
    <x v="30"/>
    <s v="INCLUSAO  ANOT.INADIMPLENCIA"/>
    <x v="198"/>
    <x v="12"/>
    <s v="2025-07"/>
    <x v="42"/>
    <s v="PROSPECTAR"/>
    <x v="30"/>
    <n v="0"/>
    <n v="1"/>
  </r>
  <r>
    <s v="023.637.987/0001-55"/>
    <x v="20"/>
    <s v="EXCLUSAO  ANOT.INADIMPLENCIA"/>
    <x v="198"/>
    <x v="5"/>
    <s v="2025-07"/>
    <x v="42"/>
    <s v="POENATELA"/>
    <x v="20"/>
    <n v="1"/>
    <n v="0"/>
  </r>
  <r>
    <s v="020.066.300/0001-80"/>
    <x v="2"/>
    <s v="INCLUSAO  ANOT.INADIMPLENCIA"/>
    <x v="198"/>
    <x v="1"/>
    <s v="2025-07"/>
    <x v="42"/>
    <s v="CELIO PIMENTA"/>
    <x v="2"/>
    <n v="0"/>
    <n v="1"/>
  </r>
  <r>
    <s v="016.757.535/0001-41"/>
    <x v="29"/>
    <s v="INCL/EXCL ANOT.INADIMPLENCIA"/>
    <x v="198"/>
    <x v="11"/>
    <s v="2025-07"/>
    <x v="42"/>
    <s v="DIOGO AZEVEDO"/>
    <x v="29"/>
    <n v="1"/>
    <n v="1"/>
  </r>
  <r>
    <s v="013.323.483/0001-07"/>
    <x v="199"/>
    <s v="INCLUSAO  ANOT.INADIMPLENCIA"/>
    <x v="198"/>
    <x v="21"/>
    <s v="2025-07"/>
    <x v="42"/>
    <s v="CAIO"/>
    <x v="199"/>
    <n v="0"/>
    <n v="1"/>
  </r>
  <r>
    <s v="008.250.872/0001-10"/>
    <x v="121"/>
    <s v="INCLUSAO  ANOT.INADIMPLENCIA"/>
    <x v="198"/>
    <x v="6"/>
    <s v="2025-07"/>
    <x v="42"/>
    <s v="RAFAEL PARISE"/>
    <x v="121"/>
    <n v="0"/>
    <n v="1"/>
  </r>
  <r>
    <s v="007.102.721/0001-51"/>
    <x v="44"/>
    <s v="EXCLUSAO  ANOT.INADIMPLENCIA"/>
    <x v="198"/>
    <x v="12"/>
    <s v="2025-07"/>
    <x v="42"/>
    <s v="PROSPECTAR"/>
    <x v="44"/>
    <n v="1"/>
    <n v="0"/>
  </r>
  <r>
    <s v="004.622.554/0001-81"/>
    <x v="66"/>
    <s v="INCLUSAO  ANOT.INADIMPLENCIA"/>
    <x v="198"/>
    <x v="4"/>
    <s v="2025-07"/>
    <x v="42"/>
    <s v="NOELI SALETE"/>
    <x v="66"/>
    <n v="0"/>
    <n v="1"/>
  </r>
  <r>
    <s v="004.323.643/0001-27"/>
    <x v="221"/>
    <s v="INCLUSAO  ANOT.INADIMPLENCIA"/>
    <x v="198"/>
    <x v="0"/>
    <s v="2025-07"/>
    <x v="42"/>
    <s v="ADMINISTRAÇÃO"/>
    <x v="221"/>
    <n v="0"/>
    <n v="1"/>
  </r>
  <r>
    <s v="051.323.061/0001-20"/>
    <x v="252"/>
    <s v="EXCLUSAO  ANOT.INADIMPLENCIA"/>
    <x v="198"/>
    <x v="27"/>
    <s v="2025-07"/>
    <x v="42"/>
    <s v="ALISSON DE SOUZA LIMA"/>
    <x v="252"/>
    <n v="1"/>
    <n v="0"/>
  </r>
  <r>
    <s v="071.350.797/0001-03"/>
    <x v="48"/>
    <s v="INCL/EXCL ANOT.INADIMPLENCIA"/>
    <x v="198"/>
    <x v="10"/>
    <s v="2025-07"/>
    <x v="42"/>
    <s v="ROGERIO "/>
    <x v="48"/>
    <n v="1"/>
    <n v="1"/>
  </r>
  <r>
    <s v="000.803.044/0001-50"/>
    <x v="45"/>
    <s v="INCLUSAO  ANOT.INADIMPLENCIA"/>
    <x v="199"/>
    <x v="0"/>
    <s v="2025-07"/>
    <x v="42"/>
    <s v="ADMINISTRAÇÃO"/>
    <x v="45"/>
    <n v="0"/>
    <n v="1"/>
  </r>
  <r>
    <s v="047.635.671/0001-92"/>
    <x v="143"/>
    <s v="INCLUSAO  ANOT.INADIMPLENCIA"/>
    <x v="199"/>
    <x v="1"/>
    <s v="2025-07"/>
    <x v="42"/>
    <s v="CELIO PIMENTA"/>
    <x v="143"/>
    <n v="0"/>
    <n v="1"/>
  </r>
  <r>
    <s v="046.674.060/0001-90"/>
    <x v="140"/>
    <s v="EXCLUSAO  ANOT.INADIMPLENCIA"/>
    <x v="199"/>
    <x v="10"/>
    <s v="2025-07"/>
    <x v="42"/>
    <s v="ROGERIO "/>
    <x v="140"/>
    <n v="1"/>
    <n v="0"/>
  </r>
  <r>
    <s v="044.921.612/0001-92"/>
    <x v="251"/>
    <s v="INCLUSAO  ANOT.INADIMPLENCIA"/>
    <x v="199"/>
    <x v="0"/>
    <s v="2025-07"/>
    <x v="42"/>
    <s v="ADMINISTRAÇÃO"/>
    <x v="251"/>
    <n v="0"/>
    <n v="1"/>
  </r>
  <r>
    <s v="040.938.741/0001-32"/>
    <x v="161"/>
    <s v="INCLUSAO  ANOT.INADIMPLENCIA"/>
    <x v="199"/>
    <x v="12"/>
    <s v="2025-07"/>
    <x v="42"/>
    <s v="PROSPECTAR"/>
    <x v="161"/>
    <n v="0"/>
    <n v="1"/>
  </r>
  <r>
    <s v="038.479.255/0001-51"/>
    <x v="240"/>
    <s v="INCLUSAO  ANOT.INADIMPLENCIA"/>
    <x v="199"/>
    <x v="3"/>
    <s v="2025-07"/>
    <x v="42"/>
    <s v="MARCUS VINICIUS "/>
    <x v="240"/>
    <n v="0"/>
    <n v="1"/>
  </r>
  <r>
    <s v="033.803.691/0001-10"/>
    <x v="103"/>
    <s v="INCLUSAO  ANOT.INADIMPLENCIA"/>
    <x v="199"/>
    <x v="0"/>
    <s v="2025-07"/>
    <x v="42"/>
    <s v="ADMINISTRAÇÃO"/>
    <x v="103"/>
    <n v="0"/>
    <n v="1"/>
  </r>
  <r>
    <s v="028.511.223/0001-32"/>
    <x v="189"/>
    <s v="INCLUSAO  ANOT.INADIMPLENCIA"/>
    <x v="199"/>
    <x v="0"/>
    <s v="2025-07"/>
    <x v="42"/>
    <s v="ADMINISTRAÇÃO"/>
    <x v="189"/>
    <n v="0"/>
    <n v="1"/>
  </r>
  <r>
    <s v="025.094.292/0001-08"/>
    <x v="213"/>
    <s v="INCLUSAO  ANOT.INADIMPLENCIA"/>
    <x v="199"/>
    <x v="12"/>
    <s v="2025-07"/>
    <x v="42"/>
    <s v="PROSPECTAR"/>
    <x v="213"/>
    <n v="0"/>
    <n v="1"/>
  </r>
  <r>
    <s v="022.457.202/0001-08"/>
    <x v="257"/>
    <s v="INCLUSAO  ANOT.INADIMPLENCIA"/>
    <x v="199"/>
    <x v="35"/>
    <s v="2025-07"/>
    <x v="42"/>
    <s v="VALERIA"/>
    <x v="257"/>
    <n v="0"/>
    <n v="1"/>
  </r>
  <r>
    <s v="021.420.856/0001-96"/>
    <x v="129"/>
    <s v="INCLUSAO  ANOT.INADIMPLENCIA"/>
    <x v="199"/>
    <x v="19"/>
    <s v="2025-07"/>
    <x v="42"/>
    <s v="JOSE ROBERTO"/>
    <x v="129"/>
    <n v="0"/>
    <n v="1"/>
  </r>
  <r>
    <s v="021.382.943/0001-04"/>
    <x v="205"/>
    <s v="INCLUSAO  ANOT.INADIMPLENCIA"/>
    <x v="199"/>
    <x v="0"/>
    <s v="2025-07"/>
    <x v="42"/>
    <s v="ADMINISTRAÇÃO"/>
    <x v="205"/>
    <n v="0"/>
    <n v="1"/>
  </r>
  <r>
    <s v="015.638.029/0001-70"/>
    <x v="234"/>
    <s v="INCLUSAO  ANOT.INADIMPLENCIA"/>
    <x v="199"/>
    <x v="3"/>
    <s v="2025-07"/>
    <x v="42"/>
    <s v="MARCUS VINICIUS "/>
    <x v="234"/>
    <n v="0"/>
    <n v="1"/>
  </r>
  <r>
    <s v="013.323.483/0001-07"/>
    <x v="199"/>
    <s v="EXCLUSAO  ANOT.INADIMPLENCIA"/>
    <x v="199"/>
    <x v="21"/>
    <s v="2025-07"/>
    <x v="42"/>
    <s v="CAIO"/>
    <x v="199"/>
    <n v="1"/>
    <n v="0"/>
  </r>
  <r>
    <s v="011.122.552/0001-99"/>
    <x v="59"/>
    <s v="INCLUSAO  ANOT.INADIMPLENCIA"/>
    <x v="199"/>
    <x v="6"/>
    <s v="2025-07"/>
    <x v="42"/>
    <s v="RAFAEL PARISE"/>
    <x v="59"/>
    <n v="0"/>
    <n v="1"/>
  </r>
  <r>
    <s v="008.991.603/0001-04"/>
    <x v="57"/>
    <s v="INCLUSAO  ANOT.INADIMPLENCIA"/>
    <x v="199"/>
    <x v="3"/>
    <s v="2025-07"/>
    <x v="42"/>
    <s v="MARCUS VINICIUS "/>
    <x v="57"/>
    <n v="0"/>
    <n v="1"/>
  </r>
  <r>
    <s v="008.250.872/0001-10"/>
    <x v="121"/>
    <s v="INCLUSAO  ANOT.INADIMPLENCIA"/>
    <x v="199"/>
    <x v="6"/>
    <s v="2025-07"/>
    <x v="42"/>
    <s v="RAFAEL PARISE"/>
    <x v="121"/>
    <n v="0"/>
    <n v="1"/>
  </r>
  <r>
    <s v="005.374.432/0001-86"/>
    <x v="222"/>
    <s v="INCLUSAO  ANOT.INADIMPLENCIA"/>
    <x v="199"/>
    <x v="29"/>
    <s v="2025-07"/>
    <x v="42"/>
    <s v="DALVA"/>
    <x v="222"/>
    <n v="0"/>
    <n v="1"/>
  </r>
  <r>
    <s v="004.622.554/0001-81"/>
    <x v="66"/>
    <s v="EXCLUSAO  ANOT.INADIMPLENCIA"/>
    <x v="199"/>
    <x v="4"/>
    <s v="2025-07"/>
    <x v="42"/>
    <s v="NOELI SALETE"/>
    <x v="66"/>
    <n v="1"/>
    <n v="0"/>
  </r>
  <r>
    <s v="004.323.643/0001-27"/>
    <x v="221"/>
    <s v="INCLUSAO  ANOT.INADIMPLENCIA"/>
    <x v="199"/>
    <x v="0"/>
    <s v="2025-07"/>
    <x v="42"/>
    <s v="ADMINISTRAÇÃO"/>
    <x v="221"/>
    <n v="0"/>
    <n v="1"/>
  </r>
  <r>
    <s v="003.590.360/0001-89"/>
    <x v="3"/>
    <s v="EXCLUSAO  ANOT.INADIMPLENCIA"/>
    <x v="199"/>
    <x v="1"/>
    <s v="2025-07"/>
    <x v="42"/>
    <s v="CELIO PIMENTA"/>
    <x v="3"/>
    <n v="1"/>
    <n v="0"/>
  </r>
  <r>
    <s v="003.524.760/0001-96"/>
    <x v="230"/>
    <s v="INCLUSAO  ANOT.INADIMPLENCIA"/>
    <x v="199"/>
    <x v="30"/>
    <s v="2025-07"/>
    <x v="42"/>
    <s v="ANDRE CUNHA"/>
    <x v="230"/>
    <n v="0"/>
    <n v="1"/>
  </r>
  <r>
    <s v="071.350.797/0001-03"/>
    <x v="48"/>
    <s v="EXCLUSAO  ANOT.INADIMPLENCIA"/>
    <x v="199"/>
    <x v="10"/>
    <s v="2025-07"/>
    <x v="42"/>
    <s v="ROGERIO "/>
    <x v="48"/>
    <n v="1"/>
    <n v="0"/>
  </r>
  <r>
    <s v="013.918.473/0001-14"/>
    <x v="243"/>
    <s v="ALTERACAO ENDERECO"/>
    <x v="199"/>
    <x v="21"/>
    <s v="2025-07"/>
    <x v="42"/>
    <s v="CAIO"/>
    <x v="243"/>
    <n v="0"/>
    <n v="0"/>
  </r>
  <r>
    <s v="003.524.760/0001-96"/>
    <x v="230"/>
    <s v="INCL/EXCL ANOT.INADIMPLENCIA"/>
    <x v="200"/>
    <x v="30"/>
    <s v="2025-07"/>
    <x v="43"/>
    <s v="ANDRE CUNHA"/>
    <x v="230"/>
    <n v="1"/>
    <n v="1"/>
  </r>
  <r>
    <s v="051.323.061/0001-20"/>
    <x v="252"/>
    <s v="INCLUSAO  ANOT.INADIMPLENCIA"/>
    <x v="200"/>
    <x v="27"/>
    <s v="2025-07"/>
    <x v="43"/>
    <s v="ALISSON DE SOUZA LIMA"/>
    <x v="252"/>
    <n v="0"/>
    <n v="1"/>
  </r>
  <r>
    <s v="045.123.456/0001-87"/>
    <x v="123"/>
    <s v="INCLUSAO  ANOT.INADIMPLENCIA"/>
    <x v="200"/>
    <x v="0"/>
    <s v="2025-07"/>
    <x v="43"/>
    <s v="ADMINISTRAÇÃO"/>
    <x v="123"/>
    <n v="0"/>
    <n v="1"/>
  </r>
  <r>
    <s v="033.249.279/0001-09"/>
    <x v="238"/>
    <s v="EXCLUSAO  ANOT.INADIMPLENCIA"/>
    <x v="200"/>
    <x v="27"/>
    <s v="2025-07"/>
    <x v="43"/>
    <s v="ALISSON DE SOUZA LIMA"/>
    <x v="238"/>
    <n v="1"/>
    <n v="0"/>
  </r>
  <r>
    <s v="028.511.223/0001-32"/>
    <x v="189"/>
    <s v="INCLUSAO  ANOT.INADIMPLENCIA"/>
    <x v="200"/>
    <x v="0"/>
    <s v="2025-07"/>
    <x v="43"/>
    <s v="ADMINISTRAÇÃO"/>
    <x v="189"/>
    <n v="0"/>
    <n v="1"/>
  </r>
  <r>
    <s v="028.393.466/0001-13"/>
    <x v="167"/>
    <s v="INCLUSAO  ANOT.INADIMPLENCIA"/>
    <x v="200"/>
    <x v="12"/>
    <s v="2025-07"/>
    <x v="43"/>
    <s v="PROSPECTAR"/>
    <x v="167"/>
    <n v="0"/>
    <n v="1"/>
  </r>
  <r>
    <s v="025.383.640/0001-59"/>
    <x v="158"/>
    <s v="EXCLUSAO  ANOT.INADIMPLENCIA"/>
    <x v="200"/>
    <x v="5"/>
    <s v="2025-07"/>
    <x v="43"/>
    <s v="POENATELA"/>
    <x v="158"/>
    <n v="1"/>
    <n v="0"/>
  </r>
  <r>
    <s v="025.094.292/0001-08"/>
    <x v="213"/>
    <s v="INCLUSAO  ANOT.INADIMPLENCIA"/>
    <x v="200"/>
    <x v="12"/>
    <s v="2025-07"/>
    <x v="43"/>
    <s v="PROSPECTAR"/>
    <x v="213"/>
    <n v="0"/>
    <n v="1"/>
  </r>
  <r>
    <s v="022.457.202/0001-08"/>
    <x v="257"/>
    <s v="INCLUSAO  ANOT.INADIMPLENCIA"/>
    <x v="200"/>
    <x v="35"/>
    <s v="2025-07"/>
    <x v="43"/>
    <s v="VALERIA"/>
    <x v="257"/>
    <n v="0"/>
    <n v="1"/>
  </r>
  <r>
    <s v="021.734.108/0001-88"/>
    <x v="41"/>
    <s v="INCLUSAO  ANOT.INADIMPLENCIA"/>
    <x v="200"/>
    <x v="0"/>
    <s v="2025-07"/>
    <x v="43"/>
    <s v="ADMINISTRAÇÃO"/>
    <x v="41"/>
    <n v="0"/>
    <n v="1"/>
  </r>
  <r>
    <s v="021.382.943/0001-04"/>
    <x v="205"/>
    <s v="INCLUSAO  ANOT.INADIMPLENCIA"/>
    <x v="200"/>
    <x v="0"/>
    <s v="2025-07"/>
    <x v="43"/>
    <s v="ADMINISTRAÇÃO"/>
    <x v="205"/>
    <n v="0"/>
    <n v="1"/>
  </r>
  <r>
    <s v="020.024.081/0001-77"/>
    <x v="177"/>
    <s v="INCLUSAO  ANOT.INADIMPLENCIA"/>
    <x v="200"/>
    <x v="10"/>
    <s v="2025-07"/>
    <x v="43"/>
    <s v="ROGERIO "/>
    <x v="177"/>
    <n v="0"/>
    <n v="1"/>
  </r>
  <r>
    <s v="019.450.138/0001-10"/>
    <x v="70"/>
    <s v="EXCLUSAO  ANOT.INADIMPLENCIA"/>
    <x v="200"/>
    <x v="17"/>
    <s v="2025-07"/>
    <x v="43"/>
    <s v="MARCIO LEONEL"/>
    <x v="70"/>
    <n v="1"/>
    <n v="0"/>
  </r>
  <r>
    <s v="016.772.642/0001-49"/>
    <x v="69"/>
    <s v="INCLUSAO  ANOT.INADIMPLENCIA"/>
    <x v="200"/>
    <x v="0"/>
    <s v="2025-07"/>
    <x v="43"/>
    <s v="ADMINISTRAÇÃO"/>
    <x v="69"/>
    <n v="0"/>
    <n v="1"/>
  </r>
  <r>
    <s v="016.757.535/0001-41"/>
    <x v="29"/>
    <s v="INCLUSAO  ANOT.INADIMPLENCIA"/>
    <x v="200"/>
    <x v="11"/>
    <s v="2025-07"/>
    <x v="43"/>
    <s v="DIOGO AZEVEDO"/>
    <x v="29"/>
    <n v="0"/>
    <n v="1"/>
  </r>
  <r>
    <s v="016.743.404/0001-05"/>
    <x v="264"/>
    <s v="INCLUSAO  ANOT.INADIMPLENCIA"/>
    <x v="200"/>
    <x v="29"/>
    <s v="2025-07"/>
    <x v="43"/>
    <s v="DALVA"/>
    <x v="264"/>
    <n v="0"/>
    <n v="1"/>
  </r>
  <r>
    <s v="015.638.029/0001-70"/>
    <x v="234"/>
    <s v="INCLUSAO  ANOT.INADIMPLENCIA"/>
    <x v="200"/>
    <x v="3"/>
    <s v="2025-07"/>
    <x v="43"/>
    <s v="MARCUS VINICIUS "/>
    <x v="234"/>
    <n v="0"/>
    <n v="1"/>
  </r>
  <r>
    <s v="003.603.516/0001-19"/>
    <x v="236"/>
    <s v="INCLUSAO  ANOT.INADIMPLENCIA"/>
    <x v="200"/>
    <x v="3"/>
    <s v="2025-07"/>
    <x v="43"/>
    <s v="MARCUS VINICIUS "/>
    <x v="236"/>
    <n v="0"/>
    <n v="1"/>
  </r>
  <r>
    <s v="004.323.643/0001-27"/>
    <x v="221"/>
    <s v="INCLUSAO  ANOT.INADIMPLENCIA"/>
    <x v="200"/>
    <x v="0"/>
    <s v="2025-07"/>
    <x v="43"/>
    <s v="ADMINISTRAÇÃO"/>
    <x v="221"/>
    <n v="0"/>
    <n v="1"/>
  </r>
  <r>
    <s v="005.374.432/0001-86"/>
    <x v="222"/>
    <s v="EXCLUSAO  ANOT.INADIMPLENCIA"/>
    <x v="200"/>
    <x v="29"/>
    <s v="2025-07"/>
    <x v="43"/>
    <s v="DALVA"/>
    <x v="222"/>
    <n v="1"/>
    <n v="0"/>
  </r>
  <r>
    <s v="007.102.721/0001-51"/>
    <x v="44"/>
    <s v="EXCLUSAO  ANOT.INADIMPLENCIA"/>
    <x v="200"/>
    <x v="12"/>
    <s v="2025-07"/>
    <x v="43"/>
    <s v="PROSPECTAR"/>
    <x v="44"/>
    <n v="1"/>
    <n v="0"/>
  </r>
  <r>
    <s v="007.561.436/0001-07"/>
    <x v="34"/>
    <s v="INCLUSAO  ANOT.INADIMPLENCIA"/>
    <x v="200"/>
    <x v="12"/>
    <s v="2025-07"/>
    <x v="43"/>
    <s v="PROSPECTAR"/>
    <x v="34"/>
    <n v="0"/>
    <n v="1"/>
  </r>
  <r>
    <s v="008.196.295/0001-25"/>
    <x v="255"/>
    <s v="EXCLUSAO  ANOT.INADIMPLENCIA"/>
    <x v="200"/>
    <x v="34"/>
    <s v="2025-07"/>
    <x v="43"/>
    <s v="CREDTEM"/>
    <x v="255"/>
    <n v="1"/>
    <n v="0"/>
  </r>
  <r>
    <s v="057.696.093/0001-58"/>
    <x v="206"/>
    <s v="INCLUSAO  ANOT.INADIMPLENCIA"/>
    <x v="200"/>
    <x v="1"/>
    <s v="2025-07"/>
    <x v="43"/>
    <s v="CELIO PIMENTA"/>
    <x v="206"/>
    <n v="0"/>
    <n v="1"/>
  </r>
  <r>
    <s v="008.250.872/0001-10"/>
    <x v="121"/>
    <s v="INCLUSAO  ANOT.INADIMPLENCIA"/>
    <x v="200"/>
    <x v="6"/>
    <s v="2025-07"/>
    <x v="43"/>
    <s v="RAFAEL PARISE"/>
    <x v="121"/>
    <n v="0"/>
    <n v="1"/>
  </r>
  <r>
    <s v="009.171.140/0001-05"/>
    <x v="33"/>
    <s v="EXCLUSAO  ANOT.INADIMPLENCIA"/>
    <x v="200"/>
    <x v="13"/>
    <s v="2025-07"/>
    <x v="43"/>
    <s v="ANDERSON FRAGA"/>
    <x v="33"/>
    <n v="1"/>
    <n v="0"/>
  </r>
  <r>
    <s v="009.674.456/0001-01"/>
    <x v="233"/>
    <s v="INCLUSAO  ANOT.INADIMPLENCIA"/>
    <x v="200"/>
    <x v="6"/>
    <s v="2025-07"/>
    <x v="43"/>
    <s v="RAFAEL PARISE"/>
    <x v="233"/>
    <n v="0"/>
    <n v="1"/>
  </r>
  <r>
    <s v="010.497.973/0001-31"/>
    <x v="53"/>
    <s v="INCLUSAO  ANOT.INADIMPLENCIA"/>
    <x v="200"/>
    <x v="0"/>
    <s v="2025-07"/>
    <x v="43"/>
    <s v="ADMINISTRAÇÃO"/>
    <x v="53"/>
    <n v="0"/>
    <n v="1"/>
  </r>
  <r>
    <s v="011.091.574/0001-39"/>
    <x v="26"/>
    <s v="EXCLUSAO  ANOT.INADIMPLENCIA"/>
    <x v="200"/>
    <x v="5"/>
    <s v="2025-07"/>
    <x v="43"/>
    <s v="POENATELA"/>
    <x v="26"/>
    <n v="1"/>
    <n v="0"/>
  </r>
  <r>
    <s v="011.122.552/0001-99"/>
    <x v="59"/>
    <s v="INCLUSAO  ANOT.INADIMPLENCIA"/>
    <x v="200"/>
    <x v="6"/>
    <s v="2025-07"/>
    <x v="43"/>
    <s v="RAFAEL PARISE"/>
    <x v="59"/>
    <n v="0"/>
    <n v="1"/>
  </r>
  <r>
    <s v="014.178.148/0001-25"/>
    <x v="265"/>
    <s v="INCLUSAO  ANOT.INADIMPLENCIA"/>
    <x v="200"/>
    <x v="29"/>
    <s v="2025-07"/>
    <x v="43"/>
    <s v="DALVA"/>
    <x v="265"/>
    <n v="0"/>
    <n v="1"/>
  </r>
  <r>
    <s v="008.991.603/0001-04"/>
    <x v="57"/>
    <s v="INCLUSAO  ANOT.INADIMPLENCIA"/>
    <x v="200"/>
    <x v="3"/>
    <s v="2025-07"/>
    <x v="43"/>
    <s v="MARCUS VINICIUS "/>
    <x v="57"/>
    <n v="0"/>
    <n v="1"/>
  </r>
  <r>
    <s v="093.274.124/0001-46"/>
    <x v="82"/>
    <s v="EXCLUSAO  ANOT.INADIMPLENCIA"/>
    <x v="200"/>
    <x v="4"/>
    <s v="2025-07"/>
    <x v="43"/>
    <s v="NOELI SALETE"/>
    <x v="82"/>
    <n v="1"/>
    <n v="0"/>
  </r>
  <r>
    <s v="003.524.760/0001-96"/>
    <x v="230"/>
    <s v="INCLUSAO  ANOT.INADIMPLENCIA"/>
    <x v="201"/>
    <x v="30"/>
    <s v="2025-07"/>
    <x v="43"/>
    <s v="ANDRE CUNHA"/>
    <x v="230"/>
    <n v="0"/>
    <n v="1"/>
  </r>
  <r>
    <s v="049.218.819/0001-19"/>
    <x v="150"/>
    <s v="ALTERACAO ADMINISTRADORES"/>
    <x v="201"/>
    <x v="11"/>
    <s v="2025-07"/>
    <x v="43"/>
    <s v="DIOGO AZEVEDO"/>
    <x v="150"/>
    <n v="0"/>
    <n v="0"/>
  </r>
  <r>
    <s v="042.119.428/0001-06"/>
    <x v="247"/>
    <s v="EXCLUSAO  ANOT.INADIMPLENCIA"/>
    <x v="201"/>
    <x v="31"/>
    <s v="2025-07"/>
    <x v="43"/>
    <s v="TIAGO NEVES"/>
    <x v="247"/>
    <n v="1"/>
    <n v="0"/>
  </r>
  <r>
    <s v="038.479.255/0001-51"/>
    <x v="240"/>
    <s v="INCLUSAO  ANOT.INADIMPLENCIA"/>
    <x v="201"/>
    <x v="3"/>
    <s v="2025-07"/>
    <x v="43"/>
    <s v="MARCUS VINICIUS "/>
    <x v="240"/>
    <n v="0"/>
    <n v="1"/>
  </r>
  <r>
    <s v="038.479.255/0001-51"/>
    <x v="240"/>
    <s v="ALTERACAO QUADRO SOCIAL"/>
    <x v="201"/>
    <x v="3"/>
    <s v="2025-07"/>
    <x v="43"/>
    <s v="MARCUS VINICIUS "/>
    <x v="240"/>
    <n v="0"/>
    <n v="0"/>
  </r>
  <r>
    <s v="037.599.774/0001-90"/>
    <x v="201"/>
    <s v="INCLUSAO  ANOT.INADIMPLENCIA"/>
    <x v="201"/>
    <x v="21"/>
    <s v="2025-07"/>
    <x v="43"/>
    <s v="CAIO"/>
    <x v="201"/>
    <n v="0"/>
    <n v="1"/>
  </r>
  <r>
    <s v="028.511.223/0001-32"/>
    <x v="189"/>
    <s v="INCL/EXCL ANOT.INADIMPLENCIA"/>
    <x v="201"/>
    <x v="0"/>
    <s v="2025-07"/>
    <x v="43"/>
    <s v="ADMINISTRAÇÃO"/>
    <x v="189"/>
    <n v="1"/>
    <n v="1"/>
  </r>
  <r>
    <s v="028.393.466/0001-13"/>
    <x v="167"/>
    <s v="INCLUSAO  ANOT.INADIMPLENCIA"/>
    <x v="201"/>
    <x v="12"/>
    <s v="2025-07"/>
    <x v="43"/>
    <s v="PROSPECTAR"/>
    <x v="167"/>
    <n v="0"/>
    <n v="1"/>
  </r>
  <r>
    <s v="026.628.832/0001-40"/>
    <x v="244"/>
    <s v="INCLUSAO  ANOT.INADIMPLENCIA"/>
    <x v="201"/>
    <x v="27"/>
    <s v="2025-07"/>
    <x v="43"/>
    <s v="ALISSON DE SOUZA LIMA"/>
    <x v="244"/>
    <n v="0"/>
    <n v="1"/>
  </r>
  <r>
    <s v="025.383.640/0001-59"/>
    <x v="158"/>
    <s v="EXCLUSAO  ANOT.INADIMPLENCIA"/>
    <x v="201"/>
    <x v="5"/>
    <s v="2025-07"/>
    <x v="43"/>
    <s v="POENATELA"/>
    <x v="158"/>
    <n v="1"/>
    <n v="0"/>
  </r>
  <r>
    <s v="049.218.819/0001-19"/>
    <x v="150"/>
    <s v="ALTERACAO QUADRO SOCIAL"/>
    <x v="201"/>
    <x v="11"/>
    <s v="2025-07"/>
    <x v="43"/>
    <s v="DIOGO AZEVEDO"/>
    <x v="150"/>
    <n v="0"/>
    <n v="0"/>
  </r>
  <r>
    <s v="020.024.081/0001-77"/>
    <x v="177"/>
    <s v="INCL/EXCL ANOT.INADIMPLENCIA"/>
    <x v="201"/>
    <x v="10"/>
    <s v="2025-07"/>
    <x v="43"/>
    <s v="ROGERIO "/>
    <x v="177"/>
    <n v="1"/>
    <n v="1"/>
  </r>
  <r>
    <s v="016.757.535/0001-41"/>
    <x v="29"/>
    <s v="INCLUSAO  ANOT.INADIMPLENCIA"/>
    <x v="201"/>
    <x v="11"/>
    <s v="2025-07"/>
    <x v="43"/>
    <s v="DIOGO AZEVEDO"/>
    <x v="29"/>
    <n v="0"/>
    <n v="1"/>
  </r>
  <r>
    <s v="014.385.825/0001-86"/>
    <x v="110"/>
    <s v="INCLUSAO  ANOT.INADIMPLENCIA"/>
    <x v="201"/>
    <x v="6"/>
    <s v="2025-07"/>
    <x v="43"/>
    <s v="RAFAEL PARISE"/>
    <x v="110"/>
    <n v="0"/>
    <n v="1"/>
  </r>
  <r>
    <s v="010.497.973/0001-31"/>
    <x v="53"/>
    <s v="INCLUSAO  ANOT.INADIMPLENCIA"/>
    <x v="201"/>
    <x v="0"/>
    <s v="2025-07"/>
    <x v="43"/>
    <s v="ADMINISTRAÇÃO"/>
    <x v="53"/>
    <n v="0"/>
    <n v="1"/>
  </r>
  <r>
    <s v="009.674.456/0001-01"/>
    <x v="233"/>
    <s v="INCL/EXCL ANOT.INADIMPLENCIA"/>
    <x v="201"/>
    <x v="6"/>
    <s v="2025-07"/>
    <x v="43"/>
    <s v="RAFAEL PARISE"/>
    <x v="233"/>
    <n v="1"/>
    <n v="1"/>
  </r>
  <r>
    <s v="008.250.872/0001-10"/>
    <x v="121"/>
    <s v="INCLUSAO  ANOT.INADIMPLENCIA"/>
    <x v="201"/>
    <x v="6"/>
    <s v="2025-07"/>
    <x v="43"/>
    <s v="RAFAEL PARISE"/>
    <x v="121"/>
    <n v="0"/>
    <n v="1"/>
  </r>
  <r>
    <s v="005.350.235/0001-27"/>
    <x v="72"/>
    <s v="INCLUSAO  ANOT.INADIMPLENCIA"/>
    <x v="201"/>
    <x v="3"/>
    <s v="2025-07"/>
    <x v="43"/>
    <s v="MARCUS VINICIUS "/>
    <x v="72"/>
    <n v="0"/>
    <n v="1"/>
  </r>
  <r>
    <s v="004.323.643/0001-27"/>
    <x v="221"/>
    <s v="INCL/EXCL ANOT.INADIMPLENCIA"/>
    <x v="201"/>
    <x v="0"/>
    <s v="2025-07"/>
    <x v="43"/>
    <s v="ADMINISTRAÇÃO"/>
    <x v="221"/>
    <n v="1"/>
    <n v="1"/>
  </r>
  <r>
    <s v="021.382.943/0001-04"/>
    <x v="205"/>
    <s v="INCL/EXCL ANOT.INADIMPLENCIA"/>
    <x v="201"/>
    <x v="0"/>
    <s v="2025-07"/>
    <x v="43"/>
    <s v="ADMINISTRAÇÃO"/>
    <x v="205"/>
    <n v="1"/>
    <n v="1"/>
  </r>
  <r>
    <s v="043.515.558/0001-12"/>
    <x v="176"/>
    <s v="EXCLUSAO  ANOT.INADIMPLENCIA"/>
    <x v="202"/>
    <x v="10"/>
    <s v="2025-07"/>
    <x v="43"/>
    <s v="ROGERIO "/>
    <x v="176"/>
    <n v="1"/>
    <n v="0"/>
  </r>
  <r>
    <s v="040.938.741/0001-32"/>
    <x v="161"/>
    <s v="INCLUSAO  ANOT.INADIMPLENCIA"/>
    <x v="202"/>
    <x v="12"/>
    <s v="2025-07"/>
    <x v="43"/>
    <s v="PROSPECTAR"/>
    <x v="161"/>
    <n v="0"/>
    <n v="1"/>
  </r>
  <r>
    <s v="037.599.774/0001-90"/>
    <x v="201"/>
    <s v="EXCLUSAO  ANOT.INADIMPLENCIA"/>
    <x v="202"/>
    <x v="21"/>
    <s v="2025-07"/>
    <x v="43"/>
    <s v="CAIO"/>
    <x v="201"/>
    <n v="1"/>
    <n v="0"/>
  </r>
  <r>
    <s v="028.511.223/0001-32"/>
    <x v="189"/>
    <s v="INCL/EXCL ANOT.INADIMPLENCIA"/>
    <x v="202"/>
    <x v="0"/>
    <s v="2025-07"/>
    <x v="43"/>
    <s v="ADMINISTRAÇÃO"/>
    <x v="189"/>
    <n v="1"/>
    <n v="1"/>
  </r>
  <r>
    <s v="026.628.832/0001-40"/>
    <x v="244"/>
    <s v="INCLUSAO  ANOT.INADIMPLENCIA"/>
    <x v="202"/>
    <x v="27"/>
    <s v="2025-07"/>
    <x v="43"/>
    <s v="ALISSON DE SOUZA LIMA"/>
    <x v="244"/>
    <n v="0"/>
    <n v="1"/>
  </r>
  <r>
    <s v="025.094.292/0001-08"/>
    <x v="213"/>
    <s v="EXCLUSAO  ANOT.INADIMPLENCIA"/>
    <x v="202"/>
    <x v="12"/>
    <s v="2025-07"/>
    <x v="43"/>
    <s v="PROSPECTAR"/>
    <x v="213"/>
    <n v="1"/>
    <n v="0"/>
  </r>
  <r>
    <s v="021.420.856/0001-96"/>
    <x v="129"/>
    <s v="INCLUSAO  ANOT.INADIMPLENCIA"/>
    <x v="202"/>
    <x v="19"/>
    <s v="2025-07"/>
    <x v="43"/>
    <s v="JOSE ROBERTO"/>
    <x v="129"/>
    <n v="0"/>
    <n v="1"/>
  </r>
  <r>
    <s v="009.674.456/0001-01"/>
    <x v="233"/>
    <s v="EXCLUSAO  ANOT.INADIMPLENCIA"/>
    <x v="202"/>
    <x v="6"/>
    <s v="2025-07"/>
    <x v="43"/>
    <s v="RAFAEL PARISE"/>
    <x v="233"/>
    <n v="1"/>
    <n v="0"/>
  </r>
  <r>
    <s v="015.638.029/0001-70"/>
    <x v="234"/>
    <s v="INCLUSAO  ANOT.INADIMPLENCIA"/>
    <x v="202"/>
    <x v="3"/>
    <s v="2025-07"/>
    <x v="43"/>
    <s v="MARCUS VINICIUS "/>
    <x v="234"/>
    <n v="0"/>
    <n v="1"/>
  </r>
  <r>
    <s v="013.323.483/0001-07"/>
    <x v="199"/>
    <s v="EXCLUSAO  ANOT.INADIMPLENCIA"/>
    <x v="202"/>
    <x v="21"/>
    <s v="2025-07"/>
    <x v="43"/>
    <s v="CAIO"/>
    <x v="199"/>
    <n v="1"/>
    <n v="0"/>
  </r>
  <r>
    <s v="012.645.814/0001-62"/>
    <x v="217"/>
    <s v="INCLUSAO  ANOT.INADIMPLENCIA"/>
    <x v="202"/>
    <x v="21"/>
    <s v="2025-07"/>
    <x v="43"/>
    <s v="CAIO"/>
    <x v="217"/>
    <n v="0"/>
    <n v="1"/>
  </r>
  <r>
    <s v="008.250.872/0001-10"/>
    <x v="121"/>
    <s v="INCLUSAO  ANOT.INADIMPLENCIA"/>
    <x v="202"/>
    <x v="6"/>
    <s v="2025-07"/>
    <x v="43"/>
    <s v="RAFAEL PARISE"/>
    <x v="121"/>
    <n v="0"/>
    <n v="1"/>
  </r>
  <r>
    <s v="005.774.638/0001-01"/>
    <x v="197"/>
    <s v="INCLUSAO  ANOT.INADIMPLENCIA"/>
    <x v="202"/>
    <x v="21"/>
    <s v="2025-07"/>
    <x v="43"/>
    <s v="CAIO"/>
    <x v="197"/>
    <n v="0"/>
    <n v="1"/>
  </r>
  <r>
    <s v="004.323.643/0001-27"/>
    <x v="221"/>
    <s v="INCLUSAO  ANOT.INADIMPLENCIA"/>
    <x v="202"/>
    <x v="0"/>
    <s v="2025-07"/>
    <x v="43"/>
    <s v="ADMINISTRAÇÃO"/>
    <x v="221"/>
    <n v="0"/>
    <n v="1"/>
  </r>
  <r>
    <s v="044.888.871/0001-69"/>
    <x v="106"/>
    <s v="INCLUSAO  ANOT.INADIMPLENCIA"/>
    <x v="202"/>
    <x v="12"/>
    <s v="2025-07"/>
    <x v="43"/>
    <s v="PROSPECTAR"/>
    <x v="106"/>
    <n v="0"/>
    <n v="1"/>
  </r>
  <r>
    <s v="020.024.081/0001-77"/>
    <x v="177"/>
    <s v="EXCLUSAO  ANOT.INADIMPLENCIA"/>
    <x v="202"/>
    <x v="10"/>
    <s v="2025-07"/>
    <x v="43"/>
    <s v="ROGERIO "/>
    <x v="177"/>
    <n v="1"/>
    <n v="0"/>
  </r>
  <r>
    <s v="051.323.061/0001-20"/>
    <x v="252"/>
    <s v="EXCLUSAO  ANOT.INADIMPLENCIA"/>
    <x v="202"/>
    <x v="27"/>
    <s v="2025-07"/>
    <x v="43"/>
    <s v="ALISSON DE SOUZA LIMA"/>
    <x v="252"/>
    <n v="1"/>
    <n v="0"/>
  </r>
  <r>
    <s v="000.803.044/0001-50"/>
    <x v="45"/>
    <s v="EXCLUSAO  ANOT.INADIMPLENCIA"/>
    <x v="203"/>
    <x v="0"/>
    <s v="2025-07"/>
    <x v="43"/>
    <s v="ADMINISTRAÇÃO"/>
    <x v="45"/>
    <n v="1"/>
    <n v="0"/>
  </r>
  <r>
    <s v="042.119.428/0001-06"/>
    <x v="247"/>
    <s v="EXCLUSAO  ANOT.INADIMPLENCIA"/>
    <x v="203"/>
    <x v="31"/>
    <s v="2025-07"/>
    <x v="43"/>
    <s v="TIAGO NEVES"/>
    <x v="247"/>
    <n v="1"/>
    <n v="0"/>
  </r>
  <r>
    <s v="040.520.193/0001-26"/>
    <x v="266"/>
    <s v="INCLUSAO  ANOT.INADIMPLENCIA"/>
    <x v="203"/>
    <x v="6"/>
    <s v="2025-07"/>
    <x v="43"/>
    <s v="RAFAEL PARISE"/>
    <x v="266"/>
    <n v="0"/>
    <n v="1"/>
  </r>
  <r>
    <s v="032.781.707/0001-79"/>
    <x v="215"/>
    <s v="INCLUSAO  ANOT.INADIMPLENCIA"/>
    <x v="203"/>
    <x v="26"/>
    <s v="2025-07"/>
    <x v="43"/>
    <s v="ANTECIPA"/>
    <x v="215"/>
    <n v="0"/>
    <n v="1"/>
  </r>
  <r>
    <s v="032.213.847/0001-40"/>
    <x v="198"/>
    <s v="INCLUSAO  ANOT.INADIMPLENCIA"/>
    <x v="203"/>
    <x v="9"/>
    <s v="2025-07"/>
    <x v="43"/>
    <s v="PRISCILA METZ"/>
    <x v="198"/>
    <n v="0"/>
    <n v="1"/>
  </r>
  <r>
    <s v="031.743.464/0001-11"/>
    <x v="253"/>
    <s v="INCLUSAO  ANOT.INADIMPLENCIA"/>
    <x v="203"/>
    <x v="32"/>
    <s v="2025-07"/>
    <x v="43"/>
    <s v="WASHINGTON"/>
    <x v="253"/>
    <n v="0"/>
    <n v="1"/>
  </r>
  <r>
    <s v="028.511.223/0001-32"/>
    <x v="189"/>
    <s v="INCLUSAO  ANOT.INADIMPLENCIA"/>
    <x v="203"/>
    <x v="0"/>
    <s v="2025-07"/>
    <x v="43"/>
    <s v="ADMINISTRAÇÃO"/>
    <x v="189"/>
    <n v="0"/>
    <n v="1"/>
  </r>
  <r>
    <s v="024.271.279/0001-06"/>
    <x v="142"/>
    <s v="INCLUSAO  ANOT.INADIMPLENCIA"/>
    <x v="203"/>
    <x v="0"/>
    <s v="2025-07"/>
    <x v="43"/>
    <s v="ADMINISTRAÇÃO"/>
    <x v="142"/>
    <n v="0"/>
    <n v="1"/>
  </r>
  <r>
    <s v="044.888.871/0001-69"/>
    <x v="106"/>
    <s v="INCLUSAO  ANOT.INADIMPLENCIA"/>
    <x v="203"/>
    <x v="12"/>
    <s v="2025-07"/>
    <x v="43"/>
    <s v="PROSPECTAR"/>
    <x v="106"/>
    <n v="0"/>
    <n v="1"/>
  </r>
  <r>
    <s v="021.420.856/0001-96"/>
    <x v="129"/>
    <s v="INCL/EXCL ANOT.INADIMPLENCIA"/>
    <x v="203"/>
    <x v="19"/>
    <s v="2025-07"/>
    <x v="43"/>
    <s v="JOSE ROBERTO"/>
    <x v="129"/>
    <n v="1"/>
    <n v="1"/>
  </r>
  <r>
    <s v="016.772.642/0001-49"/>
    <x v="69"/>
    <s v="EXCLUSAO  ANOT.INADIMPLENCIA"/>
    <x v="203"/>
    <x v="0"/>
    <s v="2025-07"/>
    <x v="43"/>
    <s v="ADMINISTRAÇÃO"/>
    <x v="69"/>
    <n v="1"/>
    <n v="0"/>
  </r>
  <r>
    <s v="016.757.535/0001-41"/>
    <x v="29"/>
    <s v="INCLUSAO  ANOT.INADIMPLENCIA"/>
    <x v="203"/>
    <x v="11"/>
    <s v="2025-07"/>
    <x v="43"/>
    <s v="DIOGO AZEVEDO"/>
    <x v="29"/>
    <n v="0"/>
    <n v="1"/>
  </r>
  <r>
    <s v="012.804.762/0001-20"/>
    <x v="67"/>
    <s v="INCLUSAO  ANOT.INADIMPLENCIA"/>
    <x v="203"/>
    <x v="0"/>
    <s v="2025-07"/>
    <x v="43"/>
    <s v="ADMINISTRAÇÃO"/>
    <x v="67"/>
    <n v="0"/>
    <n v="1"/>
  </r>
  <r>
    <s v="011.173.099/0001-40"/>
    <x v="227"/>
    <s v="INCLUSAO  ANOT.INADIMPLENCIA"/>
    <x v="203"/>
    <x v="21"/>
    <s v="2025-07"/>
    <x v="43"/>
    <s v="CAIO"/>
    <x v="227"/>
    <n v="0"/>
    <n v="1"/>
  </r>
  <r>
    <s v="007.561.436/0001-07"/>
    <x v="34"/>
    <s v="EXCLUSAO  ANOT.INADIMPLENCIA"/>
    <x v="203"/>
    <x v="12"/>
    <s v="2025-07"/>
    <x v="43"/>
    <s v="PROSPECTAR"/>
    <x v="34"/>
    <n v="1"/>
    <n v="0"/>
  </r>
  <r>
    <s v="003.603.516/0001-19"/>
    <x v="236"/>
    <s v="EXCLUSAO  ANOT.INADIMPLENCIA"/>
    <x v="203"/>
    <x v="3"/>
    <s v="2025-07"/>
    <x v="43"/>
    <s v="MARCUS VINICIUS "/>
    <x v="236"/>
    <n v="1"/>
    <n v="0"/>
  </r>
  <r>
    <s v="003.524.760/0001-96"/>
    <x v="230"/>
    <s v="INCL/EXCL ANOT.INADIMPLENCIA"/>
    <x v="203"/>
    <x v="30"/>
    <s v="2025-07"/>
    <x v="43"/>
    <s v="ANDRE CUNHA"/>
    <x v="230"/>
    <n v="1"/>
    <n v="1"/>
  </r>
  <r>
    <s v="020.066.300/0001-80"/>
    <x v="2"/>
    <s v="INCL/EXCL ANOT.INADIMPLENCIA"/>
    <x v="203"/>
    <x v="1"/>
    <s v="2025-07"/>
    <x v="43"/>
    <s v="CELIO PIMENTA"/>
    <x v="2"/>
    <n v="1"/>
    <n v="1"/>
  </r>
  <r>
    <s v="045.123.456/0001-87"/>
    <x v="123"/>
    <s v="INCLUSAO  ANOT.INADIMPLENCIA"/>
    <x v="203"/>
    <x v="0"/>
    <s v="2025-07"/>
    <x v="43"/>
    <s v="ADMINISTRAÇÃO"/>
    <x v="123"/>
    <n v="0"/>
    <n v="1"/>
  </r>
  <r>
    <s v="003.524.760/0001-96"/>
    <x v="230"/>
    <s v="INCLUSAO  ANOT.INADIMPLENCIA"/>
    <x v="204"/>
    <x v="30"/>
    <s v="2025-07"/>
    <x v="43"/>
    <s v="ANDRE CUNHA"/>
    <x v="230"/>
    <n v="0"/>
    <n v="1"/>
  </r>
  <r>
    <s v="003.603.516/0001-19"/>
    <x v="236"/>
    <s v="INCL/EXCL ANOT.INADIMPLENCIA"/>
    <x v="204"/>
    <x v="3"/>
    <s v="2025-07"/>
    <x v="43"/>
    <s v="MARCUS VINICIUS "/>
    <x v="236"/>
    <n v="1"/>
    <n v="1"/>
  </r>
  <r>
    <s v="004.323.643/0001-27"/>
    <x v="221"/>
    <s v="INCLUSAO  ANOT.INADIMPLENCIA"/>
    <x v="204"/>
    <x v="0"/>
    <s v="2025-07"/>
    <x v="43"/>
    <s v="ADMINISTRAÇÃO"/>
    <x v="221"/>
    <n v="0"/>
    <n v="1"/>
  </r>
  <r>
    <s v="009.674.456/0001-01"/>
    <x v="233"/>
    <s v="INCLUSAO  ANOT.INADIMPLENCIA"/>
    <x v="204"/>
    <x v="6"/>
    <s v="2025-07"/>
    <x v="43"/>
    <s v="RAFAEL PARISE"/>
    <x v="233"/>
    <n v="0"/>
    <n v="1"/>
  </r>
  <r>
    <s v="015.638.029/0001-70"/>
    <x v="234"/>
    <s v="INCLUSAO  ANOT.INADIMPLENCIA"/>
    <x v="204"/>
    <x v="3"/>
    <s v="2025-07"/>
    <x v="43"/>
    <s v="MARCUS VINICIUS "/>
    <x v="234"/>
    <n v="0"/>
    <n v="1"/>
  </r>
  <r>
    <s v="016.757.535/0001-41"/>
    <x v="29"/>
    <s v="INCL/EXCL ANOT.INADIMPLENCIA"/>
    <x v="204"/>
    <x v="11"/>
    <s v="2025-07"/>
    <x v="43"/>
    <s v="DIOGO AZEVEDO"/>
    <x v="29"/>
    <n v="1"/>
    <n v="1"/>
  </r>
  <r>
    <s v="016.772.642/0001-49"/>
    <x v="69"/>
    <s v="EXCLUSAO  ANOT.INADIMPLENCIA"/>
    <x v="204"/>
    <x v="0"/>
    <s v="2025-07"/>
    <x v="43"/>
    <s v="ADMINISTRAÇÃO"/>
    <x v="69"/>
    <n v="1"/>
    <n v="0"/>
  </r>
  <r>
    <s v="020.066.300/0001-80"/>
    <x v="2"/>
    <s v="INCLUSAO  ANOT.INADIMPLENCIA"/>
    <x v="204"/>
    <x v="1"/>
    <s v="2025-07"/>
    <x v="43"/>
    <s v="CELIO PIMENTA"/>
    <x v="2"/>
    <n v="0"/>
    <n v="1"/>
  </r>
  <r>
    <s v="021.382.943/0001-04"/>
    <x v="205"/>
    <s v="INCLUSAO  ANOT.INADIMPLENCIA"/>
    <x v="204"/>
    <x v="0"/>
    <s v="2025-07"/>
    <x v="43"/>
    <s v="ADMINISTRAÇÃO"/>
    <x v="205"/>
    <n v="0"/>
    <n v="1"/>
  </r>
  <r>
    <s v="022.457.202/0001-08"/>
    <x v="257"/>
    <s v="INCLUSAO  ANOT.INADIMPLENCIA"/>
    <x v="204"/>
    <x v="35"/>
    <s v="2025-07"/>
    <x v="43"/>
    <s v="VALERIA"/>
    <x v="257"/>
    <n v="0"/>
    <n v="1"/>
  </r>
  <r>
    <s v="026.628.832/0001-40"/>
    <x v="244"/>
    <s v="INCLUSAO  ANOT.INADIMPLENCIA"/>
    <x v="204"/>
    <x v="27"/>
    <s v="2025-07"/>
    <x v="43"/>
    <s v="ALISSON DE SOUZA LIMA"/>
    <x v="244"/>
    <n v="0"/>
    <n v="1"/>
  </r>
  <r>
    <s v="028.511.223/0001-32"/>
    <x v="189"/>
    <s v="INCL/EXCL ANOT.INADIMPLENCIA"/>
    <x v="204"/>
    <x v="0"/>
    <s v="2025-07"/>
    <x v="43"/>
    <s v="ADMINISTRAÇÃO"/>
    <x v="189"/>
    <n v="1"/>
    <n v="1"/>
  </r>
  <r>
    <s v="031.743.464/0001-11"/>
    <x v="253"/>
    <s v="INCLUSAO  ANOT.INADIMPLENCIA"/>
    <x v="204"/>
    <x v="32"/>
    <s v="2025-07"/>
    <x v="43"/>
    <s v="WASHINGTON"/>
    <x v="253"/>
    <n v="0"/>
    <n v="1"/>
  </r>
  <r>
    <s v="032.925.977/0001-06"/>
    <x v="235"/>
    <s v="INCLUSAO  ANOT.INADIMPLENCIA"/>
    <x v="204"/>
    <x v="1"/>
    <s v="2025-07"/>
    <x v="43"/>
    <s v="CELIO PIMENTA"/>
    <x v="235"/>
    <n v="0"/>
    <n v="1"/>
  </r>
  <r>
    <s v="038.479.255/0001-51"/>
    <x v="240"/>
    <s v="INCLUSAO  ANOT.INADIMPLENCIA"/>
    <x v="204"/>
    <x v="3"/>
    <s v="2025-07"/>
    <x v="43"/>
    <s v="MARCUS VINICIUS "/>
    <x v="240"/>
    <n v="0"/>
    <n v="1"/>
  </r>
  <r>
    <s v="001.113.219/0001-60"/>
    <x v="88"/>
    <s v="INCLUSAO  ANOT.INADIMPLENCIA"/>
    <x v="205"/>
    <x v="1"/>
    <s v="2025-07"/>
    <x v="44"/>
    <s v="CELIO PIMENTA"/>
    <x v="88"/>
    <n v="0"/>
    <n v="1"/>
  </r>
  <r>
    <s v="050.850.666/0001-07"/>
    <x v="139"/>
    <s v="INCLUSAO  ANOT.INADIMPLENCIA"/>
    <x v="205"/>
    <x v="6"/>
    <s v="2025-07"/>
    <x v="44"/>
    <s v="RAFAEL PARISE"/>
    <x v="139"/>
    <n v="0"/>
    <n v="1"/>
  </r>
  <r>
    <s v="046.674.060/0001-90"/>
    <x v="140"/>
    <s v="EXCLUSAO  ANOT.INADIMPLENCIA"/>
    <x v="205"/>
    <x v="10"/>
    <s v="2025-07"/>
    <x v="44"/>
    <s v="ROGERIO "/>
    <x v="140"/>
    <n v="1"/>
    <n v="0"/>
  </r>
  <r>
    <s v="045.123.456/0001-87"/>
    <x v="123"/>
    <s v="INCLUSAO  ANOT.INADIMPLENCIA"/>
    <x v="205"/>
    <x v="0"/>
    <s v="2025-07"/>
    <x v="44"/>
    <s v="ADMINISTRAÇÃO"/>
    <x v="123"/>
    <n v="0"/>
    <n v="1"/>
  </r>
  <r>
    <s v="043.515.558/0001-12"/>
    <x v="176"/>
    <s v="INCLUSAO  ANOT.INADIMPLENCIA"/>
    <x v="205"/>
    <x v="10"/>
    <s v="2025-07"/>
    <x v="44"/>
    <s v="ROGERIO "/>
    <x v="176"/>
    <n v="0"/>
    <n v="1"/>
  </r>
  <r>
    <s v="038.185.478/0001-06"/>
    <x v="148"/>
    <s v="ALTERACAO ADMINISTRADORES"/>
    <x v="205"/>
    <x v="0"/>
    <s v="2025-07"/>
    <x v="44"/>
    <s v="ADMINISTRAÇÃO"/>
    <x v="148"/>
    <n v="0"/>
    <n v="0"/>
  </r>
  <r>
    <s v="038.185.478/0001-06"/>
    <x v="148"/>
    <s v="ALTERACAO QUADRO SOCIAL"/>
    <x v="205"/>
    <x v="0"/>
    <s v="2025-07"/>
    <x v="44"/>
    <s v="ADMINISTRAÇÃO"/>
    <x v="148"/>
    <n v="0"/>
    <n v="0"/>
  </r>
  <r>
    <s v="036.726.274/0001-00"/>
    <x v="133"/>
    <s v="INCLUSAO  ANOT.INADIMPLENCIA"/>
    <x v="205"/>
    <x v="1"/>
    <s v="2025-07"/>
    <x v="44"/>
    <s v="CELIO PIMENTA"/>
    <x v="133"/>
    <n v="0"/>
    <n v="1"/>
  </r>
  <r>
    <s v="034.821.586/0001-77"/>
    <x v="38"/>
    <s v="INCLUSAO  ANOT.INADIMPLENCIA"/>
    <x v="205"/>
    <x v="3"/>
    <s v="2025-07"/>
    <x v="44"/>
    <s v="MARCUS VINICIUS "/>
    <x v="38"/>
    <n v="0"/>
    <n v="1"/>
  </r>
  <r>
    <s v="032.925.977/0001-06"/>
    <x v="235"/>
    <s v="INCLUSAO  ANOT.INADIMPLENCIA"/>
    <x v="205"/>
    <x v="1"/>
    <s v="2025-07"/>
    <x v="44"/>
    <s v="CELIO PIMENTA"/>
    <x v="235"/>
    <n v="0"/>
    <n v="1"/>
  </r>
  <r>
    <s v="028.393.466/0001-13"/>
    <x v="167"/>
    <s v="INCLUSAO  ANOT.INADIMPLENCIA"/>
    <x v="205"/>
    <x v="12"/>
    <s v="2025-07"/>
    <x v="44"/>
    <s v="PROSPECTAR"/>
    <x v="167"/>
    <n v="0"/>
    <n v="1"/>
  </r>
  <r>
    <s v="027.508.008/0001-10"/>
    <x v="216"/>
    <s v="INCLUSAO  ANOT.INADIMPLENCIA"/>
    <x v="205"/>
    <x v="29"/>
    <s v="2025-07"/>
    <x v="44"/>
    <s v="DALVA"/>
    <x v="216"/>
    <n v="0"/>
    <n v="1"/>
  </r>
  <r>
    <s v="026.416.177/0001-67"/>
    <x v="130"/>
    <s v="EXCLUSAO  ANOT.INADIMPLENCIA"/>
    <x v="205"/>
    <x v="3"/>
    <s v="2025-07"/>
    <x v="44"/>
    <s v="MARCUS VINICIUS "/>
    <x v="130"/>
    <n v="1"/>
    <n v="0"/>
  </r>
  <r>
    <s v="021.734.108/0001-88"/>
    <x v="41"/>
    <s v="EXCLUSAO  ANOT.INADIMPLENCIA"/>
    <x v="205"/>
    <x v="0"/>
    <s v="2025-07"/>
    <x v="44"/>
    <s v="ADMINISTRAÇÃO"/>
    <x v="41"/>
    <n v="1"/>
    <n v="0"/>
  </r>
  <r>
    <s v="052.432.693/0001-95"/>
    <x v="246"/>
    <s v="INCLUSAO  ANOT.INADIMPLENCIA"/>
    <x v="205"/>
    <x v="12"/>
    <s v="2025-07"/>
    <x v="44"/>
    <s v="PROSPECTAR"/>
    <x v="246"/>
    <n v="0"/>
    <n v="1"/>
  </r>
  <r>
    <s v="021.420.856/0001-96"/>
    <x v="129"/>
    <s v="INCLUSAO  ANOT.INADIMPLENCIA"/>
    <x v="205"/>
    <x v="19"/>
    <s v="2025-07"/>
    <x v="44"/>
    <s v="JOSE ROBERTO"/>
    <x v="129"/>
    <n v="0"/>
    <n v="1"/>
  </r>
  <r>
    <s v="020.024.081/0001-77"/>
    <x v="177"/>
    <s v="INCLUSAO  ANOT.INADIMPLENCIA"/>
    <x v="205"/>
    <x v="10"/>
    <s v="2025-07"/>
    <x v="44"/>
    <s v="ROGERIO "/>
    <x v="177"/>
    <n v="0"/>
    <n v="1"/>
  </r>
  <r>
    <s v="017.177.331/0001-02"/>
    <x v="259"/>
    <s v="INCLUSAO  ANOT.INADIMPLENCIA"/>
    <x v="205"/>
    <x v="13"/>
    <s v="2025-07"/>
    <x v="44"/>
    <s v="ANDERSON FRAGA"/>
    <x v="259"/>
    <n v="0"/>
    <n v="1"/>
  </r>
  <r>
    <s v="016.772.642/0001-49"/>
    <x v="69"/>
    <s v="INCLUSAO  ANOT.INADIMPLENCIA"/>
    <x v="205"/>
    <x v="0"/>
    <s v="2025-07"/>
    <x v="44"/>
    <s v="ADMINISTRAÇÃO"/>
    <x v="69"/>
    <n v="0"/>
    <n v="1"/>
  </r>
  <r>
    <s v="014.829.598/0001-30"/>
    <x v="31"/>
    <s v="INCLUSAO  ANOT.INADIMPLENCIA"/>
    <x v="205"/>
    <x v="9"/>
    <s v="2025-07"/>
    <x v="44"/>
    <s v="PRISCILA METZ"/>
    <x v="31"/>
    <n v="0"/>
    <n v="1"/>
  </r>
  <r>
    <s v="011.122.552/0001-99"/>
    <x v="59"/>
    <s v="INCLUSAO  ANOT.INADIMPLENCIA"/>
    <x v="205"/>
    <x v="6"/>
    <s v="2025-07"/>
    <x v="44"/>
    <s v="RAFAEL PARISE"/>
    <x v="59"/>
    <n v="0"/>
    <n v="1"/>
  </r>
  <r>
    <s v="009.674.456/0001-01"/>
    <x v="233"/>
    <s v="INCLUSAO  ANOT.INADIMPLENCIA"/>
    <x v="205"/>
    <x v="6"/>
    <s v="2025-07"/>
    <x v="44"/>
    <s v="RAFAEL PARISE"/>
    <x v="233"/>
    <n v="0"/>
    <n v="1"/>
  </r>
  <r>
    <s v="008.991.603/0001-04"/>
    <x v="57"/>
    <s v="INCLUSAO  ANOT.INADIMPLENCIA"/>
    <x v="205"/>
    <x v="3"/>
    <s v="2025-07"/>
    <x v="44"/>
    <s v="MARCUS VINICIUS "/>
    <x v="57"/>
    <n v="0"/>
    <n v="1"/>
  </r>
  <r>
    <s v="008.250.872/0001-10"/>
    <x v="121"/>
    <s v="INCLUSAO  ANOT.INADIMPLENCIA"/>
    <x v="205"/>
    <x v="6"/>
    <s v="2025-07"/>
    <x v="44"/>
    <s v="RAFAEL PARISE"/>
    <x v="121"/>
    <n v="0"/>
    <n v="1"/>
  </r>
  <r>
    <s v="004.323.643/0001-27"/>
    <x v="221"/>
    <s v="INCLUSAO  ANOT.INADIMPLENCIA"/>
    <x v="205"/>
    <x v="0"/>
    <s v="2025-07"/>
    <x v="44"/>
    <s v="ADMINISTRAÇÃO"/>
    <x v="221"/>
    <n v="0"/>
    <n v="1"/>
  </r>
  <r>
    <s v="003.603.516/0001-19"/>
    <x v="236"/>
    <s v="INCLUSAO  ANOT.INADIMPLENCIA"/>
    <x v="205"/>
    <x v="3"/>
    <s v="2025-07"/>
    <x v="44"/>
    <s v="MARCUS VINICIUS "/>
    <x v="236"/>
    <n v="0"/>
    <n v="1"/>
  </r>
  <r>
    <s v="003.590.360/0001-89"/>
    <x v="3"/>
    <s v="INCL/EXCL ANOT.INADIMPLENCIA"/>
    <x v="205"/>
    <x v="1"/>
    <s v="2025-07"/>
    <x v="44"/>
    <s v="CELIO PIMENTA"/>
    <x v="3"/>
    <n v="1"/>
    <n v="1"/>
  </r>
  <r>
    <s v="003.524.760/0001-96"/>
    <x v="230"/>
    <s v="INCLUSAO  ANOT.INADIMPLENCIA"/>
    <x v="205"/>
    <x v="30"/>
    <s v="2025-07"/>
    <x v="44"/>
    <s v="ANDRE CUNHA"/>
    <x v="230"/>
    <n v="0"/>
    <n v="1"/>
  </r>
  <r>
    <s v="001.831.532/0001-33"/>
    <x v="132"/>
    <s v="EXCLUSAO  ANOT.INADIMPLENCIA"/>
    <x v="205"/>
    <x v="0"/>
    <s v="2025-07"/>
    <x v="44"/>
    <s v="ADMINISTRAÇÃO"/>
    <x v="132"/>
    <n v="1"/>
    <n v="0"/>
  </r>
  <r>
    <s v="021.382.943/0001-04"/>
    <x v="205"/>
    <s v="INCLUSAO  ANOT.INADIMPLENCIA"/>
    <x v="205"/>
    <x v="0"/>
    <s v="2025-07"/>
    <x v="44"/>
    <s v="ADMINISTRAÇÃO"/>
    <x v="205"/>
    <n v="0"/>
    <n v="1"/>
  </r>
  <r>
    <s v="055.466.241/0001-12"/>
    <x v="181"/>
    <s v="INCLUSAO  ANOT.INADIMPLENCIA"/>
    <x v="205"/>
    <x v="12"/>
    <s v="2025-07"/>
    <x v="44"/>
    <s v="PROSPECTAR"/>
    <x v="181"/>
    <n v="0"/>
    <n v="1"/>
  </r>
  <r>
    <s v="003.524.760/0001-96"/>
    <x v="230"/>
    <s v="INCL/EXCL ANOT.INADIMPLENCIA"/>
    <x v="206"/>
    <x v="30"/>
    <s v="2025-07"/>
    <x v="44"/>
    <s v="ANDRE CUNHA"/>
    <x v="230"/>
    <n v="1"/>
    <n v="1"/>
  </r>
  <r>
    <s v="028.511.223/0001-32"/>
    <x v="189"/>
    <s v="INCLUSAO  ANOT.INADIMPLENCIA"/>
    <x v="206"/>
    <x v="0"/>
    <s v="2025-07"/>
    <x v="44"/>
    <s v="ADMINISTRAÇÃO"/>
    <x v="189"/>
    <n v="0"/>
    <n v="1"/>
  </r>
  <r>
    <s v="028.393.466/0001-13"/>
    <x v="167"/>
    <s v="INCLUSAO  ANOT.INADIMPLENCIA"/>
    <x v="206"/>
    <x v="12"/>
    <s v="2025-07"/>
    <x v="44"/>
    <s v="PROSPECTAR"/>
    <x v="167"/>
    <n v="0"/>
    <n v="1"/>
  </r>
  <r>
    <s v="027.508.008/0001-10"/>
    <x v="216"/>
    <s v="EXCLUSAO  ANOT.INADIMPLENCIA"/>
    <x v="206"/>
    <x v="29"/>
    <s v="2025-07"/>
    <x v="44"/>
    <s v="DALVA"/>
    <x v="216"/>
    <n v="1"/>
    <n v="0"/>
  </r>
  <r>
    <s v="020.024.081/0001-77"/>
    <x v="177"/>
    <s v="EXCLUSAO  ANOT.INADIMPLENCIA"/>
    <x v="206"/>
    <x v="10"/>
    <s v="2025-07"/>
    <x v="44"/>
    <s v="ROGERIO "/>
    <x v="177"/>
    <n v="1"/>
    <n v="0"/>
  </r>
  <r>
    <s v="014.090.422/0001-00"/>
    <x v="200"/>
    <s v="INCLUSAO  ANOT.INADIMPLENCIA"/>
    <x v="206"/>
    <x v="20"/>
    <s v="2025-07"/>
    <x v="44"/>
    <s v="LIBER"/>
    <x v="200"/>
    <n v="0"/>
    <n v="1"/>
  </r>
  <r>
    <s v="012.520.791/0001-60"/>
    <x v="4"/>
    <s v="INCLUSAO  ANOT.INADIMPLENCIA"/>
    <x v="206"/>
    <x v="1"/>
    <s v="2025-07"/>
    <x v="44"/>
    <s v="CELIO PIMENTA"/>
    <x v="4"/>
    <n v="0"/>
    <n v="1"/>
  </r>
  <r>
    <s v="011.122.552/0001-99"/>
    <x v="59"/>
    <s v="EXCLUSAO  ANOT.INADIMPLENCIA"/>
    <x v="206"/>
    <x v="6"/>
    <s v="2025-07"/>
    <x v="44"/>
    <s v="RAFAEL PARISE"/>
    <x v="59"/>
    <n v="1"/>
    <n v="0"/>
  </r>
  <r>
    <s v="009.674.456/0001-01"/>
    <x v="233"/>
    <s v="INCL/EXCL ANOT.INADIMPLENCIA"/>
    <x v="206"/>
    <x v="6"/>
    <s v="2025-07"/>
    <x v="44"/>
    <s v="RAFAEL PARISE"/>
    <x v="233"/>
    <n v="1"/>
    <n v="1"/>
  </r>
  <r>
    <s v="008.250.872/0001-10"/>
    <x v="121"/>
    <s v="INCL/EXCL ANOT.INADIMPLENCIA"/>
    <x v="206"/>
    <x v="6"/>
    <s v="2025-07"/>
    <x v="44"/>
    <s v="RAFAEL PARISE"/>
    <x v="121"/>
    <n v="1"/>
    <n v="1"/>
  </r>
  <r>
    <s v="007.561.436/0001-07"/>
    <x v="34"/>
    <s v="INCLUSAO  ANOT.INADIMPLENCIA"/>
    <x v="206"/>
    <x v="12"/>
    <s v="2025-07"/>
    <x v="44"/>
    <s v="PROSPECTAR"/>
    <x v="34"/>
    <n v="0"/>
    <n v="1"/>
  </r>
  <r>
    <s v="004.323.643/0001-27"/>
    <x v="221"/>
    <s v="INCL/EXCL ANOT.INADIMPLENCIA"/>
    <x v="206"/>
    <x v="0"/>
    <s v="2025-07"/>
    <x v="44"/>
    <s v="ADMINISTRAÇÃO"/>
    <x v="221"/>
    <n v="1"/>
    <n v="1"/>
  </r>
  <r>
    <s v="004.126.524/0001-84"/>
    <x v="28"/>
    <s v="INCLUSAO  ANOT.INADIMPLENCIA"/>
    <x v="206"/>
    <x v="0"/>
    <s v="2025-07"/>
    <x v="44"/>
    <s v="ADMINISTRAÇÃO"/>
    <x v="28"/>
    <n v="0"/>
    <n v="1"/>
  </r>
  <r>
    <s v="004.041.192/0001-35"/>
    <x v="37"/>
    <s v="EXCLUSAO  ANOT.INADIMPLENCIA"/>
    <x v="206"/>
    <x v="0"/>
    <s v="2025-07"/>
    <x v="44"/>
    <s v="ADMINISTRAÇÃO"/>
    <x v="37"/>
    <n v="1"/>
    <n v="0"/>
  </r>
  <r>
    <s v="003.603.516/0001-19"/>
    <x v="236"/>
    <s v="INCL/EXCL ANOT.INADIMPLENCIA"/>
    <x v="206"/>
    <x v="3"/>
    <s v="2025-07"/>
    <x v="44"/>
    <s v="MARCUS VINICIUS "/>
    <x v="236"/>
    <n v="1"/>
    <n v="1"/>
  </r>
  <r>
    <s v="003.590.360/0001-89"/>
    <x v="3"/>
    <s v="EXCLUSAO  ANOT.INADIMPLENCIA"/>
    <x v="206"/>
    <x v="1"/>
    <s v="2025-07"/>
    <x v="44"/>
    <s v="CELIO PIMENTA"/>
    <x v="3"/>
    <n v="1"/>
    <n v="0"/>
  </r>
  <r>
    <s v="038.479.255/0001-51"/>
    <x v="240"/>
    <s v="EXCLUSAO  ANOT.INADIMPLENCIA"/>
    <x v="206"/>
    <x v="3"/>
    <s v="2025-07"/>
    <x v="44"/>
    <s v="MARCUS VINICIUS "/>
    <x v="240"/>
    <n v="1"/>
    <n v="0"/>
  </r>
  <r>
    <s v="040.582.798/0001-41"/>
    <x v="144"/>
    <s v="INCLUSAO  ANOT.INADIMPLENCIA"/>
    <x v="206"/>
    <x v="16"/>
    <s v="2025-07"/>
    <x v="44"/>
    <s v="SACADO"/>
    <x v="144"/>
    <n v="0"/>
    <n v="1"/>
  </r>
  <r>
    <s v="003.590.360/0001-89"/>
    <x v="3"/>
    <s v="EXCLUSAO  ANOT.INADIMPLENCIA"/>
    <x v="207"/>
    <x v="1"/>
    <s v="2025-07"/>
    <x v="44"/>
    <s v="CELIO PIMENTA"/>
    <x v="3"/>
    <n v="1"/>
    <n v="0"/>
  </r>
  <r>
    <s v="045.123.456/0001-87"/>
    <x v="123"/>
    <s v="EXCLUSAO  ANOT.INADIMPLENCIA"/>
    <x v="207"/>
    <x v="0"/>
    <s v="2025-07"/>
    <x v="44"/>
    <s v="ADMINISTRAÇÃO"/>
    <x v="123"/>
    <n v="1"/>
    <n v="0"/>
  </r>
  <r>
    <s v="041.388.946/0001-54"/>
    <x v="175"/>
    <s v="INCLUSAO  ANOT.INADIMPLENCIA"/>
    <x v="207"/>
    <x v="1"/>
    <s v="2025-07"/>
    <x v="44"/>
    <s v="CELIO PIMENTA"/>
    <x v="175"/>
    <n v="0"/>
    <n v="1"/>
  </r>
  <r>
    <s v="037.828.375/0001-54"/>
    <x v="39"/>
    <s v="EXCLUSAO  ANOT.INADIMPLENCIA"/>
    <x v="207"/>
    <x v="5"/>
    <s v="2025-07"/>
    <x v="44"/>
    <s v="POENATELA"/>
    <x v="39"/>
    <n v="1"/>
    <n v="0"/>
  </r>
  <r>
    <s v="031.743.464/0001-11"/>
    <x v="253"/>
    <s v="INCLUSAO  ANOT.INADIMPLENCIA"/>
    <x v="207"/>
    <x v="32"/>
    <s v="2025-07"/>
    <x v="44"/>
    <s v="WASHINGTON"/>
    <x v="253"/>
    <n v="0"/>
    <n v="1"/>
  </r>
  <r>
    <s v="028.511.223/0001-32"/>
    <x v="189"/>
    <s v="INCL/EXCL ANOT.INADIMPLENCIA"/>
    <x v="207"/>
    <x v="0"/>
    <s v="2025-07"/>
    <x v="44"/>
    <s v="ADMINISTRAÇÃO"/>
    <x v="189"/>
    <n v="1"/>
    <n v="1"/>
  </r>
  <r>
    <s v="028.393.466/0001-13"/>
    <x v="167"/>
    <s v="EXCLUSAO  ANOT.INADIMPLENCIA"/>
    <x v="207"/>
    <x v="12"/>
    <s v="2025-07"/>
    <x v="44"/>
    <s v="PROSPECTAR"/>
    <x v="167"/>
    <n v="1"/>
    <n v="0"/>
  </r>
  <r>
    <s v="026.628.832/0001-40"/>
    <x v="244"/>
    <s v="INCLUSAO  ANOT.INADIMPLENCIA"/>
    <x v="207"/>
    <x v="27"/>
    <s v="2025-07"/>
    <x v="44"/>
    <s v="ALISSON DE SOUZA LIMA"/>
    <x v="244"/>
    <n v="0"/>
    <n v="1"/>
  </r>
  <r>
    <s v="021.382.943/0001-04"/>
    <x v="205"/>
    <s v="INCL/EXCL ANOT.INADIMPLENCIA"/>
    <x v="207"/>
    <x v="0"/>
    <s v="2025-07"/>
    <x v="44"/>
    <s v="ADMINISTRAÇÃO"/>
    <x v="205"/>
    <n v="1"/>
    <n v="1"/>
  </r>
  <r>
    <s v="020.024.081/0001-77"/>
    <x v="177"/>
    <s v="INCLUSAO  ANOT.INADIMPLENCIA"/>
    <x v="207"/>
    <x v="10"/>
    <s v="2025-07"/>
    <x v="44"/>
    <s v="ROGERIO "/>
    <x v="177"/>
    <n v="0"/>
    <n v="1"/>
  </r>
  <r>
    <s v="016.757.535/0001-41"/>
    <x v="29"/>
    <s v="INCLUSAO  ANOT.INADIMPLENCIA"/>
    <x v="207"/>
    <x v="11"/>
    <s v="2025-07"/>
    <x v="44"/>
    <s v="DIOGO AZEVEDO"/>
    <x v="29"/>
    <n v="0"/>
    <n v="1"/>
  </r>
  <r>
    <s v="015.638.029/0001-70"/>
    <x v="234"/>
    <s v="INCLUSAO  ANOT.INADIMPLENCIA"/>
    <x v="207"/>
    <x v="3"/>
    <s v="2025-07"/>
    <x v="44"/>
    <s v="MARCUS VINICIUS "/>
    <x v="234"/>
    <n v="0"/>
    <n v="1"/>
  </r>
  <r>
    <s v="012.520.791/0001-60"/>
    <x v="4"/>
    <s v="INCLUSAO  ANOT.INADIMPLENCIA"/>
    <x v="207"/>
    <x v="1"/>
    <s v="2025-07"/>
    <x v="44"/>
    <s v="CELIO PIMENTA"/>
    <x v="4"/>
    <n v="0"/>
    <n v="1"/>
  </r>
  <r>
    <s v="009.674.456/0001-01"/>
    <x v="233"/>
    <s v="EXCLUSAO  ANOT.INADIMPLENCIA"/>
    <x v="207"/>
    <x v="6"/>
    <s v="2025-07"/>
    <x v="44"/>
    <s v="RAFAEL PARISE"/>
    <x v="233"/>
    <n v="1"/>
    <n v="0"/>
  </r>
  <r>
    <s v="008.250.872/0001-10"/>
    <x v="121"/>
    <s v="EXCLUSAO  ANOT.INADIMPLENCIA"/>
    <x v="207"/>
    <x v="6"/>
    <s v="2025-07"/>
    <x v="44"/>
    <s v="RAFAEL PARISE"/>
    <x v="121"/>
    <n v="1"/>
    <n v="0"/>
  </r>
  <r>
    <s v="007.561.436/0001-07"/>
    <x v="34"/>
    <s v="EXCLUSAO  ANOT.INADIMPLENCIA"/>
    <x v="207"/>
    <x v="12"/>
    <s v="2025-07"/>
    <x v="44"/>
    <s v="PROSPECTAR"/>
    <x v="34"/>
    <n v="1"/>
    <n v="0"/>
  </r>
  <r>
    <s v="047.635.671/0001-92"/>
    <x v="143"/>
    <s v="INCLUSAO  ANOT.INADIMPLENCIA"/>
    <x v="207"/>
    <x v="1"/>
    <s v="2025-07"/>
    <x v="44"/>
    <s v="CELIO PIMENTA"/>
    <x v="143"/>
    <n v="0"/>
    <n v="1"/>
  </r>
  <r>
    <s v="052.432.693/0001-95"/>
    <x v="246"/>
    <s v="EXCLUSAO  ANOT.INADIMPLENCIA"/>
    <x v="207"/>
    <x v="12"/>
    <s v="2025-07"/>
    <x v="44"/>
    <s v="PROSPECTAR"/>
    <x v="246"/>
    <n v="1"/>
    <n v="0"/>
  </r>
  <r>
    <s v="003.524.760/0001-96"/>
    <x v="230"/>
    <s v="INCLUSAO  ANOT.INADIMPLENCIA"/>
    <x v="208"/>
    <x v="30"/>
    <s v="2025-08"/>
    <x v="44"/>
    <s v="ANDRE CUNHA"/>
    <x v="230"/>
    <n v="0"/>
    <n v="1"/>
  </r>
  <r>
    <s v="003.603.516/0001-19"/>
    <x v="236"/>
    <s v="INCLUSAO  ANOT.INADIMPLENCIA"/>
    <x v="208"/>
    <x v="3"/>
    <s v="2025-08"/>
    <x v="44"/>
    <s v="MARCUS VINICIUS "/>
    <x v="236"/>
    <n v="0"/>
    <n v="1"/>
  </r>
  <r>
    <s v="004.126.524/0001-84"/>
    <x v="28"/>
    <s v="INCLUSAO  ANOT.INADIMPLENCIA"/>
    <x v="208"/>
    <x v="0"/>
    <s v="2025-08"/>
    <x v="44"/>
    <s v="ADMINISTRAÇÃO"/>
    <x v="28"/>
    <n v="0"/>
    <n v="1"/>
  </r>
  <r>
    <s v="004.323.643/0001-27"/>
    <x v="221"/>
    <s v="EXCLUSAO  ANOT.INADIMPLENCIA"/>
    <x v="208"/>
    <x v="0"/>
    <s v="2025-08"/>
    <x v="44"/>
    <s v="ADMINISTRAÇÃO"/>
    <x v="221"/>
    <n v="1"/>
    <n v="0"/>
  </r>
  <r>
    <s v="008.250.872/0001-10"/>
    <x v="121"/>
    <s v="INCL/EXCL ANOT.INADIMPLENCIA"/>
    <x v="208"/>
    <x v="6"/>
    <s v="2025-08"/>
    <x v="44"/>
    <s v="RAFAEL PARISE"/>
    <x v="121"/>
    <n v="1"/>
    <n v="1"/>
  </r>
  <r>
    <s v="009.674.456/0001-01"/>
    <x v="233"/>
    <s v="EXCLUSAO  ANOT.INADIMPLENCIA"/>
    <x v="208"/>
    <x v="6"/>
    <s v="2025-08"/>
    <x v="44"/>
    <s v="RAFAEL PARISE"/>
    <x v="233"/>
    <n v="1"/>
    <n v="0"/>
  </r>
  <r>
    <s v="014.829.598/0001-30"/>
    <x v="31"/>
    <s v="EXCLUSAO  ANOT.INADIMPLENCIA"/>
    <x v="208"/>
    <x v="9"/>
    <s v="2025-08"/>
    <x v="44"/>
    <s v="PRISCILA METZ"/>
    <x v="31"/>
    <n v="1"/>
    <n v="0"/>
  </r>
  <r>
    <s v="015.638.029/0001-70"/>
    <x v="234"/>
    <s v="INCLUSAO  ANOT.INADIMPLENCIA"/>
    <x v="208"/>
    <x v="3"/>
    <s v="2025-08"/>
    <x v="44"/>
    <s v="MARCUS VINICIUS "/>
    <x v="234"/>
    <n v="0"/>
    <n v="1"/>
  </r>
  <r>
    <s v="016.757.535/0001-41"/>
    <x v="29"/>
    <s v="INCLUSAO  ANOT.INADIMPLENCIA"/>
    <x v="208"/>
    <x v="11"/>
    <s v="2025-08"/>
    <x v="44"/>
    <s v="DIOGO AZEVEDO"/>
    <x v="29"/>
    <n v="0"/>
    <n v="1"/>
  </r>
  <r>
    <s v="020.066.300/0001-80"/>
    <x v="2"/>
    <s v="INCLUSAO  ANOT.INADIMPLENCIA"/>
    <x v="208"/>
    <x v="1"/>
    <s v="2025-08"/>
    <x v="44"/>
    <s v="CELIO PIMENTA"/>
    <x v="2"/>
    <n v="0"/>
    <n v="1"/>
  </r>
  <r>
    <s v="025.383.640/0001-59"/>
    <x v="158"/>
    <s v="EXCLUSAO  ANOT.INADIMPLENCIA"/>
    <x v="208"/>
    <x v="5"/>
    <s v="2025-08"/>
    <x v="44"/>
    <s v="POENATELA"/>
    <x v="158"/>
    <n v="1"/>
    <n v="0"/>
  </r>
  <r>
    <s v="028.511.223/0001-32"/>
    <x v="189"/>
    <s v="INCL/EXCL ANOT.INADIMPLENCIA"/>
    <x v="208"/>
    <x v="0"/>
    <s v="2025-08"/>
    <x v="44"/>
    <s v="ADMINISTRAÇÃO"/>
    <x v="189"/>
    <n v="1"/>
    <n v="1"/>
  </r>
  <r>
    <s v="036.726.274/0001-00"/>
    <x v="133"/>
    <s v="EXCLUSAO  ANOT.INADIMPLENCIA"/>
    <x v="208"/>
    <x v="1"/>
    <s v="2025-08"/>
    <x v="44"/>
    <s v="CELIO PIMENTA"/>
    <x v="133"/>
    <n v="1"/>
    <n v="0"/>
  </r>
  <r>
    <s v="040.520.193/0001-26"/>
    <x v="266"/>
    <s v="EXCLUSAO  ANOT.INADIMPLENCIA"/>
    <x v="208"/>
    <x v="6"/>
    <s v="2025-08"/>
    <x v="44"/>
    <s v="RAFAEL PARISE"/>
    <x v="266"/>
    <n v="1"/>
    <n v="0"/>
  </r>
  <r>
    <s v="044.888.871/0001-69"/>
    <x v="106"/>
    <s v="INCLUSAO  ANOT.INADIMPLENCIA"/>
    <x v="208"/>
    <x v="12"/>
    <s v="2025-08"/>
    <x v="44"/>
    <s v="PROSPECTAR"/>
    <x v="106"/>
    <n v="0"/>
    <n v="1"/>
  </r>
  <r>
    <s v="046.674.060/0001-90"/>
    <x v="140"/>
    <s v="EXCLUSAO  ANOT.INADIMPLENCIA"/>
    <x v="208"/>
    <x v="10"/>
    <s v="2025-08"/>
    <x v="44"/>
    <s v="ROGERIO "/>
    <x v="140"/>
    <n v="1"/>
    <n v="0"/>
  </r>
  <r>
    <s v="003.524.760/0001-96"/>
    <x v="230"/>
    <s v="INCLUSAO  ANOT.INADIMPLENCIA"/>
    <x v="209"/>
    <x v="30"/>
    <s v="2025-08"/>
    <x v="44"/>
    <s v="ANDRE CUNHA"/>
    <x v="230"/>
    <n v="0"/>
    <n v="1"/>
  </r>
  <r>
    <s v="004.041.192/0001-35"/>
    <x v="37"/>
    <s v="ALTERACAO ENDERECO"/>
    <x v="209"/>
    <x v="0"/>
    <s v="2025-08"/>
    <x v="44"/>
    <s v="ADMINISTRAÇÃO"/>
    <x v="37"/>
    <n v="0"/>
    <n v="0"/>
  </r>
  <r>
    <s v="045.123.456/0001-87"/>
    <x v="123"/>
    <s v="INCLUSAO  ANOT.INADIMPLENCIA"/>
    <x v="209"/>
    <x v="0"/>
    <s v="2025-08"/>
    <x v="44"/>
    <s v="ADMINISTRAÇÃO"/>
    <x v="123"/>
    <n v="0"/>
    <n v="1"/>
  </r>
  <r>
    <s v="049.773.824/0001-93"/>
    <x v="267"/>
    <s v="ALTERACAO ENDERECO"/>
    <x v="209"/>
    <x v="0"/>
    <s v="2025-08"/>
    <x v="44"/>
    <s v="ADMINISTRAÇÃO"/>
    <x v="267"/>
    <n v="0"/>
    <n v="0"/>
  </r>
  <r>
    <s v="044.126.379/0001-56"/>
    <x v="187"/>
    <s v="ALTERACAO ENDERECO"/>
    <x v="209"/>
    <x v="1"/>
    <s v="2025-08"/>
    <x v="44"/>
    <s v="CELIO PIMENTA"/>
    <x v="187"/>
    <n v="0"/>
    <n v="0"/>
  </r>
  <r>
    <s v="042.119.428/0001-06"/>
    <x v="247"/>
    <s v="INCLUSAO  ANOT.INADIMPLENCIA"/>
    <x v="209"/>
    <x v="31"/>
    <s v="2025-08"/>
    <x v="44"/>
    <s v="TIAGO NEVES"/>
    <x v="247"/>
    <n v="0"/>
    <n v="1"/>
  </r>
  <r>
    <s v="036.726.274/0001-00"/>
    <x v="133"/>
    <s v="EXCLUSAO  ANOT.INADIMPLENCIA"/>
    <x v="209"/>
    <x v="1"/>
    <s v="2025-08"/>
    <x v="44"/>
    <s v="CELIO PIMENTA"/>
    <x v="133"/>
    <n v="1"/>
    <n v="0"/>
  </r>
  <r>
    <s v="033.028.017/0001-06"/>
    <x v="260"/>
    <s v="INCLUSAO  ANOT.INADIMPLENCIA"/>
    <x v="209"/>
    <x v="31"/>
    <s v="2025-08"/>
    <x v="44"/>
    <s v="TIAGO NEVES"/>
    <x v="260"/>
    <n v="0"/>
    <n v="1"/>
  </r>
  <r>
    <s v="031.743.464/0001-11"/>
    <x v="253"/>
    <s v="INCLUSAO  ANOT.INADIMPLENCIA"/>
    <x v="209"/>
    <x v="32"/>
    <s v="2025-08"/>
    <x v="44"/>
    <s v="WASHINGTON"/>
    <x v="253"/>
    <n v="0"/>
    <n v="1"/>
  </r>
  <r>
    <s v="028.511.223/0001-32"/>
    <x v="189"/>
    <s v="INCLUSAO  ANOT.INADIMPLENCIA"/>
    <x v="209"/>
    <x v="0"/>
    <s v="2025-08"/>
    <x v="44"/>
    <s v="ADMINISTRAÇÃO"/>
    <x v="189"/>
    <n v="0"/>
    <n v="1"/>
  </r>
  <r>
    <s v="026.628.832/0001-40"/>
    <x v="244"/>
    <s v="INCL/EXCL ANOT.INADIMPLENCIA"/>
    <x v="209"/>
    <x v="27"/>
    <s v="2025-08"/>
    <x v="44"/>
    <s v="ALISSON DE SOUZA LIMA"/>
    <x v="244"/>
    <n v="1"/>
    <n v="1"/>
  </r>
  <r>
    <s v="022.457.202/0001-08"/>
    <x v="257"/>
    <s v="INCLUSAO  ANOT.INADIMPLENCIA"/>
    <x v="209"/>
    <x v="35"/>
    <s v="2025-08"/>
    <x v="44"/>
    <s v="VALERIA"/>
    <x v="257"/>
    <n v="0"/>
    <n v="1"/>
  </r>
  <r>
    <s v="052.755.043/0001-80"/>
    <x v="237"/>
    <s v="INCLUSAO  ANOT.INADIMPLENCIA"/>
    <x v="209"/>
    <x v="3"/>
    <s v="2025-08"/>
    <x v="44"/>
    <s v="MARCUS VINICIUS "/>
    <x v="237"/>
    <n v="0"/>
    <n v="1"/>
  </r>
  <r>
    <s v="021.420.856/0001-96"/>
    <x v="129"/>
    <s v="INCLUSAO  ANOT.INADIMPLENCIA"/>
    <x v="209"/>
    <x v="19"/>
    <s v="2025-08"/>
    <x v="44"/>
    <s v="JOSE ROBERTO"/>
    <x v="129"/>
    <n v="0"/>
    <n v="1"/>
  </r>
  <r>
    <s v="020.024.081/0001-77"/>
    <x v="177"/>
    <s v="INCLUSAO  ANOT.INADIMPLENCIA"/>
    <x v="209"/>
    <x v="10"/>
    <s v="2025-08"/>
    <x v="44"/>
    <s v="ROGERIO "/>
    <x v="177"/>
    <n v="0"/>
    <n v="1"/>
  </r>
  <r>
    <s v="016.772.642/0001-49"/>
    <x v="69"/>
    <s v="INCLUSAO  ANOT.INADIMPLENCIA"/>
    <x v="209"/>
    <x v="0"/>
    <s v="2025-08"/>
    <x v="44"/>
    <s v="ADMINISTRAÇÃO"/>
    <x v="69"/>
    <n v="0"/>
    <n v="1"/>
  </r>
  <r>
    <s v="014.514.481/0001-68"/>
    <x v="73"/>
    <s v="INCLUSAO  ANOT.INADIMPLENCIA"/>
    <x v="209"/>
    <x v="9"/>
    <s v="2025-08"/>
    <x v="44"/>
    <s v="PRISCILA METZ"/>
    <x v="73"/>
    <n v="0"/>
    <n v="1"/>
  </r>
  <r>
    <s v="011.655.076/0001-71"/>
    <x v="263"/>
    <s v="INCLUSAO  ANOT.INADIMPLENCIA"/>
    <x v="209"/>
    <x v="21"/>
    <s v="2025-08"/>
    <x v="44"/>
    <s v="CAIO"/>
    <x v="263"/>
    <n v="0"/>
    <n v="1"/>
  </r>
  <r>
    <s v="009.674.456/0001-01"/>
    <x v="233"/>
    <s v="EXCLUSAO  ANOT.INADIMPLENCIA"/>
    <x v="209"/>
    <x v="6"/>
    <s v="2025-08"/>
    <x v="44"/>
    <s v="RAFAEL PARISE"/>
    <x v="233"/>
    <n v="1"/>
    <n v="0"/>
  </r>
  <r>
    <s v="008.068.767/0001-64"/>
    <x v="268"/>
    <s v="ALTERACAO ENDERECO"/>
    <x v="209"/>
    <x v="29"/>
    <s v="2025-08"/>
    <x v="44"/>
    <s v="DALVA"/>
    <x v="268"/>
    <n v="0"/>
    <n v="0"/>
  </r>
  <r>
    <s v="007.561.436/0001-07"/>
    <x v="34"/>
    <s v="INCLUSAO  ANOT.INADIMPLENCIA"/>
    <x v="209"/>
    <x v="12"/>
    <s v="2025-08"/>
    <x v="44"/>
    <s v="PROSPECTAR"/>
    <x v="34"/>
    <n v="0"/>
    <n v="1"/>
  </r>
  <r>
    <s v="005.374.432/0001-86"/>
    <x v="222"/>
    <s v="EXCLUSAO  ANOT.INADIMPLENCIA"/>
    <x v="209"/>
    <x v="29"/>
    <s v="2025-08"/>
    <x v="44"/>
    <s v="DALVA"/>
    <x v="222"/>
    <n v="1"/>
    <n v="0"/>
  </r>
  <r>
    <s v="004.323.643/0001-27"/>
    <x v="221"/>
    <s v="INCLUSAO  ANOT.INADIMPLENCIA"/>
    <x v="209"/>
    <x v="0"/>
    <s v="2025-08"/>
    <x v="44"/>
    <s v="ADMINISTRAÇÃO"/>
    <x v="221"/>
    <n v="0"/>
    <n v="1"/>
  </r>
  <r>
    <s v="045.123.456/0001-87"/>
    <x v="123"/>
    <s v="ALTERACAO ENDERECO"/>
    <x v="209"/>
    <x v="0"/>
    <s v="2025-08"/>
    <x v="44"/>
    <s v="ADMINISTRAÇÃO"/>
    <x v="123"/>
    <n v="0"/>
    <n v="0"/>
  </r>
  <r>
    <s v="003.590.360/0001-89"/>
    <x v="3"/>
    <s v="EXCLUSAO  ANOT.INADIMPLENCIA"/>
    <x v="209"/>
    <x v="1"/>
    <s v="2025-08"/>
    <x v="44"/>
    <s v="CELIO PIMENTA"/>
    <x v="3"/>
    <n v="1"/>
    <n v="0"/>
  </r>
  <r>
    <s v="021.382.943/0001-04"/>
    <x v="205"/>
    <s v="INCLUSAO  ANOT.INADIMPLENCIA"/>
    <x v="209"/>
    <x v="0"/>
    <s v="2025-08"/>
    <x v="44"/>
    <s v="ADMINISTRAÇÃO"/>
    <x v="205"/>
    <n v="0"/>
    <n v="1"/>
  </r>
  <r>
    <s v="092.279.363/0001-26"/>
    <x v="196"/>
    <s v="ALTERACAO ENDERECO"/>
    <x v="209"/>
    <x v="4"/>
    <s v="2025-08"/>
    <x v="44"/>
    <s v="NOELI SALETE"/>
    <x v="196"/>
    <n v="0"/>
    <n v="0"/>
  </r>
  <r>
    <s v="003.524.760/0001-96"/>
    <x v="230"/>
    <s v="INCLUSAO  ANOT.INADIMPLENCIA"/>
    <x v="210"/>
    <x v="30"/>
    <s v="2025-08"/>
    <x v="45"/>
    <s v="ANDRE CUNHA"/>
    <x v="230"/>
    <n v="0"/>
    <n v="1"/>
  </r>
  <r>
    <s v="044.888.871/0001-69"/>
    <x v="106"/>
    <s v="INCLUSAO  ANOT.INADIMPLENCIA"/>
    <x v="210"/>
    <x v="12"/>
    <s v="2025-08"/>
    <x v="45"/>
    <s v="PROSPECTAR"/>
    <x v="106"/>
    <n v="0"/>
    <n v="1"/>
  </r>
  <r>
    <s v="043.515.558/0001-12"/>
    <x v="176"/>
    <s v="EXCLUSAO  ANOT.INADIMPLENCIA"/>
    <x v="210"/>
    <x v="10"/>
    <s v="2025-08"/>
    <x v="45"/>
    <s v="ROGERIO "/>
    <x v="176"/>
    <n v="1"/>
    <n v="0"/>
  </r>
  <r>
    <s v="042.119.428/0001-06"/>
    <x v="247"/>
    <s v="INCLUSAO  ANOT.INADIMPLENCIA"/>
    <x v="210"/>
    <x v="31"/>
    <s v="2025-08"/>
    <x v="45"/>
    <s v="TIAGO NEVES"/>
    <x v="247"/>
    <n v="0"/>
    <n v="1"/>
  </r>
  <r>
    <s v="041.397.377/0001-03"/>
    <x v="241"/>
    <s v="INCLUSAO  ANOT.INADIMPLENCIA"/>
    <x v="210"/>
    <x v="10"/>
    <s v="2025-08"/>
    <x v="45"/>
    <s v="ROGERIO "/>
    <x v="241"/>
    <n v="0"/>
    <n v="1"/>
  </r>
  <r>
    <s v="040.582.798/0001-41"/>
    <x v="144"/>
    <s v="EXCLUSAO  ANOT.INADIMPLENCIA"/>
    <x v="210"/>
    <x v="16"/>
    <s v="2025-08"/>
    <x v="45"/>
    <s v="SACADO"/>
    <x v="144"/>
    <n v="1"/>
    <n v="0"/>
  </r>
  <r>
    <s v="038.479.255/0001-51"/>
    <x v="240"/>
    <s v="INCLUSAO  ANOT.INADIMPLENCIA"/>
    <x v="210"/>
    <x v="3"/>
    <s v="2025-08"/>
    <x v="45"/>
    <s v="MARCUS VINICIUS "/>
    <x v="240"/>
    <n v="0"/>
    <n v="1"/>
  </r>
  <r>
    <s v="034.165.528/0001-32"/>
    <x v="256"/>
    <s v="INCLUSAO  ANOT.INADIMPLENCIA"/>
    <x v="210"/>
    <x v="27"/>
    <s v="2025-08"/>
    <x v="45"/>
    <s v="ALISSON DE SOUZA LIMA"/>
    <x v="256"/>
    <n v="0"/>
    <n v="1"/>
  </r>
  <r>
    <s v="033.803.691/0001-10"/>
    <x v="103"/>
    <s v="INCLUSAO  ANOT.INADIMPLENCIA"/>
    <x v="210"/>
    <x v="0"/>
    <s v="2025-08"/>
    <x v="45"/>
    <s v="ADMINISTRAÇÃO"/>
    <x v="103"/>
    <n v="0"/>
    <n v="1"/>
  </r>
  <r>
    <s v="031.743.464/0001-11"/>
    <x v="253"/>
    <s v="EXCLUSAO  ANOT.INADIMPLENCIA"/>
    <x v="210"/>
    <x v="32"/>
    <s v="2025-08"/>
    <x v="45"/>
    <s v="WASHINGTON"/>
    <x v="253"/>
    <n v="1"/>
    <n v="0"/>
  </r>
  <r>
    <s v="028.514.938/0001-49"/>
    <x v="249"/>
    <s v="INCLUSAO  ANOT.INADIMPLENCIA"/>
    <x v="210"/>
    <x v="6"/>
    <s v="2025-08"/>
    <x v="45"/>
    <s v="RAFAEL PARISE"/>
    <x v="249"/>
    <n v="0"/>
    <n v="1"/>
  </r>
  <r>
    <s v="028.511.223/0001-32"/>
    <x v="189"/>
    <s v="INCLUSAO  ANOT.INADIMPLENCIA"/>
    <x v="210"/>
    <x v="0"/>
    <s v="2025-08"/>
    <x v="45"/>
    <s v="ADMINISTRAÇÃO"/>
    <x v="189"/>
    <n v="0"/>
    <n v="1"/>
  </r>
  <r>
    <s v="028.393.466/0001-13"/>
    <x v="167"/>
    <s v="INCL/EXCL ANOT.INADIMPLENCIA"/>
    <x v="210"/>
    <x v="12"/>
    <s v="2025-08"/>
    <x v="45"/>
    <s v="PROSPECTAR"/>
    <x v="167"/>
    <n v="1"/>
    <n v="1"/>
  </r>
  <r>
    <s v="045.123.456/0001-87"/>
    <x v="123"/>
    <s v="INCLUSAO  ANOT.INADIMPLENCIA"/>
    <x v="210"/>
    <x v="0"/>
    <s v="2025-08"/>
    <x v="45"/>
    <s v="ADMINISTRAÇÃO"/>
    <x v="123"/>
    <n v="0"/>
    <n v="1"/>
  </r>
  <r>
    <s v="026.628.832/0001-40"/>
    <x v="244"/>
    <s v="INCLUSAO  ANOT.INADIMPLENCIA"/>
    <x v="210"/>
    <x v="27"/>
    <s v="2025-08"/>
    <x v="45"/>
    <s v="ALISSON DE SOUZA LIMA"/>
    <x v="244"/>
    <n v="0"/>
    <n v="1"/>
  </r>
  <r>
    <s v="021.420.856/0001-96"/>
    <x v="129"/>
    <s v="INCLUSAO  ANOT.INADIMPLENCIA"/>
    <x v="210"/>
    <x v="19"/>
    <s v="2025-08"/>
    <x v="45"/>
    <s v="JOSE ROBERTO"/>
    <x v="129"/>
    <n v="0"/>
    <n v="1"/>
  </r>
  <r>
    <s v="020.066.300/0001-80"/>
    <x v="269"/>
    <s v="INCLUSAO  ANOT.INADIMPLENCIA"/>
    <x v="210"/>
    <x v="1"/>
    <s v="2025-08"/>
    <x v="45"/>
    <s v="CELIO PIMENTA"/>
    <x v="269"/>
    <n v="0"/>
    <n v="1"/>
  </r>
  <r>
    <s v="020.066.300/0001-80"/>
    <x v="269"/>
    <s v="ALTERACAO ENDERECO"/>
    <x v="210"/>
    <x v="1"/>
    <s v="2025-08"/>
    <x v="45"/>
    <s v="CELIO PIMENTA"/>
    <x v="269"/>
    <n v="0"/>
    <n v="0"/>
  </r>
  <r>
    <s v="020.066.300/0001-80"/>
    <x v="269"/>
    <s v="ALTERACAO RAZAO SOCIAL"/>
    <x v="210"/>
    <x v="1"/>
    <s v="2025-08"/>
    <x v="45"/>
    <s v="CELIO PIMENTA"/>
    <x v="269"/>
    <n v="0"/>
    <n v="0"/>
  </r>
  <r>
    <s v="020.024.081/0001-77"/>
    <x v="177"/>
    <s v="INCL/EXCL ANOT.INADIMPLENCIA"/>
    <x v="210"/>
    <x v="10"/>
    <s v="2025-08"/>
    <x v="45"/>
    <s v="ROGERIO "/>
    <x v="177"/>
    <n v="1"/>
    <n v="1"/>
  </r>
  <r>
    <s v="019.961.036/0001-60"/>
    <x v="262"/>
    <s v="INCLUSAO  ANOT.INADIMPLENCIA"/>
    <x v="210"/>
    <x v="36"/>
    <s v="2025-08"/>
    <x v="45"/>
    <s v="JJPH"/>
    <x v="262"/>
    <n v="0"/>
    <n v="1"/>
  </r>
  <r>
    <s v="017.177.331/0001-02"/>
    <x v="259"/>
    <s v="INCLUSAO  ANOT.INADIMPLENCIA"/>
    <x v="210"/>
    <x v="13"/>
    <s v="2025-08"/>
    <x v="45"/>
    <s v="ANDERSON FRAGA"/>
    <x v="259"/>
    <n v="0"/>
    <n v="1"/>
  </r>
  <r>
    <s v="016.757.535/0001-41"/>
    <x v="29"/>
    <s v="INCLUSAO  ANOT.INADIMPLENCIA"/>
    <x v="210"/>
    <x v="11"/>
    <s v="2025-08"/>
    <x v="45"/>
    <s v="DIOGO AZEVEDO"/>
    <x v="29"/>
    <n v="0"/>
    <n v="1"/>
  </r>
  <r>
    <s v="012.645.814/0001-62"/>
    <x v="217"/>
    <s v="EXCLUSAO  ANOT.INADIMPLENCIA"/>
    <x v="210"/>
    <x v="21"/>
    <s v="2025-08"/>
    <x v="45"/>
    <s v="CAIO"/>
    <x v="217"/>
    <n v="1"/>
    <n v="0"/>
  </r>
  <r>
    <s v="009.674.456/0001-01"/>
    <x v="233"/>
    <s v="INCLUSAO  ANOT.INADIMPLENCIA"/>
    <x v="210"/>
    <x v="6"/>
    <s v="2025-08"/>
    <x v="45"/>
    <s v="RAFAEL PARISE"/>
    <x v="233"/>
    <n v="0"/>
    <n v="1"/>
  </r>
  <r>
    <s v="008.250.872/0001-10"/>
    <x v="121"/>
    <s v="INCLUSAO  ANOT.INADIMPLENCIA"/>
    <x v="210"/>
    <x v="6"/>
    <s v="2025-08"/>
    <x v="45"/>
    <s v="RAFAEL PARISE"/>
    <x v="121"/>
    <n v="0"/>
    <n v="1"/>
  </r>
  <r>
    <s v="004.323.643/0001-27"/>
    <x v="221"/>
    <s v="INCLUSAO  ANOT.INADIMPLENCIA"/>
    <x v="210"/>
    <x v="0"/>
    <s v="2025-08"/>
    <x v="45"/>
    <s v="ADMINISTRAÇÃO"/>
    <x v="221"/>
    <n v="0"/>
    <n v="1"/>
  </r>
  <r>
    <s v="022.457.202/0001-08"/>
    <x v="257"/>
    <s v="INCLUSAO  ANOT.INADIMPLENCIA"/>
    <x v="210"/>
    <x v="35"/>
    <s v="2025-08"/>
    <x v="45"/>
    <s v="VALERIA"/>
    <x v="257"/>
    <n v="0"/>
    <n v="1"/>
  </r>
  <r>
    <s v="057.696.093/0001-58"/>
    <x v="206"/>
    <s v="INCLUSAO  ANOT.INADIMPLENCIA"/>
    <x v="210"/>
    <x v="1"/>
    <s v="2025-08"/>
    <x v="45"/>
    <s v="CELIO PIMENTA"/>
    <x v="206"/>
    <n v="0"/>
    <n v="1"/>
  </r>
  <r>
    <s v="003.524.760/0001-96"/>
    <x v="230"/>
    <s v="EXCLUSAO  ANOT.INADIMPLENCIA"/>
    <x v="211"/>
    <x v="30"/>
    <s v="2025-08"/>
    <x v="45"/>
    <s v="ANDRE CUNHA"/>
    <x v="230"/>
    <n v="1"/>
    <n v="0"/>
  </r>
  <r>
    <s v="045.123.456/0001-87"/>
    <x v="123"/>
    <s v="EXCLUSAO  ANOT.INADIMPLENCIA"/>
    <x v="211"/>
    <x v="0"/>
    <s v="2025-08"/>
    <x v="45"/>
    <s v="ADMINISTRAÇÃO"/>
    <x v="123"/>
    <n v="1"/>
    <n v="0"/>
  </r>
  <r>
    <s v="044.126.379/0001-56"/>
    <x v="187"/>
    <s v="INCLUSAO  ANOT.INADIMPLENCIA"/>
    <x v="211"/>
    <x v="1"/>
    <s v="2025-08"/>
    <x v="45"/>
    <s v="CELIO PIMENTA"/>
    <x v="187"/>
    <n v="0"/>
    <n v="1"/>
  </r>
  <r>
    <s v="034.165.528/0001-32"/>
    <x v="256"/>
    <s v="EXCLUSAO  ANOT.INADIMPLENCIA"/>
    <x v="211"/>
    <x v="27"/>
    <s v="2025-08"/>
    <x v="45"/>
    <s v="ALISSON DE SOUZA LIMA"/>
    <x v="256"/>
    <n v="1"/>
    <n v="0"/>
  </r>
  <r>
    <s v="031.743.464/0001-11"/>
    <x v="253"/>
    <s v="EXCLUSAO  ANOT.INADIMPLENCIA"/>
    <x v="211"/>
    <x v="32"/>
    <s v="2025-08"/>
    <x v="45"/>
    <s v="WASHINGTON"/>
    <x v="253"/>
    <n v="1"/>
    <n v="0"/>
  </r>
  <r>
    <s v="028.514.938/0001-49"/>
    <x v="249"/>
    <s v="EXCLUSAO  ANOT.INADIMPLENCIA"/>
    <x v="211"/>
    <x v="6"/>
    <s v="2025-08"/>
    <x v="45"/>
    <s v="RAFAEL PARISE"/>
    <x v="249"/>
    <n v="1"/>
    <n v="0"/>
  </r>
  <r>
    <s v="028.511.223/0001-32"/>
    <x v="189"/>
    <s v="INCLUSAO  ANOT.INADIMPLENCIA"/>
    <x v="211"/>
    <x v="0"/>
    <s v="2025-08"/>
    <x v="45"/>
    <s v="ADMINISTRAÇÃO"/>
    <x v="189"/>
    <n v="0"/>
    <n v="1"/>
  </r>
  <r>
    <s v="028.393.466/0001-13"/>
    <x v="167"/>
    <s v="INCLUSAO  ANOT.INADIMPLENCIA"/>
    <x v="211"/>
    <x v="12"/>
    <s v="2025-08"/>
    <x v="45"/>
    <s v="PROSPECTAR"/>
    <x v="167"/>
    <n v="0"/>
    <n v="1"/>
  </r>
  <r>
    <s v="026.628.832/0001-40"/>
    <x v="244"/>
    <s v="INCLUSAO  ANOT.INADIMPLENCIA"/>
    <x v="211"/>
    <x v="27"/>
    <s v="2025-08"/>
    <x v="45"/>
    <s v="ALISSON DE SOUZA LIMA"/>
    <x v="244"/>
    <n v="0"/>
    <n v="1"/>
  </r>
  <r>
    <s v="022.457.202/0001-08"/>
    <x v="257"/>
    <s v="INCLUSAO  ANOT.INADIMPLENCIA"/>
    <x v="211"/>
    <x v="35"/>
    <s v="2025-08"/>
    <x v="45"/>
    <s v="VALERIA"/>
    <x v="257"/>
    <n v="0"/>
    <n v="1"/>
  </r>
  <r>
    <s v="050.893.355/0001-25"/>
    <x v="156"/>
    <s v="EXCLUSAO  ANOT.INADIMPLENCIA"/>
    <x v="211"/>
    <x v="0"/>
    <s v="2025-08"/>
    <x v="45"/>
    <s v="ADMINISTRAÇÃO"/>
    <x v="156"/>
    <n v="1"/>
    <n v="0"/>
  </r>
  <r>
    <s v="021.734.108/0001-88"/>
    <x v="41"/>
    <s v="INCLUSAO  ANOT.INADIMPLENCIA"/>
    <x v="211"/>
    <x v="0"/>
    <s v="2025-08"/>
    <x v="45"/>
    <s v="ADMINISTRAÇÃO"/>
    <x v="41"/>
    <n v="0"/>
    <n v="1"/>
  </r>
  <r>
    <s v="019.961.036/0001-60"/>
    <x v="262"/>
    <s v="EXCLUSAO  ANOT.INADIMPLENCIA"/>
    <x v="211"/>
    <x v="36"/>
    <s v="2025-08"/>
    <x v="45"/>
    <s v="JJPH"/>
    <x v="262"/>
    <n v="1"/>
    <n v="0"/>
  </r>
  <r>
    <s v="018.608.055/0001-44"/>
    <x v="131"/>
    <s v="INCLUSAO  ANOT.INADIMPLENCIA"/>
    <x v="211"/>
    <x v="3"/>
    <s v="2025-08"/>
    <x v="45"/>
    <s v="MARCUS VINICIUS "/>
    <x v="131"/>
    <n v="0"/>
    <n v="1"/>
  </r>
  <r>
    <s v="016.772.642/0001-49"/>
    <x v="69"/>
    <s v="INCLUSAO  ANOT.INADIMPLENCIA"/>
    <x v="211"/>
    <x v="0"/>
    <s v="2025-08"/>
    <x v="45"/>
    <s v="ADMINISTRAÇÃO"/>
    <x v="69"/>
    <n v="0"/>
    <n v="1"/>
  </r>
  <r>
    <s v="016.757.535/0001-41"/>
    <x v="29"/>
    <s v="INCLUSAO  ANOT.INADIMPLENCIA"/>
    <x v="211"/>
    <x v="11"/>
    <s v="2025-08"/>
    <x v="45"/>
    <s v="DIOGO AZEVEDO"/>
    <x v="29"/>
    <n v="0"/>
    <n v="1"/>
  </r>
  <r>
    <s v="012.804.762/0001-20"/>
    <x v="67"/>
    <s v="EXCLUSAO  ANOT.INADIMPLENCIA"/>
    <x v="211"/>
    <x v="0"/>
    <s v="2025-08"/>
    <x v="45"/>
    <s v="ADMINISTRAÇÃO"/>
    <x v="67"/>
    <n v="1"/>
    <n v="0"/>
  </r>
  <r>
    <s v="011.122.552/0001-99"/>
    <x v="59"/>
    <s v="INCLUSAO  ANOT.INADIMPLENCIA"/>
    <x v="211"/>
    <x v="6"/>
    <s v="2025-08"/>
    <x v="45"/>
    <s v="RAFAEL PARISE"/>
    <x v="59"/>
    <n v="0"/>
    <n v="1"/>
  </r>
  <r>
    <s v="008.250.872/0001-10"/>
    <x v="121"/>
    <s v="INCL/EXCL ANOT.INADIMPLENCIA"/>
    <x v="211"/>
    <x v="6"/>
    <s v="2025-08"/>
    <x v="45"/>
    <s v="RAFAEL PARISE"/>
    <x v="121"/>
    <n v="1"/>
    <n v="1"/>
  </r>
  <r>
    <s v="004.622.554/0001-81"/>
    <x v="66"/>
    <s v="EXCLUSAO  ANOT.INADIMPLENCIA"/>
    <x v="211"/>
    <x v="4"/>
    <s v="2025-08"/>
    <x v="45"/>
    <s v="NOELI SALETE"/>
    <x v="66"/>
    <n v="1"/>
    <n v="0"/>
  </r>
  <r>
    <s v="004.323.643/0001-27"/>
    <x v="221"/>
    <s v="INCL/EXCL ANOT.INADIMPLENCIA"/>
    <x v="211"/>
    <x v="0"/>
    <s v="2025-08"/>
    <x v="45"/>
    <s v="ADMINISTRAÇÃO"/>
    <x v="221"/>
    <n v="1"/>
    <n v="1"/>
  </r>
  <r>
    <s v="020.066.300/0001-80"/>
    <x v="269"/>
    <s v="INCLUSAO  ANOT.INADIMPLENCIA"/>
    <x v="211"/>
    <x v="1"/>
    <s v="2025-08"/>
    <x v="45"/>
    <s v="CELIO PIMENTA"/>
    <x v="269"/>
    <n v="0"/>
    <n v="1"/>
  </r>
  <r>
    <s v="052.755.043/0001-80"/>
    <x v="237"/>
    <s v="INCLUSAO  ANOT.INADIMPLENCIA"/>
    <x v="211"/>
    <x v="3"/>
    <s v="2025-08"/>
    <x v="45"/>
    <s v="MARCUS VINICIUS "/>
    <x v="237"/>
    <n v="0"/>
    <n v="1"/>
  </r>
  <r>
    <s v="003.524.760/0001-96"/>
    <x v="230"/>
    <s v="INCLUSAO  ANOT.INADIMPLENCIA"/>
    <x v="212"/>
    <x v="30"/>
    <s v="2025-08"/>
    <x v="45"/>
    <s v="ANDRE CUNHA"/>
    <x v="230"/>
    <n v="0"/>
    <n v="1"/>
  </r>
  <r>
    <s v="034.165.528/0001-32"/>
    <x v="256"/>
    <s v="INCLUSAO  ANOT.INADIMPLENCIA"/>
    <x v="212"/>
    <x v="27"/>
    <s v="2025-08"/>
    <x v="45"/>
    <s v="ALISSON DE SOUZA LIMA"/>
    <x v="256"/>
    <n v="0"/>
    <n v="1"/>
  </r>
  <r>
    <s v="033.028.017/0001-06"/>
    <x v="260"/>
    <s v="EXCLUSAO  ANOT.INADIMPLENCIA"/>
    <x v="212"/>
    <x v="31"/>
    <s v="2025-08"/>
    <x v="45"/>
    <s v="TIAGO NEVES"/>
    <x v="260"/>
    <n v="1"/>
    <n v="0"/>
  </r>
  <r>
    <s v="031.743.464/0001-11"/>
    <x v="253"/>
    <s v="INCLUSAO  ANOT.INADIMPLENCIA"/>
    <x v="212"/>
    <x v="32"/>
    <s v="2025-08"/>
    <x v="45"/>
    <s v="WASHINGTON"/>
    <x v="253"/>
    <n v="0"/>
    <n v="1"/>
  </r>
  <r>
    <s v="028.511.223/0001-32"/>
    <x v="189"/>
    <s v="INCLUSAO  ANOT.INADIMPLENCIA"/>
    <x v="212"/>
    <x v="0"/>
    <s v="2025-08"/>
    <x v="45"/>
    <s v="ADMINISTRAÇÃO"/>
    <x v="189"/>
    <n v="0"/>
    <n v="1"/>
  </r>
  <r>
    <s v="028.393.466/0001-13"/>
    <x v="167"/>
    <s v="INCLUSAO  ANOT.INADIMPLENCIA"/>
    <x v="212"/>
    <x v="12"/>
    <s v="2025-08"/>
    <x v="45"/>
    <s v="PROSPECTAR"/>
    <x v="167"/>
    <n v="0"/>
    <n v="1"/>
  </r>
  <r>
    <s v="026.628.832/0001-40"/>
    <x v="244"/>
    <s v="INCLUSAO  ANOT.INADIMPLENCIA"/>
    <x v="212"/>
    <x v="27"/>
    <s v="2025-08"/>
    <x v="45"/>
    <s v="ALISSON DE SOUZA LIMA"/>
    <x v="244"/>
    <n v="0"/>
    <n v="1"/>
  </r>
  <r>
    <s v="025.094.292/0001-08"/>
    <x v="213"/>
    <s v="INCLUSAO  ANOT.INADIMPLENCIA"/>
    <x v="212"/>
    <x v="12"/>
    <s v="2025-08"/>
    <x v="45"/>
    <s v="PROSPECTAR"/>
    <x v="213"/>
    <n v="0"/>
    <n v="1"/>
  </r>
  <r>
    <s v="041.397.377/0001-03"/>
    <x v="241"/>
    <s v="EXCLUSAO  ANOT.INADIMPLENCIA"/>
    <x v="212"/>
    <x v="10"/>
    <s v="2025-08"/>
    <x v="45"/>
    <s v="ROGERIO "/>
    <x v="241"/>
    <n v="1"/>
    <n v="0"/>
  </r>
  <r>
    <s v="024.255.748/0001-01"/>
    <x v="30"/>
    <s v="EXCLUSAO  ANOT.INADIMPLENCIA"/>
    <x v="212"/>
    <x v="12"/>
    <s v="2025-08"/>
    <x v="45"/>
    <s v="PROSPECTAR"/>
    <x v="30"/>
    <n v="1"/>
    <n v="0"/>
  </r>
  <r>
    <s v="014.514.481/0001-68"/>
    <x v="73"/>
    <s v="INCLUSAO  ANOT.INADIMPLENCIA"/>
    <x v="212"/>
    <x v="9"/>
    <s v="2025-08"/>
    <x v="45"/>
    <s v="PRISCILA METZ"/>
    <x v="73"/>
    <n v="0"/>
    <n v="1"/>
  </r>
  <r>
    <s v="009.674.456/0001-01"/>
    <x v="233"/>
    <s v="EXCLUSAO  ANOT.INADIMPLENCIA"/>
    <x v="212"/>
    <x v="6"/>
    <s v="2025-08"/>
    <x v="45"/>
    <s v="RAFAEL PARISE"/>
    <x v="233"/>
    <n v="1"/>
    <n v="0"/>
  </r>
  <r>
    <s v="008.250.872/0001-10"/>
    <x v="121"/>
    <s v="INCL/EXCL ANOT.INADIMPLENCIA"/>
    <x v="212"/>
    <x v="6"/>
    <s v="2025-08"/>
    <x v="45"/>
    <s v="RAFAEL PARISE"/>
    <x v="121"/>
    <n v="1"/>
    <n v="1"/>
  </r>
  <r>
    <s v="007.102.721/0001-51"/>
    <x v="44"/>
    <s v="EXCLUSAO  ANOT.INADIMPLENCIA"/>
    <x v="212"/>
    <x v="12"/>
    <s v="2025-08"/>
    <x v="45"/>
    <s v="PROSPECTAR"/>
    <x v="44"/>
    <n v="1"/>
    <n v="0"/>
  </r>
  <r>
    <s v="004.622.554/0001-81"/>
    <x v="66"/>
    <s v="INCLUSAO  ANOT.INADIMPLENCIA"/>
    <x v="212"/>
    <x v="4"/>
    <s v="2025-08"/>
    <x v="45"/>
    <s v="NOELI SALETE"/>
    <x v="66"/>
    <n v="0"/>
    <n v="1"/>
  </r>
  <r>
    <s v="004.041.192/0001-35"/>
    <x v="37"/>
    <s v="EXCLUSAO  ANOT.INADIMPLENCIA"/>
    <x v="212"/>
    <x v="0"/>
    <s v="2025-08"/>
    <x v="45"/>
    <s v="ADMINISTRAÇÃO"/>
    <x v="37"/>
    <n v="1"/>
    <n v="0"/>
  </r>
  <r>
    <s v="003.590.360/0001-89"/>
    <x v="3"/>
    <s v="INCLUSAO  ANOT.INADIMPLENCIA"/>
    <x v="212"/>
    <x v="1"/>
    <s v="2025-08"/>
    <x v="45"/>
    <s v="CELIO PIMENTA"/>
    <x v="3"/>
    <n v="0"/>
    <n v="1"/>
  </r>
  <r>
    <s v="022.457.202/0001-08"/>
    <x v="257"/>
    <s v="INCLUSAO  ANOT.INADIMPLENCIA"/>
    <x v="212"/>
    <x v="35"/>
    <s v="2025-08"/>
    <x v="45"/>
    <s v="VALERIA"/>
    <x v="257"/>
    <n v="0"/>
    <n v="1"/>
  </r>
  <r>
    <s v="045.123.456/0001-87"/>
    <x v="123"/>
    <s v="INCLUSAO  ANOT.INADIMPLENCIA"/>
    <x v="212"/>
    <x v="0"/>
    <s v="2025-08"/>
    <x v="45"/>
    <s v="ADMINISTRAÇÃO"/>
    <x v="123"/>
    <n v="0"/>
    <n v="1"/>
  </r>
  <r>
    <s v="003.524.760/0001-96"/>
    <x v="230"/>
    <s v="INCLUSAO  ANOT.INADIMPLENCIA"/>
    <x v="213"/>
    <x v="30"/>
    <s v="2025-08"/>
    <x v="45"/>
    <s v="ANDRE CUNHA"/>
    <x v="230"/>
    <n v="0"/>
    <n v="1"/>
  </r>
  <r>
    <s v="003.603.516/0001-19"/>
    <x v="236"/>
    <s v="INCLUSAO  ANOT.INADIMPLENCIA"/>
    <x v="213"/>
    <x v="3"/>
    <s v="2025-08"/>
    <x v="45"/>
    <s v="MARCUS VINICIUS "/>
    <x v="236"/>
    <n v="0"/>
    <n v="1"/>
  </r>
  <r>
    <s v="008.250.872/0001-10"/>
    <x v="121"/>
    <s v="INCLUSAO  ANOT.INADIMPLENCIA"/>
    <x v="213"/>
    <x v="6"/>
    <s v="2025-08"/>
    <x v="45"/>
    <s v="RAFAEL PARISE"/>
    <x v="121"/>
    <n v="0"/>
    <n v="1"/>
  </r>
  <r>
    <s v="015.638.029/0001-70"/>
    <x v="234"/>
    <s v="EXCLUSAO  ANOT.INADIMPLENCIA"/>
    <x v="213"/>
    <x v="3"/>
    <s v="2025-08"/>
    <x v="45"/>
    <s v="MARCUS VINICIUS "/>
    <x v="234"/>
    <n v="1"/>
    <n v="0"/>
  </r>
  <r>
    <s v="021.382.943/0001-04"/>
    <x v="205"/>
    <s v="INCLUSAO  ANOT.INADIMPLENCIA"/>
    <x v="213"/>
    <x v="0"/>
    <s v="2025-08"/>
    <x v="45"/>
    <s v="ADMINISTRAÇÃO"/>
    <x v="205"/>
    <n v="0"/>
    <n v="1"/>
  </r>
  <r>
    <s v="021.420.856/0001-96"/>
    <x v="129"/>
    <s v="EXCLUSAO  ANOT.INADIMPLENCIA"/>
    <x v="213"/>
    <x v="19"/>
    <s v="2025-08"/>
    <x v="45"/>
    <s v="JOSE ROBERTO"/>
    <x v="129"/>
    <n v="1"/>
    <n v="0"/>
  </r>
  <r>
    <s v="026.628.832/0001-40"/>
    <x v="244"/>
    <s v="INCLUSAO  ANOT.INADIMPLENCIA"/>
    <x v="213"/>
    <x v="27"/>
    <s v="2025-08"/>
    <x v="45"/>
    <s v="ALISSON DE SOUZA LIMA"/>
    <x v="244"/>
    <n v="0"/>
    <n v="1"/>
  </r>
  <r>
    <s v="028.511.223/0001-32"/>
    <x v="189"/>
    <s v="INCLUSAO  ANOT.INADIMPLENCIA"/>
    <x v="213"/>
    <x v="0"/>
    <s v="2025-08"/>
    <x v="45"/>
    <s v="ADMINISTRAÇÃO"/>
    <x v="189"/>
    <n v="0"/>
    <n v="1"/>
  </r>
  <r>
    <s v="032.024.304/0001-85"/>
    <x v="270"/>
    <s v="EXCLUSAO  ANOT.INADIMPLENCIA"/>
    <x v="213"/>
    <x v="12"/>
    <s v="2025-08"/>
    <x v="45"/>
    <s v="PROSPECTAR"/>
    <x v="270"/>
    <n v="1"/>
    <n v="0"/>
  </r>
  <r>
    <s v="039.535.425/0001-30"/>
    <x v="120"/>
    <s v="EXCLUSAO  ANOT.INADIMPLENCIA"/>
    <x v="213"/>
    <x v="6"/>
    <s v="2025-08"/>
    <x v="45"/>
    <s v="RAFAEL PARISE"/>
    <x v="120"/>
    <n v="1"/>
    <n v="0"/>
  </r>
  <r>
    <s v="045.123.456/0001-87"/>
    <x v="123"/>
    <s v="EXCLUSAO  ANOT.INADIMPLENCIA"/>
    <x v="213"/>
    <x v="0"/>
    <s v="2025-08"/>
    <x v="45"/>
    <s v="ADMINISTRAÇÃO"/>
    <x v="123"/>
    <n v="1"/>
    <n v="0"/>
  </r>
  <r>
    <s v="047.635.671/0001-92"/>
    <x v="143"/>
    <s v="INCLUSAO  ANOT.INADIMPLENCIA"/>
    <x v="213"/>
    <x v="1"/>
    <s v="2025-08"/>
    <x v="45"/>
    <s v="CELIO PIMENTA"/>
    <x v="143"/>
    <n v="0"/>
    <n v="1"/>
  </r>
  <r>
    <s v="057.698.087/0001-30"/>
    <x v="229"/>
    <s v="INCLUSAO  ANOT.INADIMPLENCIA"/>
    <x v="213"/>
    <x v="1"/>
    <s v="2025-08"/>
    <x v="45"/>
    <s v="CELIO PIMENTA"/>
    <x v="229"/>
    <n v="0"/>
    <n v="1"/>
  </r>
  <r>
    <s v="071.350.797/0001-03"/>
    <x v="48"/>
    <s v="EXCLUSAO  ANOT.INADIMPLENCIA"/>
    <x v="213"/>
    <x v="10"/>
    <s v="2025-08"/>
    <x v="45"/>
    <s v="ROGERIO "/>
    <x v="48"/>
    <n v="1"/>
    <n v="0"/>
  </r>
  <r>
    <s v="003.603.516/0001-19"/>
    <x v="236"/>
    <s v="INCLUSAO  ANOT.INADIMPLENCIA"/>
    <x v="214"/>
    <x v="3"/>
    <s v="2025-08"/>
    <x v="45"/>
    <s v="MARCUS VINICIUS "/>
    <x v="236"/>
    <n v="0"/>
    <n v="1"/>
  </r>
  <r>
    <s v="046.848.165/0001-19"/>
    <x v="271"/>
    <s v="INCLUSAO  ANOT.INADIMPLENCIA"/>
    <x v="214"/>
    <x v="11"/>
    <s v="2025-08"/>
    <x v="45"/>
    <s v="DIOGO AZEVEDO"/>
    <x v="271"/>
    <n v="0"/>
    <n v="1"/>
  </r>
  <r>
    <s v="043.515.558/0001-12"/>
    <x v="176"/>
    <s v="EXCLUSAO  ANOT.INADIMPLENCIA"/>
    <x v="214"/>
    <x v="10"/>
    <s v="2025-08"/>
    <x v="45"/>
    <s v="ROGERIO "/>
    <x v="176"/>
    <n v="1"/>
    <n v="0"/>
  </r>
  <r>
    <s v="037.828.375/0001-54"/>
    <x v="39"/>
    <s v="INCLUSAO  ANOT.INADIMPLENCIA"/>
    <x v="214"/>
    <x v="5"/>
    <s v="2025-08"/>
    <x v="45"/>
    <s v="POENATELA"/>
    <x v="39"/>
    <n v="0"/>
    <n v="1"/>
  </r>
  <r>
    <s v="036.726.274/0001-00"/>
    <x v="133"/>
    <s v="INCLUSAO  ANOT.INADIMPLENCIA"/>
    <x v="214"/>
    <x v="1"/>
    <s v="2025-08"/>
    <x v="45"/>
    <s v="CELIO PIMENTA"/>
    <x v="133"/>
    <n v="0"/>
    <n v="1"/>
  </r>
  <r>
    <s v="034.165.528/0001-32"/>
    <x v="256"/>
    <s v="INCLUSAO  ANOT.INADIMPLENCIA"/>
    <x v="214"/>
    <x v="27"/>
    <s v="2025-08"/>
    <x v="45"/>
    <s v="ALISSON DE SOUZA LIMA"/>
    <x v="256"/>
    <n v="0"/>
    <n v="1"/>
  </r>
  <r>
    <s v="028.511.223/0001-32"/>
    <x v="189"/>
    <s v="INCLUSAO  ANOT.INADIMPLENCIA"/>
    <x v="214"/>
    <x v="0"/>
    <s v="2025-08"/>
    <x v="45"/>
    <s v="ADMINISTRAÇÃO"/>
    <x v="189"/>
    <n v="0"/>
    <n v="1"/>
  </r>
  <r>
    <s v="026.628.832/0001-40"/>
    <x v="244"/>
    <s v="INCLUSAO  ANOT.INADIMPLENCIA"/>
    <x v="214"/>
    <x v="27"/>
    <s v="2025-08"/>
    <x v="45"/>
    <s v="ALISSON DE SOUZA LIMA"/>
    <x v="244"/>
    <n v="0"/>
    <n v="1"/>
  </r>
  <r>
    <s v="025.788.035/0001-68"/>
    <x v="258"/>
    <s v="INCLUSAO  ANOT.INADIMPLENCIA"/>
    <x v="214"/>
    <x v="31"/>
    <s v="2025-08"/>
    <x v="45"/>
    <s v="TIAGO NEVES"/>
    <x v="258"/>
    <n v="0"/>
    <n v="1"/>
  </r>
  <r>
    <s v="055.466.241/0001-12"/>
    <x v="181"/>
    <s v="INCLUSAO  ANOT.INADIMPLENCIA"/>
    <x v="214"/>
    <x v="12"/>
    <s v="2025-08"/>
    <x v="45"/>
    <s v="PROSPECTAR"/>
    <x v="181"/>
    <n v="0"/>
    <n v="1"/>
  </r>
  <r>
    <s v="024.271.279/0001-06"/>
    <x v="142"/>
    <s v="INCLUSAO  ANOT.INADIMPLENCIA"/>
    <x v="214"/>
    <x v="0"/>
    <s v="2025-08"/>
    <x v="45"/>
    <s v="ADMINISTRAÇÃO"/>
    <x v="142"/>
    <n v="0"/>
    <n v="1"/>
  </r>
  <r>
    <s v="021.382.943/0001-04"/>
    <x v="205"/>
    <s v="EXCLUSAO  ANOT.INADIMPLENCIA"/>
    <x v="214"/>
    <x v="0"/>
    <s v="2025-08"/>
    <x v="45"/>
    <s v="ADMINISTRAÇÃO"/>
    <x v="205"/>
    <n v="1"/>
    <n v="0"/>
  </r>
  <r>
    <s v="020.024.081/0001-77"/>
    <x v="177"/>
    <s v="INCLUSAO  ANOT.INADIMPLENCIA"/>
    <x v="214"/>
    <x v="10"/>
    <s v="2025-08"/>
    <x v="45"/>
    <s v="ROGERIO "/>
    <x v="177"/>
    <n v="0"/>
    <n v="1"/>
  </r>
  <r>
    <s v="016.772.642/0001-49"/>
    <x v="69"/>
    <s v="INCLUSAO  ANOT.INADIMPLENCIA"/>
    <x v="214"/>
    <x v="0"/>
    <s v="2025-08"/>
    <x v="45"/>
    <s v="ADMINISTRAÇÃO"/>
    <x v="69"/>
    <n v="0"/>
    <n v="1"/>
  </r>
  <r>
    <s v="016.757.535/0001-41"/>
    <x v="29"/>
    <s v="EXCLUSAO  ANOT.INADIMPLENCIA"/>
    <x v="214"/>
    <x v="11"/>
    <s v="2025-08"/>
    <x v="45"/>
    <s v="DIOGO AZEVEDO"/>
    <x v="29"/>
    <n v="1"/>
    <n v="0"/>
  </r>
  <r>
    <s v="014.090.422/0001-00"/>
    <x v="200"/>
    <s v="EXCLUSAO  ANOT.INADIMPLENCIA"/>
    <x v="214"/>
    <x v="20"/>
    <s v="2025-08"/>
    <x v="45"/>
    <s v="LIBER"/>
    <x v="200"/>
    <n v="1"/>
    <n v="0"/>
  </r>
  <r>
    <s v="008.250.872/0001-10"/>
    <x v="121"/>
    <s v="INCLUSAO  ANOT.INADIMPLENCIA"/>
    <x v="214"/>
    <x v="6"/>
    <s v="2025-08"/>
    <x v="45"/>
    <s v="RAFAEL PARISE"/>
    <x v="121"/>
    <n v="0"/>
    <n v="1"/>
  </r>
  <r>
    <s v="004.622.554/0001-81"/>
    <x v="66"/>
    <s v="INCLUSAO  ANOT.INADIMPLENCIA"/>
    <x v="214"/>
    <x v="4"/>
    <s v="2025-08"/>
    <x v="45"/>
    <s v="NOELI SALETE"/>
    <x v="66"/>
    <n v="0"/>
    <n v="1"/>
  </r>
  <r>
    <s v="004.323.643/0001-27"/>
    <x v="221"/>
    <s v="EXCLUSAO  ANOT.INADIMPLENCIA"/>
    <x v="214"/>
    <x v="0"/>
    <s v="2025-08"/>
    <x v="45"/>
    <s v="ADMINISTRAÇÃO"/>
    <x v="221"/>
    <n v="1"/>
    <n v="0"/>
  </r>
  <r>
    <s v="022.457.202/0001-08"/>
    <x v="257"/>
    <s v="INCLUSAO  ANOT.INADIMPLENCIA"/>
    <x v="214"/>
    <x v="35"/>
    <s v="2025-08"/>
    <x v="45"/>
    <s v="VALERIA"/>
    <x v="257"/>
    <n v="0"/>
    <n v="1"/>
  </r>
  <r>
    <s v="057.698.087/0001-30"/>
    <x v="229"/>
    <s v="INCLUSAO  ANOT.INADIMPLENCIA"/>
    <x v="214"/>
    <x v="1"/>
    <s v="2025-08"/>
    <x v="45"/>
    <s v="CELIO PIMENTA"/>
    <x v="229"/>
    <n v="0"/>
    <n v="1"/>
  </r>
  <r>
    <s v="003.524.760/0001-96"/>
    <x v="230"/>
    <s v="INCLUSAO  ANOT.INADIMPLENCIA"/>
    <x v="215"/>
    <x v="30"/>
    <s v="2025-08"/>
    <x v="46"/>
    <s v="ANDRE CUNHA"/>
    <x v="230"/>
    <n v="0"/>
    <n v="1"/>
  </r>
  <r>
    <s v="050.208.429/0001-47"/>
    <x v="272"/>
    <s v="INCLUSAO  ANOT.INADIMPLENCIA"/>
    <x v="215"/>
    <x v="12"/>
    <s v="2025-08"/>
    <x v="46"/>
    <s v="PROSPECTAR"/>
    <x v="272"/>
    <n v="0"/>
    <n v="1"/>
  </r>
  <r>
    <s v="037.828.375/0001-54"/>
    <x v="39"/>
    <s v="EXCLUSAO  ANOT.INADIMPLENCIA"/>
    <x v="215"/>
    <x v="5"/>
    <s v="2025-08"/>
    <x v="46"/>
    <s v="POENATELA"/>
    <x v="39"/>
    <n v="1"/>
    <n v="0"/>
  </r>
  <r>
    <s v="034.165.528/0001-32"/>
    <x v="256"/>
    <s v="INCLUSAO  ANOT.INADIMPLENCIA"/>
    <x v="215"/>
    <x v="27"/>
    <s v="2025-08"/>
    <x v="46"/>
    <s v="ALISSON DE SOUZA LIMA"/>
    <x v="256"/>
    <n v="0"/>
    <n v="1"/>
  </r>
  <r>
    <s v="028.511.223/0001-32"/>
    <x v="189"/>
    <s v="EXCLUSAO  ANOT.INADIMPLENCIA"/>
    <x v="215"/>
    <x v="0"/>
    <s v="2025-08"/>
    <x v="46"/>
    <s v="ADMINISTRAÇÃO"/>
    <x v="189"/>
    <n v="1"/>
    <n v="0"/>
  </r>
  <r>
    <s v="028.393.466/0001-13"/>
    <x v="167"/>
    <s v="INCLUSAO  ANOT.INADIMPLENCIA"/>
    <x v="215"/>
    <x v="12"/>
    <s v="2025-08"/>
    <x v="46"/>
    <s v="PROSPECTAR"/>
    <x v="167"/>
    <n v="0"/>
    <n v="1"/>
  </r>
  <r>
    <s v="026.628.832/0001-40"/>
    <x v="244"/>
    <s v="INCLUSAO  ANOT.INADIMPLENCIA"/>
    <x v="215"/>
    <x v="27"/>
    <s v="2025-08"/>
    <x v="46"/>
    <s v="ALISSON DE SOUZA LIMA"/>
    <x v="244"/>
    <n v="0"/>
    <n v="1"/>
  </r>
  <r>
    <s v="025.094.292/0001-08"/>
    <x v="213"/>
    <s v="INCLUSAO  ANOT.INADIMPLENCIA"/>
    <x v="215"/>
    <x v="12"/>
    <s v="2025-08"/>
    <x v="46"/>
    <s v="PROSPECTAR"/>
    <x v="213"/>
    <n v="0"/>
    <n v="1"/>
  </r>
  <r>
    <s v="022.457.202/0001-08"/>
    <x v="257"/>
    <s v="INCLUSAO  ANOT.INADIMPLENCIA"/>
    <x v="215"/>
    <x v="35"/>
    <s v="2025-08"/>
    <x v="46"/>
    <s v="VALERIA"/>
    <x v="257"/>
    <n v="0"/>
    <n v="1"/>
  </r>
  <r>
    <s v="057.698.087/0001-30"/>
    <x v="229"/>
    <s v="INCLUSAO  ANOT.INADIMPLENCIA"/>
    <x v="215"/>
    <x v="1"/>
    <s v="2025-08"/>
    <x v="46"/>
    <s v="CELIO PIMENTA"/>
    <x v="229"/>
    <n v="0"/>
    <n v="1"/>
  </r>
  <r>
    <s v="021.382.943/0001-04"/>
    <x v="205"/>
    <s v="INCL/EXCL ANOT.INADIMPLENCIA"/>
    <x v="215"/>
    <x v="0"/>
    <s v="2025-08"/>
    <x v="46"/>
    <s v="ADMINISTRAÇÃO"/>
    <x v="205"/>
    <n v="1"/>
    <n v="1"/>
  </r>
  <r>
    <s v="020.024.081/0001-77"/>
    <x v="177"/>
    <s v="INCLUSAO  ANOT.INADIMPLENCIA"/>
    <x v="215"/>
    <x v="10"/>
    <s v="2025-08"/>
    <x v="46"/>
    <s v="ROGERIO "/>
    <x v="177"/>
    <n v="0"/>
    <n v="1"/>
  </r>
  <r>
    <s v="016.772.642/0001-49"/>
    <x v="69"/>
    <s v="INCLUSAO  ANOT.INADIMPLENCIA"/>
    <x v="215"/>
    <x v="0"/>
    <s v="2025-08"/>
    <x v="46"/>
    <s v="ADMINISTRAÇÃO"/>
    <x v="69"/>
    <n v="0"/>
    <n v="1"/>
  </r>
  <r>
    <s v="011.122.552/0001-99"/>
    <x v="59"/>
    <s v="INCL/EXCL ANOT.INADIMPLENCIA"/>
    <x v="215"/>
    <x v="6"/>
    <s v="2025-08"/>
    <x v="46"/>
    <s v="RAFAEL PARISE"/>
    <x v="59"/>
    <n v="1"/>
    <n v="1"/>
  </r>
  <r>
    <s v="008.250.872/0001-10"/>
    <x v="121"/>
    <s v="INCL/EXCL ANOT.INADIMPLENCIA"/>
    <x v="215"/>
    <x v="6"/>
    <s v="2025-08"/>
    <x v="46"/>
    <s v="RAFAEL PARISE"/>
    <x v="121"/>
    <n v="1"/>
    <n v="1"/>
  </r>
  <r>
    <s v="004.622.554/0001-81"/>
    <x v="66"/>
    <s v="EXCLUSAO  ANOT.INADIMPLENCIA"/>
    <x v="215"/>
    <x v="4"/>
    <s v="2025-08"/>
    <x v="46"/>
    <s v="NOELI SALETE"/>
    <x v="66"/>
    <n v="1"/>
    <n v="0"/>
  </r>
  <r>
    <s v="004.323.643/0001-27"/>
    <x v="221"/>
    <s v="INCLUSAO  ANOT.INADIMPLENCIA"/>
    <x v="215"/>
    <x v="0"/>
    <s v="2025-08"/>
    <x v="46"/>
    <s v="ADMINISTRAÇÃO"/>
    <x v="221"/>
    <n v="0"/>
    <n v="1"/>
  </r>
  <r>
    <s v="003.603.516/0001-19"/>
    <x v="236"/>
    <s v="INCLUSAO  ANOT.INADIMPLENCIA"/>
    <x v="215"/>
    <x v="3"/>
    <s v="2025-08"/>
    <x v="46"/>
    <s v="MARCUS VINICIUS "/>
    <x v="236"/>
    <n v="0"/>
    <n v="1"/>
  </r>
  <r>
    <s v="003.590.360/0001-89"/>
    <x v="3"/>
    <s v="INCLUSAO  ANOT.INADIMPLENCIA"/>
    <x v="215"/>
    <x v="1"/>
    <s v="2025-08"/>
    <x v="46"/>
    <s v="CELIO PIMENTA"/>
    <x v="3"/>
    <n v="0"/>
    <n v="1"/>
  </r>
  <r>
    <s v="020.066.300/0001-80"/>
    <x v="269"/>
    <s v="INCLUSAO  ANOT.INADIMPLENCIA"/>
    <x v="215"/>
    <x v="1"/>
    <s v="2025-08"/>
    <x v="46"/>
    <s v="CELIO PIMENTA"/>
    <x v="269"/>
    <n v="0"/>
    <n v="1"/>
  </r>
  <r>
    <s v="071.350.797/0001-03"/>
    <x v="48"/>
    <s v="INCLUSAO  ANOT.INADIMPLENCIA"/>
    <x v="215"/>
    <x v="10"/>
    <s v="2025-08"/>
    <x v="46"/>
    <s v="ROGERIO "/>
    <x v="48"/>
    <n v="0"/>
    <n v="1"/>
  </r>
  <r>
    <s v="003.524.760/0001-96"/>
    <x v="230"/>
    <s v="INCLUSAO  ANOT.INADIMPLENCIA"/>
    <x v="216"/>
    <x v="30"/>
    <s v="2025-08"/>
    <x v="46"/>
    <s v="ANDRE CUNHA"/>
    <x v="230"/>
    <n v="0"/>
    <n v="1"/>
  </r>
  <r>
    <s v="006.107.454/0001-42"/>
    <x v="42"/>
    <s v="INCLUSAO  ANOT.INADIMPLENCIA"/>
    <x v="216"/>
    <x v="0"/>
    <s v="2025-08"/>
    <x v="46"/>
    <s v="ADMINISTRAÇÃO"/>
    <x v="42"/>
    <n v="0"/>
    <n v="1"/>
  </r>
  <r>
    <s v="021.382.943/0001-04"/>
    <x v="205"/>
    <s v="INCL/EXCL ANOT.INADIMPLENCIA"/>
    <x v="216"/>
    <x v="0"/>
    <s v="2025-08"/>
    <x v="46"/>
    <s v="ADMINISTRAÇÃO"/>
    <x v="205"/>
    <n v="1"/>
    <n v="1"/>
  </r>
  <r>
    <s v="021.420.856/0001-96"/>
    <x v="129"/>
    <s v="INCL/EXCL ANOT.INADIMPLENCIA"/>
    <x v="216"/>
    <x v="19"/>
    <s v="2025-08"/>
    <x v="46"/>
    <s v="JOSE ROBERTO"/>
    <x v="129"/>
    <n v="1"/>
    <n v="1"/>
  </r>
  <r>
    <s v="021.734.108/0001-88"/>
    <x v="41"/>
    <s v="INCLUSAO  ANOT.INADIMPLENCIA"/>
    <x v="216"/>
    <x v="0"/>
    <s v="2025-08"/>
    <x v="46"/>
    <s v="ADMINISTRAÇÃO"/>
    <x v="41"/>
    <n v="0"/>
    <n v="1"/>
  </r>
  <r>
    <s v="023.637.987/0001-55"/>
    <x v="20"/>
    <s v="INCLUSAO  ANOT.INADIMPLENCIA"/>
    <x v="216"/>
    <x v="5"/>
    <s v="2025-08"/>
    <x v="46"/>
    <s v="POENATELA"/>
    <x v="20"/>
    <n v="0"/>
    <n v="1"/>
  </r>
  <r>
    <s v="026.628.832/0001-40"/>
    <x v="244"/>
    <s v="INCLUSAO  ANOT.INADIMPLENCIA"/>
    <x v="216"/>
    <x v="27"/>
    <s v="2025-08"/>
    <x v="46"/>
    <s v="ALISSON DE SOUZA LIMA"/>
    <x v="244"/>
    <n v="0"/>
    <n v="1"/>
  </r>
  <r>
    <s v="028.393.466/0001-13"/>
    <x v="167"/>
    <s v="INCLUSAO  ANOT.INADIMPLENCIA"/>
    <x v="216"/>
    <x v="12"/>
    <s v="2025-08"/>
    <x v="46"/>
    <s v="PROSPECTAR"/>
    <x v="167"/>
    <n v="0"/>
    <n v="1"/>
  </r>
  <r>
    <s v="034.165.528/0001-32"/>
    <x v="256"/>
    <s v="INCL/EXCL ANOT.INADIMPLENCIA"/>
    <x v="216"/>
    <x v="27"/>
    <s v="2025-08"/>
    <x v="46"/>
    <s v="ALISSON DE SOUZA LIMA"/>
    <x v="256"/>
    <n v="1"/>
    <n v="1"/>
  </r>
  <r>
    <s v="037.828.375/0001-54"/>
    <x v="39"/>
    <s v="INCLUSAO  ANOT.INADIMPLENCIA"/>
    <x v="216"/>
    <x v="5"/>
    <s v="2025-08"/>
    <x v="46"/>
    <s v="POENATELA"/>
    <x v="39"/>
    <n v="0"/>
    <n v="1"/>
  </r>
  <r>
    <s v="038.185.478/0001-06"/>
    <x v="148"/>
    <s v="INCLUSAO  ANOT.INADIMPLENCIA"/>
    <x v="216"/>
    <x v="0"/>
    <s v="2025-08"/>
    <x v="46"/>
    <s v="ADMINISTRAÇÃO"/>
    <x v="148"/>
    <n v="0"/>
    <n v="1"/>
  </r>
  <r>
    <s v="039.438.917/0001-08"/>
    <x v="273"/>
    <s v="INCLUSAO  ANOT.INADIMPLENCIA"/>
    <x v="216"/>
    <x v="10"/>
    <s v="2025-08"/>
    <x v="46"/>
    <s v="ROGERIO "/>
    <x v="273"/>
    <n v="0"/>
    <n v="1"/>
  </r>
  <r>
    <s v="043.515.558/0001-12"/>
    <x v="176"/>
    <s v="INCLUSAO  ANOT.INADIMPLENCIA"/>
    <x v="216"/>
    <x v="10"/>
    <s v="2025-08"/>
    <x v="46"/>
    <s v="ROGERIO "/>
    <x v="176"/>
    <n v="0"/>
    <n v="1"/>
  </r>
  <r>
    <s v="047.635.671/0001-92"/>
    <x v="143"/>
    <s v="INCLUSAO  ANOT.INADIMPLENCIA"/>
    <x v="216"/>
    <x v="1"/>
    <s v="2025-08"/>
    <x v="46"/>
    <s v="CELIO PIMENTA"/>
    <x v="143"/>
    <n v="0"/>
    <n v="1"/>
  </r>
  <r>
    <s v="048.956.491/0001-75"/>
    <x v="179"/>
    <s v="INCLUSAO  ANOT.INADIMPLENCIA"/>
    <x v="216"/>
    <x v="12"/>
    <s v="2025-08"/>
    <x v="46"/>
    <s v="PROSPECTAR"/>
    <x v="179"/>
    <n v="0"/>
    <n v="1"/>
  </r>
  <r>
    <s v="003.603.516/0001-19"/>
    <x v="236"/>
    <s v="EXCLUSAO  ANOT.INADIMPLENCIA"/>
    <x v="217"/>
    <x v="3"/>
    <s v="2025-08"/>
    <x v="46"/>
    <s v="MARCUS VINICIUS "/>
    <x v="236"/>
    <n v="1"/>
    <n v="0"/>
  </r>
  <r>
    <s v="004.323.643/0001-27"/>
    <x v="221"/>
    <s v="EXCLUSAO  ANOT.INADIMPLENCIA"/>
    <x v="217"/>
    <x v="0"/>
    <s v="2025-08"/>
    <x v="46"/>
    <s v="ADMINISTRAÇÃO"/>
    <x v="221"/>
    <n v="1"/>
    <n v="0"/>
  </r>
  <r>
    <s v="004.622.554/0001-81"/>
    <x v="66"/>
    <s v="INCLUSAO  ANOT.INADIMPLENCIA"/>
    <x v="217"/>
    <x v="4"/>
    <s v="2025-08"/>
    <x v="46"/>
    <s v="NOELI SALETE"/>
    <x v="66"/>
    <n v="0"/>
    <n v="1"/>
  </r>
  <r>
    <s v="005.136.389/0001-10"/>
    <x v="274"/>
    <s v="ALTERACAO ENDERECO"/>
    <x v="217"/>
    <x v="0"/>
    <s v="2025-08"/>
    <x v="46"/>
    <s v="ADMINISTRAÇÃO"/>
    <x v="274"/>
    <n v="0"/>
    <n v="0"/>
  </r>
  <r>
    <s v="005.363.690/0001-67"/>
    <x v="90"/>
    <s v="INCLUSAO  ANOT.INADIMPLENCIA"/>
    <x v="217"/>
    <x v="12"/>
    <s v="2025-08"/>
    <x v="46"/>
    <s v="PROSPECTAR"/>
    <x v="90"/>
    <n v="0"/>
    <n v="1"/>
  </r>
  <r>
    <s v="008.250.872/0001-10"/>
    <x v="121"/>
    <s v="INCLUSAO  ANOT.INADIMPLENCIA"/>
    <x v="217"/>
    <x v="6"/>
    <s v="2025-08"/>
    <x v="46"/>
    <s v="RAFAEL PARISE"/>
    <x v="121"/>
    <n v="0"/>
    <n v="1"/>
  </r>
  <r>
    <s v="022.457.202/0001-08"/>
    <x v="257"/>
    <s v="EXCLUSAO  ANOT.INADIMPLENCIA"/>
    <x v="217"/>
    <x v="35"/>
    <s v="2025-08"/>
    <x v="46"/>
    <s v="VALERIA"/>
    <x v="257"/>
    <n v="1"/>
    <n v="0"/>
  </r>
  <r>
    <s v="025.094.292/0001-08"/>
    <x v="213"/>
    <s v="EXCLUSAO  ANOT.INADIMPLENCIA"/>
    <x v="217"/>
    <x v="12"/>
    <s v="2025-08"/>
    <x v="46"/>
    <s v="PROSPECTAR"/>
    <x v="213"/>
    <n v="1"/>
    <n v="0"/>
  </r>
  <r>
    <s v="026.628.832/0001-40"/>
    <x v="244"/>
    <s v="INCLUSAO  ANOT.INADIMPLENCIA"/>
    <x v="217"/>
    <x v="27"/>
    <s v="2025-08"/>
    <x v="46"/>
    <s v="ALISSON DE SOUZA LIMA"/>
    <x v="244"/>
    <n v="0"/>
    <n v="1"/>
  </r>
  <r>
    <s v="028.511.223/0001-32"/>
    <x v="189"/>
    <s v="INCLUSAO  ANOT.INADIMPLENCIA"/>
    <x v="217"/>
    <x v="0"/>
    <s v="2025-08"/>
    <x v="46"/>
    <s v="ADMINISTRAÇÃO"/>
    <x v="189"/>
    <n v="0"/>
    <n v="1"/>
  </r>
  <r>
    <s v="039.438.917/0001-08"/>
    <x v="273"/>
    <s v="EXCLUSAO  ANOT.INADIMPLENCIA"/>
    <x v="217"/>
    <x v="10"/>
    <s v="2025-08"/>
    <x v="46"/>
    <s v="ROGERIO "/>
    <x v="273"/>
    <n v="1"/>
    <n v="0"/>
  </r>
  <r>
    <s v="048.956.491/0001-75"/>
    <x v="179"/>
    <s v="INCLUSAO  ANOT.INADIMPLENCIA"/>
    <x v="217"/>
    <x v="12"/>
    <s v="2025-08"/>
    <x v="46"/>
    <s v="PROSPECTAR"/>
    <x v="179"/>
    <n v="0"/>
    <n v="1"/>
  </r>
  <r>
    <s v="071.350.797/0001-03"/>
    <x v="48"/>
    <s v="INCLUSAO  ANOT.INADIMPLENCIA"/>
    <x v="217"/>
    <x v="10"/>
    <s v="2025-08"/>
    <x v="46"/>
    <s v="ROGERIO "/>
    <x v="48"/>
    <n v="0"/>
    <n v="1"/>
  </r>
  <r>
    <s v="003.524.760/0001-96"/>
    <x v="230"/>
    <s v="EXCLUSAO  ANOT.INADIMPLENCIA"/>
    <x v="218"/>
    <x v="30"/>
    <s v="2025-08"/>
    <x v="46"/>
    <s v="ANDRE CUNHA"/>
    <x v="230"/>
    <n v="1"/>
    <n v="0"/>
  </r>
  <r>
    <s v="028.556.973/0001-20"/>
    <x v="118"/>
    <s v="INCLUSAO  ANOT.INADIMPLENCIA"/>
    <x v="218"/>
    <x v="1"/>
    <s v="2025-08"/>
    <x v="46"/>
    <s v="CELIO PIMENTA"/>
    <x v="118"/>
    <n v="0"/>
    <n v="1"/>
  </r>
  <r>
    <s v="028.511.223/0001-32"/>
    <x v="189"/>
    <s v="INCLUSAO  ANOT.INADIMPLENCIA"/>
    <x v="218"/>
    <x v="0"/>
    <s v="2025-08"/>
    <x v="46"/>
    <s v="ADMINISTRAÇÃO"/>
    <x v="189"/>
    <n v="0"/>
    <n v="1"/>
  </r>
  <r>
    <s v="027.508.008/0001-10"/>
    <x v="216"/>
    <s v="INCLUSAO  ANOT.INADIMPLENCIA"/>
    <x v="218"/>
    <x v="29"/>
    <s v="2025-08"/>
    <x v="46"/>
    <s v="DALVA"/>
    <x v="216"/>
    <n v="0"/>
    <n v="1"/>
  </r>
  <r>
    <s v="026.628.832/0001-40"/>
    <x v="244"/>
    <s v="INCLUSAO  ANOT.INADIMPLENCIA"/>
    <x v="218"/>
    <x v="27"/>
    <s v="2025-08"/>
    <x v="46"/>
    <s v="ALISSON DE SOUZA LIMA"/>
    <x v="244"/>
    <n v="0"/>
    <n v="1"/>
  </r>
  <r>
    <s v="023.637.987/0001-55"/>
    <x v="20"/>
    <s v="EXCLUSAO  ANOT.INADIMPLENCIA"/>
    <x v="218"/>
    <x v="5"/>
    <s v="2025-08"/>
    <x v="46"/>
    <s v="POENATELA"/>
    <x v="20"/>
    <n v="1"/>
    <n v="0"/>
  </r>
  <r>
    <s v="057.698.087/0001-30"/>
    <x v="229"/>
    <s v="INCLUSAO  ANOT.INADIMPLENCIA"/>
    <x v="218"/>
    <x v="1"/>
    <s v="2025-08"/>
    <x v="46"/>
    <s v="CELIO PIMENTA"/>
    <x v="229"/>
    <n v="0"/>
    <n v="1"/>
  </r>
  <r>
    <s v="020.024.081/0001-77"/>
    <x v="177"/>
    <s v="EXCLUSAO  ANOT.INADIMPLENCIA"/>
    <x v="218"/>
    <x v="10"/>
    <s v="2025-08"/>
    <x v="46"/>
    <s v="ROGERIO "/>
    <x v="177"/>
    <n v="1"/>
    <n v="0"/>
  </r>
  <r>
    <s v="014.829.598/0001-30"/>
    <x v="31"/>
    <s v="INCLUSAO  ANOT.INADIMPLENCIA"/>
    <x v="218"/>
    <x v="9"/>
    <s v="2025-08"/>
    <x v="46"/>
    <s v="PRISCILA METZ"/>
    <x v="31"/>
    <n v="0"/>
    <n v="1"/>
  </r>
  <r>
    <s v="011.173.099/0001-40"/>
    <x v="227"/>
    <s v="INCLUSAO  ANOT.INADIMPLENCIA"/>
    <x v="218"/>
    <x v="21"/>
    <s v="2025-08"/>
    <x v="46"/>
    <s v="CAIO"/>
    <x v="227"/>
    <n v="0"/>
    <n v="1"/>
  </r>
  <r>
    <s v="004.323.643/0001-27"/>
    <x v="221"/>
    <s v="INCLUSAO  ANOT.INADIMPLENCIA"/>
    <x v="218"/>
    <x v="0"/>
    <s v="2025-08"/>
    <x v="46"/>
    <s v="ADMINISTRAÇÃO"/>
    <x v="221"/>
    <n v="0"/>
    <n v="1"/>
  </r>
  <r>
    <s v="003.603.516/0001-19"/>
    <x v="236"/>
    <s v="EXCLUSAO  ANOT.INADIMPLENCIA"/>
    <x v="218"/>
    <x v="3"/>
    <s v="2025-08"/>
    <x v="46"/>
    <s v="MARCUS VINICIUS "/>
    <x v="236"/>
    <n v="1"/>
    <n v="0"/>
  </r>
  <r>
    <s v="021.382.943/0001-04"/>
    <x v="205"/>
    <s v="INCLUSAO  ANOT.INADIMPLENCIA"/>
    <x v="218"/>
    <x v="0"/>
    <s v="2025-08"/>
    <x v="46"/>
    <s v="ADMINISTRAÇÃO"/>
    <x v="205"/>
    <n v="0"/>
    <n v="1"/>
  </r>
  <r>
    <s v="038.479.255/0001-51"/>
    <x v="240"/>
    <s v="EXCLUSAO  ANOT.INADIMPLENCIA"/>
    <x v="219"/>
    <x v="3"/>
    <s v="2025-08"/>
    <x v="46"/>
    <s v="MARCUS VINICIUS "/>
    <x v="240"/>
    <n v="1"/>
    <n v="0"/>
  </r>
  <r>
    <s v="033.803.691/0001-10"/>
    <x v="103"/>
    <s v="EXCLUSAO  ANOT.INADIMPLENCIA"/>
    <x v="219"/>
    <x v="0"/>
    <s v="2025-08"/>
    <x v="46"/>
    <s v="ADMINISTRAÇÃO"/>
    <x v="103"/>
    <n v="1"/>
    <n v="0"/>
  </r>
  <r>
    <s v="033.028.017/0001-06"/>
    <x v="260"/>
    <s v="INCLUSAO  ANOT.INADIMPLENCIA"/>
    <x v="219"/>
    <x v="31"/>
    <s v="2025-08"/>
    <x v="46"/>
    <s v="TIAGO NEVES"/>
    <x v="260"/>
    <n v="0"/>
    <n v="1"/>
  </r>
  <r>
    <s v="026.628.832/0001-40"/>
    <x v="244"/>
    <s v="INCLUSAO  ANOT.INADIMPLENCIA"/>
    <x v="219"/>
    <x v="27"/>
    <s v="2025-08"/>
    <x v="46"/>
    <s v="ALISSON DE SOUZA LIMA"/>
    <x v="244"/>
    <n v="0"/>
    <n v="1"/>
  </r>
  <r>
    <s v="022.457.202/0001-08"/>
    <x v="257"/>
    <s v="INCLUSAO  ANOT.INADIMPLENCIA"/>
    <x v="219"/>
    <x v="35"/>
    <s v="2025-08"/>
    <x v="46"/>
    <s v="VALERIA"/>
    <x v="257"/>
    <n v="0"/>
    <n v="1"/>
  </r>
  <r>
    <s v="011.122.552/0001-99"/>
    <x v="59"/>
    <s v="INCL/EXCL ANOT.INADIMPLENCIA"/>
    <x v="219"/>
    <x v="6"/>
    <s v="2025-08"/>
    <x v="46"/>
    <s v="RAFAEL PARISE"/>
    <x v="59"/>
    <n v="1"/>
    <n v="1"/>
  </r>
  <r>
    <s v="016.772.642/0001-49"/>
    <x v="69"/>
    <s v="EXCLUSAO  ANOT.INADIMPLENCIA"/>
    <x v="219"/>
    <x v="0"/>
    <s v="2025-08"/>
    <x v="46"/>
    <s v="ADMINISTRAÇÃO"/>
    <x v="69"/>
    <n v="1"/>
    <n v="0"/>
  </r>
  <r>
    <s v="008.250.872/0001-10"/>
    <x v="121"/>
    <s v="INCLUSAO  ANOT.INADIMPLENCIA"/>
    <x v="219"/>
    <x v="6"/>
    <s v="2025-08"/>
    <x v="46"/>
    <s v="RAFAEL PARISE"/>
    <x v="121"/>
    <n v="0"/>
    <n v="1"/>
  </r>
  <r>
    <s v="004.622.554/0001-81"/>
    <x v="66"/>
    <s v="INCL/EXCL ANOT.INADIMPLENCIA"/>
    <x v="219"/>
    <x v="4"/>
    <s v="2025-08"/>
    <x v="46"/>
    <s v="NOELI SALETE"/>
    <x v="66"/>
    <n v="1"/>
    <n v="1"/>
  </r>
  <r>
    <s v="004.323.643/0001-27"/>
    <x v="221"/>
    <s v="INCLUSAO  ANOT.INADIMPLENCIA"/>
    <x v="219"/>
    <x v="0"/>
    <s v="2025-08"/>
    <x v="46"/>
    <s v="ADMINISTRAÇÃO"/>
    <x v="221"/>
    <n v="0"/>
    <n v="1"/>
  </r>
  <r>
    <s v="043.515.558/0001-12"/>
    <x v="176"/>
    <s v="INCLUSAO  ANOT.INADIMPLENCIA"/>
    <x v="219"/>
    <x v="10"/>
    <s v="2025-08"/>
    <x v="46"/>
    <s v="ROGERIO "/>
    <x v="176"/>
    <n v="0"/>
    <n v="1"/>
  </r>
  <r>
    <s v="019.961.036/0001-60"/>
    <x v="262"/>
    <s v="INCLUSAO  ANOT.INADIMPLENCIA"/>
    <x v="219"/>
    <x v="36"/>
    <s v="2025-08"/>
    <x v="46"/>
    <s v="JJPH"/>
    <x v="262"/>
    <n v="0"/>
    <n v="1"/>
  </r>
  <r>
    <s v="055.979.736/0001-45"/>
    <x v="63"/>
    <s v="INCLUSAO  ANOT.INADIMPLENCIA"/>
    <x v="219"/>
    <x v="16"/>
    <s v="2025-08"/>
    <x v="46"/>
    <s v="SACADO"/>
    <x v="63"/>
    <n v="0"/>
    <n v="1"/>
  </r>
  <r>
    <s v="003.603.516/0001-19"/>
    <x v="236"/>
    <s v="INCLUSAO  ANOT.INADIMPLENCIA"/>
    <x v="220"/>
    <x v="3"/>
    <s v="2025-08"/>
    <x v="47"/>
    <s v="MARCUS VINICIUS "/>
    <x v="236"/>
    <n v="0"/>
    <n v="1"/>
  </r>
  <r>
    <s v="051.323.061/0001-20"/>
    <x v="252"/>
    <s v="INCLUSAO  ANOT.INADIMPLENCIA"/>
    <x v="220"/>
    <x v="27"/>
    <s v="2025-08"/>
    <x v="47"/>
    <s v="ALISSON DE SOUZA LIMA"/>
    <x v="252"/>
    <n v="0"/>
    <n v="1"/>
  </r>
  <r>
    <s v="044.888.871/0001-69"/>
    <x v="106"/>
    <s v="INCLUSAO  ANOT.INADIMPLENCIA"/>
    <x v="220"/>
    <x v="12"/>
    <s v="2025-08"/>
    <x v="47"/>
    <s v="PROSPECTAR"/>
    <x v="106"/>
    <n v="0"/>
    <n v="1"/>
  </r>
  <r>
    <s v="044.570.311/0001-61"/>
    <x v="116"/>
    <s v="INCLUSAO  ANOT.INADIMPLENCIA"/>
    <x v="220"/>
    <x v="12"/>
    <s v="2025-08"/>
    <x v="47"/>
    <s v="PROSPECTAR"/>
    <x v="116"/>
    <n v="0"/>
    <n v="1"/>
  </r>
  <r>
    <s v="044.470.678/0001-03"/>
    <x v="203"/>
    <s v="EXCLUSAO  ANOT.INADIMPLENCIA"/>
    <x v="220"/>
    <x v="9"/>
    <s v="2025-08"/>
    <x v="47"/>
    <s v="PRISCILA METZ"/>
    <x v="203"/>
    <n v="1"/>
    <n v="0"/>
  </r>
  <r>
    <s v="041.397.377/0001-03"/>
    <x v="241"/>
    <s v="INCLUSAO  ANOT.INADIMPLENCIA"/>
    <x v="220"/>
    <x v="10"/>
    <s v="2025-08"/>
    <x v="47"/>
    <s v="ROGERIO "/>
    <x v="241"/>
    <n v="0"/>
    <n v="1"/>
  </r>
  <r>
    <s v="037.828.375/0001-54"/>
    <x v="39"/>
    <s v="EXCLUSAO  ANOT.INADIMPLENCIA"/>
    <x v="220"/>
    <x v="5"/>
    <s v="2025-08"/>
    <x v="47"/>
    <s v="POENATELA"/>
    <x v="39"/>
    <n v="1"/>
    <n v="0"/>
  </r>
  <r>
    <s v="034.165.528/0001-32"/>
    <x v="256"/>
    <s v="INCLUSAO  ANOT.INADIMPLENCIA"/>
    <x v="220"/>
    <x v="27"/>
    <s v="2025-08"/>
    <x v="47"/>
    <s v="ALISSON DE SOUZA LIMA"/>
    <x v="256"/>
    <n v="0"/>
    <n v="1"/>
  </r>
  <r>
    <s v="033.803.691/0001-10"/>
    <x v="103"/>
    <s v="INCLUSAO  ANOT.INADIMPLENCIA"/>
    <x v="220"/>
    <x v="0"/>
    <s v="2025-08"/>
    <x v="47"/>
    <s v="ADMINISTRAÇÃO"/>
    <x v="103"/>
    <n v="0"/>
    <n v="1"/>
  </r>
  <r>
    <s v="032.552.159/0001-05"/>
    <x v="211"/>
    <s v="INCLUSAO  ANOT.INADIMPLENCIA"/>
    <x v="220"/>
    <x v="27"/>
    <s v="2025-08"/>
    <x v="47"/>
    <s v="ALISSON DE SOUZA LIMA"/>
    <x v="211"/>
    <n v="0"/>
    <n v="1"/>
  </r>
  <r>
    <s v="032.213.847/0001-40"/>
    <x v="198"/>
    <s v="INCLUSAO  ANOT.INADIMPLENCIA"/>
    <x v="220"/>
    <x v="9"/>
    <s v="2025-08"/>
    <x v="47"/>
    <s v="PRISCILA METZ"/>
    <x v="198"/>
    <n v="0"/>
    <n v="1"/>
  </r>
  <r>
    <s v="032.024.304/0001-85"/>
    <x v="270"/>
    <s v="INCLUSAO  ANOT.INADIMPLENCIA"/>
    <x v="220"/>
    <x v="12"/>
    <s v="2025-08"/>
    <x v="47"/>
    <s v="PROSPECTAR"/>
    <x v="270"/>
    <n v="0"/>
    <n v="1"/>
  </r>
  <r>
    <s v="029.246.128/0001-11"/>
    <x v="127"/>
    <s v="INCLUSAO  ANOT.INADIMPLENCIA"/>
    <x v="220"/>
    <x v="9"/>
    <s v="2025-08"/>
    <x v="47"/>
    <s v="PRISCILA METZ"/>
    <x v="127"/>
    <n v="0"/>
    <n v="1"/>
  </r>
  <r>
    <s v="028.511.223/0001-32"/>
    <x v="189"/>
    <s v="INCLUSAO  ANOT.INADIMPLENCIA"/>
    <x v="220"/>
    <x v="0"/>
    <s v="2025-08"/>
    <x v="47"/>
    <s v="ADMINISTRAÇÃO"/>
    <x v="189"/>
    <n v="0"/>
    <n v="1"/>
  </r>
  <r>
    <s v="028.393.466/0001-13"/>
    <x v="167"/>
    <s v="INCLUSAO  ANOT.INADIMPLENCIA"/>
    <x v="220"/>
    <x v="12"/>
    <s v="2025-08"/>
    <x v="47"/>
    <s v="PROSPECTAR"/>
    <x v="167"/>
    <n v="0"/>
    <n v="1"/>
  </r>
  <r>
    <s v="027.647.097/0001-85"/>
    <x v="254"/>
    <s v="INCLUSAO  ANOT.INADIMPLENCIA"/>
    <x v="220"/>
    <x v="33"/>
    <s v="2025-08"/>
    <x v="47"/>
    <s v="FERNANDO ABRAS"/>
    <x v="254"/>
    <n v="0"/>
    <n v="1"/>
  </r>
  <r>
    <s v="026.628.832/0001-40"/>
    <x v="244"/>
    <s v="INCLUSAO  ANOT.INADIMPLENCIA"/>
    <x v="220"/>
    <x v="27"/>
    <s v="2025-08"/>
    <x v="47"/>
    <s v="ALISSON DE SOUZA LIMA"/>
    <x v="244"/>
    <n v="0"/>
    <n v="1"/>
  </r>
  <r>
    <s v="022.457.202/0001-08"/>
    <x v="257"/>
    <s v="INCL/EXCL ANOT.INADIMPLENCIA"/>
    <x v="220"/>
    <x v="35"/>
    <s v="2025-08"/>
    <x v="47"/>
    <s v="VALERIA"/>
    <x v="257"/>
    <n v="1"/>
    <n v="1"/>
  </r>
  <r>
    <s v="004.323.643/0001-27"/>
    <x v="221"/>
    <s v="EXCLUSAO  ANOT.INADIMPLENCIA"/>
    <x v="220"/>
    <x v="0"/>
    <s v="2025-08"/>
    <x v="47"/>
    <s v="ADMINISTRAÇÃO"/>
    <x v="221"/>
    <n v="1"/>
    <n v="0"/>
  </r>
  <r>
    <s v="005.350.235/0001-27"/>
    <x v="72"/>
    <s v="INCLUSAO  ANOT.INADIMPLENCIA"/>
    <x v="220"/>
    <x v="3"/>
    <s v="2025-08"/>
    <x v="47"/>
    <s v="MARCUS VINICIUS "/>
    <x v="72"/>
    <n v="0"/>
    <n v="1"/>
  </r>
  <r>
    <s v="007.561.436/0001-07"/>
    <x v="34"/>
    <s v="INCLUSAO  ANOT.INADIMPLENCIA"/>
    <x v="220"/>
    <x v="12"/>
    <s v="2025-08"/>
    <x v="47"/>
    <s v="PROSPECTAR"/>
    <x v="34"/>
    <n v="0"/>
    <n v="1"/>
  </r>
  <r>
    <s v="008.250.872/0001-10"/>
    <x v="121"/>
    <s v="INCLUSAO  ANOT.INADIMPLENCIA"/>
    <x v="220"/>
    <x v="6"/>
    <s v="2025-08"/>
    <x v="47"/>
    <s v="RAFAEL PARISE"/>
    <x v="121"/>
    <n v="0"/>
    <n v="1"/>
  </r>
  <r>
    <s v="009.674.456/0001-01"/>
    <x v="233"/>
    <s v="INCLUSAO  ANOT.INADIMPLENCIA"/>
    <x v="220"/>
    <x v="6"/>
    <s v="2025-08"/>
    <x v="47"/>
    <s v="RAFAEL PARISE"/>
    <x v="233"/>
    <n v="0"/>
    <n v="1"/>
  </r>
  <r>
    <s v="011.122.552/0001-99"/>
    <x v="59"/>
    <s v="INCLUSAO  ANOT.INADIMPLENCIA"/>
    <x v="220"/>
    <x v="6"/>
    <s v="2025-08"/>
    <x v="47"/>
    <s v="RAFAEL PARISE"/>
    <x v="59"/>
    <n v="0"/>
    <n v="1"/>
  </r>
  <r>
    <s v="052.755.043/0001-80"/>
    <x v="237"/>
    <s v="EXCLUSAO  ANOT.INADIMPLENCIA"/>
    <x v="220"/>
    <x v="3"/>
    <s v="2025-08"/>
    <x v="47"/>
    <s v="MARCUS VINICIUS "/>
    <x v="237"/>
    <n v="1"/>
    <n v="0"/>
  </r>
  <r>
    <s v="011.173.099/0001-40"/>
    <x v="227"/>
    <s v="INCLUSAO  ANOT.INADIMPLENCIA"/>
    <x v="220"/>
    <x v="21"/>
    <s v="2025-08"/>
    <x v="47"/>
    <s v="CAIO"/>
    <x v="227"/>
    <n v="0"/>
    <n v="1"/>
  </r>
  <r>
    <s v="014.829.598/0001-30"/>
    <x v="31"/>
    <s v="INCLUSAO  ANOT.INADIMPLENCIA"/>
    <x v="220"/>
    <x v="9"/>
    <s v="2025-08"/>
    <x v="47"/>
    <s v="PRISCILA METZ"/>
    <x v="31"/>
    <n v="0"/>
    <n v="1"/>
  </r>
  <r>
    <s v="016.757.535/0001-41"/>
    <x v="29"/>
    <s v="INCL/EXCL ANOT.INADIMPLENCIA"/>
    <x v="220"/>
    <x v="11"/>
    <s v="2025-08"/>
    <x v="47"/>
    <s v="DIOGO AZEVEDO"/>
    <x v="29"/>
    <n v="1"/>
    <n v="1"/>
  </r>
  <r>
    <s v="016.772.642/0001-49"/>
    <x v="69"/>
    <s v="INCLUSAO  ANOT.INADIMPLENCIA"/>
    <x v="220"/>
    <x v="0"/>
    <s v="2025-08"/>
    <x v="47"/>
    <s v="ADMINISTRAÇÃO"/>
    <x v="69"/>
    <n v="0"/>
    <n v="1"/>
  </r>
  <r>
    <s v="020.024.081/0001-77"/>
    <x v="177"/>
    <s v="INCL/EXCL ANOT.INADIMPLENCIA"/>
    <x v="220"/>
    <x v="10"/>
    <s v="2025-08"/>
    <x v="47"/>
    <s v="ROGERIO "/>
    <x v="177"/>
    <n v="1"/>
    <n v="1"/>
  </r>
  <r>
    <s v="020.066.300/0001-80"/>
    <x v="269"/>
    <s v="INCLUSAO  ANOT.INADIMPLENCIA"/>
    <x v="220"/>
    <x v="1"/>
    <s v="2025-08"/>
    <x v="47"/>
    <s v="CELIO PIMENTA"/>
    <x v="269"/>
    <n v="0"/>
    <n v="1"/>
  </r>
  <r>
    <s v="021.420.856/0001-96"/>
    <x v="129"/>
    <s v="INCLUSAO  ANOT.INADIMPLENCIA"/>
    <x v="220"/>
    <x v="19"/>
    <s v="2025-08"/>
    <x v="47"/>
    <s v="JOSE ROBERTO"/>
    <x v="129"/>
    <n v="0"/>
    <n v="1"/>
  </r>
  <r>
    <s v="011.655.076/0001-71"/>
    <x v="263"/>
    <s v="INCLUSAO  ANOT.INADIMPLENCIA"/>
    <x v="220"/>
    <x v="21"/>
    <s v="2025-08"/>
    <x v="47"/>
    <s v="CAIO"/>
    <x v="263"/>
    <n v="0"/>
    <n v="1"/>
  </r>
  <r>
    <s v="055.979.736/0001-45"/>
    <x v="63"/>
    <s v="INCLUSAO  ANOT.INADIMPLENCIA"/>
    <x v="220"/>
    <x v="16"/>
    <s v="2025-08"/>
    <x v="47"/>
    <s v="SACADO"/>
    <x v="63"/>
    <n v="0"/>
    <n v="1"/>
  </r>
  <r>
    <s v="003.603.516/0001-19"/>
    <x v="236"/>
    <s v="INCLUSAO  ANOT.INADIMPLENCIA"/>
    <x v="221"/>
    <x v="3"/>
    <s v="2025-08"/>
    <x v="47"/>
    <s v="MARCUS VINICIUS "/>
    <x v="236"/>
    <n v="0"/>
    <n v="1"/>
  </r>
  <r>
    <s v="051.323.061/0001-20"/>
    <x v="252"/>
    <s v="INCLUSAO  ANOT.INADIMPLENCIA"/>
    <x v="221"/>
    <x v="27"/>
    <s v="2025-08"/>
    <x v="47"/>
    <s v="ALISSON DE SOUZA LIMA"/>
    <x v="252"/>
    <n v="0"/>
    <n v="1"/>
  </r>
  <r>
    <s v="044.888.871/0001-69"/>
    <x v="106"/>
    <s v="INCLUSAO  ANOT.INADIMPLENCIA"/>
    <x v="221"/>
    <x v="12"/>
    <s v="2025-08"/>
    <x v="47"/>
    <s v="PROSPECTAR"/>
    <x v="106"/>
    <n v="0"/>
    <n v="1"/>
  </r>
  <r>
    <s v="044.470.678/0001-03"/>
    <x v="203"/>
    <s v="INCLUSAO  ANOT.INADIMPLENCIA"/>
    <x v="221"/>
    <x v="9"/>
    <s v="2025-08"/>
    <x v="47"/>
    <s v="PRISCILA METZ"/>
    <x v="203"/>
    <n v="0"/>
    <n v="1"/>
  </r>
  <r>
    <s v="043.515.558/0001-12"/>
    <x v="176"/>
    <s v="EXCLUSAO  ANOT.INADIMPLENCIA"/>
    <x v="221"/>
    <x v="10"/>
    <s v="2025-08"/>
    <x v="47"/>
    <s v="ROGERIO "/>
    <x v="176"/>
    <n v="1"/>
    <n v="0"/>
  </r>
  <r>
    <s v="037.828.375/0001-54"/>
    <x v="39"/>
    <s v="INCLUSAO  ANOT.INADIMPLENCIA"/>
    <x v="221"/>
    <x v="5"/>
    <s v="2025-08"/>
    <x v="47"/>
    <s v="POENATELA"/>
    <x v="39"/>
    <n v="0"/>
    <n v="1"/>
  </r>
  <r>
    <s v="034.165.528/0001-32"/>
    <x v="256"/>
    <s v="EXCLUSAO  ANOT.INADIMPLENCIA"/>
    <x v="221"/>
    <x v="27"/>
    <s v="2025-08"/>
    <x v="47"/>
    <s v="ALISSON DE SOUZA LIMA"/>
    <x v="256"/>
    <n v="1"/>
    <n v="0"/>
  </r>
  <r>
    <s v="029.246.128/0001-11"/>
    <x v="127"/>
    <s v="EXCLUSAO  ANOT.INADIMPLENCIA"/>
    <x v="221"/>
    <x v="9"/>
    <s v="2025-08"/>
    <x v="47"/>
    <s v="PRISCILA METZ"/>
    <x v="127"/>
    <n v="1"/>
    <n v="0"/>
  </r>
  <r>
    <s v="028.393.466/0001-13"/>
    <x v="167"/>
    <s v="INCLUSAO  ANOT.INADIMPLENCIA"/>
    <x v="221"/>
    <x v="12"/>
    <s v="2025-08"/>
    <x v="47"/>
    <s v="PROSPECTAR"/>
    <x v="167"/>
    <n v="0"/>
    <n v="1"/>
  </r>
  <r>
    <s v="027.508.008/0001-10"/>
    <x v="216"/>
    <s v="EXCLUSAO  ANOT.INADIMPLENCIA"/>
    <x v="221"/>
    <x v="29"/>
    <s v="2025-08"/>
    <x v="47"/>
    <s v="DALVA"/>
    <x v="216"/>
    <n v="1"/>
    <n v="0"/>
  </r>
  <r>
    <s v="026.628.832/0001-40"/>
    <x v="244"/>
    <s v="INCLUSAO  ANOT.INADIMPLENCIA"/>
    <x v="221"/>
    <x v="27"/>
    <s v="2025-08"/>
    <x v="47"/>
    <s v="ALISSON DE SOUZA LIMA"/>
    <x v="244"/>
    <n v="0"/>
    <n v="1"/>
  </r>
  <r>
    <s v="022.457.202/0001-08"/>
    <x v="257"/>
    <s v="EXCLUSAO  ANOT.INADIMPLENCIA"/>
    <x v="221"/>
    <x v="35"/>
    <s v="2025-08"/>
    <x v="47"/>
    <s v="VALERIA"/>
    <x v="257"/>
    <n v="1"/>
    <n v="0"/>
  </r>
  <r>
    <s v="021.734.108/0001-88"/>
    <x v="41"/>
    <s v="INCLUSAO  ANOT.INADIMPLENCIA"/>
    <x v="221"/>
    <x v="0"/>
    <s v="2025-08"/>
    <x v="47"/>
    <s v="ADMINISTRAÇÃO"/>
    <x v="41"/>
    <n v="0"/>
    <n v="1"/>
  </r>
  <r>
    <s v="021.382.943/0001-04"/>
    <x v="205"/>
    <s v="INCLUSAO  ANOT.INADIMPLENCIA"/>
    <x v="221"/>
    <x v="0"/>
    <s v="2025-08"/>
    <x v="47"/>
    <s v="ADMINISTRAÇÃO"/>
    <x v="205"/>
    <n v="0"/>
    <n v="1"/>
  </r>
  <r>
    <s v="020.066.300/0001-80"/>
    <x v="269"/>
    <s v="INCLUSAO  ANOT.INADIMPLENCIA"/>
    <x v="221"/>
    <x v="1"/>
    <s v="2025-08"/>
    <x v="47"/>
    <s v="CELIO PIMENTA"/>
    <x v="269"/>
    <n v="0"/>
    <n v="1"/>
  </r>
  <r>
    <s v="020.024.081/0001-77"/>
    <x v="177"/>
    <s v="INCLUSAO  ANOT.INADIMPLENCIA"/>
    <x v="221"/>
    <x v="10"/>
    <s v="2025-08"/>
    <x v="47"/>
    <s v="ROGERIO "/>
    <x v="177"/>
    <n v="0"/>
    <n v="1"/>
  </r>
  <r>
    <s v="011.122.552/0001-99"/>
    <x v="59"/>
    <s v="INCLUSAO  ANOT.INADIMPLENCIA"/>
    <x v="221"/>
    <x v="6"/>
    <s v="2025-08"/>
    <x v="47"/>
    <s v="RAFAEL PARISE"/>
    <x v="59"/>
    <n v="0"/>
    <n v="1"/>
  </r>
  <r>
    <s v="007.561.436/0001-07"/>
    <x v="34"/>
    <s v="INCLUSAO  ANOT.INADIMPLENCIA"/>
    <x v="221"/>
    <x v="12"/>
    <s v="2025-08"/>
    <x v="47"/>
    <s v="PROSPECTAR"/>
    <x v="34"/>
    <n v="0"/>
    <n v="1"/>
  </r>
  <r>
    <s v="055.979.736/0001-45"/>
    <x v="63"/>
    <s v="EXCLUSAO  ANOT.INADIMPLENCIA"/>
    <x v="221"/>
    <x v="16"/>
    <s v="2025-08"/>
    <x v="47"/>
    <s v="SACADO"/>
    <x v="63"/>
    <n v="1"/>
    <n v="0"/>
  </r>
  <r>
    <s v="057.698.087/0001-30"/>
    <x v="229"/>
    <s v="INCLUSAO  ANOT.INADIMPLENCIA"/>
    <x v="221"/>
    <x v="1"/>
    <s v="2025-08"/>
    <x v="47"/>
    <s v="CELIO PIMENTA"/>
    <x v="229"/>
    <n v="0"/>
    <n v="1"/>
  </r>
  <r>
    <s v="005.350.235/0001-27"/>
    <x v="72"/>
    <s v="INCLUSAO  ANOT.INADIMPLENCIA"/>
    <x v="222"/>
    <x v="3"/>
    <s v="2025-08"/>
    <x v="47"/>
    <s v="MARCUS VINICIUS "/>
    <x v="72"/>
    <n v="0"/>
    <n v="1"/>
  </r>
  <r>
    <s v="011.091.574/0001-39"/>
    <x v="26"/>
    <s v="EXCLUSAO  ANOT.INADIMPLENCIA"/>
    <x v="222"/>
    <x v="5"/>
    <s v="2025-08"/>
    <x v="47"/>
    <s v="POENATELA"/>
    <x v="26"/>
    <n v="1"/>
    <n v="0"/>
  </r>
  <r>
    <s v="014.829.598/0001-30"/>
    <x v="31"/>
    <s v="EXCLUSAO  ANOT.INADIMPLENCIA"/>
    <x v="222"/>
    <x v="9"/>
    <s v="2025-08"/>
    <x v="47"/>
    <s v="PRISCILA METZ"/>
    <x v="31"/>
    <n v="1"/>
    <n v="0"/>
  </r>
  <r>
    <s v="016.757.535/0001-41"/>
    <x v="29"/>
    <s v="INCLUSAO  ANOT.INADIMPLENCIA"/>
    <x v="222"/>
    <x v="11"/>
    <s v="2025-08"/>
    <x v="47"/>
    <s v="DIOGO AZEVEDO"/>
    <x v="29"/>
    <n v="0"/>
    <n v="1"/>
  </r>
  <r>
    <s v="025.383.640/0001-59"/>
    <x v="158"/>
    <s v="EXCLUSAO  ANOT.INADIMPLENCIA"/>
    <x v="222"/>
    <x v="5"/>
    <s v="2025-08"/>
    <x v="47"/>
    <s v="POENATELA"/>
    <x v="158"/>
    <n v="1"/>
    <n v="0"/>
  </r>
  <r>
    <s v="026.628.832/0001-40"/>
    <x v="244"/>
    <s v="INCLUSAO  ANOT.INADIMPLENCIA"/>
    <x v="222"/>
    <x v="27"/>
    <s v="2025-08"/>
    <x v="47"/>
    <s v="ALISSON DE SOUZA LIMA"/>
    <x v="244"/>
    <n v="0"/>
    <n v="1"/>
  </r>
  <r>
    <s v="028.511.223/0001-32"/>
    <x v="189"/>
    <s v="INCL/EXCL ANOT.INADIMPLENCIA"/>
    <x v="222"/>
    <x v="0"/>
    <s v="2025-08"/>
    <x v="47"/>
    <s v="ADMINISTRAÇÃO"/>
    <x v="189"/>
    <n v="1"/>
    <n v="1"/>
  </r>
  <r>
    <s v="032.552.159/0001-05"/>
    <x v="211"/>
    <s v="INCLUSAO  ANOT.INADIMPLENCIA"/>
    <x v="222"/>
    <x v="27"/>
    <s v="2025-08"/>
    <x v="47"/>
    <s v="ALISSON DE SOUZA LIMA"/>
    <x v="211"/>
    <n v="0"/>
    <n v="1"/>
  </r>
  <r>
    <s v="041.388.946/0001-54"/>
    <x v="175"/>
    <s v="INCLUSAO  ANOT.INADIMPLENCIA"/>
    <x v="222"/>
    <x v="1"/>
    <s v="2025-08"/>
    <x v="47"/>
    <s v="CELIO PIMENTA"/>
    <x v="175"/>
    <n v="0"/>
    <n v="1"/>
  </r>
  <r>
    <s v="046.848.165/0001-19"/>
    <x v="271"/>
    <s v="EXCLUSAO  ANOT.INADIMPLENCIA"/>
    <x v="222"/>
    <x v="11"/>
    <s v="2025-08"/>
    <x v="47"/>
    <s v="DIOGO AZEVEDO"/>
    <x v="271"/>
    <n v="1"/>
    <n v="0"/>
  </r>
  <r>
    <s v="047.635.671/0001-92"/>
    <x v="143"/>
    <s v="INCLUSAO  ANOT.INADIMPLENCIA"/>
    <x v="222"/>
    <x v="1"/>
    <s v="2025-08"/>
    <x v="47"/>
    <s v="CELIO PIMENTA"/>
    <x v="143"/>
    <n v="0"/>
    <n v="1"/>
  </r>
  <r>
    <s v="071.350.797/0001-03"/>
    <x v="48"/>
    <s v="EXCLUSAO  ANOT.INADIMPLENCIA"/>
    <x v="222"/>
    <x v="10"/>
    <s v="2025-08"/>
    <x v="47"/>
    <s v="ROGERIO "/>
    <x v="48"/>
    <n v="1"/>
    <n v="0"/>
  </r>
  <r>
    <s v="002.862.437/0001-60"/>
    <x v="220"/>
    <s v="INCLUSAO  ANOT.INADIMPLENCIA"/>
    <x v="223"/>
    <x v="21"/>
    <s v="2025-08"/>
    <x v="47"/>
    <s v="CAIO"/>
    <x v="220"/>
    <n v="0"/>
    <n v="1"/>
  </r>
  <r>
    <s v="042.119.428/0001-06"/>
    <x v="247"/>
    <s v="INCLUSAO  ANOT.INADIMPLENCIA"/>
    <x v="223"/>
    <x v="31"/>
    <s v="2025-08"/>
    <x v="47"/>
    <s v="TIAGO NEVES"/>
    <x v="247"/>
    <n v="0"/>
    <n v="1"/>
  </r>
  <r>
    <s v="033.281.410/0001-07"/>
    <x v="242"/>
    <s v="INCLUSAO  ANOT.INADIMPLENCIA"/>
    <x v="223"/>
    <x v="29"/>
    <s v="2025-08"/>
    <x v="47"/>
    <s v="DALVA"/>
    <x v="242"/>
    <n v="0"/>
    <n v="1"/>
  </r>
  <r>
    <s v="028.650.970/0001-51"/>
    <x v="166"/>
    <s v="EXCLUSAO  ANOT.INADIMPLENCIA"/>
    <x v="223"/>
    <x v="10"/>
    <s v="2025-08"/>
    <x v="47"/>
    <s v="ROGERIO "/>
    <x v="166"/>
    <n v="1"/>
    <n v="0"/>
  </r>
  <r>
    <s v="028.511.223/0001-32"/>
    <x v="189"/>
    <s v="INCLUSAO  ANOT.INADIMPLENCIA"/>
    <x v="223"/>
    <x v="0"/>
    <s v="2025-08"/>
    <x v="47"/>
    <s v="ADMINISTRAÇÃO"/>
    <x v="189"/>
    <n v="0"/>
    <n v="1"/>
  </r>
  <r>
    <s v="027.180.131/0001-54"/>
    <x v="188"/>
    <s v="INCLUSAO  ANOT.INADIMPLENCIA"/>
    <x v="223"/>
    <x v="9"/>
    <s v="2025-08"/>
    <x v="47"/>
    <s v="PRISCILA METZ"/>
    <x v="188"/>
    <n v="0"/>
    <n v="1"/>
  </r>
  <r>
    <s v="026.628.832/0001-40"/>
    <x v="244"/>
    <s v="INCLUSAO  ANOT.INADIMPLENCIA"/>
    <x v="223"/>
    <x v="27"/>
    <s v="2025-08"/>
    <x v="47"/>
    <s v="ALISSON DE SOUZA LIMA"/>
    <x v="244"/>
    <n v="0"/>
    <n v="1"/>
  </r>
  <r>
    <s v="020.024.081/0001-77"/>
    <x v="177"/>
    <s v="EXCLUSAO  ANOT.INADIMPLENCIA"/>
    <x v="223"/>
    <x v="10"/>
    <s v="2025-08"/>
    <x v="47"/>
    <s v="ROGERIO "/>
    <x v="177"/>
    <n v="1"/>
    <n v="0"/>
  </r>
  <r>
    <s v="016.757.535/0001-41"/>
    <x v="29"/>
    <s v="INCLUSAO  ANOT.INADIMPLENCIA"/>
    <x v="223"/>
    <x v="11"/>
    <s v="2025-08"/>
    <x v="47"/>
    <s v="DIOGO AZEVEDO"/>
    <x v="29"/>
    <n v="0"/>
    <n v="1"/>
  </r>
  <r>
    <s v="014.829.598/0001-30"/>
    <x v="31"/>
    <s v="INCLUSAO  ANOT.INADIMPLENCIA"/>
    <x v="223"/>
    <x v="9"/>
    <s v="2025-08"/>
    <x v="47"/>
    <s v="PRISCILA METZ"/>
    <x v="31"/>
    <n v="0"/>
    <n v="1"/>
  </r>
  <r>
    <s v="011.122.552/0001-99"/>
    <x v="59"/>
    <s v="INCLUSAO  ANOT.INADIMPLENCIA"/>
    <x v="223"/>
    <x v="6"/>
    <s v="2025-08"/>
    <x v="47"/>
    <s v="RAFAEL PARISE"/>
    <x v="59"/>
    <n v="0"/>
    <n v="1"/>
  </r>
  <r>
    <s v="008.196.295/0001-25"/>
    <x v="255"/>
    <s v="INCLUSAO  ANOT.INADIMPLENCIA"/>
    <x v="223"/>
    <x v="34"/>
    <s v="2025-08"/>
    <x v="47"/>
    <s v="CREDTEM"/>
    <x v="255"/>
    <n v="0"/>
    <n v="1"/>
  </r>
  <r>
    <s v="007.561.436/0001-07"/>
    <x v="34"/>
    <s v="EXCLUSAO  ANOT.INADIMPLENCIA"/>
    <x v="223"/>
    <x v="12"/>
    <s v="2025-08"/>
    <x v="47"/>
    <s v="PROSPECTAR"/>
    <x v="34"/>
    <n v="1"/>
    <n v="0"/>
  </r>
  <r>
    <s v="007.102.721/0001-51"/>
    <x v="44"/>
    <s v="EXCLUSAO  ANOT.INADIMPLENCIA"/>
    <x v="223"/>
    <x v="12"/>
    <s v="2025-08"/>
    <x v="47"/>
    <s v="PROSPECTAR"/>
    <x v="44"/>
    <n v="1"/>
    <n v="0"/>
  </r>
  <r>
    <s v="006.236.494/0001-94"/>
    <x v="194"/>
    <s v="EXCLUSAO  ANOT.INADIMPLENCIA"/>
    <x v="223"/>
    <x v="5"/>
    <s v="2025-08"/>
    <x v="47"/>
    <s v="POENATELA"/>
    <x v="194"/>
    <n v="1"/>
    <n v="0"/>
  </r>
  <r>
    <s v="005.350.235/0001-27"/>
    <x v="72"/>
    <s v="EXCLUSAO  ANOT.INADIMPLENCIA"/>
    <x v="223"/>
    <x v="3"/>
    <s v="2025-08"/>
    <x v="47"/>
    <s v="MARCUS VINICIUS "/>
    <x v="72"/>
    <n v="1"/>
    <n v="0"/>
  </r>
  <r>
    <s v="004.323.643/0001-27"/>
    <x v="221"/>
    <s v="EXCLUSAO  ANOT.INADIMPLENCIA"/>
    <x v="223"/>
    <x v="0"/>
    <s v="2025-08"/>
    <x v="47"/>
    <s v="ADMINISTRAÇÃO"/>
    <x v="221"/>
    <n v="1"/>
    <n v="0"/>
  </r>
  <r>
    <s v="003.603.516/0001-19"/>
    <x v="236"/>
    <s v="INCLUSAO  ANOT.INADIMPLENCIA"/>
    <x v="223"/>
    <x v="3"/>
    <s v="2025-08"/>
    <x v="47"/>
    <s v="MARCUS VINICIUS "/>
    <x v="236"/>
    <n v="0"/>
    <n v="1"/>
  </r>
  <r>
    <s v="050.208.429/0001-47"/>
    <x v="272"/>
    <s v="EXCLUSAO  ANOT.INADIMPLENCIA"/>
    <x v="223"/>
    <x v="12"/>
    <s v="2025-08"/>
    <x v="47"/>
    <s v="PROSPECTAR"/>
    <x v="272"/>
    <n v="1"/>
    <n v="0"/>
  </r>
  <r>
    <s v="055.979.736/0001-45"/>
    <x v="63"/>
    <s v="EXCLUSAO  ANOT.INADIMPLENCIA"/>
    <x v="223"/>
    <x v="16"/>
    <s v="2025-08"/>
    <x v="47"/>
    <s v="SACADO"/>
    <x v="63"/>
    <n v="1"/>
    <n v="0"/>
  </r>
  <r>
    <s v="004.323.643/0001-27"/>
    <x v="221"/>
    <s v="EXCLUSAO  ANOT.INADIMPLENCIA"/>
    <x v="224"/>
    <x v="0"/>
    <s v="2025-08"/>
    <x v="47"/>
    <s v="ADMINISTRAÇÃO"/>
    <x v="221"/>
    <n v="1"/>
    <n v="0"/>
  </r>
  <r>
    <s v="040.938.741/0001-32"/>
    <x v="161"/>
    <s v="INCLUSAO  ANOT.INADIMPLENCIA"/>
    <x v="224"/>
    <x v="12"/>
    <s v="2025-08"/>
    <x v="47"/>
    <s v="PROSPECTAR"/>
    <x v="161"/>
    <n v="0"/>
    <n v="1"/>
  </r>
  <r>
    <s v="032.552.159/0001-05"/>
    <x v="211"/>
    <s v="EXCLUSAO  ANOT.INADIMPLENCIA"/>
    <x v="224"/>
    <x v="27"/>
    <s v="2025-08"/>
    <x v="47"/>
    <s v="ALISSON DE SOUZA LIMA"/>
    <x v="211"/>
    <n v="1"/>
    <n v="0"/>
  </r>
  <r>
    <s v="028.650.970/0001-51"/>
    <x v="166"/>
    <s v="INCLUSAO  ANOT.INADIMPLENCIA"/>
    <x v="224"/>
    <x v="10"/>
    <s v="2025-08"/>
    <x v="47"/>
    <s v="ROGERIO "/>
    <x v="166"/>
    <n v="0"/>
    <n v="1"/>
  </r>
  <r>
    <s v="028.511.223/0001-32"/>
    <x v="189"/>
    <s v="INCL/EXCL ANOT.INADIMPLENCIA"/>
    <x v="224"/>
    <x v="0"/>
    <s v="2025-08"/>
    <x v="47"/>
    <s v="ADMINISTRAÇÃO"/>
    <x v="189"/>
    <n v="1"/>
    <n v="1"/>
  </r>
  <r>
    <s v="028.393.466/0001-13"/>
    <x v="167"/>
    <s v="INCLUSAO  ANOT.INADIMPLENCIA"/>
    <x v="224"/>
    <x v="12"/>
    <s v="2025-08"/>
    <x v="47"/>
    <s v="PROSPECTAR"/>
    <x v="167"/>
    <n v="0"/>
    <n v="1"/>
  </r>
  <r>
    <s v="027.180.131/0001-54"/>
    <x v="188"/>
    <s v="EXCLUSAO  ANOT.INADIMPLENCIA"/>
    <x v="224"/>
    <x v="9"/>
    <s v="2025-08"/>
    <x v="47"/>
    <s v="PRISCILA METZ"/>
    <x v="188"/>
    <n v="1"/>
    <n v="0"/>
  </r>
  <r>
    <s v="026.628.832/0001-40"/>
    <x v="244"/>
    <s v="INCLUSAO  ANOT.INADIMPLENCIA"/>
    <x v="224"/>
    <x v="27"/>
    <s v="2025-08"/>
    <x v="47"/>
    <s v="ALISSON DE SOUZA LIMA"/>
    <x v="244"/>
    <n v="0"/>
    <n v="1"/>
  </r>
  <r>
    <s v="055.979.736/0001-45"/>
    <x v="63"/>
    <s v="EXCLUSAO  ANOT.INADIMPLENCIA"/>
    <x v="224"/>
    <x v="16"/>
    <s v="2025-08"/>
    <x v="47"/>
    <s v="SACADO"/>
    <x v="63"/>
    <n v="1"/>
    <n v="0"/>
  </r>
  <r>
    <s v="022.998.836/0001-60"/>
    <x v="24"/>
    <s v="INCLUSAO  ANOT.INADIMPLENCIA"/>
    <x v="224"/>
    <x v="0"/>
    <s v="2025-08"/>
    <x v="47"/>
    <s v="ADMINISTRAÇÃO"/>
    <x v="24"/>
    <n v="0"/>
    <n v="1"/>
  </r>
  <r>
    <s v="021.734.108/0001-88"/>
    <x v="41"/>
    <s v="EXCLUSAO  ANOT.INADIMPLENCIA"/>
    <x v="224"/>
    <x v="0"/>
    <s v="2025-08"/>
    <x v="47"/>
    <s v="ADMINISTRAÇÃO"/>
    <x v="41"/>
    <n v="1"/>
    <n v="0"/>
  </r>
  <r>
    <s v="016.757.535/0001-41"/>
    <x v="29"/>
    <s v="INCLUSAO  ANOT.INADIMPLENCIA"/>
    <x v="224"/>
    <x v="11"/>
    <s v="2025-08"/>
    <x v="47"/>
    <s v="DIOGO AZEVEDO"/>
    <x v="29"/>
    <n v="0"/>
    <n v="1"/>
  </r>
  <r>
    <s v="011.122.552/0001-99"/>
    <x v="59"/>
    <s v="INCLUSAO  ANOT.INADIMPLENCIA"/>
    <x v="224"/>
    <x v="6"/>
    <s v="2025-08"/>
    <x v="47"/>
    <s v="RAFAEL PARISE"/>
    <x v="59"/>
    <n v="0"/>
    <n v="1"/>
  </r>
  <r>
    <s v="009.674.456/0001-01"/>
    <x v="233"/>
    <s v="EXCLUSAO  ANOT.INADIMPLENCIA"/>
    <x v="224"/>
    <x v="6"/>
    <s v="2025-08"/>
    <x v="47"/>
    <s v="RAFAEL PARISE"/>
    <x v="233"/>
    <n v="1"/>
    <n v="0"/>
  </r>
  <r>
    <s v="008.250.872/0001-10"/>
    <x v="121"/>
    <s v="INCLUSAO  ANOT.INADIMPLENCIA"/>
    <x v="224"/>
    <x v="6"/>
    <s v="2025-08"/>
    <x v="47"/>
    <s v="RAFAEL PARISE"/>
    <x v="121"/>
    <n v="0"/>
    <n v="1"/>
  </r>
  <r>
    <s v="008.196.295/0001-25"/>
    <x v="255"/>
    <s v="INCLUSAO  ANOT.INADIMPLENCIA"/>
    <x v="224"/>
    <x v="34"/>
    <s v="2025-08"/>
    <x v="47"/>
    <s v="CREDTEM"/>
    <x v="255"/>
    <n v="0"/>
    <n v="1"/>
  </r>
  <r>
    <s v="007.102.721/0001-51"/>
    <x v="44"/>
    <s v="EXCLUSAO  ANOT.INADIMPLENCIA"/>
    <x v="224"/>
    <x v="12"/>
    <s v="2025-08"/>
    <x v="47"/>
    <s v="PROSPECTAR"/>
    <x v="44"/>
    <n v="1"/>
    <n v="0"/>
  </r>
  <r>
    <s v="022.457.202/0001-08"/>
    <x v="257"/>
    <s v="EXCLUSAO  ANOT.INADIMPLENCIA"/>
    <x v="224"/>
    <x v="35"/>
    <s v="2025-08"/>
    <x v="47"/>
    <s v="VALERIA"/>
    <x v="257"/>
    <n v="1"/>
    <n v="0"/>
  </r>
  <r>
    <s v="057.698.087/0001-30"/>
    <x v="229"/>
    <s v="INCLUSAO  ANOT.INADIMPLENCIA"/>
    <x v="224"/>
    <x v="1"/>
    <s v="2025-08"/>
    <x v="47"/>
    <s v="CELIO PIMENTA"/>
    <x v="229"/>
    <n v="0"/>
    <n v="1"/>
  </r>
  <r>
    <s v="001.535.822/0001-30"/>
    <x v="170"/>
    <s v="INCLUSAO  ANOT.INADIMPLENCIA"/>
    <x v="225"/>
    <x v="12"/>
    <s v="2025-08"/>
    <x v="48"/>
    <s v="PROSPECTAR"/>
    <x v="170"/>
    <n v="0"/>
    <n v="1"/>
  </r>
  <r>
    <s v="093.274.124/0001-46"/>
    <x v="82"/>
    <s v="INCLUSAO  ANOT.INADIMPLENCIA"/>
    <x v="225"/>
    <x v="4"/>
    <s v="2025-08"/>
    <x v="48"/>
    <s v="NOELI SALETE"/>
    <x v="82"/>
    <n v="0"/>
    <n v="1"/>
  </r>
  <r>
    <s v="071.350.797/0001-03"/>
    <x v="48"/>
    <s v="EXCLUSAO  ANOT.INADIMPLENCIA"/>
    <x v="225"/>
    <x v="10"/>
    <s v="2025-08"/>
    <x v="48"/>
    <s v="ROGERIO "/>
    <x v="48"/>
    <n v="1"/>
    <n v="0"/>
  </r>
  <r>
    <s v="057.698.087/0001-30"/>
    <x v="229"/>
    <s v="INCLUSAO  ANOT.INADIMPLENCIA"/>
    <x v="225"/>
    <x v="1"/>
    <s v="2025-08"/>
    <x v="48"/>
    <s v="CELIO PIMENTA"/>
    <x v="229"/>
    <n v="0"/>
    <n v="1"/>
  </r>
  <r>
    <s v="055.466.241/0001-12"/>
    <x v="181"/>
    <s v="INCLUSAO  ANOT.INADIMPLENCIA"/>
    <x v="225"/>
    <x v="12"/>
    <s v="2025-08"/>
    <x v="48"/>
    <s v="PROSPECTAR"/>
    <x v="181"/>
    <n v="0"/>
    <n v="1"/>
  </r>
  <r>
    <s v="051.323.061/0001-20"/>
    <x v="252"/>
    <s v="INCLUSAO  ANOT.INADIMPLENCIA"/>
    <x v="225"/>
    <x v="27"/>
    <s v="2025-08"/>
    <x v="48"/>
    <s v="ALISSON DE SOUZA LIMA"/>
    <x v="252"/>
    <n v="0"/>
    <n v="1"/>
  </r>
  <r>
    <s v="038.479.255/0001-51"/>
    <x v="240"/>
    <s v="EXCLUSAO  ANOT.INADIMPLENCIA"/>
    <x v="225"/>
    <x v="3"/>
    <s v="2025-08"/>
    <x v="48"/>
    <s v="MARCUS VINICIUS "/>
    <x v="240"/>
    <n v="1"/>
    <n v="0"/>
  </r>
  <r>
    <s v="038.161.686/0001-75"/>
    <x v="275"/>
    <s v="INCLUSAO  ANOT.INADIMPLENCIA"/>
    <x v="225"/>
    <x v="0"/>
    <s v="2025-08"/>
    <x v="48"/>
    <s v="ADMINISTRAÇÃO"/>
    <x v="275"/>
    <n v="0"/>
    <n v="1"/>
  </r>
  <r>
    <s v="034.165.528/0001-32"/>
    <x v="256"/>
    <s v="EXCLUSAO  ANOT.INADIMPLENCIA"/>
    <x v="225"/>
    <x v="27"/>
    <s v="2025-08"/>
    <x v="48"/>
    <s v="ALISSON DE SOUZA LIMA"/>
    <x v="256"/>
    <n v="1"/>
    <n v="0"/>
  </r>
  <r>
    <s v="032.925.977/0001-06"/>
    <x v="235"/>
    <s v="INCLUSAO  ANOT.INADIMPLENCIA"/>
    <x v="225"/>
    <x v="1"/>
    <s v="2025-08"/>
    <x v="48"/>
    <s v="CELIO PIMENTA"/>
    <x v="235"/>
    <n v="0"/>
    <n v="1"/>
  </r>
  <r>
    <s v="031.743.464/0001-11"/>
    <x v="253"/>
    <s v="EXCLUSAO  ANOT.INADIMPLENCIA"/>
    <x v="225"/>
    <x v="32"/>
    <s v="2025-08"/>
    <x v="48"/>
    <s v="WASHINGTON"/>
    <x v="253"/>
    <n v="1"/>
    <n v="0"/>
  </r>
  <r>
    <s v="028.511.223/0001-32"/>
    <x v="189"/>
    <s v="INCLUSAO  ANOT.INADIMPLENCIA"/>
    <x v="225"/>
    <x v="0"/>
    <s v="2025-08"/>
    <x v="48"/>
    <s v="ADMINISTRAÇÃO"/>
    <x v="189"/>
    <n v="0"/>
    <n v="1"/>
  </r>
  <r>
    <s v="026.628.832/0001-40"/>
    <x v="244"/>
    <s v="INCLUSAO  ANOT.INADIMPLENCIA"/>
    <x v="225"/>
    <x v="27"/>
    <s v="2025-08"/>
    <x v="48"/>
    <s v="ALISSON DE SOUZA LIMA"/>
    <x v="244"/>
    <n v="0"/>
    <n v="1"/>
  </r>
  <r>
    <s v="022.457.202/0001-08"/>
    <x v="257"/>
    <s v="EXCLUSAO  ANOT.INADIMPLENCIA"/>
    <x v="225"/>
    <x v="35"/>
    <s v="2025-08"/>
    <x v="48"/>
    <s v="VALERIA"/>
    <x v="257"/>
    <n v="1"/>
    <n v="0"/>
  </r>
  <r>
    <s v="021.420.856/0001-96"/>
    <x v="129"/>
    <s v="INCL/EXCL ANOT.INADIMPLENCIA"/>
    <x v="225"/>
    <x v="19"/>
    <s v="2025-08"/>
    <x v="48"/>
    <s v="JOSE ROBERTO"/>
    <x v="129"/>
    <n v="1"/>
    <n v="1"/>
  </r>
  <r>
    <s v="027.180.131/0001-54"/>
    <x v="188"/>
    <s v="INCLUSAO  ANOT.INADIMPLENCIA"/>
    <x v="225"/>
    <x v="9"/>
    <s v="2025-08"/>
    <x v="48"/>
    <s v="PRISCILA METZ"/>
    <x v="188"/>
    <n v="0"/>
    <n v="1"/>
  </r>
  <r>
    <s v="015.638.029/0001-70"/>
    <x v="234"/>
    <s v="INCLUSAO  ANOT.INADIMPLENCIA"/>
    <x v="225"/>
    <x v="3"/>
    <s v="2025-08"/>
    <x v="48"/>
    <s v="MARCUS VINICIUS "/>
    <x v="234"/>
    <n v="0"/>
    <n v="1"/>
  </r>
  <r>
    <s v="003.524.760/0001-96"/>
    <x v="230"/>
    <s v="EXCLUSAO  ANOT.INADIMPLENCIA"/>
    <x v="225"/>
    <x v="30"/>
    <s v="2025-08"/>
    <x v="48"/>
    <s v="ANDRE CUNHA"/>
    <x v="230"/>
    <n v="1"/>
    <n v="0"/>
  </r>
  <r>
    <s v="003.590.360/0001-89"/>
    <x v="3"/>
    <s v="INCLUSAO  ANOT.INADIMPLENCIA"/>
    <x v="225"/>
    <x v="1"/>
    <s v="2025-08"/>
    <x v="48"/>
    <s v="CELIO PIMENTA"/>
    <x v="3"/>
    <n v="0"/>
    <n v="1"/>
  </r>
  <r>
    <s v="003.603.516/0001-19"/>
    <x v="236"/>
    <s v="INCLUSAO  ANOT.INADIMPLENCIA"/>
    <x v="225"/>
    <x v="3"/>
    <s v="2025-08"/>
    <x v="48"/>
    <s v="MARCUS VINICIUS "/>
    <x v="236"/>
    <n v="0"/>
    <n v="1"/>
  </r>
  <r>
    <s v="021.382.943/0001-04"/>
    <x v="205"/>
    <s v="INCLUSAO  ANOT.INADIMPLENCIA"/>
    <x v="225"/>
    <x v="0"/>
    <s v="2025-08"/>
    <x v="48"/>
    <s v="ADMINISTRAÇÃO"/>
    <x v="205"/>
    <n v="0"/>
    <n v="1"/>
  </r>
  <r>
    <s v="007.102.721/0001-51"/>
    <x v="44"/>
    <s v="INCLUSAO  ANOT.INADIMPLENCIA"/>
    <x v="225"/>
    <x v="12"/>
    <s v="2025-08"/>
    <x v="48"/>
    <s v="PROSPECTAR"/>
    <x v="44"/>
    <n v="0"/>
    <n v="1"/>
  </r>
  <r>
    <s v="007.272.884/0001-82"/>
    <x v="276"/>
    <s v="INCLUSAO  ANOT.INADIMPLENCIA"/>
    <x v="225"/>
    <x v="10"/>
    <s v="2025-08"/>
    <x v="48"/>
    <s v="ROGERIO "/>
    <x v="276"/>
    <n v="0"/>
    <n v="1"/>
  </r>
  <r>
    <s v="007.645.213/0001-10"/>
    <x v="232"/>
    <s v="EXCLUSAO  ANOT.INADIMPLENCIA"/>
    <x v="225"/>
    <x v="6"/>
    <s v="2025-08"/>
    <x v="48"/>
    <s v="RAFAEL PARISE"/>
    <x v="232"/>
    <n v="1"/>
    <n v="0"/>
  </r>
  <r>
    <s v="004.323.643/0001-27"/>
    <x v="221"/>
    <s v="EXCLUSAO  ANOT.INADIMPLENCIA"/>
    <x v="225"/>
    <x v="0"/>
    <s v="2025-08"/>
    <x v="48"/>
    <s v="ADMINISTRAÇÃO"/>
    <x v="221"/>
    <n v="1"/>
    <n v="0"/>
  </r>
  <r>
    <s v="009.674.456/0001-01"/>
    <x v="233"/>
    <s v="INCLUSAO  ANOT.INADIMPLENCIA"/>
    <x v="225"/>
    <x v="6"/>
    <s v="2025-08"/>
    <x v="48"/>
    <s v="RAFAEL PARISE"/>
    <x v="233"/>
    <n v="0"/>
    <n v="1"/>
  </r>
  <r>
    <s v="012.520.791/0001-60"/>
    <x v="4"/>
    <s v="INCLUSAO  ANOT.INADIMPLENCIA"/>
    <x v="225"/>
    <x v="1"/>
    <s v="2025-08"/>
    <x v="48"/>
    <s v="CELIO PIMENTA"/>
    <x v="4"/>
    <n v="0"/>
    <n v="1"/>
  </r>
  <r>
    <s v="012.645.814/0001-62"/>
    <x v="217"/>
    <s v="INCLUSAO  ANOT.INADIMPLENCIA"/>
    <x v="225"/>
    <x v="21"/>
    <s v="2025-08"/>
    <x v="48"/>
    <s v="CAIO"/>
    <x v="217"/>
    <n v="0"/>
    <n v="1"/>
  </r>
  <r>
    <s v="014.178.148/0001-25"/>
    <x v="265"/>
    <s v="INCLUSAO  ANOT.INADIMPLENCIA"/>
    <x v="225"/>
    <x v="29"/>
    <s v="2025-08"/>
    <x v="48"/>
    <s v="DALVA"/>
    <x v="265"/>
    <n v="0"/>
    <n v="1"/>
  </r>
  <r>
    <s v="014.829.598/0001-30"/>
    <x v="31"/>
    <s v="INCLUSAO  ANOT.INADIMPLENCIA"/>
    <x v="225"/>
    <x v="9"/>
    <s v="2025-08"/>
    <x v="48"/>
    <s v="PRISCILA METZ"/>
    <x v="31"/>
    <n v="0"/>
    <n v="1"/>
  </r>
  <r>
    <s v="008.196.295/0001-25"/>
    <x v="255"/>
    <s v="INCLUSAO  ANOT.INADIMPLENCIA"/>
    <x v="225"/>
    <x v="34"/>
    <s v="2025-08"/>
    <x v="48"/>
    <s v="CREDTEM"/>
    <x v="255"/>
    <n v="0"/>
    <n v="1"/>
  </r>
  <r>
    <s v="032.781.707/0001-79"/>
    <x v="215"/>
    <s v="INCLUSAO  ANOT.INADIMPLENCIA"/>
    <x v="226"/>
    <x v="26"/>
    <s v="2025-08"/>
    <x v="48"/>
    <s v="ANTECIPA"/>
    <x v="215"/>
    <n v="0"/>
    <n v="1"/>
  </r>
  <r>
    <s v="086.490.885/0001-70"/>
    <x v="207"/>
    <s v="EXCLUSAO  ANOT.INADIMPLENCIA"/>
    <x v="226"/>
    <x v="6"/>
    <s v="2025-08"/>
    <x v="48"/>
    <s v="RAFAEL PARISE"/>
    <x v="207"/>
    <n v="1"/>
    <n v="0"/>
  </r>
  <r>
    <s v="057.698.087/0001-30"/>
    <x v="229"/>
    <s v="INCLUSAO  ANOT.INADIMPLENCIA"/>
    <x v="226"/>
    <x v="1"/>
    <s v="2025-08"/>
    <x v="48"/>
    <s v="CELIO PIMENTA"/>
    <x v="229"/>
    <n v="0"/>
    <n v="1"/>
  </r>
  <r>
    <s v="055.979.736/0001-45"/>
    <x v="63"/>
    <s v="INCLUSAO  ANOT.INADIMPLENCIA"/>
    <x v="226"/>
    <x v="16"/>
    <s v="2025-08"/>
    <x v="48"/>
    <s v="SACADO"/>
    <x v="63"/>
    <n v="0"/>
    <n v="1"/>
  </r>
  <r>
    <s v="051.323.061/0001-20"/>
    <x v="252"/>
    <s v="INCLUSAO  ANOT.INADIMPLENCIA"/>
    <x v="226"/>
    <x v="27"/>
    <s v="2025-08"/>
    <x v="48"/>
    <s v="ALISSON DE SOUZA LIMA"/>
    <x v="252"/>
    <n v="0"/>
    <n v="1"/>
  </r>
  <r>
    <s v="044.921.612/0001-92"/>
    <x v="251"/>
    <s v="INCLUSAO  ANOT.INADIMPLENCIA"/>
    <x v="226"/>
    <x v="0"/>
    <s v="2025-08"/>
    <x v="48"/>
    <s v="ADMINISTRAÇÃO"/>
    <x v="251"/>
    <n v="0"/>
    <n v="1"/>
  </r>
  <r>
    <s v="039.535.425/0001-30"/>
    <x v="120"/>
    <s v="INCLUSAO  ANOT.INADIMPLENCIA"/>
    <x v="226"/>
    <x v="6"/>
    <s v="2025-08"/>
    <x v="48"/>
    <s v="RAFAEL PARISE"/>
    <x v="120"/>
    <n v="0"/>
    <n v="1"/>
  </r>
  <r>
    <s v="033.249.279/0001-09"/>
    <x v="238"/>
    <s v="INCLUSAO  ANOT.INADIMPLENCIA"/>
    <x v="226"/>
    <x v="27"/>
    <s v="2025-08"/>
    <x v="48"/>
    <s v="ALISSON DE SOUZA LIMA"/>
    <x v="238"/>
    <n v="0"/>
    <n v="1"/>
  </r>
  <r>
    <s v="032.552.159/0001-05"/>
    <x v="211"/>
    <s v="INCL/EXCL ANOT.INADIMPLENCIA"/>
    <x v="226"/>
    <x v="27"/>
    <s v="2025-08"/>
    <x v="48"/>
    <s v="ALISSON DE SOUZA LIMA"/>
    <x v="211"/>
    <n v="1"/>
    <n v="1"/>
  </r>
  <r>
    <s v="003.603.516/0001-19"/>
    <x v="236"/>
    <s v="EXCLUSAO  ANOT.INADIMPLENCIA"/>
    <x v="226"/>
    <x v="3"/>
    <s v="2025-08"/>
    <x v="48"/>
    <s v="MARCUS VINICIUS "/>
    <x v="236"/>
    <n v="1"/>
    <n v="0"/>
  </r>
  <r>
    <s v="022.457.202/0001-08"/>
    <x v="257"/>
    <s v="EXCLUSAO  ANOT.INADIMPLENCIA"/>
    <x v="226"/>
    <x v="35"/>
    <s v="2025-08"/>
    <x v="48"/>
    <s v="VALERIA"/>
    <x v="257"/>
    <n v="1"/>
    <n v="0"/>
  </r>
  <r>
    <s v="021.734.108/0001-88"/>
    <x v="41"/>
    <s v="INCLUSAO  ANOT.INADIMPLENCIA"/>
    <x v="226"/>
    <x v="0"/>
    <s v="2025-08"/>
    <x v="48"/>
    <s v="ADMINISTRAÇÃO"/>
    <x v="41"/>
    <n v="0"/>
    <n v="1"/>
  </r>
  <r>
    <s v="019.450.138/0001-10"/>
    <x v="70"/>
    <s v="INCLUSAO  ANOT.INADIMPLENCIA"/>
    <x v="226"/>
    <x v="17"/>
    <s v="2025-08"/>
    <x v="48"/>
    <s v="MARCIO LEONEL"/>
    <x v="70"/>
    <n v="0"/>
    <n v="1"/>
  </r>
  <r>
    <s v="009.674.456/0001-01"/>
    <x v="233"/>
    <s v="EXCLUSAO  ANOT.INADIMPLENCIA"/>
    <x v="226"/>
    <x v="6"/>
    <s v="2025-08"/>
    <x v="48"/>
    <s v="RAFAEL PARISE"/>
    <x v="233"/>
    <n v="1"/>
    <n v="0"/>
  </r>
  <r>
    <s v="008.250.872/0001-10"/>
    <x v="121"/>
    <s v="INCLUSAO  ANOT.INADIMPLENCIA"/>
    <x v="226"/>
    <x v="6"/>
    <s v="2025-08"/>
    <x v="48"/>
    <s v="RAFAEL PARISE"/>
    <x v="121"/>
    <n v="0"/>
    <n v="1"/>
  </r>
  <r>
    <s v="008.196.295/0001-25"/>
    <x v="255"/>
    <s v="INCLUSAO  ANOT.INADIMPLENCIA"/>
    <x v="226"/>
    <x v="34"/>
    <s v="2025-08"/>
    <x v="48"/>
    <s v="CREDTEM"/>
    <x v="255"/>
    <n v="0"/>
    <n v="1"/>
  </r>
  <r>
    <s v="007.102.721/0001-51"/>
    <x v="44"/>
    <s v="INCL/EXCL ANOT.INADIMPLENCIA"/>
    <x v="226"/>
    <x v="12"/>
    <s v="2025-08"/>
    <x v="48"/>
    <s v="PROSPECTAR"/>
    <x v="44"/>
    <n v="1"/>
    <n v="1"/>
  </r>
  <r>
    <s v="003.524.760/0001-96"/>
    <x v="230"/>
    <s v="INCLUSAO  ANOT.INADIMPLENCIA"/>
    <x v="226"/>
    <x v="30"/>
    <s v="2025-08"/>
    <x v="48"/>
    <s v="ANDRE CUNHA"/>
    <x v="230"/>
    <n v="0"/>
    <n v="1"/>
  </r>
  <r>
    <s v="026.628.832/0001-40"/>
    <x v="244"/>
    <s v="INCLUSAO  ANOT.INADIMPLENCIA"/>
    <x v="226"/>
    <x v="27"/>
    <s v="2025-08"/>
    <x v="48"/>
    <s v="ALISSON DE SOUZA LIMA"/>
    <x v="244"/>
    <n v="0"/>
    <n v="1"/>
  </r>
  <r>
    <s v="044.921.612/0001-92"/>
    <x v="251"/>
    <s v="INCLUSAO  ANOT.INADIMPLENCIA"/>
    <x v="227"/>
    <x v="0"/>
    <s v="2025-08"/>
    <x v="48"/>
    <s v="ADMINISTRAÇÃO"/>
    <x v="251"/>
    <n v="0"/>
    <n v="1"/>
  </r>
  <r>
    <s v="038.479.255/0001-51"/>
    <x v="240"/>
    <s v="EXCLUSAO  ANOT.INADIMPLENCIA"/>
    <x v="227"/>
    <x v="3"/>
    <s v="2025-08"/>
    <x v="48"/>
    <s v="MARCUS VINICIUS "/>
    <x v="240"/>
    <n v="1"/>
    <n v="0"/>
  </r>
  <r>
    <s v="034.821.586/0001-77"/>
    <x v="38"/>
    <s v="INCLUSAO  ANOT.INADIMPLENCIA"/>
    <x v="227"/>
    <x v="3"/>
    <s v="2025-08"/>
    <x v="48"/>
    <s v="MARCUS VINICIUS "/>
    <x v="38"/>
    <n v="0"/>
    <n v="1"/>
  </r>
  <r>
    <s v="032.552.159/0001-05"/>
    <x v="211"/>
    <s v="INCLUSAO  ANOT.INADIMPLENCIA"/>
    <x v="227"/>
    <x v="27"/>
    <s v="2025-08"/>
    <x v="48"/>
    <s v="ALISSON DE SOUZA LIMA"/>
    <x v="211"/>
    <n v="0"/>
    <n v="1"/>
  </r>
  <r>
    <s v="028.650.970/0001-51"/>
    <x v="166"/>
    <s v="EXCLUSAO  ANOT.INADIMPLENCIA"/>
    <x v="227"/>
    <x v="10"/>
    <s v="2025-08"/>
    <x v="48"/>
    <s v="ROGERIO "/>
    <x v="166"/>
    <n v="1"/>
    <n v="0"/>
  </r>
  <r>
    <s v="026.628.832/0001-40"/>
    <x v="244"/>
    <s v="INCL/EXCL ANOT.INADIMPLENCIA"/>
    <x v="227"/>
    <x v="27"/>
    <s v="2025-08"/>
    <x v="48"/>
    <s v="ALISSON DE SOUZA LIMA"/>
    <x v="244"/>
    <n v="1"/>
    <n v="1"/>
  </r>
  <r>
    <s v="025.788.035/0001-68"/>
    <x v="258"/>
    <s v="INCLUSAO  ANOT.INADIMPLENCIA"/>
    <x v="227"/>
    <x v="31"/>
    <s v="2025-08"/>
    <x v="48"/>
    <s v="TIAGO NEVES"/>
    <x v="258"/>
    <n v="0"/>
    <n v="1"/>
  </r>
  <r>
    <s v="007.272.884/0001-82"/>
    <x v="276"/>
    <s v="EXCLUSAO  ANOT.INADIMPLENCIA"/>
    <x v="227"/>
    <x v="10"/>
    <s v="2025-08"/>
    <x v="48"/>
    <s v="ROGERIO "/>
    <x v="276"/>
    <n v="1"/>
    <n v="0"/>
  </r>
  <r>
    <s v="020.066.300/0001-80"/>
    <x v="269"/>
    <s v="INCLUSAO  ANOT.INADIMPLENCIA"/>
    <x v="227"/>
    <x v="1"/>
    <s v="2025-08"/>
    <x v="48"/>
    <s v="CELIO PIMENTA"/>
    <x v="269"/>
    <n v="0"/>
    <n v="1"/>
  </r>
  <r>
    <s v="009.674.456/0001-01"/>
    <x v="233"/>
    <s v="EXCLUSAO  ANOT.INADIMPLENCIA"/>
    <x v="227"/>
    <x v="6"/>
    <s v="2025-08"/>
    <x v="48"/>
    <s v="RAFAEL PARISE"/>
    <x v="233"/>
    <n v="1"/>
    <n v="0"/>
  </r>
  <r>
    <s v="007.102.721/0001-51"/>
    <x v="44"/>
    <s v="INCLUSAO  ANOT.INADIMPLENCIA"/>
    <x v="227"/>
    <x v="12"/>
    <s v="2025-08"/>
    <x v="48"/>
    <s v="PROSPECTAR"/>
    <x v="44"/>
    <n v="0"/>
    <n v="1"/>
  </r>
  <r>
    <s v="003.603.516/0001-19"/>
    <x v="236"/>
    <s v="INCLUSAO  ANOT.INADIMPLENCIA"/>
    <x v="227"/>
    <x v="3"/>
    <s v="2025-08"/>
    <x v="48"/>
    <s v="MARCUS VINICIUS "/>
    <x v="236"/>
    <n v="0"/>
    <n v="1"/>
  </r>
  <r>
    <s v="003.524.760/0001-96"/>
    <x v="230"/>
    <s v="INCLUSAO  ANOT.INADIMPLENCIA"/>
    <x v="227"/>
    <x v="30"/>
    <s v="2025-08"/>
    <x v="48"/>
    <s v="ANDRE CUNHA"/>
    <x v="230"/>
    <n v="0"/>
    <n v="1"/>
  </r>
  <r>
    <s v="051.323.061/0001-20"/>
    <x v="252"/>
    <s v="INCLUSAO  ANOT.INADIMPLENCIA"/>
    <x v="227"/>
    <x v="27"/>
    <s v="2025-08"/>
    <x v="48"/>
    <s v="ALISSON DE SOUZA LIMA"/>
    <x v="252"/>
    <n v="0"/>
    <n v="1"/>
  </r>
  <r>
    <s v="021.382.943/0001-04"/>
    <x v="205"/>
    <s v="EXCLUSAO  ANOT.INADIMPLENCIA"/>
    <x v="227"/>
    <x v="0"/>
    <s v="2025-08"/>
    <x v="48"/>
    <s v="ADMINISTRAÇÃO"/>
    <x v="205"/>
    <n v="1"/>
    <n v="0"/>
  </r>
  <r>
    <s v="057.698.087/0001-30"/>
    <x v="229"/>
    <s v="INCLUSAO  ANOT.INADIMPLENCIA"/>
    <x v="227"/>
    <x v="1"/>
    <s v="2025-08"/>
    <x v="48"/>
    <s v="CELIO PIMENTA"/>
    <x v="229"/>
    <n v="0"/>
    <n v="1"/>
  </r>
  <r>
    <s v="003.524.760/0001-96"/>
    <x v="230"/>
    <s v="INCL/EXCL ANOT.INADIMPLENCIA"/>
    <x v="228"/>
    <x v="30"/>
    <s v="2025-08"/>
    <x v="48"/>
    <s v="ANDRE CUNHA"/>
    <x v="230"/>
    <n v="1"/>
    <n v="1"/>
  </r>
  <r>
    <s v="044.921.612/0001-92"/>
    <x v="251"/>
    <s v="INCLUSAO  ANOT.INADIMPLENCIA"/>
    <x v="228"/>
    <x v="0"/>
    <s v="2025-08"/>
    <x v="48"/>
    <s v="ADMINISTRAÇÃO"/>
    <x v="251"/>
    <n v="0"/>
    <n v="1"/>
  </r>
  <r>
    <s v="036.726.274/0001-00"/>
    <x v="133"/>
    <s v="EXCLUSAO  ANOT.INADIMPLENCIA"/>
    <x v="228"/>
    <x v="1"/>
    <s v="2025-08"/>
    <x v="48"/>
    <s v="CELIO PIMENTA"/>
    <x v="133"/>
    <n v="1"/>
    <n v="0"/>
  </r>
  <r>
    <s v="034.165.528/0001-32"/>
    <x v="256"/>
    <s v="EXCLUSAO  ANOT.INADIMPLENCIA"/>
    <x v="228"/>
    <x v="27"/>
    <s v="2025-08"/>
    <x v="48"/>
    <s v="ALISSON DE SOUZA LIMA"/>
    <x v="256"/>
    <n v="1"/>
    <n v="0"/>
  </r>
  <r>
    <s v="032.213.847/0001-40"/>
    <x v="198"/>
    <s v="EXCLUSAO  ANOT.INADIMPLENCIA"/>
    <x v="228"/>
    <x v="9"/>
    <s v="2025-08"/>
    <x v="48"/>
    <s v="PRISCILA METZ"/>
    <x v="198"/>
    <n v="1"/>
    <n v="0"/>
  </r>
  <r>
    <s v="031.743.464/0001-11"/>
    <x v="253"/>
    <s v="EXCLUSAO  ANOT.INADIMPLENCIA"/>
    <x v="228"/>
    <x v="32"/>
    <s v="2025-08"/>
    <x v="48"/>
    <s v="WASHINGTON"/>
    <x v="253"/>
    <n v="1"/>
    <n v="0"/>
  </r>
  <r>
    <s v="029.246.128/0001-11"/>
    <x v="127"/>
    <s v="INCLUSAO  ANOT.INADIMPLENCIA"/>
    <x v="228"/>
    <x v="9"/>
    <s v="2025-08"/>
    <x v="48"/>
    <s v="PRISCILA METZ"/>
    <x v="127"/>
    <n v="0"/>
    <n v="1"/>
  </r>
  <r>
    <s v="028.650.970/0001-51"/>
    <x v="166"/>
    <s v="EXCLUSAO  ANOT.INADIMPLENCIA"/>
    <x v="228"/>
    <x v="10"/>
    <s v="2025-08"/>
    <x v="48"/>
    <s v="ROGERIO "/>
    <x v="166"/>
    <n v="1"/>
    <n v="0"/>
  </r>
  <r>
    <s v="028.511.223/0001-32"/>
    <x v="189"/>
    <s v="INCLUSAO  ANOT.INADIMPLENCIA"/>
    <x v="228"/>
    <x v="0"/>
    <s v="2025-08"/>
    <x v="48"/>
    <s v="ADMINISTRAÇÃO"/>
    <x v="189"/>
    <n v="0"/>
    <n v="1"/>
  </r>
  <r>
    <s v="027.180.131/0001-54"/>
    <x v="188"/>
    <s v="INCLUSAO  ANOT.INADIMPLENCIA"/>
    <x v="228"/>
    <x v="9"/>
    <s v="2025-08"/>
    <x v="48"/>
    <s v="PRISCILA METZ"/>
    <x v="188"/>
    <n v="0"/>
    <n v="1"/>
  </r>
  <r>
    <s v="051.980.425/0001-45"/>
    <x v="173"/>
    <s v="EXCLUSAO  ANOT.INADIMPLENCIA"/>
    <x v="228"/>
    <x v="10"/>
    <s v="2025-08"/>
    <x v="48"/>
    <s v="ROGERIO "/>
    <x v="173"/>
    <n v="1"/>
    <n v="0"/>
  </r>
  <r>
    <s v="021.420.856/0001-96"/>
    <x v="129"/>
    <s v="INCL/EXCL ANOT.INADIMPLENCIA"/>
    <x v="228"/>
    <x v="19"/>
    <s v="2025-08"/>
    <x v="48"/>
    <s v="JOSE ROBERTO"/>
    <x v="129"/>
    <n v="1"/>
    <n v="1"/>
  </r>
  <r>
    <s v="020.024.081/0001-77"/>
    <x v="177"/>
    <s v="EXCLUSAO  ANOT.INADIMPLENCIA"/>
    <x v="228"/>
    <x v="10"/>
    <s v="2025-08"/>
    <x v="48"/>
    <s v="ROGERIO "/>
    <x v="177"/>
    <n v="1"/>
    <n v="0"/>
  </r>
  <r>
    <s v="015.638.029/0001-70"/>
    <x v="234"/>
    <s v="INCL/EXCL ANOT.INADIMPLENCIA"/>
    <x v="228"/>
    <x v="3"/>
    <s v="2025-08"/>
    <x v="48"/>
    <s v="MARCUS VINICIUS "/>
    <x v="234"/>
    <n v="1"/>
    <n v="1"/>
  </r>
  <r>
    <s v="014.829.598/0001-30"/>
    <x v="31"/>
    <s v="EXCLUSAO  ANOT.INADIMPLENCIA"/>
    <x v="228"/>
    <x v="9"/>
    <s v="2025-08"/>
    <x v="48"/>
    <s v="PRISCILA METZ"/>
    <x v="31"/>
    <n v="1"/>
    <n v="0"/>
  </r>
  <r>
    <s v="013.323.483/0001-07"/>
    <x v="199"/>
    <s v="INCLUSAO  ANOT.INADIMPLENCIA"/>
    <x v="228"/>
    <x v="21"/>
    <s v="2025-08"/>
    <x v="48"/>
    <s v="CAIO"/>
    <x v="199"/>
    <n v="0"/>
    <n v="1"/>
  </r>
  <r>
    <s v="011.655.076/0001-71"/>
    <x v="263"/>
    <s v="EXCLUSAO  ANOT.INADIMPLENCIA"/>
    <x v="228"/>
    <x v="21"/>
    <s v="2025-08"/>
    <x v="48"/>
    <s v="CAIO"/>
    <x v="263"/>
    <n v="1"/>
    <n v="0"/>
  </r>
  <r>
    <s v="008.196.295/0001-25"/>
    <x v="255"/>
    <s v="EXCLUSAO  ANOT.INADIMPLENCIA"/>
    <x v="228"/>
    <x v="34"/>
    <s v="2025-08"/>
    <x v="48"/>
    <s v="CREDTEM"/>
    <x v="255"/>
    <n v="1"/>
    <n v="0"/>
  </r>
  <r>
    <s v="007.102.721/0001-51"/>
    <x v="44"/>
    <s v="INCLUSAO  ANOT.INADIMPLENCIA"/>
    <x v="228"/>
    <x v="12"/>
    <s v="2025-08"/>
    <x v="48"/>
    <s v="PROSPECTAR"/>
    <x v="44"/>
    <n v="0"/>
    <n v="1"/>
  </r>
  <r>
    <s v="005.997.418/0001-39"/>
    <x v="165"/>
    <s v="INCLUSAO  ANOT.INADIMPLENCIA"/>
    <x v="228"/>
    <x v="6"/>
    <s v="2025-08"/>
    <x v="48"/>
    <s v="RAFAEL PARISE"/>
    <x v="165"/>
    <n v="0"/>
    <n v="1"/>
  </r>
  <r>
    <s v="004.622.554/0001-81"/>
    <x v="66"/>
    <s v="INCLUSAO  ANOT.INADIMPLENCIA"/>
    <x v="228"/>
    <x v="4"/>
    <s v="2025-08"/>
    <x v="48"/>
    <s v="NOELI SALETE"/>
    <x v="66"/>
    <n v="0"/>
    <n v="1"/>
  </r>
  <r>
    <s v="021.382.943/0001-04"/>
    <x v="205"/>
    <s v="INCL/EXCL ANOT.INADIMPLENCIA"/>
    <x v="228"/>
    <x v="0"/>
    <s v="2025-08"/>
    <x v="48"/>
    <s v="ADMINISTRAÇÃO"/>
    <x v="205"/>
    <n v="1"/>
    <n v="1"/>
  </r>
  <r>
    <s v="057.698.087/0001-30"/>
    <x v="229"/>
    <s v="INCLUSAO  ANOT.INADIMPLENCIA"/>
    <x v="228"/>
    <x v="1"/>
    <s v="2025-08"/>
    <x v="48"/>
    <s v="CELIO PIMENTA"/>
    <x v="229"/>
    <n v="0"/>
    <n v="1"/>
  </r>
  <r>
    <s v="003.524.760/0001-96"/>
    <x v="230"/>
    <s v="INCLUSAO  ANOT.INADIMPLENCIA"/>
    <x v="229"/>
    <x v="30"/>
    <s v="2025-08"/>
    <x v="48"/>
    <s v="ANDRE CUNHA"/>
    <x v="230"/>
    <n v="0"/>
    <n v="1"/>
  </r>
  <r>
    <s v="046.674.060/0001-90"/>
    <x v="140"/>
    <s v="EXCLUSAO  ANOT.INADIMPLENCIA"/>
    <x v="229"/>
    <x v="10"/>
    <s v="2025-08"/>
    <x v="48"/>
    <s v="ROGERIO "/>
    <x v="140"/>
    <n v="1"/>
    <n v="0"/>
  </r>
  <r>
    <s v="044.888.871/0001-69"/>
    <x v="106"/>
    <s v="INCLUSAO  ANOT.INADIMPLENCIA"/>
    <x v="229"/>
    <x v="12"/>
    <s v="2025-08"/>
    <x v="48"/>
    <s v="PROSPECTAR"/>
    <x v="106"/>
    <n v="0"/>
    <n v="1"/>
  </r>
  <r>
    <s v="044.470.678/0001-03"/>
    <x v="203"/>
    <s v="INCLUSAO  ANOT.INADIMPLENCIA"/>
    <x v="229"/>
    <x v="9"/>
    <s v="2025-08"/>
    <x v="48"/>
    <s v="PRISCILA METZ"/>
    <x v="203"/>
    <n v="0"/>
    <n v="1"/>
  </r>
  <r>
    <s v="040.938.741/0001-32"/>
    <x v="161"/>
    <s v="INCLUSAO  ANOT.INADIMPLENCIA"/>
    <x v="229"/>
    <x v="12"/>
    <s v="2025-08"/>
    <x v="48"/>
    <s v="PROSPECTAR"/>
    <x v="161"/>
    <n v="0"/>
    <n v="1"/>
  </r>
  <r>
    <s v="040.582.798/0001-41"/>
    <x v="144"/>
    <s v="INCLUSAO  ANOT.INADIMPLENCIA"/>
    <x v="229"/>
    <x v="16"/>
    <s v="2025-08"/>
    <x v="48"/>
    <s v="SACADO"/>
    <x v="144"/>
    <n v="0"/>
    <n v="1"/>
  </r>
  <r>
    <s v="032.552.159/0001-05"/>
    <x v="211"/>
    <s v="EXCLUSAO  ANOT.INADIMPLENCIA"/>
    <x v="229"/>
    <x v="27"/>
    <s v="2025-08"/>
    <x v="48"/>
    <s v="ALISSON DE SOUZA LIMA"/>
    <x v="211"/>
    <n v="1"/>
    <n v="0"/>
  </r>
  <r>
    <s v="028.556.973/0001-20"/>
    <x v="118"/>
    <s v="EXCLUSAO  ANOT.INADIMPLENCIA"/>
    <x v="229"/>
    <x v="1"/>
    <s v="2025-08"/>
    <x v="48"/>
    <s v="CELIO PIMENTA"/>
    <x v="118"/>
    <n v="1"/>
    <n v="0"/>
  </r>
  <r>
    <s v="052.755.043/0001-80"/>
    <x v="237"/>
    <s v="EXCLUSAO  ANOT.INADIMPLENCIA"/>
    <x v="229"/>
    <x v="3"/>
    <s v="2025-08"/>
    <x v="48"/>
    <s v="MARCUS VINICIUS "/>
    <x v="237"/>
    <n v="1"/>
    <n v="0"/>
  </r>
  <r>
    <s v="028.511.223/0001-32"/>
    <x v="189"/>
    <s v="INCL/EXCL ANOT.INADIMPLENCIA"/>
    <x v="229"/>
    <x v="0"/>
    <s v="2025-08"/>
    <x v="48"/>
    <s v="ADMINISTRAÇÃO"/>
    <x v="189"/>
    <n v="1"/>
    <n v="1"/>
  </r>
  <r>
    <s v="022.457.202/0001-08"/>
    <x v="257"/>
    <s v="EXCLUSAO  ANOT.INADIMPLENCIA"/>
    <x v="229"/>
    <x v="35"/>
    <s v="2025-08"/>
    <x v="48"/>
    <s v="VALERIA"/>
    <x v="257"/>
    <n v="1"/>
    <n v="0"/>
  </r>
  <r>
    <s v="016.772.642/0001-49"/>
    <x v="69"/>
    <s v="INCLUSAO  ANOT.INADIMPLENCIA"/>
    <x v="229"/>
    <x v="0"/>
    <s v="2025-08"/>
    <x v="48"/>
    <s v="ADMINISTRAÇÃO"/>
    <x v="69"/>
    <n v="0"/>
    <n v="1"/>
  </r>
  <r>
    <s v="012.299.369/0001-26"/>
    <x v="13"/>
    <s v="INCLUSAO  ANOT.INADIMPLENCIA"/>
    <x v="229"/>
    <x v="5"/>
    <s v="2025-08"/>
    <x v="48"/>
    <s v="POENATELA"/>
    <x v="13"/>
    <n v="0"/>
    <n v="1"/>
  </r>
  <r>
    <s v="011.122.552/0001-99"/>
    <x v="59"/>
    <s v="INCLUSAO  ANOT.INADIMPLENCIA"/>
    <x v="229"/>
    <x v="6"/>
    <s v="2025-08"/>
    <x v="48"/>
    <s v="RAFAEL PARISE"/>
    <x v="59"/>
    <n v="0"/>
    <n v="1"/>
  </r>
  <r>
    <s v="008.250.872/0001-10"/>
    <x v="121"/>
    <s v="INCLUSAO  ANOT.INADIMPLENCIA"/>
    <x v="229"/>
    <x v="6"/>
    <s v="2025-08"/>
    <x v="48"/>
    <s v="RAFAEL PARISE"/>
    <x v="121"/>
    <n v="0"/>
    <n v="1"/>
  </r>
  <r>
    <s v="007.102.721/0001-51"/>
    <x v="44"/>
    <s v="INCLUSAO  ANOT.INADIMPLENCIA"/>
    <x v="229"/>
    <x v="12"/>
    <s v="2025-08"/>
    <x v="48"/>
    <s v="PROSPECTAR"/>
    <x v="44"/>
    <n v="0"/>
    <n v="1"/>
  </r>
  <r>
    <s v="004.622.554/0001-81"/>
    <x v="66"/>
    <s v="EXCLUSAO  ANOT.INADIMPLENCIA"/>
    <x v="229"/>
    <x v="4"/>
    <s v="2025-08"/>
    <x v="48"/>
    <s v="NOELI SALETE"/>
    <x v="66"/>
    <n v="1"/>
    <n v="0"/>
  </r>
  <r>
    <s v="026.628.832/0001-40"/>
    <x v="244"/>
    <s v="INCLUSAO  ANOT.INADIMPLENCIA"/>
    <x v="229"/>
    <x v="27"/>
    <s v="2025-08"/>
    <x v="48"/>
    <s v="ALISSON DE SOUZA LIMA"/>
    <x v="244"/>
    <n v="0"/>
    <n v="1"/>
  </r>
  <r>
    <s v="057.698.087/0001-30"/>
    <x v="229"/>
    <s v="INCLUSAO  ANOT.INADIMPLENCIA"/>
    <x v="229"/>
    <x v="1"/>
    <s v="2025-08"/>
    <x v="48"/>
    <s v="CELIO PIMENTA"/>
    <x v="229"/>
    <n v="0"/>
    <n v="1"/>
  </r>
  <r>
    <s v="003.524.760/0001-96"/>
    <x v="230"/>
    <s v="INCLUSAO  ANOT.INADIMPLENCIA"/>
    <x v="230"/>
    <x v="30"/>
    <s v="2025-09"/>
    <x v="0"/>
    <s v="ANDRE CUNHA"/>
    <x v="230"/>
    <n v="0"/>
    <n v="1"/>
  </r>
  <r>
    <s v="028.393.466/0001-13"/>
    <x v="167"/>
    <s v="INCL/EXCL ANOT.INADIMPLENCIA"/>
    <x v="230"/>
    <x v="12"/>
    <s v="2025-09"/>
    <x v="0"/>
    <s v="PROSPECTAR"/>
    <x v="167"/>
    <n v="1"/>
    <n v="1"/>
  </r>
  <r>
    <s v="028.511.223/0001-32"/>
    <x v="189"/>
    <s v="INCL/EXCL ANOT.INADIMPLENCIA"/>
    <x v="230"/>
    <x v="0"/>
    <s v="2025-09"/>
    <x v="0"/>
    <s v="ADMINISTRAÇÃO"/>
    <x v="189"/>
    <n v="1"/>
    <n v="1"/>
  </r>
  <r>
    <s v="029.246.128/0001-11"/>
    <x v="127"/>
    <s v="INCLUSAO  ANOT.INADIMPLENCIA"/>
    <x v="230"/>
    <x v="9"/>
    <s v="2025-09"/>
    <x v="0"/>
    <s v="PRISCILA METZ"/>
    <x v="127"/>
    <n v="0"/>
    <n v="1"/>
  </r>
  <r>
    <s v="031.743.464/0001-11"/>
    <x v="253"/>
    <s v="INCLUSAO  ANOT.INADIMPLENCIA"/>
    <x v="230"/>
    <x v="32"/>
    <s v="2025-09"/>
    <x v="0"/>
    <s v="WASHINGTON"/>
    <x v="253"/>
    <n v="0"/>
    <n v="1"/>
  </r>
  <r>
    <s v="032.552.159/0001-05"/>
    <x v="211"/>
    <s v="EXCLUSAO  ANOT.INADIMPLENCIA"/>
    <x v="230"/>
    <x v="27"/>
    <s v="2025-09"/>
    <x v="0"/>
    <s v="ALISSON DE SOUZA LIMA"/>
    <x v="211"/>
    <n v="1"/>
    <n v="0"/>
  </r>
  <r>
    <s v="032.925.977/0001-06"/>
    <x v="235"/>
    <s v="EXCLUSAO  ANOT.INADIMPLENCIA"/>
    <x v="230"/>
    <x v="1"/>
    <s v="2025-09"/>
    <x v="0"/>
    <s v="CELIO PIMENTA"/>
    <x v="235"/>
    <n v="1"/>
    <n v="0"/>
  </r>
  <r>
    <s v="027.647.097/0001-85"/>
    <x v="254"/>
    <s v="INCL/EXCL ANOT.INADIMPLENCIA"/>
    <x v="230"/>
    <x v="33"/>
    <s v="2025-09"/>
    <x v="0"/>
    <s v="FERNANDO ABRAS"/>
    <x v="254"/>
    <n v="1"/>
    <n v="1"/>
  </r>
  <r>
    <s v="033.028.017/0001-06"/>
    <x v="260"/>
    <s v="INCL/EXCL ANOT.INADIMPLENCIA"/>
    <x v="230"/>
    <x v="31"/>
    <s v="2025-09"/>
    <x v="0"/>
    <s v="TIAGO NEVES"/>
    <x v="260"/>
    <n v="1"/>
    <n v="1"/>
  </r>
  <r>
    <s v="038.185.478/0001-06"/>
    <x v="148"/>
    <s v="EXCLUSAO  ANOT.INADIMPLENCIA"/>
    <x v="230"/>
    <x v="0"/>
    <s v="2025-09"/>
    <x v="0"/>
    <s v="ADMINISTRAÇÃO"/>
    <x v="148"/>
    <n v="1"/>
    <n v="0"/>
  </r>
  <r>
    <s v="041.397.377/0001-03"/>
    <x v="241"/>
    <s v="INCL/EXCL ANOT.INADIMPLENCIA"/>
    <x v="230"/>
    <x v="10"/>
    <s v="2025-09"/>
    <x v="0"/>
    <s v="ROGERIO "/>
    <x v="241"/>
    <n v="1"/>
    <n v="1"/>
  </r>
  <r>
    <s v="043.515.558/0001-12"/>
    <x v="176"/>
    <s v="INCLUSAO  ANOT.INADIMPLENCIA"/>
    <x v="230"/>
    <x v="10"/>
    <s v="2025-09"/>
    <x v="0"/>
    <s v="ROGERIO "/>
    <x v="176"/>
    <n v="0"/>
    <n v="1"/>
  </r>
  <r>
    <s v="044.470.678/0001-03"/>
    <x v="203"/>
    <s v="INCLUSAO  ANOT.INADIMPLENCIA"/>
    <x v="230"/>
    <x v="9"/>
    <s v="2025-09"/>
    <x v="0"/>
    <s v="PRISCILA METZ"/>
    <x v="203"/>
    <n v="0"/>
    <n v="1"/>
  </r>
  <r>
    <s v="047.635.671/0001-92"/>
    <x v="143"/>
    <s v="INCLUSAO  ANOT.INADIMPLENCIA"/>
    <x v="230"/>
    <x v="1"/>
    <s v="2025-09"/>
    <x v="0"/>
    <s v="CELIO PIMENTA"/>
    <x v="143"/>
    <n v="0"/>
    <n v="1"/>
  </r>
  <r>
    <s v="055.979.736/0001-45"/>
    <x v="63"/>
    <s v="EXCLUSAO  ANOT.INADIMPLENCIA"/>
    <x v="230"/>
    <x v="16"/>
    <s v="2025-09"/>
    <x v="0"/>
    <s v="SACADO"/>
    <x v="63"/>
    <n v="1"/>
    <n v="0"/>
  </r>
  <r>
    <s v="034.165.528/0001-32"/>
    <x v="256"/>
    <s v="INCLUSAO  ANOT.INADIMPLENCIA"/>
    <x v="230"/>
    <x v="27"/>
    <s v="2025-09"/>
    <x v="0"/>
    <s v="ALISSON DE SOUZA LIMA"/>
    <x v="256"/>
    <n v="0"/>
    <n v="1"/>
  </r>
  <r>
    <s v="057.698.087/0001-30"/>
    <x v="229"/>
    <s v="EXCLUSAO  ANOT.INADIMPLENCIA"/>
    <x v="230"/>
    <x v="1"/>
    <s v="2025-09"/>
    <x v="0"/>
    <s v="CELIO PIMENTA"/>
    <x v="229"/>
    <n v="1"/>
    <n v="0"/>
  </r>
  <r>
    <s v="026.628.832/0001-40"/>
    <x v="244"/>
    <s v="INCL/EXCL ANOT.INADIMPLENCIA"/>
    <x v="230"/>
    <x v="27"/>
    <s v="2025-09"/>
    <x v="0"/>
    <s v="ALISSON DE SOUZA LIMA"/>
    <x v="244"/>
    <n v="1"/>
    <n v="1"/>
  </r>
  <r>
    <s v="020.024.081/0001-77"/>
    <x v="177"/>
    <s v="INCL/EXCL ANOT.INADIMPLENCIA"/>
    <x v="230"/>
    <x v="10"/>
    <s v="2025-09"/>
    <x v="0"/>
    <s v="ROGERIO "/>
    <x v="177"/>
    <n v="1"/>
    <n v="1"/>
  </r>
  <r>
    <s v="003.590.360/0001-89"/>
    <x v="3"/>
    <s v="EXCLUSAO  ANOT.INADIMPLENCIA"/>
    <x v="230"/>
    <x v="1"/>
    <s v="2025-09"/>
    <x v="0"/>
    <s v="CELIO PIMENTA"/>
    <x v="3"/>
    <n v="1"/>
    <n v="0"/>
  </r>
  <r>
    <s v="003.603.516/0001-19"/>
    <x v="236"/>
    <s v="INCLUSAO  ANOT.INADIMPLENCIA"/>
    <x v="230"/>
    <x v="3"/>
    <s v="2025-09"/>
    <x v="0"/>
    <s v="MARCUS VINICIUS "/>
    <x v="236"/>
    <n v="0"/>
    <n v="1"/>
  </r>
  <r>
    <s v="004.323.643/0001-27"/>
    <x v="221"/>
    <s v="INCL/EXCL ANOT.INADIMPLENCIA"/>
    <x v="230"/>
    <x v="0"/>
    <s v="2025-09"/>
    <x v="0"/>
    <s v="ADMINISTRAÇÃO"/>
    <x v="221"/>
    <n v="1"/>
    <n v="1"/>
  </r>
  <r>
    <s v="005.350.235/0001-27"/>
    <x v="72"/>
    <s v="EXCLUSAO  ANOT.INADIMPLENCIA"/>
    <x v="230"/>
    <x v="3"/>
    <s v="2025-09"/>
    <x v="0"/>
    <s v="MARCUS VINICIUS "/>
    <x v="72"/>
    <n v="1"/>
    <n v="0"/>
  </r>
  <r>
    <s v="005.997.418/0001-39"/>
    <x v="165"/>
    <s v="EXCLUSAO  ANOT.INADIMPLENCIA"/>
    <x v="230"/>
    <x v="6"/>
    <s v="2025-09"/>
    <x v="0"/>
    <s v="RAFAEL PARISE"/>
    <x v="165"/>
    <n v="1"/>
    <n v="0"/>
  </r>
  <r>
    <s v="007.102.721/0001-51"/>
    <x v="44"/>
    <s v="INCL/EXCL ANOT.INADIMPLENCIA"/>
    <x v="230"/>
    <x v="12"/>
    <s v="2025-09"/>
    <x v="0"/>
    <s v="PROSPECTAR"/>
    <x v="44"/>
    <n v="1"/>
    <n v="1"/>
  </r>
  <r>
    <s v="020.066.300/0001-80"/>
    <x v="269"/>
    <s v="INCLUSAO  ANOT.INADIMPLENCIA"/>
    <x v="230"/>
    <x v="1"/>
    <s v="2025-09"/>
    <x v="0"/>
    <s v="CELIO PIMENTA"/>
    <x v="269"/>
    <n v="0"/>
    <n v="1"/>
  </r>
  <r>
    <s v="007.561.436/0001-07"/>
    <x v="34"/>
    <s v="INCLUSAO  ANOT.INADIMPLENCIA"/>
    <x v="230"/>
    <x v="12"/>
    <s v="2025-09"/>
    <x v="0"/>
    <s v="PROSPECTAR"/>
    <x v="34"/>
    <n v="0"/>
    <n v="1"/>
  </r>
  <r>
    <s v="008.250.872/0001-10"/>
    <x v="121"/>
    <s v="INCL/EXCL ANOT.INADIMPLENCIA"/>
    <x v="230"/>
    <x v="6"/>
    <s v="2025-09"/>
    <x v="0"/>
    <s v="RAFAEL PARISE"/>
    <x v="121"/>
    <n v="1"/>
    <n v="1"/>
  </r>
  <r>
    <s v="013.323.483/0001-07"/>
    <x v="199"/>
    <s v="EXCLUSAO  ANOT.INADIMPLENCIA"/>
    <x v="230"/>
    <x v="21"/>
    <s v="2025-09"/>
    <x v="0"/>
    <s v="CAIO"/>
    <x v="199"/>
    <n v="1"/>
    <n v="0"/>
  </r>
  <r>
    <s v="014.178.148/0001-25"/>
    <x v="265"/>
    <s v="INCLUSAO  ANOT.INADIMPLENCIA"/>
    <x v="230"/>
    <x v="29"/>
    <s v="2025-09"/>
    <x v="0"/>
    <s v="DALVA"/>
    <x v="265"/>
    <n v="0"/>
    <n v="1"/>
  </r>
  <r>
    <s v="016.757.535/0001-41"/>
    <x v="29"/>
    <s v="INCLUSAO  ANOT.INADIMPLENCIA"/>
    <x v="230"/>
    <x v="11"/>
    <s v="2025-09"/>
    <x v="0"/>
    <s v="DIOGO AZEVEDO"/>
    <x v="29"/>
    <n v="0"/>
    <n v="1"/>
  </r>
  <r>
    <s v="017.177.331/0001-02"/>
    <x v="259"/>
    <s v="INCLUSAO  ANOT.INADIMPLENCIA"/>
    <x v="230"/>
    <x v="13"/>
    <s v="2025-09"/>
    <x v="0"/>
    <s v="ANDERSON FRAGA"/>
    <x v="259"/>
    <n v="0"/>
    <n v="1"/>
  </r>
  <r>
    <s v="019.961.036/0001-60"/>
    <x v="262"/>
    <s v="INCL/EXCL ANOT.INADIMPLENCIA"/>
    <x v="230"/>
    <x v="36"/>
    <s v="2025-09"/>
    <x v="0"/>
    <s v="JJPH"/>
    <x v="262"/>
    <n v="1"/>
    <n v="1"/>
  </r>
  <r>
    <s v="008.196.295/0001-25"/>
    <x v="255"/>
    <s v="INCLUSAO  ANOT.INADIMPLENCIA"/>
    <x v="230"/>
    <x v="34"/>
    <s v="2025-09"/>
    <x v="0"/>
    <s v="CREDTEM"/>
    <x v="255"/>
    <n v="0"/>
    <n v="1"/>
  </r>
  <r>
    <s v="071.350.797/0001-03"/>
    <x v="48"/>
    <s v="EXCLUSAO  ANOT.INADIMPLENCIA"/>
    <x v="230"/>
    <x v="10"/>
    <s v="2025-09"/>
    <x v="0"/>
    <s v="ROGERIO "/>
    <x v="48"/>
    <n v="1"/>
    <n v="0"/>
  </r>
  <r>
    <s v="001.376.967/0001-35"/>
    <x v="192"/>
    <s v="INCLUSAO  ANOT.INADIMPLENCIA"/>
    <x v="231"/>
    <x v="26"/>
    <s v="2025-09"/>
    <x v="0"/>
    <s v="ANTECIPA"/>
    <x v="192"/>
    <n v="0"/>
    <n v="1"/>
  </r>
  <r>
    <s v="042.119.428/0001-06"/>
    <x v="247"/>
    <s v="EXCLUSAO  ANOT.INADIMPLENCIA"/>
    <x v="231"/>
    <x v="31"/>
    <s v="2025-09"/>
    <x v="0"/>
    <s v="TIAGO NEVES"/>
    <x v="247"/>
    <n v="1"/>
    <n v="0"/>
  </r>
  <r>
    <s v="039.438.917/0001-08"/>
    <x v="273"/>
    <s v="INCLUSAO  ANOT.INADIMPLENCIA"/>
    <x v="231"/>
    <x v="10"/>
    <s v="2025-09"/>
    <x v="0"/>
    <s v="ROGERIO "/>
    <x v="273"/>
    <n v="0"/>
    <n v="1"/>
  </r>
  <r>
    <s v="037.828.375/0001-54"/>
    <x v="39"/>
    <s v="INCL/EXCL ANOT.INADIMPLENCIA"/>
    <x v="231"/>
    <x v="5"/>
    <s v="2025-09"/>
    <x v="0"/>
    <s v="POENATELA"/>
    <x v="39"/>
    <n v="1"/>
    <n v="1"/>
  </r>
  <r>
    <s v="032.925.977/0001-06"/>
    <x v="235"/>
    <s v="INCLUSAO  ANOT.INADIMPLENCIA"/>
    <x v="231"/>
    <x v="1"/>
    <s v="2025-09"/>
    <x v="0"/>
    <s v="CELIO PIMENTA"/>
    <x v="235"/>
    <n v="0"/>
    <n v="1"/>
  </r>
  <r>
    <s v="029.246.128/0001-11"/>
    <x v="127"/>
    <s v="INCLUSAO  ANOT.INADIMPLENCIA"/>
    <x v="231"/>
    <x v="9"/>
    <s v="2025-09"/>
    <x v="0"/>
    <s v="PRISCILA METZ"/>
    <x v="127"/>
    <n v="0"/>
    <n v="1"/>
  </r>
  <r>
    <s v="028.511.223/0001-32"/>
    <x v="189"/>
    <s v="EXCLUSAO  ANOT.INADIMPLENCIA"/>
    <x v="231"/>
    <x v="0"/>
    <s v="2025-09"/>
    <x v="0"/>
    <s v="ADMINISTRAÇÃO"/>
    <x v="189"/>
    <n v="1"/>
    <n v="0"/>
  </r>
  <r>
    <s v="028.393.466/0001-13"/>
    <x v="167"/>
    <s v="INCLUSAO  ANOT.INADIMPLENCIA"/>
    <x v="231"/>
    <x v="12"/>
    <s v="2025-09"/>
    <x v="0"/>
    <s v="PROSPECTAR"/>
    <x v="167"/>
    <n v="0"/>
    <n v="1"/>
  </r>
  <r>
    <s v="027.180.131/0001-54"/>
    <x v="188"/>
    <s v="INCL/EXCL ANOT.INADIMPLENCIA"/>
    <x v="231"/>
    <x v="9"/>
    <s v="2025-09"/>
    <x v="0"/>
    <s v="PRISCILA METZ"/>
    <x v="188"/>
    <n v="1"/>
    <n v="1"/>
  </r>
  <r>
    <s v="026.628.832/0001-40"/>
    <x v="244"/>
    <s v="ALTERACAO ADMINISTRADORES"/>
    <x v="231"/>
    <x v="27"/>
    <s v="2025-09"/>
    <x v="0"/>
    <s v="ALISSON DE SOUZA LIMA"/>
    <x v="244"/>
    <n v="0"/>
    <n v="0"/>
  </r>
  <r>
    <s v="026.628.832/0001-40"/>
    <x v="244"/>
    <s v="ALTERACAO QUADRO SOCIAL"/>
    <x v="231"/>
    <x v="27"/>
    <s v="2025-09"/>
    <x v="0"/>
    <s v="ALISSON DE SOUZA LIMA"/>
    <x v="244"/>
    <n v="0"/>
    <n v="0"/>
  </r>
  <r>
    <s v="043.515.558/0001-12"/>
    <x v="176"/>
    <s v="EXCLUSAO  ANOT.INADIMPLENCIA"/>
    <x v="231"/>
    <x v="10"/>
    <s v="2025-09"/>
    <x v="0"/>
    <s v="ROGERIO "/>
    <x v="176"/>
    <n v="1"/>
    <n v="0"/>
  </r>
  <r>
    <s v="026.628.832/0001-40"/>
    <x v="244"/>
    <s v="INCL/EXCL ANOT.INADIMPLENCIA"/>
    <x v="231"/>
    <x v="27"/>
    <s v="2025-09"/>
    <x v="0"/>
    <s v="ALISSON DE SOUZA LIMA"/>
    <x v="244"/>
    <n v="1"/>
    <n v="1"/>
  </r>
  <r>
    <s v="021.382.943/0001-04"/>
    <x v="205"/>
    <s v="INCLUSAO  ANOT.INADIMPLENCIA"/>
    <x v="231"/>
    <x v="0"/>
    <s v="2025-09"/>
    <x v="0"/>
    <s v="ADMINISTRAÇÃO"/>
    <x v="205"/>
    <n v="0"/>
    <n v="1"/>
  </r>
  <r>
    <s v="020.066.300/0001-80"/>
    <x v="269"/>
    <s v="INCL/EXCL ANOT.INADIMPLENCIA"/>
    <x v="231"/>
    <x v="1"/>
    <s v="2025-09"/>
    <x v="0"/>
    <s v="CELIO PIMENTA"/>
    <x v="269"/>
    <n v="1"/>
    <n v="1"/>
  </r>
  <r>
    <s v="016.772.642/0001-49"/>
    <x v="69"/>
    <s v="INCLUSAO  ANOT.INADIMPLENCIA"/>
    <x v="231"/>
    <x v="0"/>
    <s v="2025-09"/>
    <x v="0"/>
    <s v="ADMINISTRAÇÃO"/>
    <x v="69"/>
    <n v="0"/>
    <n v="1"/>
  </r>
  <r>
    <s v="016.757.535/0001-41"/>
    <x v="29"/>
    <s v="ALTERACAO ADMINISTRADORES"/>
    <x v="231"/>
    <x v="11"/>
    <s v="2025-09"/>
    <x v="0"/>
    <s v="DIOGO AZEVEDO"/>
    <x v="29"/>
    <n v="0"/>
    <n v="0"/>
  </r>
  <r>
    <s v="016.757.535/0001-41"/>
    <x v="29"/>
    <s v="ALTERACAO QUADRO SOCIAL"/>
    <x v="231"/>
    <x v="11"/>
    <s v="2025-09"/>
    <x v="0"/>
    <s v="DIOGO AZEVEDO"/>
    <x v="29"/>
    <n v="0"/>
    <n v="0"/>
  </r>
  <r>
    <s v="014.385.825/0001-86"/>
    <x v="110"/>
    <s v="EXCLUSAO  ANOT.INADIMPLENCIA"/>
    <x v="231"/>
    <x v="6"/>
    <s v="2025-09"/>
    <x v="0"/>
    <s v="RAFAEL PARISE"/>
    <x v="110"/>
    <n v="1"/>
    <n v="0"/>
  </r>
  <r>
    <s v="012.520.791/0001-60"/>
    <x v="4"/>
    <s v="INCLUSAO  ANOT.INADIMPLENCIA"/>
    <x v="231"/>
    <x v="1"/>
    <s v="2025-09"/>
    <x v="0"/>
    <s v="CELIO PIMENTA"/>
    <x v="4"/>
    <n v="0"/>
    <n v="1"/>
  </r>
  <r>
    <s v="008.250.872/0001-10"/>
    <x v="121"/>
    <s v="INCLUSAO  ANOT.INADIMPLENCIA"/>
    <x v="231"/>
    <x v="6"/>
    <s v="2025-09"/>
    <x v="0"/>
    <s v="RAFAEL PARISE"/>
    <x v="121"/>
    <n v="0"/>
    <n v="1"/>
  </r>
  <r>
    <s v="007.102.721/0001-51"/>
    <x v="44"/>
    <s v="INCL/EXCL ANOT.INADIMPLENCIA"/>
    <x v="231"/>
    <x v="12"/>
    <s v="2025-09"/>
    <x v="0"/>
    <s v="PROSPECTAR"/>
    <x v="44"/>
    <n v="1"/>
    <n v="1"/>
  </r>
  <r>
    <s v="003.524.760/0001-96"/>
    <x v="230"/>
    <s v="INCLUSAO  ANOT.INADIMPLENCIA"/>
    <x v="231"/>
    <x v="30"/>
    <s v="2025-09"/>
    <x v="0"/>
    <s v="ANDRE CUNHA"/>
    <x v="230"/>
    <n v="0"/>
    <n v="1"/>
  </r>
  <r>
    <s v="022.457.202/0001-08"/>
    <x v="257"/>
    <s v="EXCLUSAO  ANOT.INADIMPLENCIA"/>
    <x v="231"/>
    <x v="35"/>
    <s v="2025-09"/>
    <x v="0"/>
    <s v="VALERIA"/>
    <x v="257"/>
    <n v="1"/>
    <n v="0"/>
  </r>
  <r>
    <s v="044.470.678/0001-03"/>
    <x v="203"/>
    <s v="INCLUSAO  ANOT.INADIMPLENCIA"/>
    <x v="231"/>
    <x v="9"/>
    <s v="2025-09"/>
    <x v="0"/>
    <s v="PRISCILA METZ"/>
    <x v="203"/>
    <n v="0"/>
    <n v="1"/>
  </r>
  <r>
    <s v="007.102.721/0001-51"/>
    <x v="44"/>
    <s v="INCLUSAO  ANOT.INADIMPLENCIA"/>
    <x v="232"/>
    <x v="12"/>
    <s v="2025-09"/>
    <x v="0"/>
    <s v="PROSPECTAR"/>
    <x v="44"/>
    <n v="0"/>
    <n v="1"/>
  </r>
  <r>
    <s v="050.164.951/0001-74"/>
    <x v="51"/>
    <s v="EXCLUSAO  ANOT.INADIMPLENCIA"/>
    <x v="232"/>
    <x v="0"/>
    <s v="2025-09"/>
    <x v="0"/>
    <s v="ADMINISTRAÇÃO"/>
    <x v="51"/>
    <n v="1"/>
    <n v="0"/>
  </r>
  <r>
    <s v="044.888.871/0001-69"/>
    <x v="106"/>
    <s v="INCLUSAO  ANOT.INADIMPLENCIA"/>
    <x v="232"/>
    <x v="12"/>
    <s v="2025-09"/>
    <x v="0"/>
    <s v="PROSPECTAR"/>
    <x v="106"/>
    <n v="0"/>
    <n v="1"/>
  </r>
  <r>
    <s v="044.470.678/0001-03"/>
    <x v="203"/>
    <s v="INCLUSAO  ANOT.INADIMPLENCIA"/>
    <x v="232"/>
    <x v="9"/>
    <s v="2025-09"/>
    <x v="0"/>
    <s v="PRISCILA METZ"/>
    <x v="203"/>
    <n v="0"/>
    <n v="1"/>
  </r>
  <r>
    <s v="043.515.558/0001-12"/>
    <x v="176"/>
    <s v="EXCLUSAO  ANOT.INADIMPLENCIA"/>
    <x v="232"/>
    <x v="10"/>
    <s v="2025-09"/>
    <x v="0"/>
    <s v="ROGERIO "/>
    <x v="176"/>
    <n v="1"/>
    <n v="0"/>
  </r>
  <r>
    <s v="041.397.377/0001-03"/>
    <x v="241"/>
    <s v="EXCLUSAO  ANOT.INADIMPLENCIA"/>
    <x v="232"/>
    <x v="10"/>
    <s v="2025-09"/>
    <x v="0"/>
    <s v="ROGERIO "/>
    <x v="241"/>
    <n v="1"/>
    <n v="0"/>
  </r>
  <r>
    <s v="038.185.478/0001-06"/>
    <x v="148"/>
    <s v="EXCLUSAO  ANOT.INADIMPLENCIA"/>
    <x v="232"/>
    <x v="0"/>
    <s v="2025-09"/>
    <x v="0"/>
    <s v="ADMINISTRAÇÃO"/>
    <x v="148"/>
    <n v="1"/>
    <n v="0"/>
  </r>
  <r>
    <s v="037.828.375/0001-54"/>
    <x v="39"/>
    <s v="EXCLUSAO  ANOT.INADIMPLENCIA"/>
    <x v="232"/>
    <x v="5"/>
    <s v="2025-09"/>
    <x v="0"/>
    <s v="POENATELA"/>
    <x v="39"/>
    <n v="1"/>
    <n v="0"/>
  </r>
  <r>
    <s v="032.552.159/0001-05"/>
    <x v="211"/>
    <s v="EXCLUSAO  ANOT.INADIMPLENCIA"/>
    <x v="232"/>
    <x v="27"/>
    <s v="2025-09"/>
    <x v="0"/>
    <s v="ALISSON DE SOUZA LIMA"/>
    <x v="211"/>
    <n v="1"/>
    <n v="0"/>
  </r>
  <r>
    <s v="031.743.464/0001-11"/>
    <x v="253"/>
    <s v="INCL/EXCL ANOT.INADIMPLENCIA"/>
    <x v="232"/>
    <x v="32"/>
    <s v="2025-09"/>
    <x v="0"/>
    <s v="WASHINGTON"/>
    <x v="253"/>
    <n v="1"/>
    <n v="1"/>
  </r>
  <r>
    <s v="029.246.128/0001-11"/>
    <x v="127"/>
    <s v="EXCLUSAO  ANOT.INADIMPLENCIA"/>
    <x v="232"/>
    <x v="9"/>
    <s v="2025-09"/>
    <x v="0"/>
    <s v="PRISCILA METZ"/>
    <x v="127"/>
    <n v="1"/>
    <n v="0"/>
  </r>
  <r>
    <s v="028.511.223/0001-32"/>
    <x v="189"/>
    <s v="INCL/EXCL ANOT.INADIMPLENCIA"/>
    <x v="232"/>
    <x v="0"/>
    <s v="2025-09"/>
    <x v="0"/>
    <s v="ADMINISTRAÇÃO"/>
    <x v="189"/>
    <n v="1"/>
    <n v="1"/>
  </r>
  <r>
    <s v="026.628.832/0001-40"/>
    <x v="244"/>
    <s v="INCLUSAO  ANOT.INADIMPLENCIA"/>
    <x v="232"/>
    <x v="27"/>
    <s v="2025-09"/>
    <x v="0"/>
    <s v="ALISSON DE SOUZA LIMA"/>
    <x v="244"/>
    <n v="0"/>
    <n v="1"/>
  </r>
  <r>
    <s v="021.382.943/0001-04"/>
    <x v="205"/>
    <s v="INCLUSAO  ANOT.INADIMPLENCIA"/>
    <x v="232"/>
    <x v="0"/>
    <s v="2025-09"/>
    <x v="0"/>
    <s v="ADMINISTRAÇÃO"/>
    <x v="205"/>
    <n v="0"/>
    <n v="1"/>
  </r>
  <r>
    <s v="019.961.036/0001-60"/>
    <x v="262"/>
    <s v="EXCLUSAO  ANOT.INADIMPLENCIA"/>
    <x v="232"/>
    <x v="36"/>
    <s v="2025-09"/>
    <x v="0"/>
    <s v="JJPH"/>
    <x v="262"/>
    <n v="1"/>
    <n v="0"/>
  </r>
  <r>
    <s v="008.250.872/0001-10"/>
    <x v="121"/>
    <s v="INCLUSAO  ANOT.INADIMPLENCIA"/>
    <x v="232"/>
    <x v="6"/>
    <s v="2025-09"/>
    <x v="0"/>
    <s v="RAFAEL PARISE"/>
    <x v="121"/>
    <n v="0"/>
    <n v="1"/>
  </r>
  <r>
    <s v="051.323.061/0001-20"/>
    <x v="252"/>
    <s v="INCLUSAO  ANOT.INADIMPLENCIA"/>
    <x v="232"/>
    <x v="27"/>
    <s v="2025-09"/>
    <x v="0"/>
    <s v="ALISSON DE SOUZA LIMA"/>
    <x v="252"/>
    <n v="0"/>
    <n v="1"/>
  </r>
  <r>
    <s v="071.350.797/0001-03"/>
    <x v="48"/>
    <s v="EXCLUSAO  ANOT.INADIMPLENCIA"/>
    <x v="232"/>
    <x v="10"/>
    <s v="2025-09"/>
    <x v="0"/>
    <s v="ROGERIO "/>
    <x v="48"/>
    <n v="1"/>
    <n v="0"/>
  </r>
  <r>
    <s v="002.862.437/0001-60"/>
    <x v="220"/>
    <s v="EXCLUSAO  ANOT.INADIMPLENCIA"/>
    <x v="233"/>
    <x v="21"/>
    <s v="2025-09"/>
    <x v="0"/>
    <s v="CAIO"/>
    <x v="220"/>
    <n v="1"/>
    <n v="0"/>
  </r>
  <r>
    <s v="044.470.678/0001-03"/>
    <x v="203"/>
    <s v="INCLUSAO  ANOT.INADIMPLENCIA"/>
    <x v="233"/>
    <x v="9"/>
    <s v="2025-09"/>
    <x v="0"/>
    <s v="PRISCILA METZ"/>
    <x v="203"/>
    <n v="0"/>
    <n v="1"/>
  </r>
  <r>
    <s v="041.388.946/0001-54"/>
    <x v="175"/>
    <s v="INCLUSAO  ANOT.INADIMPLENCIA"/>
    <x v="233"/>
    <x v="1"/>
    <s v="2025-09"/>
    <x v="0"/>
    <s v="CELIO PIMENTA"/>
    <x v="175"/>
    <n v="0"/>
    <n v="1"/>
  </r>
  <r>
    <s v="039.535.425/0001-30"/>
    <x v="120"/>
    <s v="EXCLUSAO  ANOT.INADIMPLENCIA"/>
    <x v="233"/>
    <x v="6"/>
    <s v="2025-09"/>
    <x v="0"/>
    <s v="RAFAEL PARISE"/>
    <x v="120"/>
    <n v="1"/>
    <n v="0"/>
  </r>
  <r>
    <s v="033.028.017/0001-06"/>
    <x v="260"/>
    <s v="EXCLUSAO  ANOT.INADIMPLENCIA"/>
    <x v="233"/>
    <x v="31"/>
    <s v="2025-09"/>
    <x v="0"/>
    <s v="TIAGO NEVES"/>
    <x v="260"/>
    <n v="1"/>
    <n v="0"/>
  </r>
  <r>
    <s v="032.781.707/0001-79"/>
    <x v="215"/>
    <s v="INCLUSAO  ANOT.INADIMPLENCIA"/>
    <x v="233"/>
    <x v="26"/>
    <s v="2025-09"/>
    <x v="0"/>
    <s v="ANTECIPA"/>
    <x v="215"/>
    <n v="0"/>
    <n v="1"/>
  </r>
  <r>
    <s v="032.552.159/0001-05"/>
    <x v="211"/>
    <s v="EXCLUSAO  ANOT.INADIMPLENCIA"/>
    <x v="233"/>
    <x v="27"/>
    <s v="2025-09"/>
    <x v="0"/>
    <s v="ALISSON DE SOUZA LIMA"/>
    <x v="211"/>
    <n v="1"/>
    <n v="0"/>
  </r>
  <r>
    <s v="031.743.464/0001-11"/>
    <x v="253"/>
    <s v="INCLUSAO  ANOT.INADIMPLENCIA"/>
    <x v="233"/>
    <x v="32"/>
    <s v="2025-09"/>
    <x v="0"/>
    <s v="WASHINGTON"/>
    <x v="253"/>
    <n v="0"/>
    <n v="1"/>
  </r>
  <r>
    <s v="029.246.128/0001-11"/>
    <x v="127"/>
    <s v="EXCLUSAO  ANOT.INADIMPLENCIA"/>
    <x v="233"/>
    <x v="9"/>
    <s v="2025-09"/>
    <x v="0"/>
    <s v="PRISCILA METZ"/>
    <x v="127"/>
    <n v="1"/>
    <n v="0"/>
  </r>
  <r>
    <s v="028.393.466/0001-13"/>
    <x v="167"/>
    <s v="EXCLUSAO  ANOT.INADIMPLENCIA"/>
    <x v="233"/>
    <x v="12"/>
    <s v="2025-09"/>
    <x v="0"/>
    <s v="PROSPECTAR"/>
    <x v="167"/>
    <n v="1"/>
    <n v="0"/>
  </r>
  <r>
    <s v="027.180.131/0001-54"/>
    <x v="188"/>
    <s v="INCLUSAO  ANOT.INADIMPLENCIA"/>
    <x v="233"/>
    <x v="9"/>
    <s v="2025-09"/>
    <x v="0"/>
    <s v="PRISCILA METZ"/>
    <x v="188"/>
    <n v="0"/>
    <n v="1"/>
  </r>
  <r>
    <s v="026.628.832/0001-40"/>
    <x v="244"/>
    <s v="INCLUSAO  ANOT.INADIMPLENCIA"/>
    <x v="233"/>
    <x v="27"/>
    <s v="2025-09"/>
    <x v="0"/>
    <s v="ALISSON DE SOUZA LIMA"/>
    <x v="244"/>
    <n v="0"/>
    <n v="1"/>
  </r>
  <r>
    <s v="022.457.202/0001-08"/>
    <x v="257"/>
    <s v="EXCLUSAO  ANOT.INADIMPLENCIA"/>
    <x v="233"/>
    <x v="35"/>
    <s v="2025-09"/>
    <x v="0"/>
    <s v="VALERIA"/>
    <x v="257"/>
    <n v="1"/>
    <n v="0"/>
  </r>
  <r>
    <s v="021.458.691/0001-41"/>
    <x v="223"/>
    <s v="EXCLUSAO  ANOT.INADIMPLENCIA"/>
    <x v="233"/>
    <x v="26"/>
    <s v="2025-09"/>
    <x v="0"/>
    <s v="ANTECIPA"/>
    <x v="223"/>
    <n v="1"/>
    <n v="0"/>
  </r>
  <r>
    <s v="021.382.943/0001-04"/>
    <x v="205"/>
    <s v="INCLUSAO  ANOT.INADIMPLENCIA"/>
    <x v="233"/>
    <x v="0"/>
    <s v="2025-09"/>
    <x v="0"/>
    <s v="ADMINISTRAÇÃO"/>
    <x v="205"/>
    <n v="0"/>
    <n v="1"/>
  </r>
  <r>
    <s v="020.066.300/0001-80"/>
    <x v="269"/>
    <s v="INCLUSAO  ANOT.INADIMPLENCIA"/>
    <x v="233"/>
    <x v="1"/>
    <s v="2025-09"/>
    <x v="0"/>
    <s v="CELIO PIMENTA"/>
    <x v="269"/>
    <n v="0"/>
    <n v="1"/>
  </r>
  <r>
    <s v="020.024.081/0001-77"/>
    <x v="177"/>
    <s v="EXCLUSAO  ANOT.INADIMPLENCIA"/>
    <x v="233"/>
    <x v="10"/>
    <s v="2025-09"/>
    <x v="0"/>
    <s v="ROGERIO "/>
    <x v="177"/>
    <n v="1"/>
    <n v="0"/>
  </r>
  <r>
    <s v="015.638.029/0001-70"/>
    <x v="234"/>
    <s v="EXCLUSAO  ANOT.INADIMPLENCIA"/>
    <x v="233"/>
    <x v="3"/>
    <s v="2025-09"/>
    <x v="0"/>
    <s v="MARCUS VINICIUS "/>
    <x v="234"/>
    <n v="1"/>
    <n v="0"/>
  </r>
  <r>
    <s v="011.122.552/0001-99"/>
    <x v="59"/>
    <s v="INCLUSAO  ANOT.INADIMPLENCIA"/>
    <x v="233"/>
    <x v="6"/>
    <s v="2025-09"/>
    <x v="0"/>
    <s v="RAFAEL PARISE"/>
    <x v="59"/>
    <n v="0"/>
    <n v="1"/>
  </r>
  <r>
    <s v="008.196.295/0001-25"/>
    <x v="255"/>
    <s v="INCLUSAO  ANOT.INADIMPLENCIA"/>
    <x v="233"/>
    <x v="34"/>
    <s v="2025-09"/>
    <x v="0"/>
    <s v="CREDTEM"/>
    <x v="255"/>
    <n v="0"/>
    <n v="1"/>
  </r>
  <r>
    <s v="007.102.721/0001-51"/>
    <x v="44"/>
    <s v="INCLUSAO  ANOT.INADIMPLENCIA"/>
    <x v="233"/>
    <x v="12"/>
    <s v="2025-09"/>
    <x v="0"/>
    <s v="PROSPECTAR"/>
    <x v="44"/>
    <n v="0"/>
    <n v="1"/>
  </r>
  <r>
    <s v="003.524.760/0001-96"/>
    <x v="230"/>
    <s v="EXCLUSAO  ANOT.INADIMPLENCIA"/>
    <x v="233"/>
    <x v="30"/>
    <s v="2025-09"/>
    <x v="0"/>
    <s v="ANDRE CUNHA"/>
    <x v="230"/>
    <n v="1"/>
    <n v="0"/>
  </r>
  <r>
    <s v="044.570.311/0001-61"/>
    <x v="116"/>
    <s v="EXCLUSAO  ANOT.INADIMPLENCIA"/>
    <x v="233"/>
    <x v="12"/>
    <s v="2025-09"/>
    <x v="0"/>
    <s v="PROSPECTAR"/>
    <x v="116"/>
    <n v="1"/>
    <n v="0"/>
  </r>
  <r>
    <s v="047.635.671/0001-92"/>
    <x v="143"/>
    <s v="INCLUSAO  ANOT.INADIMPLENCIA"/>
    <x v="233"/>
    <x v="1"/>
    <s v="2025-09"/>
    <x v="0"/>
    <s v="CELIO PIMENTA"/>
    <x v="143"/>
    <n v="0"/>
    <n v="1"/>
  </r>
  <r>
    <s v="003.590.360/0001-89"/>
    <x v="3"/>
    <s v="INCLUSAO  ANOT.INADIMPLENCIA"/>
    <x v="234"/>
    <x v="1"/>
    <s v="2025-09"/>
    <x v="0"/>
    <s v="CELIO PIMENTA"/>
    <x v="3"/>
    <n v="0"/>
    <n v="1"/>
  </r>
  <r>
    <s v="034.165.528/0001-32"/>
    <x v="256"/>
    <s v="EXCLUSAO  ANOT.INADIMPLENCIA"/>
    <x v="234"/>
    <x v="27"/>
    <s v="2025-09"/>
    <x v="0"/>
    <s v="ALISSON DE SOUZA LIMA"/>
    <x v="256"/>
    <n v="1"/>
    <n v="0"/>
  </r>
  <r>
    <s v="032.213.847/0001-40"/>
    <x v="198"/>
    <s v="INCLUSAO  ANOT.INADIMPLENCIA"/>
    <x v="234"/>
    <x v="9"/>
    <s v="2025-09"/>
    <x v="0"/>
    <s v="PRISCILA METZ"/>
    <x v="198"/>
    <n v="0"/>
    <n v="1"/>
  </r>
  <r>
    <s v="031.743.464/0001-11"/>
    <x v="253"/>
    <s v="INCLUSAO  ANOT.INADIMPLENCIA"/>
    <x v="234"/>
    <x v="32"/>
    <s v="2025-09"/>
    <x v="0"/>
    <s v="WASHINGTON"/>
    <x v="253"/>
    <n v="0"/>
    <n v="1"/>
  </r>
  <r>
    <s v="028.511.223/0001-32"/>
    <x v="189"/>
    <s v="INCLUSAO  ANOT.INADIMPLENCIA"/>
    <x v="234"/>
    <x v="0"/>
    <s v="2025-09"/>
    <x v="0"/>
    <s v="ADMINISTRAÇÃO"/>
    <x v="189"/>
    <n v="0"/>
    <n v="1"/>
  </r>
  <r>
    <s v="026.628.832/0001-40"/>
    <x v="244"/>
    <s v="INCLUSAO  ANOT.INADIMPLENCIA"/>
    <x v="234"/>
    <x v="27"/>
    <s v="2025-09"/>
    <x v="0"/>
    <s v="ALISSON DE SOUZA LIMA"/>
    <x v="244"/>
    <n v="0"/>
    <n v="1"/>
  </r>
  <r>
    <s v="025.788.035/0001-68"/>
    <x v="258"/>
    <s v="EXCLUSAO  ANOT.INADIMPLENCIA"/>
    <x v="234"/>
    <x v="31"/>
    <s v="2025-09"/>
    <x v="0"/>
    <s v="TIAGO NEVES"/>
    <x v="258"/>
    <n v="1"/>
    <n v="0"/>
  </r>
  <r>
    <s v="044.470.678/0001-03"/>
    <x v="203"/>
    <s v="INCLUSAO  ANOT.INADIMPLENCIA"/>
    <x v="234"/>
    <x v="9"/>
    <s v="2025-09"/>
    <x v="0"/>
    <s v="PRISCILA METZ"/>
    <x v="203"/>
    <n v="0"/>
    <n v="1"/>
  </r>
  <r>
    <s v="021.382.943/0001-04"/>
    <x v="205"/>
    <s v="INCLUSAO  ANOT.INADIMPLENCIA"/>
    <x v="234"/>
    <x v="0"/>
    <s v="2025-09"/>
    <x v="0"/>
    <s v="ADMINISTRAÇÃO"/>
    <x v="205"/>
    <n v="0"/>
    <n v="1"/>
  </r>
  <r>
    <s v="012.299.369/0001-26"/>
    <x v="13"/>
    <s v="EXCLUSAO  ANOT.INADIMPLENCIA"/>
    <x v="234"/>
    <x v="5"/>
    <s v="2025-09"/>
    <x v="0"/>
    <s v="POENATELA"/>
    <x v="13"/>
    <n v="1"/>
    <n v="0"/>
  </r>
  <r>
    <s v="011.122.552/0001-99"/>
    <x v="59"/>
    <s v="INCLUSAO  ANOT.INADIMPLENCIA"/>
    <x v="234"/>
    <x v="6"/>
    <s v="2025-09"/>
    <x v="0"/>
    <s v="RAFAEL PARISE"/>
    <x v="59"/>
    <n v="0"/>
    <n v="1"/>
  </r>
  <r>
    <s v="007.561.436/0001-07"/>
    <x v="34"/>
    <s v="EXCLUSAO  ANOT.INADIMPLENCIA"/>
    <x v="234"/>
    <x v="12"/>
    <s v="2025-09"/>
    <x v="0"/>
    <s v="PROSPECTAR"/>
    <x v="34"/>
    <n v="1"/>
    <n v="0"/>
  </r>
  <r>
    <s v="007.272.884/0001-82"/>
    <x v="276"/>
    <s v="INCLUSAO  ANOT.INADIMPLENCIA"/>
    <x v="234"/>
    <x v="10"/>
    <s v="2025-09"/>
    <x v="0"/>
    <s v="ROGERIO "/>
    <x v="276"/>
    <n v="0"/>
    <n v="1"/>
  </r>
  <r>
    <s v="007.102.721/0001-51"/>
    <x v="44"/>
    <s v="INCLUSAO  ANOT.INADIMPLENCIA"/>
    <x v="234"/>
    <x v="12"/>
    <s v="2025-09"/>
    <x v="0"/>
    <s v="PROSPECTAR"/>
    <x v="44"/>
    <n v="0"/>
    <n v="1"/>
  </r>
  <r>
    <s v="004.323.643/0001-27"/>
    <x v="221"/>
    <s v="INCLUSAO  ANOT.INADIMPLENCIA"/>
    <x v="234"/>
    <x v="0"/>
    <s v="2025-09"/>
    <x v="0"/>
    <s v="ADMINISTRAÇÃO"/>
    <x v="221"/>
    <n v="0"/>
    <n v="1"/>
  </r>
  <r>
    <s v="020.024.081/0001-77"/>
    <x v="177"/>
    <s v="INCLUSAO  ANOT.INADIMPLENCIA"/>
    <x v="234"/>
    <x v="10"/>
    <s v="2025-09"/>
    <x v="0"/>
    <s v="ROGERIO "/>
    <x v="177"/>
    <n v="0"/>
    <n v="1"/>
  </r>
  <r>
    <s v="047.635.671/0001-92"/>
    <x v="143"/>
    <s v="INCLUSAO  ANOT.INADIMPLENCIA"/>
    <x v="234"/>
    <x v="1"/>
    <s v="2025-09"/>
    <x v="0"/>
    <s v="CELIO PIMENTA"/>
    <x v="143"/>
    <n v="0"/>
    <n v="1"/>
  </r>
  <r>
    <s v="000.803.044/0001-50"/>
    <x v="45"/>
    <s v="INCLUSAO  ANOT.INADIMPLENCIA"/>
    <x v="235"/>
    <x v="0"/>
    <s v="2025-09"/>
    <x v="1"/>
    <s v="ADMINISTRAÇÃO"/>
    <x v="45"/>
    <n v="0"/>
    <n v="1"/>
  </r>
  <r>
    <s v="057.696.093/0001-58"/>
    <x v="206"/>
    <s v="INCLUSAO  ANOT.INADIMPLENCIA"/>
    <x v="235"/>
    <x v="1"/>
    <s v="2025-09"/>
    <x v="1"/>
    <s v="CELIO PIMENTA"/>
    <x v="206"/>
    <n v="0"/>
    <n v="1"/>
  </r>
  <r>
    <s v="047.635.671/0001-92"/>
    <x v="143"/>
    <s v="INCLUSAO  ANOT.INADIMPLENCIA"/>
    <x v="235"/>
    <x v="1"/>
    <s v="2025-09"/>
    <x v="1"/>
    <s v="CELIO PIMENTA"/>
    <x v="143"/>
    <n v="0"/>
    <n v="1"/>
  </r>
  <r>
    <s v="043.515.558/0001-12"/>
    <x v="176"/>
    <s v="INCLUSAO  ANOT.INADIMPLENCIA"/>
    <x v="235"/>
    <x v="10"/>
    <s v="2025-09"/>
    <x v="1"/>
    <s v="ROGERIO "/>
    <x v="176"/>
    <n v="0"/>
    <n v="1"/>
  </r>
  <r>
    <s v="038.161.686/0001-75"/>
    <x v="275"/>
    <s v="INCLUSAO  ANOT.INADIMPLENCIA"/>
    <x v="235"/>
    <x v="0"/>
    <s v="2025-09"/>
    <x v="1"/>
    <s v="ADMINISTRAÇÃO"/>
    <x v="275"/>
    <n v="0"/>
    <n v="1"/>
  </r>
  <r>
    <s v="034.165.528/0001-32"/>
    <x v="256"/>
    <s v="INCLUSAO  ANOT.INADIMPLENCIA"/>
    <x v="235"/>
    <x v="27"/>
    <s v="2025-09"/>
    <x v="1"/>
    <s v="ALISSON DE SOUZA LIMA"/>
    <x v="256"/>
    <n v="0"/>
    <n v="1"/>
  </r>
  <r>
    <s v="028.650.970/0001-51"/>
    <x v="166"/>
    <s v="INCLUSAO  ANOT.INADIMPLENCIA"/>
    <x v="235"/>
    <x v="10"/>
    <s v="2025-09"/>
    <x v="1"/>
    <s v="ROGERIO "/>
    <x v="166"/>
    <n v="0"/>
    <n v="1"/>
  </r>
  <r>
    <s v="028.511.223/0001-32"/>
    <x v="189"/>
    <s v="INCLUSAO  ANOT.INADIMPLENCIA"/>
    <x v="235"/>
    <x v="0"/>
    <s v="2025-09"/>
    <x v="1"/>
    <s v="ADMINISTRAÇÃO"/>
    <x v="189"/>
    <n v="0"/>
    <n v="1"/>
  </r>
  <r>
    <s v="028.393.466/0001-13"/>
    <x v="167"/>
    <s v="INCLUSAO  ANOT.INADIMPLENCIA"/>
    <x v="235"/>
    <x v="12"/>
    <s v="2025-09"/>
    <x v="1"/>
    <s v="PROSPECTAR"/>
    <x v="167"/>
    <n v="0"/>
    <n v="1"/>
  </r>
  <r>
    <s v="027.180.131/0001-54"/>
    <x v="188"/>
    <s v="INCLUSAO  ANOT.INADIMPLENCIA"/>
    <x v="235"/>
    <x v="9"/>
    <s v="2025-09"/>
    <x v="1"/>
    <s v="PRISCILA METZ"/>
    <x v="188"/>
    <n v="0"/>
    <n v="1"/>
  </r>
  <r>
    <s v="026.628.832/0001-40"/>
    <x v="244"/>
    <s v="INCLUSAO  ANOT.INADIMPLENCIA"/>
    <x v="235"/>
    <x v="27"/>
    <s v="2025-09"/>
    <x v="1"/>
    <s v="ALISSON DE SOUZA LIMA"/>
    <x v="244"/>
    <n v="0"/>
    <n v="1"/>
  </r>
  <r>
    <s v="025.094.292/0001-08"/>
    <x v="213"/>
    <s v="INCLUSAO  ANOT.INADIMPLENCIA"/>
    <x v="235"/>
    <x v="12"/>
    <s v="2025-09"/>
    <x v="1"/>
    <s v="PROSPECTAR"/>
    <x v="213"/>
    <n v="0"/>
    <n v="1"/>
  </r>
  <r>
    <s v="022.457.202/0001-08"/>
    <x v="257"/>
    <s v="INCLUSAO  ANOT.INADIMPLENCIA"/>
    <x v="235"/>
    <x v="35"/>
    <s v="2025-09"/>
    <x v="1"/>
    <s v="VALERIA"/>
    <x v="257"/>
    <n v="0"/>
    <n v="1"/>
  </r>
  <r>
    <s v="021.382.943/0001-04"/>
    <x v="205"/>
    <s v="INCLUSAO  ANOT.INADIMPLENCIA"/>
    <x v="235"/>
    <x v="0"/>
    <s v="2025-09"/>
    <x v="1"/>
    <s v="ADMINISTRAÇÃO"/>
    <x v="205"/>
    <n v="0"/>
    <n v="1"/>
  </r>
  <r>
    <s v="020.024.081/0001-77"/>
    <x v="177"/>
    <s v="INCLUSAO  ANOT.INADIMPLENCIA"/>
    <x v="235"/>
    <x v="10"/>
    <s v="2025-09"/>
    <x v="1"/>
    <s v="ROGERIO "/>
    <x v="177"/>
    <n v="0"/>
    <n v="1"/>
  </r>
  <r>
    <s v="016.772.642/0001-49"/>
    <x v="69"/>
    <s v="INCLUSAO  ANOT.INADIMPLENCIA"/>
    <x v="235"/>
    <x v="0"/>
    <s v="2025-09"/>
    <x v="1"/>
    <s v="ADMINISTRAÇÃO"/>
    <x v="69"/>
    <n v="0"/>
    <n v="1"/>
  </r>
  <r>
    <s v="014.178.148/0001-25"/>
    <x v="265"/>
    <s v="INCLUSAO  ANOT.INADIMPLENCIA"/>
    <x v="235"/>
    <x v="29"/>
    <s v="2025-09"/>
    <x v="1"/>
    <s v="DALVA"/>
    <x v="265"/>
    <n v="0"/>
    <n v="1"/>
  </r>
  <r>
    <s v="011.122.552/0001-99"/>
    <x v="59"/>
    <s v="INCLUSAO  ANOT.INADIMPLENCIA"/>
    <x v="235"/>
    <x v="6"/>
    <s v="2025-09"/>
    <x v="1"/>
    <s v="RAFAEL PARISE"/>
    <x v="59"/>
    <n v="0"/>
    <n v="1"/>
  </r>
  <r>
    <s v="009.674.456/0001-01"/>
    <x v="233"/>
    <s v="INCLUSAO  ANOT.INADIMPLENCIA"/>
    <x v="235"/>
    <x v="6"/>
    <s v="2025-09"/>
    <x v="1"/>
    <s v="RAFAEL PARISE"/>
    <x v="233"/>
    <n v="0"/>
    <n v="1"/>
  </r>
  <r>
    <s v="008.250.872/0001-10"/>
    <x v="121"/>
    <s v="INCLUSAO  ANOT.INADIMPLENCIA"/>
    <x v="235"/>
    <x v="6"/>
    <s v="2025-09"/>
    <x v="1"/>
    <s v="RAFAEL PARISE"/>
    <x v="121"/>
    <n v="0"/>
    <n v="1"/>
  </r>
  <r>
    <s v="007.272.884/0001-82"/>
    <x v="276"/>
    <s v="EXCLUSAO  ANOT.INADIMPLENCIA"/>
    <x v="235"/>
    <x v="10"/>
    <s v="2025-09"/>
    <x v="1"/>
    <s v="ROGERIO "/>
    <x v="276"/>
    <n v="1"/>
    <n v="0"/>
  </r>
  <r>
    <s v="007.102.721/0001-51"/>
    <x v="44"/>
    <s v="INCLUSAO  ANOT.INADIMPLENCIA"/>
    <x v="235"/>
    <x v="12"/>
    <s v="2025-09"/>
    <x v="1"/>
    <s v="PROSPECTAR"/>
    <x v="44"/>
    <n v="0"/>
    <n v="1"/>
  </r>
  <r>
    <s v="005.363.690/0001-67"/>
    <x v="90"/>
    <s v="INCLUSAO  ANOT.INADIMPLENCIA"/>
    <x v="235"/>
    <x v="12"/>
    <s v="2025-09"/>
    <x v="1"/>
    <s v="PROSPECTAR"/>
    <x v="90"/>
    <n v="0"/>
    <n v="1"/>
  </r>
  <r>
    <s v="004.323.643/0001-27"/>
    <x v="221"/>
    <s v="INCLUSAO  ANOT.INADIMPLENCIA"/>
    <x v="235"/>
    <x v="0"/>
    <s v="2025-09"/>
    <x v="1"/>
    <s v="ADMINISTRAÇÃO"/>
    <x v="221"/>
    <n v="0"/>
    <n v="1"/>
  </r>
  <r>
    <s v="003.603.516/0001-19"/>
    <x v="236"/>
    <s v="INCLUSAO  ANOT.INADIMPLENCIA"/>
    <x v="235"/>
    <x v="3"/>
    <s v="2025-09"/>
    <x v="1"/>
    <s v="MARCUS VINICIUS "/>
    <x v="236"/>
    <n v="0"/>
    <n v="1"/>
  </r>
  <r>
    <s v="001.113.219/0001-60"/>
    <x v="88"/>
    <s v="INCLUSAO  ANOT.INADIMPLENCIA"/>
    <x v="235"/>
    <x v="1"/>
    <s v="2025-09"/>
    <x v="1"/>
    <s v="CELIO PIMENTA"/>
    <x v="88"/>
    <n v="0"/>
    <n v="1"/>
  </r>
  <r>
    <s v="057.698.087/0001-30"/>
    <x v="229"/>
    <s v="INCLUSAO  ANOT.INADIMPLENCIA"/>
    <x v="235"/>
    <x v="1"/>
    <s v="2025-09"/>
    <x v="1"/>
    <s v="CELIO PIMENTA"/>
    <x v="229"/>
    <n v="0"/>
    <n v="1"/>
  </r>
  <r>
    <s v="071.350.797/0001-03"/>
    <x v="48"/>
    <s v="INCLUSAO  ANOT.INADIMPLENCIA"/>
    <x v="235"/>
    <x v="10"/>
    <s v="2025-09"/>
    <x v="1"/>
    <s v="ROGERIO "/>
    <x v="48"/>
    <n v="0"/>
    <n v="1"/>
  </r>
  <r>
    <s v="004.041.192/0001-35"/>
    <x v="37"/>
    <s v="EXCLUSAO  ANOT.INADIMPLENCIA"/>
    <x v="236"/>
    <x v="0"/>
    <s v="2025-09"/>
    <x v="1"/>
    <s v="ADMINISTRAÇÃO"/>
    <x v="37"/>
    <n v="1"/>
    <n v="0"/>
  </r>
  <r>
    <s v="057.698.087/0001-30"/>
    <x v="229"/>
    <s v="INCLUSAO  ANOT.INADIMPLENCIA"/>
    <x v="236"/>
    <x v="1"/>
    <s v="2025-09"/>
    <x v="1"/>
    <s v="CELIO PIMENTA"/>
    <x v="229"/>
    <n v="0"/>
    <n v="1"/>
  </r>
  <r>
    <s v="051.323.061/0001-20"/>
    <x v="252"/>
    <s v="INCLUSAO  ANOT.INADIMPLENCIA"/>
    <x v="236"/>
    <x v="27"/>
    <s v="2025-09"/>
    <x v="1"/>
    <s v="ALISSON DE SOUZA LIMA"/>
    <x v="252"/>
    <n v="0"/>
    <n v="1"/>
  </r>
  <r>
    <s v="047.635.671/0001-92"/>
    <x v="143"/>
    <s v="INCLUSAO  ANOT.INADIMPLENCIA"/>
    <x v="236"/>
    <x v="1"/>
    <s v="2025-09"/>
    <x v="1"/>
    <s v="CELIO PIMENTA"/>
    <x v="143"/>
    <n v="0"/>
    <n v="1"/>
  </r>
  <r>
    <s v="042.119.428/0001-06"/>
    <x v="247"/>
    <s v="INCLUSAO  ANOT.INADIMPLENCIA"/>
    <x v="236"/>
    <x v="31"/>
    <s v="2025-09"/>
    <x v="1"/>
    <s v="TIAGO NEVES"/>
    <x v="247"/>
    <n v="0"/>
    <n v="1"/>
  </r>
  <r>
    <s v="038.007.528/0001-65"/>
    <x v="277"/>
    <s v="INCLUSAO  ANOT.INADIMPLENCIA"/>
    <x v="236"/>
    <x v="9"/>
    <s v="2025-09"/>
    <x v="1"/>
    <s v="PRISCILA METZ"/>
    <x v="277"/>
    <n v="0"/>
    <n v="1"/>
  </r>
  <r>
    <s v="028.650.970/0001-51"/>
    <x v="166"/>
    <s v="INCLUSAO  ANOT.INADIMPLENCIA"/>
    <x v="236"/>
    <x v="10"/>
    <s v="2025-09"/>
    <x v="1"/>
    <s v="ROGERIO "/>
    <x v="166"/>
    <n v="0"/>
    <n v="1"/>
  </r>
  <r>
    <s v="028.556.973/0001-20"/>
    <x v="118"/>
    <s v="INCLUSAO  ANOT.INADIMPLENCIA"/>
    <x v="236"/>
    <x v="1"/>
    <s v="2025-09"/>
    <x v="1"/>
    <s v="CELIO PIMENTA"/>
    <x v="118"/>
    <n v="0"/>
    <n v="1"/>
  </r>
  <r>
    <s v="028.514.938/0001-49"/>
    <x v="249"/>
    <s v="INCLUSAO  ANOT.INADIMPLENCIA"/>
    <x v="236"/>
    <x v="6"/>
    <s v="2025-09"/>
    <x v="1"/>
    <s v="RAFAEL PARISE"/>
    <x v="249"/>
    <n v="0"/>
    <n v="1"/>
  </r>
  <r>
    <s v="028.511.223/0001-32"/>
    <x v="189"/>
    <s v="INCL/EXCL ANOT.INADIMPLENCIA"/>
    <x v="236"/>
    <x v="0"/>
    <s v="2025-09"/>
    <x v="1"/>
    <s v="ADMINISTRAÇÃO"/>
    <x v="189"/>
    <n v="1"/>
    <n v="1"/>
  </r>
  <r>
    <s v="071.350.797/0001-03"/>
    <x v="48"/>
    <s v="EXCLUSAO  ANOT.INADIMPLENCIA"/>
    <x v="236"/>
    <x v="10"/>
    <s v="2025-09"/>
    <x v="1"/>
    <s v="ROGERIO "/>
    <x v="48"/>
    <n v="1"/>
    <n v="0"/>
  </r>
  <r>
    <s v="028.393.466/0001-13"/>
    <x v="167"/>
    <s v="INCLUSAO  ANOT.INADIMPLENCIA"/>
    <x v="236"/>
    <x v="12"/>
    <s v="2025-09"/>
    <x v="1"/>
    <s v="PROSPECTAR"/>
    <x v="167"/>
    <n v="0"/>
    <n v="1"/>
  </r>
  <r>
    <s v="025.094.292/0001-08"/>
    <x v="213"/>
    <s v="INCLUSAO  ANOT.INADIMPLENCIA"/>
    <x v="236"/>
    <x v="12"/>
    <s v="2025-09"/>
    <x v="1"/>
    <s v="PROSPECTAR"/>
    <x v="213"/>
    <n v="0"/>
    <n v="1"/>
  </r>
  <r>
    <s v="022.457.202/0001-08"/>
    <x v="257"/>
    <s v="EXCLUSAO  ANOT.INADIMPLENCIA"/>
    <x v="236"/>
    <x v="35"/>
    <s v="2025-09"/>
    <x v="1"/>
    <s v="VALERIA"/>
    <x v="257"/>
    <n v="1"/>
    <n v="0"/>
  </r>
  <r>
    <s v="021.382.943/0001-04"/>
    <x v="205"/>
    <s v="EXCLUSAO  ANOT.INADIMPLENCIA"/>
    <x v="236"/>
    <x v="0"/>
    <s v="2025-09"/>
    <x v="1"/>
    <s v="ADMINISTRAÇÃO"/>
    <x v="205"/>
    <n v="1"/>
    <n v="0"/>
  </r>
  <r>
    <s v="020.024.081/0001-77"/>
    <x v="177"/>
    <s v="INCL/EXCL ANOT.INADIMPLENCIA"/>
    <x v="236"/>
    <x v="10"/>
    <s v="2025-09"/>
    <x v="1"/>
    <s v="ROGERIO "/>
    <x v="177"/>
    <n v="1"/>
    <n v="1"/>
  </r>
  <r>
    <s v="016.772.642/0001-49"/>
    <x v="69"/>
    <s v="INCLUSAO  ANOT.INADIMPLENCIA"/>
    <x v="236"/>
    <x v="0"/>
    <s v="2025-09"/>
    <x v="1"/>
    <s v="ADMINISTRAÇÃO"/>
    <x v="69"/>
    <n v="0"/>
    <n v="1"/>
  </r>
  <r>
    <s v="011.122.552/0001-99"/>
    <x v="59"/>
    <s v="INCLUSAO  ANOT.INADIMPLENCIA"/>
    <x v="236"/>
    <x v="6"/>
    <s v="2025-09"/>
    <x v="1"/>
    <s v="RAFAEL PARISE"/>
    <x v="59"/>
    <n v="0"/>
    <n v="1"/>
  </r>
  <r>
    <s v="007.102.721/0001-51"/>
    <x v="44"/>
    <s v="INCLUSAO  ANOT.INADIMPLENCIA"/>
    <x v="236"/>
    <x v="12"/>
    <s v="2025-09"/>
    <x v="1"/>
    <s v="PROSPECTAR"/>
    <x v="44"/>
    <n v="0"/>
    <n v="1"/>
  </r>
  <r>
    <s v="004.323.643/0001-27"/>
    <x v="221"/>
    <s v="INCL/EXCL ANOT.INADIMPLENCIA"/>
    <x v="236"/>
    <x v="0"/>
    <s v="2025-09"/>
    <x v="1"/>
    <s v="ADMINISTRAÇÃO"/>
    <x v="221"/>
    <n v="1"/>
    <n v="1"/>
  </r>
  <r>
    <s v="004.126.524/0001-84"/>
    <x v="28"/>
    <s v="EXCLUSAO  ANOT.INADIMPLENCIA"/>
    <x v="236"/>
    <x v="0"/>
    <s v="2025-09"/>
    <x v="1"/>
    <s v="ADMINISTRAÇÃO"/>
    <x v="28"/>
    <n v="1"/>
    <n v="0"/>
  </r>
  <r>
    <s v="026.628.832/0001-40"/>
    <x v="244"/>
    <s v="INCLUSAO  ANOT.INADIMPLENCIA"/>
    <x v="236"/>
    <x v="27"/>
    <s v="2025-09"/>
    <x v="1"/>
    <s v="ALISSON DE SOUZA LIMA"/>
    <x v="244"/>
    <n v="0"/>
    <n v="1"/>
  </r>
  <r>
    <s v="093.274.124/0001-46"/>
    <x v="82"/>
    <s v="EXCLUSAO  ANOT.INADIMPLENCIA"/>
    <x v="236"/>
    <x v="4"/>
    <s v="2025-09"/>
    <x v="1"/>
    <s v="NOELI SALETE"/>
    <x v="82"/>
    <n v="1"/>
    <n v="0"/>
  </r>
  <r>
    <s v="004.323.643/0001-27"/>
    <x v="221"/>
    <s v="EXCLUSAO  ANOT.INADIMPLENCIA"/>
    <x v="237"/>
    <x v="0"/>
    <s v="2025-09"/>
    <x v="1"/>
    <s v="ADMINISTRAÇÃO"/>
    <x v="221"/>
    <n v="1"/>
    <n v="0"/>
  </r>
  <r>
    <s v="034.165.528/0001-32"/>
    <x v="256"/>
    <s v="INCLUSAO  ANOT.INADIMPLENCIA"/>
    <x v="237"/>
    <x v="27"/>
    <s v="2025-09"/>
    <x v="1"/>
    <s v="ALISSON DE SOUZA LIMA"/>
    <x v="256"/>
    <n v="0"/>
    <n v="1"/>
  </r>
  <r>
    <s v="033.281.410/0001-07"/>
    <x v="242"/>
    <s v="INCLUSAO  ANOT.INADIMPLENCIA"/>
    <x v="237"/>
    <x v="29"/>
    <s v="2025-09"/>
    <x v="1"/>
    <s v="DALVA"/>
    <x v="242"/>
    <n v="0"/>
    <n v="1"/>
  </r>
  <r>
    <s v="032.552.159/0001-05"/>
    <x v="211"/>
    <s v="EXCLUSAO  ANOT.INADIMPLENCIA"/>
    <x v="237"/>
    <x v="27"/>
    <s v="2025-09"/>
    <x v="1"/>
    <s v="ALISSON DE SOUZA LIMA"/>
    <x v="211"/>
    <n v="1"/>
    <n v="0"/>
  </r>
  <r>
    <s v="032.024.304/0001-85"/>
    <x v="270"/>
    <s v="EXCLUSAO  ANOT.INADIMPLENCIA"/>
    <x v="237"/>
    <x v="12"/>
    <s v="2025-09"/>
    <x v="1"/>
    <s v="PROSPECTAR"/>
    <x v="270"/>
    <n v="1"/>
    <n v="0"/>
  </r>
  <r>
    <s v="028.556.973/0001-20"/>
    <x v="118"/>
    <s v="EXCLUSAO  ANOT.INADIMPLENCIA"/>
    <x v="237"/>
    <x v="1"/>
    <s v="2025-09"/>
    <x v="1"/>
    <s v="CELIO PIMENTA"/>
    <x v="118"/>
    <n v="1"/>
    <n v="0"/>
  </r>
  <r>
    <s v="027.508.008/0001-10"/>
    <x v="216"/>
    <s v="INCLUSAO  ANOT.INADIMPLENCIA"/>
    <x v="237"/>
    <x v="29"/>
    <s v="2025-09"/>
    <x v="1"/>
    <s v="DALVA"/>
    <x v="216"/>
    <n v="0"/>
    <n v="1"/>
  </r>
  <r>
    <s v="027.180.131/0001-54"/>
    <x v="188"/>
    <s v="INCLUSAO  ANOT.INADIMPLENCIA"/>
    <x v="237"/>
    <x v="9"/>
    <s v="2025-09"/>
    <x v="1"/>
    <s v="PRISCILA METZ"/>
    <x v="188"/>
    <n v="0"/>
    <n v="1"/>
  </r>
  <r>
    <s v="026.628.832/0001-40"/>
    <x v="244"/>
    <s v="INCL/EXCL ANOT.INADIMPLENCIA"/>
    <x v="237"/>
    <x v="27"/>
    <s v="2025-09"/>
    <x v="1"/>
    <s v="ALISSON DE SOUZA LIMA"/>
    <x v="244"/>
    <n v="1"/>
    <n v="1"/>
  </r>
  <r>
    <s v="025.094.292/0001-08"/>
    <x v="213"/>
    <s v="EXCLUSAO  ANOT.INADIMPLENCIA"/>
    <x v="237"/>
    <x v="12"/>
    <s v="2025-09"/>
    <x v="1"/>
    <s v="PROSPECTAR"/>
    <x v="213"/>
    <n v="1"/>
    <n v="0"/>
  </r>
  <r>
    <s v="021.382.943/0001-04"/>
    <x v="205"/>
    <s v="EXCLUSAO  ANOT.INADIMPLENCIA"/>
    <x v="237"/>
    <x v="0"/>
    <s v="2025-09"/>
    <x v="1"/>
    <s v="ADMINISTRAÇÃO"/>
    <x v="205"/>
    <n v="1"/>
    <n v="0"/>
  </r>
  <r>
    <s v="014.829.598/0001-30"/>
    <x v="31"/>
    <s v="INCLUSAO  ANOT.INADIMPLENCIA"/>
    <x v="237"/>
    <x v="9"/>
    <s v="2025-09"/>
    <x v="1"/>
    <s v="PRISCILA METZ"/>
    <x v="31"/>
    <n v="0"/>
    <n v="1"/>
  </r>
  <r>
    <s v="013.285.987/0001-80"/>
    <x v="278"/>
    <s v="INCLUSAO  ANOT.INADIMPLENCIA"/>
    <x v="237"/>
    <x v="0"/>
    <s v="2025-09"/>
    <x v="1"/>
    <s v="ADMINISTRAÇÃO"/>
    <x v="278"/>
    <n v="0"/>
    <n v="1"/>
  </r>
  <r>
    <s v="011.122.552/0001-99"/>
    <x v="59"/>
    <s v="INCLUSAO  ANOT.INADIMPLENCIA"/>
    <x v="237"/>
    <x v="6"/>
    <s v="2025-09"/>
    <x v="1"/>
    <s v="RAFAEL PARISE"/>
    <x v="59"/>
    <n v="0"/>
    <n v="1"/>
  </r>
  <r>
    <s v="008.196.295/0001-25"/>
    <x v="255"/>
    <s v="EXCLUSAO  ANOT.INADIMPLENCIA"/>
    <x v="237"/>
    <x v="34"/>
    <s v="2025-09"/>
    <x v="1"/>
    <s v="CREDTEM"/>
    <x v="255"/>
    <n v="1"/>
    <n v="0"/>
  </r>
  <r>
    <s v="007.102.721/0001-51"/>
    <x v="44"/>
    <s v="EXCLUSAO  ANOT.INADIMPLENCIA"/>
    <x v="237"/>
    <x v="12"/>
    <s v="2025-09"/>
    <x v="1"/>
    <s v="PROSPECTAR"/>
    <x v="44"/>
    <n v="1"/>
    <n v="0"/>
  </r>
  <r>
    <s v="006.107.454/0001-42"/>
    <x v="42"/>
    <s v="INCLUSAO  ANOT.INADIMPLENCIA"/>
    <x v="237"/>
    <x v="0"/>
    <s v="2025-09"/>
    <x v="1"/>
    <s v="ADMINISTRAÇÃO"/>
    <x v="42"/>
    <n v="0"/>
    <n v="1"/>
  </r>
  <r>
    <s v="005.363.690/0001-67"/>
    <x v="90"/>
    <s v="EXCLUSAO  ANOT.INADIMPLENCIA"/>
    <x v="237"/>
    <x v="12"/>
    <s v="2025-09"/>
    <x v="1"/>
    <s v="PROSPECTAR"/>
    <x v="90"/>
    <n v="1"/>
    <n v="0"/>
  </r>
  <r>
    <s v="051.323.061/0001-20"/>
    <x v="252"/>
    <s v="INCLUSAO  ANOT.INADIMPLENCIA"/>
    <x v="237"/>
    <x v="27"/>
    <s v="2025-09"/>
    <x v="1"/>
    <s v="ALISSON DE SOUZA LIMA"/>
    <x v="252"/>
    <n v="0"/>
    <n v="1"/>
  </r>
  <r>
    <s v="057.698.087/0001-30"/>
    <x v="229"/>
    <s v="INCLUSAO  ANOT.INADIMPLENCIA"/>
    <x v="237"/>
    <x v="1"/>
    <s v="2025-09"/>
    <x v="1"/>
    <s v="CELIO PIMENTA"/>
    <x v="229"/>
    <n v="0"/>
    <n v="1"/>
  </r>
  <r>
    <s v="000.482.073/0001-67"/>
    <x v="279"/>
    <s v="INCLUSAO  ANOT.INADIMPLENCIA"/>
    <x v="238"/>
    <x v="12"/>
    <s v="2025-09"/>
    <x v="1"/>
    <s v="PROSPECTAR"/>
    <x v="279"/>
    <n v="0"/>
    <n v="1"/>
  </r>
  <r>
    <s v="057.698.087/0001-30"/>
    <x v="229"/>
    <s v="INCLUSAO  ANOT.INADIMPLENCIA"/>
    <x v="238"/>
    <x v="1"/>
    <s v="2025-09"/>
    <x v="1"/>
    <s v="CELIO PIMENTA"/>
    <x v="229"/>
    <n v="0"/>
    <n v="1"/>
  </r>
  <r>
    <s v="052.755.043/0001-80"/>
    <x v="237"/>
    <s v="INCLUSAO  ANOT.INADIMPLENCIA"/>
    <x v="238"/>
    <x v="3"/>
    <s v="2025-09"/>
    <x v="1"/>
    <s v="MARCUS VINICIUS "/>
    <x v="237"/>
    <n v="0"/>
    <n v="1"/>
  </r>
  <r>
    <s v="051.323.061/0001-20"/>
    <x v="252"/>
    <s v="EXCLUSAO  ANOT.INADIMPLENCIA"/>
    <x v="238"/>
    <x v="27"/>
    <s v="2025-09"/>
    <x v="1"/>
    <s v="ALISSON DE SOUZA LIMA"/>
    <x v="252"/>
    <n v="1"/>
    <n v="0"/>
  </r>
  <r>
    <s v="034.165.528/0001-32"/>
    <x v="256"/>
    <s v="INCLUSAO  ANOT.INADIMPLENCIA"/>
    <x v="238"/>
    <x v="27"/>
    <s v="2025-09"/>
    <x v="1"/>
    <s v="ALISSON DE SOUZA LIMA"/>
    <x v="256"/>
    <n v="0"/>
    <n v="1"/>
  </r>
  <r>
    <s v="028.650.970/0001-51"/>
    <x v="166"/>
    <s v="INCLUSAO  ANOT.INADIMPLENCIA"/>
    <x v="238"/>
    <x v="10"/>
    <s v="2025-09"/>
    <x v="1"/>
    <s v="ROGERIO "/>
    <x v="166"/>
    <n v="0"/>
    <n v="1"/>
  </r>
  <r>
    <s v="028.514.938/0001-49"/>
    <x v="249"/>
    <s v="EXCLUSAO  ANOT.INADIMPLENCIA"/>
    <x v="238"/>
    <x v="6"/>
    <s v="2025-09"/>
    <x v="1"/>
    <s v="RAFAEL PARISE"/>
    <x v="249"/>
    <n v="1"/>
    <n v="0"/>
  </r>
  <r>
    <s v="028.511.223/0001-32"/>
    <x v="189"/>
    <s v="EXCLUSAO  ANOT.INADIMPLENCIA"/>
    <x v="238"/>
    <x v="0"/>
    <s v="2025-09"/>
    <x v="1"/>
    <s v="ADMINISTRAÇÃO"/>
    <x v="189"/>
    <n v="1"/>
    <n v="0"/>
  </r>
  <r>
    <s v="027.180.131/0001-54"/>
    <x v="188"/>
    <s v="INCLUSAO  ANOT.INADIMPLENCIA"/>
    <x v="238"/>
    <x v="9"/>
    <s v="2025-09"/>
    <x v="1"/>
    <s v="PRISCILA METZ"/>
    <x v="188"/>
    <n v="0"/>
    <n v="1"/>
  </r>
  <r>
    <s v="026.628.832/0001-40"/>
    <x v="244"/>
    <s v="INCLUSAO  ANOT.INADIMPLENCIA"/>
    <x v="238"/>
    <x v="27"/>
    <s v="2025-09"/>
    <x v="1"/>
    <s v="ALISSON DE SOUZA LIMA"/>
    <x v="244"/>
    <n v="0"/>
    <n v="1"/>
  </r>
  <r>
    <s v="021.382.943/0001-04"/>
    <x v="205"/>
    <s v="INCLUSAO  ANOT.INADIMPLENCIA"/>
    <x v="238"/>
    <x v="0"/>
    <s v="2025-09"/>
    <x v="1"/>
    <s v="ADMINISTRAÇÃO"/>
    <x v="205"/>
    <n v="0"/>
    <n v="1"/>
  </r>
  <r>
    <s v="020.024.081/0001-77"/>
    <x v="177"/>
    <s v="INCLUSAO  ANOT.INADIMPLENCIA"/>
    <x v="238"/>
    <x v="10"/>
    <s v="2025-09"/>
    <x v="1"/>
    <s v="ROGERIO "/>
    <x v="177"/>
    <n v="0"/>
    <n v="1"/>
  </r>
  <r>
    <s v="019.961.036/0001-60"/>
    <x v="262"/>
    <s v="EXCLUSAO  ANOT.INADIMPLENCIA"/>
    <x v="238"/>
    <x v="36"/>
    <s v="2025-09"/>
    <x v="1"/>
    <s v="JJPH"/>
    <x v="262"/>
    <n v="1"/>
    <n v="0"/>
  </r>
  <r>
    <s v="019.450.138/0001-10"/>
    <x v="70"/>
    <s v="EXCLUSAO  ANOT.INADIMPLENCIA"/>
    <x v="238"/>
    <x v="17"/>
    <s v="2025-09"/>
    <x v="1"/>
    <s v="MARCIO LEONEL"/>
    <x v="70"/>
    <n v="1"/>
    <n v="0"/>
  </r>
  <r>
    <s v="016.772.642/0001-49"/>
    <x v="69"/>
    <s v="INCLUSAO  ANOT.INADIMPLENCIA"/>
    <x v="238"/>
    <x v="0"/>
    <s v="2025-09"/>
    <x v="1"/>
    <s v="ADMINISTRAÇÃO"/>
    <x v="69"/>
    <n v="0"/>
    <n v="1"/>
  </r>
  <r>
    <s v="016.757.535/0001-41"/>
    <x v="29"/>
    <s v="EXCLUSAO  ANOT.INADIMPLENCIA"/>
    <x v="238"/>
    <x v="11"/>
    <s v="2025-09"/>
    <x v="1"/>
    <s v="DIOGO AZEVEDO"/>
    <x v="29"/>
    <n v="1"/>
    <n v="0"/>
  </r>
  <r>
    <s v="014.385.825/0001-86"/>
    <x v="110"/>
    <s v="INCLUSAO  ANOT.INADIMPLENCIA"/>
    <x v="238"/>
    <x v="6"/>
    <s v="2025-09"/>
    <x v="1"/>
    <s v="RAFAEL PARISE"/>
    <x v="110"/>
    <n v="0"/>
    <n v="1"/>
  </r>
  <r>
    <s v="013.285.987/0001-80"/>
    <x v="278"/>
    <s v="INCLUSAO  ANOT.INADIMPLENCIA"/>
    <x v="238"/>
    <x v="0"/>
    <s v="2025-09"/>
    <x v="1"/>
    <s v="ADMINISTRAÇÃO"/>
    <x v="278"/>
    <n v="0"/>
    <n v="1"/>
  </r>
  <r>
    <s v="009.674.456/0001-01"/>
    <x v="233"/>
    <s v="EXCLUSAO  ANOT.INADIMPLENCIA"/>
    <x v="238"/>
    <x v="6"/>
    <s v="2025-09"/>
    <x v="1"/>
    <s v="RAFAEL PARISE"/>
    <x v="233"/>
    <n v="1"/>
    <n v="0"/>
  </r>
  <r>
    <s v="007.102.721/0001-51"/>
    <x v="44"/>
    <s v="EXCLUSAO  ANOT.INADIMPLENCIA"/>
    <x v="238"/>
    <x v="12"/>
    <s v="2025-09"/>
    <x v="1"/>
    <s v="PROSPECTAR"/>
    <x v="44"/>
    <n v="1"/>
    <n v="0"/>
  </r>
  <r>
    <s v="004.323.643/0001-27"/>
    <x v="221"/>
    <s v="EXCLUSAO  ANOT.INADIMPLENCIA"/>
    <x v="238"/>
    <x v="0"/>
    <s v="2025-09"/>
    <x v="1"/>
    <s v="ADMINISTRAÇÃO"/>
    <x v="221"/>
    <n v="1"/>
    <n v="0"/>
  </r>
  <r>
    <s v="000.803.044/0001-50"/>
    <x v="45"/>
    <s v="EXCLUSAO  ANOT.INADIMPLENCIA"/>
    <x v="238"/>
    <x v="0"/>
    <s v="2025-09"/>
    <x v="1"/>
    <s v="ADMINISTRAÇÃO"/>
    <x v="45"/>
    <n v="1"/>
    <n v="0"/>
  </r>
  <r>
    <s v="071.350.797/0001-03"/>
    <x v="48"/>
    <s v="INCLUSAO  ANOT.INADIMPLENCIA"/>
    <x v="238"/>
    <x v="10"/>
    <s v="2025-09"/>
    <x v="1"/>
    <s v="ROGERIO "/>
    <x v="48"/>
    <n v="0"/>
    <n v="1"/>
  </r>
  <r>
    <s v="093.274.124/0001-46"/>
    <x v="82"/>
    <s v="EXCLUSAO  ANOT.INADIMPLENCIA"/>
    <x v="238"/>
    <x v="4"/>
    <s v="2025-09"/>
    <x v="1"/>
    <s v="NOELI SALETE"/>
    <x v="82"/>
    <n v="1"/>
    <n v="0"/>
  </r>
  <r>
    <s v="001.535.822/0001-30"/>
    <x v="170"/>
    <s v="INCLUSAO  ANOT.INADIMPLENCIA"/>
    <x v="239"/>
    <x v="12"/>
    <s v="2025-09"/>
    <x v="1"/>
    <s v="PROSPECTAR"/>
    <x v="170"/>
    <n v="0"/>
    <n v="1"/>
  </r>
  <r>
    <s v="044.470.678/0001-03"/>
    <x v="203"/>
    <s v="INCLUSAO  ANOT.INADIMPLENCIA"/>
    <x v="239"/>
    <x v="9"/>
    <s v="2025-09"/>
    <x v="1"/>
    <s v="PRISCILA METZ"/>
    <x v="203"/>
    <n v="0"/>
    <n v="1"/>
  </r>
  <r>
    <s v="037.828.375/0001-54"/>
    <x v="39"/>
    <s v="INCLUSAO  ANOT.INADIMPLENCIA"/>
    <x v="239"/>
    <x v="5"/>
    <s v="2025-09"/>
    <x v="1"/>
    <s v="POENATELA"/>
    <x v="39"/>
    <n v="0"/>
    <n v="1"/>
  </r>
  <r>
    <s v="034.165.528/0001-32"/>
    <x v="256"/>
    <s v="INCLUSAO  ANOT.INADIMPLENCIA"/>
    <x v="239"/>
    <x v="27"/>
    <s v="2025-09"/>
    <x v="1"/>
    <s v="ALISSON DE SOUZA LIMA"/>
    <x v="256"/>
    <n v="0"/>
    <n v="1"/>
  </r>
  <r>
    <s v="031.743.464/0001-11"/>
    <x v="253"/>
    <s v="EXCLUSAO  ANOT.INADIMPLENCIA"/>
    <x v="239"/>
    <x v="32"/>
    <s v="2025-09"/>
    <x v="1"/>
    <s v="WASHINGTON"/>
    <x v="253"/>
    <n v="1"/>
    <n v="0"/>
  </r>
  <r>
    <s v="028.511.223/0001-32"/>
    <x v="189"/>
    <s v="INCLUSAO  ANOT.INADIMPLENCIA"/>
    <x v="239"/>
    <x v="0"/>
    <s v="2025-09"/>
    <x v="1"/>
    <s v="ADMINISTRAÇÃO"/>
    <x v="189"/>
    <n v="0"/>
    <n v="1"/>
  </r>
  <r>
    <s v="027.180.131/0001-54"/>
    <x v="188"/>
    <s v="INCLUSAO  ANOT.INADIMPLENCIA"/>
    <x v="239"/>
    <x v="9"/>
    <s v="2025-09"/>
    <x v="1"/>
    <s v="PRISCILA METZ"/>
    <x v="188"/>
    <n v="0"/>
    <n v="1"/>
  </r>
  <r>
    <s v="026.628.832/0001-40"/>
    <x v="244"/>
    <s v="INCLUSAO  ANOT.INADIMPLENCIA"/>
    <x v="239"/>
    <x v="27"/>
    <s v="2025-09"/>
    <x v="1"/>
    <s v="ALISSON DE SOUZA LIMA"/>
    <x v="244"/>
    <n v="0"/>
    <n v="1"/>
  </r>
  <r>
    <s v="021.382.943/0001-04"/>
    <x v="205"/>
    <s v="EXCLUSAO  ANOT.INADIMPLENCIA"/>
    <x v="239"/>
    <x v="0"/>
    <s v="2025-09"/>
    <x v="1"/>
    <s v="ADMINISTRAÇÃO"/>
    <x v="205"/>
    <n v="1"/>
    <n v="0"/>
  </r>
  <r>
    <s v="020.024.081/0001-77"/>
    <x v="177"/>
    <s v="INCLUSAO  ANOT.INADIMPLENCIA"/>
    <x v="239"/>
    <x v="10"/>
    <s v="2025-09"/>
    <x v="1"/>
    <s v="ROGERIO "/>
    <x v="177"/>
    <n v="0"/>
    <n v="1"/>
  </r>
  <r>
    <s v="016.757.535/0001-41"/>
    <x v="29"/>
    <s v="INCLUSAO  ANOT.INADIMPLENCIA"/>
    <x v="239"/>
    <x v="11"/>
    <s v="2025-09"/>
    <x v="1"/>
    <s v="DIOGO AZEVEDO"/>
    <x v="29"/>
    <n v="0"/>
    <n v="1"/>
  </r>
  <r>
    <s v="013.749.701/0001-70"/>
    <x v="195"/>
    <s v="INCLUSAO  ANOT.INADIMPLENCIA"/>
    <x v="239"/>
    <x v="6"/>
    <s v="2025-09"/>
    <x v="1"/>
    <s v="RAFAEL PARISE"/>
    <x v="195"/>
    <n v="0"/>
    <n v="1"/>
  </r>
  <r>
    <s v="011.122.552/0001-99"/>
    <x v="59"/>
    <s v="INCLUSAO  ANOT.INADIMPLENCIA"/>
    <x v="239"/>
    <x v="6"/>
    <s v="2025-09"/>
    <x v="1"/>
    <s v="RAFAEL PARISE"/>
    <x v="59"/>
    <n v="0"/>
    <n v="1"/>
  </r>
  <r>
    <s v="009.674.456/0001-01"/>
    <x v="233"/>
    <s v="INCLUSAO  ANOT.INADIMPLENCIA"/>
    <x v="239"/>
    <x v="6"/>
    <s v="2025-09"/>
    <x v="1"/>
    <s v="RAFAEL PARISE"/>
    <x v="233"/>
    <n v="0"/>
    <n v="1"/>
  </r>
  <r>
    <s v="008.250.872/0001-10"/>
    <x v="121"/>
    <s v="EXCLUSAO  ANOT.INADIMPLENCIA"/>
    <x v="239"/>
    <x v="6"/>
    <s v="2025-09"/>
    <x v="1"/>
    <s v="RAFAEL PARISE"/>
    <x v="121"/>
    <n v="1"/>
    <n v="0"/>
  </r>
  <r>
    <s v="003.603.516/0001-19"/>
    <x v="236"/>
    <s v="INCLUSAO  ANOT.INADIMPLENCIA"/>
    <x v="239"/>
    <x v="3"/>
    <s v="2025-09"/>
    <x v="1"/>
    <s v="MARCUS VINICIUS "/>
    <x v="236"/>
    <n v="0"/>
    <n v="1"/>
  </r>
  <r>
    <s v="044.921.612/0001-92"/>
    <x v="251"/>
    <s v="EXCLUSAO  ANOT.INADIMPLENCIA"/>
    <x v="239"/>
    <x v="0"/>
    <s v="2025-09"/>
    <x v="1"/>
    <s v="ADMINISTRAÇÃO"/>
    <x v="251"/>
    <n v="1"/>
    <n v="0"/>
  </r>
  <r>
    <s v="057.698.087/0001-30"/>
    <x v="229"/>
    <s v="INCLUSAO  ANOT.INADIMPLENCIA"/>
    <x v="239"/>
    <x v="1"/>
    <s v="2025-09"/>
    <x v="1"/>
    <s v="CELIO PIMENTA"/>
    <x v="229"/>
    <n v="0"/>
    <n v="1"/>
  </r>
  <r>
    <s v="000.803.044/0001-50"/>
    <x v="45"/>
    <s v="INCLUSAO  ANOT.INADIMPLENCIA"/>
    <x v="240"/>
    <x v="0"/>
    <s v="2025-09"/>
    <x v="2"/>
    <s v="ADMINISTRAÇÃO"/>
    <x v="45"/>
    <n v="0"/>
    <n v="1"/>
  </r>
  <r>
    <s v="052.755.043/0001-80"/>
    <x v="237"/>
    <s v="INCLUSAO  ANOT.INADIMPLENCIA"/>
    <x v="240"/>
    <x v="3"/>
    <s v="2025-09"/>
    <x v="2"/>
    <s v="MARCUS VINICIUS "/>
    <x v="237"/>
    <n v="0"/>
    <n v="1"/>
  </r>
  <r>
    <s v="044.470.678/0001-03"/>
    <x v="203"/>
    <s v="INCLUSAO  ANOT.INADIMPLENCIA"/>
    <x v="240"/>
    <x v="9"/>
    <s v="2025-09"/>
    <x v="2"/>
    <s v="PRISCILA METZ"/>
    <x v="203"/>
    <n v="0"/>
    <n v="1"/>
  </r>
  <r>
    <s v="044.073.794/0001-99"/>
    <x v="280"/>
    <s v="INCLUSAO  ANOT.INADIMPLENCIA"/>
    <x v="240"/>
    <x v="27"/>
    <s v="2025-09"/>
    <x v="2"/>
    <s v="ALISSON DE SOUZA LIMA"/>
    <x v="280"/>
    <n v="0"/>
    <n v="1"/>
  </r>
  <r>
    <s v="038.479.255/0001-51"/>
    <x v="240"/>
    <s v="INCLUSAO  ANOT.INADIMPLENCIA"/>
    <x v="240"/>
    <x v="3"/>
    <s v="2025-09"/>
    <x v="2"/>
    <s v="MARCUS VINICIUS "/>
    <x v="240"/>
    <n v="0"/>
    <n v="1"/>
  </r>
  <r>
    <s v="038.161.686/0001-75"/>
    <x v="275"/>
    <s v="INCLUSAO  ANOT.INADIMPLENCIA"/>
    <x v="240"/>
    <x v="0"/>
    <s v="2025-09"/>
    <x v="2"/>
    <s v="ADMINISTRAÇÃO"/>
    <x v="275"/>
    <n v="0"/>
    <n v="1"/>
  </r>
  <r>
    <s v="038.082.538/0001-65"/>
    <x v="79"/>
    <s v="INCLUSAO  ANOT.INADIMPLENCIA"/>
    <x v="240"/>
    <x v="0"/>
    <s v="2025-09"/>
    <x v="2"/>
    <s v="ADMINISTRAÇÃO"/>
    <x v="79"/>
    <n v="0"/>
    <n v="1"/>
  </r>
  <r>
    <s v="034.165.528/0001-32"/>
    <x v="256"/>
    <s v="INCL/EXCL ANOT.INADIMPLENCIA"/>
    <x v="240"/>
    <x v="27"/>
    <s v="2025-09"/>
    <x v="2"/>
    <s v="ALISSON DE SOUZA LIMA"/>
    <x v="256"/>
    <n v="1"/>
    <n v="1"/>
  </r>
  <r>
    <s v="033.249.279/0001-09"/>
    <x v="238"/>
    <s v="EXCLUSAO  ANOT.INADIMPLENCIA"/>
    <x v="240"/>
    <x v="27"/>
    <s v="2025-09"/>
    <x v="2"/>
    <s v="ALISSON DE SOUZA LIMA"/>
    <x v="238"/>
    <n v="1"/>
    <n v="0"/>
  </r>
  <r>
    <s v="028.511.223/0001-32"/>
    <x v="189"/>
    <s v="INCL/EXCL ANOT.INADIMPLENCIA"/>
    <x v="240"/>
    <x v="0"/>
    <s v="2025-09"/>
    <x v="2"/>
    <s v="ADMINISTRAÇÃO"/>
    <x v="189"/>
    <n v="1"/>
    <n v="1"/>
  </r>
  <r>
    <s v="027.508.008/0001-10"/>
    <x v="216"/>
    <s v="EXCLUSAO  ANOT.INADIMPLENCIA"/>
    <x v="240"/>
    <x v="29"/>
    <s v="2025-09"/>
    <x v="2"/>
    <s v="DALVA"/>
    <x v="216"/>
    <n v="1"/>
    <n v="0"/>
  </r>
  <r>
    <s v="027.180.131/0001-54"/>
    <x v="188"/>
    <s v="EXCLUSAO  ANOT.INADIMPLENCIA"/>
    <x v="240"/>
    <x v="9"/>
    <s v="2025-09"/>
    <x v="2"/>
    <s v="PRISCILA METZ"/>
    <x v="188"/>
    <n v="1"/>
    <n v="0"/>
  </r>
  <r>
    <s v="026.628.832/0001-40"/>
    <x v="244"/>
    <s v="INCLUSAO  ANOT.INADIMPLENCIA"/>
    <x v="240"/>
    <x v="27"/>
    <s v="2025-09"/>
    <x v="2"/>
    <s v="ALISSON DE SOUZA LIMA"/>
    <x v="244"/>
    <n v="0"/>
    <n v="1"/>
  </r>
  <r>
    <s v="057.696.093/0001-58"/>
    <x v="206"/>
    <s v="INCLUSAO  ANOT.INADIMPLENCIA"/>
    <x v="240"/>
    <x v="1"/>
    <s v="2025-09"/>
    <x v="2"/>
    <s v="CELIO PIMENTA"/>
    <x v="206"/>
    <n v="0"/>
    <n v="1"/>
  </r>
  <r>
    <s v="025.094.292/0001-08"/>
    <x v="213"/>
    <s v="EXCLUSAO  ANOT.INADIMPLENCIA"/>
    <x v="240"/>
    <x v="12"/>
    <s v="2025-09"/>
    <x v="2"/>
    <s v="PROSPECTAR"/>
    <x v="213"/>
    <n v="1"/>
    <n v="0"/>
  </r>
  <r>
    <s v="021.382.943/0001-04"/>
    <x v="205"/>
    <s v="INCL/EXCL ANOT.INADIMPLENCIA"/>
    <x v="240"/>
    <x v="0"/>
    <s v="2025-09"/>
    <x v="2"/>
    <s v="ADMINISTRAÇÃO"/>
    <x v="205"/>
    <n v="1"/>
    <n v="1"/>
  </r>
  <r>
    <s v="020.024.081/0001-77"/>
    <x v="177"/>
    <s v="INCLUSAO  ANOT.INADIMPLENCIA"/>
    <x v="240"/>
    <x v="10"/>
    <s v="2025-09"/>
    <x v="2"/>
    <s v="ROGERIO "/>
    <x v="177"/>
    <n v="0"/>
    <n v="1"/>
  </r>
  <r>
    <s v="016.757.535/0001-41"/>
    <x v="29"/>
    <s v="INCLUSAO  ANOT.INADIMPLENCIA"/>
    <x v="240"/>
    <x v="11"/>
    <s v="2025-09"/>
    <x v="2"/>
    <s v="DIOGO AZEVEDO"/>
    <x v="29"/>
    <n v="0"/>
    <n v="1"/>
  </r>
  <r>
    <s v="013.258.863/0001-05"/>
    <x v="281"/>
    <s v="INCLUSAO  ANOT.INADIMPLENCIA"/>
    <x v="240"/>
    <x v="0"/>
    <s v="2025-09"/>
    <x v="2"/>
    <s v="ADMINISTRAÇÃO"/>
    <x v="281"/>
    <n v="0"/>
    <n v="1"/>
  </r>
  <r>
    <s v="011.122.552/0001-99"/>
    <x v="59"/>
    <s v="INCLUSAO  ANOT.INADIMPLENCIA"/>
    <x v="240"/>
    <x v="6"/>
    <s v="2025-09"/>
    <x v="2"/>
    <s v="RAFAEL PARISE"/>
    <x v="59"/>
    <n v="0"/>
    <n v="1"/>
  </r>
  <r>
    <s v="009.674.456/0001-01"/>
    <x v="233"/>
    <s v="EXCLUSAO  ANOT.INADIMPLENCIA"/>
    <x v="240"/>
    <x v="6"/>
    <s v="2025-09"/>
    <x v="2"/>
    <s v="RAFAEL PARISE"/>
    <x v="233"/>
    <n v="1"/>
    <n v="0"/>
  </r>
  <r>
    <s v="008.250.872/0001-10"/>
    <x v="121"/>
    <s v="INCL/EXCL ANOT.INADIMPLENCIA"/>
    <x v="240"/>
    <x v="6"/>
    <s v="2025-09"/>
    <x v="2"/>
    <s v="RAFAEL PARISE"/>
    <x v="121"/>
    <n v="1"/>
    <n v="1"/>
  </r>
  <r>
    <s v="007.561.436/0001-07"/>
    <x v="34"/>
    <s v="INCLUSAO  ANOT.INADIMPLENCIA"/>
    <x v="240"/>
    <x v="12"/>
    <s v="2025-09"/>
    <x v="2"/>
    <s v="PROSPECTAR"/>
    <x v="34"/>
    <n v="0"/>
    <n v="1"/>
  </r>
  <r>
    <s v="005.350.235/0001-27"/>
    <x v="72"/>
    <s v="EXCLUSAO  ANOT.INADIMPLENCIA"/>
    <x v="240"/>
    <x v="3"/>
    <s v="2025-09"/>
    <x v="2"/>
    <s v="MARCUS VINICIUS "/>
    <x v="72"/>
    <n v="1"/>
    <n v="0"/>
  </r>
  <r>
    <s v="004.622.554/0001-81"/>
    <x v="66"/>
    <s v="EXCLUSAO  ANOT.INADIMPLENCIA"/>
    <x v="240"/>
    <x v="4"/>
    <s v="2025-09"/>
    <x v="2"/>
    <s v="NOELI SALETE"/>
    <x v="66"/>
    <n v="1"/>
    <n v="0"/>
  </r>
  <r>
    <s v="004.323.643/0001-27"/>
    <x v="221"/>
    <s v="INCL/EXCL ANOT.INADIMPLENCIA"/>
    <x v="240"/>
    <x v="0"/>
    <s v="2025-09"/>
    <x v="2"/>
    <s v="ADMINISTRAÇÃO"/>
    <x v="221"/>
    <n v="1"/>
    <n v="1"/>
  </r>
  <r>
    <s v="004.126.524/0001-84"/>
    <x v="28"/>
    <s v="EXCLUSAO  ANOT.INADIMPLENCIA"/>
    <x v="240"/>
    <x v="0"/>
    <s v="2025-09"/>
    <x v="2"/>
    <s v="ADMINISTRAÇÃO"/>
    <x v="28"/>
    <n v="1"/>
    <n v="0"/>
  </r>
  <r>
    <s v="021.734.108/0001-88"/>
    <x v="41"/>
    <s v="EXCLUSAO  ANOT.INADIMPLENCIA"/>
    <x v="240"/>
    <x v="0"/>
    <s v="2025-09"/>
    <x v="2"/>
    <s v="ADMINISTRAÇÃO"/>
    <x v="41"/>
    <n v="1"/>
    <n v="0"/>
  </r>
  <r>
    <s v="057.698.087/0001-30"/>
    <x v="229"/>
    <s v="INCLUSAO  ANOT.INADIMPLENCIA"/>
    <x v="240"/>
    <x v="1"/>
    <s v="2025-09"/>
    <x v="2"/>
    <s v="CELIO PIMENTA"/>
    <x v="229"/>
    <n v="0"/>
    <n v="1"/>
  </r>
  <r>
    <s v="003.603.516/0001-19"/>
    <x v="236"/>
    <s v="INCLUSAO  ANOT.INADIMPLENCIA"/>
    <x v="241"/>
    <x v="3"/>
    <s v="2025-09"/>
    <x v="2"/>
    <s v="MARCUS VINICIUS "/>
    <x v="236"/>
    <n v="0"/>
    <n v="1"/>
  </r>
  <r>
    <s v="043.515.558/0001-12"/>
    <x v="176"/>
    <s v="INCLUSAO  ANOT.INADIMPLENCIA"/>
    <x v="241"/>
    <x v="10"/>
    <s v="2025-09"/>
    <x v="2"/>
    <s v="ROGERIO "/>
    <x v="176"/>
    <n v="0"/>
    <n v="1"/>
  </r>
  <r>
    <s v="040.582.798/0001-41"/>
    <x v="144"/>
    <s v="INCLUSAO  ANOT.INADIMPLENCIA"/>
    <x v="241"/>
    <x v="16"/>
    <s v="2025-09"/>
    <x v="2"/>
    <s v="SACADO"/>
    <x v="144"/>
    <n v="0"/>
    <n v="1"/>
  </r>
  <r>
    <s v="038.479.255/0001-51"/>
    <x v="240"/>
    <s v="INCLUSAO  ANOT.INADIMPLENCIA"/>
    <x v="241"/>
    <x v="3"/>
    <s v="2025-09"/>
    <x v="2"/>
    <s v="MARCUS VINICIUS "/>
    <x v="240"/>
    <n v="0"/>
    <n v="1"/>
  </r>
  <r>
    <s v="038.161.686/0001-75"/>
    <x v="275"/>
    <s v="INCLUSAO  ANOT.INADIMPLENCIA"/>
    <x v="241"/>
    <x v="0"/>
    <s v="2025-09"/>
    <x v="2"/>
    <s v="ADMINISTRAÇÃO"/>
    <x v="275"/>
    <n v="0"/>
    <n v="1"/>
  </r>
  <r>
    <s v="038.007.528/0001-65"/>
    <x v="277"/>
    <s v="INCLUSAO  ANOT.INADIMPLENCIA"/>
    <x v="241"/>
    <x v="9"/>
    <s v="2025-09"/>
    <x v="2"/>
    <s v="PRISCILA METZ"/>
    <x v="277"/>
    <n v="0"/>
    <n v="1"/>
  </r>
  <r>
    <s v="032.925.977/0001-06"/>
    <x v="235"/>
    <s v="INCLUSAO  ANOT.INADIMPLENCIA"/>
    <x v="241"/>
    <x v="1"/>
    <s v="2025-09"/>
    <x v="2"/>
    <s v="CELIO PIMENTA"/>
    <x v="235"/>
    <n v="0"/>
    <n v="1"/>
  </r>
  <r>
    <s v="028.393.466/0001-13"/>
    <x v="167"/>
    <s v="INCLUSAO  ANOT.INADIMPLENCIA"/>
    <x v="241"/>
    <x v="12"/>
    <s v="2025-09"/>
    <x v="2"/>
    <s v="PROSPECTAR"/>
    <x v="167"/>
    <n v="0"/>
    <n v="1"/>
  </r>
  <r>
    <s v="044.570.311/0001-61"/>
    <x v="116"/>
    <s v="EXCLUSAO  ANOT.INADIMPLENCIA"/>
    <x v="241"/>
    <x v="12"/>
    <s v="2025-09"/>
    <x v="2"/>
    <s v="PROSPECTAR"/>
    <x v="116"/>
    <n v="1"/>
    <n v="0"/>
  </r>
  <r>
    <s v="027.180.131/0001-54"/>
    <x v="188"/>
    <s v="INCL/EXCL ANOT.INADIMPLENCIA"/>
    <x v="241"/>
    <x v="9"/>
    <s v="2025-09"/>
    <x v="2"/>
    <s v="PRISCILA METZ"/>
    <x v="188"/>
    <n v="1"/>
    <n v="1"/>
  </r>
  <r>
    <s v="023.637.987/0001-55"/>
    <x v="20"/>
    <s v="INCLUSAO  ANOT.INADIMPLENCIA"/>
    <x v="241"/>
    <x v="5"/>
    <s v="2025-09"/>
    <x v="2"/>
    <s v="POENATELA"/>
    <x v="20"/>
    <n v="0"/>
    <n v="1"/>
  </r>
  <r>
    <s v="020.024.081/0001-77"/>
    <x v="177"/>
    <s v="INCLUSAO  ANOT.INADIMPLENCIA"/>
    <x v="241"/>
    <x v="10"/>
    <s v="2025-09"/>
    <x v="2"/>
    <s v="ROGERIO "/>
    <x v="177"/>
    <n v="0"/>
    <n v="1"/>
  </r>
  <r>
    <s v="013.749.701/0001-70"/>
    <x v="195"/>
    <s v="INCLUSAO  ANOT.INADIMPLENCIA"/>
    <x v="241"/>
    <x v="6"/>
    <s v="2025-09"/>
    <x v="2"/>
    <s v="RAFAEL PARISE"/>
    <x v="195"/>
    <n v="0"/>
    <n v="1"/>
  </r>
  <r>
    <s v="008.235.193/0001-71"/>
    <x v="282"/>
    <s v="INCLUSAO  ANOT.INADIMPLENCIA"/>
    <x v="241"/>
    <x v="37"/>
    <s v="2025-09"/>
    <x v="2"/>
    <s v="STELLA PURRI BRANT"/>
    <x v="282"/>
    <n v="0"/>
    <n v="1"/>
  </r>
  <r>
    <s v="006.107.454/0001-42"/>
    <x v="42"/>
    <s v="INCLUSAO  ANOT.INADIMPLENCIA"/>
    <x v="241"/>
    <x v="0"/>
    <s v="2025-09"/>
    <x v="2"/>
    <s v="ADMINISTRAÇÃO"/>
    <x v="42"/>
    <n v="0"/>
    <n v="1"/>
  </r>
  <r>
    <s v="004.323.643/0001-27"/>
    <x v="221"/>
    <s v="INCLUSAO  ANOT.INADIMPLENCIA"/>
    <x v="241"/>
    <x v="0"/>
    <s v="2025-09"/>
    <x v="2"/>
    <s v="ADMINISTRAÇÃO"/>
    <x v="221"/>
    <n v="0"/>
    <n v="1"/>
  </r>
  <r>
    <s v="004.126.524/0001-84"/>
    <x v="28"/>
    <s v="EXCLUSAO  ANOT.INADIMPLENCIA"/>
    <x v="241"/>
    <x v="0"/>
    <s v="2025-09"/>
    <x v="2"/>
    <s v="ADMINISTRAÇÃO"/>
    <x v="28"/>
    <n v="1"/>
    <n v="0"/>
  </r>
  <r>
    <s v="026.628.832/0001-40"/>
    <x v="244"/>
    <s v="INCL/EXCL ANOT.INADIMPLENCIA"/>
    <x v="241"/>
    <x v="27"/>
    <s v="2025-09"/>
    <x v="2"/>
    <s v="ALISSON DE SOUZA LIMA"/>
    <x v="244"/>
    <n v="1"/>
    <n v="1"/>
  </r>
  <r>
    <s v="050.164.951/0001-74"/>
    <x v="51"/>
    <s v="INCLUSAO  ANOT.INADIMPLENCIA"/>
    <x v="241"/>
    <x v="0"/>
    <s v="2025-09"/>
    <x v="2"/>
    <s v="ADMINISTRAÇÃO"/>
    <x v="51"/>
    <n v="0"/>
    <n v="1"/>
  </r>
  <r>
    <s v="007.272.884/0001-82"/>
    <x v="276"/>
    <s v="INCLUSAO  ANOT.INADIMPLENCIA"/>
    <x v="242"/>
    <x v="10"/>
    <s v="2025-09"/>
    <x v="2"/>
    <s v="ROGERIO "/>
    <x v="276"/>
    <n v="0"/>
    <n v="1"/>
  </r>
  <r>
    <s v="056.146.561/0001-58"/>
    <x v="204"/>
    <s v="ALTERACAO ENDERECO"/>
    <x v="242"/>
    <x v="1"/>
    <s v="2025-09"/>
    <x v="2"/>
    <s v="CELIO PIMENTA"/>
    <x v="204"/>
    <n v="0"/>
    <n v="0"/>
  </r>
  <r>
    <s v="046.848.165/0001-19"/>
    <x v="271"/>
    <s v="ALTERACAO ENDERECO"/>
    <x v="242"/>
    <x v="11"/>
    <s v="2025-09"/>
    <x v="2"/>
    <s v="DIOGO AZEVEDO"/>
    <x v="271"/>
    <n v="0"/>
    <n v="0"/>
  </r>
  <r>
    <s v="044.126.379/0001-56"/>
    <x v="187"/>
    <s v="ALTERACAO ENDERECO"/>
    <x v="242"/>
    <x v="1"/>
    <s v="2025-09"/>
    <x v="2"/>
    <s v="CELIO PIMENTA"/>
    <x v="187"/>
    <n v="0"/>
    <n v="0"/>
  </r>
  <r>
    <s v="044.126.379/0001-56"/>
    <x v="187"/>
    <s v="ALTERACAO RAMO DE ATIVIDADE"/>
    <x v="242"/>
    <x v="1"/>
    <s v="2025-09"/>
    <x v="2"/>
    <s v="CELIO PIMENTA"/>
    <x v="187"/>
    <n v="0"/>
    <n v="0"/>
  </r>
  <r>
    <s v="043.564.107/0001-75"/>
    <x v="283"/>
    <s v="ALTERACAO RAZAO SOCIAL"/>
    <x v="242"/>
    <x v="21"/>
    <s v="2025-09"/>
    <x v="2"/>
    <s v="CAIO"/>
    <x v="283"/>
    <n v="0"/>
    <n v="0"/>
  </r>
  <r>
    <s v="042.119.428/0001-06"/>
    <x v="247"/>
    <s v="INCLUSAO  ANOT.INADIMPLENCIA"/>
    <x v="242"/>
    <x v="31"/>
    <s v="2025-09"/>
    <x v="2"/>
    <s v="TIAGO NEVES"/>
    <x v="247"/>
    <n v="0"/>
    <n v="1"/>
  </r>
  <r>
    <s v="040.582.798/0001-41"/>
    <x v="144"/>
    <s v="EXCLUSAO  ANOT.INADIMPLENCIA"/>
    <x v="242"/>
    <x v="16"/>
    <s v="2025-09"/>
    <x v="2"/>
    <s v="SACADO"/>
    <x v="144"/>
    <n v="1"/>
    <n v="0"/>
  </r>
  <r>
    <s v="036.726.274/0001-00"/>
    <x v="133"/>
    <s v="INCL/EXCL ANOT.INADIMPLENCIA"/>
    <x v="242"/>
    <x v="1"/>
    <s v="2025-09"/>
    <x v="2"/>
    <s v="CELIO PIMENTA"/>
    <x v="133"/>
    <n v="1"/>
    <n v="1"/>
  </r>
  <r>
    <s v="057.698.087/0001-30"/>
    <x v="229"/>
    <s v="INCLUSAO  ANOT.INADIMPLENCIA"/>
    <x v="242"/>
    <x v="1"/>
    <s v="2025-09"/>
    <x v="2"/>
    <s v="CELIO PIMENTA"/>
    <x v="229"/>
    <n v="0"/>
    <n v="1"/>
  </r>
  <r>
    <s v="033.803.691/0001-10"/>
    <x v="103"/>
    <s v="INCLUSAO  ANOT.INADIMPLENCIA"/>
    <x v="242"/>
    <x v="0"/>
    <s v="2025-09"/>
    <x v="2"/>
    <s v="ADMINISTRAÇÃO"/>
    <x v="103"/>
    <n v="0"/>
    <n v="1"/>
  </r>
  <r>
    <s v="029.258.293/0001-93"/>
    <x v="245"/>
    <s v="ALTERACAO ENDERECO"/>
    <x v="242"/>
    <x v="3"/>
    <s v="2025-09"/>
    <x v="2"/>
    <s v="MARCUS VINICIUS "/>
    <x v="245"/>
    <n v="0"/>
    <n v="0"/>
  </r>
  <r>
    <s v="028.556.973/0001-20"/>
    <x v="118"/>
    <s v="ALTERACAO ENDERECO"/>
    <x v="242"/>
    <x v="1"/>
    <s v="2025-09"/>
    <x v="2"/>
    <s v="CELIO PIMENTA"/>
    <x v="118"/>
    <n v="0"/>
    <n v="0"/>
  </r>
  <r>
    <s v="028.511.223/0001-32"/>
    <x v="189"/>
    <s v="INCLUSAO  ANOT.INADIMPLENCIA"/>
    <x v="242"/>
    <x v="0"/>
    <s v="2025-09"/>
    <x v="2"/>
    <s v="ADMINISTRAÇÃO"/>
    <x v="189"/>
    <n v="0"/>
    <n v="1"/>
  </r>
  <r>
    <s v="027.180.131/0001-54"/>
    <x v="188"/>
    <s v="EXCLUSAO  ANOT.INADIMPLENCIA"/>
    <x v="242"/>
    <x v="9"/>
    <s v="2025-09"/>
    <x v="2"/>
    <s v="PRISCILA METZ"/>
    <x v="188"/>
    <n v="1"/>
    <n v="0"/>
  </r>
  <r>
    <s v="026.416.177/0001-67"/>
    <x v="130"/>
    <s v="INCL/EXCL ANOT.INADIMPLENCIA"/>
    <x v="242"/>
    <x v="3"/>
    <s v="2025-09"/>
    <x v="2"/>
    <s v="MARCUS VINICIUS "/>
    <x v="130"/>
    <n v="1"/>
    <n v="1"/>
  </r>
  <r>
    <s v="020.024.081/0001-77"/>
    <x v="177"/>
    <s v="EXCLUSAO  ANOT.INADIMPLENCIA"/>
    <x v="242"/>
    <x v="10"/>
    <s v="2025-09"/>
    <x v="2"/>
    <s v="ROGERIO "/>
    <x v="177"/>
    <n v="1"/>
    <n v="0"/>
  </r>
  <r>
    <s v="018.608.055/0001-44"/>
    <x v="131"/>
    <s v="ALTERACAO ENDERECO"/>
    <x v="242"/>
    <x v="3"/>
    <s v="2025-09"/>
    <x v="2"/>
    <s v="MARCUS VINICIUS "/>
    <x v="131"/>
    <n v="0"/>
    <n v="0"/>
  </r>
  <r>
    <s v="013.285.987/0001-80"/>
    <x v="278"/>
    <s v="ALTERACAO ENDERECO"/>
    <x v="242"/>
    <x v="0"/>
    <s v="2025-09"/>
    <x v="2"/>
    <s v="ADMINISTRAÇÃO"/>
    <x v="278"/>
    <n v="0"/>
    <n v="0"/>
  </r>
  <r>
    <s v="033.611.837/0001-26"/>
    <x v="212"/>
    <s v="INCLUSAO  ANOT.INADIMPLENCIA"/>
    <x v="242"/>
    <x v="10"/>
    <s v="2025-09"/>
    <x v="2"/>
    <s v="ROGERIO "/>
    <x v="212"/>
    <n v="0"/>
    <n v="1"/>
  </r>
  <r>
    <s v="058.450.437/0001-07"/>
    <x v="284"/>
    <s v="ALTERACAO ENDERECO"/>
    <x v="242"/>
    <x v="0"/>
    <s v="2025-09"/>
    <x v="2"/>
    <s v="ADMINISTRAÇÃO"/>
    <x v="284"/>
    <n v="0"/>
    <n v="0"/>
  </r>
  <r>
    <s v="003.590.360/0001-89"/>
    <x v="3"/>
    <s v="INCLUSAO  ANOT.INADIMPLENCIA"/>
    <x v="243"/>
    <x v="1"/>
    <s v="2025-09"/>
    <x v="2"/>
    <s v="CELIO PIMENTA"/>
    <x v="3"/>
    <n v="0"/>
    <n v="1"/>
  </r>
  <r>
    <s v="044.888.871/0001-69"/>
    <x v="106"/>
    <s v="INCLUSAO  ANOT.INADIMPLENCIA"/>
    <x v="243"/>
    <x v="12"/>
    <s v="2025-09"/>
    <x v="2"/>
    <s v="PROSPECTAR"/>
    <x v="106"/>
    <n v="0"/>
    <n v="1"/>
  </r>
  <r>
    <s v="043.515.558/0001-12"/>
    <x v="176"/>
    <s v="EXCLUSAO  ANOT.INADIMPLENCIA"/>
    <x v="243"/>
    <x v="10"/>
    <s v="2025-09"/>
    <x v="2"/>
    <s v="ROGERIO "/>
    <x v="176"/>
    <n v="1"/>
    <n v="0"/>
  </r>
  <r>
    <s v="040.582.798/0001-41"/>
    <x v="144"/>
    <s v="EXCLUSAO  ANOT.INADIMPLENCIA"/>
    <x v="243"/>
    <x v="16"/>
    <s v="2025-09"/>
    <x v="2"/>
    <s v="SACADO"/>
    <x v="144"/>
    <n v="1"/>
    <n v="0"/>
  </r>
  <r>
    <s v="039.438.917/0001-08"/>
    <x v="273"/>
    <s v="INCLUSAO  ANOT.INADIMPLENCIA"/>
    <x v="243"/>
    <x v="10"/>
    <s v="2025-09"/>
    <x v="2"/>
    <s v="ROGERIO "/>
    <x v="273"/>
    <n v="0"/>
    <n v="1"/>
  </r>
  <r>
    <s v="034.165.528/0001-32"/>
    <x v="256"/>
    <s v="EXCLUSAO  ANOT.INADIMPLENCIA"/>
    <x v="243"/>
    <x v="27"/>
    <s v="2025-09"/>
    <x v="2"/>
    <s v="ALISSON DE SOUZA LIMA"/>
    <x v="256"/>
    <n v="1"/>
    <n v="0"/>
  </r>
  <r>
    <s v="028.511.223/0001-32"/>
    <x v="189"/>
    <s v="INCLUSAO  ANOT.INADIMPLENCIA"/>
    <x v="243"/>
    <x v="0"/>
    <s v="2025-09"/>
    <x v="2"/>
    <s v="ADMINISTRAÇÃO"/>
    <x v="189"/>
    <n v="0"/>
    <n v="1"/>
  </r>
  <r>
    <s v="026.628.832/0001-40"/>
    <x v="244"/>
    <s v="INCLUSAO  ANOT.INADIMPLENCIA"/>
    <x v="243"/>
    <x v="27"/>
    <s v="2025-09"/>
    <x v="2"/>
    <s v="ALISSON DE SOUZA LIMA"/>
    <x v="244"/>
    <n v="0"/>
    <n v="1"/>
  </r>
  <r>
    <s v="023.637.987/0001-55"/>
    <x v="20"/>
    <s v="EXCLUSAO  ANOT.INADIMPLENCIA"/>
    <x v="243"/>
    <x v="5"/>
    <s v="2025-09"/>
    <x v="2"/>
    <s v="POENATELA"/>
    <x v="20"/>
    <n v="1"/>
    <n v="0"/>
  </r>
  <r>
    <s v="021.420.856/0001-96"/>
    <x v="129"/>
    <s v="EXCLUSAO  ANOT.INADIMPLENCIA"/>
    <x v="243"/>
    <x v="19"/>
    <s v="2025-09"/>
    <x v="2"/>
    <s v="JOSE ROBERTO"/>
    <x v="129"/>
    <n v="1"/>
    <n v="0"/>
  </r>
  <r>
    <s v="021.382.943/0001-04"/>
    <x v="205"/>
    <s v="EXCLUSAO  ANOT.INADIMPLENCIA"/>
    <x v="243"/>
    <x v="0"/>
    <s v="2025-09"/>
    <x v="2"/>
    <s v="ADMINISTRAÇÃO"/>
    <x v="205"/>
    <n v="1"/>
    <n v="0"/>
  </r>
  <r>
    <s v="014.178.148/0001-25"/>
    <x v="265"/>
    <s v="EXCLUSAO  ANOT.INADIMPLENCIA"/>
    <x v="243"/>
    <x v="29"/>
    <s v="2025-09"/>
    <x v="2"/>
    <s v="DALVA"/>
    <x v="265"/>
    <n v="1"/>
    <n v="0"/>
  </r>
  <r>
    <s v="013.258.863/0001-05"/>
    <x v="281"/>
    <s v="INCLUSAO  ANOT.INADIMPLENCIA"/>
    <x v="243"/>
    <x v="0"/>
    <s v="2025-09"/>
    <x v="2"/>
    <s v="ADMINISTRAÇÃO"/>
    <x v="281"/>
    <n v="0"/>
    <n v="1"/>
  </r>
  <r>
    <s v="011.173.099/0001-40"/>
    <x v="227"/>
    <s v="INCLUSAO  ANOT.INADIMPLENCIA"/>
    <x v="243"/>
    <x v="21"/>
    <s v="2025-09"/>
    <x v="2"/>
    <s v="CAIO"/>
    <x v="227"/>
    <n v="0"/>
    <n v="1"/>
  </r>
  <r>
    <s v="011.122.552/0001-99"/>
    <x v="59"/>
    <s v="EXCLUSAO  ANOT.INADIMPLENCIA"/>
    <x v="243"/>
    <x v="6"/>
    <s v="2025-09"/>
    <x v="2"/>
    <s v="RAFAEL PARISE"/>
    <x v="59"/>
    <n v="1"/>
    <n v="0"/>
  </r>
  <r>
    <s v="008.250.872/0001-10"/>
    <x v="121"/>
    <s v="INCLUSAO  ANOT.INADIMPLENCIA"/>
    <x v="243"/>
    <x v="6"/>
    <s v="2025-09"/>
    <x v="2"/>
    <s v="RAFAEL PARISE"/>
    <x v="121"/>
    <n v="0"/>
    <n v="1"/>
  </r>
  <r>
    <s v="005.997.418/0001-39"/>
    <x v="165"/>
    <s v="EXCLUSAO  ANOT.INADIMPLENCIA"/>
    <x v="243"/>
    <x v="6"/>
    <s v="2025-09"/>
    <x v="2"/>
    <s v="RAFAEL PARISE"/>
    <x v="165"/>
    <n v="1"/>
    <n v="0"/>
  </r>
  <r>
    <s v="004.622.554/0001-81"/>
    <x v="66"/>
    <s v="INCLUSAO  ANOT.INADIMPLENCIA"/>
    <x v="243"/>
    <x v="4"/>
    <s v="2025-09"/>
    <x v="2"/>
    <s v="NOELI SALETE"/>
    <x v="66"/>
    <n v="0"/>
    <n v="1"/>
  </r>
  <r>
    <s v="057.696.093/0001-58"/>
    <x v="206"/>
    <s v="INCLUSAO  ANOT.INADIMPLENCIA"/>
    <x v="243"/>
    <x v="1"/>
    <s v="2025-09"/>
    <x v="2"/>
    <s v="CELIO PIMENTA"/>
    <x v="206"/>
    <n v="0"/>
    <n v="1"/>
  </r>
  <r>
    <s v="071.350.797/0001-03"/>
    <x v="48"/>
    <s v="EXCLUSAO  ANOT.INADIMPLENCIA"/>
    <x v="243"/>
    <x v="10"/>
    <s v="2025-09"/>
    <x v="2"/>
    <s v="ROGERIO "/>
    <x v="48"/>
    <n v="1"/>
    <n v="0"/>
  </r>
  <r>
    <s v="004.126.524/0001-84"/>
    <x v="28"/>
    <s v="INCLUSAO  ANOT.INADIMPLENCIA"/>
    <x v="244"/>
    <x v="0"/>
    <s v="2025-09"/>
    <x v="2"/>
    <s v="ADMINISTRAÇÃO"/>
    <x v="28"/>
    <n v="0"/>
    <n v="1"/>
  </r>
  <r>
    <s v="044.470.678/0001-03"/>
    <x v="203"/>
    <s v="INCLUSAO  ANOT.INADIMPLENCIA"/>
    <x v="244"/>
    <x v="9"/>
    <s v="2025-09"/>
    <x v="2"/>
    <s v="PRISCILA METZ"/>
    <x v="203"/>
    <n v="0"/>
    <n v="1"/>
  </r>
  <r>
    <s v="042.119.428/0001-06"/>
    <x v="247"/>
    <s v="EXCLUSAO  ANOT.INADIMPLENCIA"/>
    <x v="244"/>
    <x v="31"/>
    <s v="2025-09"/>
    <x v="2"/>
    <s v="TIAGO NEVES"/>
    <x v="247"/>
    <n v="1"/>
    <n v="0"/>
  </r>
  <r>
    <s v="041.388.946/0001-54"/>
    <x v="175"/>
    <s v="INCLUSAO  ANOT.INADIMPLENCIA"/>
    <x v="244"/>
    <x v="1"/>
    <s v="2025-09"/>
    <x v="2"/>
    <s v="CELIO PIMENTA"/>
    <x v="175"/>
    <n v="0"/>
    <n v="1"/>
  </r>
  <r>
    <s v="039.438.917/0001-08"/>
    <x v="273"/>
    <s v="EXCLUSAO  ANOT.INADIMPLENCIA"/>
    <x v="244"/>
    <x v="10"/>
    <s v="2025-09"/>
    <x v="2"/>
    <s v="ROGERIO "/>
    <x v="273"/>
    <n v="1"/>
    <n v="0"/>
  </r>
  <r>
    <s v="036.726.274/0001-00"/>
    <x v="133"/>
    <s v="EXCLUSAO  ANOT.INADIMPLENCIA"/>
    <x v="244"/>
    <x v="1"/>
    <s v="2025-09"/>
    <x v="2"/>
    <s v="CELIO PIMENTA"/>
    <x v="133"/>
    <n v="1"/>
    <n v="0"/>
  </r>
  <r>
    <s v="034.165.528/0001-32"/>
    <x v="256"/>
    <s v="INCLUSAO  ANOT.INADIMPLENCIA"/>
    <x v="244"/>
    <x v="27"/>
    <s v="2025-09"/>
    <x v="2"/>
    <s v="ALISSON DE SOUZA LIMA"/>
    <x v="256"/>
    <n v="0"/>
    <n v="1"/>
  </r>
  <r>
    <s v="033.611.837/0001-26"/>
    <x v="212"/>
    <s v="INCLUSAO  ANOT.INADIMPLENCIA"/>
    <x v="244"/>
    <x v="10"/>
    <s v="2025-09"/>
    <x v="2"/>
    <s v="ROGERIO "/>
    <x v="212"/>
    <n v="0"/>
    <n v="1"/>
  </r>
  <r>
    <s v="028.764.312/0001-90"/>
    <x v="285"/>
    <s v="INCLUSAO  ANOT.INADIMPLENCIA"/>
    <x v="244"/>
    <x v="12"/>
    <s v="2025-09"/>
    <x v="2"/>
    <s v="PROSPECTAR"/>
    <x v="285"/>
    <n v="0"/>
    <n v="1"/>
  </r>
  <r>
    <s v="028.650.970/0001-51"/>
    <x v="166"/>
    <s v="EXCLUSAO  ANOT.INADIMPLENCIA"/>
    <x v="244"/>
    <x v="10"/>
    <s v="2025-09"/>
    <x v="2"/>
    <s v="ROGERIO "/>
    <x v="166"/>
    <n v="1"/>
    <n v="0"/>
  </r>
  <r>
    <s v="028.511.223/0001-32"/>
    <x v="189"/>
    <s v="INCLUSAO  ANOT.INADIMPLENCIA"/>
    <x v="244"/>
    <x v="0"/>
    <s v="2025-09"/>
    <x v="2"/>
    <s v="ADMINISTRAÇÃO"/>
    <x v="189"/>
    <n v="0"/>
    <n v="1"/>
  </r>
  <r>
    <s v="027.180.131/0001-54"/>
    <x v="188"/>
    <s v="INCLUSAO  ANOT.INADIMPLENCIA"/>
    <x v="244"/>
    <x v="9"/>
    <s v="2025-09"/>
    <x v="2"/>
    <s v="PRISCILA METZ"/>
    <x v="188"/>
    <n v="0"/>
    <n v="1"/>
  </r>
  <r>
    <s v="026.628.832/0001-40"/>
    <x v="244"/>
    <s v="INCLUSAO  ANOT.INADIMPLENCIA"/>
    <x v="244"/>
    <x v="27"/>
    <s v="2025-09"/>
    <x v="2"/>
    <s v="ALISSON DE SOUZA LIMA"/>
    <x v="244"/>
    <n v="0"/>
    <n v="1"/>
  </r>
  <r>
    <s v="022.998.836/0001-60"/>
    <x v="24"/>
    <s v="EXCLUSAO  ANOT.INADIMPLENCIA"/>
    <x v="244"/>
    <x v="0"/>
    <s v="2025-09"/>
    <x v="2"/>
    <s v="ADMINISTRAÇÃO"/>
    <x v="24"/>
    <n v="1"/>
    <n v="0"/>
  </r>
  <r>
    <s v="021.382.943/0001-04"/>
    <x v="205"/>
    <s v="INCL/EXCL ANOT.INADIMPLENCIA"/>
    <x v="244"/>
    <x v="0"/>
    <s v="2025-09"/>
    <x v="2"/>
    <s v="ADMINISTRAÇÃO"/>
    <x v="205"/>
    <n v="1"/>
    <n v="1"/>
  </r>
  <r>
    <s v="017.177.331/0001-02"/>
    <x v="259"/>
    <s v="INCLUSAO  ANOT.INADIMPLENCIA"/>
    <x v="244"/>
    <x v="13"/>
    <s v="2025-09"/>
    <x v="2"/>
    <s v="ANDERSON FRAGA"/>
    <x v="259"/>
    <n v="0"/>
    <n v="1"/>
  </r>
  <r>
    <s v="016.772.642/0001-49"/>
    <x v="69"/>
    <s v="INCLUSAO  ANOT.INADIMPLENCIA"/>
    <x v="244"/>
    <x v="0"/>
    <s v="2025-09"/>
    <x v="2"/>
    <s v="ADMINISTRAÇÃO"/>
    <x v="69"/>
    <n v="0"/>
    <n v="1"/>
  </r>
  <r>
    <s v="014.829.598/0001-30"/>
    <x v="31"/>
    <s v="INCLUSAO  ANOT.INADIMPLENCIA"/>
    <x v="244"/>
    <x v="9"/>
    <s v="2025-09"/>
    <x v="2"/>
    <s v="PRISCILA METZ"/>
    <x v="31"/>
    <n v="0"/>
    <n v="1"/>
  </r>
  <r>
    <s v="014.178.148/0001-25"/>
    <x v="265"/>
    <s v="EXCLUSAO  ANOT.INADIMPLENCIA"/>
    <x v="244"/>
    <x v="29"/>
    <s v="2025-09"/>
    <x v="2"/>
    <s v="DALVA"/>
    <x v="265"/>
    <n v="1"/>
    <n v="0"/>
  </r>
  <r>
    <s v="013.285.987/0001-80"/>
    <x v="278"/>
    <s v="INCLUSAO  ANOT.INADIMPLENCIA"/>
    <x v="244"/>
    <x v="0"/>
    <s v="2025-09"/>
    <x v="2"/>
    <s v="ADMINISTRAÇÃO"/>
    <x v="278"/>
    <n v="0"/>
    <n v="1"/>
  </r>
  <r>
    <s v="013.258.863/0001-05"/>
    <x v="281"/>
    <s v="EXCLUSAO  ANOT.INADIMPLENCIA"/>
    <x v="244"/>
    <x v="0"/>
    <s v="2025-09"/>
    <x v="2"/>
    <s v="ADMINISTRAÇÃO"/>
    <x v="281"/>
    <n v="1"/>
    <n v="0"/>
  </r>
  <r>
    <s v="012.645.814/0001-62"/>
    <x v="217"/>
    <s v="EXCLUSAO  ANOT.INADIMPLENCIA"/>
    <x v="244"/>
    <x v="21"/>
    <s v="2025-09"/>
    <x v="2"/>
    <s v="CAIO"/>
    <x v="217"/>
    <n v="1"/>
    <n v="0"/>
  </r>
  <r>
    <s v="009.674.456/0001-01"/>
    <x v="233"/>
    <s v="EXCLUSAO  ANOT.INADIMPLENCIA"/>
    <x v="244"/>
    <x v="6"/>
    <s v="2025-09"/>
    <x v="2"/>
    <s v="RAFAEL PARISE"/>
    <x v="233"/>
    <n v="1"/>
    <n v="0"/>
  </r>
  <r>
    <s v="007.272.884/0001-82"/>
    <x v="276"/>
    <s v="EXCLUSAO  ANOT.INADIMPLENCIA"/>
    <x v="244"/>
    <x v="10"/>
    <s v="2025-09"/>
    <x v="2"/>
    <s v="ROGERIO "/>
    <x v="276"/>
    <n v="1"/>
    <n v="0"/>
  </r>
  <r>
    <s v="005.997.418/0001-39"/>
    <x v="165"/>
    <s v="EXCLUSAO  ANOT.INADIMPLENCIA"/>
    <x v="244"/>
    <x v="6"/>
    <s v="2025-09"/>
    <x v="2"/>
    <s v="RAFAEL PARISE"/>
    <x v="165"/>
    <n v="1"/>
    <n v="0"/>
  </r>
  <r>
    <s v="004.323.643/0001-27"/>
    <x v="221"/>
    <s v="INCLUSAO  ANOT.INADIMPLENCIA"/>
    <x v="244"/>
    <x v="0"/>
    <s v="2025-09"/>
    <x v="2"/>
    <s v="ADMINISTRAÇÃO"/>
    <x v="221"/>
    <n v="0"/>
    <n v="1"/>
  </r>
  <r>
    <s v="047.635.671/0001-92"/>
    <x v="143"/>
    <s v="INCLUSAO  ANOT.INADIMPLENCIA"/>
    <x v="244"/>
    <x v="1"/>
    <s v="2025-09"/>
    <x v="2"/>
    <s v="CELIO PIMENTA"/>
    <x v="143"/>
    <n v="0"/>
    <n v="1"/>
  </r>
  <r>
    <s v="052.755.043/0001-80"/>
    <x v="237"/>
    <s v="INCLUSAO  ANOT.INADIMPLENCIA"/>
    <x v="244"/>
    <x v="3"/>
    <s v="2025-09"/>
    <x v="2"/>
    <s v="MARCUS VINICIUS "/>
    <x v="237"/>
    <n v="0"/>
    <n v="1"/>
  </r>
  <r>
    <s v="003.590.360/0001-89"/>
    <x v="3"/>
    <s v="INCLUSAO  ANOT.INADIMPLENCIA"/>
    <x v="245"/>
    <x v="1"/>
    <s v="2025-09"/>
    <x v="3"/>
    <s v="CELIO PIMENTA"/>
    <x v="3"/>
    <n v="0"/>
    <n v="1"/>
  </r>
  <r>
    <s v="052.755.043/0001-80"/>
    <x v="237"/>
    <s v="INCLUSAO  ANOT.INADIMPLENCIA"/>
    <x v="245"/>
    <x v="3"/>
    <s v="2025-09"/>
    <x v="3"/>
    <s v="MARCUS VINICIUS "/>
    <x v="237"/>
    <n v="0"/>
    <n v="1"/>
  </r>
  <r>
    <s v="047.635.671/0001-92"/>
    <x v="143"/>
    <s v="INCLUSAO  ANOT.INADIMPLENCIA"/>
    <x v="245"/>
    <x v="1"/>
    <s v="2025-09"/>
    <x v="3"/>
    <s v="CELIO PIMENTA"/>
    <x v="143"/>
    <n v="0"/>
    <n v="1"/>
  </r>
  <r>
    <s v="042.119.428/0001-06"/>
    <x v="247"/>
    <s v="EXCLUSAO  ANOT.INADIMPLENCIA"/>
    <x v="245"/>
    <x v="31"/>
    <s v="2025-09"/>
    <x v="3"/>
    <s v="TIAGO NEVES"/>
    <x v="247"/>
    <n v="1"/>
    <n v="0"/>
  </r>
  <r>
    <s v="040.582.798/0001-41"/>
    <x v="144"/>
    <s v="INCLUSAO  ANOT.INADIMPLENCIA"/>
    <x v="245"/>
    <x v="16"/>
    <s v="2025-09"/>
    <x v="3"/>
    <s v="SACADO"/>
    <x v="144"/>
    <n v="0"/>
    <n v="1"/>
  </r>
  <r>
    <s v="038.007.528/0001-65"/>
    <x v="277"/>
    <s v="INCLUSAO  ANOT.INADIMPLENCIA"/>
    <x v="245"/>
    <x v="9"/>
    <s v="2025-09"/>
    <x v="3"/>
    <s v="PRISCILA METZ"/>
    <x v="277"/>
    <n v="0"/>
    <n v="1"/>
  </r>
  <r>
    <s v="037.828.375/0001-54"/>
    <x v="39"/>
    <s v="EXCLUSAO  ANOT.INADIMPLENCIA"/>
    <x v="245"/>
    <x v="5"/>
    <s v="2025-09"/>
    <x v="3"/>
    <s v="POENATELA"/>
    <x v="39"/>
    <n v="1"/>
    <n v="0"/>
  </r>
  <r>
    <s v="036.726.274/0001-00"/>
    <x v="133"/>
    <s v="INCLUSAO  ANOT.INADIMPLENCIA"/>
    <x v="245"/>
    <x v="1"/>
    <s v="2025-09"/>
    <x v="3"/>
    <s v="CELIO PIMENTA"/>
    <x v="133"/>
    <n v="0"/>
    <n v="1"/>
  </r>
  <r>
    <s v="035.797.639/0001-24"/>
    <x v="250"/>
    <s v="INCLUSAO  ANOT.INADIMPLENCIA"/>
    <x v="245"/>
    <x v="9"/>
    <s v="2025-09"/>
    <x v="3"/>
    <s v="PRISCILA METZ"/>
    <x v="250"/>
    <n v="0"/>
    <n v="1"/>
  </r>
  <r>
    <s v="032.213.847/0001-40"/>
    <x v="198"/>
    <s v="INCLUSAO  ANOT.INADIMPLENCIA"/>
    <x v="245"/>
    <x v="9"/>
    <s v="2025-09"/>
    <x v="3"/>
    <s v="PRISCILA METZ"/>
    <x v="198"/>
    <n v="0"/>
    <n v="1"/>
  </r>
  <r>
    <s v="028.511.223/0001-32"/>
    <x v="189"/>
    <s v="INCLUSAO  ANOT.INADIMPLENCIA"/>
    <x v="245"/>
    <x v="0"/>
    <s v="2025-09"/>
    <x v="3"/>
    <s v="ADMINISTRAÇÃO"/>
    <x v="189"/>
    <n v="0"/>
    <n v="1"/>
  </r>
  <r>
    <s v="027.180.131/0001-54"/>
    <x v="188"/>
    <s v="INCL/EXCL ANOT.INADIMPLENCIA"/>
    <x v="245"/>
    <x v="9"/>
    <s v="2025-09"/>
    <x v="3"/>
    <s v="PRISCILA METZ"/>
    <x v="188"/>
    <n v="1"/>
    <n v="1"/>
  </r>
  <r>
    <s v="026.628.832/0001-40"/>
    <x v="244"/>
    <s v="INCLUSAO  ANOT.INADIMPLENCIA"/>
    <x v="245"/>
    <x v="27"/>
    <s v="2025-09"/>
    <x v="3"/>
    <s v="ALISSON DE SOUZA LIMA"/>
    <x v="244"/>
    <n v="0"/>
    <n v="1"/>
  </r>
  <r>
    <s v="057.696.093/0001-58"/>
    <x v="206"/>
    <s v="INCLUSAO  ANOT.INADIMPLENCIA"/>
    <x v="245"/>
    <x v="1"/>
    <s v="2025-09"/>
    <x v="3"/>
    <s v="CELIO PIMENTA"/>
    <x v="206"/>
    <n v="0"/>
    <n v="1"/>
  </r>
  <r>
    <s v="021.734.108/0001-88"/>
    <x v="41"/>
    <s v="INCLUSAO  ANOT.INADIMPLENCIA"/>
    <x v="245"/>
    <x v="0"/>
    <s v="2025-09"/>
    <x v="3"/>
    <s v="ADMINISTRAÇÃO"/>
    <x v="41"/>
    <n v="0"/>
    <n v="1"/>
  </r>
  <r>
    <s v="020.309.962/0001-34"/>
    <x v="191"/>
    <s v="INCLUSAO  ANOT.INADIMPLENCIA"/>
    <x v="245"/>
    <x v="12"/>
    <s v="2025-09"/>
    <x v="3"/>
    <s v="PROSPECTAR"/>
    <x v="191"/>
    <n v="0"/>
    <n v="1"/>
  </r>
  <r>
    <s v="020.024.081/0001-77"/>
    <x v="177"/>
    <s v="INCL/EXCL ANOT.INADIMPLENCIA"/>
    <x v="245"/>
    <x v="10"/>
    <s v="2025-09"/>
    <x v="3"/>
    <s v="ROGERIO "/>
    <x v="177"/>
    <n v="1"/>
    <n v="1"/>
  </r>
  <r>
    <s v="014.829.598/0001-30"/>
    <x v="31"/>
    <s v="INCLUSAO  ANOT.INADIMPLENCIA"/>
    <x v="245"/>
    <x v="9"/>
    <s v="2025-09"/>
    <x v="3"/>
    <s v="PRISCILA METZ"/>
    <x v="31"/>
    <n v="0"/>
    <n v="1"/>
  </r>
  <r>
    <s v="013.258.863/0001-05"/>
    <x v="281"/>
    <s v="INCLUSAO  ANOT.INADIMPLENCIA"/>
    <x v="245"/>
    <x v="0"/>
    <s v="2025-09"/>
    <x v="3"/>
    <s v="ADMINISTRAÇÃO"/>
    <x v="281"/>
    <n v="0"/>
    <n v="1"/>
  </r>
  <r>
    <s v="011.655.076/0001-71"/>
    <x v="263"/>
    <s v="INCLUSAO  ANOT.INADIMPLENCIA"/>
    <x v="245"/>
    <x v="21"/>
    <s v="2025-09"/>
    <x v="3"/>
    <s v="CAIO"/>
    <x v="263"/>
    <n v="0"/>
    <n v="1"/>
  </r>
  <r>
    <s v="011.122.552/0001-99"/>
    <x v="59"/>
    <s v="INCL/EXCL ANOT.INADIMPLENCIA"/>
    <x v="245"/>
    <x v="6"/>
    <s v="2025-09"/>
    <x v="3"/>
    <s v="RAFAEL PARISE"/>
    <x v="59"/>
    <n v="1"/>
    <n v="1"/>
  </r>
  <r>
    <s v="009.674.456/0001-01"/>
    <x v="233"/>
    <s v="EXCLUSAO  ANOT.INADIMPLENCIA"/>
    <x v="245"/>
    <x v="6"/>
    <s v="2025-09"/>
    <x v="3"/>
    <s v="RAFAEL PARISE"/>
    <x v="233"/>
    <n v="1"/>
    <n v="0"/>
  </r>
  <r>
    <s v="007.272.884/0001-82"/>
    <x v="276"/>
    <s v="INCLUSAO  ANOT.INADIMPLENCIA"/>
    <x v="245"/>
    <x v="10"/>
    <s v="2025-09"/>
    <x v="3"/>
    <s v="ROGERIO "/>
    <x v="276"/>
    <n v="0"/>
    <n v="1"/>
  </r>
  <r>
    <s v="005.374.432/0001-86"/>
    <x v="222"/>
    <s v="INCLUSAO  ANOT.INADIMPLENCIA"/>
    <x v="245"/>
    <x v="29"/>
    <s v="2025-09"/>
    <x v="3"/>
    <s v="DALVA"/>
    <x v="222"/>
    <n v="0"/>
    <n v="1"/>
  </r>
  <r>
    <s v="005.136.389/0001-10"/>
    <x v="274"/>
    <s v="INCLUSAO  ANOT.INADIMPLENCIA"/>
    <x v="245"/>
    <x v="0"/>
    <s v="2025-09"/>
    <x v="3"/>
    <s v="ADMINISTRAÇÃO"/>
    <x v="274"/>
    <n v="0"/>
    <n v="1"/>
  </r>
  <r>
    <s v="004.323.643/0001-27"/>
    <x v="221"/>
    <s v="INCL/EXCL ANOT.INADIMPLENCIA"/>
    <x v="245"/>
    <x v="0"/>
    <s v="2025-09"/>
    <x v="3"/>
    <s v="ADMINISTRAÇÃO"/>
    <x v="221"/>
    <n v="1"/>
    <n v="1"/>
  </r>
  <r>
    <s v="004.126.524/0001-84"/>
    <x v="28"/>
    <s v="INCLUSAO  ANOT.INADIMPLENCIA"/>
    <x v="245"/>
    <x v="0"/>
    <s v="2025-09"/>
    <x v="3"/>
    <s v="ADMINISTRAÇÃO"/>
    <x v="28"/>
    <n v="0"/>
    <n v="1"/>
  </r>
  <r>
    <s v="021.382.943/0001-04"/>
    <x v="205"/>
    <s v="INCLUSAO  ANOT.INADIMPLENCIA"/>
    <x v="245"/>
    <x v="0"/>
    <s v="2025-09"/>
    <x v="3"/>
    <s v="ADMINISTRAÇÃO"/>
    <x v="205"/>
    <n v="0"/>
    <n v="1"/>
  </r>
  <r>
    <s v="057.698.087/0001-30"/>
    <x v="229"/>
    <s v="INCLUSAO  ANOT.INADIMPLENCIA"/>
    <x v="245"/>
    <x v="1"/>
    <s v="2025-09"/>
    <x v="3"/>
    <s v="CELIO PIMENTA"/>
    <x v="229"/>
    <n v="0"/>
    <n v="1"/>
  </r>
  <r>
    <s v="002.862.437/0001-60"/>
    <x v="220"/>
    <s v="INCLUSAO  ANOT.INADIMPLENCIA"/>
    <x v="246"/>
    <x v="21"/>
    <s v="2025-09"/>
    <x v="3"/>
    <s v="CAIO"/>
    <x v="220"/>
    <n v="0"/>
    <n v="1"/>
  </r>
  <r>
    <s v="047.635.671/0001-92"/>
    <x v="143"/>
    <s v="INCLUSAO  ANOT.INADIMPLENCIA"/>
    <x v="246"/>
    <x v="1"/>
    <s v="2025-09"/>
    <x v="3"/>
    <s v="CELIO PIMENTA"/>
    <x v="143"/>
    <n v="0"/>
    <n v="1"/>
  </r>
  <r>
    <s v="044.470.678/0001-03"/>
    <x v="203"/>
    <s v="INCLUSAO  ANOT.INADIMPLENCIA"/>
    <x v="246"/>
    <x v="9"/>
    <s v="2025-09"/>
    <x v="3"/>
    <s v="PRISCILA METZ"/>
    <x v="203"/>
    <n v="0"/>
    <n v="1"/>
  </r>
  <r>
    <s v="044.073.794/0001-99"/>
    <x v="280"/>
    <s v="INCLUSAO  ANOT.INADIMPLENCIA"/>
    <x v="246"/>
    <x v="27"/>
    <s v="2025-09"/>
    <x v="3"/>
    <s v="ALISSON DE SOUZA LIMA"/>
    <x v="280"/>
    <n v="0"/>
    <n v="1"/>
  </r>
  <r>
    <s v="043.515.558/0001-12"/>
    <x v="176"/>
    <s v="INCLUSAO  ANOT.INADIMPLENCIA"/>
    <x v="246"/>
    <x v="10"/>
    <s v="2025-09"/>
    <x v="3"/>
    <s v="ROGERIO "/>
    <x v="176"/>
    <n v="0"/>
    <n v="1"/>
  </r>
  <r>
    <s v="042.276.517/0001-58"/>
    <x v="122"/>
    <s v="INCLUSAO  ANOT.INADIMPLENCIA"/>
    <x v="246"/>
    <x v="10"/>
    <s v="2025-09"/>
    <x v="3"/>
    <s v="ROGERIO "/>
    <x v="122"/>
    <n v="0"/>
    <n v="1"/>
  </r>
  <r>
    <s v="042.119.428/0001-06"/>
    <x v="247"/>
    <s v="INCLUSAO  ANOT.INADIMPLENCIA"/>
    <x v="246"/>
    <x v="31"/>
    <s v="2025-09"/>
    <x v="3"/>
    <s v="TIAGO NEVES"/>
    <x v="247"/>
    <n v="0"/>
    <n v="1"/>
  </r>
  <r>
    <s v="041.388.946/0001-54"/>
    <x v="175"/>
    <s v="INCLUSAO  ANOT.INADIMPLENCIA"/>
    <x v="246"/>
    <x v="1"/>
    <s v="2025-09"/>
    <x v="3"/>
    <s v="CELIO PIMENTA"/>
    <x v="175"/>
    <n v="0"/>
    <n v="1"/>
  </r>
  <r>
    <s v="038.007.528/0001-65"/>
    <x v="277"/>
    <s v="INCLUSAO  ANOT.INADIMPLENCIA"/>
    <x v="246"/>
    <x v="9"/>
    <s v="2025-09"/>
    <x v="3"/>
    <s v="PRISCILA METZ"/>
    <x v="277"/>
    <n v="0"/>
    <n v="1"/>
  </r>
  <r>
    <s v="036.726.274/0001-00"/>
    <x v="133"/>
    <s v="EXCLUSAO  ANOT.INADIMPLENCIA"/>
    <x v="246"/>
    <x v="1"/>
    <s v="2025-09"/>
    <x v="3"/>
    <s v="CELIO PIMENTA"/>
    <x v="133"/>
    <n v="1"/>
    <n v="0"/>
  </r>
  <r>
    <s v="034.165.528/0001-32"/>
    <x v="256"/>
    <s v="INCL/EXCL ANOT.INADIMPLENCIA"/>
    <x v="246"/>
    <x v="27"/>
    <s v="2025-09"/>
    <x v="3"/>
    <s v="ALISSON DE SOUZA LIMA"/>
    <x v="256"/>
    <n v="1"/>
    <n v="1"/>
  </r>
  <r>
    <s v="033.281.410/0001-07"/>
    <x v="242"/>
    <s v="INCLUSAO  ANOT.INADIMPLENCIA"/>
    <x v="246"/>
    <x v="29"/>
    <s v="2025-09"/>
    <x v="3"/>
    <s v="DALVA"/>
    <x v="242"/>
    <n v="0"/>
    <n v="1"/>
  </r>
  <r>
    <s v="028.511.223/0001-32"/>
    <x v="189"/>
    <s v="INCLUSAO  ANOT.INADIMPLENCIA"/>
    <x v="246"/>
    <x v="0"/>
    <s v="2025-09"/>
    <x v="3"/>
    <s v="ADMINISTRAÇÃO"/>
    <x v="189"/>
    <n v="0"/>
    <n v="1"/>
  </r>
  <r>
    <s v="028.393.466/0001-13"/>
    <x v="167"/>
    <s v="INCLUSAO  ANOT.INADIMPLENCIA"/>
    <x v="246"/>
    <x v="12"/>
    <s v="2025-09"/>
    <x v="3"/>
    <s v="PROSPECTAR"/>
    <x v="167"/>
    <n v="0"/>
    <n v="1"/>
  </r>
  <r>
    <s v="027.180.131/0001-54"/>
    <x v="188"/>
    <s v="INCLUSAO  ANOT.INADIMPLENCIA"/>
    <x v="246"/>
    <x v="9"/>
    <s v="2025-09"/>
    <x v="3"/>
    <s v="PRISCILA METZ"/>
    <x v="188"/>
    <n v="0"/>
    <n v="1"/>
  </r>
  <r>
    <s v="026.628.832/0001-40"/>
    <x v="244"/>
    <s v="INCLUSAO  ANOT.INADIMPLENCIA"/>
    <x v="246"/>
    <x v="27"/>
    <s v="2025-09"/>
    <x v="3"/>
    <s v="ALISSON DE SOUZA LIMA"/>
    <x v="244"/>
    <n v="0"/>
    <n v="1"/>
  </r>
  <r>
    <s v="021.382.943/0001-04"/>
    <x v="205"/>
    <s v="INCLUSAO  ANOT.INADIMPLENCIA"/>
    <x v="246"/>
    <x v="0"/>
    <s v="2025-09"/>
    <x v="3"/>
    <s v="ADMINISTRAÇÃO"/>
    <x v="205"/>
    <n v="0"/>
    <n v="1"/>
  </r>
  <r>
    <s v="014.829.598/0001-30"/>
    <x v="31"/>
    <s v="INCLUSAO  ANOT.INADIMPLENCIA"/>
    <x v="246"/>
    <x v="9"/>
    <s v="2025-09"/>
    <x v="3"/>
    <s v="PRISCILA METZ"/>
    <x v="31"/>
    <n v="0"/>
    <n v="1"/>
  </r>
  <r>
    <s v="011.122.552/0001-99"/>
    <x v="59"/>
    <s v="INCLUSAO  ANOT.INADIMPLENCIA"/>
    <x v="246"/>
    <x v="6"/>
    <s v="2025-09"/>
    <x v="3"/>
    <s v="RAFAEL PARISE"/>
    <x v="59"/>
    <n v="0"/>
    <n v="1"/>
  </r>
  <r>
    <s v="009.674.456/0001-01"/>
    <x v="233"/>
    <s v="INCLUSAO  ANOT.INADIMPLENCIA"/>
    <x v="246"/>
    <x v="6"/>
    <s v="2025-09"/>
    <x v="3"/>
    <s v="RAFAEL PARISE"/>
    <x v="233"/>
    <n v="0"/>
    <n v="1"/>
  </r>
  <r>
    <s v="007.561.436/0001-07"/>
    <x v="34"/>
    <s v="INCLUSAO  ANOT.INADIMPLENCIA"/>
    <x v="246"/>
    <x v="12"/>
    <s v="2025-09"/>
    <x v="3"/>
    <s v="PROSPECTAR"/>
    <x v="34"/>
    <n v="0"/>
    <n v="1"/>
  </r>
  <r>
    <s v="007.272.884/0001-82"/>
    <x v="276"/>
    <s v="INCL/EXCL ANOT.INADIMPLENCIA"/>
    <x v="246"/>
    <x v="10"/>
    <s v="2025-09"/>
    <x v="3"/>
    <s v="ROGERIO "/>
    <x v="276"/>
    <n v="1"/>
    <n v="1"/>
  </r>
  <r>
    <s v="004.126.524/0001-84"/>
    <x v="28"/>
    <s v="INCLUSAO  ANOT.INADIMPLENCIA"/>
    <x v="246"/>
    <x v="0"/>
    <s v="2025-09"/>
    <x v="3"/>
    <s v="ADMINISTRAÇÃO"/>
    <x v="28"/>
    <n v="0"/>
    <n v="1"/>
  </r>
  <r>
    <s v="003.590.360/0001-89"/>
    <x v="3"/>
    <s v="EXCLUSAO  ANOT.INADIMPLENCIA"/>
    <x v="246"/>
    <x v="1"/>
    <s v="2025-09"/>
    <x v="3"/>
    <s v="CELIO PIMENTA"/>
    <x v="3"/>
    <n v="1"/>
    <n v="0"/>
  </r>
  <r>
    <s v="050.164.951/0001-74"/>
    <x v="51"/>
    <s v="INCLUSAO  ANOT.INADIMPLENCIA"/>
    <x v="246"/>
    <x v="0"/>
    <s v="2025-09"/>
    <x v="3"/>
    <s v="ADMINISTRAÇÃO"/>
    <x v="51"/>
    <n v="0"/>
    <n v="1"/>
  </r>
  <r>
    <s v="057.696.093/0001-58"/>
    <x v="206"/>
    <s v="INCLUSAO  ANOT.INADIMPLENCIA"/>
    <x v="246"/>
    <x v="1"/>
    <s v="2025-09"/>
    <x v="3"/>
    <s v="CELIO PIMENTA"/>
    <x v="206"/>
    <n v="0"/>
    <n v="1"/>
  </r>
  <r>
    <s v="007.272.884/0001-82"/>
    <x v="276"/>
    <s v="EXCLUSAO  ANOT.INADIMPLENCIA"/>
    <x v="247"/>
    <x v="10"/>
    <s v="2025-09"/>
    <x v="3"/>
    <s v="ROGERIO "/>
    <x v="276"/>
    <n v="1"/>
    <n v="0"/>
  </r>
  <r>
    <s v="008.235.193/0001-71"/>
    <x v="282"/>
    <s v="EXCLUSAO  ANOT.INADIMPLENCIA"/>
    <x v="247"/>
    <x v="37"/>
    <s v="2025-09"/>
    <x v="3"/>
    <s v="STELLA PURRI BRANT"/>
    <x v="282"/>
    <n v="1"/>
    <n v="0"/>
  </r>
  <r>
    <s v="021.420.856/0001-96"/>
    <x v="129"/>
    <s v="EXCLUSAO  ANOT.INADIMPLENCIA"/>
    <x v="247"/>
    <x v="19"/>
    <s v="2025-09"/>
    <x v="3"/>
    <s v="JOSE ROBERTO"/>
    <x v="129"/>
    <n v="1"/>
    <n v="0"/>
  </r>
  <r>
    <s v="026.628.832/0001-40"/>
    <x v="244"/>
    <s v="INCLUSAO  ANOT.INADIMPLENCIA"/>
    <x v="247"/>
    <x v="27"/>
    <s v="2025-09"/>
    <x v="3"/>
    <s v="ALISSON DE SOUZA LIMA"/>
    <x v="244"/>
    <n v="0"/>
    <n v="1"/>
  </r>
  <r>
    <s v="027.180.131/0001-54"/>
    <x v="188"/>
    <s v="INCL/EXCL ANOT.INADIMPLENCIA"/>
    <x v="247"/>
    <x v="9"/>
    <s v="2025-09"/>
    <x v="3"/>
    <s v="PRISCILA METZ"/>
    <x v="188"/>
    <n v="1"/>
    <n v="1"/>
  </r>
  <r>
    <s v="028.511.223/0001-32"/>
    <x v="189"/>
    <s v="INCLUSAO  ANOT.INADIMPLENCIA"/>
    <x v="247"/>
    <x v="0"/>
    <s v="2025-09"/>
    <x v="3"/>
    <s v="ADMINISTRAÇÃO"/>
    <x v="189"/>
    <n v="0"/>
    <n v="1"/>
  </r>
  <r>
    <s v="033.281.410/0001-07"/>
    <x v="242"/>
    <s v="INCLUSAO  ANOT.INADIMPLENCIA"/>
    <x v="247"/>
    <x v="29"/>
    <s v="2025-09"/>
    <x v="3"/>
    <s v="DALVA"/>
    <x v="242"/>
    <n v="0"/>
    <n v="1"/>
  </r>
  <r>
    <s v="037.828.375/0001-54"/>
    <x v="39"/>
    <s v="EXCLUSAO  ANOT.INADIMPLENCIA"/>
    <x v="247"/>
    <x v="5"/>
    <s v="2025-09"/>
    <x v="3"/>
    <s v="POENATELA"/>
    <x v="39"/>
    <n v="1"/>
    <n v="0"/>
  </r>
  <r>
    <s v="040.582.798/0001-41"/>
    <x v="144"/>
    <s v="EXCLUSAO  ANOT.INADIMPLENCIA"/>
    <x v="247"/>
    <x v="16"/>
    <s v="2025-09"/>
    <x v="3"/>
    <s v="SACADO"/>
    <x v="144"/>
    <n v="1"/>
    <n v="0"/>
  </r>
  <r>
    <s v="042.119.428/0001-06"/>
    <x v="247"/>
    <s v="INCLUSAO  ANOT.INADIMPLENCIA"/>
    <x v="247"/>
    <x v="31"/>
    <s v="2025-09"/>
    <x v="3"/>
    <s v="TIAGO NEVES"/>
    <x v="247"/>
    <n v="0"/>
    <n v="1"/>
  </r>
  <r>
    <s v="055.979.736/0001-45"/>
    <x v="63"/>
    <s v="INCLUSAO  ANOT.INADIMPLENCIA"/>
    <x v="247"/>
    <x v="16"/>
    <s v="2025-09"/>
    <x v="3"/>
    <s v="SACADO"/>
    <x v="63"/>
    <n v="0"/>
    <n v="1"/>
  </r>
  <r>
    <s v="057.696.093/0001-58"/>
    <x v="206"/>
    <s v="INCLUSAO  ANOT.INADIMPLENCIA"/>
    <x v="247"/>
    <x v="1"/>
    <s v="2025-09"/>
    <x v="3"/>
    <s v="CELIO PIMENTA"/>
    <x v="206"/>
    <n v="0"/>
    <n v="1"/>
  </r>
  <r>
    <s v="071.350.797/0001-03"/>
    <x v="48"/>
    <s v="INCLUSAO  ANOT.INADIMPLENCIA"/>
    <x v="247"/>
    <x v="10"/>
    <s v="2025-09"/>
    <x v="3"/>
    <s v="ROGERIO "/>
    <x v="48"/>
    <n v="0"/>
    <n v="1"/>
  </r>
  <r>
    <s v="004.126.524/0001-84"/>
    <x v="28"/>
    <s v="INCLUSAO  ANOT.INADIMPLENCIA"/>
    <x v="248"/>
    <x v="0"/>
    <s v="2025-09"/>
    <x v="3"/>
    <s v="ADMINISTRAÇÃO"/>
    <x v="28"/>
    <n v="0"/>
    <n v="1"/>
  </r>
  <r>
    <s v="005.136.389/0001-10"/>
    <x v="274"/>
    <s v="INCLUSAO  ANOT.INADIMPLENCIA"/>
    <x v="248"/>
    <x v="0"/>
    <s v="2025-09"/>
    <x v="3"/>
    <s v="ADMINISTRAÇÃO"/>
    <x v="274"/>
    <n v="0"/>
    <n v="1"/>
  </r>
  <r>
    <s v="009.674.456/0001-01"/>
    <x v="233"/>
    <s v="EXCLUSAO  ANOT.INADIMPLENCIA"/>
    <x v="248"/>
    <x v="6"/>
    <s v="2025-09"/>
    <x v="3"/>
    <s v="RAFAEL PARISE"/>
    <x v="233"/>
    <n v="1"/>
    <n v="0"/>
  </r>
  <r>
    <s v="014.178.148/0001-25"/>
    <x v="265"/>
    <s v="INCLUSAO  ANOT.INADIMPLENCIA"/>
    <x v="248"/>
    <x v="29"/>
    <s v="2025-09"/>
    <x v="3"/>
    <s v="DALVA"/>
    <x v="265"/>
    <n v="0"/>
    <n v="1"/>
  </r>
  <r>
    <s v="014.829.598/0001-30"/>
    <x v="31"/>
    <s v="INCLUSAO  ANOT.INADIMPLENCIA"/>
    <x v="248"/>
    <x v="9"/>
    <s v="2025-09"/>
    <x v="3"/>
    <s v="PRISCILA METZ"/>
    <x v="31"/>
    <n v="0"/>
    <n v="1"/>
  </r>
  <r>
    <s v="021.382.943/0001-04"/>
    <x v="205"/>
    <s v="EXCLUSAO  ANOT.INADIMPLENCIA"/>
    <x v="248"/>
    <x v="0"/>
    <s v="2025-09"/>
    <x v="3"/>
    <s v="ADMINISTRAÇÃO"/>
    <x v="205"/>
    <n v="1"/>
    <n v="0"/>
  </r>
  <r>
    <s v="033.803.691/0001-10"/>
    <x v="103"/>
    <s v="INCLUSAO  ANOT.INADIMPLENCIA"/>
    <x v="248"/>
    <x v="0"/>
    <s v="2025-09"/>
    <x v="3"/>
    <s v="ADMINISTRAÇÃO"/>
    <x v="103"/>
    <n v="0"/>
    <n v="1"/>
  </r>
  <r>
    <s v="034.165.528/0001-32"/>
    <x v="256"/>
    <s v="EXCLUSAO  ANOT.INADIMPLENCIA"/>
    <x v="248"/>
    <x v="27"/>
    <s v="2025-09"/>
    <x v="3"/>
    <s v="ALISSON DE SOUZA LIMA"/>
    <x v="256"/>
    <n v="1"/>
    <n v="0"/>
  </r>
  <r>
    <s v="042.119.428/0001-06"/>
    <x v="247"/>
    <s v="INCLUSAO  ANOT.INADIMPLENCIA"/>
    <x v="248"/>
    <x v="31"/>
    <s v="2025-09"/>
    <x v="3"/>
    <s v="TIAGO NEVES"/>
    <x v="247"/>
    <n v="0"/>
    <n v="1"/>
  </r>
  <r>
    <s v="042.276.517/0001-58"/>
    <x v="122"/>
    <s v="EXCLUSAO  ANOT.INADIMPLENCIA"/>
    <x v="248"/>
    <x v="10"/>
    <s v="2025-09"/>
    <x v="3"/>
    <s v="ROGERIO "/>
    <x v="122"/>
    <n v="1"/>
    <n v="0"/>
  </r>
  <r>
    <s v="047.635.671/0001-92"/>
    <x v="143"/>
    <s v="INCLUSAO  ANOT.INADIMPLENCIA"/>
    <x v="248"/>
    <x v="1"/>
    <s v="2025-09"/>
    <x v="3"/>
    <s v="CELIO PIMENTA"/>
    <x v="143"/>
    <n v="0"/>
    <n v="1"/>
  </r>
  <r>
    <s v="051.323.061/0001-20"/>
    <x v="252"/>
    <s v="INCLUSAO  ANOT.INADIMPLENCIA"/>
    <x v="248"/>
    <x v="27"/>
    <s v="2025-09"/>
    <x v="3"/>
    <s v="ALISSON DE SOUZA LIMA"/>
    <x v="252"/>
    <n v="0"/>
    <n v="1"/>
  </r>
  <r>
    <s v="055.979.736/0001-45"/>
    <x v="63"/>
    <s v="INCLUSAO  ANOT.INADIMPLENCIA"/>
    <x v="248"/>
    <x v="16"/>
    <s v="2025-09"/>
    <x v="3"/>
    <s v="SACADO"/>
    <x v="63"/>
    <n v="0"/>
    <n v="1"/>
  </r>
  <r>
    <s v="057.696.093/0001-58"/>
    <x v="206"/>
    <s v="INCLUSAO  ANOT.INADIMPLENCIA"/>
    <x v="248"/>
    <x v="1"/>
    <s v="2025-09"/>
    <x v="3"/>
    <s v="CELIO PIMENTA"/>
    <x v="206"/>
    <n v="0"/>
    <n v="1"/>
  </r>
  <r>
    <s v="057.698.087/0001-30"/>
    <x v="229"/>
    <s v="INCLUSAO  ANOT.INADIMPLENCIA"/>
    <x v="248"/>
    <x v="1"/>
    <s v="2025-09"/>
    <x v="3"/>
    <s v="CELIO PIMENTA"/>
    <x v="229"/>
    <n v="0"/>
    <n v="1"/>
  </r>
  <r>
    <s v="071.350.797/0001-03"/>
    <x v="48"/>
    <s v="EXCLUSAO  ANOT.INADIMPLENCIA"/>
    <x v="248"/>
    <x v="10"/>
    <s v="2025-09"/>
    <x v="3"/>
    <s v="ROGERIO "/>
    <x v="48"/>
    <n v="1"/>
    <n v="0"/>
  </r>
  <r>
    <s v="005.136.389/0001-10"/>
    <x v="274"/>
    <s v="INCLUSAO  ANOT.INADIMPLENCIA"/>
    <x v="249"/>
    <x v="0"/>
    <s v="2025-09"/>
    <x v="3"/>
    <s v="ADMINISTRAÇÃO"/>
    <x v="274"/>
    <n v="0"/>
    <n v="1"/>
  </r>
  <r>
    <s v="009.674.456/0001-01"/>
    <x v="233"/>
    <s v="INCLUSAO  ANOT.INADIMPLENCIA"/>
    <x v="249"/>
    <x v="6"/>
    <s v="2025-09"/>
    <x v="3"/>
    <s v="RAFAEL PARISE"/>
    <x v="233"/>
    <n v="0"/>
    <n v="1"/>
  </r>
  <r>
    <s v="014.829.598/0001-30"/>
    <x v="31"/>
    <s v="INCLUSAO  ANOT.INADIMPLENCIA"/>
    <x v="249"/>
    <x v="9"/>
    <s v="2025-09"/>
    <x v="3"/>
    <s v="PRISCILA METZ"/>
    <x v="31"/>
    <n v="0"/>
    <n v="1"/>
  </r>
  <r>
    <s v="019.961.036/0001-60"/>
    <x v="262"/>
    <s v="INCLUSAO  ANOT.INADIMPLENCIA"/>
    <x v="249"/>
    <x v="36"/>
    <s v="2025-09"/>
    <x v="3"/>
    <s v="JJPH"/>
    <x v="262"/>
    <n v="0"/>
    <n v="1"/>
  </r>
  <r>
    <s v="020.024.081/0001-77"/>
    <x v="177"/>
    <s v="EXCLUSAO  ANOT.INADIMPLENCIA"/>
    <x v="249"/>
    <x v="10"/>
    <s v="2025-09"/>
    <x v="3"/>
    <s v="ROGERIO "/>
    <x v="177"/>
    <n v="1"/>
    <n v="0"/>
  </r>
  <r>
    <s v="021.382.943/0001-04"/>
    <x v="205"/>
    <s v="INCL/EXCL ANOT.INADIMPLENCIA"/>
    <x v="249"/>
    <x v="0"/>
    <s v="2025-09"/>
    <x v="3"/>
    <s v="ADMINISTRAÇÃO"/>
    <x v="205"/>
    <n v="1"/>
    <n v="1"/>
  </r>
  <r>
    <s v="026.628.832/0001-40"/>
    <x v="244"/>
    <s v="INCLUSAO  ANOT.INADIMPLENCIA"/>
    <x v="249"/>
    <x v="27"/>
    <s v="2025-09"/>
    <x v="3"/>
    <s v="ALISSON DE SOUZA LIMA"/>
    <x v="244"/>
    <n v="0"/>
    <n v="1"/>
  </r>
  <r>
    <s v="027.180.131/0001-54"/>
    <x v="188"/>
    <s v="INCLUSAO  ANOT.INADIMPLENCIA"/>
    <x v="249"/>
    <x v="9"/>
    <s v="2025-09"/>
    <x v="3"/>
    <s v="PRISCILA METZ"/>
    <x v="188"/>
    <n v="0"/>
    <n v="1"/>
  </r>
  <r>
    <s v="028.393.466/0001-13"/>
    <x v="167"/>
    <s v="INCLUSAO  ANOT.INADIMPLENCIA"/>
    <x v="249"/>
    <x v="12"/>
    <s v="2025-09"/>
    <x v="3"/>
    <s v="PROSPECTAR"/>
    <x v="167"/>
    <n v="0"/>
    <n v="1"/>
  </r>
  <r>
    <s v="028.511.223/0001-32"/>
    <x v="189"/>
    <s v="ALTERACAO ADMINISTRADORES"/>
    <x v="249"/>
    <x v="0"/>
    <s v="2025-09"/>
    <x v="3"/>
    <s v="ADMINISTRAÇÃO"/>
    <x v="189"/>
    <n v="0"/>
    <n v="0"/>
  </r>
  <r>
    <s v="028.511.223/0001-32"/>
    <x v="189"/>
    <s v="INCLUSAO  ANOT.INADIMPLENCIA"/>
    <x v="249"/>
    <x v="0"/>
    <s v="2025-09"/>
    <x v="3"/>
    <s v="ADMINISTRAÇÃO"/>
    <x v="189"/>
    <n v="0"/>
    <n v="1"/>
  </r>
  <r>
    <s v="042.119.428/0001-06"/>
    <x v="247"/>
    <s v="EXCLUSAO  ANOT.INADIMPLENCIA"/>
    <x v="249"/>
    <x v="31"/>
    <s v="2025-09"/>
    <x v="3"/>
    <s v="TIAGO NEVES"/>
    <x v="247"/>
    <n v="1"/>
    <n v="0"/>
  </r>
  <r>
    <s v="051.323.061/0001-20"/>
    <x v="252"/>
    <s v="INCLUSAO  ANOT.INADIMPLENCIA"/>
    <x v="249"/>
    <x v="27"/>
    <s v="2025-09"/>
    <x v="3"/>
    <s v="ALISSON DE SOUZA LIMA"/>
    <x v="252"/>
    <n v="0"/>
    <n v="1"/>
  </r>
  <r>
    <s v="051.980.425/0001-45"/>
    <x v="173"/>
    <s v="INCLUSAO  ANOT.INADIMPLENCIA"/>
    <x v="249"/>
    <x v="10"/>
    <s v="2025-09"/>
    <x v="3"/>
    <s v="ROGERIO "/>
    <x v="173"/>
    <n v="0"/>
    <n v="1"/>
  </r>
  <r>
    <s v="052.755.043/0001-80"/>
    <x v="237"/>
    <s v="INCLUSAO  ANOT.INADIMPLENCIA"/>
    <x v="249"/>
    <x v="3"/>
    <s v="2025-09"/>
    <x v="3"/>
    <s v="MARCUS VINICIUS "/>
    <x v="237"/>
    <n v="0"/>
    <n v="1"/>
  </r>
  <r>
    <s v="057.698.087/0001-30"/>
    <x v="229"/>
    <s v="INCLUSAO  ANOT.INADIMPLENCIA"/>
    <x v="249"/>
    <x v="1"/>
    <s v="2025-09"/>
    <x v="3"/>
    <s v="CELIO PIMENTA"/>
    <x v="229"/>
    <n v="0"/>
    <n v="1"/>
  </r>
  <r>
    <s v="000.803.044/0001-50"/>
    <x v="45"/>
    <s v="INCLUSAO  ANOT.INADIMPLENCIA"/>
    <x v="250"/>
    <x v="0"/>
    <s v="2025-09"/>
    <x v="4"/>
    <s v="ADMINISTRAÇÃO"/>
    <x v="45"/>
    <n v="0"/>
    <n v="1"/>
  </r>
  <r>
    <s v="034.165.528/0001-32"/>
    <x v="256"/>
    <s v="INCL/EXCL ANOT.INADIMPLENCIA"/>
    <x v="250"/>
    <x v="27"/>
    <s v="2025-09"/>
    <x v="4"/>
    <s v="ALISSON DE SOUZA LIMA"/>
    <x v="256"/>
    <n v="1"/>
    <n v="1"/>
  </r>
  <r>
    <s v="037.828.375/0001-54"/>
    <x v="39"/>
    <s v="EXCLUSAO  ANOT.INADIMPLENCIA"/>
    <x v="250"/>
    <x v="5"/>
    <s v="2025-09"/>
    <x v="4"/>
    <s v="POENATELA"/>
    <x v="39"/>
    <n v="1"/>
    <n v="0"/>
  </r>
  <r>
    <s v="039.535.425/0001-30"/>
    <x v="120"/>
    <s v="INCLUSAO  ANOT.INADIMPLENCIA"/>
    <x v="250"/>
    <x v="6"/>
    <s v="2025-09"/>
    <x v="4"/>
    <s v="RAFAEL PARISE"/>
    <x v="120"/>
    <n v="0"/>
    <n v="1"/>
  </r>
  <r>
    <s v="040.520.193/0001-26"/>
    <x v="266"/>
    <s v="INCLUSAO  ANOT.INADIMPLENCIA"/>
    <x v="250"/>
    <x v="6"/>
    <s v="2025-09"/>
    <x v="4"/>
    <s v="RAFAEL PARISE"/>
    <x v="266"/>
    <n v="0"/>
    <n v="1"/>
  </r>
  <r>
    <s v="041.388.946/0001-54"/>
    <x v="175"/>
    <s v="INCL/EXCL ANOT.INADIMPLENCIA"/>
    <x v="250"/>
    <x v="1"/>
    <s v="2025-09"/>
    <x v="4"/>
    <s v="CELIO PIMENTA"/>
    <x v="175"/>
    <n v="1"/>
    <n v="1"/>
  </r>
  <r>
    <s v="043.515.558/0001-12"/>
    <x v="176"/>
    <s v="INCLUSAO  ANOT.INADIMPLENCIA"/>
    <x v="250"/>
    <x v="10"/>
    <s v="2025-09"/>
    <x v="4"/>
    <s v="ROGERIO "/>
    <x v="176"/>
    <n v="0"/>
    <n v="1"/>
  </r>
  <r>
    <s v="032.552.159/0001-05"/>
    <x v="211"/>
    <s v="INCLUSAO  ANOT.INADIMPLENCIA"/>
    <x v="250"/>
    <x v="27"/>
    <s v="2025-09"/>
    <x v="4"/>
    <s v="ALISSON DE SOUZA LIMA"/>
    <x v="211"/>
    <n v="0"/>
    <n v="1"/>
  </r>
  <r>
    <s v="044.073.794/0001-99"/>
    <x v="280"/>
    <s v="EXCLUSAO  ANOT.INADIMPLENCIA"/>
    <x v="250"/>
    <x v="27"/>
    <s v="2025-09"/>
    <x v="4"/>
    <s v="ALISSON DE SOUZA LIMA"/>
    <x v="280"/>
    <n v="1"/>
    <n v="0"/>
  </r>
  <r>
    <s v="047.635.671/0001-92"/>
    <x v="143"/>
    <s v="INCLUSAO  ANOT.INADIMPLENCIA"/>
    <x v="250"/>
    <x v="1"/>
    <s v="2025-09"/>
    <x v="4"/>
    <s v="CELIO PIMENTA"/>
    <x v="143"/>
    <n v="0"/>
    <n v="1"/>
  </r>
  <r>
    <s v="050.777.509/0001-13"/>
    <x v="286"/>
    <s v="INCLUSAO  ANOT.INADIMPLENCIA"/>
    <x v="250"/>
    <x v="0"/>
    <s v="2025-09"/>
    <x v="4"/>
    <s v="ADMINISTRAÇÃO"/>
    <x v="286"/>
    <n v="0"/>
    <n v="1"/>
  </r>
  <r>
    <s v="051.323.061/0001-20"/>
    <x v="252"/>
    <s v="INCLUSAO  ANOT.INADIMPLENCIA"/>
    <x v="250"/>
    <x v="27"/>
    <s v="2025-09"/>
    <x v="4"/>
    <s v="ALISSON DE SOUZA LIMA"/>
    <x v="252"/>
    <n v="0"/>
    <n v="1"/>
  </r>
  <r>
    <s v="055.466.241/0001-12"/>
    <x v="181"/>
    <s v="INCLUSAO  ANOT.INADIMPLENCIA"/>
    <x v="250"/>
    <x v="12"/>
    <s v="2025-09"/>
    <x v="4"/>
    <s v="PROSPECTAR"/>
    <x v="181"/>
    <n v="0"/>
    <n v="1"/>
  </r>
  <r>
    <s v="057.696.093/0001-58"/>
    <x v="206"/>
    <s v="INCLUSAO  ANOT.INADIMPLENCIA"/>
    <x v="250"/>
    <x v="1"/>
    <s v="2025-09"/>
    <x v="4"/>
    <s v="CELIO PIMENTA"/>
    <x v="206"/>
    <n v="0"/>
    <n v="1"/>
  </r>
  <r>
    <s v="057.698.087/0001-30"/>
    <x v="229"/>
    <s v="INCLUSAO  ANOT.INADIMPLENCIA"/>
    <x v="250"/>
    <x v="1"/>
    <s v="2025-09"/>
    <x v="4"/>
    <s v="CELIO PIMENTA"/>
    <x v="229"/>
    <n v="0"/>
    <n v="1"/>
  </r>
  <r>
    <s v="044.470.678/0001-03"/>
    <x v="203"/>
    <s v="INCLUSAO  ANOT.INADIMPLENCIA"/>
    <x v="250"/>
    <x v="9"/>
    <s v="2025-09"/>
    <x v="4"/>
    <s v="PRISCILA METZ"/>
    <x v="203"/>
    <n v="0"/>
    <n v="1"/>
  </r>
  <r>
    <s v="028.511.223/0001-32"/>
    <x v="189"/>
    <s v="INCLUSAO  ANOT.INADIMPLENCIA"/>
    <x v="250"/>
    <x v="0"/>
    <s v="2025-09"/>
    <x v="4"/>
    <s v="ADMINISTRAÇÃO"/>
    <x v="189"/>
    <n v="0"/>
    <n v="1"/>
  </r>
  <r>
    <s v="028.393.466/0001-13"/>
    <x v="167"/>
    <s v="INCLUSAO  ANOT.INADIMPLENCIA"/>
    <x v="250"/>
    <x v="12"/>
    <s v="2025-09"/>
    <x v="4"/>
    <s v="PROSPECTAR"/>
    <x v="167"/>
    <n v="0"/>
    <n v="1"/>
  </r>
  <r>
    <s v="027.180.131/0001-54"/>
    <x v="188"/>
    <s v="INCLUSAO  ANOT.INADIMPLENCIA"/>
    <x v="250"/>
    <x v="9"/>
    <s v="2025-09"/>
    <x v="4"/>
    <s v="PRISCILA METZ"/>
    <x v="188"/>
    <n v="0"/>
    <n v="1"/>
  </r>
  <r>
    <s v="001.113.219/0001-60"/>
    <x v="88"/>
    <s v="EXCLUSAO  ANOT.INADIMPLENCIA"/>
    <x v="250"/>
    <x v="1"/>
    <s v="2025-09"/>
    <x v="4"/>
    <s v="CELIO PIMENTA"/>
    <x v="88"/>
    <n v="1"/>
    <n v="0"/>
  </r>
  <r>
    <s v="003.524.760/0001-96"/>
    <x v="230"/>
    <s v="INCLUSAO  ANOT.INADIMPLENCIA"/>
    <x v="250"/>
    <x v="30"/>
    <s v="2025-09"/>
    <x v="4"/>
    <s v="ANDRE CUNHA"/>
    <x v="230"/>
    <n v="0"/>
    <n v="1"/>
  </r>
  <r>
    <s v="003.590.360/0001-89"/>
    <x v="3"/>
    <s v="INCLUSAO  ANOT.INADIMPLENCIA"/>
    <x v="250"/>
    <x v="1"/>
    <s v="2025-09"/>
    <x v="4"/>
    <s v="CELIO PIMENTA"/>
    <x v="3"/>
    <n v="0"/>
    <n v="1"/>
  </r>
  <r>
    <s v="004.323.643/0001-27"/>
    <x v="221"/>
    <s v="INCLUSAO  ANOT.INADIMPLENCIA"/>
    <x v="250"/>
    <x v="0"/>
    <s v="2025-09"/>
    <x v="4"/>
    <s v="ADMINISTRAÇÃO"/>
    <x v="221"/>
    <n v="0"/>
    <n v="1"/>
  </r>
  <r>
    <s v="005.363.690/0001-67"/>
    <x v="90"/>
    <s v="INCLUSAO  ANOT.INADIMPLENCIA"/>
    <x v="250"/>
    <x v="12"/>
    <s v="2025-09"/>
    <x v="4"/>
    <s v="PROSPECTAR"/>
    <x v="90"/>
    <n v="0"/>
    <n v="1"/>
  </r>
  <r>
    <s v="011.122.552/0001-99"/>
    <x v="59"/>
    <s v="INCLUSAO  ANOT.INADIMPLENCIA"/>
    <x v="250"/>
    <x v="6"/>
    <s v="2025-09"/>
    <x v="4"/>
    <s v="RAFAEL PARISE"/>
    <x v="59"/>
    <n v="0"/>
    <n v="1"/>
  </r>
  <r>
    <s v="012.520.791/0001-60"/>
    <x v="4"/>
    <s v="EXCLUSAO  ANOT.INADIMPLENCIA"/>
    <x v="250"/>
    <x v="1"/>
    <s v="2025-09"/>
    <x v="4"/>
    <s v="CELIO PIMENTA"/>
    <x v="4"/>
    <n v="1"/>
    <n v="0"/>
  </r>
  <r>
    <s v="013.258.863/0001-05"/>
    <x v="281"/>
    <s v="INCLUSAO  ANOT.INADIMPLENCIA"/>
    <x v="250"/>
    <x v="0"/>
    <s v="2025-09"/>
    <x v="4"/>
    <s v="ADMINISTRAÇÃO"/>
    <x v="281"/>
    <n v="0"/>
    <n v="1"/>
  </r>
  <r>
    <s v="014.829.598/0001-30"/>
    <x v="31"/>
    <s v="INCL/EXCL ANOT.INADIMPLENCIA"/>
    <x v="250"/>
    <x v="9"/>
    <s v="2025-09"/>
    <x v="4"/>
    <s v="PRISCILA METZ"/>
    <x v="31"/>
    <n v="1"/>
    <n v="1"/>
  </r>
  <r>
    <s v="016.757.535/0001-41"/>
    <x v="29"/>
    <s v="INCLUSAO  ANOT.INADIMPLENCIA"/>
    <x v="250"/>
    <x v="11"/>
    <s v="2025-09"/>
    <x v="4"/>
    <s v="DIOGO AZEVEDO"/>
    <x v="29"/>
    <n v="0"/>
    <n v="1"/>
  </r>
  <r>
    <s v="016.772.642/0001-49"/>
    <x v="69"/>
    <s v="EXCLUSAO  ANOT.INADIMPLENCIA"/>
    <x v="250"/>
    <x v="0"/>
    <s v="2025-09"/>
    <x v="4"/>
    <s v="ADMINISTRAÇÃO"/>
    <x v="69"/>
    <n v="1"/>
    <n v="0"/>
  </r>
  <r>
    <s v="020.024.081/0001-77"/>
    <x v="177"/>
    <s v="INCLUSAO  ANOT.INADIMPLENCIA"/>
    <x v="250"/>
    <x v="10"/>
    <s v="2025-09"/>
    <x v="4"/>
    <s v="ROGERIO "/>
    <x v="177"/>
    <n v="0"/>
    <n v="1"/>
  </r>
  <r>
    <s v="021.382.943/0001-04"/>
    <x v="205"/>
    <s v="EXCLUSAO  ANOT.INADIMPLENCIA"/>
    <x v="250"/>
    <x v="0"/>
    <s v="2025-09"/>
    <x v="4"/>
    <s v="ADMINISTRAÇÃO"/>
    <x v="205"/>
    <n v="1"/>
    <n v="0"/>
  </r>
  <r>
    <s v="026.416.177/0001-67"/>
    <x v="130"/>
    <s v="INCLUSAO  ANOT.INADIMPLENCIA"/>
    <x v="250"/>
    <x v="3"/>
    <s v="2025-09"/>
    <x v="4"/>
    <s v="MARCUS VINICIUS "/>
    <x v="130"/>
    <n v="0"/>
    <n v="1"/>
  </r>
  <r>
    <s v="026.628.832/0001-40"/>
    <x v="244"/>
    <s v="INCLUSAO  ANOT.INADIMPLENCIA"/>
    <x v="250"/>
    <x v="27"/>
    <s v="2025-09"/>
    <x v="4"/>
    <s v="ALISSON DE SOUZA LIMA"/>
    <x v="244"/>
    <n v="0"/>
    <n v="1"/>
  </r>
  <r>
    <s v="061.008.540/0001-06"/>
    <x v="287"/>
    <s v="INCLUSAO  ANOT.INADIMPLENCIA"/>
    <x v="250"/>
    <x v="29"/>
    <s v="2025-09"/>
    <x v="4"/>
    <s v="DALVA"/>
    <x v="287"/>
    <n v="0"/>
    <n v="1"/>
  </r>
  <r>
    <s v="093.274.124/0001-46"/>
    <x v="82"/>
    <s v="INCLUSAO  ANOT.INADIMPLENCIA"/>
    <x v="250"/>
    <x v="4"/>
    <s v="2025-09"/>
    <x v="4"/>
    <s v="NOELI SALETE"/>
    <x v="82"/>
    <n v="0"/>
    <n v="1"/>
  </r>
  <r>
    <s v="000.803.044/0001-50"/>
    <x v="45"/>
    <s v="EXCLUSAO  ANOT.INADIMPLENCIA"/>
    <x v="251"/>
    <x v="0"/>
    <s v="2025-10"/>
    <x v="4"/>
    <s v="ADMINISTRAÇÃO"/>
    <x v="45"/>
    <n v="1"/>
    <n v="0"/>
  </r>
  <r>
    <s v="029.246.128/0001-11"/>
    <x v="127"/>
    <s v="INCLUSAO  ANOT.INADIMPLENCIA"/>
    <x v="251"/>
    <x v="9"/>
    <s v="2025-10"/>
    <x v="4"/>
    <s v="PRISCILA METZ"/>
    <x v="127"/>
    <n v="0"/>
    <n v="1"/>
  </r>
  <r>
    <s v="033.028.017/0001-06"/>
    <x v="260"/>
    <s v="INCLUSAO  ANOT.INADIMPLENCIA"/>
    <x v="251"/>
    <x v="31"/>
    <s v="2025-10"/>
    <x v="4"/>
    <s v="TIAGO NEVES"/>
    <x v="260"/>
    <n v="0"/>
    <n v="1"/>
  </r>
  <r>
    <s v="033.281.410/0001-07"/>
    <x v="242"/>
    <s v="EXCLUSAO  ANOT.INADIMPLENCIA"/>
    <x v="251"/>
    <x v="29"/>
    <s v="2025-10"/>
    <x v="4"/>
    <s v="DALVA"/>
    <x v="242"/>
    <n v="1"/>
    <n v="0"/>
  </r>
  <r>
    <s v="033.803.691/0001-10"/>
    <x v="103"/>
    <s v="EXCLUSAO  ANOT.INADIMPLENCIA"/>
    <x v="251"/>
    <x v="0"/>
    <s v="2025-10"/>
    <x v="4"/>
    <s v="ADMINISTRAÇÃO"/>
    <x v="103"/>
    <n v="1"/>
    <n v="0"/>
  </r>
  <r>
    <s v="034.165.528/0001-32"/>
    <x v="256"/>
    <s v="INCL/EXCL ANOT.INADIMPLENCIA"/>
    <x v="251"/>
    <x v="27"/>
    <s v="2025-10"/>
    <x v="4"/>
    <s v="ALISSON DE SOUZA LIMA"/>
    <x v="256"/>
    <n v="1"/>
    <n v="1"/>
  </r>
  <r>
    <s v="040.520.193/0001-26"/>
    <x v="266"/>
    <s v="EXCLUSAO  ANOT.INADIMPLENCIA"/>
    <x v="251"/>
    <x v="6"/>
    <s v="2025-10"/>
    <x v="4"/>
    <s v="RAFAEL PARISE"/>
    <x v="266"/>
    <n v="1"/>
    <n v="0"/>
  </r>
  <r>
    <s v="041.388.946/0001-54"/>
    <x v="175"/>
    <s v="INCLUSAO  ANOT.INADIMPLENCIA"/>
    <x v="251"/>
    <x v="1"/>
    <s v="2025-10"/>
    <x v="4"/>
    <s v="CELIO PIMENTA"/>
    <x v="175"/>
    <n v="0"/>
    <n v="1"/>
  </r>
  <r>
    <s v="043.515.558/0001-12"/>
    <x v="176"/>
    <s v="EXCLUSAO  ANOT.INADIMPLENCIA"/>
    <x v="251"/>
    <x v="10"/>
    <s v="2025-10"/>
    <x v="4"/>
    <s v="ROGERIO "/>
    <x v="176"/>
    <n v="1"/>
    <n v="0"/>
  </r>
  <r>
    <s v="044.570.311/0001-61"/>
    <x v="116"/>
    <s v="INCLUSAO  ANOT.INADIMPLENCIA"/>
    <x v="251"/>
    <x v="12"/>
    <s v="2025-10"/>
    <x v="4"/>
    <s v="PROSPECTAR"/>
    <x v="116"/>
    <n v="0"/>
    <n v="1"/>
  </r>
  <r>
    <s v="044.888.871/0001-69"/>
    <x v="106"/>
    <s v="INCLUSAO  ANOT.INADIMPLENCIA"/>
    <x v="251"/>
    <x v="12"/>
    <s v="2025-10"/>
    <x v="4"/>
    <s v="PROSPECTAR"/>
    <x v="106"/>
    <n v="0"/>
    <n v="1"/>
  </r>
  <r>
    <s v="047.635.671/0001-92"/>
    <x v="143"/>
    <s v="INCLUSAO  ANOT.INADIMPLENCIA"/>
    <x v="251"/>
    <x v="1"/>
    <s v="2025-10"/>
    <x v="4"/>
    <s v="CELIO PIMENTA"/>
    <x v="143"/>
    <n v="0"/>
    <n v="1"/>
  </r>
  <r>
    <s v="050.850.666/0001-07"/>
    <x v="139"/>
    <s v="EXCLUSAO  ANOT.INADIMPLENCIA"/>
    <x v="251"/>
    <x v="6"/>
    <s v="2025-10"/>
    <x v="4"/>
    <s v="RAFAEL PARISE"/>
    <x v="139"/>
    <n v="1"/>
    <n v="0"/>
  </r>
  <r>
    <s v="051.323.061/0001-20"/>
    <x v="252"/>
    <s v="INCLUSAO  ANOT.INADIMPLENCIA"/>
    <x v="251"/>
    <x v="27"/>
    <s v="2025-10"/>
    <x v="4"/>
    <s v="ALISSON DE SOUZA LIMA"/>
    <x v="252"/>
    <n v="0"/>
    <n v="1"/>
  </r>
  <r>
    <s v="051.980.425/0001-45"/>
    <x v="173"/>
    <s v="INCLUSAO  ANOT.INADIMPLENCIA"/>
    <x v="251"/>
    <x v="10"/>
    <s v="2025-10"/>
    <x v="4"/>
    <s v="ROGERIO "/>
    <x v="173"/>
    <n v="0"/>
    <n v="1"/>
  </r>
  <r>
    <s v="052.755.043/0001-80"/>
    <x v="237"/>
    <s v="INCLUSAO  ANOT.INADIMPLENCIA"/>
    <x v="251"/>
    <x v="3"/>
    <s v="2025-10"/>
    <x v="4"/>
    <s v="MARCUS VINICIUS "/>
    <x v="237"/>
    <n v="0"/>
    <n v="1"/>
  </r>
  <r>
    <s v="027.180.131/0001-54"/>
    <x v="188"/>
    <s v="INCLUSAO  ANOT.INADIMPLENCIA"/>
    <x v="251"/>
    <x v="9"/>
    <s v="2025-10"/>
    <x v="4"/>
    <s v="PRISCILA METZ"/>
    <x v="188"/>
    <n v="0"/>
    <n v="1"/>
  </r>
  <r>
    <s v="057.696.093/0001-58"/>
    <x v="206"/>
    <s v="INCLUSAO  ANOT.INADIMPLENCIA"/>
    <x v="251"/>
    <x v="1"/>
    <s v="2025-10"/>
    <x v="4"/>
    <s v="CELIO PIMENTA"/>
    <x v="206"/>
    <n v="0"/>
    <n v="1"/>
  </r>
  <r>
    <s v="026.628.832/0001-40"/>
    <x v="244"/>
    <s v="INCLUSAO  ANOT.INADIMPLENCIA"/>
    <x v="251"/>
    <x v="27"/>
    <s v="2025-10"/>
    <x v="4"/>
    <s v="ALISSON DE SOUZA LIMA"/>
    <x v="244"/>
    <n v="0"/>
    <n v="1"/>
  </r>
  <r>
    <s v="019.450.138/0001-10"/>
    <x v="70"/>
    <s v="INCLUSAO  ANOT.INADIMPLENCIA"/>
    <x v="251"/>
    <x v="17"/>
    <s v="2025-10"/>
    <x v="4"/>
    <s v="MARCIO LEONEL"/>
    <x v="70"/>
    <n v="0"/>
    <n v="1"/>
  </r>
  <r>
    <s v="001.113.219/0001-60"/>
    <x v="88"/>
    <s v="EXCLUSAO  ANOT.INADIMPLENCIA"/>
    <x v="251"/>
    <x v="1"/>
    <s v="2025-10"/>
    <x v="4"/>
    <s v="CELIO PIMENTA"/>
    <x v="88"/>
    <n v="1"/>
    <n v="0"/>
  </r>
  <r>
    <s v="003.524.760/0001-96"/>
    <x v="230"/>
    <s v="INCLUSAO  ANOT.INADIMPLENCIA"/>
    <x v="251"/>
    <x v="30"/>
    <s v="2025-10"/>
    <x v="4"/>
    <s v="ANDRE CUNHA"/>
    <x v="230"/>
    <n v="0"/>
    <n v="1"/>
  </r>
  <r>
    <s v="004.323.643/0001-27"/>
    <x v="221"/>
    <s v="INCLUSAO  ANOT.INADIMPLENCIA"/>
    <x v="251"/>
    <x v="0"/>
    <s v="2025-10"/>
    <x v="4"/>
    <s v="ADMINISTRAÇÃO"/>
    <x v="221"/>
    <n v="0"/>
    <n v="1"/>
  </r>
  <r>
    <s v="004.622.554/0001-81"/>
    <x v="66"/>
    <s v="INCLUSAO  ANOT.INADIMPLENCIA"/>
    <x v="251"/>
    <x v="4"/>
    <s v="2025-10"/>
    <x v="4"/>
    <s v="NOELI SALETE"/>
    <x v="66"/>
    <n v="0"/>
    <n v="1"/>
  </r>
  <r>
    <s v="005.374.432/0001-86"/>
    <x v="222"/>
    <s v="EXCLUSAO  ANOT.INADIMPLENCIA"/>
    <x v="251"/>
    <x v="29"/>
    <s v="2025-10"/>
    <x v="4"/>
    <s v="DALVA"/>
    <x v="222"/>
    <n v="1"/>
    <n v="0"/>
  </r>
  <r>
    <s v="007.102.721/0001-51"/>
    <x v="44"/>
    <s v="EXCLUSAO  ANOT.INADIMPLENCIA"/>
    <x v="251"/>
    <x v="12"/>
    <s v="2025-10"/>
    <x v="4"/>
    <s v="PROSPECTAR"/>
    <x v="44"/>
    <n v="1"/>
    <n v="0"/>
  </r>
  <r>
    <s v="007.181.473/0001-81"/>
    <x v="288"/>
    <s v="INCLUSAO  ANOT.INADIMPLENCIA"/>
    <x v="251"/>
    <x v="12"/>
    <s v="2025-10"/>
    <x v="4"/>
    <s v="PROSPECTAR"/>
    <x v="288"/>
    <n v="0"/>
    <n v="1"/>
  </r>
  <r>
    <s v="007.561.436/0001-07"/>
    <x v="34"/>
    <s v="INCLUSAO  ANOT.INADIMPLENCIA"/>
    <x v="251"/>
    <x v="12"/>
    <s v="2025-10"/>
    <x v="4"/>
    <s v="PROSPECTAR"/>
    <x v="34"/>
    <n v="0"/>
    <n v="1"/>
  </r>
  <r>
    <s v="008.196.295/0001-25"/>
    <x v="255"/>
    <s v="INCLUSAO  ANOT.INADIMPLENCIA"/>
    <x v="251"/>
    <x v="34"/>
    <s v="2025-10"/>
    <x v="4"/>
    <s v="CREDTEM"/>
    <x v="255"/>
    <n v="0"/>
    <n v="1"/>
  </r>
  <r>
    <s v="008.250.872/0001-10"/>
    <x v="121"/>
    <s v="INCLUSAO  ANOT.INADIMPLENCIA"/>
    <x v="251"/>
    <x v="6"/>
    <s v="2025-10"/>
    <x v="4"/>
    <s v="RAFAEL PARISE"/>
    <x v="121"/>
    <n v="0"/>
    <n v="1"/>
  </r>
  <r>
    <s v="009.674.456/0001-01"/>
    <x v="233"/>
    <s v="EXCLUSAO  ANOT.INADIMPLENCIA"/>
    <x v="251"/>
    <x v="6"/>
    <s v="2025-10"/>
    <x v="4"/>
    <s v="RAFAEL PARISE"/>
    <x v="233"/>
    <n v="1"/>
    <n v="0"/>
  </r>
  <r>
    <s v="011.122.552/0001-99"/>
    <x v="59"/>
    <s v="INCLUSAO  ANOT.INADIMPLENCIA"/>
    <x v="251"/>
    <x v="6"/>
    <s v="2025-10"/>
    <x v="4"/>
    <s v="RAFAEL PARISE"/>
    <x v="59"/>
    <n v="0"/>
    <n v="1"/>
  </r>
  <r>
    <s v="012.520.791/0001-60"/>
    <x v="4"/>
    <s v="INCLUSAO  ANOT.INADIMPLENCIA"/>
    <x v="251"/>
    <x v="1"/>
    <s v="2025-10"/>
    <x v="4"/>
    <s v="CELIO PIMENTA"/>
    <x v="4"/>
    <n v="0"/>
    <n v="1"/>
  </r>
  <r>
    <s v="014.829.598/0001-30"/>
    <x v="31"/>
    <s v="EXCLUSAO  ANOT.INADIMPLENCIA"/>
    <x v="251"/>
    <x v="9"/>
    <s v="2025-10"/>
    <x v="4"/>
    <s v="PRISCILA METZ"/>
    <x v="31"/>
    <n v="1"/>
    <n v="0"/>
  </r>
  <r>
    <s v="017.177.331/0001-02"/>
    <x v="259"/>
    <s v="INCLUSAO  ANOT.INADIMPLENCIA"/>
    <x v="251"/>
    <x v="13"/>
    <s v="2025-10"/>
    <x v="4"/>
    <s v="ANDERSON FRAGA"/>
    <x v="259"/>
    <n v="0"/>
    <n v="1"/>
  </r>
  <r>
    <s v="020.024.081/0001-77"/>
    <x v="177"/>
    <s v="EXCLUSAO  ANOT.INADIMPLENCIA"/>
    <x v="251"/>
    <x v="10"/>
    <s v="2025-10"/>
    <x v="4"/>
    <s v="ROGERIO "/>
    <x v="177"/>
    <n v="1"/>
    <n v="0"/>
  </r>
  <r>
    <s v="057.698.087/0001-30"/>
    <x v="229"/>
    <s v="INCLUSAO  ANOT.INADIMPLENCIA"/>
    <x v="251"/>
    <x v="1"/>
    <s v="2025-10"/>
    <x v="4"/>
    <s v="CELIO PIMENTA"/>
    <x v="229"/>
    <n v="0"/>
    <n v="1"/>
  </r>
  <r>
    <s v="003.524.760/0001-96"/>
    <x v="230"/>
    <s v="INCLUSAO  ANOT.INADIMPLENCIA"/>
    <x v="252"/>
    <x v="30"/>
    <s v="2025-10"/>
    <x v="4"/>
    <s v="ANDRE CUNHA"/>
    <x v="230"/>
    <n v="0"/>
    <n v="1"/>
  </r>
  <r>
    <s v="057.696.093/0001-58"/>
    <x v="206"/>
    <s v="INCLUSAO  ANOT.INADIMPLENCIA"/>
    <x v="252"/>
    <x v="1"/>
    <s v="2025-10"/>
    <x v="4"/>
    <s v="CELIO PIMENTA"/>
    <x v="206"/>
    <n v="0"/>
    <n v="1"/>
  </r>
  <r>
    <s v="055.979.736/0001-45"/>
    <x v="63"/>
    <s v="INCLUSAO  ANOT.INADIMPLENCIA"/>
    <x v="252"/>
    <x v="16"/>
    <s v="2025-10"/>
    <x v="4"/>
    <s v="SACADO"/>
    <x v="63"/>
    <n v="0"/>
    <n v="1"/>
  </r>
  <r>
    <s v="051.323.061/0001-20"/>
    <x v="252"/>
    <s v="INCLUSAO  ANOT.INADIMPLENCIA"/>
    <x v="252"/>
    <x v="27"/>
    <s v="2025-10"/>
    <x v="4"/>
    <s v="ALISSON DE SOUZA LIMA"/>
    <x v="252"/>
    <n v="0"/>
    <n v="1"/>
  </r>
  <r>
    <s v="033.028.017/0001-06"/>
    <x v="260"/>
    <s v="EXCLUSAO  ANOT.INADIMPLENCIA"/>
    <x v="252"/>
    <x v="31"/>
    <s v="2025-10"/>
    <x v="4"/>
    <s v="TIAGO NEVES"/>
    <x v="260"/>
    <n v="1"/>
    <n v="0"/>
  </r>
  <r>
    <s v="029.246.128/0001-11"/>
    <x v="127"/>
    <s v="INCL/EXCL ANOT.INADIMPLENCIA"/>
    <x v="252"/>
    <x v="9"/>
    <s v="2025-10"/>
    <x v="4"/>
    <s v="PRISCILA METZ"/>
    <x v="127"/>
    <n v="1"/>
    <n v="1"/>
  </r>
  <r>
    <s v="028.650.970/0001-51"/>
    <x v="166"/>
    <s v="INCLUSAO  ANOT.INADIMPLENCIA"/>
    <x v="252"/>
    <x v="10"/>
    <s v="2025-10"/>
    <x v="4"/>
    <s v="ROGERIO "/>
    <x v="166"/>
    <n v="0"/>
    <n v="1"/>
  </r>
  <r>
    <s v="028.556.973/0001-20"/>
    <x v="118"/>
    <s v="INCLUSAO  ANOT.INADIMPLENCIA"/>
    <x v="252"/>
    <x v="1"/>
    <s v="2025-10"/>
    <x v="4"/>
    <s v="CELIO PIMENTA"/>
    <x v="118"/>
    <n v="0"/>
    <n v="1"/>
  </r>
  <r>
    <s v="028.511.223/0001-32"/>
    <x v="189"/>
    <s v="INCL/EXCL ANOT.INADIMPLENCIA"/>
    <x v="252"/>
    <x v="0"/>
    <s v="2025-10"/>
    <x v="4"/>
    <s v="ADMINISTRAÇÃO"/>
    <x v="189"/>
    <n v="1"/>
    <n v="1"/>
  </r>
  <r>
    <s v="057.698.087/0001-30"/>
    <x v="229"/>
    <s v="INCLUSAO  ANOT.INADIMPLENCIA"/>
    <x v="252"/>
    <x v="1"/>
    <s v="2025-10"/>
    <x v="4"/>
    <s v="CELIO PIMENTA"/>
    <x v="229"/>
    <n v="0"/>
    <n v="1"/>
  </r>
  <r>
    <s v="028.393.466/0001-13"/>
    <x v="167"/>
    <s v="EXCLUSAO  ANOT.INADIMPLENCIA"/>
    <x v="252"/>
    <x v="12"/>
    <s v="2025-10"/>
    <x v="4"/>
    <s v="PROSPECTAR"/>
    <x v="167"/>
    <n v="1"/>
    <n v="0"/>
  </r>
  <r>
    <s v="022.998.836/0001-60"/>
    <x v="24"/>
    <s v="INCLUSAO  ANOT.INADIMPLENCIA"/>
    <x v="252"/>
    <x v="0"/>
    <s v="2025-10"/>
    <x v="4"/>
    <s v="ADMINISTRAÇÃO"/>
    <x v="24"/>
    <n v="0"/>
    <n v="1"/>
  </r>
  <r>
    <s v="021.382.943/0001-04"/>
    <x v="205"/>
    <s v="EXCLUSAO  ANOT.INADIMPLENCIA"/>
    <x v="252"/>
    <x v="0"/>
    <s v="2025-10"/>
    <x v="4"/>
    <s v="ADMINISTRAÇÃO"/>
    <x v="205"/>
    <n v="1"/>
    <n v="0"/>
  </r>
  <r>
    <s v="019.961.036/0001-60"/>
    <x v="262"/>
    <s v="INCLUSAO  ANOT.INADIMPLENCIA"/>
    <x v="252"/>
    <x v="36"/>
    <s v="2025-10"/>
    <x v="4"/>
    <s v="JJPH"/>
    <x v="262"/>
    <n v="0"/>
    <n v="1"/>
  </r>
  <r>
    <s v="007.561.436/0001-07"/>
    <x v="34"/>
    <s v="EXCLUSAO  ANOT.INADIMPLENCIA"/>
    <x v="252"/>
    <x v="12"/>
    <s v="2025-10"/>
    <x v="4"/>
    <s v="PROSPECTAR"/>
    <x v="34"/>
    <n v="1"/>
    <n v="0"/>
  </r>
  <r>
    <s v="007.102.721/0001-51"/>
    <x v="44"/>
    <s v="INCLUSAO  ANOT.INADIMPLENCIA"/>
    <x v="252"/>
    <x v="12"/>
    <s v="2025-10"/>
    <x v="4"/>
    <s v="PROSPECTAR"/>
    <x v="44"/>
    <n v="0"/>
    <n v="1"/>
  </r>
  <r>
    <s v="005.997.418/0001-39"/>
    <x v="165"/>
    <s v="INCLUSAO  ANOT.INADIMPLENCIA"/>
    <x v="252"/>
    <x v="6"/>
    <s v="2025-10"/>
    <x v="4"/>
    <s v="RAFAEL PARISE"/>
    <x v="165"/>
    <n v="0"/>
    <n v="1"/>
  </r>
  <r>
    <s v="004.622.554/0001-81"/>
    <x v="66"/>
    <s v="INCLUSAO  ANOT.INADIMPLENCIA"/>
    <x v="252"/>
    <x v="4"/>
    <s v="2025-10"/>
    <x v="4"/>
    <s v="NOELI SALETE"/>
    <x v="66"/>
    <n v="0"/>
    <n v="1"/>
  </r>
  <r>
    <s v="003.590.360/0001-89"/>
    <x v="3"/>
    <s v="EXCLUSAO  ANOT.INADIMPLENCIA"/>
    <x v="252"/>
    <x v="1"/>
    <s v="2025-10"/>
    <x v="4"/>
    <s v="CELIO PIMENTA"/>
    <x v="3"/>
    <n v="1"/>
    <n v="0"/>
  </r>
  <r>
    <s v="026.628.832/0001-40"/>
    <x v="244"/>
    <s v="INCL/EXCL ANOT.INADIMPLENCIA"/>
    <x v="252"/>
    <x v="27"/>
    <s v="2025-10"/>
    <x v="4"/>
    <s v="ALISSON DE SOUZA LIMA"/>
    <x v="244"/>
    <n v="1"/>
    <n v="1"/>
  </r>
  <r>
    <s v="093.274.124/0001-46"/>
    <x v="82"/>
    <s v="INCL/EXCL ANOT.INADIMPLENCIA"/>
    <x v="252"/>
    <x v="4"/>
    <s v="2025-10"/>
    <x v="4"/>
    <s v="NOELI SALETE"/>
    <x v="82"/>
    <n v="1"/>
    <n v="1"/>
  </r>
  <r>
    <s v="003.524.760/0001-96"/>
    <x v="230"/>
    <s v="INCLUSAO  ANOT.INADIMPLENCIA"/>
    <x v="253"/>
    <x v="30"/>
    <s v="2025-10"/>
    <x v="4"/>
    <s v="ANDRE CUNHA"/>
    <x v="230"/>
    <n v="0"/>
    <n v="1"/>
  </r>
  <r>
    <s v="057.696.093/0001-58"/>
    <x v="206"/>
    <s v="INCLUSAO  ANOT.INADIMPLENCIA"/>
    <x v="253"/>
    <x v="1"/>
    <s v="2025-10"/>
    <x v="4"/>
    <s v="CELIO PIMENTA"/>
    <x v="206"/>
    <n v="0"/>
    <n v="1"/>
  </r>
  <r>
    <s v="044.470.678/0001-03"/>
    <x v="203"/>
    <s v="INCL/EXCL ANOT.INADIMPLENCIA"/>
    <x v="253"/>
    <x v="9"/>
    <s v="2025-10"/>
    <x v="4"/>
    <s v="PRISCILA METZ"/>
    <x v="203"/>
    <n v="1"/>
    <n v="1"/>
  </r>
  <r>
    <s v="043.515.558/0001-12"/>
    <x v="176"/>
    <s v="INCLUSAO  ANOT.INADIMPLENCIA"/>
    <x v="253"/>
    <x v="10"/>
    <s v="2025-10"/>
    <x v="4"/>
    <s v="ROGERIO "/>
    <x v="176"/>
    <n v="0"/>
    <n v="1"/>
  </r>
  <r>
    <s v="042.276.517/0001-58"/>
    <x v="122"/>
    <s v="EXCLUSAO  ANOT.INADIMPLENCIA"/>
    <x v="253"/>
    <x v="10"/>
    <s v="2025-10"/>
    <x v="4"/>
    <s v="ROGERIO "/>
    <x v="122"/>
    <n v="1"/>
    <n v="0"/>
  </r>
  <r>
    <s v="041.397.377/0001-03"/>
    <x v="241"/>
    <s v="INCLUSAO  ANOT.INADIMPLENCIA"/>
    <x v="253"/>
    <x v="10"/>
    <s v="2025-10"/>
    <x v="4"/>
    <s v="ROGERIO "/>
    <x v="241"/>
    <n v="0"/>
    <n v="1"/>
  </r>
  <r>
    <s v="038.007.528/0001-65"/>
    <x v="277"/>
    <s v="EXCLUSAO  ANOT.INADIMPLENCIA"/>
    <x v="253"/>
    <x v="9"/>
    <s v="2025-10"/>
    <x v="4"/>
    <s v="PRISCILA METZ"/>
    <x v="277"/>
    <n v="1"/>
    <n v="0"/>
  </r>
  <r>
    <s v="033.028.017/0001-06"/>
    <x v="260"/>
    <s v="INCL/EXCL ANOT.INADIMPLENCIA"/>
    <x v="253"/>
    <x v="31"/>
    <s v="2025-10"/>
    <x v="4"/>
    <s v="TIAGO NEVES"/>
    <x v="260"/>
    <n v="1"/>
    <n v="1"/>
  </r>
  <r>
    <s v="032.552.159/0001-05"/>
    <x v="211"/>
    <s v="EXCLUSAO  ANOT.INADIMPLENCIA"/>
    <x v="253"/>
    <x v="27"/>
    <s v="2025-10"/>
    <x v="4"/>
    <s v="ALISSON DE SOUZA LIMA"/>
    <x v="211"/>
    <n v="1"/>
    <n v="0"/>
  </r>
  <r>
    <s v="029.246.128/0001-11"/>
    <x v="127"/>
    <s v="EXCLUSAO  ANOT.INADIMPLENCIA"/>
    <x v="253"/>
    <x v="9"/>
    <s v="2025-10"/>
    <x v="4"/>
    <s v="PRISCILA METZ"/>
    <x v="127"/>
    <n v="1"/>
    <n v="0"/>
  </r>
  <r>
    <s v="028.556.973/0001-20"/>
    <x v="118"/>
    <s v="EXCLUSAO  ANOT.INADIMPLENCIA"/>
    <x v="253"/>
    <x v="1"/>
    <s v="2025-10"/>
    <x v="4"/>
    <s v="CELIO PIMENTA"/>
    <x v="118"/>
    <n v="1"/>
    <n v="0"/>
  </r>
  <r>
    <s v="028.511.223/0001-32"/>
    <x v="189"/>
    <s v="EXCLUSAO  ANOT.INADIMPLENCIA"/>
    <x v="253"/>
    <x v="0"/>
    <s v="2025-10"/>
    <x v="4"/>
    <s v="ADMINISTRAÇÃO"/>
    <x v="189"/>
    <n v="1"/>
    <n v="0"/>
  </r>
  <r>
    <s v="028.393.466/0001-13"/>
    <x v="167"/>
    <s v="INCL/EXCL ANOT.INADIMPLENCIA"/>
    <x v="253"/>
    <x v="12"/>
    <s v="2025-10"/>
    <x v="4"/>
    <s v="PROSPECTAR"/>
    <x v="167"/>
    <n v="1"/>
    <n v="1"/>
  </r>
  <r>
    <s v="026.628.832/0001-40"/>
    <x v="244"/>
    <s v="EXCLUSAO  ANOT.INADIMPLENCIA"/>
    <x v="253"/>
    <x v="27"/>
    <s v="2025-10"/>
    <x v="4"/>
    <s v="ALISSON DE SOUZA LIMA"/>
    <x v="244"/>
    <n v="1"/>
    <n v="0"/>
  </r>
  <r>
    <s v="014.829.598/0001-30"/>
    <x v="31"/>
    <s v="INCLUSAO  ANOT.INADIMPLENCIA"/>
    <x v="253"/>
    <x v="9"/>
    <s v="2025-10"/>
    <x v="4"/>
    <s v="PRISCILA METZ"/>
    <x v="31"/>
    <n v="0"/>
    <n v="1"/>
  </r>
  <r>
    <s v="011.122.552/0001-99"/>
    <x v="59"/>
    <s v="INCLUSAO  ANOT.INADIMPLENCIA"/>
    <x v="253"/>
    <x v="6"/>
    <s v="2025-10"/>
    <x v="4"/>
    <s v="RAFAEL PARISE"/>
    <x v="59"/>
    <n v="0"/>
    <n v="1"/>
  </r>
  <r>
    <s v="008.250.872/0001-10"/>
    <x v="121"/>
    <s v="EXCLUSAO  ANOT.INADIMPLENCIA"/>
    <x v="253"/>
    <x v="6"/>
    <s v="2025-10"/>
    <x v="4"/>
    <s v="RAFAEL PARISE"/>
    <x v="121"/>
    <n v="1"/>
    <n v="0"/>
  </r>
  <r>
    <s v="008.196.295/0001-25"/>
    <x v="255"/>
    <s v="EXCLUSAO  ANOT.INADIMPLENCIA"/>
    <x v="253"/>
    <x v="34"/>
    <s v="2025-10"/>
    <x v="4"/>
    <s v="CREDTEM"/>
    <x v="255"/>
    <n v="1"/>
    <n v="0"/>
  </r>
  <r>
    <s v="007.102.721/0001-51"/>
    <x v="44"/>
    <s v="INCL/EXCL ANOT.INADIMPLENCIA"/>
    <x v="253"/>
    <x v="12"/>
    <s v="2025-10"/>
    <x v="4"/>
    <s v="PROSPECTAR"/>
    <x v="44"/>
    <n v="1"/>
    <n v="1"/>
  </r>
  <r>
    <s v="005.997.418/0001-39"/>
    <x v="165"/>
    <s v="INCLUSAO  ANOT.INADIMPLENCIA"/>
    <x v="253"/>
    <x v="6"/>
    <s v="2025-10"/>
    <x v="4"/>
    <s v="RAFAEL PARISE"/>
    <x v="165"/>
    <n v="0"/>
    <n v="1"/>
  </r>
  <r>
    <s v="004.323.643/0001-27"/>
    <x v="221"/>
    <s v="EXCLUSAO  ANOT.INADIMPLENCIA"/>
    <x v="253"/>
    <x v="0"/>
    <s v="2025-10"/>
    <x v="4"/>
    <s v="ADMINISTRAÇÃO"/>
    <x v="221"/>
    <n v="1"/>
    <n v="0"/>
  </r>
  <r>
    <s v="057.698.087/0001-30"/>
    <x v="229"/>
    <s v="INCLUSAO  ANOT.INADIMPLENCIA"/>
    <x v="253"/>
    <x v="1"/>
    <s v="2025-10"/>
    <x v="4"/>
    <s v="CELIO PIMENTA"/>
    <x v="229"/>
    <n v="0"/>
    <n v="1"/>
  </r>
  <r>
    <s v="071.350.797/0001-03"/>
    <x v="48"/>
    <s v="INCLUSAO  ANOT.INADIMPLENCIA"/>
    <x v="253"/>
    <x v="10"/>
    <s v="2025-10"/>
    <x v="4"/>
    <s v="ROGERIO "/>
    <x v="48"/>
    <n v="0"/>
    <n v="1"/>
  </r>
  <r>
    <s v="004.041.192/0001-35"/>
    <x v="37"/>
    <s v="INCLUSAO  ANOT.INADIMPLENCIA"/>
    <x v="254"/>
    <x v="0"/>
    <s v="2025-10"/>
    <x v="4"/>
    <s v="ADMINISTRAÇÃO"/>
    <x v="37"/>
    <n v="0"/>
    <n v="1"/>
  </r>
  <r>
    <s v="044.470.678/0001-03"/>
    <x v="203"/>
    <s v="INCLUSAO  ANOT.INADIMPLENCIA"/>
    <x v="254"/>
    <x v="9"/>
    <s v="2025-10"/>
    <x v="4"/>
    <s v="PRISCILA METZ"/>
    <x v="203"/>
    <n v="0"/>
    <n v="1"/>
  </r>
  <r>
    <s v="042.119.428/0001-06"/>
    <x v="247"/>
    <s v="EXCLUSAO  ANOT.INADIMPLENCIA"/>
    <x v="254"/>
    <x v="31"/>
    <s v="2025-10"/>
    <x v="4"/>
    <s v="TIAGO NEVES"/>
    <x v="247"/>
    <n v="1"/>
    <n v="0"/>
  </r>
  <r>
    <s v="041.397.377/0001-03"/>
    <x v="241"/>
    <s v="EXCLUSAO  ANOT.INADIMPLENCIA"/>
    <x v="254"/>
    <x v="10"/>
    <s v="2025-10"/>
    <x v="4"/>
    <s v="ROGERIO "/>
    <x v="241"/>
    <n v="1"/>
    <n v="0"/>
  </r>
  <r>
    <s v="041.388.946/0001-54"/>
    <x v="175"/>
    <s v="INCLUSAO  ANOT.INADIMPLENCIA"/>
    <x v="254"/>
    <x v="1"/>
    <s v="2025-10"/>
    <x v="4"/>
    <s v="CELIO PIMENTA"/>
    <x v="175"/>
    <n v="0"/>
    <n v="1"/>
  </r>
  <r>
    <s v="038.007.528/0001-65"/>
    <x v="277"/>
    <s v="INCLUSAO  ANOT.INADIMPLENCIA"/>
    <x v="254"/>
    <x v="9"/>
    <s v="2025-10"/>
    <x v="4"/>
    <s v="PRISCILA METZ"/>
    <x v="277"/>
    <n v="0"/>
    <n v="1"/>
  </r>
  <r>
    <s v="034.165.528/0001-32"/>
    <x v="256"/>
    <s v="INCLUSAO  ANOT.INADIMPLENCIA"/>
    <x v="254"/>
    <x v="27"/>
    <s v="2025-10"/>
    <x v="4"/>
    <s v="ALISSON DE SOUZA LIMA"/>
    <x v="256"/>
    <n v="0"/>
    <n v="1"/>
  </r>
  <r>
    <s v="032.213.847/0001-40"/>
    <x v="198"/>
    <s v="INCLUSAO  ANOT.INADIMPLENCIA"/>
    <x v="254"/>
    <x v="9"/>
    <s v="2025-10"/>
    <x v="4"/>
    <s v="PRISCILA METZ"/>
    <x v="198"/>
    <n v="0"/>
    <n v="1"/>
  </r>
  <r>
    <s v="028.511.223/0001-32"/>
    <x v="189"/>
    <s v="INCLUSAO  ANOT.INADIMPLENCIA"/>
    <x v="254"/>
    <x v="0"/>
    <s v="2025-10"/>
    <x v="4"/>
    <s v="ADMINISTRAÇÃO"/>
    <x v="189"/>
    <n v="0"/>
    <n v="1"/>
  </r>
  <r>
    <s v="028.393.466/0001-13"/>
    <x v="167"/>
    <s v="INCLUSAO  ANOT.INADIMPLENCIA"/>
    <x v="254"/>
    <x v="12"/>
    <s v="2025-10"/>
    <x v="4"/>
    <s v="PROSPECTAR"/>
    <x v="167"/>
    <n v="0"/>
    <n v="1"/>
  </r>
  <r>
    <s v="027.180.131/0001-54"/>
    <x v="188"/>
    <s v="EXCLUSAO  ANOT.INADIMPLENCIA"/>
    <x v="254"/>
    <x v="9"/>
    <s v="2025-10"/>
    <x v="4"/>
    <s v="PRISCILA METZ"/>
    <x v="188"/>
    <n v="1"/>
    <n v="0"/>
  </r>
  <r>
    <s v="026.628.832/0001-40"/>
    <x v="244"/>
    <s v="INCLUSAO  ANOT.INADIMPLENCIA"/>
    <x v="254"/>
    <x v="27"/>
    <s v="2025-10"/>
    <x v="4"/>
    <s v="ALISSON DE SOUZA LIMA"/>
    <x v="244"/>
    <n v="0"/>
    <n v="1"/>
  </r>
  <r>
    <s v="004.126.524/0001-84"/>
    <x v="289"/>
    <s v="ALTERACAO RAZAO SOCIAL"/>
    <x v="254"/>
    <x v="0"/>
    <s v="2025-10"/>
    <x v="4"/>
    <s v="ADMINISTRAÇÃO"/>
    <x v="289"/>
    <n v="0"/>
    <n v="0"/>
  </r>
  <r>
    <s v="025.383.640/0001-59"/>
    <x v="158"/>
    <s v="EXCLUSAO  ANOT.INADIMPLENCIA"/>
    <x v="254"/>
    <x v="5"/>
    <s v="2025-10"/>
    <x v="4"/>
    <s v="POENATELA"/>
    <x v="158"/>
    <n v="1"/>
    <n v="0"/>
  </r>
  <r>
    <s v="021.382.943/0001-04"/>
    <x v="205"/>
    <s v="EXCLUSAO  ANOT.INADIMPLENCIA"/>
    <x v="254"/>
    <x v="0"/>
    <s v="2025-10"/>
    <x v="4"/>
    <s v="ADMINISTRAÇÃO"/>
    <x v="205"/>
    <n v="1"/>
    <n v="0"/>
  </r>
  <r>
    <s v="021.090.123/0001-30"/>
    <x v="290"/>
    <s v="INCLUSAO  ANOT.INADIMPLENCIA"/>
    <x v="254"/>
    <x v="21"/>
    <s v="2025-10"/>
    <x v="4"/>
    <s v="CAIO"/>
    <x v="290"/>
    <n v="0"/>
    <n v="1"/>
  </r>
  <r>
    <s v="020.024.081/0001-77"/>
    <x v="177"/>
    <s v="INCLUSAO  ANOT.INADIMPLENCIA"/>
    <x v="254"/>
    <x v="10"/>
    <s v="2025-10"/>
    <x v="4"/>
    <s v="ROGERIO "/>
    <x v="177"/>
    <n v="0"/>
    <n v="1"/>
  </r>
  <r>
    <s v="019.961.036/0001-60"/>
    <x v="262"/>
    <s v="EXCLUSAO  ANOT.INADIMPLENCIA"/>
    <x v="254"/>
    <x v="36"/>
    <s v="2025-10"/>
    <x v="4"/>
    <s v="JJPH"/>
    <x v="262"/>
    <n v="1"/>
    <n v="0"/>
  </r>
  <r>
    <s v="016.772.642/0001-49"/>
    <x v="69"/>
    <s v="INCL/EXCL ANOT.INADIMPLENCIA"/>
    <x v="254"/>
    <x v="0"/>
    <s v="2025-10"/>
    <x v="4"/>
    <s v="ADMINISTRAÇÃO"/>
    <x v="69"/>
    <n v="1"/>
    <n v="1"/>
  </r>
  <r>
    <s v="014.829.598/0001-30"/>
    <x v="31"/>
    <s v="INCLUSAO  ANOT.INADIMPLENCIA"/>
    <x v="254"/>
    <x v="9"/>
    <s v="2025-10"/>
    <x v="4"/>
    <s v="PRISCILA METZ"/>
    <x v="31"/>
    <n v="0"/>
    <n v="1"/>
  </r>
  <r>
    <s v="011.655.076/0001-71"/>
    <x v="263"/>
    <s v="EXCLUSAO  ANOT.INADIMPLENCIA"/>
    <x v="254"/>
    <x v="21"/>
    <s v="2025-10"/>
    <x v="4"/>
    <s v="CAIO"/>
    <x v="263"/>
    <n v="1"/>
    <n v="0"/>
  </r>
  <r>
    <s v="011.122.552/0001-99"/>
    <x v="59"/>
    <s v="INCLUSAO  ANOT.INADIMPLENCIA"/>
    <x v="254"/>
    <x v="6"/>
    <s v="2025-10"/>
    <x v="4"/>
    <s v="RAFAEL PARISE"/>
    <x v="59"/>
    <n v="0"/>
    <n v="1"/>
  </r>
  <r>
    <s v="008.250.872/0001-10"/>
    <x v="121"/>
    <s v="INCLUSAO  ANOT.INADIMPLENCIA"/>
    <x v="254"/>
    <x v="6"/>
    <s v="2025-10"/>
    <x v="4"/>
    <s v="RAFAEL PARISE"/>
    <x v="121"/>
    <n v="0"/>
    <n v="1"/>
  </r>
  <r>
    <s v="007.272.884/0001-82"/>
    <x v="276"/>
    <s v="INCLUSAO  ANOT.INADIMPLENCIA"/>
    <x v="254"/>
    <x v="10"/>
    <s v="2025-10"/>
    <x v="4"/>
    <s v="ROGERIO "/>
    <x v="276"/>
    <n v="0"/>
    <n v="1"/>
  </r>
  <r>
    <s v="007.102.721/0001-51"/>
    <x v="44"/>
    <s v="INCLUSAO  ANOT.INADIMPLENCIA"/>
    <x v="254"/>
    <x v="12"/>
    <s v="2025-10"/>
    <x v="4"/>
    <s v="PROSPECTAR"/>
    <x v="44"/>
    <n v="0"/>
    <n v="1"/>
  </r>
  <r>
    <s v="005.363.690/0001-67"/>
    <x v="90"/>
    <s v="EXCLUSAO  ANOT.INADIMPLENCIA"/>
    <x v="254"/>
    <x v="12"/>
    <s v="2025-10"/>
    <x v="4"/>
    <s v="PROSPECTAR"/>
    <x v="90"/>
    <n v="1"/>
    <n v="0"/>
  </r>
  <r>
    <s v="021.420.856/0001-96"/>
    <x v="129"/>
    <s v="EXCLUSAO  ANOT.INADIMPLENCIA"/>
    <x v="254"/>
    <x v="19"/>
    <s v="2025-10"/>
    <x v="4"/>
    <s v="JOSE ROBERTO"/>
    <x v="129"/>
    <n v="1"/>
    <n v="0"/>
  </r>
  <r>
    <s v="004.126.524/0001-84"/>
    <x v="289"/>
    <s v="ALTERACAO ENDERECO"/>
    <x v="254"/>
    <x v="0"/>
    <s v="2025-10"/>
    <x v="4"/>
    <s v="ADMINISTRAÇÃO"/>
    <x v="289"/>
    <n v="0"/>
    <n v="0"/>
  </r>
  <r>
    <s v="001.542.005/0001-09"/>
    <x v="291"/>
    <s v="INCLUSAO  ANOT.INADIMPLENCIA"/>
    <x v="255"/>
    <x v="13"/>
    <s v="2025-10"/>
    <x v="5"/>
    <s v="ANDERSON FRAGA"/>
    <x v="291"/>
    <n v="0"/>
    <n v="1"/>
  </r>
  <r>
    <s v="052.755.043/0001-80"/>
    <x v="237"/>
    <s v="INCLUSAO  ANOT.INADIMPLENCIA"/>
    <x v="255"/>
    <x v="3"/>
    <s v="2025-10"/>
    <x v="5"/>
    <s v="MARCUS VINICIUS "/>
    <x v="237"/>
    <n v="0"/>
    <n v="1"/>
  </r>
  <r>
    <s v="051.323.061/0001-20"/>
    <x v="252"/>
    <s v="INCLUSAO  ANOT.INADIMPLENCIA"/>
    <x v="255"/>
    <x v="27"/>
    <s v="2025-10"/>
    <x v="5"/>
    <s v="ALISSON DE SOUZA LIMA"/>
    <x v="252"/>
    <n v="0"/>
    <n v="1"/>
  </r>
  <r>
    <s v="047.635.671/0001-92"/>
    <x v="143"/>
    <s v="INCLUSAO  ANOT.INADIMPLENCIA"/>
    <x v="255"/>
    <x v="1"/>
    <s v="2025-10"/>
    <x v="5"/>
    <s v="CELIO PIMENTA"/>
    <x v="143"/>
    <n v="0"/>
    <n v="1"/>
  </r>
  <r>
    <s v="044.570.311/0001-61"/>
    <x v="116"/>
    <s v="EXCLUSAO  ANOT.INADIMPLENCIA"/>
    <x v="255"/>
    <x v="12"/>
    <s v="2025-10"/>
    <x v="5"/>
    <s v="PROSPECTAR"/>
    <x v="116"/>
    <n v="1"/>
    <n v="0"/>
  </r>
  <r>
    <s v="044.470.678/0001-03"/>
    <x v="203"/>
    <s v="INCLUSAO  ANOT.INADIMPLENCIA"/>
    <x v="255"/>
    <x v="9"/>
    <s v="2025-10"/>
    <x v="5"/>
    <s v="PRISCILA METZ"/>
    <x v="203"/>
    <n v="0"/>
    <n v="1"/>
  </r>
  <r>
    <s v="043.515.558/0001-12"/>
    <x v="176"/>
    <s v="INCLUSAO  ANOT.INADIMPLENCIA"/>
    <x v="255"/>
    <x v="10"/>
    <s v="2025-10"/>
    <x v="5"/>
    <s v="ROGERIO "/>
    <x v="176"/>
    <n v="0"/>
    <n v="1"/>
  </r>
  <r>
    <s v="038.007.528/0001-65"/>
    <x v="277"/>
    <s v="EXCLUSAO  ANOT.INADIMPLENCIA"/>
    <x v="255"/>
    <x v="9"/>
    <s v="2025-10"/>
    <x v="5"/>
    <s v="PRISCILA METZ"/>
    <x v="277"/>
    <n v="1"/>
    <n v="0"/>
  </r>
  <r>
    <s v="035.797.639/0001-24"/>
    <x v="250"/>
    <s v="EXCLUSAO  ANOT.INADIMPLENCIA"/>
    <x v="255"/>
    <x v="9"/>
    <s v="2025-10"/>
    <x v="5"/>
    <s v="PRISCILA METZ"/>
    <x v="250"/>
    <n v="1"/>
    <n v="0"/>
  </r>
  <r>
    <s v="034.165.528/0001-32"/>
    <x v="256"/>
    <s v="INCLUSAO  ANOT.INADIMPLENCIA"/>
    <x v="255"/>
    <x v="27"/>
    <s v="2025-10"/>
    <x v="5"/>
    <s v="ALISSON DE SOUZA LIMA"/>
    <x v="256"/>
    <n v="0"/>
    <n v="1"/>
  </r>
  <r>
    <s v="032.213.847/0001-40"/>
    <x v="198"/>
    <s v="INCLUSAO  ANOT.INADIMPLENCIA"/>
    <x v="255"/>
    <x v="9"/>
    <s v="2025-10"/>
    <x v="5"/>
    <s v="PRISCILA METZ"/>
    <x v="198"/>
    <n v="0"/>
    <n v="1"/>
  </r>
  <r>
    <s v="028.650.970/0001-51"/>
    <x v="166"/>
    <s v="EXCLUSAO  ANOT.INADIMPLENCIA"/>
    <x v="255"/>
    <x v="10"/>
    <s v="2025-10"/>
    <x v="5"/>
    <s v="ROGERIO "/>
    <x v="166"/>
    <n v="1"/>
    <n v="0"/>
  </r>
  <r>
    <s v="028.556.973/0001-20"/>
    <x v="118"/>
    <s v="INCLUSAO  ANOT.INADIMPLENCIA"/>
    <x v="255"/>
    <x v="1"/>
    <s v="2025-10"/>
    <x v="5"/>
    <s v="CELIO PIMENTA"/>
    <x v="118"/>
    <n v="0"/>
    <n v="1"/>
  </r>
  <r>
    <s v="028.511.223/0001-32"/>
    <x v="189"/>
    <s v="INCL/EXCL ANOT.INADIMPLENCIA"/>
    <x v="255"/>
    <x v="0"/>
    <s v="2025-10"/>
    <x v="5"/>
    <s v="ADMINISTRAÇÃO"/>
    <x v="189"/>
    <n v="1"/>
    <n v="1"/>
  </r>
  <r>
    <s v="027.180.131/0001-54"/>
    <x v="188"/>
    <s v="INCLUSAO  ANOT.INADIMPLENCIA"/>
    <x v="255"/>
    <x v="9"/>
    <s v="2025-10"/>
    <x v="5"/>
    <s v="PRISCILA METZ"/>
    <x v="188"/>
    <n v="0"/>
    <n v="1"/>
  </r>
  <r>
    <s v="057.696.093/0001-58"/>
    <x v="206"/>
    <s v="INCLUSAO  ANOT.INADIMPLENCIA"/>
    <x v="255"/>
    <x v="1"/>
    <s v="2025-10"/>
    <x v="5"/>
    <s v="CELIO PIMENTA"/>
    <x v="206"/>
    <n v="0"/>
    <n v="1"/>
  </r>
  <r>
    <s v="026.628.832/0001-40"/>
    <x v="244"/>
    <s v="INCLUSAO  ANOT.INADIMPLENCIA"/>
    <x v="255"/>
    <x v="27"/>
    <s v="2025-10"/>
    <x v="5"/>
    <s v="ALISSON DE SOUZA LIMA"/>
    <x v="244"/>
    <n v="0"/>
    <n v="1"/>
  </r>
  <r>
    <s v="022.998.836/0001-60"/>
    <x v="24"/>
    <s v="EXCLUSAO  ANOT.INADIMPLENCIA"/>
    <x v="255"/>
    <x v="0"/>
    <s v="2025-10"/>
    <x v="5"/>
    <s v="ADMINISTRAÇÃO"/>
    <x v="24"/>
    <n v="1"/>
    <n v="0"/>
  </r>
  <r>
    <s v="021.734.108/0001-88"/>
    <x v="41"/>
    <s v="EXCLUSAO  ANOT.INADIMPLENCIA"/>
    <x v="255"/>
    <x v="0"/>
    <s v="2025-10"/>
    <x v="5"/>
    <s v="ADMINISTRAÇÃO"/>
    <x v="41"/>
    <n v="1"/>
    <n v="0"/>
  </r>
  <r>
    <s v="021.090.123/0001-30"/>
    <x v="290"/>
    <s v="INCL/EXCL ANOT.INADIMPLENCIA"/>
    <x v="255"/>
    <x v="21"/>
    <s v="2025-10"/>
    <x v="5"/>
    <s v="CAIO"/>
    <x v="290"/>
    <n v="1"/>
    <n v="1"/>
  </r>
  <r>
    <s v="020.024.081/0001-77"/>
    <x v="177"/>
    <s v="INCL/EXCL ANOT.INADIMPLENCIA"/>
    <x v="255"/>
    <x v="10"/>
    <s v="2025-10"/>
    <x v="5"/>
    <s v="ROGERIO "/>
    <x v="177"/>
    <n v="1"/>
    <n v="1"/>
  </r>
  <r>
    <s v="019.961.036/0001-60"/>
    <x v="262"/>
    <s v="INCLUSAO  ANOT.INADIMPLENCIA"/>
    <x v="255"/>
    <x v="36"/>
    <s v="2025-10"/>
    <x v="5"/>
    <s v="JJPH"/>
    <x v="262"/>
    <n v="0"/>
    <n v="1"/>
  </r>
  <r>
    <s v="016.757.535/0001-41"/>
    <x v="29"/>
    <s v="INCLUSAO  ANOT.INADIMPLENCIA"/>
    <x v="255"/>
    <x v="11"/>
    <s v="2025-10"/>
    <x v="5"/>
    <s v="DIOGO AZEVEDO"/>
    <x v="29"/>
    <n v="0"/>
    <n v="1"/>
  </r>
  <r>
    <s v="014.829.598/0001-30"/>
    <x v="31"/>
    <s v="INCLUSAO  ANOT.INADIMPLENCIA"/>
    <x v="255"/>
    <x v="9"/>
    <s v="2025-10"/>
    <x v="5"/>
    <s v="PRISCILA METZ"/>
    <x v="31"/>
    <n v="0"/>
    <n v="1"/>
  </r>
  <r>
    <s v="014.385.825/0001-86"/>
    <x v="110"/>
    <s v="INCLUSAO  ANOT.INADIMPLENCIA"/>
    <x v="255"/>
    <x v="6"/>
    <s v="2025-10"/>
    <x v="5"/>
    <s v="RAFAEL PARISE"/>
    <x v="110"/>
    <n v="0"/>
    <n v="1"/>
  </r>
  <r>
    <s v="011.122.552/0001-99"/>
    <x v="59"/>
    <s v="INCLUSAO  ANOT.INADIMPLENCIA"/>
    <x v="255"/>
    <x v="6"/>
    <s v="2025-10"/>
    <x v="5"/>
    <s v="RAFAEL PARISE"/>
    <x v="59"/>
    <n v="0"/>
    <n v="1"/>
  </r>
  <r>
    <s v="008.250.872/0001-10"/>
    <x v="121"/>
    <s v="INCLUSAO  ANOT.INADIMPLENCIA"/>
    <x v="255"/>
    <x v="6"/>
    <s v="2025-10"/>
    <x v="5"/>
    <s v="RAFAEL PARISE"/>
    <x v="121"/>
    <n v="0"/>
    <n v="1"/>
  </r>
  <r>
    <s v="007.102.721/0001-51"/>
    <x v="44"/>
    <s v="EXCLUSAO  ANOT.INADIMPLENCIA"/>
    <x v="255"/>
    <x v="12"/>
    <s v="2025-10"/>
    <x v="5"/>
    <s v="PROSPECTAR"/>
    <x v="44"/>
    <n v="1"/>
    <n v="0"/>
  </r>
  <r>
    <s v="005.997.418/0001-39"/>
    <x v="165"/>
    <s v="EXCLUSAO  ANOT.INADIMPLENCIA"/>
    <x v="255"/>
    <x v="6"/>
    <s v="2025-10"/>
    <x v="5"/>
    <s v="RAFAEL PARISE"/>
    <x v="165"/>
    <n v="1"/>
    <n v="0"/>
  </r>
  <r>
    <s v="004.323.643/0001-27"/>
    <x v="221"/>
    <s v="INCLUSAO  ANOT.INADIMPLENCIA"/>
    <x v="255"/>
    <x v="0"/>
    <s v="2025-10"/>
    <x v="5"/>
    <s v="ADMINISTRAÇÃO"/>
    <x v="221"/>
    <n v="0"/>
    <n v="1"/>
  </r>
  <r>
    <s v="003.524.760/0001-96"/>
    <x v="230"/>
    <s v="INCLUSAO  ANOT.INADIMPLENCIA"/>
    <x v="255"/>
    <x v="30"/>
    <s v="2025-10"/>
    <x v="5"/>
    <s v="ANDRE CUNHA"/>
    <x v="230"/>
    <n v="0"/>
    <n v="1"/>
  </r>
  <r>
    <s v="026.416.177/0001-67"/>
    <x v="130"/>
    <s v="EXCLUSAO  ANOT.INADIMPLENCIA"/>
    <x v="255"/>
    <x v="3"/>
    <s v="2025-10"/>
    <x v="5"/>
    <s v="MARCUS VINICIUS "/>
    <x v="130"/>
    <n v="1"/>
    <n v="0"/>
  </r>
  <r>
    <s v="057.698.087/0001-30"/>
    <x v="229"/>
    <s v="INCLUSAO  ANOT.INADIMPLENCIA"/>
    <x v="255"/>
    <x v="1"/>
    <s v="2025-10"/>
    <x v="5"/>
    <s v="CELIO PIMENTA"/>
    <x v="229"/>
    <n v="0"/>
    <n v="1"/>
  </r>
  <r>
    <s v="007.102.721/0001-51"/>
    <x v="44"/>
    <s v="EXCLUSAO  ANOT.INADIMPLENCIA"/>
    <x v="256"/>
    <x v="12"/>
    <s v="2025-10"/>
    <x v="5"/>
    <s v="PROSPECTAR"/>
    <x v="44"/>
    <n v="1"/>
    <n v="0"/>
  </r>
  <r>
    <s v="057.698.087/0001-30"/>
    <x v="229"/>
    <s v="INCLUSAO  ANOT.INADIMPLENCIA"/>
    <x v="256"/>
    <x v="1"/>
    <s v="2025-10"/>
    <x v="5"/>
    <s v="CELIO PIMENTA"/>
    <x v="229"/>
    <n v="0"/>
    <n v="1"/>
  </r>
  <r>
    <s v="057.696.093/0001-58"/>
    <x v="206"/>
    <s v="INCLUSAO  ANOT.INADIMPLENCIA"/>
    <x v="256"/>
    <x v="1"/>
    <s v="2025-10"/>
    <x v="5"/>
    <s v="CELIO PIMENTA"/>
    <x v="206"/>
    <n v="0"/>
    <n v="1"/>
  </r>
  <r>
    <s v="055.979.736/0001-45"/>
    <x v="63"/>
    <s v="EXCLUSAO  ANOT.INADIMPLENCIA"/>
    <x v="256"/>
    <x v="16"/>
    <s v="2025-10"/>
    <x v="5"/>
    <s v="SACADO"/>
    <x v="63"/>
    <n v="1"/>
    <n v="0"/>
  </r>
  <r>
    <s v="051.980.425/0001-45"/>
    <x v="173"/>
    <s v="EXCLUSAO  ANOT.INADIMPLENCIA"/>
    <x v="256"/>
    <x v="10"/>
    <s v="2025-10"/>
    <x v="5"/>
    <s v="ROGERIO "/>
    <x v="173"/>
    <n v="1"/>
    <n v="0"/>
  </r>
  <r>
    <s v="044.470.678/0001-03"/>
    <x v="203"/>
    <s v="INCLUSAO  ANOT.INADIMPLENCIA"/>
    <x v="256"/>
    <x v="9"/>
    <s v="2025-10"/>
    <x v="5"/>
    <s v="PRISCILA METZ"/>
    <x v="203"/>
    <n v="0"/>
    <n v="1"/>
  </r>
  <r>
    <s v="039.438.917/0001-08"/>
    <x v="273"/>
    <s v="INCLUSAO  ANOT.INADIMPLENCIA"/>
    <x v="256"/>
    <x v="10"/>
    <s v="2025-10"/>
    <x v="5"/>
    <s v="ROGERIO "/>
    <x v="273"/>
    <n v="0"/>
    <n v="1"/>
  </r>
  <r>
    <s v="028.511.223/0001-32"/>
    <x v="189"/>
    <s v="INCLUSAO  ANOT.INADIMPLENCIA"/>
    <x v="256"/>
    <x v="0"/>
    <s v="2025-10"/>
    <x v="5"/>
    <s v="ADMINISTRAÇÃO"/>
    <x v="189"/>
    <n v="0"/>
    <n v="1"/>
  </r>
  <r>
    <s v="027.180.131/0001-54"/>
    <x v="188"/>
    <s v="INCLUSAO  ANOT.INADIMPLENCIA"/>
    <x v="256"/>
    <x v="9"/>
    <s v="2025-10"/>
    <x v="5"/>
    <s v="PRISCILA METZ"/>
    <x v="188"/>
    <n v="0"/>
    <n v="1"/>
  </r>
  <r>
    <s v="071.350.797/0001-03"/>
    <x v="48"/>
    <s v="INCLUSAO  ANOT.INADIMPLENCIA"/>
    <x v="256"/>
    <x v="10"/>
    <s v="2025-10"/>
    <x v="5"/>
    <s v="ROGERIO "/>
    <x v="48"/>
    <n v="0"/>
    <n v="1"/>
  </r>
  <r>
    <s v="026.628.832/0001-40"/>
    <x v="244"/>
    <s v="INCLUSAO  ANOT.INADIMPLENCIA"/>
    <x v="256"/>
    <x v="27"/>
    <s v="2025-10"/>
    <x v="5"/>
    <s v="ALISSON DE SOUZA LIMA"/>
    <x v="244"/>
    <n v="0"/>
    <n v="1"/>
  </r>
  <r>
    <s v="023.339.028/0001-53"/>
    <x v="292"/>
    <s v="EXCLUSAO  ANOT.INADIMPLENCIA"/>
    <x v="256"/>
    <x v="1"/>
    <s v="2025-10"/>
    <x v="5"/>
    <s v="CELIO PIMENTA"/>
    <x v="292"/>
    <n v="1"/>
    <n v="0"/>
  </r>
  <r>
    <s v="021.382.943/0001-04"/>
    <x v="205"/>
    <s v="INCLUSAO  ANOT.INADIMPLENCIA"/>
    <x v="256"/>
    <x v="0"/>
    <s v="2025-10"/>
    <x v="5"/>
    <s v="ADMINISTRAÇÃO"/>
    <x v="205"/>
    <n v="0"/>
    <n v="1"/>
  </r>
  <r>
    <s v="020.024.081/0001-77"/>
    <x v="177"/>
    <s v="INCL/EXCL ANOT.INADIMPLENCIA"/>
    <x v="256"/>
    <x v="10"/>
    <s v="2025-10"/>
    <x v="5"/>
    <s v="ROGERIO "/>
    <x v="177"/>
    <n v="1"/>
    <n v="1"/>
  </r>
  <r>
    <s v="019.450.138/0001-10"/>
    <x v="70"/>
    <s v="EXCLUSAO  ANOT.INADIMPLENCIA"/>
    <x v="256"/>
    <x v="17"/>
    <s v="2025-10"/>
    <x v="5"/>
    <s v="MARCIO LEONEL"/>
    <x v="70"/>
    <n v="1"/>
    <n v="0"/>
  </r>
  <r>
    <s v="014.829.598/0001-30"/>
    <x v="31"/>
    <s v="INCL/EXCL ANOT.INADIMPLENCIA"/>
    <x v="256"/>
    <x v="9"/>
    <s v="2025-10"/>
    <x v="5"/>
    <s v="PRISCILA METZ"/>
    <x v="31"/>
    <n v="1"/>
    <n v="1"/>
  </r>
  <r>
    <s v="011.122.552/0001-99"/>
    <x v="59"/>
    <s v="INCLUSAO  ANOT.INADIMPLENCIA"/>
    <x v="256"/>
    <x v="6"/>
    <s v="2025-10"/>
    <x v="5"/>
    <s v="RAFAEL PARISE"/>
    <x v="59"/>
    <n v="0"/>
    <n v="1"/>
  </r>
  <r>
    <s v="008.250.872/0001-10"/>
    <x v="121"/>
    <s v="INCLUSAO  ANOT.INADIMPLENCIA"/>
    <x v="256"/>
    <x v="6"/>
    <s v="2025-10"/>
    <x v="5"/>
    <s v="RAFAEL PARISE"/>
    <x v="121"/>
    <n v="0"/>
    <n v="1"/>
  </r>
  <r>
    <s v="007.272.884/0001-82"/>
    <x v="276"/>
    <s v="EXCLUSAO  ANOT.INADIMPLENCIA"/>
    <x v="256"/>
    <x v="10"/>
    <s v="2025-10"/>
    <x v="5"/>
    <s v="ROGERIO "/>
    <x v="276"/>
    <n v="1"/>
    <n v="0"/>
  </r>
  <r>
    <s v="025.788.035/0001-68"/>
    <x v="258"/>
    <s v="EXCLUSAO  ANOT.INADIMPLENCIA"/>
    <x v="256"/>
    <x v="31"/>
    <s v="2025-10"/>
    <x v="5"/>
    <s v="TIAGO NEVES"/>
    <x v="258"/>
    <n v="1"/>
    <n v="0"/>
  </r>
  <r>
    <s v="093.274.124/0001-46"/>
    <x v="82"/>
    <s v="EXCLUSAO  ANOT.INADIMPLENCIA"/>
    <x v="256"/>
    <x v="4"/>
    <s v="2025-10"/>
    <x v="5"/>
    <s v="NOELI SALETE"/>
    <x v="82"/>
    <n v="1"/>
    <n v="0"/>
  </r>
  <r>
    <s v="003.590.360/0001-89"/>
    <x v="3"/>
    <s v="INCLUSAO  ANOT.INADIMPLENCIA"/>
    <x v="257"/>
    <x v="1"/>
    <s v="2025-10"/>
    <x v="5"/>
    <s v="CELIO PIMENTA"/>
    <x v="3"/>
    <n v="0"/>
    <n v="1"/>
  </r>
  <r>
    <s v="055.979.736/0001-45"/>
    <x v="63"/>
    <s v="EXCLUSAO  ANOT.INADIMPLENCIA"/>
    <x v="257"/>
    <x v="16"/>
    <s v="2025-10"/>
    <x v="5"/>
    <s v="SACADO"/>
    <x v="63"/>
    <n v="1"/>
    <n v="0"/>
  </r>
  <r>
    <s v="041.388.946/0001-54"/>
    <x v="175"/>
    <s v="EXCLUSAO  ANOT.INADIMPLENCIA"/>
    <x v="257"/>
    <x v="1"/>
    <s v="2025-10"/>
    <x v="5"/>
    <s v="CELIO PIMENTA"/>
    <x v="175"/>
    <n v="1"/>
    <n v="0"/>
  </r>
  <r>
    <s v="039.438.917/0001-08"/>
    <x v="273"/>
    <s v="EXCLUSAO  ANOT.INADIMPLENCIA"/>
    <x v="257"/>
    <x v="10"/>
    <s v="2025-10"/>
    <x v="5"/>
    <s v="ROGERIO "/>
    <x v="273"/>
    <n v="1"/>
    <n v="0"/>
  </r>
  <r>
    <s v="034.165.528/0001-32"/>
    <x v="256"/>
    <s v="INCL/EXCL ANOT.INADIMPLENCIA"/>
    <x v="257"/>
    <x v="27"/>
    <s v="2025-10"/>
    <x v="5"/>
    <s v="ALISSON DE SOUZA LIMA"/>
    <x v="256"/>
    <n v="1"/>
    <n v="1"/>
  </r>
  <r>
    <s v="033.281.410/0001-07"/>
    <x v="242"/>
    <s v="EXCLUSAO  ANOT.INADIMPLENCIA"/>
    <x v="257"/>
    <x v="29"/>
    <s v="2025-10"/>
    <x v="5"/>
    <s v="DALVA"/>
    <x v="242"/>
    <n v="1"/>
    <n v="0"/>
  </r>
  <r>
    <s v="033.028.017/0001-06"/>
    <x v="260"/>
    <s v="ALTERACAO ADMINISTRADORES"/>
    <x v="257"/>
    <x v="31"/>
    <s v="2025-10"/>
    <x v="5"/>
    <s v="TIAGO NEVES"/>
    <x v="260"/>
    <n v="0"/>
    <n v="0"/>
  </r>
  <r>
    <s v="033.028.017/0001-06"/>
    <x v="260"/>
    <s v="ALTERACAO QUADRO SOCIAL"/>
    <x v="257"/>
    <x v="31"/>
    <s v="2025-10"/>
    <x v="5"/>
    <s v="TIAGO NEVES"/>
    <x v="260"/>
    <n v="0"/>
    <n v="0"/>
  </r>
  <r>
    <s v="032.925.977/0001-06"/>
    <x v="235"/>
    <s v="INCLUSAO  ANOT.INADIMPLENCIA"/>
    <x v="257"/>
    <x v="1"/>
    <s v="2025-10"/>
    <x v="5"/>
    <s v="CELIO PIMENTA"/>
    <x v="235"/>
    <n v="0"/>
    <n v="1"/>
  </r>
  <r>
    <s v="026.628.832/0001-40"/>
    <x v="244"/>
    <s v="INCL/EXCL ANOT.INADIMPLENCIA"/>
    <x v="257"/>
    <x v="27"/>
    <s v="2025-10"/>
    <x v="5"/>
    <s v="ALISSON DE SOUZA LIMA"/>
    <x v="244"/>
    <n v="1"/>
    <n v="1"/>
  </r>
  <r>
    <s v="021.382.943/0001-04"/>
    <x v="205"/>
    <s v="EXCLUSAO  ANOT.INADIMPLENCIA"/>
    <x v="257"/>
    <x v="0"/>
    <s v="2025-10"/>
    <x v="5"/>
    <s v="ADMINISTRAÇÃO"/>
    <x v="205"/>
    <n v="1"/>
    <n v="0"/>
  </r>
  <r>
    <s v="021.090.123/0001-30"/>
    <x v="290"/>
    <s v="EXCLUSAO  ANOT.INADIMPLENCIA"/>
    <x v="257"/>
    <x v="21"/>
    <s v="2025-10"/>
    <x v="5"/>
    <s v="CAIO"/>
    <x v="290"/>
    <n v="1"/>
    <n v="0"/>
  </r>
  <r>
    <s v="020.024.081/0001-77"/>
    <x v="177"/>
    <s v="INCL/EXCL ANOT.INADIMPLENCIA"/>
    <x v="257"/>
    <x v="10"/>
    <s v="2025-10"/>
    <x v="5"/>
    <s v="ROGERIO "/>
    <x v="177"/>
    <n v="1"/>
    <n v="1"/>
  </r>
  <r>
    <s v="016.772.642/0001-49"/>
    <x v="69"/>
    <s v="INCL/EXCL ANOT.INADIMPLENCIA"/>
    <x v="257"/>
    <x v="0"/>
    <s v="2025-10"/>
    <x v="5"/>
    <s v="ADMINISTRAÇÃO"/>
    <x v="69"/>
    <n v="1"/>
    <n v="1"/>
  </r>
  <r>
    <s v="014.829.598/0001-30"/>
    <x v="31"/>
    <s v="INCLUSAO  ANOT.INADIMPLENCIA"/>
    <x v="257"/>
    <x v="9"/>
    <s v="2025-10"/>
    <x v="5"/>
    <s v="PRISCILA METZ"/>
    <x v="31"/>
    <n v="0"/>
    <n v="1"/>
  </r>
  <r>
    <s v="013.323.483/0001-07"/>
    <x v="199"/>
    <s v="ALTERACAO QUADRO SOCIAL"/>
    <x v="257"/>
    <x v="21"/>
    <s v="2025-10"/>
    <x v="5"/>
    <s v="CAIO"/>
    <x v="199"/>
    <n v="0"/>
    <n v="0"/>
  </r>
  <r>
    <s v="012.520.791/0001-60"/>
    <x v="4"/>
    <s v="EXCLUSAO  ANOT.INADIMPLENCIA"/>
    <x v="257"/>
    <x v="1"/>
    <s v="2025-10"/>
    <x v="5"/>
    <s v="CELIO PIMENTA"/>
    <x v="4"/>
    <n v="1"/>
    <n v="0"/>
  </r>
  <r>
    <s v="007.181.473/0001-81"/>
    <x v="288"/>
    <s v="EXCLUSAO  ANOT.INADIMPLENCIA"/>
    <x v="257"/>
    <x v="12"/>
    <s v="2025-10"/>
    <x v="5"/>
    <s v="PROSPECTAR"/>
    <x v="288"/>
    <n v="1"/>
    <n v="0"/>
  </r>
  <r>
    <s v="057.696.093/0001-58"/>
    <x v="206"/>
    <s v="INCLUSAO  ANOT.INADIMPLENCIA"/>
    <x v="257"/>
    <x v="1"/>
    <s v="2025-10"/>
    <x v="5"/>
    <s v="CELIO PIMENTA"/>
    <x v="206"/>
    <n v="0"/>
    <n v="1"/>
  </r>
  <r>
    <s v="057.698.087/0001-30"/>
    <x v="229"/>
    <s v="INCLUSAO  ANOT.INADIMPLENCIA"/>
    <x v="257"/>
    <x v="1"/>
    <s v="2025-10"/>
    <x v="5"/>
    <s v="CELIO PIMENTA"/>
    <x v="229"/>
    <n v="0"/>
    <n v="1"/>
  </r>
  <r>
    <s v="001.866.592/0001-91"/>
    <x v="293"/>
    <s v="INCLUSAO  ANOT.INADIMPLENCIA"/>
    <x v="258"/>
    <x v="12"/>
    <s v="2025-10"/>
    <x v="5"/>
    <s v="PROSPECTAR"/>
    <x v="293"/>
    <n v="0"/>
    <n v="1"/>
  </r>
  <r>
    <s v="049.218.819/0001-19"/>
    <x v="150"/>
    <s v="INCLUSAO  ANOT.INADIMPLENCIA"/>
    <x v="258"/>
    <x v="11"/>
    <s v="2025-10"/>
    <x v="5"/>
    <s v="DIOGO AZEVEDO"/>
    <x v="150"/>
    <n v="0"/>
    <n v="1"/>
  </r>
  <r>
    <s v="041.388.946/0001-54"/>
    <x v="175"/>
    <s v="INCLUSAO  ANOT.INADIMPLENCIA"/>
    <x v="258"/>
    <x v="1"/>
    <s v="2025-10"/>
    <x v="5"/>
    <s v="CELIO PIMENTA"/>
    <x v="175"/>
    <n v="0"/>
    <n v="1"/>
  </r>
  <r>
    <s v="039.535.425/0001-30"/>
    <x v="120"/>
    <s v="EXCLUSAO  ANOT.INADIMPLENCIA"/>
    <x v="258"/>
    <x v="6"/>
    <s v="2025-10"/>
    <x v="5"/>
    <s v="RAFAEL PARISE"/>
    <x v="120"/>
    <n v="1"/>
    <n v="0"/>
  </r>
  <r>
    <s v="038.082.538/0001-65"/>
    <x v="79"/>
    <s v="EXCLUSAO  ANOT.INADIMPLENCIA"/>
    <x v="258"/>
    <x v="0"/>
    <s v="2025-10"/>
    <x v="5"/>
    <s v="ADMINISTRAÇÃO"/>
    <x v="79"/>
    <n v="1"/>
    <n v="0"/>
  </r>
  <r>
    <s v="038.007.528/0001-65"/>
    <x v="277"/>
    <s v="EXCLUSAO  ANOT.INADIMPLENCIA"/>
    <x v="258"/>
    <x v="9"/>
    <s v="2025-10"/>
    <x v="5"/>
    <s v="PRISCILA METZ"/>
    <x v="277"/>
    <n v="1"/>
    <n v="0"/>
  </r>
  <r>
    <s v="034.165.528/0001-32"/>
    <x v="256"/>
    <s v="INCLUSAO  ANOT.INADIMPLENCIA"/>
    <x v="258"/>
    <x v="27"/>
    <s v="2025-10"/>
    <x v="5"/>
    <s v="ALISSON DE SOUZA LIMA"/>
    <x v="256"/>
    <n v="0"/>
    <n v="1"/>
  </r>
  <r>
    <s v="028.556.973/0001-20"/>
    <x v="118"/>
    <s v="INCLUSAO  ANOT.INADIMPLENCIA"/>
    <x v="258"/>
    <x v="1"/>
    <s v="2025-10"/>
    <x v="5"/>
    <s v="CELIO PIMENTA"/>
    <x v="118"/>
    <n v="0"/>
    <n v="1"/>
  </r>
  <r>
    <s v="028.511.223/0001-32"/>
    <x v="189"/>
    <s v="INCLUSAO  ANOT.INADIMPLENCIA"/>
    <x v="258"/>
    <x v="0"/>
    <s v="2025-10"/>
    <x v="5"/>
    <s v="ADMINISTRAÇÃO"/>
    <x v="189"/>
    <n v="0"/>
    <n v="1"/>
  </r>
  <r>
    <s v="057.696.093/0001-58"/>
    <x v="206"/>
    <s v="INCLUSAO  ANOT.INADIMPLENCIA"/>
    <x v="258"/>
    <x v="1"/>
    <s v="2025-10"/>
    <x v="5"/>
    <s v="CELIO PIMENTA"/>
    <x v="206"/>
    <n v="0"/>
    <n v="1"/>
  </r>
  <r>
    <s v="027.180.131/0001-54"/>
    <x v="188"/>
    <s v="INCLUSAO  ANOT.INADIMPLENCIA"/>
    <x v="258"/>
    <x v="9"/>
    <s v="2025-10"/>
    <x v="5"/>
    <s v="PRISCILA METZ"/>
    <x v="188"/>
    <n v="0"/>
    <n v="1"/>
  </r>
  <r>
    <s v="021.382.943/0001-04"/>
    <x v="205"/>
    <s v="EXCLUSAO  ANOT.INADIMPLENCIA"/>
    <x v="258"/>
    <x v="0"/>
    <s v="2025-10"/>
    <x v="5"/>
    <s v="ADMINISTRAÇÃO"/>
    <x v="205"/>
    <n v="1"/>
    <n v="0"/>
  </r>
  <r>
    <s v="020.024.081/0001-77"/>
    <x v="177"/>
    <s v="INCL/EXCL ANOT.INADIMPLENCIA"/>
    <x v="258"/>
    <x v="10"/>
    <s v="2025-10"/>
    <x v="5"/>
    <s v="ROGERIO "/>
    <x v="177"/>
    <n v="1"/>
    <n v="1"/>
  </r>
  <r>
    <s v="016.772.642/0001-49"/>
    <x v="69"/>
    <s v="INCL/EXCL ANOT.INADIMPLENCIA"/>
    <x v="258"/>
    <x v="0"/>
    <s v="2025-10"/>
    <x v="5"/>
    <s v="ADMINISTRAÇÃO"/>
    <x v="69"/>
    <n v="1"/>
    <n v="1"/>
  </r>
  <r>
    <s v="014.829.598/0001-30"/>
    <x v="31"/>
    <s v="INCL/EXCL ANOT.INADIMPLENCIA"/>
    <x v="258"/>
    <x v="9"/>
    <s v="2025-10"/>
    <x v="5"/>
    <s v="PRISCILA METZ"/>
    <x v="31"/>
    <n v="1"/>
    <n v="1"/>
  </r>
  <r>
    <s v="008.250.872/0001-10"/>
    <x v="121"/>
    <s v="EXCLUSAO  ANOT.INADIMPLENCIA"/>
    <x v="258"/>
    <x v="6"/>
    <s v="2025-10"/>
    <x v="5"/>
    <s v="RAFAEL PARISE"/>
    <x v="121"/>
    <n v="1"/>
    <n v="0"/>
  </r>
  <r>
    <s v="005.774.638/0001-01"/>
    <x v="197"/>
    <s v="EXCLUSAO  ANOT.INADIMPLENCIA"/>
    <x v="258"/>
    <x v="21"/>
    <s v="2025-10"/>
    <x v="5"/>
    <s v="CAIO"/>
    <x v="197"/>
    <n v="1"/>
    <n v="0"/>
  </r>
  <r>
    <s v="005.136.389/0001-10"/>
    <x v="274"/>
    <s v="INCLUSAO  ANOT.INADIMPLENCIA"/>
    <x v="258"/>
    <x v="0"/>
    <s v="2025-10"/>
    <x v="5"/>
    <s v="ADMINISTRAÇÃO"/>
    <x v="274"/>
    <n v="0"/>
    <n v="1"/>
  </r>
  <r>
    <s v="003.524.760/0001-96"/>
    <x v="230"/>
    <s v="INCLUSAO  ANOT.INADIMPLENCIA"/>
    <x v="258"/>
    <x v="30"/>
    <s v="2025-10"/>
    <x v="5"/>
    <s v="ANDRE CUNHA"/>
    <x v="230"/>
    <n v="0"/>
    <n v="1"/>
  </r>
  <r>
    <s v="026.628.832/0001-40"/>
    <x v="244"/>
    <s v="EXCLUSAO  ANOT.INADIMPLENCIA"/>
    <x v="258"/>
    <x v="27"/>
    <s v="2025-10"/>
    <x v="5"/>
    <s v="ALISSON DE SOUZA LIMA"/>
    <x v="244"/>
    <n v="1"/>
    <n v="0"/>
  </r>
  <r>
    <s v="057.698.087/0001-30"/>
    <x v="229"/>
    <s v="INCLUSAO  ANOT.INADIMPLENCIA"/>
    <x v="258"/>
    <x v="1"/>
    <s v="2025-10"/>
    <x v="5"/>
    <s v="CELIO PIMENTA"/>
    <x v="229"/>
    <n v="0"/>
    <n v="1"/>
  </r>
  <r>
    <s v="003.524.760/0001-96"/>
    <x v="230"/>
    <s v="INCL/EXCL ANOT.INADIMPLENCIA"/>
    <x v="259"/>
    <x v="30"/>
    <s v="2025-10"/>
    <x v="5"/>
    <s v="ANDRE CUNHA"/>
    <x v="230"/>
    <n v="1"/>
    <n v="1"/>
  </r>
  <r>
    <s v="044.073.794/0001-99"/>
    <x v="280"/>
    <s v="INCLUSAO  ANOT.INADIMPLENCIA"/>
    <x v="259"/>
    <x v="27"/>
    <s v="2025-10"/>
    <x v="5"/>
    <s v="ALISSON DE SOUZA LIMA"/>
    <x v="280"/>
    <n v="0"/>
    <n v="1"/>
  </r>
  <r>
    <s v="034.165.528/0001-32"/>
    <x v="256"/>
    <s v="INCLUSAO  ANOT.INADIMPLENCIA"/>
    <x v="259"/>
    <x v="27"/>
    <s v="2025-10"/>
    <x v="5"/>
    <s v="ALISSON DE SOUZA LIMA"/>
    <x v="256"/>
    <n v="0"/>
    <n v="1"/>
  </r>
  <r>
    <s v="032.024.304/0001-85"/>
    <x v="270"/>
    <s v="INCLUSAO  ANOT.INADIMPLENCIA"/>
    <x v="259"/>
    <x v="12"/>
    <s v="2025-10"/>
    <x v="5"/>
    <s v="PROSPECTAR"/>
    <x v="270"/>
    <n v="0"/>
    <n v="1"/>
  </r>
  <r>
    <s v="028.764.312/0001-90"/>
    <x v="285"/>
    <s v="EXCLUSAO  ANOT.INADIMPLENCIA"/>
    <x v="259"/>
    <x v="12"/>
    <s v="2025-10"/>
    <x v="5"/>
    <s v="PROSPECTAR"/>
    <x v="285"/>
    <n v="1"/>
    <n v="0"/>
  </r>
  <r>
    <s v="028.556.973/0001-20"/>
    <x v="118"/>
    <s v="EXCLUSAO  ANOT.INADIMPLENCIA"/>
    <x v="259"/>
    <x v="1"/>
    <s v="2025-10"/>
    <x v="5"/>
    <s v="CELIO PIMENTA"/>
    <x v="118"/>
    <n v="1"/>
    <n v="0"/>
  </r>
  <r>
    <s v="027.180.131/0001-54"/>
    <x v="188"/>
    <s v="INCLUSAO  ANOT.INADIMPLENCIA"/>
    <x v="259"/>
    <x v="9"/>
    <s v="2025-10"/>
    <x v="5"/>
    <s v="PRISCILA METZ"/>
    <x v="188"/>
    <n v="0"/>
    <n v="1"/>
  </r>
  <r>
    <s v="021.382.943/0001-04"/>
    <x v="205"/>
    <s v="EXCLUSAO  ANOT.INADIMPLENCIA"/>
    <x v="259"/>
    <x v="0"/>
    <s v="2025-10"/>
    <x v="5"/>
    <s v="ADMINISTRAÇÃO"/>
    <x v="205"/>
    <n v="1"/>
    <n v="0"/>
  </r>
  <r>
    <s v="051.323.061/0001-20"/>
    <x v="252"/>
    <s v="INCLUSAO  ANOT.INADIMPLENCIA"/>
    <x v="259"/>
    <x v="27"/>
    <s v="2025-10"/>
    <x v="5"/>
    <s v="ALISSON DE SOUZA LIMA"/>
    <x v="252"/>
    <n v="0"/>
    <n v="1"/>
  </r>
  <r>
    <s v="020.024.081/0001-77"/>
    <x v="177"/>
    <s v="EXCLUSAO  ANOT.INADIMPLENCIA"/>
    <x v="259"/>
    <x v="10"/>
    <s v="2025-10"/>
    <x v="5"/>
    <s v="ROGERIO "/>
    <x v="177"/>
    <n v="1"/>
    <n v="0"/>
  </r>
  <r>
    <s v="016.757.535/0001-41"/>
    <x v="29"/>
    <s v="INCLUSAO  ANOT.INADIMPLENCIA"/>
    <x v="259"/>
    <x v="11"/>
    <s v="2025-10"/>
    <x v="5"/>
    <s v="DIOGO AZEVEDO"/>
    <x v="29"/>
    <n v="0"/>
    <n v="1"/>
  </r>
  <r>
    <s v="014.829.598/0001-30"/>
    <x v="31"/>
    <s v="INCLUSAO  ANOT.INADIMPLENCIA"/>
    <x v="259"/>
    <x v="9"/>
    <s v="2025-10"/>
    <x v="5"/>
    <s v="PRISCILA METZ"/>
    <x v="31"/>
    <n v="0"/>
    <n v="1"/>
  </r>
  <r>
    <s v="013.749.701/0001-70"/>
    <x v="195"/>
    <s v="INCLUSAO  ANOT.INADIMPLENCIA"/>
    <x v="259"/>
    <x v="6"/>
    <s v="2025-10"/>
    <x v="5"/>
    <s v="RAFAEL PARISE"/>
    <x v="195"/>
    <n v="0"/>
    <n v="1"/>
  </r>
  <r>
    <s v="012.520.929/0001-20"/>
    <x v="294"/>
    <s v="EXCLUSAO  ANOT.INADIMPLENCIA"/>
    <x v="259"/>
    <x v="35"/>
    <s v="2025-10"/>
    <x v="5"/>
    <s v="VALERIA"/>
    <x v="294"/>
    <n v="1"/>
    <n v="0"/>
  </r>
  <r>
    <s v="012.299.369/0001-26"/>
    <x v="13"/>
    <s v="INCLUSAO  ANOT.INADIMPLENCIA"/>
    <x v="259"/>
    <x v="5"/>
    <s v="2025-10"/>
    <x v="5"/>
    <s v="POENATELA"/>
    <x v="13"/>
    <n v="0"/>
    <n v="1"/>
  </r>
  <r>
    <s v="008.641.174/0001-45"/>
    <x v="295"/>
    <s v="INCLUSAO  ANOT.INADIMPLENCIA"/>
    <x v="259"/>
    <x v="5"/>
    <s v="2025-10"/>
    <x v="5"/>
    <s v="POENATELA"/>
    <x v="295"/>
    <n v="0"/>
    <n v="1"/>
  </r>
  <r>
    <s v="005.136.389/0001-10"/>
    <x v="274"/>
    <s v="INCLUSAO  ANOT.INADIMPLENCIA"/>
    <x v="259"/>
    <x v="0"/>
    <s v="2025-10"/>
    <x v="5"/>
    <s v="ADMINISTRAÇÃO"/>
    <x v="274"/>
    <n v="0"/>
    <n v="1"/>
  </r>
  <r>
    <s v="018.868.117/0001-57"/>
    <x v="163"/>
    <s v="INCLUSAO  ANOT.INADIMPLENCIA"/>
    <x v="259"/>
    <x v="5"/>
    <s v="2025-10"/>
    <x v="5"/>
    <s v="POENATELA"/>
    <x v="163"/>
    <n v="0"/>
    <n v="1"/>
  </r>
  <r>
    <s v="052.755.043/0001-80"/>
    <x v="237"/>
    <s v="INCLUSAO  ANOT.INADIMPLENCIA"/>
    <x v="259"/>
    <x v="3"/>
    <s v="2025-10"/>
    <x v="5"/>
    <s v="MARCUS VINICIUS "/>
    <x v="237"/>
    <n v="0"/>
    <n v="1"/>
  </r>
  <r>
    <s v="001.376.967/0001-35"/>
    <x v="192"/>
    <s v="EXCLUSAO  ANOT.INADIMPLENCIA"/>
    <x v="260"/>
    <x v="26"/>
    <s v="2025-10"/>
    <x v="6"/>
    <s v="ANTECIPA"/>
    <x v="192"/>
    <n v="1"/>
    <n v="0"/>
  </r>
  <r>
    <s v="051.323.061/0001-20"/>
    <x v="252"/>
    <s v="INCLUSAO  ANOT.INADIMPLENCIA"/>
    <x v="260"/>
    <x v="27"/>
    <s v="2025-10"/>
    <x v="6"/>
    <s v="ALISSON DE SOUZA LIMA"/>
    <x v="252"/>
    <n v="0"/>
    <n v="1"/>
  </r>
  <r>
    <s v="044.073.794/0001-99"/>
    <x v="280"/>
    <s v="INCLUSAO  ANOT.INADIMPLENCIA"/>
    <x v="260"/>
    <x v="27"/>
    <s v="2025-10"/>
    <x v="6"/>
    <s v="ALISSON DE SOUZA LIMA"/>
    <x v="280"/>
    <n v="0"/>
    <n v="1"/>
  </r>
  <r>
    <s v="043.515.558/0001-12"/>
    <x v="176"/>
    <s v="INCLUSAO  ANOT.INADIMPLENCIA"/>
    <x v="260"/>
    <x v="10"/>
    <s v="2025-10"/>
    <x v="6"/>
    <s v="ROGERIO "/>
    <x v="176"/>
    <n v="0"/>
    <n v="1"/>
  </r>
  <r>
    <s v="033.028.017/0001-06"/>
    <x v="260"/>
    <s v="INCL/EXCL ANOT.INADIMPLENCIA"/>
    <x v="260"/>
    <x v="31"/>
    <s v="2025-10"/>
    <x v="6"/>
    <s v="TIAGO NEVES"/>
    <x v="260"/>
    <n v="1"/>
    <n v="1"/>
  </r>
  <r>
    <s v="030.646.968/0001-50"/>
    <x v="296"/>
    <s v="INCLUSAO  ANOT.INADIMPLENCIA"/>
    <x v="260"/>
    <x v="10"/>
    <s v="2025-10"/>
    <x v="6"/>
    <s v="ROGERIO "/>
    <x v="296"/>
    <n v="0"/>
    <n v="1"/>
  </r>
  <r>
    <s v="028.511.223/0001-32"/>
    <x v="189"/>
    <s v="INCLUSAO  ANOT.INADIMPLENCIA"/>
    <x v="260"/>
    <x v="0"/>
    <s v="2025-10"/>
    <x v="6"/>
    <s v="ADMINISTRAÇÃO"/>
    <x v="189"/>
    <n v="0"/>
    <n v="1"/>
  </r>
  <r>
    <s v="027.508.008/0001-10"/>
    <x v="216"/>
    <s v="INCLUSAO  ANOT.INADIMPLENCIA"/>
    <x v="260"/>
    <x v="29"/>
    <s v="2025-10"/>
    <x v="6"/>
    <s v="DALVA"/>
    <x v="216"/>
    <n v="0"/>
    <n v="1"/>
  </r>
  <r>
    <s v="027.180.131/0001-54"/>
    <x v="188"/>
    <s v="INCLUSAO  ANOT.INADIMPLENCIA"/>
    <x v="260"/>
    <x v="9"/>
    <s v="2025-10"/>
    <x v="6"/>
    <s v="PRISCILA METZ"/>
    <x v="188"/>
    <n v="0"/>
    <n v="1"/>
  </r>
  <r>
    <s v="026.628.832/0001-40"/>
    <x v="244"/>
    <s v="INCLUSAO  ANOT.INADIMPLENCIA"/>
    <x v="260"/>
    <x v="27"/>
    <s v="2025-10"/>
    <x v="6"/>
    <s v="ALISSON DE SOUZA LIMA"/>
    <x v="244"/>
    <n v="0"/>
    <n v="1"/>
  </r>
  <r>
    <s v="026.416.177/0001-67"/>
    <x v="130"/>
    <s v="EXCLUSAO  ANOT.INADIMPLENCIA"/>
    <x v="260"/>
    <x v="3"/>
    <s v="2025-10"/>
    <x v="6"/>
    <s v="MARCUS VINICIUS "/>
    <x v="130"/>
    <n v="1"/>
    <n v="0"/>
  </r>
  <r>
    <s v="025.094.292/0001-08"/>
    <x v="213"/>
    <s v="INCLUSAO  ANOT.INADIMPLENCIA"/>
    <x v="260"/>
    <x v="12"/>
    <s v="2025-10"/>
    <x v="6"/>
    <s v="PROSPECTAR"/>
    <x v="213"/>
    <n v="0"/>
    <n v="1"/>
  </r>
  <r>
    <s v="021.382.943/0001-04"/>
    <x v="205"/>
    <s v="INCLUSAO  ANOT.INADIMPLENCIA"/>
    <x v="260"/>
    <x v="0"/>
    <s v="2025-10"/>
    <x v="6"/>
    <s v="ADMINISTRAÇÃO"/>
    <x v="205"/>
    <n v="0"/>
    <n v="1"/>
  </r>
  <r>
    <s v="021.090.123/0001-30"/>
    <x v="290"/>
    <s v="EXCLUSAO  ANOT.INADIMPLENCIA"/>
    <x v="260"/>
    <x v="21"/>
    <s v="2025-10"/>
    <x v="6"/>
    <s v="CAIO"/>
    <x v="290"/>
    <n v="1"/>
    <n v="0"/>
  </r>
  <r>
    <s v="020.024.081/0001-77"/>
    <x v="177"/>
    <s v="INCLUSAO  ANOT.INADIMPLENCIA"/>
    <x v="260"/>
    <x v="10"/>
    <s v="2025-10"/>
    <x v="6"/>
    <s v="ROGERIO "/>
    <x v="177"/>
    <n v="0"/>
    <n v="1"/>
  </r>
  <r>
    <s v="017.604.060/0001-16"/>
    <x v="297"/>
    <s v="INCLUSAO  ANOT.INADIMPLENCIA"/>
    <x v="260"/>
    <x v="12"/>
    <s v="2025-10"/>
    <x v="6"/>
    <s v="PROSPECTAR"/>
    <x v="297"/>
    <n v="0"/>
    <n v="1"/>
  </r>
  <r>
    <s v="014.829.598/0001-30"/>
    <x v="31"/>
    <s v="INCL/EXCL ANOT.INADIMPLENCIA"/>
    <x v="260"/>
    <x v="9"/>
    <s v="2025-10"/>
    <x v="6"/>
    <s v="PRISCILA METZ"/>
    <x v="31"/>
    <n v="1"/>
    <n v="1"/>
  </r>
  <r>
    <s v="012.520.791/0001-60"/>
    <x v="4"/>
    <s v="INCLUSAO  ANOT.INADIMPLENCIA"/>
    <x v="260"/>
    <x v="1"/>
    <s v="2025-10"/>
    <x v="6"/>
    <s v="CELIO PIMENTA"/>
    <x v="4"/>
    <n v="0"/>
    <n v="1"/>
  </r>
  <r>
    <s v="012.299.369/0001-26"/>
    <x v="13"/>
    <s v="EXCLUSAO  ANOT.INADIMPLENCIA"/>
    <x v="260"/>
    <x v="5"/>
    <s v="2025-10"/>
    <x v="6"/>
    <s v="POENATELA"/>
    <x v="13"/>
    <n v="1"/>
    <n v="0"/>
  </r>
  <r>
    <s v="011.122.552/0001-99"/>
    <x v="59"/>
    <s v="INCLUSAO  ANOT.INADIMPLENCIA"/>
    <x v="260"/>
    <x v="6"/>
    <s v="2025-10"/>
    <x v="6"/>
    <s v="RAFAEL PARISE"/>
    <x v="59"/>
    <n v="0"/>
    <n v="1"/>
  </r>
  <r>
    <s v="007.272.884/0001-82"/>
    <x v="276"/>
    <s v="INCLUSAO  ANOT.INADIMPLENCIA"/>
    <x v="260"/>
    <x v="10"/>
    <s v="2025-10"/>
    <x v="6"/>
    <s v="ROGERIO "/>
    <x v="276"/>
    <n v="0"/>
    <n v="1"/>
  </r>
  <r>
    <s v="005.363.690/0001-67"/>
    <x v="90"/>
    <s v="INCLUSAO  ANOT.INADIMPLENCIA"/>
    <x v="260"/>
    <x v="12"/>
    <s v="2025-10"/>
    <x v="6"/>
    <s v="PROSPECTAR"/>
    <x v="90"/>
    <n v="0"/>
    <n v="1"/>
  </r>
  <r>
    <s v="005.136.389/0001-10"/>
    <x v="274"/>
    <s v="INCLUSAO  ANOT.INADIMPLENCIA"/>
    <x v="260"/>
    <x v="0"/>
    <s v="2025-10"/>
    <x v="6"/>
    <s v="ADMINISTRAÇÃO"/>
    <x v="274"/>
    <n v="0"/>
    <n v="1"/>
  </r>
  <r>
    <s v="004.041.192/0001-35"/>
    <x v="37"/>
    <s v="INCLUSAO  ANOT.INADIMPLENCIA"/>
    <x v="260"/>
    <x v="0"/>
    <s v="2025-10"/>
    <x v="6"/>
    <s v="ADMINISTRAÇÃO"/>
    <x v="37"/>
    <n v="0"/>
    <n v="1"/>
  </r>
  <r>
    <s v="003.590.360/0001-89"/>
    <x v="3"/>
    <s v="INCLUSAO  ANOT.INADIMPLENCIA"/>
    <x v="260"/>
    <x v="1"/>
    <s v="2025-10"/>
    <x v="6"/>
    <s v="CELIO PIMENTA"/>
    <x v="3"/>
    <n v="0"/>
    <n v="1"/>
  </r>
  <r>
    <s v="003.524.760/0001-96"/>
    <x v="230"/>
    <s v="INCLUSAO  ANOT.INADIMPLENCIA"/>
    <x v="260"/>
    <x v="30"/>
    <s v="2025-10"/>
    <x v="6"/>
    <s v="ANDRE CUNHA"/>
    <x v="230"/>
    <n v="0"/>
    <n v="1"/>
  </r>
  <r>
    <s v="052.755.043/0001-80"/>
    <x v="237"/>
    <s v="INCLUSAO  ANOT.INADIMPLENCIA"/>
    <x v="260"/>
    <x v="3"/>
    <s v="2025-10"/>
    <x v="6"/>
    <s v="MARCUS VINICIUS "/>
    <x v="237"/>
    <n v="0"/>
    <n v="1"/>
  </r>
  <r>
    <s v="057.698.087/0001-30"/>
    <x v="229"/>
    <s v="INCLUSAO  ANOT.INADIMPLENCIA"/>
    <x v="260"/>
    <x v="1"/>
    <s v="2025-10"/>
    <x v="6"/>
    <s v="CELIO PIMENTA"/>
    <x v="229"/>
    <n v="0"/>
    <n v="1"/>
  </r>
  <r>
    <s v="003.524.760/0001-96"/>
    <x v="230"/>
    <s v="INCLUSAO  ANOT.INADIMPLENCIA"/>
    <x v="261"/>
    <x v="30"/>
    <s v="2025-10"/>
    <x v="6"/>
    <s v="ANDRE CUNHA"/>
    <x v="230"/>
    <n v="0"/>
    <n v="1"/>
  </r>
  <r>
    <s v="057.696.093/0001-58"/>
    <x v="206"/>
    <s v="INCLUSAO  ANOT.INADIMPLENCIA"/>
    <x v="261"/>
    <x v="1"/>
    <s v="2025-10"/>
    <x v="6"/>
    <s v="CELIO PIMENTA"/>
    <x v="206"/>
    <n v="0"/>
    <n v="1"/>
  </r>
  <r>
    <s v="051.323.061/0001-20"/>
    <x v="252"/>
    <s v="INCLUSAO  ANOT.INADIMPLENCIA"/>
    <x v="261"/>
    <x v="27"/>
    <s v="2025-10"/>
    <x v="6"/>
    <s v="ALISSON DE SOUZA LIMA"/>
    <x v="252"/>
    <n v="0"/>
    <n v="1"/>
  </r>
  <r>
    <s v="044.470.678/0001-03"/>
    <x v="203"/>
    <s v="INCLUSAO  ANOT.INADIMPLENCIA"/>
    <x v="261"/>
    <x v="9"/>
    <s v="2025-10"/>
    <x v="6"/>
    <s v="PRISCILA METZ"/>
    <x v="203"/>
    <n v="0"/>
    <n v="1"/>
  </r>
  <r>
    <s v="039.438.917/0001-08"/>
    <x v="273"/>
    <s v="INCLUSAO  ANOT.INADIMPLENCIA"/>
    <x v="261"/>
    <x v="10"/>
    <s v="2025-10"/>
    <x v="6"/>
    <s v="ROGERIO "/>
    <x v="273"/>
    <n v="0"/>
    <n v="1"/>
  </r>
  <r>
    <s v="034.165.528/0001-32"/>
    <x v="256"/>
    <s v="EXCLUSAO  ANOT.INADIMPLENCIA"/>
    <x v="261"/>
    <x v="27"/>
    <s v="2025-10"/>
    <x v="6"/>
    <s v="ALISSON DE SOUZA LIMA"/>
    <x v="256"/>
    <n v="1"/>
    <n v="0"/>
  </r>
  <r>
    <s v="028.556.973/0001-20"/>
    <x v="118"/>
    <s v="INCLUSAO  ANOT.INADIMPLENCIA"/>
    <x v="261"/>
    <x v="1"/>
    <s v="2025-10"/>
    <x v="6"/>
    <s v="CELIO PIMENTA"/>
    <x v="118"/>
    <n v="0"/>
    <n v="1"/>
  </r>
  <r>
    <s v="057.698.087/0001-30"/>
    <x v="229"/>
    <s v="INCLUSAO  ANOT.INADIMPLENCIA"/>
    <x v="261"/>
    <x v="1"/>
    <s v="2025-10"/>
    <x v="6"/>
    <s v="CELIO PIMENTA"/>
    <x v="229"/>
    <n v="0"/>
    <n v="1"/>
  </r>
  <r>
    <s v="027.180.131/0001-54"/>
    <x v="188"/>
    <s v="INCL/EXCL ANOT.INADIMPLENCIA"/>
    <x v="261"/>
    <x v="9"/>
    <s v="2025-10"/>
    <x v="6"/>
    <s v="PRISCILA METZ"/>
    <x v="188"/>
    <n v="1"/>
    <n v="1"/>
  </r>
  <r>
    <s v="021.734.108/0001-88"/>
    <x v="41"/>
    <s v="INCLUSAO  ANOT.INADIMPLENCIA"/>
    <x v="261"/>
    <x v="0"/>
    <s v="2025-10"/>
    <x v="6"/>
    <s v="ADMINISTRAÇÃO"/>
    <x v="41"/>
    <n v="0"/>
    <n v="1"/>
  </r>
  <r>
    <s v="020.024.081/0001-77"/>
    <x v="177"/>
    <s v="EXCLUSAO  ANOT.INADIMPLENCIA"/>
    <x v="261"/>
    <x v="10"/>
    <s v="2025-10"/>
    <x v="6"/>
    <s v="ROGERIO "/>
    <x v="177"/>
    <n v="1"/>
    <n v="0"/>
  </r>
  <r>
    <s v="014.829.598/0001-30"/>
    <x v="31"/>
    <s v="INCLUSAO  ANOT.INADIMPLENCIA"/>
    <x v="261"/>
    <x v="9"/>
    <s v="2025-10"/>
    <x v="6"/>
    <s v="PRISCILA METZ"/>
    <x v="31"/>
    <n v="0"/>
    <n v="1"/>
  </r>
  <r>
    <s v="011.173.099/0001-40"/>
    <x v="227"/>
    <s v="INCLUSAO  ANOT.INADIMPLENCIA"/>
    <x v="261"/>
    <x v="21"/>
    <s v="2025-10"/>
    <x v="6"/>
    <s v="CAIO"/>
    <x v="227"/>
    <n v="0"/>
    <n v="1"/>
  </r>
  <r>
    <s v="011.122.552/0001-99"/>
    <x v="59"/>
    <s v="EXCLUSAO  ANOT.INADIMPLENCIA"/>
    <x v="261"/>
    <x v="6"/>
    <s v="2025-10"/>
    <x v="6"/>
    <s v="RAFAEL PARISE"/>
    <x v="59"/>
    <n v="1"/>
    <n v="0"/>
  </r>
  <r>
    <s v="007.272.884/0001-82"/>
    <x v="276"/>
    <s v="EXCLUSAO  ANOT.INADIMPLENCIA"/>
    <x v="261"/>
    <x v="10"/>
    <s v="2025-10"/>
    <x v="6"/>
    <s v="ROGERIO "/>
    <x v="276"/>
    <n v="1"/>
    <n v="0"/>
  </r>
  <r>
    <s v="026.628.832/0001-40"/>
    <x v="244"/>
    <s v="INCLUSAO  ANOT.INADIMPLENCIA"/>
    <x v="261"/>
    <x v="27"/>
    <s v="2025-10"/>
    <x v="6"/>
    <s v="ALISSON DE SOUZA LIMA"/>
    <x v="244"/>
    <n v="0"/>
    <n v="1"/>
  </r>
  <r>
    <s v="071.350.797/0001-03"/>
    <x v="48"/>
    <s v="INCLUSAO  ANOT.INADIMPLENCIA"/>
    <x v="261"/>
    <x v="10"/>
    <s v="2025-10"/>
    <x v="6"/>
    <s v="ROGERIO "/>
    <x v="48"/>
    <n v="0"/>
    <n v="1"/>
  </r>
  <r>
    <s v="003.524.760/0001-96"/>
    <x v="230"/>
    <s v="EXCLUSAO  ANOT.INADIMPLENCIA"/>
    <x v="262"/>
    <x v="30"/>
    <s v="2025-10"/>
    <x v="6"/>
    <s v="ANDRE CUNHA"/>
    <x v="230"/>
    <n v="1"/>
    <n v="0"/>
  </r>
  <r>
    <s v="049.218.819/0001-19"/>
    <x v="150"/>
    <s v="EXCLUSAO  ANOT.INADIMPLENCIA"/>
    <x v="262"/>
    <x v="11"/>
    <s v="2025-10"/>
    <x v="6"/>
    <s v="DIOGO AZEVEDO"/>
    <x v="150"/>
    <n v="1"/>
    <n v="0"/>
  </r>
  <r>
    <s v="036.726.274/0001-00"/>
    <x v="133"/>
    <s v="INCLUSAO  ANOT.INADIMPLENCIA"/>
    <x v="262"/>
    <x v="1"/>
    <s v="2025-10"/>
    <x v="6"/>
    <s v="CELIO PIMENTA"/>
    <x v="133"/>
    <n v="0"/>
    <n v="1"/>
  </r>
  <r>
    <s v="034.165.528/0001-32"/>
    <x v="256"/>
    <s v="INCL/EXCL ANOT.INADIMPLENCIA"/>
    <x v="262"/>
    <x v="27"/>
    <s v="2025-10"/>
    <x v="6"/>
    <s v="ALISSON DE SOUZA LIMA"/>
    <x v="256"/>
    <n v="1"/>
    <n v="1"/>
  </r>
  <r>
    <s v="028.556.973/0001-20"/>
    <x v="118"/>
    <s v="EXCLUSAO  ANOT.INADIMPLENCIA"/>
    <x v="262"/>
    <x v="1"/>
    <s v="2025-10"/>
    <x v="6"/>
    <s v="CELIO PIMENTA"/>
    <x v="118"/>
    <n v="1"/>
    <n v="0"/>
  </r>
  <r>
    <s v="028.511.223/0001-32"/>
    <x v="189"/>
    <s v="INCLUSAO  ANOT.INADIMPLENCIA"/>
    <x v="262"/>
    <x v="0"/>
    <s v="2025-10"/>
    <x v="6"/>
    <s v="ADMINISTRAÇÃO"/>
    <x v="189"/>
    <n v="0"/>
    <n v="1"/>
  </r>
  <r>
    <s v="028.393.466/0001-13"/>
    <x v="167"/>
    <s v="EXCLUSAO  ANOT.INADIMPLENCIA"/>
    <x v="262"/>
    <x v="12"/>
    <s v="2025-10"/>
    <x v="6"/>
    <s v="PROSPECTAR"/>
    <x v="167"/>
    <n v="1"/>
    <n v="0"/>
  </r>
  <r>
    <s v="027.180.131/0001-54"/>
    <x v="188"/>
    <s v="INCL/EXCL ANOT.INADIMPLENCIA"/>
    <x v="262"/>
    <x v="9"/>
    <s v="2025-10"/>
    <x v="6"/>
    <s v="PRISCILA METZ"/>
    <x v="188"/>
    <n v="1"/>
    <n v="1"/>
  </r>
  <r>
    <s v="021.420.856/0001-96"/>
    <x v="129"/>
    <s v="EXCLUSAO  ANOT.INADIMPLENCIA"/>
    <x v="262"/>
    <x v="19"/>
    <s v="2025-10"/>
    <x v="6"/>
    <s v="JOSE ROBERTO"/>
    <x v="129"/>
    <n v="1"/>
    <n v="0"/>
  </r>
  <r>
    <s v="021.382.943/0001-04"/>
    <x v="205"/>
    <s v="EXCLUSAO  ANOT.INADIMPLENCIA"/>
    <x v="262"/>
    <x v="0"/>
    <s v="2025-10"/>
    <x v="6"/>
    <s v="ADMINISTRAÇÃO"/>
    <x v="205"/>
    <n v="1"/>
    <n v="0"/>
  </r>
  <r>
    <s v="020.693.553/0001-84"/>
    <x v="298"/>
    <s v="INCLUSAO  ANOT.INADIMPLENCIA"/>
    <x v="262"/>
    <x v="0"/>
    <s v="2025-10"/>
    <x v="6"/>
    <s v="ADMINISTRAÇÃO"/>
    <x v="298"/>
    <n v="0"/>
    <n v="1"/>
  </r>
  <r>
    <s v="020.024.081/0001-77"/>
    <x v="177"/>
    <s v="INCLUSAO  ANOT.INADIMPLENCIA"/>
    <x v="262"/>
    <x v="10"/>
    <s v="2025-10"/>
    <x v="6"/>
    <s v="ROGERIO "/>
    <x v="177"/>
    <n v="0"/>
    <n v="1"/>
  </r>
  <r>
    <s v="014.829.598/0001-30"/>
    <x v="31"/>
    <s v="INCL/EXCL ANOT.INADIMPLENCIA"/>
    <x v="262"/>
    <x v="9"/>
    <s v="2025-10"/>
    <x v="6"/>
    <s v="PRISCILA METZ"/>
    <x v="31"/>
    <n v="1"/>
    <n v="1"/>
  </r>
  <r>
    <s v="013.285.987/0001-80"/>
    <x v="278"/>
    <s v="EXCLUSAO  ANOT.INADIMPLENCIA"/>
    <x v="262"/>
    <x v="0"/>
    <s v="2025-10"/>
    <x v="6"/>
    <s v="ADMINISTRAÇÃO"/>
    <x v="278"/>
    <n v="1"/>
    <n v="0"/>
  </r>
  <r>
    <s v="012.299.369/0001-26"/>
    <x v="13"/>
    <s v="EXCLUSAO  ANOT.INADIMPLENCIA"/>
    <x v="262"/>
    <x v="5"/>
    <s v="2025-10"/>
    <x v="6"/>
    <s v="POENATELA"/>
    <x v="13"/>
    <n v="1"/>
    <n v="0"/>
  </r>
  <r>
    <s v="008.250.872/0001-10"/>
    <x v="121"/>
    <s v="INCLUSAO  ANOT.INADIMPLENCIA"/>
    <x v="262"/>
    <x v="6"/>
    <s v="2025-10"/>
    <x v="6"/>
    <s v="RAFAEL PARISE"/>
    <x v="121"/>
    <n v="0"/>
    <n v="1"/>
  </r>
  <r>
    <s v="005.136.389/0001-10"/>
    <x v="274"/>
    <s v="INCLUSAO  ANOT.INADIMPLENCIA"/>
    <x v="262"/>
    <x v="0"/>
    <s v="2025-10"/>
    <x v="6"/>
    <s v="ADMINISTRAÇÃO"/>
    <x v="274"/>
    <n v="0"/>
    <n v="1"/>
  </r>
  <r>
    <s v="003.590.360/0001-89"/>
    <x v="3"/>
    <s v="EXCLUSAO  ANOT.INADIMPLENCIA"/>
    <x v="262"/>
    <x v="1"/>
    <s v="2025-10"/>
    <x v="6"/>
    <s v="CELIO PIMENTA"/>
    <x v="3"/>
    <n v="1"/>
    <n v="0"/>
  </r>
  <r>
    <s v="057.696.093/0001-58"/>
    <x v="206"/>
    <s v="INCLUSAO  ANOT.INADIMPLENCIA"/>
    <x v="262"/>
    <x v="1"/>
    <s v="2025-10"/>
    <x v="6"/>
    <s v="CELIO PIMENTA"/>
    <x v="206"/>
    <n v="0"/>
    <n v="1"/>
  </r>
  <r>
    <s v="057.698.087/0001-30"/>
    <x v="229"/>
    <s v="INCLUSAO  ANOT.INADIMPLENCIA"/>
    <x v="262"/>
    <x v="1"/>
    <s v="2025-10"/>
    <x v="6"/>
    <s v="CELIO PIMENTA"/>
    <x v="229"/>
    <n v="0"/>
    <n v="1"/>
  </r>
  <r>
    <s v="003.524.760/0001-96"/>
    <x v="230"/>
    <s v="INCLUSAO  ANOT.INADIMPLENCIA"/>
    <x v="263"/>
    <x v="30"/>
    <s v="2025-10"/>
    <x v="6"/>
    <s v="ANDRE CUNHA"/>
    <x v="230"/>
    <n v="0"/>
    <n v="1"/>
  </r>
  <r>
    <s v="071.350.797/0001-03"/>
    <x v="48"/>
    <s v="EXCLUSAO  ANOT.INADIMPLENCIA"/>
    <x v="263"/>
    <x v="10"/>
    <s v="2025-10"/>
    <x v="6"/>
    <s v="ROGERIO "/>
    <x v="48"/>
    <n v="1"/>
    <n v="0"/>
  </r>
  <r>
    <s v="041.868.686/0001-14"/>
    <x v="299"/>
    <s v="INCLUSAO  ANOT.INADIMPLENCIA"/>
    <x v="263"/>
    <x v="38"/>
    <s v="2025-10"/>
    <x v="6"/>
    <s v="DAVI"/>
    <x v="299"/>
    <n v="0"/>
    <n v="1"/>
  </r>
  <r>
    <s v="033.028.017/0001-06"/>
    <x v="260"/>
    <s v="EXCLUSAO  ANOT.INADIMPLENCIA"/>
    <x v="263"/>
    <x v="31"/>
    <s v="2025-10"/>
    <x v="6"/>
    <s v="TIAGO NEVES"/>
    <x v="260"/>
    <n v="1"/>
    <n v="0"/>
  </r>
  <r>
    <s v="027.508.008/0001-10"/>
    <x v="216"/>
    <s v="INCLUSAO  ANOT.INADIMPLENCIA"/>
    <x v="263"/>
    <x v="29"/>
    <s v="2025-10"/>
    <x v="6"/>
    <s v="DALVA"/>
    <x v="216"/>
    <n v="0"/>
    <n v="1"/>
  </r>
  <r>
    <s v="027.180.131/0001-54"/>
    <x v="188"/>
    <s v="INCLUSAO  ANOT.INADIMPLENCIA"/>
    <x v="263"/>
    <x v="9"/>
    <s v="2025-10"/>
    <x v="6"/>
    <s v="PRISCILA METZ"/>
    <x v="188"/>
    <n v="0"/>
    <n v="1"/>
  </r>
  <r>
    <s v="020.693.553/0001-84"/>
    <x v="298"/>
    <s v="INCLUSAO  ANOT.INADIMPLENCIA"/>
    <x v="263"/>
    <x v="0"/>
    <s v="2025-10"/>
    <x v="6"/>
    <s v="ADMINISTRAÇÃO"/>
    <x v="298"/>
    <n v="0"/>
    <n v="1"/>
  </r>
  <r>
    <s v="051.323.061/0001-20"/>
    <x v="252"/>
    <s v="EXCLUSAO  ANOT.INADIMPLENCIA"/>
    <x v="263"/>
    <x v="27"/>
    <s v="2025-10"/>
    <x v="6"/>
    <s v="ALISSON DE SOUZA LIMA"/>
    <x v="252"/>
    <n v="1"/>
    <n v="0"/>
  </r>
  <r>
    <s v="016.772.642/0001-49"/>
    <x v="69"/>
    <s v="EXCLUSAO  ANOT.INADIMPLENCIA"/>
    <x v="263"/>
    <x v="0"/>
    <s v="2025-10"/>
    <x v="6"/>
    <s v="ADMINISTRAÇÃO"/>
    <x v="69"/>
    <n v="1"/>
    <n v="0"/>
  </r>
  <r>
    <s v="014.829.598/0001-30"/>
    <x v="31"/>
    <s v="INCLUSAO  ANOT.INADIMPLENCIA"/>
    <x v="263"/>
    <x v="9"/>
    <s v="2025-10"/>
    <x v="6"/>
    <s v="PRISCILA METZ"/>
    <x v="31"/>
    <n v="0"/>
    <n v="1"/>
  </r>
  <r>
    <s v="013.749.701/0001-70"/>
    <x v="195"/>
    <s v="EXCLUSAO  ANOT.INADIMPLENCIA"/>
    <x v="263"/>
    <x v="6"/>
    <s v="2025-10"/>
    <x v="6"/>
    <s v="RAFAEL PARISE"/>
    <x v="195"/>
    <n v="1"/>
    <n v="0"/>
  </r>
  <r>
    <s v="011.091.574/0001-39"/>
    <x v="26"/>
    <s v="EXCLUSAO  ANOT.INADIMPLENCIA"/>
    <x v="263"/>
    <x v="5"/>
    <s v="2025-10"/>
    <x v="6"/>
    <s v="POENATELA"/>
    <x v="26"/>
    <n v="1"/>
    <n v="0"/>
  </r>
  <r>
    <s v="005.363.690/0001-67"/>
    <x v="90"/>
    <s v="INCLUSAO  ANOT.INADIMPLENCIA"/>
    <x v="263"/>
    <x v="12"/>
    <s v="2025-10"/>
    <x v="6"/>
    <s v="PROSPECTAR"/>
    <x v="90"/>
    <n v="0"/>
    <n v="1"/>
  </r>
  <r>
    <s v="004.041.192/0001-35"/>
    <x v="37"/>
    <s v="INCLUSAO  ANOT.INADIMPLENCIA"/>
    <x v="263"/>
    <x v="0"/>
    <s v="2025-10"/>
    <x v="6"/>
    <s v="ADMINISTRAÇÃO"/>
    <x v="37"/>
    <n v="0"/>
    <n v="1"/>
  </r>
  <r>
    <s v="020.024.081/0001-77"/>
    <x v="177"/>
    <s v="INCLUSAO  ANOT.INADIMPLENCIA"/>
    <x v="263"/>
    <x v="10"/>
    <s v="2025-10"/>
    <x v="6"/>
    <s v="ROGERIO "/>
    <x v="177"/>
    <n v="0"/>
    <n v="1"/>
  </r>
  <r>
    <s v="035.345.406/0001-90"/>
    <x v="300"/>
    <s v="ALTERACAO RAZAO SOCIAL"/>
    <x v="264"/>
    <x v="0"/>
    <s v="2025-10"/>
    <x v="6"/>
    <s v="ADMINISTRAÇÃO"/>
    <x v="300"/>
    <n v="0"/>
    <n v="0"/>
  </r>
  <r>
    <s v="035.345.406/0001-90"/>
    <x v="300"/>
    <s v="ALTERACAO ENDERECO"/>
    <x v="264"/>
    <x v="0"/>
    <s v="2025-10"/>
    <x v="6"/>
    <s v="ADMINISTRAÇÃO"/>
    <x v="300"/>
    <n v="0"/>
    <n v="0"/>
  </r>
  <r>
    <s v="038.161.686/0001-75"/>
    <x v="275"/>
    <s v="INCLUSAO  ANOT.INADIMPLENCIA"/>
    <x v="264"/>
    <x v="0"/>
    <s v="2025-10"/>
    <x v="6"/>
    <s v="ADMINISTRAÇÃO"/>
    <x v="275"/>
    <n v="0"/>
    <n v="1"/>
  </r>
  <r>
    <s v="041.868.686/0001-14"/>
    <x v="299"/>
    <s v="EXCLUSAO  ANOT.INADIMPLENCIA"/>
    <x v="264"/>
    <x v="38"/>
    <s v="2025-10"/>
    <x v="6"/>
    <s v="DAVI"/>
    <x v="299"/>
    <n v="1"/>
    <n v="0"/>
  </r>
  <r>
    <s v="043.515.558/0001-12"/>
    <x v="176"/>
    <s v="EXCLUSAO  ANOT.INADIMPLENCIA"/>
    <x v="264"/>
    <x v="10"/>
    <s v="2025-10"/>
    <x v="6"/>
    <s v="ROGERIO "/>
    <x v="176"/>
    <n v="1"/>
    <n v="0"/>
  </r>
  <r>
    <s v="052.432.693/0001-95"/>
    <x v="301"/>
    <s v="ALTERACAO ENDERECO"/>
    <x v="264"/>
    <x v="12"/>
    <s v="2025-10"/>
    <x v="6"/>
    <s v="PROSPECTAR"/>
    <x v="301"/>
    <n v="0"/>
    <n v="0"/>
  </r>
  <r>
    <s v="052.432.693/0001-95"/>
    <x v="301"/>
    <s v="ALTERACAO RAZAO SOCIAL"/>
    <x v="264"/>
    <x v="12"/>
    <s v="2025-10"/>
    <x v="6"/>
    <s v="PROSPECTAR"/>
    <x v="301"/>
    <n v="0"/>
    <n v="0"/>
  </r>
  <r>
    <s v="052.432.693/0001-95"/>
    <x v="301"/>
    <s v="ALTERACAO RAMO DE ATIVIDADE"/>
    <x v="264"/>
    <x v="12"/>
    <s v="2025-10"/>
    <x v="6"/>
    <s v="PROSPECTAR"/>
    <x v="301"/>
    <n v="0"/>
    <n v="0"/>
  </r>
  <r>
    <s v="057.696.093/0001-58"/>
    <x v="206"/>
    <s v="ALTERACAO QUADRO SOCIAL"/>
    <x v="264"/>
    <x v="1"/>
    <s v="2025-10"/>
    <x v="6"/>
    <s v="CELIO PIMENTA"/>
    <x v="206"/>
    <n v="0"/>
    <n v="0"/>
  </r>
  <r>
    <s v="057.696.093/0001-58"/>
    <x v="206"/>
    <s v="ALTERACAO ADMINISTRADORES"/>
    <x v="264"/>
    <x v="1"/>
    <s v="2025-10"/>
    <x v="6"/>
    <s v="CELIO PIMENTA"/>
    <x v="206"/>
    <n v="0"/>
    <n v="0"/>
  </r>
  <r>
    <s v="034.165.528/0001-32"/>
    <x v="256"/>
    <s v="INCLUSAO  ANOT.INADIMPLENCIA"/>
    <x v="264"/>
    <x v="27"/>
    <s v="2025-10"/>
    <x v="6"/>
    <s v="ALISSON DE SOUZA LIMA"/>
    <x v="256"/>
    <n v="0"/>
    <n v="1"/>
  </r>
  <r>
    <s v="051.980.425/0001-45"/>
    <x v="173"/>
    <s v="EXCLUSAO  ANOT.INADIMPLENCIA"/>
    <x v="264"/>
    <x v="10"/>
    <s v="2025-10"/>
    <x v="6"/>
    <s v="ROGERIO "/>
    <x v="173"/>
    <n v="1"/>
    <n v="0"/>
  </r>
  <r>
    <s v="033.803.691/0001-10"/>
    <x v="103"/>
    <s v="INCLUSAO  ANOT.INADIMPLENCIA"/>
    <x v="264"/>
    <x v="0"/>
    <s v="2025-10"/>
    <x v="6"/>
    <s v="ADMINISTRAÇÃO"/>
    <x v="103"/>
    <n v="0"/>
    <n v="1"/>
  </r>
  <r>
    <s v="016.772.642/0001-49"/>
    <x v="69"/>
    <s v="EXCLUSAO  ANOT.INADIMPLENCIA"/>
    <x v="264"/>
    <x v="0"/>
    <s v="2025-10"/>
    <x v="6"/>
    <s v="ADMINISTRAÇÃO"/>
    <x v="69"/>
    <n v="1"/>
    <n v="0"/>
  </r>
  <r>
    <s v="030.030.642/0001-02"/>
    <x v="302"/>
    <s v="ALTERACAO ENDERECO"/>
    <x v="264"/>
    <x v="6"/>
    <s v="2025-10"/>
    <x v="6"/>
    <s v="RAFAEL PARISE"/>
    <x v="302"/>
    <n v="0"/>
    <n v="0"/>
  </r>
  <r>
    <s v="027.180.131/0001-54"/>
    <x v="188"/>
    <s v="INCLUSAO  ANOT.INADIMPLENCIA"/>
    <x v="264"/>
    <x v="9"/>
    <s v="2025-10"/>
    <x v="6"/>
    <s v="PRISCILA METZ"/>
    <x v="188"/>
    <n v="0"/>
    <n v="1"/>
  </r>
  <r>
    <s v="025.788.035/0001-68"/>
    <x v="303"/>
    <s v="INCLUSAO  ANOT.INADIMPLENCIA"/>
    <x v="264"/>
    <x v="31"/>
    <s v="2025-10"/>
    <x v="6"/>
    <s v="TIAGO NEVES"/>
    <x v="303"/>
    <n v="0"/>
    <n v="1"/>
  </r>
  <r>
    <s v="025.788.035/0001-68"/>
    <x v="303"/>
    <s v="ALTERACAO RAZAO SOCIAL"/>
    <x v="264"/>
    <x v="31"/>
    <s v="2025-10"/>
    <x v="6"/>
    <s v="TIAGO NEVES"/>
    <x v="303"/>
    <n v="0"/>
    <n v="0"/>
  </r>
  <r>
    <s v="021.382.943/0001-04"/>
    <x v="205"/>
    <s v="INCL/EXCL ANOT.INADIMPLENCIA"/>
    <x v="264"/>
    <x v="0"/>
    <s v="2025-10"/>
    <x v="6"/>
    <s v="ADMINISTRAÇÃO"/>
    <x v="205"/>
    <n v="1"/>
    <n v="1"/>
  </r>
  <r>
    <s v="057.698.087/0001-30"/>
    <x v="229"/>
    <s v="ALTERACAO QUADRO SOCIAL"/>
    <x v="264"/>
    <x v="1"/>
    <s v="2025-10"/>
    <x v="6"/>
    <s v="CELIO PIMENTA"/>
    <x v="229"/>
    <n v="0"/>
    <n v="0"/>
  </r>
  <r>
    <s v="014.829.598/0001-30"/>
    <x v="31"/>
    <s v="INCLUSAO  ANOT.INADIMPLENCIA"/>
    <x v="264"/>
    <x v="9"/>
    <s v="2025-10"/>
    <x v="6"/>
    <s v="PRISCILA METZ"/>
    <x v="31"/>
    <n v="0"/>
    <n v="1"/>
  </r>
  <r>
    <s v="011.122.552/0001-99"/>
    <x v="59"/>
    <s v="INCLUSAO  ANOT.INADIMPLENCIA"/>
    <x v="264"/>
    <x v="6"/>
    <s v="2025-10"/>
    <x v="6"/>
    <s v="RAFAEL PARISE"/>
    <x v="59"/>
    <n v="0"/>
    <n v="1"/>
  </r>
  <r>
    <s v="011.122.552/0001-99"/>
    <x v="59"/>
    <s v="ALTERACAO ENDERECO"/>
    <x v="264"/>
    <x v="6"/>
    <s v="2025-10"/>
    <x v="6"/>
    <s v="RAFAEL PARISE"/>
    <x v="59"/>
    <n v="0"/>
    <n v="0"/>
  </r>
  <r>
    <s v="008.250.872/0001-10"/>
    <x v="121"/>
    <s v="INCLUSAO  ANOT.INADIMPLENCIA"/>
    <x v="264"/>
    <x v="6"/>
    <s v="2025-10"/>
    <x v="6"/>
    <s v="RAFAEL PARISE"/>
    <x v="121"/>
    <n v="0"/>
    <n v="1"/>
  </r>
  <r>
    <s v="003.590.360/0001-89"/>
    <x v="3"/>
    <s v="EXCLUSAO  ANOT.INADIMPLENCIA"/>
    <x v="264"/>
    <x v="1"/>
    <s v="2025-10"/>
    <x v="6"/>
    <s v="CELIO PIMENTA"/>
    <x v="3"/>
    <n v="1"/>
    <n v="0"/>
  </r>
  <r>
    <s v="002.862.437/0001-60"/>
    <x v="220"/>
    <s v="EXCLUSAO  ANOT.INADIMPLENCIA"/>
    <x v="264"/>
    <x v="21"/>
    <s v="2025-10"/>
    <x v="6"/>
    <s v="CAIO"/>
    <x v="220"/>
    <n v="1"/>
    <n v="0"/>
  </r>
  <r>
    <s v="030.582.342/0001-28"/>
    <x v="304"/>
    <s v="ALTERACAO ENDERECO"/>
    <x v="264"/>
    <x v="35"/>
    <s v="2025-10"/>
    <x v="6"/>
    <s v="VALERIA"/>
    <x v="304"/>
    <n v="0"/>
    <n v="0"/>
  </r>
  <r>
    <s v="057.698.087/0001-30"/>
    <x v="229"/>
    <s v="ALTERACAO ADMINISTRADORES"/>
    <x v="264"/>
    <x v="1"/>
    <s v="2025-10"/>
    <x v="6"/>
    <s v="CELIO PIMENTA"/>
    <x v="229"/>
    <n v="0"/>
    <n v="0"/>
  </r>
  <r>
    <s v="003.524.760/0001-96"/>
    <x v="230"/>
    <s v="INCLUSAO  ANOT.INADIMPLENCIA"/>
    <x v="265"/>
    <x v="30"/>
    <s v="2025-10"/>
    <x v="7"/>
    <s v="ANDRE CUNHA"/>
    <x v="230"/>
    <n v="0"/>
    <n v="1"/>
  </r>
  <r>
    <s v="043.515.558/0001-12"/>
    <x v="176"/>
    <s v="INCLUSAO  ANOT.INADIMPLENCIA"/>
    <x v="265"/>
    <x v="10"/>
    <s v="2025-10"/>
    <x v="7"/>
    <s v="ROGERIO "/>
    <x v="176"/>
    <n v="0"/>
    <n v="1"/>
  </r>
  <r>
    <s v="041.868.686/0001-14"/>
    <x v="299"/>
    <s v="EXCLUSAO  ANOT.INADIMPLENCIA"/>
    <x v="265"/>
    <x v="38"/>
    <s v="2025-10"/>
    <x v="7"/>
    <s v="DAVI"/>
    <x v="299"/>
    <n v="1"/>
    <n v="0"/>
  </r>
  <r>
    <s v="041.388.946/0001-54"/>
    <x v="175"/>
    <s v="INCLUSAO  ANOT.INADIMPLENCIA"/>
    <x v="265"/>
    <x v="1"/>
    <s v="2025-10"/>
    <x v="7"/>
    <s v="CELIO PIMENTA"/>
    <x v="175"/>
    <n v="0"/>
    <n v="1"/>
  </r>
  <r>
    <s v="035.345.406/0001-90"/>
    <x v="300"/>
    <s v="ALTERACAO QUADRO SOCIAL"/>
    <x v="265"/>
    <x v="0"/>
    <s v="2025-10"/>
    <x v="7"/>
    <s v="ADMINISTRAÇÃO"/>
    <x v="300"/>
    <n v="0"/>
    <n v="0"/>
  </r>
  <r>
    <s v="033.803.691/0001-10"/>
    <x v="103"/>
    <s v="INCLUSAO  ANOT.INADIMPLENCIA"/>
    <x v="265"/>
    <x v="0"/>
    <s v="2025-10"/>
    <x v="7"/>
    <s v="ADMINISTRAÇÃO"/>
    <x v="103"/>
    <n v="0"/>
    <n v="1"/>
  </r>
  <r>
    <s v="030.030.642/0001-02"/>
    <x v="302"/>
    <s v="INCLUSAO  ANOT.INADIMPLENCIA"/>
    <x v="265"/>
    <x v="6"/>
    <s v="2025-10"/>
    <x v="7"/>
    <s v="RAFAEL PARISE"/>
    <x v="302"/>
    <n v="0"/>
    <n v="1"/>
  </r>
  <r>
    <s v="028.556.973/0001-20"/>
    <x v="118"/>
    <s v="EXCLUSAO  ANOT.INADIMPLENCIA"/>
    <x v="265"/>
    <x v="1"/>
    <s v="2025-10"/>
    <x v="7"/>
    <s v="CELIO PIMENTA"/>
    <x v="118"/>
    <n v="1"/>
    <n v="0"/>
  </r>
  <r>
    <s v="028.514.938/0001-49"/>
    <x v="249"/>
    <s v="EXCLUSAO  ANOT.INADIMPLENCIA"/>
    <x v="265"/>
    <x v="6"/>
    <s v="2025-10"/>
    <x v="7"/>
    <s v="RAFAEL PARISE"/>
    <x v="249"/>
    <n v="1"/>
    <n v="0"/>
  </r>
  <r>
    <s v="028.511.223/0001-32"/>
    <x v="189"/>
    <s v="INCLUSAO  ANOT.INADIMPLENCIA"/>
    <x v="265"/>
    <x v="0"/>
    <s v="2025-10"/>
    <x v="7"/>
    <s v="ADMINISTRAÇÃO"/>
    <x v="189"/>
    <n v="0"/>
    <n v="1"/>
  </r>
  <r>
    <s v="044.073.794/0001-99"/>
    <x v="280"/>
    <s v="INCLUSAO  ANOT.INADIMPLENCIA"/>
    <x v="265"/>
    <x v="27"/>
    <s v="2025-10"/>
    <x v="7"/>
    <s v="ALISSON DE SOUZA LIMA"/>
    <x v="280"/>
    <n v="0"/>
    <n v="1"/>
  </r>
  <r>
    <s v="027.180.131/0001-54"/>
    <x v="188"/>
    <s v="INCLUSAO  ANOT.INADIMPLENCIA"/>
    <x v="265"/>
    <x v="9"/>
    <s v="2025-10"/>
    <x v="7"/>
    <s v="PRISCILA METZ"/>
    <x v="188"/>
    <n v="0"/>
    <n v="1"/>
  </r>
  <r>
    <s v="025.094.292/0001-08"/>
    <x v="213"/>
    <s v="INCLUSAO  ANOT.INADIMPLENCIA"/>
    <x v="265"/>
    <x v="12"/>
    <s v="2025-10"/>
    <x v="7"/>
    <s v="PROSPECTAR"/>
    <x v="213"/>
    <n v="0"/>
    <n v="1"/>
  </r>
  <r>
    <s v="021.420.856/0001-96"/>
    <x v="129"/>
    <s v="INCL/EXCL ANOT.INADIMPLENCIA"/>
    <x v="265"/>
    <x v="19"/>
    <s v="2025-10"/>
    <x v="7"/>
    <s v="JOSE ROBERTO"/>
    <x v="129"/>
    <n v="1"/>
    <n v="1"/>
  </r>
  <r>
    <s v="021.382.943/0001-04"/>
    <x v="205"/>
    <s v="INCL/EXCL ANOT.INADIMPLENCIA"/>
    <x v="265"/>
    <x v="0"/>
    <s v="2025-10"/>
    <x v="7"/>
    <s v="ADMINISTRAÇÃO"/>
    <x v="205"/>
    <n v="1"/>
    <n v="1"/>
  </r>
  <r>
    <s v="020.024.081/0001-77"/>
    <x v="177"/>
    <s v="INCL/EXCL ANOT.INADIMPLENCIA"/>
    <x v="265"/>
    <x v="10"/>
    <s v="2025-10"/>
    <x v="7"/>
    <s v="ROGERIO "/>
    <x v="177"/>
    <n v="1"/>
    <n v="1"/>
  </r>
  <r>
    <s v="014.829.598/0001-30"/>
    <x v="31"/>
    <s v="INCLUSAO  ANOT.INADIMPLENCIA"/>
    <x v="265"/>
    <x v="9"/>
    <s v="2025-10"/>
    <x v="7"/>
    <s v="PRISCILA METZ"/>
    <x v="31"/>
    <n v="0"/>
    <n v="1"/>
  </r>
  <r>
    <s v="013.749.701/0001-70"/>
    <x v="195"/>
    <s v="INCLUSAO  ANOT.INADIMPLENCIA"/>
    <x v="265"/>
    <x v="6"/>
    <s v="2025-10"/>
    <x v="7"/>
    <s v="RAFAEL PARISE"/>
    <x v="195"/>
    <n v="0"/>
    <n v="1"/>
  </r>
  <r>
    <s v="012.520.791/0001-60"/>
    <x v="4"/>
    <s v="EXCLUSAO  ANOT.INADIMPLENCIA"/>
    <x v="265"/>
    <x v="1"/>
    <s v="2025-10"/>
    <x v="7"/>
    <s v="CELIO PIMENTA"/>
    <x v="4"/>
    <n v="1"/>
    <n v="0"/>
  </r>
  <r>
    <s v="008.250.872/0001-10"/>
    <x v="121"/>
    <s v="INCLUSAO  ANOT.INADIMPLENCIA"/>
    <x v="265"/>
    <x v="6"/>
    <s v="2025-10"/>
    <x v="7"/>
    <s v="RAFAEL PARISE"/>
    <x v="121"/>
    <n v="0"/>
    <n v="1"/>
  </r>
  <r>
    <s v="005.136.389/0001-10"/>
    <x v="274"/>
    <s v="INCLUSAO  ANOT.INADIMPLENCIA"/>
    <x v="265"/>
    <x v="0"/>
    <s v="2025-10"/>
    <x v="7"/>
    <s v="ADMINISTRAÇÃO"/>
    <x v="274"/>
    <n v="0"/>
    <n v="1"/>
  </r>
  <r>
    <s v="026.628.832/0001-40"/>
    <x v="244"/>
    <s v="INCL/EXCL ANOT.INADIMPLENCIA"/>
    <x v="265"/>
    <x v="27"/>
    <s v="2025-10"/>
    <x v="7"/>
    <s v="ALISSON DE SOUZA LIMA"/>
    <x v="244"/>
    <n v="1"/>
    <n v="1"/>
  </r>
  <r>
    <s v="055.979.736/0001-45"/>
    <x v="63"/>
    <s v="INCLUSAO  ANOT.INADIMPLENCIA"/>
    <x v="265"/>
    <x v="16"/>
    <s v="2025-10"/>
    <x v="7"/>
    <s v="SACADO"/>
    <x v="63"/>
    <n v="0"/>
    <n v="1"/>
  </r>
  <r>
    <s v="003.524.760/0001-96"/>
    <x v="230"/>
    <s v="INCLUSAO  ANOT.INADIMPLENCIA"/>
    <x v="266"/>
    <x v="30"/>
    <s v="2025-10"/>
    <x v="7"/>
    <s v="ANDRE CUNHA"/>
    <x v="230"/>
    <n v="0"/>
    <n v="1"/>
  </r>
  <r>
    <s v="044.073.794/0001-99"/>
    <x v="280"/>
    <s v="EXCLUSAO  ANOT.INADIMPLENCIA"/>
    <x v="266"/>
    <x v="27"/>
    <s v="2025-10"/>
    <x v="7"/>
    <s v="ALISSON DE SOUZA LIMA"/>
    <x v="280"/>
    <n v="1"/>
    <n v="0"/>
  </r>
  <r>
    <s v="040.582.798/0001-41"/>
    <x v="144"/>
    <s v="INCLUSAO  ANOT.INADIMPLENCIA"/>
    <x v="266"/>
    <x v="16"/>
    <s v="2025-10"/>
    <x v="7"/>
    <s v="SACADO"/>
    <x v="144"/>
    <n v="0"/>
    <n v="1"/>
  </r>
  <r>
    <s v="034.165.528/0001-32"/>
    <x v="256"/>
    <s v="INCLUSAO  ANOT.INADIMPLENCIA"/>
    <x v="266"/>
    <x v="27"/>
    <s v="2025-10"/>
    <x v="7"/>
    <s v="ALISSON DE SOUZA LIMA"/>
    <x v="256"/>
    <n v="0"/>
    <n v="1"/>
  </r>
  <r>
    <s v="033.803.691/0001-10"/>
    <x v="103"/>
    <s v="INCLUSAO  ANOT.INADIMPLENCIA"/>
    <x v="266"/>
    <x v="0"/>
    <s v="2025-10"/>
    <x v="7"/>
    <s v="ADMINISTRAÇÃO"/>
    <x v="103"/>
    <n v="0"/>
    <n v="1"/>
  </r>
  <r>
    <s v="032.213.847/0001-40"/>
    <x v="198"/>
    <s v="INCLUSAO  ANOT.INADIMPLENCIA"/>
    <x v="266"/>
    <x v="9"/>
    <s v="2025-10"/>
    <x v="7"/>
    <s v="PRISCILA METZ"/>
    <x v="198"/>
    <n v="0"/>
    <n v="1"/>
  </r>
  <r>
    <s v="030.030.642/0001-02"/>
    <x v="302"/>
    <s v="INCLUSAO  ANOT.INADIMPLENCIA"/>
    <x v="266"/>
    <x v="6"/>
    <s v="2025-10"/>
    <x v="7"/>
    <s v="RAFAEL PARISE"/>
    <x v="302"/>
    <n v="0"/>
    <n v="1"/>
  </r>
  <r>
    <s v="027.180.131/0001-54"/>
    <x v="188"/>
    <s v="INCLUSAO  ANOT.INADIMPLENCIA"/>
    <x v="266"/>
    <x v="9"/>
    <s v="2025-10"/>
    <x v="7"/>
    <s v="PRISCILA METZ"/>
    <x v="188"/>
    <n v="0"/>
    <n v="1"/>
  </r>
  <r>
    <s v="052.755.043/0001-80"/>
    <x v="237"/>
    <s v="INCLUSAO  ANOT.INADIMPLENCIA"/>
    <x v="266"/>
    <x v="3"/>
    <s v="2025-10"/>
    <x v="7"/>
    <s v="MARCUS VINICIUS "/>
    <x v="237"/>
    <n v="0"/>
    <n v="1"/>
  </r>
  <r>
    <s v="026.628.832/0001-40"/>
    <x v="244"/>
    <s v="INCLUSAO  ANOT.INADIMPLENCIA"/>
    <x v="266"/>
    <x v="27"/>
    <s v="2025-10"/>
    <x v="7"/>
    <s v="ALISSON DE SOUZA LIMA"/>
    <x v="244"/>
    <n v="0"/>
    <n v="1"/>
  </r>
  <r>
    <s v="020.024.081/0001-77"/>
    <x v="177"/>
    <s v="INCL/EXCL ANOT.INADIMPLENCIA"/>
    <x v="266"/>
    <x v="10"/>
    <s v="2025-10"/>
    <x v="7"/>
    <s v="ROGERIO "/>
    <x v="177"/>
    <n v="1"/>
    <n v="1"/>
  </r>
  <r>
    <s v="014.829.598/0001-30"/>
    <x v="31"/>
    <s v="INCL/EXCL ANOT.INADIMPLENCIA"/>
    <x v="266"/>
    <x v="9"/>
    <s v="2025-10"/>
    <x v="7"/>
    <s v="PRISCILA METZ"/>
    <x v="31"/>
    <n v="1"/>
    <n v="1"/>
  </r>
  <r>
    <s v="012.520.791/0001-60"/>
    <x v="4"/>
    <s v="INCLUSAO  ANOT.INADIMPLENCIA"/>
    <x v="266"/>
    <x v="1"/>
    <s v="2025-10"/>
    <x v="7"/>
    <s v="CELIO PIMENTA"/>
    <x v="4"/>
    <n v="0"/>
    <n v="1"/>
  </r>
  <r>
    <s v="008.250.872/0001-10"/>
    <x v="121"/>
    <s v="INCLUSAO  ANOT.INADIMPLENCIA"/>
    <x v="266"/>
    <x v="6"/>
    <s v="2025-10"/>
    <x v="7"/>
    <s v="RAFAEL PARISE"/>
    <x v="121"/>
    <n v="0"/>
    <n v="1"/>
  </r>
  <r>
    <s v="005.136.389/0001-10"/>
    <x v="274"/>
    <s v="INCLUSAO  ANOT.INADIMPLENCIA"/>
    <x v="266"/>
    <x v="0"/>
    <s v="2025-10"/>
    <x v="7"/>
    <s v="ADMINISTRAÇÃO"/>
    <x v="274"/>
    <n v="0"/>
    <n v="1"/>
  </r>
  <r>
    <s v="004.126.524/0001-84"/>
    <x v="289"/>
    <s v="INCLUSAO  ANOT.INADIMPLENCIA"/>
    <x v="266"/>
    <x v="0"/>
    <s v="2025-10"/>
    <x v="7"/>
    <s v="ADMINISTRAÇÃO"/>
    <x v="289"/>
    <n v="0"/>
    <n v="1"/>
  </r>
  <r>
    <s v="003.590.360/0001-89"/>
    <x v="3"/>
    <s v="INCLUSAO  ANOT.INADIMPLENCIA"/>
    <x v="266"/>
    <x v="1"/>
    <s v="2025-10"/>
    <x v="7"/>
    <s v="CELIO PIMENTA"/>
    <x v="3"/>
    <n v="0"/>
    <n v="1"/>
  </r>
  <r>
    <s v="025.094.292/0001-08"/>
    <x v="213"/>
    <s v="INCLUSAO  ANOT.INADIMPLENCIA"/>
    <x v="266"/>
    <x v="12"/>
    <s v="2025-10"/>
    <x v="7"/>
    <s v="PROSPECTAR"/>
    <x v="213"/>
    <n v="0"/>
    <n v="1"/>
  </r>
  <r>
    <s v="057.696.093/0001-58"/>
    <x v="206"/>
    <s v="INCLUSAO  ANOT.INADIMPLENCIA"/>
    <x v="266"/>
    <x v="1"/>
    <s v="2025-10"/>
    <x v="7"/>
    <s v="CELIO PIMENTA"/>
    <x v="206"/>
    <n v="0"/>
    <n v="1"/>
  </r>
  <r>
    <s v="001.542.005/0001-09"/>
    <x v="291"/>
    <s v="EXCLUSAO  ANOT.INADIMPLENCIA"/>
    <x v="267"/>
    <x v="13"/>
    <s v="2025-10"/>
    <x v="7"/>
    <s v="ANDERSON FRAGA"/>
    <x v="291"/>
    <n v="1"/>
    <n v="0"/>
  </r>
  <r>
    <s v="044.470.678/0001-03"/>
    <x v="203"/>
    <s v="INCLUSAO  ANOT.INADIMPLENCIA"/>
    <x v="267"/>
    <x v="9"/>
    <s v="2025-10"/>
    <x v="7"/>
    <s v="PRISCILA METZ"/>
    <x v="203"/>
    <n v="0"/>
    <n v="1"/>
  </r>
  <r>
    <s v="044.073.794/0001-99"/>
    <x v="280"/>
    <s v="EXCLUSAO  ANOT.INADIMPLENCIA"/>
    <x v="267"/>
    <x v="27"/>
    <s v="2025-10"/>
    <x v="7"/>
    <s v="ALISSON DE SOUZA LIMA"/>
    <x v="280"/>
    <n v="1"/>
    <n v="0"/>
  </r>
  <r>
    <s v="042.119.428/0001-06"/>
    <x v="247"/>
    <s v="INCLUSAO  ANOT.INADIMPLENCIA"/>
    <x v="267"/>
    <x v="31"/>
    <s v="2025-10"/>
    <x v="7"/>
    <s v="TIAGO NEVES"/>
    <x v="247"/>
    <n v="0"/>
    <n v="1"/>
  </r>
  <r>
    <s v="040.938.741/0001-32"/>
    <x v="161"/>
    <s v="EXCLUSAO  ANOT.INADIMPLENCIA"/>
    <x v="267"/>
    <x v="12"/>
    <s v="2025-10"/>
    <x v="7"/>
    <s v="PROSPECTAR"/>
    <x v="161"/>
    <n v="1"/>
    <n v="0"/>
  </r>
  <r>
    <s v="039.438.917/0001-08"/>
    <x v="273"/>
    <s v="EXCLUSAO  ANOT.INADIMPLENCIA"/>
    <x v="267"/>
    <x v="10"/>
    <s v="2025-10"/>
    <x v="7"/>
    <s v="ROGERIO "/>
    <x v="273"/>
    <n v="1"/>
    <n v="0"/>
  </r>
  <r>
    <s v="036.726.274/0001-00"/>
    <x v="133"/>
    <s v="EXCLUSAO  ANOT.INADIMPLENCIA"/>
    <x v="267"/>
    <x v="1"/>
    <s v="2025-10"/>
    <x v="7"/>
    <s v="CELIO PIMENTA"/>
    <x v="133"/>
    <n v="1"/>
    <n v="0"/>
  </r>
  <r>
    <s v="034.165.528/0001-32"/>
    <x v="256"/>
    <s v="EXCLUSAO  ANOT.INADIMPLENCIA"/>
    <x v="267"/>
    <x v="27"/>
    <s v="2025-10"/>
    <x v="7"/>
    <s v="ALISSON DE SOUZA LIMA"/>
    <x v="256"/>
    <n v="1"/>
    <n v="0"/>
  </r>
  <r>
    <s v="033.803.691/0001-10"/>
    <x v="103"/>
    <s v="INCLUSAO  ANOT.INADIMPLENCIA"/>
    <x v="267"/>
    <x v="0"/>
    <s v="2025-10"/>
    <x v="7"/>
    <s v="ADMINISTRAÇÃO"/>
    <x v="103"/>
    <n v="0"/>
    <n v="1"/>
  </r>
  <r>
    <s v="032.677.058/0001-60"/>
    <x v="305"/>
    <s v="INCLUSAO  ANOT.INADIMPLENCIA"/>
    <x v="267"/>
    <x v="21"/>
    <s v="2025-10"/>
    <x v="7"/>
    <s v="CAIO"/>
    <x v="305"/>
    <n v="0"/>
    <n v="1"/>
  </r>
  <r>
    <s v="028.556.973/0001-20"/>
    <x v="118"/>
    <s v="INCLUSAO  ANOT.INADIMPLENCIA"/>
    <x v="267"/>
    <x v="1"/>
    <s v="2025-10"/>
    <x v="7"/>
    <s v="CELIO PIMENTA"/>
    <x v="118"/>
    <n v="0"/>
    <n v="1"/>
  </r>
  <r>
    <s v="028.511.223/0001-32"/>
    <x v="189"/>
    <s v="INCLUSAO  ANOT.INADIMPLENCIA"/>
    <x v="267"/>
    <x v="0"/>
    <s v="2025-10"/>
    <x v="7"/>
    <s v="ADMINISTRAÇÃO"/>
    <x v="189"/>
    <n v="0"/>
    <n v="1"/>
  </r>
  <r>
    <s v="026.628.832/0001-40"/>
    <x v="244"/>
    <s v="INCLUSAO  ANOT.INADIMPLENCIA"/>
    <x v="267"/>
    <x v="27"/>
    <s v="2025-10"/>
    <x v="7"/>
    <s v="ALISSON DE SOUZA LIMA"/>
    <x v="244"/>
    <n v="0"/>
    <n v="1"/>
  </r>
  <r>
    <s v="021.382.943/0001-04"/>
    <x v="205"/>
    <s v="EXCLUSAO  ANOT.INADIMPLENCIA"/>
    <x v="267"/>
    <x v="0"/>
    <s v="2025-10"/>
    <x v="7"/>
    <s v="ADMINISTRAÇÃO"/>
    <x v="205"/>
    <n v="1"/>
    <n v="0"/>
  </r>
  <r>
    <s v="014.829.598/0001-30"/>
    <x v="31"/>
    <s v="INCLUSAO  ANOT.INADIMPLENCIA"/>
    <x v="267"/>
    <x v="9"/>
    <s v="2025-10"/>
    <x v="7"/>
    <s v="PRISCILA METZ"/>
    <x v="31"/>
    <n v="0"/>
    <n v="1"/>
  </r>
  <r>
    <s v="005.363.690/0001-67"/>
    <x v="90"/>
    <s v="INCLUSAO  ANOT.INADIMPLENCIA"/>
    <x v="267"/>
    <x v="12"/>
    <s v="2025-10"/>
    <x v="7"/>
    <s v="PROSPECTAR"/>
    <x v="90"/>
    <n v="0"/>
    <n v="1"/>
  </r>
  <r>
    <s v="047.635.671/0001-92"/>
    <x v="143"/>
    <s v="INCLUSAO  ANOT.INADIMPLENCIA"/>
    <x v="267"/>
    <x v="1"/>
    <s v="2025-10"/>
    <x v="7"/>
    <s v="CELIO PIMENTA"/>
    <x v="143"/>
    <n v="0"/>
    <n v="1"/>
  </r>
  <r>
    <s v="057.696.093/0001-58"/>
    <x v="206"/>
    <s v="INCLUSAO  ANOT.INADIMPLENCIA"/>
    <x v="267"/>
    <x v="1"/>
    <s v="2025-10"/>
    <x v="7"/>
    <s v="CELIO PIMENTA"/>
    <x v="206"/>
    <n v="0"/>
    <n v="1"/>
  </r>
  <r>
    <s v="003.524.760/0001-96"/>
    <x v="230"/>
    <s v="EXCLUSAO  ANOT.INADIMPLENCIA"/>
    <x v="268"/>
    <x v="30"/>
    <s v="2025-10"/>
    <x v="7"/>
    <s v="ANDRE CUNHA"/>
    <x v="230"/>
    <n v="1"/>
    <n v="0"/>
  </r>
  <r>
    <s v="011.173.099/0001-40"/>
    <x v="227"/>
    <s v="INCLUSAO  ANOT.INADIMPLENCIA"/>
    <x v="268"/>
    <x v="21"/>
    <s v="2025-10"/>
    <x v="7"/>
    <s v="CAIO"/>
    <x v="227"/>
    <n v="0"/>
    <n v="1"/>
  </r>
  <r>
    <s v="014.829.598/0001-30"/>
    <x v="31"/>
    <s v="INCLUSAO  ANOT.INADIMPLENCIA"/>
    <x v="268"/>
    <x v="9"/>
    <s v="2025-10"/>
    <x v="7"/>
    <s v="PRISCILA METZ"/>
    <x v="31"/>
    <n v="0"/>
    <n v="1"/>
  </r>
  <r>
    <s v="020.024.081/0001-77"/>
    <x v="177"/>
    <s v="INCLUSAO  ANOT.INADIMPLENCIA"/>
    <x v="268"/>
    <x v="10"/>
    <s v="2025-10"/>
    <x v="7"/>
    <s v="ROGERIO "/>
    <x v="177"/>
    <n v="0"/>
    <n v="1"/>
  </r>
  <r>
    <s v="021.382.943/0001-04"/>
    <x v="205"/>
    <s v="INCLUSAO  ANOT.INADIMPLENCIA"/>
    <x v="268"/>
    <x v="0"/>
    <s v="2025-10"/>
    <x v="7"/>
    <s v="ADMINISTRAÇÃO"/>
    <x v="205"/>
    <n v="0"/>
    <n v="1"/>
  </r>
  <r>
    <s v="027.180.131/0001-54"/>
    <x v="188"/>
    <s v="INCLUSAO  ANOT.INADIMPLENCIA"/>
    <x v="268"/>
    <x v="9"/>
    <s v="2025-10"/>
    <x v="7"/>
    <s v="PRISCILA METZ"/>
    <x v="188"/>
    <n v="0"/>
    <n v="1"/>
  </r>
  <r>
    <s v="040.582.798/0001-41"/>
    <x v="144"/>
    <s v="EXCLUSAO  ANOT.INADIMPLENCIA"/>
    <x v="268"/>
    <x v="16"/>
    <s v="2025-10"/>
    <x v="7"/>
    <s v="SACADO"/>
    <x v="144"/>
    <n v="1"/>
    <n v="0"/>
  </r>
  <r>
    <s v="041.388.946/0001-54"/>
    <x v="175"/>
    <s v="INCLUSAO  ANOT.INADIMPLENCIA"/>
    <x v="268"/>
    <x v="1"/>
    <s v="2025-10"/>
    <x v="7"/>
    <s v="CELIO PIMENTA"/>
    <x v="175"/>
    <n v="0"/>
    <n v="1"/>
  </r>
  <r>
    <s v="057.698.087/0001-30"/>
    <x v="229"/>
    <s v="INCLUSAO  ANOT.INADIMPLENCIA"/>
    <x v="268"/>
    <x v="1"/>
    <s v="2025-10"/>
    <x v="7"/>
    <s v="CELIO PIMENTA"/>
    <x v="229"/>
    <n v="0"/>
    <n v="1"/>
  </r>
  <r>
    <s v="005.374.432/0001-86"/>
    <x v="222"/>
    <s v="INCLUSAO  ANOT.INADIMPLENCIA"/>
    <x v="269"/>
    <x v="29"/>
    <s v="2025-10"/>
    <x v="7"/>
    <s v="DALVA"/>
    <x v="222"/>
    <n v="0"/>
    <n v="1"/>
  </r>
  <r>
    <s v="008.641.174/0001-45"/>
    <x v="295"/>
    <s v="INCLUSAO  ANOT.INADIMPLENCIA"/>
    <x v="269"/>
    <x v="5"/>
    <s v="2025-10"/>
    <x v="7"/>
    <s v="POENATELA"/>
    <x v="295"/>
    <n v="0"/>
    <n v="1"/>
  </r>
  <r>
    <s v="011.122.552/0001-99"/>
    <x v="59"/>
    <s v="INCLUSAO  ANOT.INADIMPLENCIA"/>
    <x v="269"/>
    <x v="6"/>
    <s v="2025-10"/>
    <x v="7"/>
    <s v="RAFAEL PARISE"/>
    <x v="59"/>
    <n v="0"/>
    <n v="1"/>
  </r>
  <r>
    <s v="020.024.081/0001-77"/>
    <x v="177"/>
    <s v="INCLUSAO  ANOT.INADIMPLENCIA"/>
    <x v="269"/>
    <x v="10"/>
    <s v="2025-10"/>
    <x v="7"/>
    <s v="ROGERIO "/>
    <x v="177"/>
    <n v="0"/>
    <n v="1"/>
  </r>
  <r>
    <s v="021.382.943/0001-04"/>
    <x v="205"/>
    <s v="EXCLUSAO  ANOT.INADIMPLENCIA"/>
    <x v="269"/>
    <x v="0"/>
    <s v="2025-10"/>
    <x v="7"/>
    <s v="ADMINISTRAÇÃO"/>
    <x v="205"/>
    <n v="1"/>
    <n v="0"/>
  </r>
  <r>
    <s v="021.420.856/0001-96"/>
    <x v="129"/>
    <s v="EXCLUSAO  ANOT.INADIMPLENCIA"/>
    <x v="269"/>
    <x v="19"/>
    <s v="2025-10"/>
    <x v="7"/>
    <s v="JOSE ROBERTO"/>
    <x v="129"/>
    <n v="1"/>
    <n v="0"/>
  </r>
  <r>
    <s v="028.393.466/0001-13"/>
    <x v="167"/>
    <s v="EXCLUSAO  ANOT.INADIMPLENCIA"/>
    <x v="269"/>
    <x v="12"/>
    <s v="2025-10"/>
    <x v="7"/>
    <s v="PROSPECTAR"/>
    <x v="167"/>
    <n v="1"/>
    <n v="0"/>
  </r>
  <r>
    <s v="030.646.968/0001-50"/>
    <x v="296"/>
    <s v="INCLUSAO  ANOT.INADIMPLENCIA"/>
    <x v="269"/>
    <x v="10"/>
    <s v="2025-10"/>
    <x v="7"/>
    <s v="ROGERIO "/>
    <x v="296"/>
    <n v="0"/>
    <n v="1"/>
  </r>
  <r>
    <s v="034.165.528/0001-32"/>
    <x v="256"/>
    <s v="EXCLUSAO  ANOT.INADIMPLENCIA"/>
    <x v="269"/>
    <x v="27"/>
    <s v="2025-10"/>
    <x v="7"/>
    <s v="ALISSON DE SOUZA LIMA"/>
    <x v="256"/>
    <n v="1"/>
    <n v="0"/>
  </r>
  <r>
    <s v="036.726.274/0001-00"/>
    <x v="133"/>
    <s v="INCLUSAO  ANOT.INADIMPLENCIA"/>
    <x v="269"/>
    <x v="1"/>
    <s v="2025-10"/>
    <x v="7"/>
    <s v="CELIO PIMENTA"/>
    <x v="133"/>
    <n v="0"/>
    <n v="1"/>
  </r>
  <r>
    <s v="044.073.794/0001-99"/>
    <x v="280"/>
    <s v="INCL/EXCL ANOT.INADIMPLENCIA"/>
    <x v="269"/>
    <x v="27"/>
    <s v="2025-10"/>
    <x v="7"/>
    <s v="ALISSON DE SOUZA LIMA"/>
    <x v="280"/>
    <n v="1"/>
    <n v="1"/>
  </r>
  <r>
    <s v="047.635.671/0001-92"/>
    <x v="143"/>
    <s v="INCLUSAO  ANOT.INADIMPLENCIA"/>
    <x v="269"/>
    <x v="1"/>
    <s v="2025-10"/>
    <x v="7"/>
    <s v="CELIO PIMENTA"/>
    <x v="143"/>
    <n v="0"/>
    <n v="1"/>
  </r>
  <r>
    <s v="057.698.087/0001-30"/>
    <x v="229"/>
    <s v="INCLUSAO  ANOT.INADIMPLENCIA"/>
    <x v="269"/>
    <x v="1"/>
    <s v="2025-10"/>
    <x v="7"/>
    <s v="CELIO PIMENTA"/>
    <x v="229"/>
    <n v="0"/>
    <n v="1"/>
  </r>
  <r>
    <s v="003.590.360/0001-89"/>
    <x v="3"/>
    <s v="INCLUSAO  ANOT.INADIMPLENCIA"/>
    <x v="270"/>
    <x v="1"/>
    <s v="2025-10"/>
    <x v="8"/>
    <s v="CELIO PIMENTA"/>
    <x v="3"/>
    <n v="0"/>
    <n v="1"/>
  </r>
  <r>
    <s v="052.755.043/0001-80"/>
    <x v="237"/>
    <s v="INCL/EXCL ANOT.INADIMPLENCIA"/>
    <x v="270"/>
    <x v="3"/>
    <s v="2025-10"/>
    <x v="8"/>
    <s v="MARCUS VINICIUS "/>
    <x v="237"/>
    <n v="1"/>
    <n v="1"/>
  </r>
  <r>
    <s v="045.871.536/0001-10"/>
    <x v="71"/>
    <s v="INCLUSAO  ANOT.INADIMPLENCIA"/>
    <x v="270"/>
    <x v="3"/>
    <s v="2025-10"/>
    <x v="8"/>
    <s v="MARCUS VINICIUS "/>
    <x v="71"/>
    <n v="0"/>
    <n v="1"/>
  </r>
  <r>
    <s v="044.470.678/0001-03"/>
    <x v="203"/>
    <s v="INCLUSAO  ANOT.INADIMPLENCIA"/>
    <x v="270"/>
    <x v="9"/>
    <s v="2025-10"/>
    <x v="8"/>
    <s v="PRISCILA METZ"/>
    <x v="203"/>
    <n v="0"/>
    <n v="1"/>
  </r>
  <r>
    <s v="044.073.794/0001-99"/>
    <x v="280"/>
    <s v="INCLUSAO  ANOT.INADIMPLENCIA"/>
    <x v="270"/>
    <x v="27"/>
    <s v="2025-10"/>
    <x v="8"/>
    <s v="ALISSON DE SOUZA LIMA"/>
    <x v="280"/>
    <n v="0"/>
    <n v="1"/>
  </r>
  <r>
    <s v="041.388.946/0001-54"/>
    <x v="175"/>
    <s v="INCLUSAO  ANOT.INADIMPLENCIA"/>
    <x v="270"/>
    <x v="1"/>
    <s v="2025-10"/>
    <x v="8"/>
    <s v="CELIO PIMENTA"/>
    <x v="175"/>
    <n v="0"/>
    <n v="1"/>
  </r>
  <r>
    <s v="040.582.798/0001-41"/>
    <x v="144"/>
    <s v="INCLUSAO  ANOT.INADIMPLENCIA"/>
    <x v="270"/>
    <x v="16"/>
    <s v="2025-10"/>
    <x v="8"/>
    <s v="SACADO"/>
    <x v="144"/>
    <n v="0"/>
    <n v="1"/>
  </r>
  <r>
    <s v="039.438.917/0001-08"/>
    <x v="273"/>
    <s v="INCLUSAO  ANOT.INADIMPLENCIA"/>
    <x v="270"/>
    <x v="10"/>
    <s v="2025-10"/>
    <x v="8"/>
    <s v="ROGERIO "/>
    <x v="273"/>
    <n v="0"/>
    <n v="1"/>
  </r>
  <r>
    <s v="034.165.528/0001-32"/>
    <x v="256"/>
    <s v="INCLUSAO  ANOT.INADIMPLENCIA"/>
    <x v="270"/>
    <x v="27"/>
    <s v="2025-10"/>
    <x v="8"/>
    <s v="ALISSON DE SOUZA LIMA"/>
    <x v="256"/>
    <n v="0"/>
    <n v="1"/>
  </r>
  <r>
    <s v="032.925.977/0001-06"/>
    <x v="235"/>
    <s v="INCLUSAO  ANOT.INADIMPLENCIA"/>
    <x v="270"/>
    <x v="1"/>
    <s v="2025-10"/>
    <x v="8"/>
    <s v="CELIO PIMENTA"/>
    <x v="235"/>
    <n v="0"/>
    <n v="1"/>
  </r>
  <r>
    <s v="032.677.058/0001-60"/>
    <x v="305"/>
    <s v="EXCLUSAO  ANOT.INADIMPLENCIA"/>
    <x v="270"/>
    <x v="21"/>
    <s v="2025-10"/>
    <x v="8"/>
    <s v="CAIO"/>
    <x v="305"/>
    <n v="1"/>
    <n v="0"/>
  </r>
  <r>
    <s v="032.213.847/0001-40"/>
    <x v="198"/>
    <s v="INCLUSAO  ANOT.INADIMPLENCIA"/>
    <x v="270"/>
    <x v="9"/>
    <s v="2025-10"/>
    <x v="8"/>
    <s v="PRISCILA METZ"/>
    <x v="198"/>
    <n v="0"/>
    <n v="1"/>
  </r>
  <r>
    <s v="028.511.223/0001-32"/>
    <x v="189"/>
    <s v="INCLUSAO  ANOT.INADIMPLENCIA"/>
    <x v="270"/>
    <x v="0"/>
    <s v="2025-10"/>
    <x v="8"/>
    <s v="ADMINISTRAÇÃO"/>
    <x v="189"/>
    <n v="0"/>
    <n v="1"/>
  </r>
  <r>
    <s v="027.180.131/0001-54"/>
    <x v="188"/>
    <s v="INCLUSAO  ANOT.INADIMPLENCIA"/>
    <x v="270"/>
    <x v="9"/>
    <s v="2025-10"/>
    <x v="8"/>
    <s v="PRISCILA METZ"/>
    <x v="188"/>
    <n v="0"/>
    <n v="1"/>
  </r>
  <r>
    <s v="023.637.987/0001-55"/>
    <x v="20"/>
    <s v="INCLUSAO  ANOT.INADIMPLENCIA"/>
    <x v="270"/>
    <x v="5"/>
    <s v="2025-10"/>
    <x v="8"/>
    <s v="POENATELA"/>
    <x v="20"/>
    <n v="0"/>
    <n v="1"/>
  </r>
  <r>
    <s v="021.734.108/0001-88"/>
    <x v="41"/>
    <s v="INCLUSAO  ANOT.INADIMPLENCIA"/>
    <x v="270"/>
    <x v="0"/>
    <s v="2025-10"/>
    <x v="8"/>
    <s v="ADMINISTRAÇÃO"/>
    <x v="41"/>
    <n v="0"/>
    <n v="1"/>
  </r>
  <r>
    <s v="021.382.943/0001-04"/>
    <x v="205"/>
    <s v="EXCLUSAO  ANOT.INADIMPLENCIA"/>
    <x v="270"/>
    <x v="0"/>
    <s v="2025-10"/>
    <x v="8"/>
    <s v="ADMINISTRAÇÃO"/>
    <x v="205"/>
    <n v="1"/>
    <n v="0"/>
  </r>
  <r>
    <s v="020.024.081/0001-77"/>
    <x v="177"/>
    <s v="INCLUSAO  ANOT.INADIMPLENCIA"/>
    <x v="270"/>
    <x v="10"/>
    <s v="2025-10"/>
    <x v="8"/>
    <s v="ROGERIO "/>
    <x v="177"/>
    <n v="0"/>
    <n v="1"/>
  </r>
  <r>
    <s v="016.772.642/0001-49"/>
    <x v="69"/>
    <s v="INCLUSAO  ANOT.INADIMPLENCIA"/>
    <x v="270"/>
    <x v="0"/>
    <s v="2025-10"/>
    <x v="8"/>
    <s v="ADMINISTRAÇÃO"/>
    <x v="69"/>
    <n v="0"/>
    <n v="1"/>
  </r>
  <r>
    <s v="014.829.598/0001-30"/>
    <x v="31"/>
    <s v="INCL/EXCL ANOT.INADIMPLENCIA"/>
    <x v="270"/>
    <x v="9"/>
    <s v="2025-10"/>
    <x v="8"/>
    <s v="PRISCILA METZ"/>
    <x v="31"/>
    <n v="1"/>
    <n v="1"/>
  </r>
  <r>
    <s v="008.641.174/0001-45"/>
    <x v="295"/>
    <s v="EXCLUSAO  ANOT.INADIMPLENCIA"/>
    <x v="270"/>
    <x v="5"/>
    <s v="2025-10"/>
    <x v="8"/>
    <s v="POENATELA"/>
    <x v="295"/>
    <n v="1"/>
    <n v="0"/>
  </r>
  <r>
    <s v="008.250.872/0001-10"/>
    <x v="121"/>
    <s v="INCLUSAO  ANOT.INADIMPLENCIA"/>
    <x v="270"/>
    <x v="6"/>
    <s v="2025-10"/>
    <x v="8"/>
    <s v="RAFAEL PARISE"/>
    <x v="121"/>
    <n v="0"/>
    <n v="1"/>
  </r>
  <r>
    <s v="005.374.432/0001-86"/>
    <x v="222"/>
    <s v="EXCLUSAO  ANOT.INADIMPLENCIA"/>
    <x v="270"/>
    <x v="29"/>
    <s v="2025-10"/>
    <x v="8"/>
    <s v="DALVA"/>
    <x v="222"/>
    <n v="1"/>
    <n v="0"/>
  </r>
  <r>
    <s v="004.041.192/0001-35"/>
    <x v="37"/>
    <s v="INCLUSAO  ANOT.INADIMPLENCIA"/>
    <x v="270"/>
    <x v="0"/>
    <s v="2025-10"/>
    <x v="8"/>
    <s v="ADMINISTRAÇÃO"/>
    <x v="37"/>
    <n v="0"/>
    <n v="1"/>
  </r>
  <r>
    <s v="057.696.093/0001-58"/>
    <x v="206"/>
    <s v="INCLUSAO  ANOT.INADIMPLENCIA"/>
    <x v="270"/>
    <x v="1"/>
    <s v="2025-10"/>
    <x v="8"/>
    <s v="CELIO PIMENTA"/>
    <x v="206"/>
    <n v="0"/>
    <n v="1"/>
  </r>
  <r>
    <s v="086.490.885/0001-70"/>
    <x v="207"/>
    <s v="EXCLUSAO  ANOT.INADIMPLENCIA"/>
    <x v="270"/>
    <x v="6"/>
    <s v="2025-10"/>
    <x v="8"/>
    <s v="RAFAEL PARISE"/>
    <x v="207"/>
    <n v="1"/>
    <n v="0"/>
  </r>
  <r>
    <s v="003.590.360/0001-89"/>
    <x v="3"/>
    <s v="EXCLUSAO  ANOT.INADIMPLENCIA"/>
    <x v="271"/>
    <x v="1"/>
    <s v="2025-10"/>
    <x v="8"/>
    <s v="CELIO PIMENTA"/>
    <x v="3"/>
    <n v="1"/>
    <n v="0"/>
  </r>
  <r>
    <s v="055.466.241/0001-12"/>
    <x v="181"/>
    <s v="INCLUSAO  ANOT.INADIMPLENCIA"/>
    <x v="271"/>
    <x v="12"/>
    <s v="2025-10"/>
    <x v="8"/>
    <s v="PROSPECTAR"/>
    <x v="181"/>
    <n v="0"/>
    <n v="1"/>
  </r>
  <r>
    <s v="043.515.558/0001-12"/>
    <x v="176"/>
    <s v="INCLUSAO  ANOT.INADIMPLENCIA"/>
    <x v="271"/>
    <x v="10"/>
    <s v="2025-10"/>
    <x v="8"/>
    <s v="ROGERIO "/>
    <x v="176"/>
    <n v="0"/>
    <n v="1"/>
  </r>
  <r>
    <s v="041.388.946/0001-54"/>
    <x v="175"/>
    <s v="INCLUSAO  ANOT.INADIMPLENCIA"/>
    <x v="271"/>
    <x v="1"/>
    <s v="2025-10"/>
    <x v="8"/>
    <s v="CELIO PIMENTA"/>
    <x v="175"/>
    <n v="0"/>
    <n v="1"/>
  </r>
  <r>
    <s v="040.582.798/0001-41"/>
    <x v="144"/>
    <s v="EXCLUSAO  ANOT.INADIMPLENCIA"/>
    <x v="271"/>
    <x v="16"/>
    <s v="2025-10"/>
    <x v="8"/>
    <s v="SACADO"/>
    <x v="144"/>
    <n v="1"/>
    <n v="0"/>
  </r>
  <r>
    <s v="039.438.917/0001-08"/>
    <x v="273"/>
    <s v="EXCLUSAO  ANOT.INADIMPLENCIA"/>
    <x v="271"/>
    <x v="10"/>
    <s v="2025-10"/>
    <x v="8"/>
    <s v="ROGERIO "/>
    <x v="273"/>
    <n v="1"/>
    <n v="0"/>
  </r>
  <r>
    <s v="034.165.528/0001-32"/>
    <x v="256"/>
    <s v="INCLUSAO  ANOT.INADIMPLENCIA"/>
    <x v="271"/>
    <x v="27"/>
    <s v="2025-10"/>
    <x v="8"/>
    <s v="ALISSON DE SOUZA LIMA"/>
    <x v="256"/>
    <n v="0"/>
    <n v="1"/>
  </r>
  <r>
    <s v="033.803.691/0001-10"/>
    <x v="103"/>
    <s v="INCLUSAO  ANOT.INADIMPLENCIA"/>
    <x v="271"/>
    <x v="0"/>
    <s v="2025-10"/>
    <x v="8"/>
    <s v="ADMINISTRAÇÃO"/>
    <x v="103"/>
    <n v="0"/>
    <n v="1"/>
  </r>
  <r>
    <s v="032.213.847/0001-40"/>
    <x v="198"/>
    <s v="INCLUSAO  ANOT.INADIMPLENCIA"/>
    <x v="271"/>
    <x v="9"/>
    <s v="2025-10"/>
    <x v="8"/>
    <s v="PRISCILA METZ"/>
    <x v="198"/>
    <n v="0"/>
    <n v="1"/>
  </r>
  <r>
    <s v="027.180.131/0001-54"/>
    <x v="188"/>
    <s v="INCLUSAO  ANOT.INADIMPLENCIA"/>
    <x v="271"/>
    <x v="9"/>
    <s v="2025-10"/>
    <x v="8"/>
    <s v="PRISCILA METZ"/>
    <x v="188"/>
    <n v="0"/>
    <n v="1"/>
  </r>
  <r>
    <s v="025.094.292/0001-08"/>
    <x v="213"/>
    <s v="INCLUSAO  ANOT.INADIMPLENCIA"/>
    <x v="271"/>
    <x v="12"/>
    <s v="2025-10"/>
    <x v="8"/>
    <s v="PROSPECTAR"/>
    <x v="213"/>
    <n v="0"/>
    <n v="1"/>
  </r>
  <r>
    <s v="057.696.093/0001-58"/>
    <x v="206"/>
    <s v="INCLUSAO  ANOT.INADIMPLENCIA"/>
    <x v="271"/>
    <x v="1"/>
    <s v="2025-10"/>
    <x v="8"/>
    <s v="CELIO PIMENTA"/>
    <x v="206"/>
    <n v="0"/>
    <n v="1"/>
  </r>
  <r>
    <s v="023.637.987/0001-55"/>
    <x v="20"/>
    <s v="INCLUSAO  ANOT.INADIMPLENCIA"/>
    <x v="271"/>
    <x v="5"/>
    <s v="2025-10"/>
    <x v="8"/>
    <s v="POENATELA"/>
    <x v="20"/>
    <n v="0"/>
    <n v="1"/>
  </r>
  <r>
    <s v="021.090.123/0001-30"/>
    <x v="290"/>
    <s v="INCLUSAO  ANOT.INADIMPLENCIA"/>
    <x v="271"/>
    <x v="21"/>
    <s v="2025-10"/>
    <x v="8"/>
    <s v="CAIO"/>
    <x v="290"/>
    <n v="0"/>
    <n v="1"/>
  </r>
  <r>
    <s v="020.024.081/0001-77"/>
    <x v="177"/>
    <s v="INCL/EXCL ANOT.INADIMPLENCIA"/>
    <x v="271"/>
    <x v="10"/>
    <s v="2025-10"/>
    <x v="8"/>
    <s v="ROGERIO "/>
    <x v="177"/>
    <n v="1"/>
    <n v="1"/>
  </r>
  <r>
    <s v="016.772.642/0001-49"/>
    <x v="69"/>
    <s v="INCLUSAO  ANOT.INADIMPLENCIA"/>
    <x v="271"/>
    <x v="0"/>
    <s v="2025-10"/>
    <x v="8"/>
    <s v="ADMINISTRAÇÃO"/>
    <x v="69"/>
    <n v="0"/>
    <n v="1"/>
  </r>
  <r>
    <s v="014.829.598/0001-30"/>
    <x v="31"/>
    <s v="INCLUSAO  ANOT.INADIMPLENCIA"/>
    <x v="271"/>
    <x v="9"/>
    <s v="2025-10"/>
    <x v="8"/>
    <s v="PRISCILA METZ"/>
    <x v="31"/>
    <n v="0"/>
    <n v="1"/>
  </r>
  <r>
    <s v="012.520.929/0001-20"/>
    <x v="294"/>
    <s v="INCLUSAO  ANOT.INADIMPLENCIA"/>
    <x v="271"/>
    <x v="35"/>
    <s v="2025-10"/>
    <x v="8"/>
    <s v="VALERIA"/>
    <x v="294"/>
    <n v="0"/>
    <n v="1"/>
  </r>
  <r>
    <s v="012.520.791/0001-60"/>
    <x v="4"/>
    <s v="INCLUSAO  ANOT.INADIMPLENCIA"/>
    <x v="271"/>
    <x v="1"/>
    <s v="2025-10"/>
    <x v="8"/>
    <s v="CELIO PIMENTA"/>
    <x v="4"/>
    <n v="0"/>
    <n v="1"/>
  </r>
  <r>
    <s v="008.250.872/0001-10"/>
    <x v="121"/>
    <s v="INCLUSAO  ANOT.INADIMPLENCIA"/>
    <x v="271"/>
    <x v="6"/>
    <s v="2025-10"/>
    <x v="8"/>
    <s v="RAFAEL PARISE"/>
    <x v="121"/>
    <n v="0"/>
    <n v="1"/>
  </r>
  <r>
    <s v="007.345.063/0001-29"/>
    <x v="306"/>
    <s v="INCLUSAO  ANOT.INADIMPLENCIA"/>
    <x v="271"/>
    <x v="5"/>
    <s v="2025-10"/>
    <x v="8"/>
    <s v="POENATELA"/>
    <x v="306"/>
    <n v="0"/>
    <n v="1"/>
  </r>
  <r>
    <s v="007.272.884/0001-82"/>
    <x v="276"/>
    <s v="INCLUSAO  ANOT.INADIMPLENCIA"/>
    <x v="271"/>
    <x v="10"/>
    <s v="2025-10"/>
    <x v="8"/>
    <s v="ROGERIO "/>
    <x v="276"/>
    <n v="0"/>
    <n v="1"/>
  </r>
  <r>
    <s v="005.363.690/0001-67"/>
    <x v="90"/>
    <s v="INCLUSAO  ANOT.INADIMPLENCIA"/>
    <x v="271"/>
    <x v="12"/>
    <s v="2025-10"/>
    <x v="8"/>
    <s v="PROSPECTAR"/>
    <x v="90"/>
    <n v="0"/>
    <n v="1"/>
  </r>
  <r>
    <s v="021.734.108/0001-88"/>
    <x v="41"/>
    <s v="INCLUSAO  ANOT.INADIMPLENCIA"/>
    <x v="271"/>
    <x v="0"/>
    <s v="2025-10"/>
    <x v="8"/>
    <s v="ADMINISTRAÇÃO"/>
    <x v="41"/>
    <n v="0"/>
    <n v="1"/>
  </r>
  <r>
    <s v="057.698.087/0001-30"/>
    <x v="229"/>
    <s v="INCLUSAO  ANOT.INADIMPLENCIA"/>
    <x v="271"/>
    <x v="1"/>
    <s v="2025-10"/>
    <x v="8"/>
    <s v="CELIO PIMENTA"/>
    <x v="229"/>
    <n v="0"/>
    <n v="1"/>
  </r>
  <r>
    <s v="001.866.592/0001-91"/>
    <x v="293"/>
    <s v="EXCLUSAO  ANOT.INADIMPLENCIA"/>
    <x v="272"/>
    <x v="12"/>
    <s v="2025-10"/>
    <x v="8"/>
    <s v="PROSPECTAR"/>
    <x v="293"/>
    <n v="1"/>
    <n v="0"/>
  </r>
  <r>
    <s v="002.862.437/0001-60"/>
    <x v="220"/>
    <s v="EXCLUSAO  ANOT.INADIMPLENCIA"/>
    <x v="272"/>
    <x v="21"/>
    <s v="2025-10"/>
    <x v="8"/>
    <s v="CAIO"/>
    <x v="220"/>
    <n v="1"/>
    <n v="0"/>
  </r>
  <r>
    <s v="005.363.690/0001-67"/>
    <x v="90"/>
    <s v="INCLUSAO  ANOT.INADIMPLENCIA"/>
    <x v="272"/>
    <x v="12"/>
    <s v="2025-10"/>
    <x v="8"/>
    <s v="PROSPECTAR"/>
    <x v="90"/>
    <n v="0"/>
    <n v="1"/>
  </r>
  <r>
    <s v="007.272.884/0001-82"/>
    <x v="276"/>
    <s v="INCLUSAO  ANOT.INADIMPLENCIA"/>
    <x v="272"/>
    <x v="10"/>
    <s v="2025-10"/>
    <x v="8"/>
    <s v="ROGERIO "/>
    <x v="276"/>
    <n v="0"/>
    <n v="1"/>
  </r>
  <r>
    <s v="012.520.929/0001-20"/>
    <x v="294"/>
    <s v="INCLUSAO  ANOT.INADIMPLENCIA"/>
    <x v="272"/>
    <x v="35"/>
    <s v="2025-10"/>
    <x v="8"/>
    <s v="VALERIA"/>
    <x v="294"/>
    <n v="0"/>
    <n v="1"/>
  </r>
  <r>
    <s v="014.829.598/0001-30"/>
    <x v="31"/>
    <s v="EXCLUSAO  ANOT.INADIMPLENCIA"/>
    <x v="272"/>
    <x v="9"/>
    <s v="2025-10"/>
    <x v="8"/>
    <s v="PRISCILA METZ"/>
    <x v="31"/>
    <n v="1"/>
    <n v="0"/>
  </r>
  <r>
    <s v="020.024.081/0001-77"/>
    <x v="177"/>
    <s v="INCL/EXCL ANOT.INADIMPLENCIA"/>
    <x v="272"/>
    <x v="10"/>
    <s v="2025-10"/>
    <x v="8"/>
    <s v="ROGERIO "/>
    <x v="177"/>
    <n v="1"/>
    <n v="1"/>
  </r>
  <r>
    <s v="021.090.123/0001-30"/>
    <x v="290"/>
    <s v="INCLUSAO  ANOT.INADIMPLENCIA"/>
    <x v="272"/>
    <x v="21"/>
    <s v="2025-10"/>
    <x v="8"/>
    <s v="CAIO"/>
    <x v="290"/>
    <n v="0"/>
    <n v="1"/>
  </r>
  <r>
    <s v="021.382.943/0001-04"/>
    <x v="205"/>
    <s v="INCLUSAO  ANOT.INADIMPLENCIA"/>
    <x v="272"/>
    <x v="0"/>
    <s v="2025-10"/>
    <x v="8"/>
    <s v="ADMINISTRAÇÃO"/>
    <x v="205"/>
    <n v="0"/>
    <n v="1"/>
  </r>
  <r>
    <s v="028.511.223/0001-32"/>
    <x v="189"/>
    <s v="INCLUSAO  ANOT.INADIMPLENCIA"/>
    <x v="272"/>
    <x v="0"/>
    <s v="2025-10"/>
    <x v="8"/>
    <s v="ADMINISTRAÇÃO"/>
    <x v="189"/>
    <n v="0"/>
    <n v="1"/>
  </r>
  <r>
    <s v="028.556.973/0001-20"/>
    <x v="118"/>
    <s v="INCLUSAO  ANOT.INADIMPLENCIA"/>
    <x v="272"/>
    <x v="1"/>
    <s v="2025-10"/>
    <x v="8"/>
    <s v="CELIO PIMENTA"/>
    <x v="118"/>
    <n v="0"/>
    <n v="1"/>
  </r>
  <r>
    <s v="033.803.691/0001-10"/>
    <x v="103"/>
    <s v="EXCLUSAO  ANOT.INADIMPLENCIA"/>
    <x v="272"/>
    <x v="0"/>
    <s v="2025-10"/>
    <x v="8"/>
    <s v="ADMINISTRAÇÃO"/>
    <x v="103"/>
    <n v="1"/>
    <n v="0"/>
  </r>
  <r>
    <s v="039.438.917/0001-08"/>
    <x v="273"/>
    <s v="EXCLUSAO  ANOT.INADIMPLENCIA"/>
    <x v="272"/>
    <x v="10"/>
    <s v="2025-10"/>
    <x v="8"/>
    <s v="ROGERIO "/>
    <x v="273"/>
    <n v="1"/>
    <n v="0"/>
  </r>
  <r>
    <s v="057.698.087/0001-30"/>
    <x v="229"/>
    <s v="INCLUSAO  ANOT.INADIMPLENCIA"/>
    <x v="272"/>
    <x v="1"/>
    <s v="2025-10"/>
    <x v="8"/>
    <s v="CELIO PIMENTA"/>
    <x v="229"/>
    <n v="0"/>
    <n v="1"/>
  </r>
  <r>
    <s v="061.008.540/0001-06"/>
    <x v="287"/>
    <s v="INCLUSAO  ANOT.INADIMPLENCIA"/>
    <x v="272"/>
    <x v="29"/>
    <s v="2025-10"/>
    <x v="8"/>
    <s v="DALVA"/>
    <x v="287"/>
    <n v="0"/>
    <n v="1"/>
  </r>
  <r>
    <s v="001.376.967/0001-35"/>
    <x v="192"/>
    <s v="EXCLUSAO  ANOT.INADIMPLENCIA"/>
    <x v="273"/>
    <x v="26"/>
    <s v="2025-10"/>
    <x v="8"/>
    <s v="ANTECIPA"/>
    <x v="192"/>
    <n v="1"/>
    <n v="0"/>
  </r>
  <r>
    <s v="057.696.093/0001-58"/>
    <x v="206"/>
    <s v="INCLUSAO  ANOT.INADIMPLENCIA"/>
    <x v="273"/>
    <x v="1"/>
    <s v="2025-10"/>
    <x v="8"/>
    <s v="CELIO PIMENTA"/>
    <x v="206"/>
    <n v="0"/>
    <n v="1"/>
  </r>
  <r>
    <s v="047.635.671/0001-92"/>
    <x v="143"/>
    <s v="INCLUSAO  ANOT.INADIMPLENCIA"/>
    <x v="273"/>
    <x v="1"/>
    <s v="2025-10"/>
    <x v="8"/>
    <s v="CELIO PIMENTA"/>
    <x v="143"/>
    <n v="0"/>
    <n v="1"/>
  </r>
  <r>
    <s v="044.073.794/0001-99"/>
    <x v="280"/>
    <s v="EXCLUSAO  ANOT.INADIMPLENCIA"/>
    <x v="273"/>
    <x v="27"/>
    <s v="2025-10"/>
    <x v="8"/>
    <s v="ALISSON DE SOUZA LIMA"/>
    <x v="280"/>
    <n v="1"/>
    <n v="0"/>
  </r>
  <r>
    <s v="043.515.558/0001-12"/>
    <x v="176"/>
    <s v="INCLUSAO  ANOT.INADIMPLENCIA"/>
    <x v="273"/>
    <x v="10"/>
    <s v="2025-10"/>
    <x v="8"/>
    <s v="ROGERIO "/>
    <x v="176"/>
    <n v="0"/>
    <n v="1"/>
  </r>
  <r>
    <s v="041.388.946/0001-54"/>
    <x v="175"/>
    <s v="EXCLUSAO  ANOT.INADIMPLENCIA"/>
    <x v="273"/>
    <x v="1"/>
    <s v="2025-10"/>
    <x v="8"/>
    <s v="CELIO PIMENTA"/>
    <x v="175"/>
    <n v="1"/>
    <n v="0"/>
  </r>
  <r>
    <s v="038.161.686/0001-75"/>
    <x v="275"/>
    <s v="EXCLUSAO  ANOT.INADIMPLENCIA"/>
    <x v="273"/>
    <x v="0"/>
    <s v="2025-10"/>
    <x v="8"/>
    <s v="ADMINISTRAÇÃO"/>
    <x v="275"/>
    <n v="1"/>
    <n v="0"/>
  </r>
  <r>
    <s v="034.165.528/0001-32"/>
    <x v="256"/>
    <s v="EXCLUSAO  ANOT.INADIMPLENCIA"/>
    <x v="273"/>
    <x v="27"/>
    <s v="2025-10"/>
    <x v="8"/>
    <s v="ALISSON DE SOUZA LIMA"/>
    <x v="256"/>
    <n v="1"/>
    <n v="0"/>
  </r>
  <r>
    <s v="057.698.087/0001-30"/>
    <x v="229"/>
    <s v="INCLUSAO  ANOT.INADIMPLENCIA"/>
    <x v="273"/>
    <x v="1"/>
    <s v="2025-10"/>
    <x v="8"/>
    <s v="CELIO PIMENTA"/>
    <x v="229"/>
    <n v="0"/>
    <n v="1"/>
  </r>
  <r>
    <s v="028.556.973/0001-20"/>
    <x v="118"/>
    <s v="EXCLUSAO  ANOT.INADIMPLENCIA"/>
    <x v="273"/>
    <x v="1"/>
    <s v="2025-10"/>
    <x v="8"/>
    <s v="CELIO PIMENTA"/>
    <x v="118"/>
    <n v="1"/>
    <n v="0"/>
  </r>
  <r>
    <s v="025.788.035/0001-68"/>
    <x v="303"/>
    <s v="EXCLUSAO  ANOT.INADIMPLENCIA"/>
    <x v="273"/>
    <x v="31"/>
    <s v="2025-10"/>
    <x v="8"/>
    <s v="TIAGO NEVES"/>
    <x v="303"/>
    <n v="1"/>
    <n v="0"/>
  </r>
  <r>
    <s v="025.094.292/0001-08"/>
    <x v="213"/>
    <s v="INCLUSAO  ANOT.INADIMPLENCIA"/>
    <x v="273"/>
    <x v="12"/>
    <s v="2025-10"/>
    <x v="8"/>
    <s v="PROSPECTAR"/>
    <x v="213"/>
    <n v="0"/>
    <n v="1"/>
  </r>
  <r>
    <s v="020.024.081/0001-77"/>
    <x v="177"/>
    <s v="INCLUSAO  ANOT.INADIMPLENCIA"/>
    <x v="273"/>
    <x v="10"/>
    <s v="2025-10"/>
    <x v="8"/>
    <s v="ROGERIO "/>
    <x v="177"/>
    <n v="0"/>
    <n v="1"/>
  </r>
  <r>
    <s v="014.829.598/0001-30"/>
    <x v="31"/>
    <s v="INCLUSAO  ANOT.INADIMPLENCIA"/>
    <x v="273"/>
    <x v="9"/>
    <s v="2025-10"/>
    <x v="8"/>
    <s v="PRISCILA METZ"/>
    <x v="31"/>
    <n v="0"/>
    <n v="1"/>
  </r>
  <r>
    <s v="011.655.076/0001-71"/>
    <x v="263"/>
    <s v="EXCLUSAO  ANOT.INADIMPLENCIA"/>
    <x v="273"/>
    <x v="21"/>
    <s v="2025-10"/>
    <x v="8"/>
    <s v="CAIO"/>
    <x v="263"/>
    <n v="1"/>
    <n v="0"/>
  </r>
  <r>
    <s v="008.641.174/0001-45"/>
    <x v="295"/>
    <s v="EXCLUSAO  ANOT.INADIMPLENCIA"/>
    <x v="273"/>
    <x v="5"/>
    <s v="2025-10"/>
    <x v="8"/>
    <s v="POENATELA"/>
    <x v="295"/>
    <n v="1"/>
    <n v="0"/>
  </r>
  <r>
    <s v="003.590.360/0001-89"/>
    <x v="3"/>
    <s v="EXCLUSAO  ANOT.INADIMPLENCIA"/>
    <x v="273"/>
    <x v="1"/>
    <s v="2025-10"/>
    <x v="8"/>
    <s v="CELIO PIMENTA"/>
    <x v="3"/>
    <n v="1"/>
    <n v="0"/>
  </r>
  <r>
    <s v="028.511.223/0001-32"/>
    <x v="189"/>
    <s v="EXCLUSAO  ANOT.INADIMPLENCIA"/>
    <x v="273"/>
    <x v="0"/>
    <s v="2025-10"/>
    <x v="8"/>
    <s v="ADMINISTRAÇÃO"/>
    <x v="189"/>
    <n v="1"/>
    <n v="0"/>
  </r>
  <r>
    <s v="071.350.797/0001-03"/>
    <x v="48"/>
    <s v="EXCLUSAO  ANOT.INADIMPLENCIA"/>
    <x v="273"/>
    <x v="10"/>
    <s v="2025-10"/>
    <x v="8"/>
    <s v="ROGERIO "/>
    <x v="48"/>
    <n v="1"/>
    <n v="0"/>
  </r>
  <r>
    <s v="001.866.592/0001-91"/>
    <x v="293"/>
    <s v="INCLUSAO  ANOT.INADIMPLENCIA"/>
    <x v="274"/>
    <x v="12"/>
    <s v="2025-11"/>
    <x v="8"/>
    <s v="PROSPECTAR"/>
    <x v="293"/>
    <n v="0"/>
    <n v="1"/>
  </r>
  <r>
    <s v="046.848.165/0001-19"/>
    <x v="271"/>
    <s v="INCLUSAO  ANOT.INADIMPLENCIA"/>
    <x v="274"/>
    <x v="11"/>
    <s v="2025-11"/>
    <x v="8"/>
    <s v="DIOGO AZEVEDO"/>
    <x v="271"/>
    <n v="0"/>
    <n v="1"/>
  </r>
  <r>
    <s v="045.871.536/0001-10"/>
    <x v="71"/>
    <s v="EXCLUSAO  ANOT.INADIMPLENCIA"/>
    <x v="274"/>
    <x v="3"/>
    <s v="2025-11"/>
    <x v="8"/>
    <s v="MARCUS VINICIUS "/>
    <x v="71"/>
    <n v="1"/>
    <n v="0"/>
  </r>
  <r>
    <s v="044.073.794/0001-99"/>
    <x v="280"/>
    <s v="EXCLUSAO  ANOT.INADIMPLENCIA"/>
    <x v="274"/>
    <x v="27"/>
    <s v="2025-11"/>
    <x v="8"/>
    <s v="ALISSON DE SOUZA LIMA"/>
    <x v="280"/>
    <n v="1"/>
    <n v="0"/>
  </r>
  <r>
    <s v="043.515.558/0001-12"/>
    <x v="176"/>
    <s v="INCLUSAO  ANOT.INADIMPLENCIA"/>
    <x v="274"/>
    <x v="10"/>
    <s v="2025-11"/>
    <x v="8"/>
    <s v="ROGERIO "/>
    <x v="176"/>
    <n v="0"/>
    <n v="1"/>
  </r>
  <r>
    <s v="041.388.946/0001-54"/>
    <x v="175"/>
    <s v="INCLUSAO  ANOT.INADIMPLENCIA"/>
    <x v="274"/>
    <x v="1"/>
    <s v="2025-11"/>
    <x v="8"/>
    <s v="CELIO PIMENTA"/>
    <x v="175"/>
    <n v="0"/>
    <n v="1"/>
  </r>
  <r>
    <s v="039.438.917/0001-08"/>
    <x v="273"/>
    <s v="INCLUSAO  ANOT.INADIMPLENCIA"/>
    <x v="274"/>
    <x v="10"/>
    <s v="2025-11"/>
    <x v="8"/>
    <s v="ROGERIO "/>
    <x v="273"/>
    <n v="0"/>
    <n v="1"/>
  </r>
  <r>
    <s v="038.161.686/0001-75"/>
    <x v="275"/>
    <s v="INCLUSAO  ANOT.INADIMPLENCIA"/>
    <x v="274"/>
    <x v="0"/>
    <s v="2025-11"/>
    <x v="8"/>
    <s v="ADMINISTRAÇÃO"/>
    <x v="275"/>
    <n v="0"/>
    <n v="1"/>
  </r>
  <r>
    <s v="037.828.375/0001-54"/>
    <x v="39"/>
    <s v="INCLUSAO  ANOT.INADIMPLENCIA"/>
    <x v="274"/>
    <x v="5"/>
    <s v="2025-11"/>
    <x v="8"/>
    <s v="POENATELA"/>
    <x v="39"/>
    <n v="0"/>
    <n v="1"/>
  </r>
  <r>
    <s v="034.165.528/0001-32"/>
    <x v="256"/>
    <s v="INCLUSAO  ANOT.INADIMPLENCIA"/>
    <x v="274"/>
    <x v="27"/>
    <s v="2025-11"/>
    <x v="8"/>
    <s v="ALISSON DE SOUZA LIMA"/>
    <x v="256"/>
    <n v="0"/>
    <n v="1"/>
  </r>
  <r>
    <s v="050.850.666/0001-07"/>
    <x v="139"/>
    <s v="INCLUSAO  ANOT.INADIMPLENCIA"/>
    <x v="274"/>
    <x v="6"/>
    <s v="2025-11"/>
    <x v="8"/>
    <s v="RAFAEL PARISE"/>
    <x v="139"/>
    <n v="0"/>
    <n v="1"/>
  </r>
  <r>
    <s v="030.030.642/0001-02"/>
    <x v="302"/>
    <s v="INCLUSAO  ANOT.INADIMPLENCIA"/>
    <x v="274"/>
    <x v="6"/>
    <s v="2025-11"/>
    <x v="8"/>
    <s v="RAFAEL PARISE"/>
    <x v="302"/>
    <n v="0"/>
    <n v="1"/>
  </r>
  <r>
    <s v="023.637.987/0001-55"/>
    <x v="20"/>
    <s v="EXCLUSAO  ANOT.INADIMPLENCIA"/>
    <x v="274"/>
    <x v="5"/>
    <s v="2025-11"/>
    <x v="8"/>
    <s v="POENATELA"/>
    <x v="20"/>
    <n v="1"/>
    <n v="0"/>
  </r>
  <r>
    <s v="019.961.036/0001-60"/>
    <x v="262"/>
    <s v="EXCLUSAO  ANOT.INADIMPLENCIA"/>
    <x v="274"/>
    <x v="36"/>
    <s v="2025-11"/>
    <x v="8"/>
    <s v="JJPH"/>
    <x v="262"/>
    <n v="1"/>
    <n v="0"/>
  </r>
  <r>
    <s v="017.604.060/0001-16"/>
    <x v="297"/>
    <s v="INCLUSAO  ANOT.INADIMPLENCIA"/>
    <x v="274"/>
    <x v="12"/>
    <s v="2025-11"/>
    <x v="8"/>
    <s v="PROSPECTAR"/>
    <x v="297"/>
    <n v="0"/>
    <n v="1"/>
  </r>
  <r>
    <s v="016.772.642/0001-49"/>
    <x v="69"/>
    <s v="INCLUSAO  ANOT.INADIMPLENCIA"/>
    <x v="274"/>
    <x v="0"/>
    <s v="2025-11"/>
    <x v="8"/>
    <s v="ADMINISTRAÇÃO"/>
    <x v="69"/>
    <n v="0"/>
    <n v="1"/>
  </r>
  <r>
    <s v="014.829.598/0001-30"/>
    <x v="31"/>
    <s v="INCLUSAO  ANOT.INADIMPLENCIA"/>
    <x v="274"/>
    <x v="9"/>
    <s v="2025-11"/>
    <x v="8"/>
    <s v="PRISCILA METZ"/>
    <x v="31"/>
    <n v="0"/>
    <n v="1"/>
  </r>
  <r>
    <s v="013.258.863/0001-05"/>
    <x v="281"/>
    <s v="EXCLUSAO  ANOT.INADIMPLENCIA"/>
    <x v="274"/>
    <x v="0"/>
    <s v="2025-11"/>
    <x v="8"/>
    <s v="ADMINISTRAÇÃO"/>
    <x v="281"/>
    <n v="1"/>
    <n v="0"/>
  </r>
  <r>
    <s v="012.520.929/0001-20"/>
    <x v="294"/>
    <s v="INCLUSAO  ANOT.INADIMPLENCIA"/>
    <x v="274"/>
    <x v="35"/>
    <s v="2025-11"/>
    <x v="8"/>
    <s v="VALERIA"/>
    <x v="294"/>
    <n v="0"/>
    <n v="1"/>
  </r>
  <r>
    <s v="005.350.235/0001-27"/>
    <x v="72"/>
    <s v="INCLUSAO  ANOT.INADIMPLENCIA"/>
    <x v="274"/>
    <x v="3"/>
    <s v="2025-11"/>
    <x v="8"/>
    <s v="MARCUS VINICIUS "/>
    <x v="72"/>
    <n v="0"/>
    <n v="1"/>
  </r>
  <r>
    <s v="003.590.360/0001-89"/>
    <x v="3"/>
    <s v="INCLUSAO  ANOT.INADIMPLENCIA"/>
    <x v="274"/>
    <x v="1"/>
    <s v="2025-11"/>
    <x v="8"/>
    <s v="CELIO PIMENTA"/>
    <x v="3"/>
    <n v="0"/>
    <n v="1"/>
  </r>
  <r>
    <s v="028.393.466/0001-13"/>
    <x v="167"/>
    <s v="EXCLUSAO  ANOT.INADIMPLENCIA"/>
    <x v="274"/>
    <x v="12"/>
    <s v="2025-11"/>
    <x v="8"/>
    <s v="PROSPECTAR"/>
    <x v="167"/>
    <n v="1"/>
    <n v="0"/>
  </r>
  <r>
    <s v="057.698.087/0001-30"/>
    <x v="229"/>
    <s v="INCLUSAO  ANOT.INADIMPLENCIA"/>
    <x v="274"/>
    <x v="1"/>
    <s v="2025-11"/>
    <x v="8"/>
    <s v="CELIO PIMENTA"/>
    <x v="229"/>
    <n v="0"/>
    <n v="1"/>
  </r>
  <r>
    <s v="003.590.360/0001-89"/>
    <x v="3"/>
    <s v="EXCLUSAO  ANOT.INADIMPLENCIA"/>
    <x v="275"/>
    <x v="1"/>
    <s v="2025-11"/>
    <x v="9"/>
    <s v="CELIO PIMENTA"/>
    <x v="3"/>
    <n v="1"/>
    <n v="0"/>
  </r>
  <r>
    <s v="044.470.678/0001-03"/>
    <x v="203"/>
    <s v="INCL/EXCL ANOT.INADIMPLENCIA"/>
    <x v="275"/>
    <x v="9"/>
    <s v="2025-11"/>
    <x v="9"/>
    <s v="PRISCILA METZ"/>
    <x v="203"/>
    <n v="1"/>
    <n v="1"/>
  </r>
  <r>
    <s v="044.073.794/0001-99"/>
    <x v="280"/>
    <s v="EXCLUSAO  ANOT.INADIMPLENCIA"/>
    <x v="275"/>
    <x v="27"/>
    <s v="2025-11"/>
    <x v="9"/>
    <s v="ALISSON DE SOUZA LIMA"/>
    <x v="280"/>
    <n v="1"/>
    <n v="0"/>
  </r>
  <r>
    <s v="043.515.558/0001-12"/>
    <x v="176"/>
    <s v="INCLUSAO  ANOT.INADIMPLENCIA"/>
    <x v="275"/>
    <x v="10"/>
    <s v="2025-11"/>
    <x v="9"/>
    <s v="ROGERIO "/>
    <x v="176"/>
    <n v="0"/>
    <n v="1"/>
  </r>
  <r>
    <s v="039.438.917/0001-08"/>
    <x v="273"/>
    <s v="INCLUSAO  ANOT.INADIMPLENCIA"/>
    <x v="275"/>
    <x v="10"/>
    <s v="2025-11"/>
    <x v="9"/>
    <s v="ROGERIO "/>
    <x v="273"/>
    <n v="0"/>
    <n v="1"/>
  </r>
  <r>
    <s v="034.165.528/0001-32"/>
    <x v="256"/>
    <s v="INCL/EXCL ANOT.INADIMPLENCIA"/>
    <x v="275"/>
    <x v="27"/>
    <s v="2025-11"/>
    <x v="9"/>
    <s v="ALISSON DE SOUZA LIMA"/>
    <x v="256"/>
    <n v="1"/>
    <n v="1"/>
  </r>
  <r>
    <s v="032.213.847/0001-40"/>
    <x v="198"/>
    <s v="EXCLUSAO  ANOT.INADIMPLENCIA"/>
    <x v="275"/>
    <x v="9"/>
    <s v="2025-11"/>
    <x v="9"/>
    <s v="PRISCILA METZ"/>
    <x v="198"/>
    <n v="1"/>
    <n v="0"/>
  </r>
  <r>
    <s v="032.024.304/0001-85"/>
    <x v="270"/>
    <s v="INCLUSAO  ANOT.INADIMPLENCIA"/>
    <x v="275"/>
    <x v="12"/>
    <s v="2025-11"/>
    <x v="9"/>
    <s v="PROSPECTAR"/>
    <x v="270"/>
    <n v="0"/>
    <n v="1"/>
  </r>
  <r>
    <s v="030.642.101/0001-27"/>
    <x v="307"/>
    <s v="EXCLUSAO  ANOT.INADIMPLENCIA"/>
    <x v="275"/>
    <x v="10"/>
    <s v="2025-11"/>
    <x v="9"/>
    <s v="ROGERIO "/>
    <x v="307"/>
    <n v="1"/>
    <n v="0"/>
  </r>
  <r>
    <s v="030.030.642/0001-02"/>
    <x v="302"/>
    <s v="INCLUSAO  ANOT.INADIMPLENCIA"/>
    <x v="275"/>
    <x v="6"/>
    <s v="2025-11"/>
    <x v="9"/>
    <s v="RAFAEL PARISE"/>
    <x v="302"/>
    <n v="0"/>
    <n v="1"/>
  </r>
  <r>
    <s v="028.556.973/0001-20"/>
    <x v="118"/>
    <s v="INCLUSAO  ANOT.INADIMPLENCIA"/>
    <x v="275"/>
    <x v="1"/>
    <s v="2025-11"/>
    <x v="9"/>
    <s v="CELIO PIMENTA"/>
    <x v="118"/>
    <n v="0"/>
    <n v="1"/>
  </r>
  <r>
    <s v="028.511.223/0001-32"/>
    <x v="189"/>
    <s v="INCLUSAO  ANOT.INADIMPLENCIA"/>
    <x v="275"/>
    <x v="0"/>
    <s v="2025-11"/>
    <x v="9"/>
    <s v="ADMINISTRAÇÃO"/>
    <x v="189"/>
    <n v="0"/>
    <n v="1"/>
  </r>
  <r>
    <s v="028.393.466/0001-13"/>
    <x v="167"/>
    <s v="INCL/EXCL ANOT.INADIMPLENCIA"/>
    <x v="275"/>
    <x v="12"/>
    <s v="2025-11"/>
    <x v="9"/>
    <s v="PROSPECTAR"/>
    <x v="167"/>
    <n v="1"/>
    <n v="1"/>
  </r>
  <r>
    <s v="027.180.131/0001-54"/>
    <x v="188"/>
    <s v="INCLUSAO  ANOT.INADIMPLENCIA"/>
    <x v="275"/>
    <x v="9"/>
    <s v="2025-11"/>
    <x v="9"/>
    <s v="PRISCILA METZ"/>
    <x v="188"/>
    <n v="0"/>
    <n v="1"/>
  </r>
  <r>
    <s v="025.094.292/0001-08"/>
    <x v="213"/>
    <s v="INCLUSAO  ANOT.INADIMPLENCIA"/>
    <x v="275"/>
    <x v="12"/>
    <s v="2025-11"/>
    <x v="9"/>
    <s v="PROSPECTAR"/>
    <x v="213"/>
    <n v="0"/>
    <n v="1"/>
  </r>
  <r>
    <s v="023.768.603/0001-33"/>
    <x v="308"/>
    <s v="INCL/EXCL ANOT.INADIMPLENCIA"/>
    <x v="275"/>
    <x v="21"/>
    <s v="2025-11"/>
    <x v="9"/>
    <s v="CAIO"/>
    <x v="308"/>
    <n v="1"/>
    <n v="1"/>
  </r>
  <r>
    <s v="020.024.081/0001-77"/>
    <x v="177"/>
    <s v="EXCLUSAO  ANOT.INADIMPLENCIA"/>
    <x v="275"/>
    <x v="10"/>
    <s v="2025-11"/>
    <x v="9"/>
    <s v="ROGERIO "/>
    <x v="177"/>
    <n v="1"/>
    <n v="0"/>
  </r>
  <r>
    <s v="019.961.036/0001-60"/>
    <x v="262"/>
    <s v="INCLUSAO  ANOT.INADIMPLENCIA"/>
    <x v="275"/>
    <x v="36"/>
    <s v="2025-11"/>
    <x v="9"/>
    <s v="JJPH"/>
    <x v="262"/>
    <n v="0"/>
    <n v="1"/>
  </r>
  <r>
    <s v="014.829.598/0001-30"/>
    <x v="31"/>
    <s v="INCLUSAO  ANOT.INADIMPLENCIA"/>
    <x v="275"/>
    <x v="9"/>
    <s v="2025-11"/>
    <x v="9"/>
    <s v="PRISCILA METZ"/>
    <x v="31"/>
    <n v="0"/>
    <n v="1"/>
  </r>
  <r>
    <s v="012.520.929/0001-20"/>
    <x v="294"/>
    <s v="INCLUSAO  ANOT.INADIMPLENCIA"/>
    <x v="275"/>
    <x v="35"/>
    <s v="2025-11"/>
    <x v="9"/>
    <s v="VALERIA"/>
    <x v="294"/>
    <n v="0"/>
    <n v="1"/>
  </r>
  <r>
    <s v="011.122.552/0001-99"/>
    <x v="59"/>
    <s v="INCLUSAO  ANOT.INADIMPLENCIA"/>
    <x v="275"/>
    <x v="6"/>
    <s v="2025-11"/>
    <x v="9"/>
    <s v="RAFAEL PARISE"/>
    <x v="59"/>
    <n v="0"/>
    <n v="1"/>
  </r>
  <r>
    <s v="010.872.600/0001-01"/>
    <x v="309"/>
    <s v="INCLUSAO  ANOT.INADIMPLENCIA"/>
    <x v="275"/>
    <x v="5"/>
    <s v="2025-11"/>
    <x v="9"/>
    <s v="POENATELA"/>
    <x v="309"/>
    <n v="0"/>
    <n v="1"/>
  </r>
  <r>
    <s v="010.354.613/0001-80"/>
    <x v="224"/>
    <s v="INCLUSAO  ANOT.INADIMPLENCIA"/>
    <x v="275"/>
    <x v="27"/>
    <s v="2025-11"/>
    <x v="9"/>
    <s v="ALISSON DE SOUZA LIMA"/>
    <x v="224"/>
    <n v="0"/>
    <n v="1"/>
  </r>
  <r>
    <s v="008.250.872/0001-10"/>
    <x v="121"/>
    <s v="INCLUSAO  ANOT.INADIMPLENCIA"/>
    <x v="275"/>
    <x v="6"/>
    <s v="2025-11"/>
    <x v="9"/>
    <s v="RAFAEL PARISE"/>
    <x v="121"/>
    <n v="0"/>
    <n v="1"/>
  </r>
  <r>
    <s v="007.272.884/0001-82"/>
    <x v="276"/>
    <s v="INCLUSAO  ANOT.INADIMPLENCIA"/>
    <x v="275"/>
    <x v="10"/>
    <s v="2025-11"/>
    <x v="9"/>
    <s v="ROGERIO "/>
    <x v="276"/>
    <n v="0"/>
    <n v="1"/>
  </r>
  <r>
    <s v="005.363.690/0001-67"/>
    <x v="90"/>
    <s v="INCLUSAO  ANOT.INADIMPLENCIA"/>
    <x v="275"/>
    <x v="12"/>
    <s v="2025-11"/>
    <x v="9"/>
    <s v="PROSPECTAR"/>
    <x v="90"/>
    <n v="0"/>
    <n v="1"/>
  </r>
  <r>
    <s v="052.755.043/0001-80"/>
    <x v="237"/>
    <s v="INCLUSAO  ANOT.INADIMPLENCIA"/>
    <x v="275"/>
    <x v="3"/>
    <s v="2025-11"/>
    <x v="9"/>
    <s v="MARCUS VINICIUS "/>
    <x v="237"/>
    <n v="0"/>
    <n v="1"/>
  </r>
  <r>
    <s v="057.698.087/0001-30"/>
    <x v="229"/>
    <s v="INCLUSAO  ANOT.INADIMPLENCIA"/>
    <x v="275"/>
    <x v="1"/>
    <s v="2025-11"/>
    <x v="9"/>
    <s v="CELIO PIMENTA"/>
    <x v="229"/>
    <n v="0"/>
    <n v="1"/>
  </r>
  <r>
    <s v="001.866.592/0001-91"/>
    <x v="293"/>
    <s v="INCLUSAO  ANOT.INADIMPLENCIA"/>
    <x v="276"/>
    <x v="12"/>
    <s v="2025-11"/>
    <x v="9"/>
    <s v="PROSPECTAR"/>
    <x v="293"/>
    <n v="0"/>
    <n v="1"/>
  </r>
  <r>
    <s v="052.755.043/0001-80"/>
    <x v="237"/>
    <s v="INCLUSAO  ANOT.INADIMPLENCIA"/>
    <x v="276"/>
    <x v="3"/>
    <s v="2025-11"/>
    <x v="9"/>
    <s v="MARCUS VINICIUS "/>
    <x v="237"/>
    <n v="0"/>
    <n v="1"/>
  </r>
  <r>
    <s v="047.635.671/0001-92"/>
    <x v="143"/>
    <s v="INCLUSAO  ANOT.INADIMPLENCIA"/>
    <x v="276"/>
    <x v="1"/>
    <s v="2025-11"/>
    <x v="9"/>
    <s v="CELIO PIMENTA"/>
    <x v="143"/>
    <n v="0"/>
    <n v="1"/>
  </r>
  <r>
    <s v="044.470.678/0001-03"/>
    <x v="203"/>
    <s v="INCLUSAO  ANOT.INADIMPLENCIA"/>
    <x v="276"/>
    <x v="9"/>
    <s v="2025-11"/>
    <x v="9"/>
    <s v="PRISCILA METZ"/>
    <x v="203"/>
    <n v="0"/>
    <n v="1"/>
  </r>
  <r>
    <s v="044.470.678/0001-03"/>
    <x v="203"/>
    <s v="ALTERACAO ADMINISTRADORES"/>
    <x v="276"/>
    <x v="9"/>
    <s v="2025-11"/>
    <x v="9"/>
    <s v="PRISCILA METZ"/>
    <x v="203"/>
    <n v="0"/>
    <n v="0"/>
  </r>
  <r>
    <s v="044.470.678/0001-03"/>
    <x v="203"/>
    <s v="ALTERACAO QUADRO SOCIAL"/>
    <x v="276"/>
    <x v="9"/>
    <s v="2025-11"/>
    <x v="9"/>
    <s v="PRISCILA METZ"/>
    <x v="203"/>
    <n v="0"/>
    <n v="0"/>
  </r>
  <r>
    <s v="041.388.946/0001-54"/>
    <x v="175"/>
    <s v="INCLUSAO  ANOT.INADIMPLENCIA"/>
    <x v="276"/>
    <x v="1"/>
    <s v="2025-11"/>
    <x v="9"/>
    <s v="CELIO PIMENTA"/>
    <x v="175"/>
    <n v="0"/>
    <n v="1"/>
  </r>
  <r>
    <s v="039.438.917/0001-08"/>
    <x v="273"/>
    <s v="INCLUSAO  ANOT.INADIMPLENCIA"/>
    <x v="276"/>
    <x v="10"/>
    <s v="2025-11"/>
    <x v="9"/>
    <s v="ROGERIO "/>
    <x v="273"/>
    <n v="0"/>
    <n v="1"/>
  </r>
  <r>
    <s v="037.828.375/0001-54"/>
    <x v="39"/>
    <s v="EXCLUSAO  ANOT.INADIMPLENCIA"/>
    <x v="276"/>
    <x v="5"/>
    <s v="2025-11"/>
    <x v="9"/>
    <s v="POENATELA"/>
    <x v="39"/>
    <n v="1"/>
    <n v="0"/>
  </r>
  <r>
    <s v="035.797.639/0001-24"/>
    <x v="250"/>
    <s v="INCLUSAO  ANOT.INADIMPLENCIA"/>
    <x v="276"/>
    <x v="9"/>
    <s v="2025-11"/>
    <x v="9"/>
    <s v="PRISCILA METZ"/>
    <x v="250"/>
    <n v="0"/>
    <n v="1"/>
  </r>
  <r>
    <s v="033.803.691/0001-10"/>
    <x v="103"/>
    <s v="INCLUSAO  ANOT.INADIMPLENCIA"/>
    <x v="276"/>
    <x v="0"/>
    <s v="2025-11"/>
    <x v="9"/>
    <s v="ADMINISTRAÇÃO"/>
    <x v="103"/>
    <n v="0"/>
    <n v="1"/>
  </r>
  <r>
    <s v="030.030.642/0001-02"/>
    <x v="302"/>
    <s v="INCLUSAO  ANOT.INADIMPLENCIA"/>
    <x v="276"/>
    <x v="6"/>
    <s v="2025-11"/>
    <x v="9"/>
    <s v="RAFAEL PARISE"/>
    <x v="302"/>
    <n v="0"/>
    <n v="1"/>
  </r>
  <r>
    <s v="028.511.223/0001-32"/>
    <x v="189"/>
    <s v="EXCLUSAO  ANOT.INADIMPLENCIA"/>
    <x v="276"/>
    <x v="0"/>
    <s v="2025-11"/>
    <x v="9"/>
    <s v="ADMINISTRAÇÃO"/>
    <x v="189"/>
    <n v="1"/>
    <n v="0"/>
  </r>
  <r>
    <s v="027.180.131/0001-54"/>
    <x v="188"/>
    <s v="INCLUSAO  ANOT.INADIMPLENCIA"/>
    <x v="276"/>
    <x v="9"/>
    <s v="2025-11"/>
    <x v="9"/>
    <s v="PRISCILA METZ"/>
    <x v="188"/>
    <n v="0"/>
    <n v="1"/>
  </r>
  <r>
    <s v="025.788.035/0001-68"/>
    <x v="303"/>
    <s v="INCLUSAO  ANOT.INADIMPLENCIA"/>
    <x v="276"/>
    <x v="31"/>
    <s v="2025-11"/>
    <x v="9"/>
    <s v="TIAGO NEVES"/>
    <x v="303"/>
    <n v="0"/>
    <n v="1"/>
  </r>
  <r>
    <s v="023.007.673/0001-79"/>
    <x v="310"/>
    <s v="EXCLUSAO  ANOT.INADIMPLENCIA"/>
    <x v="276"/>
    <x v="5"/>
    <s v="2025-11"/>
    <x v="9"/>
    <s v="POENATELA"/>
    <x v="310"/>
    <n v="1"/>
    <n v="0"/>
  </r>
  <r>
    <s v="020.024.081/0001-77"/>
    <x v="177"/>
    <s v="INCLUSAO  ANOT.INADIMPLENCIA"/>
    <x v="276"/>
    <x v="10"/>
    <s v="2025-11"/>
    <x v="9"/>
    <s v="ROGERIO "/>
    <x v="177"/>
    <n v="0"/>
    <n v="1"/>
  </r>
  <r>
    <s v="017.604.060/0001-16"/>
    <x v="297"/>
    <s v="INCLUSAO  ANOT.INADIMPLENCIA"/>
    <x v="276"/>
    <x v="12"/>
    <s v="2025-11"/>
    <x v="9"/>
    <s v="PROSPECTAR"/>
    <x v="297"/>
    <n v="0"/>
    <n v="1"/>
  </r>
  <r>
    <s v="014.829.598/0001-30"/>
    <x v="31"/>
    <s v="INCLUSAO  ANOT.INADIMPLENCIA"/>
    <x v="276"/>
    <x v="9"/>
    <s v="2025-11"/>
    <x v="9"/>
    <s v="PRISCILA METZ"/>
    <x v="31"/>
    <n v="0"/>
    <n v="1"/>
  </r>
  <r>
    <s v="011.122.552/0001-99"/>
    <x v="59"/>
    <s v="INCLUSAO  ANOT.INADIMPLENCIA"/>
    <x v="276"/>
    <x v="6"/>
    <s v="2025-11"/>
    <x v="9"/>
    <s v="RAFAEL PARISE"/>
    <x v="59"/>
    <n v="0"/>
    <n v="1"/>
  </r>
  <r>
    <s v="007.272.884/0001-82"/>
    <x v="276"/>
    <s v="INCLUSAO  ANOT.INADIMPLENCIA"/>
    <x v="276"/>
    <x v="10"/>
    <s v="2025-11"/>
    <x v="9"/>
    <s v="ROGERIO "/>
    <x v="276"/>
    <n v="0"/>
    <n v="1"/>
  </r>
  <r>
    <s v="005.363.690/0001-67"/>
    <x v="90"/>
    <s v="INCLUSAO  ANOT.INADIMPLENCIA"/>
    <x v="276"/>
    <x v="12"/>
    <s v="2025-11"/>
    <x v="9"/>
    <s v="PROSPECTAR"/>
    <x v="90"/>
    <n v="0"/>
    <n v="1"/>
  </r>
  <r>
    <s v="004.126.524/0001-84"/>
    <x v="289"/>
    <s v="EXCLUSAO  ANOT.INADIMPLENCIA"/>
    <x v="276"/>
    <x v="0"/>
    <s v="2025-11"/>
    <x v="9"/>
    <s v="ADMINISTRAÇÃO"/>
    <x v="289"/>
    <n v="1"/>
    <n v="0"/>
  </r>
  <r>
    <s v="004.041.192/0001-35"/>
    <x v="37"/>
    <s v="INCLUSAO  ANOT.INADIMPLENCIA"/>
    <x v="276"/>
    <x v="0"/>
    <s v="2025-11"/>
    <x v="9"/>
    <s v="ADMINISTRAÇÃO"/>
    <x v="37"/>
    <n v="0"/>
    <n v="1"/>
  </r>
  <r>
    <s v="057.698.087/0001-30"/>
    <x v="229"/>
    <s v="INCLUSAO  ANOT.INADIMPLENCIA"/>
    <x v="276"/>
    <x v="1"/>
    <s v="2025-11"/>
    <x v="9"/>
    <s v="CELIO PIMENTA"/>
    <x v="229"/>
    <n v="0"/>
    <n v="1"/>
  </r>
  <r>
    <s v="061.008.540/0001-06"/>
    <x v="287"/>
    <s v="INCLUSAO  ANOT.INADIMPLENCIA"/>
    <x v="276"/>
    <x v="29"/>
    <s v="2025-11"/>
    <x v="9"/>
    <s v="DALVA"/>
    <x v="287"/>
    <n v="0"/>
    <n v="1"/>
  </r>
  <r>
    <s v="005.281.194/0001-64"/>
    <x v="225"/>
    <s v="INCLUSAO  ANOT.INADIMPLENCIA"/>
    <x v="277"/>
    <x v="29"/>
    <s v="2025-11"/>
    <x v="9"/>
    <s v="DALVA"/>
    <x v="225"/>
    <n v="0"/>
    <n v="1"/>
  </r>
  <r>
    <s v="005.363.690/0001-67"/>
    <x v="90"/>
    <s v="INCLUSAO  ANOT.INADIMPLENCIA"/>
    <x v="277"/>
    <x v="12"/>
    <s v="2025-11"/>
    <x v="9"/>
    <s v="PROSPECTAR"/>
    <x v="90"/>
    <n v="0"/>
    <n v="1"/>
  </r>
  <r>
    <s v="008.250.872/0001-10"/>
    <x v="121"/>
    <s v="INCL/EXCL ANOT.INADIMPLENCIA"/>
    <x v="277"/>
    <x v="6"/>
    <s v="2025-11"/>
    <x v="9"/>
    <s v="RAFAEL PARISE"/>
    <x v="121"/>
    <n v="1"/>
    <n v="1"/>
  </r>
  <r>
    <s v="011.122.552/0001-99"/>
    <x v="59"/>
    <s v="EXCLUSAO  ANOT.INADIMPLENCIA"/>
    <x v="277"/>
    <x v="6"/>
    <s v="2025-11"/>
    <x v="9"/>
    <s v="RAFAEL PARISE"/>
    <x v="59"/>
    <n v="1"/>
    <n v="0"/>
  </r>
  <r>
    <s v="014.829.598/0001-30"/>
    <x v="31"/>
    <s v="INCLUSAO  ANOT.INADIMPLENCIA"/>
    <x v="277"/>
    <x v="9"/>
    <s v="2025-11"/>
    <x v="9"/>
    <s v="PRISCILA METZ"/>
    <x v="31"/>
    <n v="0"/>
    <n v="1"/>
  </r>
  <r>
    <s v="025.094.292/0001-08"/>
    <x v="213"/>
    <s v="EXCLUSAO  ANOT.INADIMPLENCIA"/>
    <x v="277"/>
    <x v="12"/>
    <s v="2025-11"/>
    <x v="9"/>
    <s v="PROSPECTAR"/>
    <x v="213"/>
    <n v="1"/>
    <n v="0"/>
  </r>
  <r>
    <s v="028.556.973/0001-20"/>
    <x v="118"/>
    <s v="INCLUSAO  ANOT.INADIMPLENCIA"/>
    <x v="277"/>
    <x v="1"/>
    <s v="2025-11"/>
    <x v="9"/>
    <s v="CELIO PIMENTA"/>
    <x v="118"/>
    <n v="0"/>
    <n v="1"/>
  </r>
  <r>
    <s v="030.030.642/0001-02"/>
    <x v="302"/>
    <s v="INCLUSAO  ANOT.INADIMPLENCIA"/>
    <x v="277"/>
    <x v="6"/>
    <s v="2025-11"/>
    <x v="9"/>
    <s v="RAFAEL PARISE"/>
    <x v="302"/>
    <n v="0"/>
    <n v="1"/>
  </r>
  <r>
    <s v="041.388.946/0001-54"/>
    <x v="175"/>
    <s v="INCLUSAO  ANOT.INADIMPLENCIA"/>
    <x v="277"/>
    <x v="1"/>
    <s v="2025-11"/>
    <x v="9"/>
    <s v="CELIO PIMENTA"/>
    <x v="175"/>
    <n v="0"/>
    <n v="1"/>
  </r>
  <r>
    <s v="041.868.686/0001-14"/>
    <x v="299"/>
    <s v="EXCLUSAO  ANOT.INADIMPLENCIA"/>
    <x v="277"/>
    <x v="38"/>
    <s v="2025-11"/>
    <x v="9"/>
    <s v="DAVI"/>
    <x v="299"/>
    <n v="1"/>
    <n v="0"/>
  </r>
  <r>
    <s v="043.515.558/0001-12"/>
    <x v="176"/>
    <s v="INCLUSAO  ANOT.INADIMPLENCIA"/>
    <x v="277"/>
    <x v="10"/>
    <s v="2025-11"/>
    <x v="9"/>
    <s v="ROGERIO "/>
    <x v="176"/>
    <n v="0"/>
    <n v="1"/>
  </r>
  <r>
    <s v="047.635.671/0001-92"/>
    <x v="143"/>
    <s v="INCLUSAO  ANOT.INADIMPLENCIA"/>
    <x v="277"/>
    <x v="1"/>
    <s v="2025-11"/>
    <x v="9"/>
    <s v="CELIO PIMENTA"/>
    <x v="143"/>
    <n v="0"/>
    <n v="1"/>
  </r>
  <r>
    <s v="057.698.087/0001-30"/>
    <x v="229"/>
    <s v="INCLUSAO  ANOT.INADIMPLENCIA"/>
    <x v="277"/>
    <x v="1"/>
    <s v="2025-11"/>
    <x v="9"/>
    <s v="CELIO PIMENTA"/>
    <x v="229"/>
    <n v="0"/>
    <n v="1"/>
  </r>
  <r>
    <s v="001.866.592/0001-91"/>
    <x v="293"/>
    <s v="EXCLUSAO  ANOT.INADIMPLENCIA"/>
    <x v="278"/>
    <x v="12"/>
    <s v="2025-11"/>
    <x v="9"/>
    <s v="PROSPECTAR"/>
    <x v="293"/>
    <n v="1"/>
    <n v="0"/>
  </r>
  <r>
    <s v="011.122.552/0001-99"/>
    <x v="59"/>
    <s v="EXCLUSAO  ANOT.INADIMPLENCIA"/>
    <x v="278"/>
    <x v="6"/>
    <s v="2025-11"/>
    <x v="9"/>
    <s v="RAFAEL PARISE"/>
    <x v="59"/>
    <n v="1"/>
    <n v="0"/>
  </r>
  <r>
    <s v="014.829.598/0001-30"/>
    <x v="31"/>
    <s v="INCLUSAO  ANOT.INADIMPLENCIA"/>
    <x v="278"/>
    <x v="9"/>
    <s v="2025-11"/>
    <x v="9"/>
    <s v="PRISCILA METZ"/>
    <x v="31"/>
    <n v="0"/>
    <n v="1"/>
  </r>
  <r>
    <s v="016.772.642/0001-49"/>
    <x v="69"/>
    <s v="INCLUSAO  ANOT.INADIMPLENCIA"/>
    <x v="278"/>
    <x v="0"/>
    <s v="2025-11"/>
    <x v="9"/>
    <s v="ADMINISTRAÇÃO"/>
    <x v="69"/>
    <n v="0"/>
    <n v="1"/>
  </r>
  <r>
    <s v="017.604.060/0001-16"/>
    <x v="297"/>
    <s v="EXCLUSAO  ANOT.INADIMPLENCIA"/>
    <x v="278"/>
    <x v="12"/>
    <s v="2025-11"/>
    <x v="9"/>
    <s v="PROSPECTAR"/>
    <x v="297"/>
    <n v="1"/>
    <n v="0"/>
  </r>
  <r>
    <s v="019.961.036/0001-60"/>
    <x v="262"/>
    <s v="EXCLUSAO  ANOT.INADIMPLENCIA"/>
    <x v="278"/>
    <x v="36"/>
    <s v="2025-11"/>
    <x v="9"/>
    <s v="JJPH"/>
    <x v="262"/>
    <n v="1"/>
    <n v="0"/>
  </r>
  <r>
    <s v="027.180.131/0001-54"/>
    <x v="188"/>
    <s v="INCLUSAO  ANOT.INADIMPLENCIA"/>
    <x v="278"/>
    <x v="9"/>
    <s v="2025-11"/>
    <x v="9"/>
    <s v="PRISCILA METZ"/>
    <x v="188"/>
    <n v="0"/>
    <n v="1"/>
  </r>
  <r>
    <s v="034.165.528/0001-32"/>
    <x v="256"/>
    <s v="EXCLUSAO  ANOT.INADIMPLENCIA"/>
    <x v="278"/>
    <x v="27"/>
    <s v="2025-11"/>
    <x v="9"/>
    <s v="ALISSON DE SOUZA LIMA"/>
    <x v="256"/>
    <n v="1"/>
    <n v="0"/>
  </r>
  <r>
    <s v="041.388.946/0001-54"/>
    <x v="175"/>
    <s v="INCLUSAO  ANOT.INADIMPLENCIA"/>
    <x v="278"/>
    <x v="1"/>
    <s v="2025-11"/>
    <x v="9"/>
    <s v="CELIO PIMENTA"/>
    <x v="175"/>
    <n v="0"/>
    <n v="1"/>
  </r>
  <r>
    <s v="043.515.558/0001-12"/>
    <x v="176"/>
    <s v="INCLUSAO  ANOT.INADIMPLENCIA"/>
    <x v="278"/>
    <x v="10"/>
    <s v="2025-11"/>
    <x v="9"/>
    <s v="ROGERIO "/>
    <x v="176"/>
    <n v="0"/>
    <n v="1"/>
  </r>
  <r>
    <s v="046.848.165/0001-19"/>
    <x v="271"/>
    <s v="EXCLUSAO  ANOT.INADIMPLENCIA"/>
    <x v="278"/>
    <x v="11"/>
    <s v="2025-11"/>
    <x v="9"/>
    <s v="DIOGO AZEVEDO"/>
    <x v="271"/>
    <n v="1"/>
    <n v="0"/>
  </r>
  <r>
    <s v="047.635.671/0001-92"/>
    <x v="143"/>
    <s v="INCLUSAO  ANOT.INADIMPLENCIA"/>
    <x v="278"/>
    <x v="1"/>
    <s v="2025-11"/>
    <x v="9"/>
    <s v="CELIO PIMENTA"/>
    <x v="143"/>
    <n v="0"/>
    <n v="1"/>
  </r>
  <r>
    <s v="057.696.093/0001-58"/>
    <x v="206"/>
    <s v="INCLUSAO  ANOT.INADIMPLENCIA"/>
    <x v="278"/>
    <x v="1"/>
    <s v="2025-11"/>
    <x v="9"/>
    <s v="CELIO PIMENTA"/>
    <x v="206"/>
    <n v="0"/>
    <n v="1"/>
  </r>
  <r>
    <s v="007.272.884/0001-82"/>
    <x v="276"/>
    <s v="INCL/EXCL ANOT.INADIMPLENCIA"/>
    <x v="279"/>
    <x v="10"/>
    <s v="2025-11"/>
    <x v="9"/>
    <s v="ROGERIO "/>
    <x v="276"/>
    <n v="1"/>
    <n v="1"/>
  </r>
  <r>
    <s v="047.635.671/0001-92"/>
    <x v="143"/>
    <s v="EXCLUSAO  ANOT.INADIMPLENCIA"/>
    <x v="279"/>
    <x v="1"/>
    <s v="2025-11"/>
    <x v="9"/>
    <s v="CELIO PIMENTA"/>
    <x v="143"/>
    <n v="1"/>
    <n v="0"/>
  </r>
  <r>
    <s v="044.470.678/0001-03"/>
    <x v="203"/>
    <s v="EXCLUSAO  ANOT.INADIMPLENCIA"/>
    <x v="279"/>
    <x v="9"/>
    <s v="2025-11"/>
    <x v="9"/>
    <s v="PRISCILA METZ"/>
    <x v="203"/>
    <n v="1"/>
    <n v="0"/>
  </r>
  <r>
    <s v="042.119.428/0001-06"/>
    <x v="247"/>
    <s v="INCLUSAO  ANOT.INADIMPLENCIA"/>
    <x v="279"/>
    <x v="31"/>
    <s v="2025-11"/>
    <x v="9"/>
    <s v="TIAGO NEVES"/>
    <x v="247"/>
    <n v="0"/>
    <n v="1"/>
  </r>
  <r>
    <s v="041.388.946/0001-54"/>
    <x v="175"/>
    <s v="INCLUSAO  ANOT.INADIMPLENCIA"/>
    <x v="279"/>
    <x v="1"/>
    <s v="2025-11"/>
    <x v="9"/>
    <s v="CELIO PIMENTA"/>
    <x v="175"/>
    <n v="0"/>
    <n v="1"/>
  </r>
  <r>
    <s v="034.165.528/0001-32"/>
    <x v="256"/>
    <s v="INCLUSAO  ANOT.INADIMPLENCIA"/>
    <x v="279"/>
    <x v="27"/>
    <s v="2025-11"/>
    <x v="9"/>
    <s v="ALISSON DE SOUZA LIMA"/>
    <x v="256"/>
    <n v="0"/>
    <n v="1"/>
  </r>
  <r>
    <s v="032.213.847/0001-40"/>
    <x v="198"/>
    <s v="INCLUSAO  ANOT.INADIMPLENCIA"/>
    <x v="279"/>
    <x v="9"/>
    <s v="2025-11"/>
    <x v="9"/>
    <s v="PRISCILA METZ"/>
    <x v="198"/>
    <n v="0"/>
    <n v="1"/>
  </r>
  <r>
    <s v="057.698.087/0001-30"/>
    <x v="229"/>
    <s v="INCLUSAO  ANOT.INADIMPLENCIA"/>
    <x v="279"/>
    <x v="1"/>
    <s v="2025-11"/>
    <x v="9"/>
    <s v="CELIO PIMENTA"/>
    <x v="229"/>
    <n v="0"/>
    <n v="1"/>
  </r>
  <r>
    <s v="032.024.304/0001-85"/>
    <x v="270"/>
    <s v="EXCLUSAO  ANOT.INADIMPLENCIA"/>
    <x v="279"/>
    <x v="12"/>
    <s v="2025-11"/>
    <x v="9"/>
    <s v="PROSPECTAR"/>
    <x v="270"/>
    <n v="1"/>
    <n v="0"/>
  </r>
  <r>
    <s v="028.511.223/0001-32"/>
    <x v="189"/>
    <s v="INCLUSAO  ANOT.INADIMPLENCIA"/>
    <x v="279"/>
    <x v="0"/>
    <s v="2025-11"/>
    <x v="9"/>
    <s v="ADMINISTRAÇÃO"/>
    <x v="189"/>
    <n v="0"/>
    <n v="1"/>
  </r>
  <r>
    <s v="023.637.987/0001-55"/>
    <x v="20"/>
    <s v="ALTERACAO ADMINISTRADORES"/>
    <x v="279"/>
    <x v="5"/>
    <s v="2025-11"/>
    <x v="9"/>
    <s v="POENATELA"/>
    <x v="20"/>
    <n v="0"/>
    <n v="0"/>
  </r>
  <r>
    <s v="023.637.987/0001-55"/>
    <x v="20"/>
    <s v="ALTERACAO QUADRO SOCIAL"/>
    <x v="279"/>
    <x v="5"/>
    <s v="2025-11"/>
    <x v="9"/>
    <s v="POENATELA"/>
    <x v="20"/>
    <n v="0"/>
    <n v="0"/>
  </r>
  <r>
    <s v="021.382.943/0001-04"/>
    <x v="205"/>
    <s v="EXCLUSAO  ANOT.INADIMPLENCIA"/>
    <x v="279"/>
    <x v="0"/>
    <s v="2025-11"/>
    <x v="9"/>
    <s v="ADMINISTRAÇÃO"/>
    <x v="205"/>
    <n v="1"/>
    <n v="0"/>
  </r>
  <r>
    <s v="020.024.081/0001-77"/>
    <x v="177"/>
    <s v="INCLUSAO  ANOT.INADIMPLENCIA"/>
    <x v="279"/>
    <x v="10"/>
    <s v="2025-11"/>
    <x v="9"/>
    <s v="ROGERIO "/>
    <x v="177"/>
    <n v="0"/>
    <n v="1"/>
  </r>
  <r>
    <s v="014.829.598/0001-30"/>
    <x v="31"/>
    <s v="INCLUSAO  ANOT.INADIMPLENCIA"/>
    <x v="279"/>
    <x v="9"/>
    <s v="2025-11"/>
    <x v="9"/>
    <s v="PRISCILA METZ"/>
    <x v="31"/>
    <n v="0"/>
    <n v="1"/>
  </r>
  <r>
    <s v="030.030.642/0001-02"/>
    <x v="302"/>
    <s v="EXCLUSAO  ANOT.INADIMPLENCIA"/>
    <x v="279"/>
    <x v="6"/>
    <s v="2025-11"/>
    <x v="9"/>
    <s v="RAFAEL PARISE"/>
    <x v="302"/>
    <n v="1"/>
    <n v="0"/>
  </r>
  <r>
    <s v="061.008.540/0001-06"/>
    <x v="287"/>
    <s v="EXCLUSAO  ANOT.INADIMPLENCIA"/>
    <x v="279"/>
    <x v="29"/>
    <s v="2025-11"/>
    <x v="9"/>
    <s v="DALVA"/>
    <x v="287"/>
    <n v="1"/>
    <n v="0"/>
  </r>
  <r>
    <s v="003.590.360/0001-89"/>
    <x v="3"/>
    <s v="INCLUSAO  ANOT.INADIMPLENCIA"/>
    <x v="280"/>
    <x v="1"/>
    <s v="2025-11"/>
    <x v="10"/>
    <s v="CELIO PIMENTA"/>
    <x v="3"/>
    <n v="0"/>
    <n v="1"/>
  </r>
  <r>
    <s v="057.698.087/0001-30"/>
    <x v="229"/>
    <s v="INCLUSAO  ANOT.INADIMPLENCIA"/>
    <x v="280"/>
    <x v="1"/>
    <s v="2025-11"/>
    <x v="10"/>
    <s v="CELIO PIMENTA"/>
    <x v="229"/>
    <n v="0"/>
    <n v="1"/>
  </r>
  <r>
    <s v="047.635.671/0001-92"/>
    <x v="143"/>
    <s v="INCLUSAO  ANOT.INADIMPLENCIA"/>
    <x v="280"/>
    <x v="1"/>
    <s v="2025-11"/>
    <x v="10"/>
    <s v="CELIO PIMENTA"/>
    <x v="143"/>
    <n v="0"/>
    <n v="1"/>
  </r>
  <r>
    <s v="041.388.946/0001-54"/>
    <x v="175"/>
    <s v="INCLUSAO  ANOT.INADIMPLENCIA"/>
    <x v="280"/>
    <x v="1"/>
    <s v="2025-11"/>
    <x v="10"/>
    <s v="CELIO PIMENTA"/>
    <x v="175"/>
    <n v="0"/>
    <n v="1"/>
  </r>
  <r>
    <s v="039.438.917/0001-08"/>
    <x v="273"/>
    <s v="INCLUSAO  ANOT.INADIMPLENCIA"/>
    <x v="280"/>
    <x v="10"/>
    <s v="2025-11"/>
    <x v="10"/>
    <s v="ROGERIO "/>
    <x v="273"/>
    <n v="0"/>
    <n v="1"/>
  </r>
  <r>
    <s v="038.007.528/0001-65"/>
    <x v="277"/>
    <s v="INCLUSAO  ANOT.INADIMPLENCIA"/>
    <x v="280"/>
    <x v="9"/>
    <s v="2025-11"/>
    <x v="10"/>
    <s v="PRISCILA METZ"/>
    <x v="277"/>
    <n v="0"/>
    <n v="1"/>
  </r>
  <r>
    <s v="033.803.691/0001-10"/>
    <x v="103"/>
    <s v="INCLUSAO  ANOT.INADIMPLENCIA"/>
    <x v="280"/>
    <x v="0"/>
    <s v="2025-11"/>
    <x v="10"/>
    <s v="ADMINISTRAÇÃO"/>
    <x v="103"/>
    <n v="0"/>
    <n v="1"/>
  </r>
  <r>
    <s v="030.642.101/0001-27"/>
    <x v="307"/>
    <s v="INCLUSAO  ANOT.INADIMPLENCIA"/>
    <x v="280"/>
    <x v="10"/>
    <s v="2025-11"/>
    <x v="10"/>
    <s v="ROGERIO "/>
    <x v="307"/>
    <n v="0"/>
    <n v="1"/>
  </r>
  <r>
    <s v="028.556.973/0001-20"/>
    <x v="118"/>
    <s v="EXCLUSAO  ANOT.INADIMPLENCIA"/>
    <x v="280"/>
    <x v="1"/>
    <s v="2025-11"/>
    <x v="10"/>
    <s v="CELIO PIMENTA"/>
    <x v="118"/>
    <n v="1"/>
    <n v="0"/>
  </r>
  <r>
    <s v="028.514.938/0001-49"/>
    <x v="249"/>
    <s v="INCLUSAO  ANOT.INADIMPLENCIA"/>
    <x v="280"/>
    <x v="6"/>
    <s v="2025-11"/>
    <x v="10"/>
    <s v="RAFAEL PARISE"/>
    <x v="249"/>
    <n v="0"/>
    <n v="1"/>
  </r>
  <r>
    <s v="028.511.223/0001-32"/>
    <x v="189"/>
    <s v="INCLUSAO  ANOT.INADIMPLENCIA"/>
    <x v="280"/>
    <x v="0"/>
    <s v="2025-11"/>
    <x v="10"/>
    <s v="ADMINISTRAÇÃO"/>
    <x v="189"/>
    <n v="0"/>
    <n v="1"/>
  </r>
  <r>
    <s v="028.393.466/0001-13"/>
    <x v="167"/>
    <s v="INCLUSAO  ANOT.INADIMPLENCIA"/>
    <x v="280"/>
    <x v="12"/>
    <s v="2025-11"/>
    <x v="10"/>
    <s v="PROSPECTAR"/>
    <x v="167"/>
    <n v="0"/>
    <n v="1"/>
  </r>
  <r>
    <s v="027.508.008/0001-10"/>
    <x v="216"/>
    <s v="INCLUSAO  ANOT.INADIMPLENCIA"/>
    <x v="280"/>
    <x v="29"/>
    <s v="2025-11"/>
    <x v="10"/>
    <s v="DALVA"/>
    <x v="216"/>
    <n v="0"/>
    <n v="1"/>
  </r>
  <r>
    <s v="061.008.540/0001-06"/>
    <x v="287"/>
    <s v="INCLUSAO  ANOT.INADIMPLENCIA"/>
    <x v="280"/>
    <x v="29"/>
    <s v="2025-11"/>
    <x v="10"/>
    <s v="DALVA"/>
    <x v="287"/>
    <n v="0"/>
    <n v="1"/>
  </r>
  <r>
    <s v="027.180.131/0001-54"/>
    <x v="188"/>
    <s v="INCL/EXCL ANOT.INADIMPLENCIA"/>
    <x v="280"/>
    <x v="9"/>
    <s v="2025-11"/>
    <x v="10"/>
    <s v="PRISCILA METZ"/>
    <x v="188"/>
    <n v="1"/>
    <n v="1"/>
  </r>
  <r>
    <s v="023.007.673/0001-79"/>
    <x v="310"/>
    <s v="INCL/EXCL ANOT.INADIMPLENCIA"/>
    <x v="280"/>
    <x v="5"/>
    <s v="2025-11"/>
    <x v="10"/>
    <s v="POENATELA"/>
    <x v="310"/>
    <n v="1"/>
    <n v="1"/>
  </r>
  <r>
    <s v="021.458.691/0001-41"/>
    <x v="223"/>
    <s v="EXCLUSAO  ANOT.INADIMPLENCIA"/>
    <x v="280"/>
    <x v="26"/>
    <s v="2025-11"/>
    <x v="10"/>
    <s v="ANTECIPA"/>
    <x v="223"/>
    <n v="1"/>
    <n v="0"/>
  </r>
  <r>
    <s v="021.382.943/0001-04"/>
    <x v="205"/>
    <s v="INCLUSAO  ANOT.INADIMPLENCIA"/>
    <x v="280"/>
    <x v="0"/>
    <s v="2025-11"/>
    <x v="10"/>
    <s v="ADMINISTRAÇÃO"/>
    <x v="205"/>
    <n v="0"/>
    <n v="1"/>
  </r>
  <r>
    <s v="020.024.081/0001-77"/>
    <x v="177"/>
    <s v="INCL/EXCL ANOT.INADIMPLENCIA"/>
    <x v="280"/>
    <x v="10"/>
    <s v="2025-11"/>
    <x v="10"/>
    <s v="ROGERIO "/>
    <x v="177"/>
    <n v="1"/>
    <n v="1"/>
  </r>
  <r>
    <s v="014.829.598/0001-30"/>
    <x v="31"/>
    <s v="INCLUSAO  ANOT.INADIMPLENCIA"/>
    <x v="280"/>
    <x v="9"/>
    <s v="2025-11"/>
    <x v="10"/>
    <s v="PRISCILA METZ"/>
    <x v="31"/>
    <n v="0"/>
    <n v="1"/>
  </r>
  <r>
    <s v="012.520.929/0001-20"/>
    <x v="294"/>
    <s v="INCLUSAO  ANOT.INADIMPLENCIA"/>
    <x v="280"/>
    <x v="35"/>
    <s v="2025-11"/>
    <x v="10"/>
    <s v="VALERIA"/>
    <x v="294"/>
    <n v="0"/>
    <n v="1"/>
  </r>
  <r>
    <s v="011.122.552/0001-99"/>
    <x v="59"/>
    <s v="INCL/EXCL ANOT.INADIMPLENCIA"/>
    <x v="280"/>
    <x v="6"/>
    <s v="2025-11"/>
    <x v="10"/>
    <s v="RAFAEL PARISE"/>
    <x v="59"/>
    <n v="1"/>
    <n v="1"/>
  </r>
  <r>
    <s v="010.872.600/0001-01"/>
    <x v="309"/>
    <s v="EXCLUSAO  ANOT.INADIMPLENCIA"/>
    <x v="280"/>
    <x v="5"/>
    <s v="2025-11"/>
    <x v="10"/>
    <s v="POENATELA"/>
    <x v="309"/>
    <n v="1"/>
    <n v="0"/>
  </r>
  <r>
    <s v="008.250.872/0001-10"/>
    <x v="121"/>
    <s v="INCLUSAO  ANOT.INADIMPLENCIA"/>
    <x v="280"/>
    <x v="6"/>
    <s v="2025-11"/>
    <x v="10"/>
    <s v="RAFAEL PARISE"/>
    <x v="121"/>
    <n v="0"/>
    <n v="1"/>
  </r>
  <r>
    <s v="007.272.884/0001-82"/>
    <x v="276"/>
    <s v="INCLUSAO  ANOT.INADIMPLENCIA"/>
    <x v="280"/>
    <x v="10"/>
    <s v="2025-11"/>
    <x v="10"/>
    <s v="ROGERIO "/>
    <x v="276"/>
    <n v="0"/>
    <n v="1"/>
  </r>
  <r>
    <s v="005.363.690/0001-67"/>
    <x v="90"/>
    <s v="INCLUSAO  ANOT.INADIMPLENCIA"/>
    <x v="280"/>
    <x v="12"/>
    <s v="2025-11"/>
    <x v="10"/>
    <s v="PROSPECTAR"/>
    <x v="90"/>
    <n v="0"/>
    <n v="1"/>
  </r>
  <r>
    <s v="004.646.495/0001-81"/>
    <x v="311"/>
    <s v="INCLUSAO  ANOT.INADIMPLENCIA"/>
    <x v="280"/>
    <x v="10"/>
    <s v="2025-11"/>
    <x v="10"/>
    <s v="ROGERIO "/>
    <x v="311"/>
    <n v="0"/>
    <n v="1"/>
  </r>
  <r>
    <s v="025.094.292/0001-08"/>
    <x v="213"/>
    <s v="INCLUSAO  ANOT.INADIMPLENCIA"/>
    <x v="280"/>
    <x v="12"/>
    <s v="2025-11"/>
    <x v="10"/>
    <s v="PROSPECTAR"/>
    <x v="213"/>
    <n v="0"/>
    <n v="1"/>
  </r>
  <r>
    <s v="071.350.797/0001-03"/>
    <x v="48"/>
    <s v="INCLUSAO  ANOT.INADIMPLENCIA"/>
    <x v="280"/>
    <x v="10"/>
    <s v="2025-11"/>
    <x v="10"/>
    <s v="ROGERIO "/>
    <x v="48"/>
    <n v="0"/>
    <n v="1"/>
  </r>
  <r>
    <s v="003.590.360/0001-89"/>
    <x v="3"/>
    <s v="EXCLUSAO  ANOT.INADIMPLENCIA"/>
    <x v="281"/>
    <x v="1"/>
    <s v="2025-11"/>
    <x v="10"/>
    <s v="CELIO PIMENTA"/>
    <x v="3"/>
    <n v="1"/>
    <n v="0"/>
  </r>
  <r>
    <s v="052.755.043/0001-80"/>
    <x v="237"/>
    <s v="INCLUSAO  ANOT.INADIMPLENCIA"/>
    <x v="281"/>
    <x v="3"/>
    <s v="2025-11"/>
    <x v="10"/>
    <s v="MARCUS VINICIUS "/>
    <x v="237"/>
    <n v="0"/>
    <n v="1"/>
  </r>
  <r>
    <s v="044.073.794/0001-99"/>
    <x v="280"/>
    <s v="INCLUSAO  ANOT.INADIMPLENCIA"/>
    <x v="281"/>
    <x v="27"/>
    <s v="2025-11"/>
    <x v="10"/>
    <s v="ALISSON DE SOUZA LIMA"/>
    <x v="280"/>
    <n v="0"/>
    <n v="1"/>
  </r>
  <r>
    <s v="043.515.558/0001-12"/>
    <x v="176"/>
    <s v="INCLUSAO  ANOT.INADIMPLENCIA"/>
    <x v="281"/>
    <x v="10"/>
    <s v="2025-11"/>
    <x v="10"/>
    <s v="ROGERIO "/>
    <x v="176"/>
    <n v="0"/>
    <n v="1"/>
  </r>
  <r>
    <s v="041.868.686/0001-14"/>
    <x v="299"/>
    <s v="INCLUSAO  ANOT.INADIMPLENCIA"/>
    <x v="281"/>
    <x v="38"/>
    <s v="2025-11"/>
    <x v="10"/>
    <s v="DAVI"/>
    <x v="299"/>
    <n v="0"/>
    <n v="1"/>
  </r>
  <r>
    <s v="041.388.946/0001-54"/>
    <x v="175"/>
    <s v="INCLUSAO  ANOT.INADIMPLENCIA"/>
    <x v="281"/>
    <x v="1"/>
    <s v="2025-11"/>
    <x v="10"/>
    <s v="CELIO PIMENTA"/>
    <x v="175"/>
    <n v="0"/>
    <n v="1"/>
  </r>
  <r>
    <s v="039.438.917/0001-08"/>
    <x v="273"/>
    <s v="INCLUSAO  ANOT.INADIMPLENCIA"/>
    <x v="281"/>
    <x v="10"/>
    <s v="2025-11"/>
    <x v="10"/>
    <s v="ROGERIO "/>
    <x v="273"/>
    <n v="0"/>
    <n v="1"/>
  </r>
  <r>
    <s v="038.161.686/0001-75"/>
    <x v="275"/>
    <s v="EXCLUSAO  ANOT.INADIMPLENCIA"/>
    <x v="281"/>
    <x v="0"/>
    <s v="2025-11"/>
    <x v="10"/>
    <s v="ADMINISTRAÇÃO"/>
    <x v="275"/>
    <n v="1"/>
    <n v="0"/>
  </r>
  <r>
    <s v="038.007.528/0001-65"/>
    <x v="277"/>
    <s v="EXCLUSAO  ANOT.INADIMPLENCIA"/>
    <x v="281"/>
    <x v="9"/>
    <s v="2025-11"/>
    <x v="10"/>
    <s v="PRISCILA METZ"/>
    <x v="277"/>
    <n v="1"/>
    <n v="0"/>
  </r>
  <r>
    <s v="057.698.087/0001-30"/>
    <x v="229"/>
    <s v="INCLUSAO  ANOT.INADIMPLENCIA"/>
    <x v="281"/>
    <x v="1"/>
    <s v="2025-11"/>
    <x v="10"/>
    <s v="CELIO PIMENTA"/>
    <x v="229"/>
    <n v="0"/>
    <n v="1"/>
  </r>
  <r>
    <s v="034.165.528/0001-32"/>
    <x v="256"/>
    <s v="INCLUSAO  ANOT.INADIMPLENCIA"/>
    <x v="281"/>
    <x v="27"/>
    <s v="2025-11"/>
    <x v="10"/>
    <s v="ALISSON DE SOUZA LIMA"/>
    <x v="256"/>
    <n v="0"/>
    <n v="1"/>
  </r>
  <r>
    <s v="027.180.131/0001-54"/>
    <x v="188"/>
    <s v="INCLUSAO  ANOT.INADIMPLENCIA"/>
    <x v="281"/>
    <x v="9"/>
    <s v="2025-11"/>
    <x v="10"/>
    <s v="PRISCILA METZ"/>
    <x v="188"/>
    <n v="0"/>
    <n v="1"/>
  </r>
  <r>
    <s v="023.007.673/0001-79"/>
    <x v="310"/>
    <s v="INCLUSAO  ANOT.INADIMPLENCIA"/>
    <x v="281"/>
    <x v="5"/>
    <s v="2025-11"/>
    <x v="10"/>
    <s v="POENATELA"/>
    <x v="310"/>
    <n v="0"/>
    <n v="1"/>
  </r>
  <r>
    <s v="020.024.081/0001-77"/>
    <x v="177"/>
    <s v="INCL/EXCL ANOT.INADIMPLENCIA"/>
    <x v="281"/>
    <x v="10"/>
    <s v="2025-11"/>
    <x v="10"/>
    <s v="ROGERIO "/>
    <x v="177"/>
    <n v="1"/>
    <n v="1"/>
  </r>
  <r>
    <s v="014.829.598/0001-30"/>
    <x v="31"/>
    <s v="INCLUSAO  ANOT.INADIMPLENCIA"/>
    <x v="281"/>
    <x v="9"/>
    <s v="2025-11"/>
    <x v="10"/>
    <s v="PRISCILA METZ"/>
    <x v="31"/>
    <n v="0"/>
    <n v="1"/>
  </r>
  <r>
    <s v="011.122.552/0001-99"/>
    <x v="59"/>
    <s v="EXCLUSAO  ANOT.INADIMPLENCIA"/>
    <x v="281"/>
    <x v="6"/>
    <s v="2025-11"/>
    <x v="10"/>
    <s v="RAFAEL PARISE"/>
    <x v="59"/>
    <n v="1"/>
    <n v="0"/>
  </r>
  <r>
    <s v="008.641.174/0001-45"/>
    <x v="295"/>
    <s v="INCLUSAO  ANOT.INADIMPLENCIA"/>
    <x v="281"/>
    <x v="5"/>
    <s v="2025-11"/>
    <x v="10"/>
    <s v="POENATELA"/>
    <x v="295"/>
    <n v="0"/>
    <n v="1"/>
  </r>
  <r>
    <s v="007.272.884/0001-82"/>
    <x v="276"/>
    <s v="INCLUSAO  ANOT.INADIMPLENCIA"/>
    <x v="281"/>
    <x v="10"/>
    <s v="2025-11"/>
    <x v="10"/>
    <s v="ROGERIO "/>
    <x v="276"/>
    <n v="0"/>
    <n v="1"/>
  </r>
  <r>
    <s v="005.363.690/0001-67"/>
    <x v="90"/>
    <s v="INCLUSAO  ANOT.INADIMPLENCIA"/>
    <x v="281"/>
    <x v="12"/>
    <s v="2025-11"/>
    <x v="10"/>
    <s v="PROSPECTAR"/>
    <x v="90"/>
    <n v="0"/>
    <n v="1"/>
  </r>
  <r>
    <s v="032.213.847/0001-40"/>
    <x v="198"/>
    <s v="INCLUSAO  ANOT.INADIMPLENCIA"/>
    <x v="281"/>
    <x v="9"/>
    <s v="2025-11"/>
    <x v="10"/>
    <s v="PRISCILA METZ"/>
    <x v="198"/>
    <n v="0"/>
    <n v="1"/>
  </r>
  <r>
    <s v="061.008.540/0001-06"/>
    <x v="287"/>
    <s v="INCLUSAO  ANOT.INADIMPLENCIA"/>
    <x v="281"/>
    <x v="29"/>
    <s v="2025-11"/>
    <x v="10"/>
    <s v="DALVA"/>
    <x v="287"/>
    <n v="0"/>
    <n v="1"/>
  </r>
  <r>
    <s v="003.590.360/0001-89"/>
    <x v="3"/>
    <s v="EXCLUSAO  ANOT.INADIMPLENCIA"/>
    <x v="282"/>
    <x v="1"/>
    <s v="2025-11"/>
    <x v="10"/>
    <s v="CELIO PIMENTA"/>
    <x v="3"/>
    <n v="1"/>
    <n v="0"/>
  </r>
  <r>
    <s v="052.755.043/0001-80"/>
    <x v="237"/>
    <s v="INCLUSAO  ANOT.INADIMPLENCIA"/>
    <x v="282"/>
    <x v="3"/>
    <s v="2025-11"/>
    <x v="10"/>
    <s v="MARCUS VINICIUS "/>
    <x v="237"/>
    <n v="0"/>
    <n v="1"/>
  </r>
  <r>
    <s v="044.073.794/0001-99"/>
    <x v="280"/>
    <s v="INCLUSAO  ANOT.INADIMPLENCIA"/>
    <x v="282"/>
    <x v="27"/>
    <s v="2025-11"/>
    <x v="10"/>
    <s v="ALISSON DE SOUZA LIMA"/>
    <x v="280"/>
    <n v="0"/>
    <n v="1"/>
  </r>
  <r>
    <s v="043.515.558/0001-12"/>
    <x v="176"/>
    <s v="INCLUSAO  ANOT.INADIMPLENCIA"/>
    <x v="282"/>
    <x v="10"/>
    <s v="2025-11"/>
    <x v="10"/>
    <s v="ROGERIO "/>
    <x v="176"/>
    <n v="0"/>
    <n v="1"/>
  </r>
  <r>
    <s v="041.868.686/0001-14"/>
    <x v="299"/>
    <s v="INCLUSAO  ANOT.INADIMPLENCIA"/>
    <x v="282"/>
    <x v="38"/>
    <s v="2025-11"/>
    <x v="10"/>
    <s v="DAVI"/>
    <x v="299"/>
    <n v="0"/>
    <n v="1"/>
  </r>
  <r>
    <s v="041.388.946/0001-54"/>
    <x v="175"/>
    <s v="INCLUSAO  ANOT.INADIMPLENCIA"/>
    <x v="282"/>
    <x v="1"/>
    <s v="2025-11"/>
    <x v="10"/>
    <s v="CELIO PIMENTA"/>
    <x v="175"/>
    <n v="0"/>
    <n v="1"/>
  </r>
  <r>
    <s v="039.438.917/0001-08"/>
    <x v="273"/>
    <s v="INCLUSAO  ANOT.INADIMPLENCIA"/>
    <x v="282"/>
    <x v="10"/>
    <s v="2025-11"/>
    <x v="10"/>
    <s v="ROGERIO "/>
    <x v="273"/>
    <n v="0"/>
    <n v="1"/>
  </r>
  <r>
    <s v="038.161.686/0001-75"/>
    <x v="275"/>
    <s v="EXCLUSAO  ANOT.INADIMPLENCIA"/>
    <x v="282"/>
    <x v="0"/>
    <s v="2025-11"/>
    <x v="10"/>
    <s v="ADMINISTRAÇÃO"/>
    <x v="275"/>
    <n v="1"/>
    <n v="0"/>
  </r>
  <r>
    <s v="038.007.528/0001-65"/>
    <x v="277"/>
    <s v="EXCLUSAO  ANOT.INADIMPLENCIA"/>
    <x v="282"/>
    <x v="9"/>
    <s v="2025-11"/>
    <x v="10"/>
    <s v="PRISCILA METZ"/>
    <x v="277"/>
    <n v="1"/>
    <n v="0"/>
  </r>
  <r>
    <s v="057.698.087/0001-30"/>
    <x v="229"/>
    <s v="INCLUSAO  ANOT.INADIMPLENCIA"/>
    <x v="282"/>
    <x v="1"/>
    <s v="2025-11"/>
    <x v="10"/>
    <s v="CELIO PIMENTA"/>
    <x v="229"/>
    <n v="0"/>
    <n v="1"/>
  </r>
  <r>
    <s v="034.165.528/0001-32"/>
    <x v="256"/>
    <s v="INCLUSAO  ANOT.INADIMPLENCIA"/>
    <x v="282"/>
    <x v="27"/>
    <s v="2025-11"/>
    <x v="10"/>
    <s v="ALISSON DE SOUZA LIMA"/>
    <x v="256"/>
    <n v="0"/>
    <n v="1"/>
  </r>
  <r>
    <s v="027.180.131/0001-54"/>
    <x v="188"/>
    <s v="INCLUSAO  ANOT.INADIMPLENCIA"/>
    <x v="282"/>
    <x v="9"/>
    <s v="2025-11"/>
    <x v="10"/>
    <s v="PRISCILA METZ"/>
    <x v="188"/>
    <n v="0"/>
    <n v="1"/>
  </r>
  <r>
    <s v="023.007.673/0001-79"/>
    <x v="310"/>
    <s v="INCLUSAO  ANOT.INADIMPLENCIA"/>
    <x v="282"/>
    <x v="5"/>
    <s v="2025-11"/>
    <x v="10"/>
    <s v="POENATELA"/>
    <x v="310"/>
    <n v="0"/>
    <n v="1"/>
  </r>
  <r>
    <s v="020.024.081/0001-77"/>
    <x v="177"/>
    <s v="INCL/EXCL ANOT.INADIMPLENCIA"/>
    <x v="282"/>
    <x v="10"/>
    <s v="2025-11"/>
    <x v="10"/>
    <s v="ROGERIO "/>
    <x v="177"/>
    <n v="1"/>
    <n v="1"/>
  </r>
  <r>
    <s v="014.829.598/0001-30"/>
    <x v="31"/>
    <s v="INCLUSAO  ANOT.INADIMPLENCIA"/>
    <x v="282"/>
    <x v="9"/>
    <s v="2025-11"/>
    <x v="10"/>
    <s v="PRISCILA METZ"/>
    <x v="31"/>
    <n v="0"/>
    <n v="1"/>
  </r>
  <r>
    <s v="011.122.552/0001-99"/>
    <x v="59"/>
    <s v="EXCLUSAO  ANOT.INADIMPLENCIA"/>
    <x v="282"/>
    <x v="6"/>
    <s v="2025-11"/>
    <x v="10"/>
    <s v="RAFAEL PARISE"/>
    <x v="59"/>
    <n v="1"/>
    <n v="0"/>
  </r>
  <r>
    <s v="008.641.174/0001-45"/>
    <x v="295"/>
    <s v="INCLUSAO  ANOT.INADIMPLENCIA"/>
    <x v="282"/>
    <x v="5"/>
    <s v="2025-11"/>
    <x v="10"/>
    <s v="POENATELA"/>
    <x v="295"/>
    <n v="0"/>
    <n v="1"/>
  </r>
  <r>
    <s v="007.272.884/0001-82"/>
    <x v="276"/>
    <s v="INCLUSAO  ANOT.INADIMPLENCIA"/>
    <x v="282"/>
    <x v="10"/>
    <s v="2025-11"/>
    <x v="10"/>
    <s v="ROGERIO "/>
    <x v="276"/>
    <n v="0"/>
    <n v="1"/>
  </r>
  <r>
    <s v="005.363.690/0001-67"/>
    <x v="90"/>
    <s v="INCLUSAO  ANOT.INADIMPLENCIA"/>
    <x v="282"/>
    <x v="12"/>
    <s v="2025-11"/>
    <x v="10"/>
    <s v="PROSPECTAR"/>
    <x v="90"/>
    <n v="0"/>
    <n v="1"/>
  </r>
  <r>
    <s v="032.213.847/0001-40"/>
    <x v="198"/>
    <s v="INCLUSAO  ANOT.INADIMPLENCIA"/>
    <x v="282"/>
    <x v="9"/>
    <s v="2025-11"/>
    <x v="10"/>
    <s v="PRISCILA METZ"/>
    <x v="198"/>
    <n v="0"/>
    <n v="1"/>
  </r>
  <r>
    <s v="061.008.540/0001-06"/>
    <x v="287"/>
    <s v="INCLUSAO  ANOT.INADIMPLENCIA"/>
    <x v="282"/>
    <x v="29"/>
    <s v="2025-11"/>
    <x v="10"/>
    <s v="DALVA"/>
    <x v="287"/>
    <n v="0"/>
    <n v="1"/>
  </r>
  <r>
    <s v="001.542.005/0001-09"/>
    <x v="291"/>
    <s v="INCLUSAO  ANOT.INADIMPLENCIA"/>
    <x v="283"/>
    <x v="13"/>
    <s v="2025-11"/>
    <x v="10"/>
    <s v="ANDERSON FRAGA"/>
    <x v="291"/>
    <n v="0"/>
    <n v="1"/>
  </r>
  <r>
    <s v="043.515.558/0001-12"/>
    <x v="176"/>
    <s v="INCLUSAO  ANOT.INADIMPLENCIA"/>
    <x v="283"/>
    <x v="10"/>
    <s v="2025-11"/>
    <x v="10"/>
    <s v="ROGERIO "/>
    <x v="176"/>
    <n v="0"/>
    <n v="1"/>
  </r>
  <r>
    <s v="041.757.407/0001-45"/>
    <x v="153"/>
    <s v="INCLUSAO  ANOT.INADIMPLENCIA"/>
    <x v="283"/>
    <x v="5"/>
    <s v="2025-11"/>
    <x v="10"/>
    <s v="POENATELA"/>
    <x v="153"/>
    <n v="0"/>
    <n v="1"/>
  </r>
  <r>
    <s v="041.388.946/0001-54"/>
    <x v="175"/>
    <s v="INCLUSAO  ANOT.INADIMPLENCIA"/>
    <x v="283"/>
    <x v="1"/>
    <s v="2025-11"/>
    <x v="10"/>
    <s v="CELIO PIMENTA"/>
    <x v="175"/>
    <n v="0"/>
    <n v="1"/>
  </r>
  <r>
    <s v="039.438.917/0001-08"/>
    <x v="273"/>
    <s v="INCLUSAO  ANOT.INADIMPLENCIA"/>
    <x v="283"/>
    <x v="10"/>
    <s v="2025-11"/>
    <x v="10"/>
    <s v="ROGERIO "/>
    <x v="273"/>
    <n v="0"/>
    <n v="1"/>
  </r>
  <r>
    <s v="038.161.686/0001-75"/>
    <x v="275"/>
    <s v="INCLUSAO  ANOT.INADIMPLENCIA"/>
    <x v="283"/>
    <x v="0"/>
    <s v="2025-11"/>
    <x v="10"/>
    <s v="ADMINISTRAÇÃO"/>
    <x v="275"/>
    <n v="0"/>
    <n v="1"/>
  </r>
  <r>
    <s v="034.165.528/0001-32"/>
    <x v="256"/>
    <s v="INCLUSAO  ANOT.INADIMPLENCIA"/>
    <x v="283"/>
    <x v="27"/>
    <s v="2025-11"/>
    <x v="10"/>
    <s v="ALISSON DE SOUZA LIMA"/>
    <x v="256"/>
    <n v="0"/>
    <n v="1"/>
  </r>
  <r>
    <s v="032.925.977/0001-06"/>
    <x v="235"/>
    <s v="INCLUSAO  ANOT.INADIMPLENCIA"/>
    <x v="283"/>
    <x v="1"/>
    <s v="2025-11"/>
    <x v="10"/>
    <s v="CELIO PIMENTA"/>
    <x v="235"/>
    <n v="0"/>
    <n v="1"/>
  </r>
  <r>
    <s v="028.511.223/0001-32"/>
    <x v="189"/>
    <s v="EXCLUSAO  ANOT.INADIMPLENCIA"/>
    <x v="283"/>
    <x v="0"/>
    <s v="2025-11"/>
    <x v="10"/>
    <s v="ADMINISTRAÇÃO"/>
    <x v="189"/>
    <n v="1"/>
    <n v="0"/>
  </r>
  <r>
    <s v="027.180.131/0001-54"/>
    <x v="188"/>
    <s v="INCL/EXCL ANOT.INADIMPLENCIA"/>
    <x v="283"/>
    <x v="9"/>
    <s v="2025-11"/>
    <x v="10"/>
    <s v="PRISCILA METZ"/>
    <x v="188"/>
    <n v="1"/>
    <n v="1"/>
  </r>
  <r>
    <s v="025.094.292/0001-08"/>
    <x v="213"/>
    <s v="INCLUSAO  ANOT.INADIMPLENCIA"/>
    <x v="283"/>
    <x v="12"/>
    <s v="2025-11"/>
    <x v="10"/>
    <s v="PROSPECTAR"/>
    <x v="213"/>
    <n v="0"/>
    <n v="1"/>
  </r>
  <r>
    <s v="022.998.836/0001-60"/>
    <x v="24"/>
    <s v="INCLUSAO  ANOT.INADIMPLENCIA"/>
    <x v="283"/>
    <x v="0"/>
    <s v="2025-11"/>
    <x v="10"/>
    <s v="ADMINISTRAÇÃO"/>
    <x v="24"/>
    <n v="0"/>
    <n v="1"/>
  </r>
  <r>
    <s v="046.674.060/0001-90"/>
    <x v="140"/>
    <s v="INCLUSAO  ANOT.INADIMPLENCIA"/>
    <x v="283"/>
    <x v="10"/>
    <s v="2025-11"/>
    <x v="10"/>
    <s v="ROGERIO "/>
    <x v="140"/>
    <n v="0"/>
    <n v="1"/>
  </r>
  <r>
    <s v="021.382.943/0001-04"/>
    <x v="205"/>
    <s v="EXCLUSAO  ANOT.INADIMPLENCIA"/>
    <x v="283"/>
    <x v="0"/>
    <s v="2025-11"/>
    <x v="10"/>
    <s v="ADMINISTRAÇÃO"/>
    <x v="205"/>
    <n v="1"/>
    <n v="0"/>
  </r>
  <r>
    <s v="019.961.036/0001-60"/>
    <x v="262"/>
    <s v="INCLUSAO  ANOT.INADIMPLENCIA"/>
    <x v="283"/>
    <x v="36"/>
    <s v="2025-11"/>
    <x v="10"/>
    <s v="JJPH"/>
    <x v="262"/>
    <n v="0"/>
    <n v="1"/>
  </r>
  <r>
    <s v="016.757.535/0001-41"/>
    <x v="29"/>
    <s v="INCLUSAO  ANOT.INADIMPLENCIA"/>
    <x v="283"/>
    <x v="11"/>
    <s v="2025-11"/>
    <x v="10"/>
    <s v="DIOGO AZEVEDO"/>
    <x v="29"/>
    <n v="0"/>
    <n v="1"/>
  </r>
  <r>
    <s v="014.829.598/0001-30"/>
    <x v="31"/>
    <s v="INCLUSAO  ANOT.INADIMPLENCIA"/>
    <x v="283"/>
    <x v="9"/>
    <s v="2025-11"/>
    <x v="10"/>
    <s v="PRISCILA METZ"/>
    <x v="31"/>
    <n v="0"/>
    <n v="1"/>
  </r>
  <r>
    <s v="014.178.148/0001-25"/>
    <x v="265"/>
    <s v="EXCLUSAO  ANOT.INADIMPLENCIA"/>
    <x v="283"/>
    <x v="29"/>
    <s v="2025-11"/>
    <x v="10"/>
    <s v="DALVA"/>
    <x v="265"/>
    <n v="1"/>
    <n v="0"/>
  </r>
  <r>
    <s v="012.915.648/0001-77"/>
    <x v="312"/>
    <s v="INCLUSAO  ANOT.INADIMPLENCIA"/>
    <x v="283"/>
    <x v="5"/>
    <s v="2025-11"/>
    <x v="10"/>
    <s v="POENATELA"/>
    <x v="312"/>
    <n v="0"/>
    <n v="1"/>
  </r>
  <r>
    <s v="012.520.929/0001-20"/>
    <x v="294"/>
    <s v="INCLUSAO  ANOT.INADIMPLENCIA"/>
    <x v="283"/>
    <x v="35"/>
    <s v="2025-11"/>
    <x v="10"/>
    <s v="VALERIA"/>
    <x v="294"/>
    <n v="0"/>
    <n v="1"/>
  </r>
  <r>
    <s v="011.122.552/0001-99"/>
    <x v="59"/>
    <s v="INCLUSAO  ANOT.INADIMPLENCIA"/>
    <x v="283"/>
    <x v="6"/>
    <s v="2025-11"/>
    <x v="10"/>
    <s v="RAFAEL PARISE"/>
    <x v="59"/>
    <n v="0"/>
    <n v="1"/>
  </r>
  <r>
    <s v="008.641.174/0001-45"/>
    <x v="295"/>
    <s v="INCLUSAO  ANOT.INADIMPLENCIA"/>
    <x v="283"/>
    <x v="5"/>
    <s v="2025-11"/>
    <x v="10"/>
    <s v="POENATELA"/>
    <x v="295"/>
    <n v="0"/>
    <n v="1"/>
  </r>
  <r>
    <s v="007.272.884/0001-82"/>
    <x v="276"/>
    <s v="INCLUSAO  ANOT.INADIMPLENCIA"/>
    <x v="283"/>
    <x v="10"/>
    <s v="2025-11"/>
    <x v="10"/>
    <s v="ROGERIO "/>
    <x v="276"/>
    <n v="0"/>
    <n v="1"/>
  </r>
  <r>
    <s v="005.997.418/0001-39"/>
    <x v="165"/>
    <s v="INCLUSAO  ANOT.INADIMPLENCIA"/>
    <x v="283"/>
    <x v="6"/>
    <s v="2025-11"/>
    <x v="10"/>
    <s v="RAFAEL PARISE"/>
    <x v="165"/>
    <n v="0"/>
    <n v="1"/>
  </r>
  <r>
    <s v="005.363.690/0001-67"/>
    <x v="90"/>
    <s v="INCL/EXCL ANOT.INADIMPLENCIA"/>
    <x v="283"/>
    <x v="12"/>
    <s v="2025-11"/>
    <x v="10"/>
    <s v="PROSPECTAR"/>
    <x v="90"/>
    <n v="1"/>
    <n v="1"/>
  </r>
  <r>
    <s v="020.024.081/0001-77"/>
    <x v="177"/>
    <s v="INCLUSAO  ANOT.INADIMPLENCIA"/>
    <x v="283"/>
    <x v="10"/>
    <s v="2025-11"/>
    <x v="10"/>
    <s v="ROGERIO "/>
    <x v="177"/>
    <n v="0"/>
    <n v="1"/>
  </r>
  <r>
    <s v="052.718.364/0001-05"/>
    <x v="313"/>
    <s v="INCLUSAO  ANOT.INADIMPLENCIA"/>
    <x v="283"/>
    <x v="0"/>
    <s v="2025-11"/>
    <x v="10"/>
    <s v="ADMINISTRAÇÃO"/>
    <x v="313"/>
    <n v="0"/>
    <n v="1"/>
  </r>
  <r>
    <s v="005.363.690/0001-67"/>
    <x v="90"/>
    <s v="INCL/EXCL ANOT.INADIMPLENCIA"/>
    <x v="284"/>
    <x v="12"/>
    <s v="2025-11"/>
    <x v="11"/>
    <s v="PROSPECTAR"/>
    <x v="90"/>
    <n v="1"/>
    <n v="1"/>
  </r>
  <r>
    <s v="046.674.060/0001-90"/>
    <x v="140"/>
    <s v="INCLUSAO  ANOT.INADIMPLENCIA"/>
    <x v="284"/>
    <x v="10"/>
    <s v="2025-11"/>
    <x v="11"/>
    <s v="ROGERIO "/>
    <x v="140"/>
    <n v="0"/>
    <n v="1"/>
  </r>
  <r>
    <s v="044.073.794/0001-99"/>
    <x v="280"/>
    <s v="INCLUSAO  ANOT.INADIMPLENCIA"/>
    <x v="284"/>
    <x v="27"/>
    <s v="2025-11"/>
    <x v="11"/>
    <s v="ALISSON DE SOUZA LIMA"/>
    <x v="280"/>
    <n v="0"/>
    <n v="1"/>
  </r>
  <r>
    <s v="043.515.558/0001-12"/>
    <x v="176"/>
    <s v="INCLUSAO  ANOT.INADIMPLENCIA"/>
    <x v="284"/>
    <x v="10"/>
    <s v="2025-11"/>
    <x v="11"/>
    <s v="ROGERIO "/>
    <x v="176"/>
    <n v="0"/>
    <n v="1"/>
  </r>
  <r>
    <s v="041.868.686/0001-14"/>
    <x v="299"/>
    <s v="EXCLUSAO  ANOT.INADIMPLENCIA"/>
    <x v="284"/>
    <x v="38"/>
    <s v="2025-11"/>
    <x v="11"/>
    <s v="DAVI"/>
    <x v="299"/>
    <n v="1"/>
    <n v="0"/>
  </r>
  <r>
    <s v="041.388.946/0001-54"/>
    <x v="175"/>
    <s v="INCLUSAO  ANOT.INADIMPLENCIA"/>
    <x v="284"/>
    <x v="1"/>
    <s v="2025-11"/>
    <x v="11"/>
    <s v="CELIO PIMENTA"/>
    <x v="175"/>
    <n v="0"/>
    <n v="1"/>
  </r>
  <r>
    <s v="039.438.917/0001-08"/>
    <x v="273"/>
    <s v="INCL/EXCL ANOT.INADIMPLENCIA"/>
    <x v="284"/>
    <x v="10"/>
    <s v="2025-11"/>
    <x v="11"/>
    <s v="ROGERIO "/>
    <x v="273"/>
    <n v="1"/>
    <n v="1"/>
  </r>
  <r>
    <s v="037.599.774/0001-90"/>
    <x v="201"/>
    <s v="INCLUSAO  ANOT.INADIMPLENCIA"/>
    <x v="284"/>
    <x v="21"/>
    <s v="2025-11"/>
    <x v="11"/>
    <s v="CAIO"/>
    <x v="201"/>
    <n v="0"/>
    <n v="1"/>
  </r>
  <r>
    <s v="034.165.528/0001-32"/>
    <x v="256"/>
    <s v="INCLUSAO  ANOT.INADIMPLENCIA"/>
    <x v="284"/>
    <x v="27"/>
    <s v="2025-11"/>
    <x v="11"/>
    <s v="ALISSON DE SOUZA LIMA"/>
    <x v="256"/>
    <n v="0"/>
    <n v="1"/>
  </r>
  <r>
    <s v="032.677.058/0001-60"/>
    <x v="305"/>
    <s v="INCLUSAO  ANOT.INADIMPLENCIA"/>
    <x v="284"/>
    <x v="21"/>
    <s v="2025-11"/>
    <x v="11"/>
    <s v="CAIO"/>
    <x v="305"/>
    <n v="0"/>
    <n v="1"/>
  </r>
  <r>
    <s v="046.848.165/0001-19"/>
    <x v="271"/>
    <s v="INCLUSAO  ANOT.INADIMPLENCIA"/>
    <x v="284"/>
    <x v="11"/>
    <s v="2025-11"/>
    <x v="11"/>
    <s v="DIOGO AZEVEDO"/>
    <x v="271"/>
    <n v="0"/>
    <n v="1"/>
  </r>
  <r>
    <s v="030.030.642/0001-02"/>
    <x v="302"/>
    <s v="EXCLUSAO  ANOT.INADIMPLENCIA"/>
    <x v="284"/>
    <x v="6"/>
    <s v="2025-11"/>
    <x v="11"/>
    <s v="RAFAEL PARISE"/>
    <x v="302"/>
    <n v="1"/>
    <n v="0"/>
  </r>
  <r>
    <s v="027.180.131/0001-54"/>
    <x v="188"/>
    <s v="INCL/EXCL ANOT.INADIMPLENCIA"/>
    <x v="284"/>
    <x v="9"/>
    <s v="2025-11"/>
    <x v="11"/>
    <s v="PRISCILA METZ"/>
    <x v="188"/>
    <n v="1"/>
    <n v="1"/>
  </r>
  <r>
    <s v="025.094.292/0001-08"/>
    <x v="213"/>
    <s v="INCL/EXCL ANOT.INADIMPLENCIA"/>
    <x v="284"/>
    <x v="12"/>
    <s v="2025-11"/>
    <x v="11"/>
    <s v="PROSPECTAR"/>
    <x v="213"/>
    <n v="1"/>
    <n v="1"/>
  </r>
  <r>
    <s v="023.007.673/0001-79"/>
    <x v="310"/>
    <s v="INCLUSAO  ANOT.INADIMPLENCIA"/>
    <x v="284"/>
    <x v="5"/>
    <s v="2025-11"/>
    <x v="11"/>
    <s v="POENATELA"/>
    <x v="310"/>
    <n v="0"/>
    <n v="1"/>
  </r>
  <r>
    <s v="020.024.081/0001-77"/>
    <x v="177"/>
    <s v="INCL/EXCL ANOT.INADIMPLENCIA"/>
    <x v="284"/>
    <x v="10"/>
    <s v="2025-11"/>
    <x v="11"/>
    <s v="ROGERIO "/>
    <x v="177"/>
    <n v="1"/>
    <n v="1"/>
  </r>
  <r>
    <s v="014.829.598/0001-30"/>
    <x v="31"/>
    <s v="INCLUSAO  ANOT.INADIMPLENCIA"/>
    <x v="284"/>
    <x v="9"/>
    <s v="2025-11"/>
    <x v="11"/>
    <s v="PRISCILA METZ"/>
    <x v="31"/>
    <n v="0"/>
    <n v="1"/>
  </r>
  <r>
    <s v="011.122.552/0001-99"/>
    <x v="59"/>
    <s v="INCLUSAO  ANOT.INADIMPLENCIA"/>
    <x v="284"/>
    <x v="6"/>
    <s v="2025-11"/>
    <x v="11"/>
    <s v="RAFAEL PARISE"/>
    <x v="59"/>
    <n v="0"/>
    <n v="1"/>
  </r>
  <r>
    <s v="008.641.174/0001-45"/>
    <x v="295"/>
    <s v="INCLUSAO  ANOT.INADIMPLENCIA"/>
    <x v="284"/>
    <x v="5"/>
    <s v="2025-11"/>
    <x v="11"/>
    <s v="POENATELA"/>
    <x v="295"/>
    <n v="0"/>
    <n v="1"/>
  </r>
  <r>
    <s v="008.250.872/0001-10"/>
    <x v="121"/>
    <s v="INCLUSAO  ANOT.INADIMPLENCIA"/>
    <x v="284"/>
    <x v="6"/>
    <s v="2025-11"/>
    <x v="11"/>
    <s v="RAFAEL PARISE"/>
    <x v="121"/>
    <n v="0"/>
    <n v="1"/>
  </r>
  <r>
    <s v="007.272.884/0001-82"/>
    <x v="276"/>
    <s v="INCLUSAO  ANOT.INADIMPLENCIA"/>
    <x v="284"/>
    <x v="10"/>
    <s v="2025-11"/>
    <x v="11"/>
    <s v="ROGERIO "/>
    <x v="276"/>
    <n v="0"/>
    <n v="1"/>
  </r>
  <r>
    <s v="028.511.223/0001-32"/>
    <x v="189"/>
    <s v="INCL/EXCL ANOT.INADIMPLENCIA"/>
    <x v="284"/>
    <x v="0"/>
    <s v="2025-11"/>
    <x v="11"/>
    <s v="ADMINISTRAÇÃO"/>
    <x v="189"/>
    <n v="1"/>
    <n v="1"/>
  </r>
  <r>
    <s v="052.718.364/0001-05"/>
    <x v="313"/>
    <s v="INCLUSAO  ANOT.INADIMPLENCIA"/>
    <x v="284"/>
    <x v="0"/>
    <s v="2025-11"/>
    <x v="11"/>
    <s v="ADMINISTRAÇÃO"/>
    <x v="313"/>
    <n v="0"/>
    <n v="1"/>
  </r>
  <r>
    <s v="001.535.822/0001-30"/>
    <x v="170"/>
    <s v="INCLUSAO  ANOT.INADIMPLENCIA"/>
    <x v="285"/>
    <x v="12"/>
    <s v="2025-11"/>
    <x v="11"/>
    <s v="PROSPECTAR"/>
    <x v="170"/>
    <n v="0"/>
    <n v="1"/>
  </r>
  <r>
    <s v="052.755.043/0001-80"/>
    <x v="237"/>
    <s v="INCLUSAO  ANOT.INADIMPLENCIA"/>
    <x v="285"/>
    <x v="3"/>
    <s v="2025-11"/>
    <x v="11"/>
    <s v="MARCUS VINICIUS "/>
    <x v="237"/>
    <n v="0"/>
    <n v="1"/>
  </r>
  <r>
    <s v="047.635.671/0001-92"/>
    <x v="143"/>
    <s v="INCLUSAO  ANOT.INADIMPLENCIA"/>
    <x v="285"/>
    <x v="1"/>
    <s v="2025-11"/>
    <x v="11"/>
    <s v="CELIO PIMENTA"/>
    <x v="143"/>
    <n v="0"/>
    <n v="1"/>
  </r>
  <r>
    <s v="046.674.060/0001-90"/>
    <x v="140"/>
    <s v="INCLUSAO  ANOT.INADIMPLENCIA"/>
    <x v="285"/>
    <x v="10"/>
    <s v="2025-11"/>
    <x v="11"/>
    <s v="ROGERIO "/>
    <x v="140"/>
    <n v="0"/>
    <n v="1"/>
  </r>
  <r>
    <s v="044.470.678/0001-03"/>
    <x v="203"/>
    <s v="INCLUSAO  ANOT.INADIMPLENCIA"/>
    <x v="285"/>
    <x v="9"/>
    <s v="2025-11"/>
    <x v="11"/>
    <s v="PRISCILA METZ"/>
    <x v="203"/>
    <n v="0"/>
    <n v="1"/>
  </r>
  <r>
    <s v="044.073.794/0001-99"/>
    <x v="280"/>
    <s v="INCLUSAO  ANOT.INADIMPLENCIA"/>
    <x v="285"/>
    <x v="27"/>
    <s v="2025-11"/>
    <x v="11"/>
    <s v="ALISSON DE SOUZA LIMA"/>
    <x v="280"/>
    <n v="0"/>
    <n v="1"/>
  </r>
  <r>
    <s v="043.515.558/0001-12"/>
    <x v="176"/>
    <s v="INCLUSAO  ANOT.INADIMPLENCIA"/>
    <x v="285"/>
    <x v="10"/>
    <s v="2025-11"/>
    <x v="11"/>
    <s v="ROGERIO "/>
    <x v="176"/>
    <n v="0"/>
    <n v="1"/>
  </r>
  <r>
    <s v="041.868.686/0001-14"/>
    <x v="299"/>
    <s v="INCLUSAO  ANOT.INADIMPLENCIA"/>
    <x v="285"/>
    <x v="38"/>
    <s v="2025-11"/>
    <x v="11"/>
    <s v="DAVI"/>
    <x v="299"/>
    <n v="0"/>
    <n v="1"/>
  </r>
  <r>
    <s v="041.388.946/0001-54"/>
    <x v="175"/>
    <s v="INCLUSAO  ANOT.INADIMPLENCIA"/>
    <x v="285"/>
    <x v="1"/>
    <s v="2025-11"/>
    <x v="11"/>
    <s v="CELIO PIMENTA"/>
    <x v="175"/>
    <n v="0"/>
    <n v="1"/>
  </r>
  <r>
    <s v="039.438.917/0001-08"/>
    <x v="273"/>
    <s v="INCL/EXCL ANOT.INADIMPLENCIA"/>
    <x v="285"/>
    <x v="10"/>
    <s v="2025-11"/>
    <x v="11"/>
    <s v="ROGERIO "/>
    <x v="273"/>
    <n v="1"/>
    <n v="1"/>
  </r>
  <r>
    <s v="037.599.774/0001-90"/>
    <x v="201"/>
    <s v="INCLUSAO  ANOT.INADIMPLENCIA"/>
    <x v="285"/>
    <x v="21"/>
    <s v="2025-11"/>
    <x v="11"/>
    <s v="CAIO"/>
    <x v="201"/>
    <n v="0"/>
    <n v="1"/>
  </r>
  <r>
    <s v="035.797.639/0001-24"/>
    <x v="250"/>
    <s v="INCLUSAO  ANOT.INADIMPLENCIA"/>
    <x v="285"/>
    <x v="9"/>
    <s v="2025-11"/>
    <x v="11"/>
    <s v="PRISCILA METZ"/>
    <x v="250"/>
    <n v="0"/>
    <n v="1"/>
  </r>
  <r>
    <s v="034.165.528/0001-32"/>
    <x v="256"/>
    <s v="INCLUSAO  ANOT.INADIMPLENCIA"/>
    <x v="285"/>
    <x v="27"/>
    <s v="2025-11"/>
    <x v="11"/>
    <s v="ALISSON DE SOUZA LIMA"/>
    <x v="256"/>
    <n v="0"/>
    <n v="1"/>
  </r>
  <r>
    <s v="032.677.058/0001-60"/>
    <x v="305"/>
    <s v="EXCLUSAO  ANOT.INADIMPLENCIA"/>
    <x v="285"/>
    <x v="21"/>
    <s v="2025-11"/>
    <x v="11"/>
    <s v="CAIO"/>
    <x v="305"/>
    <n v="1"/>
    <n v="0"/>
  </r>
  <r>
    <s v="030.030.642/0001-02"/>
    <x v="302"/>
    <s v="INCLUSAO  ANOT.INADIMPLENCIA"/>
    <x v="285"/>
    <x v="6"/>
    <s v="2025-11"/>
    <x v="11"/>
    <s v="RAFAEL PARISE"/>
    <x v="302"/>
    <n v="0"/>
    <n v="1"/>
  </r>
  <r>
    <s v="028.556.973/0001-20"/>
    <x v="118"/>
    <s v="INCLUSAO  ANOT.INADIMPLENCIA"/>
    <x v="285"/>
    <x v="1"/>
    <s v="2025-11"/>
    <x v="11"/>
    <s v="CELIO PIMENTA"/>
    <x v="118"/>
    <n v="0"/>
    <n v="1"/>
  </r>
  <r>
    <s v="028.511.223/0001-32"/>
    <x v="189"/>
    <s v="INCLUSAO  ANOT.INADIMPLENCIA"/>
    <x v="285"/>
    <x v="0"/>
    <s v="2025-11"/>
    <x v="11"/>
    <s v="ADMINISTRAÇÃO"/>
    <x v="189"/>
    <n v="0"/>
    <n v="1"/>
  </r>
  <r>
    <s v="027.180.131/0001-54"/>
    <x v="188"/>
    <s v="INCLUSAO  ANOT.INADIMPLENCIA"/>
    <x v="285"/>
    <x v="9"/>
    <s v="2025-11"/>
    <x v="11"/>
    <s v="PRISCILA METZ"/>
    <x v="188"/>
    <n v="0"/>
    <n v="1"/>
  </r>
  <r>
    <s v="023.007.673/0001-79"/>
    <x v="310"/>
    <s v="EXCLUSAO  ANOT.INADIMPLENCIA"/>
    <x v="285"/>
    <x v="5"/>
    <s v="2025-11"/>
    <x v="11"/>
    <s v="POENATELA"/>
    <x v="310"/>
    <n v="1"/>
    <n v="0"/>
  </r>
  <r>
    <s v="019.961.036/0001-60"/>
    <x v="262"/>
    <s v="INCLUSAO  ANOT.INADIMPLENCIA"/>
    <x v="285"/>
    <x v="36"/>
    <s v="2025-11"/>
    <x v="11"/>
    <s v="JJPH"/>
    <x v="262"/>
    <n v="0"/>
    <n v="1"/>
  </r>
  <r>
    <s v="014.829.598/0001-30"/>
    <x v="31"/>
    <s v="INCLUSAO  ANOT.INADIMPLENCIA"/>
    <x v="285"/>
    <x v="9"/>
    <s v="2025-11"/>
    <x v="11"/>
    <s v="PRISCILA METZ"/>
    <x v="31"/>
    <n v="0"/>
    <n v="1"/>
  </r>
  <r>
    <s v="011.122.552/0001-99"/>
    <x v="59"/>
    <s v="EXCLUSAO  ANOT.INADIMPLENCIA"/>
    <x v="285"/>
    <x v="6"/>
    <s v="2025-11"/>
    <x v="11"/>
    <s v="RAFAEL PARISE"/>
    <x v="59"/>
    <n v="1"/>
    <n v="0"/>
  </r>
  <r>
    <s v="010.354.613/0001-80"/>
    <x v="224"/>
    <s v="INCLUSAO  ANOT.INADIMPLENCIA"/>
    <x v="285"/>
    <x v="27"/>
    <s v="2025-11"/>
    <x v="11"/>
    <s v="ALISSON DE SOUZA LIMA"/>
    <x v="224"/>
    <n v="0"/>
    <n v="1"/>
  </r>
  <r>
    <s v="008.250.872/0001-10"/>
    <x v="121"/>
    <s v="EXCLUSAO  ANOT.INADIMPLENCIA"/>
    <x v="285"/>
    <x v="6"/>
    <s v="2025-11"/>
    <x v="11"/>
    <s v="RAFAEL PARISE"/>
    <x v="121"/>
    <n v="1"/>
    <n v="0"/>
  </r>
  <r>
    <s v="007.345.063/0001-29"/>
    <x v="306"/>
    <s v="EXCLUSAO  ANOT.INADIMPLENCIA"/>
    <x v="285"/>
    <x v="5"/>
    <s v="2025-11"/>
    <x v="11"/>
    <s v="POENATELA"/>
    <x v="306"/>
    <n v="1"/>
    <n v="0"/>
  </r>
  <r>
    <s v="007.272.884/0001-82"/>
    <x v="276"/>
    <s v="INCL/EXCL ANOT.INADIMPLENCIA"/>
    <x v="285"/>
    <x v="10"/>
    <s v="2025-11"/>
    <x v="11"/>
    <s v="ROGERIO "/>
    <x v="276"/>
    <n v="1"/>
    <n v="1"/>
  </r>
  <r>
    <s v="061.008.540/0001-06"/>
    <x v="287"/>
    <s v="INCLUSAO  ANOT.INADIMPLENCIA"/>
    <x v="285"/>
    <x v="29"/>
    <s v="2025-11"/>
    <x v="11"/>
    <s v="DALVA"/>
    <x v="287"/>
    <n v="0"/>
    <n v="1"/>
  </r>
  <r>
    <s v="071.350.797/0001-03"/>
    <x v="48"/>
    <s v="INCL/EXCL ANOT.INADIMPLENCIA"/>
    <x v="285"/>
    <x v="10"/>
    <s v="2025-11"/>
    <x v="11"/>
    <s v="ROGERIO "/>
    <x v="48"/>
    <n v="1"/>
    <n v="1"/>
  </r>
  <r>
    <s v="000.482.073/0001-67"/>
    <x v="279"/>
    <s v="INCLUSAO  ANOT.INADIMPLENCIA"/>
    <x v="286"/>
    <x v="12"/>
    <s v="2025-11"/>
    <x v="11"/>
    <s v="PROSPECTAR"/>
    <x v="279"/>
    <n v="0"/>
    <n v="1"/>
  </r>
  <r>
    <s v="044.470.678/0001-03"/>
    <x v="203"/>
    <s v="INCLUSAO  ANOT.INADIMPLENCIA"/>
    <x v="286"/>
    <x v="9"/>
    <s v="2025-11"/>
    <x v="11"/>
    <s v="PRISCILA METZ"/>
    <x v="203"/>
    <n v="0"/>
    <n v="1"/>
  </r>
  <r>
    <s v="044.073.794/0001-99"/>
    <x v="280"/>
    <s v="EXCLUSAO  ANOT.INADIMPLENCIA"/>
    <x v="286"/>
    <x v="27"/>
    <s v="2025-11"/>
    <x v="11"/>
    <s v="ALISSON DE SOUZA LIMA"/>
    <x v="280"/>
    <n v="1"/>
    <n v="0"/>
  </r>
  <r>
    <s v="043.515.558/0001-12"/>
    <x v="176"/>
    <s v="INCLUSAO  ANOT.INADIMPLENCIA"/>
    <x v="286"/>
    <x v="10"/>
    <s v="2025-11"/>
    <x v="11"/>
    <s v="ROGERIO "/>
    <x v="176"/>
    <n v="0"/>
    <n v="1"/>
  </r>
  <r>
    <s v="041.868.686/0001-14"/>
    <x v="299"/>
    <s v="INCL/EXCL ANOT.INADIMPLENCIA"/>
    <x v="286"/>
    <x v="38"/>
    <s v="2025-11"/>
    <x v="11"/>
    <s v="DAVI"/>
    <x v="299"/>
    <n v="1"/>
    <n v="1"/>
  </r>
  <r>
    <s v="039.438.917/0001-08"/>
    <x v="273"/>
    <s v="INCLUSAO  ANOT.INADIMPLENCIA"/>
    <x v="286"/>
    <x v="10"/>
    <s v="2025-11"/>
    <x v="11"/>
    <s v="ROGERIO "/>
    <x v="273"/>
    <n v="0"/>
    <n v="1"/>
  </r>
  <r>
    <s v="034.165.528/0001-32"/>
    <x v="256"/>
    <s v="INCLUSAO  ANOT.INADIMPLENCIA"/>
    <x v="286"/>
    <x v="27"/>
    <s v="2025-11"/>
    <x v="11"/>
    <s v="ALISSON DE SOUZA LIMA"/>
    <x v="256"/>
    <n v="0"/>
    <n v="1"/>
  </r>
  <r>
    <s v="030.030.642/0001-02"/>
    <x v="302"/>
    <s v="INCLUSAO  ANOT.INADIMPLENCIA"/>
    <x v="286"/>
    <x v="6"/>
    <s v="2025-11"/>
    <x v="11"/>
    <s v="RAFAEL PARISE"/>
    <x v="302"/>
    <n v="0"/>
    <n v="1"/>
  </r>
  <r>
    <s v="028.514.938/0001-49"/>
    <x v="249"/>
    <s v="INCLUSAO  ANOT.INADIMPLENCIA"/>
    <x v="286"/>
    <x v="6"/>
    <s v="2025-11"/>
    <x v="11"/>
    <s v="RAFAEL PARISE"/>
    <x v="249"/>
    <n v="0"/>
    <n v="1"/>
  </r>
  <r>
    <s v="028.393.466/0001-13"/>
    <x v="167"/>
    <s v="EXCLUSAO  ANOT.INADIMPLENCIA"/>
    <x v="286"/>
    <x v="12"/>
    <s v="2025-11"/>
    <x v="11"/>
    <s v="PROSPECTAR"/>
    <x v="167"/>
    <n v="1"/>
    <n v="0"/>
  </r>
  <r>
    <s v="047.635.671/0001-92"/>
    <x v="143"/>
    <s v="INCLUSAO  ANOT.INADIMPLENCIA"/>
    <x v="286"/>
    <x v="1"/>
    <s v="2025-11"/>
    <x v="11"/>
    <s v="CELIO PIMENTA"/>
    <x v="143"/>
    <n v="0"/>
    <n v="1"/>
  </r>
  <r>
    <s v="027.180.131/0001-54"/>
    <x v="188"/>
    <s v="EXCLUSAO  ANOT.INADIMPLENCIA"/>
    <x v="286"/>
    <x v="9"/>
    <s v="2025-11"/>
    <x v="11"/>
    <s v="PRISCILA METZ"/>
    <x v="188"/>
    <n v="1"/>
    <n v="0"/>
  </r>
  <r>
    <s v="016.772.642/0001-49"/>
    <x v="69"/>
    <s v="EXCLUSAO  ANOT.INADIMPLENCIA"/>
    <x v="286"/>
    <x v="0"/>
    <s v="2025-11"/>
    <x v="11"/>
    <s v="ADMINISTRAÇÃO"/>
    <x v="69"/>
    <n v="1"/>
    <n v="0"/>
  </r>
  <r>
    <s v="014.829.598/0001-30"/>
    <x v="31"/>
    <s v="EXCLUSAO  ANOT.INADIMPLENCIA"/>
    <x v="286"/>
    <x v="9"/>
    <s v="2025-11"/>
    <x v="11"/>
    <s v="PRISCILA METZ"/>
    <x v="31"/>
    <n v="1"/>
    <n v="0"/>
  </r>
  <r>
    <s v="011.655.076/0001-71"/>
    <x v="263"/>
    <s v="INCLUSAO  ANOT.INADIMPLENCIA"/>
    <x v="286"/>
    <x v="21"/>
    <s v="2025-11"/>
    <x v="11"/>
    <s v="CAIO"/>
    <x v="263"/>
    <n v="0"/>
    <n v="1"/>
  </r>
  <r>
    <s v="011.261.574/0001-30"/>
    <x v="314"/>
    <s v="INCLUSAO  ANOT.INADIMPLENCIA"/>
    <x v="286"/>
    <x v="35"/>
    <s v="2025-11"/>
    <x v="11"/>
    <s v="VALERIA"/>
    <x v="314"/>
    <n v="0"/>
    <n v="1"/>
  </r>
  <r>
    <s v="010.672.840/0001-54"/>
    <x v="228"/>
    <s v="INCLUSAO  ANOT.INADIMPLENCIA"/>
    <x v="286"/>
    <x v="21"/>
    <s v="2025-11"/>
    <x v="11"/>
    <s v="CAIO"/>
    <x v="228"/>
    <n v="0"/>
    <n v="1"/>
  </r>
  <r>
    <s v="008.250.872/0001-10"/>
    <x v="121"/>
    <s v="EXCLUSAO  ANOT.INADIMPLENCIA"/>
    <x v="286"/>
    <x v="6"/>
    <s v="2025-11"/>
    <x v="11"/>
    <s v="RAFAEL PARISE"/>
    <x v="121"/>
    <n v="1"/>
    <n v="0"/>
  </r>
  <r>
    <s v="005.774.638/0001-01"/>
    <x v="197"/>
    <s v="INCLUSAO  ANOT.INADIMPLENCIA"/>
    <x v="286"/>
    <x v="21"/>
    <s v="2025-11"/>
    <x v="11"/>
    <s v="CAIO"/>
    <x v="197"/>
    <n v="0"/>
    <n v="1"/>
  </r>
  <r>
    <s v="004.067.472/0001-12"/>
    <x v="159"/>
    <s v="INCLUSAO  ANOT.INADIMPLENCIA"/>
    <x v="286"/>
    <x v="9"/>
    <s v="2025-11"/>
    <x v="11"/>
    <s v="PRISCILA METZ"/>
    <x v="159"/>
    <n v="0"/>
    <n v="1"/>
  </r>
  <r>
    <s v="044.470.678/0001-03"/>
    <x v="203"/>
    <s v="ALTERACAO ENDERECO"/>
    <x v="286"/>
    <x v="9"/>
    <s v="2025-11"/>
    <x v="11"/>
    <s v="PRISCILA METZ"/>
    <x v="203"/>
    <n v="0"/>
    <n v="0"/>
  </r>
  <r>
    <s v="004.126.524/0001-84"/>
    <x v="289"/>
    <s v="INCLUSAO  ANOT.INADIMPLENCIA"/>
    <x v="287"/>
    <x v="0"/>
    <s v="2025-11"/>
    <x v="11"/>
    <s v="ADMINISTRAÇÃO"/>
    <x v="289"/>
    <n v="0"/>
    <n v="1"/>
  </r>
  <r>
    <s v="027.180.131/0001-54"/>
    <x v="188"/>
    <s v="INCLUSAO  ANOT.INADIMPLENCIA"/>
    <x v="287"/>
    <x v="9"/>
    <s v="2025-11"/>
    <x v="11"/>
    <s v="PRISCILA METZ"/>
    <x v="188"/>
    <n v="0"/>
    <n v="1"/>
  </r>
  <r>
    <s v="028.556.973/0001-20"/>
    <x v="118"/>
    <s v="INCLUSAO  ANOT.INADIMPLENCIA"/>
    <x v="287"/>
    <x v="1"/>
    <s v="2025-11"/>
    <x v="11"/>
    <s v="CELIO PIMENTA"/>
    <x v="118"/>
    <n v="0"/>
    <n v="1"/>
  </r>
  <r>
    <s v="030.030.642/0001-02"/>
    <x v="302"/>
    <s v="INCLUSAO  ANOT.INADIMPLENCIA"/>
    <x v="287"/>
    <x v="6"/>
    <s v="2025-11"/>
    <x v="11"/>
    <s v="RAFAEL PARISE"/>
    <x v="302"/>
    <n v="0"/>
    <n v="1"/>
  </r>
  <r>
    <s v="032.677.058/0001-60"/>
    <x v="305"/>
    <s v="INCLUSAO  ANOT.INADIMPLENCIA"/>
    <x v="287"/>
    <x v="21"/>
    <s v="2025-11"/>
    <x v="11"/>
    <s v="CAIO"/>
    <x v="305"/>
    <n v="0"/>
    <n v="1"/>
  </r>
  <r>
    <s v="034.165.528/0001-32"/>
    <x v="256"/>
    <s v="INCLUSAO  ANOT.INADIMPLENCIA"/>
    <x v="287"/>
    <x v="27"/>
    <s v="2025-11"/>
    <x v="11"/>
    <s v="ALISSON DE SOUZA LIMA"/>
    <x v="256"/>
    <n v="0"/>
    <n v="1"/>
  </r>
  <r>
    <s v="037.599.774/0001-90"/>
    <x v="201"/>
    <s v="INCL/EXCL ANOT.INADIMPLENCIA"/>
    <x v="287"/>
    <x v="21"/>
    <s v="2025-11"/>
    <x v="11"/>
    <s v="CAIO"/>
    <x v="201"/>
    <n v="1"/>
    <n v="1"/>
  </r>
  <r>
    <s v="025.094.292/0001-08"/>
    <x v="213"/>
    <s v="EXCLUSAO  ANOT.INADIMPLENCIA"/>
    <x v="287"/>
    <x v="12"/>
    <s v="2025-11"/>
    <x v="11"/>
    <s v="PROSPECTAR"/>
    <x v="213"/>
    <n v="1"/>
    <n v="0"/>
  </r>
  <r>
    <s v="038.007.528/0001-65"/>
    <x v="277"/>
    <s v="INCLUSAO  ANOT.INADIMPLENCIA"/>
    <x v="287"/>
    <x v="9"/>
    <s v="2025-11"/>
    <x v="11"/>
    <s v="PRISCILA METZ"/>
    <x v="277"/>
    <n v="0"/>
    <n v="1"/>
  </r>
  <r>
    <s v="041.388.946/0001-54"/>
    <x v="175"/>
    <s v="INCLUSAO  ANOT.INADIMPLENCIA"/>
    <x v="287"/>
    <x v="1"/>
    <s v="2025-11"/>
    <x v="11"/>
    <s v="CELIO PIMENTA"/>
    <x v="175"/>
    <n v="0"/>
    <n v="1"/>
  </r>
  <r>
    <s v="041.868.686/0001-14"/>
    <x v="299"/>
    <s v="INCLUSAO  ANOT.INADIMPLENCIA"/>
    <x v="287"/>
    <x v="38"/>
    <s v="2025-11"/>
    <x v="11"/>
    <s v="DAVI"/>
    <x v="299"/>
    <n v="0"/>
    <n v="1"/>
  </r>
  <r>
    <s v="043.515.558/0001-12"/>
    <x v="176"/>
    <s v="INCLUSAO  ANOT.INADIMPLENCIA"/>
    <x v="287"/>
    <x v="10"/>
    <s v="2025-11"/>
    <x v="11"/>
    <s v="ROGERIO "/>
    <x v="176"/>
    <n v="0"/>
    <n v="1"/>
  </r>
  <r>
    <s v="044.073.794/0001-99"/>
    <x v="280"/>
    <s v="INCLUSAO  ANOT.INADIMPLENCIA"/>
    <x v="287"/>
    <x v="27"/>
    <s v="2025-11"/>
    <x v="11"/>
    <s v="ALISSON DE SOUZA LIMA"/>
    <x v="280"/>
    <n v="0"/>
    <n v="1"/>
  </r>
  <r>
    <s v="052.755.043/0001-80"/>
    <x v="237"/>
    <s v="INCLUSAO  ANOT.INADIMPLENCIA"/>
    <x v="287"/>
    <x v="3"/>
    <s v="2025-11"/>
    <x v="11"/>
    <s v="MARCUS VINICIUS "/>
    <x v="237"/>
    <n v="0"/>
    <n v="1"/>
  </r>
  <r>
    <s v="057.698.087/0001-30"/>
    <x v="229"/>
    <s v="INCLUSAO  ANOT.INADIMPLENCIA"/>
    <x v="287"/>
    <x v="1"/>
    <s v="2025-11"/>
    <x v="11"/>
    <s v="CELIO PIMENTA"/>
    <x v="229"/>
    <n v="0"/>
    <n v="1"/>
  </r>
  <r>
    <s v="039.438.917/0001-08"/>
    <x v="273"/>
    <s v="INCLUSAO  ANOT.INADIMPLENCIA"/>
    <x v="287"/>
    <x v="10"/>
    <s v="2025-11"/>
    <x v="11"/>
    <s v="ROGERIO "/>
    <x v="273"/>
    <n v="0"/>
    <n v="1"/>
  </r>
  <r>
    <s v="061.008.540/0001-06"/>
    <x v="287"/>
    <s v="INCLUSAO  ANOT.INADIMPLENCIA"/>
    <x v="287"/>
    <x v="29"/>
    <s v="2025-11"/>
    <x v="11"/>
    <s v="DALVA"/>
    <x v="287"/>
    <n v="0"/>
    <n v="1"/>
  </r>
  <r>
    <s v="023.637.987/0001-55"/>
    <x v="20"/>
    <s v="INCLUSAO  ANOT.INADIMPLENCIA"/>
    <x v="287"/>
    <x v="5"/>
    <s v="2025-11"/>
    <x v="11"/>
    <s v="POENATELA"/>
    <x v="20"/>
    <n v="0"/>
    <n v="1"/>
  </r>
  <r>
    <s v="021.734.108/0001-88"/>
    <x v="41"/>
    <s v="INCLUSAO  ANOT.INADIMPLENCIA"/>
    <x v="287"/>
    <x v="0"/>
    <s v="2025-11"/>
    <x v="11"/>
    <s v="ADMINISTRAÇÃO"/>
    <x v="41"/>
    <n v="0"/>
    <n v="1"/>
  </r>
  <r>
    <s v="004.646.495/0001-81"/>
    <x v="311"/>
    <s v="INCLUSAO  ANOT.INADIMPLENCIA"/>
    <x v="287"/>
    <x v="10"/>
    <s v="2025-11"/>
    <x v="11"/>
    <s v="ROGERIO "/>
    <x v="311"/>
    <n v="0"/>
    <n v="1"/>
  </r>
  <r>
    <s v="005.363.690/0001-67"/>
    <x v="90"/>
    <s v="INCLUSAO  ANOT.INADIMPLENCIA"/>
    <x v="287"/>
    <x v="12"/>
    <s v="2025-11"/>
    <x v="11"/>
    <s v="PROSPECTAR"/>
    <x v="90"/>
    <n v="0"/>
    <n v="1"/>
  </r>
  <r>
    <s v="005.997.418/0001-39"/>
    <x v="165"/>
    <s v="EXCLUSAO  ANOT.INADIMPLENCIA"/>
    <x v="287"/>
    <x v="6"/>
    <s v="2025-11"/>
    <x v="11"/>
    <s v="RAFAEL PARISE"/>
    <x v="165"/>
    <n v="1"/>
    <n v="0"/>
  </r>
  <r>
    <s v="007.181.473/0001-81"/>
    <x v="288"/>
    <s v="EXCLUSAO  ANOT.INADIMPLENCIA"/>
    <x v="287"/>
    <x v="12"/>
    <s v="2025-11"/>
    <x v="11"/>
    <s v="PROSPECTAR"/>
    <x v="288"/>
    <n v="1"/>
    <n v="0"/>
  </r>
  <r>
    <s v="007.272.884/0001-82"/>
    <x v="276"/>
    <s v="INCLUSAO  ANOT.INADIMPLENCIA"/>
    <x v="287"/>
    <x v="10"/>
    <s v="2025-11"/>
    <x v="11"/>
    <s v="ROGERIO "/>
    <x v="276"/>
    <n v="0"/>
    <n v="1"/>
  </r>
  <r>
    <s v="007.345.063/0001-29"/>
    <x v="306"/>
    <s v="EXCLUSAO  ANOT.INADIMPLENCIA"/>
    <x v="287"/>
    <x v="5"/>
    <s v="2025-11"/>
    <x v="11"/>
    <s v="POENATELA"/>
    <x v="306"/>
    <n v="1"/>
    <n v="0"/>
  </r>
  <r>
    <s v="023.007.673/0001-79"/>
    <x v="310"/>
    <s v="INCLUSAO  ANOT.INADIMPLENCIA"/>
    <x v="287"/>
    <x v="5"/>
    <s v="2025-11"/>
    <x v="11"/>
    <s v="POENATELA"/>
    <x v="310"/>
    <n v="0"/>
    <n v="1"/>
  </r>
  <r>
    <s v="008.250.872/0001-10"/>
    <x v="121"/>
    <s v="EXCLUSAO  ANOT.INADIMPLENCIA"/>
    <x v="287"/>
    <x v="6"/>
    <s v="2025-11"/>
    <x v="11"/>
    <s v="RAFAEL PARISE"/>
    <x v="121"/>
    <n v="1"/>
    <n v="0"/>
  </r>
  <r>
    <s v="012.915.648/0001-77"/>
    <x v="312"/>
    <s v="INCLUSAO  ANOT.INADIMPLENCIA"/>
    <x v="287"/>
    <x v="5"/>
    <s v="2025-11"/>
    <x v="11"/>
    <s v="POENATELA"/>
    <x v="312"/>
    <n v="0"/>
    <n v="1"/>
  </r>
  <r>
    <s v="014.385.825/0001-86"/>
    <x v="110"/>
    <s v="EXCLUSAO  ANOT.INADIMPLENCIA"/>
    <x v="287"/>
    <x v="6"/>
    <s v="2025-11"/>
    <x v="11"/>
    <s v="RAFAEL PARISE"/>
    <x v="110"/>
    <n v="1"/>
    <n v="0"/>
  </r>
  <r>
    <s v="014.829.598/0001-30"/>
    <x v="31"/>
    <s v="INCL/EXCL ANOT.INADIMPLENCIA"/>
    <x v="287"/>
    <x v="9"/>
    <s v="2025-11"/>
    <x v="11"/>
    <s v="PRISCILA METZ"/>
    <x v="31"/>
    <n v="1"/>
    <n v="1"/>
  </r>
  <r>
    <s v="016.757.535/0001-41"/>
    <x v="29"/>
    <s v="INCLUSAO  ANOT.INADIMPLENCIA"/>
    <x v="287"/>
    <x v="11"/>
    <s v="2025-11"/>
    <x v="11"/>
    <s v="DIOGO AZEVEDO"/>
    <x v="29"/>
    <n v="0"/>
    <n v="1"/>
  </r>
  <r>
    <s v="018.068.347/0001-31"/>
    <x v="315"/>
    <s v="INCLUSAO  ANOT.INADIMPLENCIA"/>
    <x v="287"/>
    <x v="10"/>
    <s v="2025-11"/>
    <x v="11"/>
    <s v="ROGERIO "/>
    <x v="315"/>
    <n v="0"/>
    <n v="1"/>
  </r>
  <r>
    <s v="021.382.943/0001-04"/>
    <x v="205"/>
    <s v="INCLUSAO  ANOT.INADIMPLENCIA"/>
    <x v="287"/>
    <x v="0"/>
    <s v="2025-11"/>
    <x v="11"/>
    <s v="ADMINISTRAÇÃO"/>
    <x v="205"/>
    <n v="0"/>
    <n v="1"/>
  </r>
  <r>
    <s v="008.641.174/0001-45"/>
    <x v="295"/>
    <s v="INCLUSAO  ANOT.INADIMPLENCIA"/>
    <x v="287"/>
    <x v="5"/>
    <s v="2025-11"/>
    <x v="11"/>
    <s v="POENATELA"/>
    <x v="295"/>
    <n v="0"/>
    <n v="1"/>
  </r>
  <r>
    <s v="086.490.885/0001-70"/>
    <x v="207"/>
    <s v="INCL/EXCL ANOT.INADIMPLENCIA"/>
    <x v="287"/>
    <x v="6"/>
    <s v="2025-11"/>
    <x v="11"/>
    <s v="RAFAEL PARISE"/>
    <x v="207"/>
    <n v="1"/>
    <n v="1"/>
  </r>
  <r>
    <s v="001.866.592/0001-91"/>
    <x v="293"/>
    <s v="EXCLUSAO  ANOT.INADIMPLENCIA"/>
    <x v="288"/>
    <x v="12"/>
    <s v="2025-11"/>
    <x v="12"/>
    <s v="PROSPECTAR"/>
    <x v="293"/>
    <n v="1"/>
    <n v="0"/>
  </r>
  <r>
    <s v="030.642.101/0001-27"/>
    <x v="307"/>
    <s v="INCLUSAO  ANOT.INADIMPLENCIA"/>
    <x v="288"/>
    <x v="10"/>
    <s v="2025-11"/>
    <x v="12"/>
    <s v="ROGERIO "/>
    <x v="307"/>
    <n v="0"/>
    <n v="1"/>
  </r>
  <r>
    <s v="032.213.847/0001-40"/>
    <x v="198"/>
    <s v="INCLUSAO  ANOT.INADIMPLENCIA"/>
    <x v="288"/>
    <x v="9"/>
    <s v="2025-11"/>
    <x v="12"/>
    <s v="PRISCILA METZ"/>
    <x v="198"/>
    <n v="0"/>
    <n v="1"/>
  </r>
  <r>
    <s v="034.165.528/0001-32"/>
    <x v="256"/>
    <s v="INCLUSAO  ANOT.INADIMPLENCIA"/>
    <x v="288"/>
    <x v="27"/>
    <s v="2025-11"/>
    <x v="12"/>
    <s v="ALISSON DE SOUZA LIMA"/>
    <x v="256"/>
    <n v="0"/>
    <n v="1"/>
  </r>
  <r>
    <s v="037.599.774/0001-90"/>
    <x v="201"/>
    <s v="EXCLUSAO  ANOT.INADIMPLENCIA"/>
    <x v="288"/>
    <x v="21"/>
    <s v="2025-11"/>
    <x v="12"/>
    <s v="CAIO"/>
    <x v="201"/>
    <n v="1"/>
    <n v="0"/>
  </r>
  <r>
    <s v="037.828.375/0001-54"/>
    <x v="39"/>
    <s v="INCLUSAO  ANOT.INADIMPLENCIA"/>
    <x v="288"/>
    <x v="5"/>
    <s v="2025-11"/>
    <x v="12"/>
    <s v="POENATELA"/>
    <x v="39"/>
    <n v="0"/>
    <n v="1"/>
  </r>
  <r>
    <s v="038.007.528/0001-65"/>
    <x v="277"/>
    <s v="INCLUSAO  ANOT.INADIMPLENCIA"/>
    <x v="288"/>
    <x v="9"/>
    <s v="2025-11"/>
    <x v="12"/>
    <s v="PRISCILA METZ"/>
    <x v="277"/>
    <n v="0"/>
    <n v="1"/>
  </r>
  <r>
    <s v="030.030.642/0001-02"/>
    <x v="302"/>
    <s v="INCLUSAO  ANOT.INADIMPLENCIA"/>
    <x v="288"/>
    <x v="6"/>
    <s v="2025-11"/>
    <x v="12"/>
    <s v="RAFAEL PARISE"/>
    <x v="302"/>
    <n v="0"/>
    <n v="1"/>
  </r>
  <r>
    <s v="039.438.917/0001-08"/>
    <x v="273"/>
    <s v="INCLUSAO  ANOT.INADIMPLENCIA"/>
    <x v="288"/>
    <x v="10"/>
    <s v="2025-11"/>
    <x v="12"/>
    <s v="ROGERIO "/>
    <x v="273"/>
    <n v="0"/>
    <n v="1"/>
  </r>
  <r>
    <s v="041.388.946/0001-54"/>
    <x v="175"/>
    <s v="INCLUSAO  ANOT.INADIMPLENCIA"/>
    <x v="288"/>
    <x v="1"/>
    <s v="2025-11"/>
    <x v="12"/>
    <s v="CELIO PIMENTA"/>
    <x v="175"/>
    <n v="0"/>
    <n v="1"/>
  </r>
  <r>
    <s v="043.515.558/0001-12"/>
    <x v="176"/>
    <s v="INCLUSAO  ANOT.INADIMPLENCIA"/>
    <x v="288"/>
    <x v="10"/>
    <s v="2025-11"/>
    <x v="12"/>
    <s v="ROGERIO "/>
    <x v="176"/>
    <n v="0"/>
    <n v="1"/>
  </r>
  <r>
    <s v="044.073.794/0001-99"/>
    <x v="280"/>
    <s v="INCL/EXCL ANOT.INADIMPLENCIA"/>
    <x v="288"/>
    <x v="27"/>
    <s v="2025-11"/>
    <x v="12"/>
    <s v="ALISSON DE SOUZA LIMA"/>
    <x v="280"/>
    <n v="1"/>
    <n v="1"/>
  </r>
  <r>
    <s v="044.470.678/0001-03"/>
    <x v="203"/>
    <s v="INCLUSAO  ANOT.INADIMPLENCIA"/>
    <x v="288"/>
    <x v="9"/>
    <s v="2025-11"/>
    <x v="12"/>
    <s v="PRISCILA METZ"/>
    <x v="203"/>
    <n v="0"/>
    <n v="1"/>
  </r>
  <r>
    <s v="046.848.165/0001-19"/>
    <x v="271"/>
    <s v="INCL/EXCL ANOT.INADIMPLENCIA"/>
    <x v="288"/>
    <x v="11"/>
    <s v="2025-11"/>
    <x v="12"/>
    <s v="DIOGO AZEVEDO"/>
    <x v="271"/>
    <n v="1"/>
    <n v="1"/>
  </r>
  <r>
    <s v="047.635.671/0001-92"/>
    <x v="143"/>
    <s v="INCLUSAO  ANOT.INADIMPLENCIA"/>
    <x v="288"/>
    <x v="1"/>
    <s v="2025-11"/>
    <x v="12"/>
    <s v="CELIO PIMENTA"/>
    <x v="143"/>
    <n v="0"/>
    <n v="1"/>
  </r>
  <r>
    <s v="040.938.741/0001-32"/>
    <x v="161"/>
    <s v="INCLUSAO  ANOT.INADIMPLENCIA"/>
    <x v="288"/>
    <x v="12"/>
    <s v="2025-11"/>
    <x v="12"/>
    <s v="PROSPECTAR"/>
    <x v="161"/>
    <n v="0"/>
    <n v="1"/>
  </r>
  <r>
    <s v="057.698.087/0001-30"/>
    <x v="229"/>
    <s v="INCLUSAO  ANOT.INADIMPLENCIA"/>
    <x v="288"/>
    <x v="1"/>
    <s v="2025-11"/>
    <x v="12"/>
    <s v="CELIO PIMENTA"/>
    <x v="229"/>
    <n v="0"/>
    <n v="1"/>
  </r>
  <r>
    <s v="028.556.973/0001-20"/>
    <x v="118"/>
    <s v="INCLUSAO  ANOT.INADIMPLENCIA"/>
    <x v="288"/>
    <x v="1"/>
    <s v="2025-11"/>
    <x v="12"/>
    <s v="CELIO PIMENTA"/>
    <x v="118"/>
    <n v="0"/>
    <n v="1"/>
  </r>
  <r>
    <s v="027.180.131/0001-54"/>
    <x v="188"/>
    <s v="INCLUSAO  ANOT.INADIMPLENCIA"/>
    <x v="288"/>
    <x v="9"/>
    <s v="2025-11"/>
    <x v="12"/>
    <s v="PRISCILA METZ"/>
    <x v="188"/>
    <n v="0"/>
    <n v="1"/>
  </r>
  <r>
    <s v="003.590.360/0001-89"/>
    <x v="3"/>
    <s v="INCLUSAO  ANOT.INADIMPLENCIA"/>
    <x v="288"/>
    <x v="1"/>
    <s v="2025-11"/>
    <x v="12"/>
    <s v="CELIO PIMENTA"/>
    <x v="3"/>
    <n v="0"/>
    <n v="1"/>
  </r>
  <r>
    <s v="005.774.638/0001-01"/>
    <x v="197"/>
    <s v="EXCLUSAO  ANOT.INADIMPLENCIA"/>
    <x v="288"/>
    <x v="21"/>
    <s v="2025-11"/>
    <x v="12"/>
    <s v="CAIO"/>
    <x v="197"/>
    <n v="1"/>
    <n v="0"/>
  </r>
  <r>
    <s v="007.272.884/0001-82"/>
    <x v="276"/>
    <s v="INCLUSAO  ANOT.INADIMPLENCIA"/>
    <x v="288"/>
    <x v="10"/>
    <s v="2025-11"/>
    <x v="12"/>
    <s v="ROGERIO "/>
    <x v="276"/>
    <n v="0"/>
    <n v="1"/>
  </r>
  <r>
    <s v="008.641.174/0001-45"/>
    <x v="295"/>
    <s v="INCLUSAO  ANOT.INADIMPLENCIA"/>
    <x v="288"/>
    <x v="5"/>
    <s v="2025-11"/>
    <x v="12"/>
    <s v="POENATELA"/>
    <x v="295"/>
    <n v="0"/>
    <n v="1"/>
  </r>
  <r>
    <s v="011.122.552/0001-99"/>
    <x v="59"/>
    <s v="INCLUSAO  ANOT.INADIMPLENCIA"/>
    <x v="288"/>
    <x v="6"/>
    <s v="2025-11"/>
    <x v="12"/>
    <s v="RAFAEL PARISE"/>
    <x v="59"/>
    <n v="0"/>
    <n v="1"/>
  </r>
  <r>
    <s v="011.173.099/0001-40"/>
    <x v="227"/>
    <s v="INCLUSAO  ANOT.INADIMPLENCIA"/>
    <x v="288"/>
    <x v="21"/>
    <s v="2025-11"/>
    <x v="12"/>
    <s v="CAIO"/>
    <x v="227"/>
    <n v="0"/>
    <n v="1"/>
  </r>
  <r>
    <s v="028.511.223/0001-32"/>
    <x v="189"/>
    <s v="INCLUSAO  ANOT.INADIMPLENCIA"/>
    <x v="288"/>
    <x v="0"/>
    <s v="2025-11"/>
    <x v="12"/>
    <s v="ADMINISTRAÇÃO"/>
    <x v="189"/>
    <n v="0"/>
    <n v="1"/>
  </r>
  <r>
    <s v="012.520.929/0001-20"/>
    <x v="294"/>
    <s v="INCLUSAO  ANOT.INADIMPLENCIA"/>
    <x v="288"/>
    <x v="35"/>
    <s v="2025-11"/>
    <x v="12"/>
    <s v="VALERIA"/>
    <x v="294"/>
    <n v="0"/>
    <n v="1"/>
  </r>
  <r>
    <s v="016.772.642/0001-49"/>
    <x v="69"/>
    <s v="INCL/EXCL ANOT.INADIMPLENCIA"/>
    <x v="288"/>
    <x v="0"/>
    <s v="2025-11"/>
    <x v="12"/>
    <s v="ADMINISTRAÇÃO"/>
    <x v="69"/>
    <n v="1"/>
    <n v="1"/>
  </r>
  <r>
    <s v="021.382.943/0001-04"/>
    <x v="205"/>
    <s v="INCL/EXCL ANOT.INADIMPLENCIA"/>
    <x v="288"/>
    <x v="0"/>
    <s v="2025-11"/>
    <x v="12"/>
    <s v="ADMINISTRAÇÃO"/>
    <x v="205"/>
    <n v="1"/>
    <n v="1"/>
  </r>
  <r>
    <s v="021.734.108/0001-88"/>
    <x v="41"/>
    <s v="INCLUSAO  ANOT.INADIMPLENCIA"/>
    <x v="288"/>
    <x v="0"/>
    <s v="2025-11"/>
    <x v="12"/>
    <s v="ADMINISTRAÇÃO"/>
    <x v="41"/>
    <n v="0"/>
    <n v="1"/>
  </r>
  <r>
    <s v="022.998.836/0001-60"/>
    <x v="24"/>
    <s v="EXCLUSAO  ANOT.INADIMPLENCIA"/>
    <x v="288"/>
    <x v="0"/>
    <s v="2025-11"/>
    <x v="12"/>
    <s v="ADMINISTRAÇÃO"/>
    <x v="24"/>
    <n v="1"/>
    <n v="0"/>
  </r>
  <r>
    <s v="023.007.673/0001-79"/>
    <x v="310"/>
    <s v="INCL/EXCL ANOT.INADIMPLENCIA"/>
    <x v="288"/>
    <x v="5"/>
    <s v="2025-11"/>
    <x v="12"/>
    <s v="POENATELA"/>
    <x v="310"/>
    <n v="1"/>
    <n v="1"/>
  </r>
  <r>
    <s v="023.637.987/0001-55"/>
    <x v="20"/>
    <s v="EXCLUSAO  ANOT.INADIMPLENCIA"/>
    <x v="288"/>
    <x v="5"/>
    <s v="2025-11"/>
    <x v="12"/>
    <s v="POENATELA"/>
    <x v="20"/>
    <n v="1"/>
    <n v="0"/>
  </r>
  <r>
    <s v="014.829.598/0001-30"/>
    <x v="31"/>
    <s v="INCLUSAO  ANOT.INADIMPLENCIA"/>
    <x v="288"/>
    <x v="9"/>
    <s v="2025-11"/>
    <x v="12"/>
    <s v="PRISCILA METZ"/>
    <x v="31"/>
    <n v="0"/>
    <n v="1"/>
  </r>
  <r>
    <s v="061.008.540/0001-06"/>
    <x v="287"/>
    <s v="INCLUSAO  ANOT.INADIMPLENCIA"/>
    <x v="288"/>
    <x v="29"/>
    <s v="2025-11"/>
    <x v="12"/>
    <s v="DALVA"/>
    <x v="287"/>
    <n v="0"/>
    <n v="1"/>
  </r>
  <r>
    <s v="004.126.524/0001-84"/>
    <x v="289"/>
    <s v="INCLUSAO  ANOT.INADIMPLENCIA"/>
    <x v="289"/>
    <x v="0"/>
    <s v="2025-11"/>
    <x v="12"/>
    <s v="ADMINISTRAÇÃO"/>
    <x v="289"/>
    <n v="0"/>
    <n v="1"/>
  </r>
  <r>
    <s v="046.674.060/0001-90"/>
    <x v="140"/>
    <s v="INCLUSAO  ANOT.INADIMPLENCIA"/>
    <x v="289"/>
    <x v="10"/>
    <s v="2025-11"/>
    <x v="12"/>
    <s v="ROGERIO "/>
    <x v="140"/>
    <n v="0"/>
    <n v="1"/>
  </r>
  <r>
    <s v="041.868.686/0001-14"/>
    <x v="299"/>
    <s v="INCLUSAO  ANOT.INADIMPLENCIA"/>
    <x v="289"/>
    <x v="38"/>
    <s v="2025-11"/>
    <x v="12"/>
    <s v="DAVI"/>
    <x v="299"/>
    <n v="0"/>
    <n v="1"/>
  </r>
  <r>
    <s v="041.388.946/0001-54"/>
    <x v="175"/>
    <s v="INCLUSAO  ANOT.INADIMPLENCIA"/>
    <x v="289"/>
    <x v="1"/>
    <s v="2025-11"/>
    <x v="12"/>
    <s v="CELIO PIMENTA"/>
    <x v="175"/>
    <n v="0"/>
    <n v="1"/>
  </r>
  <r>
    <s v="039.438.917/0001-08"/>
    <x v="273"/>
    <s v="INCLUSAO  ANOT.INADIMPLENCIA"/>
    <x v="289"/>
    <x v="10"/>
    <s v="2025-11"/>
    <x v="12"/>
    <s v="ROGERIO "/>
    <x v="273"/>
    <n v="0"/>
    <n v="1"/>
  </r>
  <r>
    <s v="037.830.104/0001-33"/>
    <x v="316"/>
    <s v="INCLUSAO  ANOT.INADIMPLENCIA"/>
    <x v="289"/>
    <x v="5"/>
    <s v="2025-11"/>
    <x v="12"/>
    <s v="POENATELA"/>
    <x v="316"/>
    <n v="0"/>
    <n v="1"/>
  </r>
  <r>
    <s v="035.298.171/0001-23"/>
    <x v="248"/>
    <s v="INCLUSAO  ANOT.INADIMPLENCIA"/>
    <x v="289"/>
    <x v="29"/>
    <s v="2025-11"/>
    <x v="12"/>
    <s v="DALVA"/>
    <x v="248"/>
    <n v="0"/>
    <n v="1"/>
  </r>
  <r>
    <s v="034.165.528/0001-32"/>
    <x v="256"/>
    <s v="INCLUSAO  ANOT.INADIMPLENCIA"/>
    <x v="289"/>
    <x v="27"/>
    <s v="2025-11"/>
    <x v="12"/>
    <s v="ALISSON DE SOUZA LIMA"/>
    <x v="256"/>
    <n v="0"/>
    <n v="1"/>
  </r>
  <r>
    <s v="030.642.101/0001-27"/>
    <x v="307"/>
    <s v="EXCLUSAO  ANOT.INADIMPLENCIA"/>
    <x v="289"/>
    <x v="10"/>
    <s v="2025-11"/>
    <x v="12"/>
    <s v="ROGERIO "/>
    <x v="307"/>
    <n v="1"/>
    <n v="0"/>
  </r>
  <r>
    <s v="030.030.642/0001-02"/>
    <x v="302"/>
    <s v="INCLUSAO  ANOT.INADIMPLENCIA"/>
    <x v="289"/>
    <x v="6"/>
    <s v="2025-11"/>
    <x v="12"/>
    <s v="RAFAEL PARISE"/>
    <x v="302"/>
    <n v="0"/>
    <n v="1"/>
  </r>
  <r>
    <s v="028.556.973/0001-20"/>
    <x v="118"/>
    <s v="INCL/EXCL ANOT.INADIMPLENCIA"/>
    <x v="289"/>
    <x v="1"/>
    <s v="2025-11"/>
    <x v="12"/>
    <s v="CELIO PIMENTA"/>
    <x v="118"/>
    <n v="1"/>
    <n v="1"/>
  </r>
  <r>
    <s v="028.511.223/0001-32"/>
    <x v="189"/>
    <s v="INCLUSAO  ANOT.INADIMPLENCIA"/>
    <x v="289"/>
    <x v="0"/>
    <s v="2025-11"/>
    <x v="12"/>
    <s v="ADMINISTRAÇÃO"/>
    <x v="189"/>
    <n v="0"/>
    <n v="1"/>
  </r>
  <r>
    <s v="028.393.466/0001-13"/>
    <x v="167"/>
    <s v="INCLUSAO  ANOT.INADIMPLENCIA"/>
    <x v="289"/>
    <x v="12"/>
    <s v="2025-11"/>
    <x v="12"/>
    <s v="PROSPECTAR"/>
    <x v="167"/>
    <n v="0"/>
    <n v="1"/>
  </r>
  <r>
    <s v="027.180.131/0001-54"/>
    <x v="188"/>
    <s v="INCL/EXCL ANOT.INADIMPLENCIA"/>
    <x v="289"/>
    <x v="9"/>
    <s v="2025-11"/>
    <x v="12"/>
    <s v="PRISCILA METZ"/>
    <x v="188"/>
    <n v="1"/>
    <n v="1"/>
  </r>
  <r>
    <s v="023.007.673/0001-79"/>
    <x v="310"/>
    <s v="EXCLUSAO  ANOT.INADIMPLENCIA"/>
    <x v="289"/>
    <x v="5"/>
    <s v="2025-11"/>
    <x v="12"/>
    <s v="POENATELA"/>
    <x v="310"/>
    <n v="1"/>
    <n v="0"/>
  </r>
  <r>
    <s v="021.734.108/0001-88"/>
    <x v="41"/>
    <s v="INCLUSAO  ANOT.INADIMPLENCIA"/>
    <x v="289"/>
    <x v="0"/>
    <s v="2025-11"/>
    <x v="12"/>
    <s v="ADMINISTRAÇÃO"/>
    <x v="41"/>
    <n v="0"/>
    <n v="1"/>
  </r>
  <r>
    <s v="021.382.943/0001-04"/>
    <x v="205"/>
    <s v="EXCLUSAO  ANOT.INADIMPLENCIA"/>
    <x v="289"/>
    <x v="0"/>
    <s v="2025-11"/>
    <x v="12"/>
    <s v="ADMINISTRAÇÃO"/>
    <x v="205"/>
    <n v="1"/>
    <n v="0"/>
  </r>
  <r>
    <s v="016.772.642/0001-49"/>
    <x v="69"/>
    <s v="INCLUSAO  ANOT.INADIMPLENCIA"/>
    <x v="289"/>
    <x v="0"/>
    <s v="2025-11"/>
    <x v="12"/>
    <s v="ADMINISTRAÇÃO"/>
    <x v="69"/>
    <n v="0"/>
    <n v="1"/>
  </r>
  <r>
    <s v="014.829.598/0001-30"/>
    <x v="31"/>
    <s v="INCLUSAO  ANOT.INADIMPLENCIA"/>
    <x v="289"/>
    <x v="9"/>
    <s v="2025-11"/>
    <x v="12"/>
    <s v="PRISCILA METZ"/>
    <x v="31"/>
    <n v="0"/>
    <n v="1"/>
  </r>
  <r>
    <s v="013.285.987/0001-80"/>
    <x v="278"/>
    <s v="EXCLUSAO  ANOT.INADIMPLENCIA"/>
    <x v="289"/>
    <x v="0"/>
    <s v="2025-11"/>
    <x v="12"/>
    <s v="ADMINISTRAÇÃO"/>
    <x v="278"/>
    <n v="1"/>
    <n v="0"/>
  </r>
  <r>
    <s v="008.641.174/0001-45"/>
    <x v="295"/>
    <s v="INCLUSAO  ANOT.INADIMPLENCIA"/>
    <x v="289"/>
    <x v="5"/>
    <s v="2025-11"/>
    <x v="12"/>
    <s v="POENATELA"/>
    <x v="295"/>
    <n v="0"/>
    <n v="1"/>
  </r>
  <r>
    <s v="007.272.884/0001-82"/>
    <x v="276"/>
    <s v="INCLUSAO  ANOT.INADIMPLENCIA"/>
    <x v="289"/>
    <x v="10"/>
    <s v="2025-11"/>
    <x v="12"/>
    <s v="ROGERIO "/>
    <x v="276"/>
    <n v="0"/>
    <n v="1"/>
  </r>
  <r>
    <s v="047.635.671/0001-92"/>
    <x v="143"/>
    <s v="INCLUSAO  ANOT.INADIMPLENCIA"/>
    <x v="289"/>
    <x v="1"/>
    <s v="2025-11"/>
    <x v="12"/>
    <s v="CELIO PIMENTA"/>
    <x v="143"/>
    <n v="0"/>
    <n v="1"/>
  </r>
  <r>
    <s v="052.755.043/0001-80"/>
    <x v="237"/>
    <s v="INCLUSAO  ANOT.INADIMPLENCIA"/>
    <x v="289"/>
    <x v="3"/>
    <s v="2025-11"/>
    <x v="12"/>
    <s v="MARCUS VINICIUS "/>
    <x v="237"/>
    <n v="0"/>
    <n v="1"/>
  </r>
  <r>
    <s v="001.535.822/0001-30"/>
    <x v="170"/>
    <s v="INCLUSAO  ANOT.INADIMPLENCIA"/>
    <x v="290"/>
    <x v="12"/>
    <s v="2025-11"/>
    <x v="12"/>
    <s v="PROSPECTAR"/>
    <x v="170"/>
    <n v="0"/>
    <n v="1"/>
  </r>
  <r>
    <s v="007.272.884/0001-82"/>
    <x v="276"/>
    <s v="INCLUSAO  ANOT.INADIMPLENCIA"/>
    <x v="290"/>
    <x v="10"/>
    <s v="2025-11"/>
    <x v="12"/>
    <s v="ROGERIO "/>
    <x v="276"/>
    <n v="0"/>
    <n v="1"/>
  </r>
  <r>
    <s v="010.672.840/0001-54"/>
    <x v="228"/>
    <s v="EXCLUSAO  ANOT.INADIMPLENCIA"/>
    <x v="290"/>
    <x v="21"/>
    <s v="2025-11"/>
    <x v="12"/>
    <s v="CAIO"/>
    <x v="228"/>
    <n v="1"/>
    <n v="0"/>
  </r>
  <r>
    <s v="011.122.552/0001-99"/>
    <x v="59"/>
    <s v="EXCLUSAO  ANOT.INADIMPLENCIA"/>
    <x v="290"/>
    <x v="6"/>
    <s v="2025-11"/>
    <x v="12"/>
    <s v="RAFAEL PARISE"/>
    <x v="59"/>
    <n v="1"/>
    <n v="0"/>
  </r>
  <r>
    <s v="014.829.598/0001-30"/>
    <x v="31"/>
    <s v="INCL/EXCL ANOT.INADIMPLENCIA"/>
    <x v="290"/>
    <x v="9"/>
    <s v="2025-11"/>
    <x v="12"/>
    <s v="PRISCILA METZ"/>
    <x v="31"/>
    <n v="1"/>
    <n v="1"/>
  </r>
  <r>
    <s v="023.007.673/0001-79"/>
    <x v="310"/>
    <s v="INCLUSAO  ANOT.INADIMPLENCIA"/>
    <x v="290"/>
    <x v="5"/>
    <s v="2025-11"/>
    <x v="12"/>
    <s v="POENATELA"/>
    <x v="310"/>
    <n v="0"/>
    <n v="1"/>
  </r>
  <r>
    <s v="027.180.131/0001-54"/>
    <x v="188"/>
    <s v="INCLUSAO  ANOT.INADIMPLENCIA"/>
    <x v="290"/>
    <x v="9"/>
    <s v="2025-11"/>
    <x v="12"/>
    <s v="PRISCILA METZ"/>
    <x v="188"/>
    <n v="0"/>
    <n v="1"/>
  </r>
  <r>
    <s v="027.508.008/0001-10"/>
    <x v="216"/>
    <s v="EXCLUSAO  ANOT.INADIMPLENCIA"/>
    <x v="290"/>
    <x v="29"/>
    <s v="2025-11"/>
    <x v="12"/>
    <s v="DALVA"/>
    <x v="216"/>
    <n v="1"/>
    <n v="0"/>
  </r>
  <r>
    <s v="028.511.223/0001-32"/>
    <x v="189"/>
    <s v="EXCLUSAO  ANOT.INADIMPLENCIA"/>
    <x v="290"/>
    <x v="0"/>
    <s v="2025-11"/>
    <x v="12"/>
    <s v="ADMINISTRAÇÃO"/>
    <x v="189"/>
    <n v="1"/>
    <n v="0"/>
  </r>
  <r>
    <s v="033.803.691/0001-10"/>
    <x v="103"/>
    <s v="INCLUSAO  ANOT.INADIMPLENCIA"/>
    <x v="290"/>
    <x v="0"/>
    <s v="2025-11"/>
    <x v="12"/>
    <s v="ADMINISTRAÇÃO"/>
    <x v="103"/>
    <n v="0"/>
    <n v="1"/>
  </r>
  <r>
    <s v="034.165.528/0001-32"/>
    <x v="256"/>
    <s v="INCLUSAO  ANOT.INADIMPLENCIA"/>
    <x v="290"/>
    <x v="27"/>
    <s v="2025-11"/>
    <x v="12"/>
    <s v="ALISSON DE SOUZA LIMA"/>
    <x v="256"/>
    <n v="0"/>
    <n v="1"/>
  </r>
  <r>
    <s v="046.674.060/0001-90"/>
    <x v="140"/>
    <s v="INCLUSAO  ANOT.INADIMPLENCIA"/>
    <x v="290"/>
    <x v="10"/>
    <s v="2025-11"/>
    <x v="12"/>
    <s v="ROGERIO "/>
    <x v="140"/>
    <n v="0"/>
    <n v="1"/>
  </r>
  <r>
    <s v="047.635.671/0001-92"/>
    <x v="143"/>
    <s v="INCLUSAO  ANOT.INADIMPLENCIA"/>
    <x v="290"/>
    <x v="1"/>
    <s v="2025-11"/>
    <x v="12"/>
    <s v="CELIO PIMENTA"/>
    <x v="143"/>
    <n v="0"/>
    <n v="1"/>
  </r>
  <r>
    <s v="057.698.087/0001-30"/>
    <x v="229"/>
    <s v="EXCLUSAO  ANOT.INADIMPLENCIA"/>
    <x v="290"/>
    <x v="1"/>
    <s v="2025-11"/>
    <x v="12"/>
    <s v="CELIO PIMENTA"/>
    <x v="229"/>
    <n v="1"/>
    <n v="0"/>
  </r>
  <r>
    <s v="061.310.256/0001-90"/>
    <x v="317"/>
    <s v="INCLUSAO  ANOT.INADIMPLENCIA"/>
    <x v="290"/>
    <x v="16"/>
    <s v="2025-11"/>
    <x v="12"/>
    <s v="SACADO"/>
    <x v="317"/>
    <n v="0"/>
    <n v="1"/>
  </r>
  <r>
    <s v="003.590.360/0001-89"/>
    <x v="3"/>
    <s v="EXCLUSAO  ANOT.INADIMPLENCIA"/>
    <x v="291"/>
    <x v="1"/>
    <s v="2025-11"/>
    <x v="12"/>
    <s v="CELIO PIMENTA"/>
    <x v="3"/>
    <n v="1"/>
    <n v="0"/>
  </r>
  <r>
    <s v="008.641.174/0001-45"/>
    <x v="295"/>
    <s v="INCLUSAO  ANOT.INADIMPLENCIA"/>
    <x v="291"/>
    <x v="5"/>
    <s v="2025-11"/>
    <x v="12"/>
    <s v="POENATELA"/>
    <x v="295"/>
    <n v="0"/>
    <n v="1"/>
  </r>
  <r>
    <s v="012.520.929/0001-20"/>
    <x v="294"/>
    <s v="INCLUSAO  ANOT.INADIMPLENCIA"/>
    <x v="291"/>
    <x v="35"/>
    <s v="2025-11"/>
    <x v="12"/>
    <s v="VALERIA"/>
    <x v="294"/>
    <n v="0"/>
    <n v="1"/>
  </r>
  <r>
    <s v="014.829.598/0001-30"/>
    <x v="31"/>
    <s v="INCLUSAO  ANOT.INADIMPLENCIA"/>
    <x v="291"/>
    <x v="9"/>
    <s v="2025-11"/>
    <x v="12"/>
    <s v="PRISCILA METZ"/>
    <x v="31"/>
    <n v="0"/>
    <n v="1"/>
  </r>
  <r>
    <s v="016.772.642/0001-49"/>
    <x v="69"/>
    <s v="INCLUSAO  ANOT.INADIMPLENCIA"/>
    <x v="291"/>
    <x v="0"/>
    <s v="2025-11"/>
    <x v="12"/>
    <s v="ADMINISTRAÇÃO"/>
    <x v="69"/>
    <n v="0"/>
    <n v="1"/>
  </r>
  <r>
    <s v="021.382.943/0001-04"/>
    <x v="205"/>
    <s v="INCLUSAO  ANOT.INADIMPLENCIA"/>
    <x v="291"/>
    <x v="0"/>
    <s v="2025-11"/>
    <x v="12"/>
    <s v="ADMINISTRAÇÃO"/>
    <x v="205"/>
    <n v="0"/>
    <n v="1"/>
  </r>
  <r>
    <s v="028.511.223/0001-32"/>
    <x v="189"/>
    <s v="INCLUSAO  ANOT.INADIMPLENCIA"/>
    <x v="291"/>
    <x v="0"/>
    <s v="2025-11"/>
    <x v="12"/>
    <s v="ADMINISTRAÇÃO"/>
    <x v="189"/>
    <n v="0"/>
    <n v="1"/>
  </r>
  <r>
    <s v="028.514.938/0001-49"/>
    <x v="249"/>
    <s v="EXCLUSAO  ANOT.INADIMPLENCIA"/>
    <x v="291"/>
    <x v="6"/>
    <s v="2025-11"/>
    <x v="12"/>
    <s v="RAFAEL PARISE"/>
    <x v="249"/>
    <n v="1"/>
    <n v="0"/>
  </r>
  <r>
    <s v="029.246.128/0001-11"/>
    <x v="127"/>
    <s v="INCLUSAO  ANOT.INADIMPLENCIA"/>
    <x v="291"/>
    <x v="9"/>
    <s v="2025-11"/>
    <x v="12"/>
    <s v="PRISCILA METZ"/>
    <x v="127"/>
    <n v="0"/>
    <n v="1"/>
  </r>
  <r>
    <s v="030.030.642/0001-02"/>
    <x v="302"/>
    <s v="INCLUSAO  ANOT.INADIMPLENCIA"/>
    <x v="291"/>
    <x v="6"/>
    <s v="2025-11"/>
    <x v="12"/>
    <s v="RAFAEL PARISE"/>
    <x v="302"/>
    <n v="0"/>
    <n v="1"/>
  </r>
  <r>
    <s v="037.828.375/0001-54"/>
    <x v="39"/>
    <s v="EXCLUSAO  ANOT.INADIMPLENCIA"/>
    <x v="291"/>
    <x v="5"/>
    <s v="2025-11"/>
    <x v="12"/>
    <s v="POENATELA"/>
    <x v="39"/>
    <n v="1"/>
    <n v="0"/>
  </r>
  <r>
    <s v="055.466.241/0001-12"/>
    <x v="181"/>
    <s v="INCLUSAO  ANOT.INADIMPLENCIA"/>
    <x v="291"/>
    <x v="12"/>
    <s v="2025-11"/>
    <x v="12"/>
    <s v="PROSPECTAR"/>
    <x v="181"/>
    <n v="0"/>
    <n v="1"/>
  </r>
  <r>
    <s v="061.008.540/0001-06"/>
    <x v="287"/>
    <s v="INCLUSAO  ANOT.INADIMPLENCIA"/>
    <x v="291"/>
    <x v="29"/>
    <s v="2025-11"/>
    <x v="12"/>
    <s v="DALVA"/>
    <x v="287"/>
    <n v="0"/>
    <n v="1"/>
  </r>
  <r>
    <s v="004.126.524/0001-84"/>
    <x v="289"/>
    <s v="EXCLUSAO  ANOT.INADIMPLENCIA"/>
    <x v="292"/>
    <x v="0"/>
    <s v="2025-11"/>
    <x v="12"/>
    <s v="ADMINISTRAÇÃO"/>
    <x v="289"/>
    <n v="1"/>
    <n v="0"/>
  </r>
  <r>
    <s v="046.848.165/0001-19"/>
    <x v="271"/>
    <s v="INCLUSAO  ANOT.INADIMPLENCIA"/>
    <x v="292"/>
    <x v="11"/>
    <s v="2025-11"/>
    <x v="12"/>
    <s v="DIOGO AZEVEDO"/>
    <x v="271"/>
    <n v="0"/>
    <n v="1"/>
  </r>
  <r>
    <s v="046.674.060/0001-90"/>
    <x v="140"/>
    <s v="INCLUSAO  ANOT.INADIMPLENCIA"/>
    <x v="292"/>
    <x v="10"/>
    <s v="2025-11"/>
    <x v="12"/>
    <s v="ROGERIO "/>
    <x v="140"/>
    <n v="0"/>
    <n v="1"/>
  </r>
  <r>
    <s v="044.073.794/0001-99"/>
    <x v="280"/>
    <s v="INCL/EXCL ANOT.INADIMPLENCIA"/>
    <x v="292"/>
    <x v="27"/>
    <s v="2025-11"/>
    <x v="12"/>
    <s v="ALISSON DE SOUZA LIMA"/>
    <x v="280"/>
    <n v="1"/>
    <n v="1"/>
  </r>
  <r>
    <s v="043.515.558/0001-12"/>
    <x v="176"/>
    <s v="INCLUSAO  ANOT.INADIMPLENCIA"/>
    <x v="292"/>
    <x v="10"/>
    <s v="2025-11"/>
    <x v="12"/>
    <s v="ROGERIO "/>
    <x v="176"/>
    <n v="0"/>
    <n v="1"/>
  </r>
  <r>
    <s v="041.388.946/0001-54"/>
    <x v="175"/>
    <s v="INCLUSAO  ANOT.INADIMPLENCIA"/>
    <x v="292"/>
    <x v="1"/>
    <s v="2025-11"/>
    <x v="12"/>
    <s v="CELIO PIMENTA"/>
    <x v="175"/>
    <n v="0"/>
    <n v="1"/>
  </r>
  <r>
    <s v="039.438.917/0001-08"/>
    <x v="273"/>
    <s v="INCL/EXCL ANOT.INADIMPLENCIA"/>
    <x v="292"/>
    <x v="10"/>
    <s v="2025-11"/>
    <x v="12"/>
    <s v="ROGERIO "/>
    <x v="273"/>
    <n v="1"/>
    <n v="1"/>
  </r>
  <r>
    <s v="038.161.686/0001-75"/>
    <x v="275"/>
    <s v="INCLUSAO  ANOT.INADIMPLENCIA"/>
    <x v="292"/>
    <x v="0"/>
    <s v="2025-11"/>
    <x v="12"/>
    <s v="ADMINISTRAÇÃO"/>
    <x v="275"/>
    <n v="0"/>
    <n v="1"/>
  </r>
  <r>
    <s v="034.165.528/0001-32"/>
    <x v="256"/>
    <s v="INCLUSAO  ANOT.INADIMPLENCIA"/>
    <x v="292"/>
    <x v="27"/>
    <s v="2025-11"/>
    <x v="12"/>
    <s v="ALISSON DE SOUZA LIMA"/>
    <x v="256"/>
    <n v="0"/>
    <n v="1"/>
  </r>
  <r>
    <s v="032.677.058/0001-60"/>
    <x v="305"/>
    <s v="EXCLUSAO  ANOT.INADIMPLENCIA"/>
    <x v="292"/>
    <x v="21"/>
    <s v="2025-11"/>
    <x v="12"/>
    <s v="CAIO"/>
    <x v="305"/>
    <n v="1"/>
    <n v="0"/>
  </r>
  <r>
    <s v="030.030.642/0001-02"/>
    <x v="302"/>
    <s v="INCLUSAO  ANOT.INADIMPLENCIA"/>
    <x v="292"/>
    <x v="6"/>
    <s v="2025-11"/>
    <x v="12"/>
    <s v="RAFAEL PARISE"/>
    <x v="302"/>
    <n v="0"/>
    <n v="1"/>
  </r>
  <r>
    <s v="057.698.087/0001-30"/>
    <x v="229"/>
    <s v="INCLUSAO  ANOT.INADIMPLENCIA"/>
    <x v="292"/>
    <x v="1"/>
    <s v="2025-11"/>
    <x v="12"/>
    <s v="CELIO PIMENTA"/>
    <x v="229"/>
    <n v="0"/>
    <n v="1"/>
  </r>
  <r>
    <s v="029.795.190/0001-62"/>
    <x v="138"/>
    <s v="INCLUSAO  ANOT.INADIMPLENCIA"/>
    <x v="292"/>
    <x v="0"/>
    <s v="2025-11"/>
    <x v="12"/>
    <s v="ADMINISTRAÇÃO"/>
    <x v="138"/>
    <n v="0"/>
    <n v="1"/>
  </r>
  <r>
    <s v="028.511.223/0001-32"/>
    <x v="189"/>
    <s v="INCLUSAO  ANOT.INADIMPLENCIA"/>
    <x v="292"/>
    <x v="0"/>
    <s v="2025-11"/>
    <x v="12"/>
    <s v="ADMINISTRAÇÃO"/>
    <x v="189"/>
    <n v="0"/>
    <n v="1"/>
  </r>
  <r>
    <s v="027.180.131/0001-54"/>
    <x v="188"/>
    <s v="INCLUSAO  ANOT.INADIMPLENCIA"/>
    <x v="292"/>
    <x v="9"/>
    <s v="2025-11"/>
    <x v="12"/>
    <s v="PRISCILA METZ"/>
    <x v="188"/>
    <n v="0"/>
    <n v="1"/>
  </r>
  <r>
    <s v="025.094.292/0001-08"/>
    <x v="213"/>
    <s v="EXCLUSAO  ANOT.INADIMPLENCIA"/>
    <x v="292"/>
    <x v="12"/>
    <s v="2025-11"/>
    <x v="12"/>
    <s v="PROSPECTAR"/>
    <x v="213"/>
    <n v="1"/>
    <n v="0"/>
  </r>
  <r>
    <s v="023.007.673/0001-79"/>
    <x v="310"/>
    <s v="INCL/EXCL ANOT.INADIMPLENCIA"/>
    <x v="292"/>
    <x v="5"/>
    <s v="2025-11"/>
    <x v="12"/>
    <s v="POENATELA"/>
    <x v="310"/>
    <n v="1"/>
    <n v="1"/>
  </r>
  <r>
    <s v="021.734.108/0001-88"/>
    <x v="41"/>
    <s v="INCLUSAO  ANOT.INADIMPLENCIA"/>
    <x v="292"/>
    <x v="0"/>
    <s v="2025-11"/>
    <x v="12"/>
    <s v="ADMINISTRAÇÃO"/>
    <x v="41"/>
    <n v="0"/>
    <n v="1"/>
  </r>
  <r>
    <s v="016.757.535/0001-41"/>
    <x v="29"/>
    <s v="INCLUSAO  ANOT.INADIMPLENCIA"/>
    <x v="292"/>
    <x v="11"/>
    <s v="2025-11"/>
    <x v="12"/>
    <s v="DIOGO AZEVEDO"/>
    <x v="29"/>
    <n v="0"/>
    <n v="1"/>
  </r>
  <r>
    <s v="014.829.598/0001-30"/>
    <x v="31"/>
    <s v="INCLUSAO  ANOT.INADIMPLENCIA"/>
    <x v="292"/>
    <x v="9"/>
    <s v="2025-11"/>
    <x v="12"/>
    <s v="PRISCILA METZ"/>
    <x v="31"/>
    <n v="0"/>
    <n v="1"/>
  </r>
  <r>
    <s v="008.641.174/0001-45"/>
    <x v="295"/>
    <s v="INCLUSAO  ANOT.INADIMPLENCIA"/>
    <x v="292"/>
    <x v="5"/>
    <s v="2025-11"/>
    <x v="12"/>
    <s v="POENATELA"/>
    <x v="295"/>
    <n v="0"/>
    <n v="1"/>
  </r>
  <r>
    <s v="008.250.872/0001-10"/>
    <x v="121"/>
    <s v="INCLUSAO  ANOT.INADIMPLENCIA"/>
    <x v="292"/>
    <x v="6"/>
    <s v="2025-11"/>
    <x v="12"/>
    <s v="RAFAEL PARISE"/>
    <x v="121"/>
    <n v="0"/>
    <n v="1"/>
  </r>
  <r>
    <s v="007.272.884/0001-82"/>
    <x v="276"/>
    <s v="INCL/EXCL ANOT.INADIMPLENCIA"/>
    <x v="292"/>
    <x v="10"/>
    <s v="2025-11"/>
    <x v="12"/>
    <s v="ROGERIO "/>
    <x v="276"/>
    <n v="1"/>
    <n v="1"/>
  </r>
  <r>
    <s v="029.246.128/0001-11"/>
    <x v="127"/>
    <s v="EXCLUSAO  ANOT.INADIMPLENCIA"/>
    <x v="292"/>
    <x v="9"/>
    <s v="2025-11"/>
    <x v="12"/>
    <s v="PRISCILA METZ"/>
    <x v="127"/>
    <n v="1"/>
    <n v="0"/>
  </r>
  <r>
    <s v="061.008.540/0001-06"/>
    <x v="287"/>
    <s v="INCLUSAO  ANOT.INADIMPLENCIA"/>
    <x v="292"/>
    <x v="29"/>
    <s v="2025-11"/>
    <x v="12"/>
    <s v="DALVA"/>
    <x v="287"/>
    <n v="0"/>
    <n v="1"/>
  </r>
  <r>
    <s v="003.590.360/0001-89"/>
    <x v="3"/>
    <s v="INCLUSAO  ANOT.INADIMPLENCIA"/>
    <x v="293"/>
    <x v="1"/>
    <s v="2025-12"/>
    <x v="13"/>
    <s v="CELIO PIMENTA"/>
    <x v="3"/>
    <n v="0"/>
    <n v="1"/>
  </r>
  <r>
    <s v="029.795.190/0001-62"/>
    <x v="138"/>
    <s v="INCLUSAO  ANOT.INADIMPLENCIA"/>
    <x v="293"/>
    <x v="0"/>
    <s v="2025-12"/>
    <x v="13"/>
    <s v="ADMINISTRAÇÃO"/>
    <x v="138"/>
    <n v="0"/>
    <n v="1"/>
  </r>
  <r>
    <s v="030.030.642/0001-02"/>
    <x v="302"/>
    <s v="INCLUSAO  ANOT.INADIMPLENCIA"/>
    <x v="293"/>
    <x v="6"/>
    <s v="2025-12"/>
    <x v="13"/>
    <s v="RAFAEL PARISE"/>
    <x v="302"/>
    <n v="0"/>
    <n v="1"/>
  </r>
  <r>
    <s v="034.165.528/0001-32"/>
    <x v="256"/>
    <s v="INCL/EXCL ANOT.INADIMPLENCIA"/>
    <x v="293"/>
    <x v="27"/>
    <s v="2025-12"/>
    <x v="13"/>
    <s v="ALISSON DE SOUZA LIMA"/>
    <x v="256"/>
    <n v="1"/>
    <n v="1"/>
  </r>
  <r>
    <s v="036.726.274/0001-00"/>
    <x v="133"/>
    <s v="INCL/EXCL ANOT.INADIMPLENCIA"/>
    <x v="293"/>
    <x v="1"/>
    <s v="2025-12"/>
    <x v="13"/>
    <s v="CELIO PIMENTA"/>
    <x v="133"/>
    <n v="1"/>
    <n v="1"/>
  </r>
  <r>
    <s v="037.830.104/0001-33"/>
    <x v="316"/>
    <s v="EXCLUSAO  ANOT.INADIMPLENCIA"/>
    <x v="293"/>
    <x v="5"/>
    <s v="2025-12"/>
    <x v="13"/>
    <s v="POENATELA"/>
    <x v="316"/>
    <n v="1"/>
    <n v="0"/>
  </r>
  <r>
    <s v="039.438.917/0001-08"/>
    <x v="273"/>
    <s v="INCLUSAO  ANOT.INADIMPLENCIA"/>
    <x v="293"/>
    <x v="10"/>
    <s v="2025-12"/>
    <x v="13"/>
    <s v="ROGERIO "/>
    <x v="273"/>
    <n v="0"/>
    <n v="1"/>
  </r>
  <r>
    <s v="028.511.223/0001-32"/>
    <x v="189"/>
    <s v="INCLUSAO  ANOT.INADIMPLENCIA"/>
    <x v="293"/>
    <x v="0"/>
    <s v="2025-12"/>
    <x v="13"/>
    <s v="ADMINISTRAÇÃO"/>
    <x v="189"/>
    <n v="0"/>
    <n v="1"/>
  </r>
  <r>
    <s v="040.520.193/0001-26"/>
    <x v="266"/>
    <s v="INCLUSAO  ANOT.INADIMPLENCIA"/>
    <x v="293"/>
    <x v="6"/>
    <s v="2025-12"/>
    <x v="13"/>
    <s v="RAFAEL PARISE"/>
    <x v="266"/>
    <n v="0"/>
    <n v="1"/>
  </r>
  <r>
    <s v="044.126.379/0001-56"/>
    <x v="187"/>
    <s v="INCLUSAO  ANOT.INADIMPLENCIA"/>
    <x v="293"/>
    <x v="1"/>
    <s v="2025-12"/>
    <x v="13"/>
    <s v="CELIO PIMENTA"/>
    <x v="187"/>
    <n v="0"/>
    <n v="1"/>
  </r>
  <r>
    <s v="044.470.678/0001-03"/>
    <x v="203"/>
    <s v="INCL/EXCL ANOT.INADIMPLENCIA"/>
    <x v="293"/>
    <x v="9"/>
    <s v="2025-12"/>
    <x v="13"/>
    <s v="PRISCILA METZ"/>
    <x v="203"/>
    <n v="1"/>
    <n v="1"/>
  </r>
  <r>
    <s v="046.674.060/0001-90"/>
    <x v="140"/>
    <s v="INCLUSAO  ANOT.INADIMPLENCIA"/>
    <x v="293"/>
    <x v="10"/>
    <s v="2025-12"/>
    <x v="13"/>
    <s v="ROGERIO "/>
    <x v="140"/>
    <n v="0"/>
    <n v="1"/>
  </r>
  <r>
    <s v="046.848.165/0001-19"/>
    <x v="271"/>
    <s v="INCLUSAO  ANOT.INADIMPLENCIA"/>
    <x v="293"/>
    <x v="11"/>
    <s v="2025-12"/>
    <x v="13"/>
    <s v="DIOGO AZEVEDO"/>
    <x v="271"/>
    <n v="0"/>
    <n v="1"/>
  </r>
  <r>
    <s v="047.635.671/0001-92"/>
    <x v="143"/>
    <s v="INCLUSAO  ANOT.INADIMPLENCIA"/>
    <x v="293"/>
    <x v="1"/>
    <s v="2025-12"/>
    <x v="13"/>
    <s v="CELIO PIMENTA"/>
    <x v="143"/>
    <n v="0"/>
    <n v="1"/>
  </r>
  <r>
    <s v="051.980.425/0001-45"/>
    <x v="173"/>
    <s v="INCLUSAO  ANOT.INADIMPLENCIA"/>
    <x v="293"/>
    <x v="10"/>
    <s v="2025-12"/>
    <x v="13"/>
    <s v="ROGERIO "/>
    <x v="173"/>
    <n v="0"/>
    <n v="1"/>
  </r>
  <r>
    <s v="044.073.794/0001-99"/>
    <x v="280"/>
    <s v="EXCLUSAO  ANOT.INADIMPLENCIA"/>
    <x v="293"/>
    <x v="27"/>
    <s v="2025-12"/>
    <x v="13"/>
    <s v="ALISSON DE SOUZA LIMA"/>
    <x v="280"/>
    <n v="1"/>
    <n v="0"/>
  </r>
  <r>
    <s v="055.466.241/0001-12"/>
    <x v="181"/>
    <s v="INCLUSAO  ANOT.INADIMPLENCIA"/>
    <x v="293"/>
    <x v="12"/>
    <s v="2025-12"/>
    <x v="13"/>
    <s v="PROSPECTAR"/>
    <x v="181"/>
    <n v="0"/>
    <n v="1"/>
  </r>
  <r>
    <s v="028.393.466/0001-13"/>
    <x v="167"/>
    <s v="INCL/EXCL ANOT.INADIMPLENCIA"/>
    <x v="293"/>
    <x v="12"/>
    <s v="2025-12"/>
    <x v="13"/>
    <s v="PROSPECTAR"/>
    <x v="167"/>
    <n v="1"/>
    <n v="1"/>
  </r>
  <r>
    <s v="025.788.035/0001-68"/>
    <x v="303"/>
    <s v="EXCLUSAO  ANOT.INADIMPLENCIA"/>
    <x v="293"/>
    <x v="31"/>
    <s v="2025-12"/>
    <x v="13"/>
    <s v="TIAGO NEVES"/>
    <x v="303"/>
    <n v="1"/>
    <n v="0"/>
  </r>
  <r>
    <s v="005.363.690/0001-67"/>
    <x v="90"/>
    <s v="INCLUSAO  ANOT.INADIMPLENCIA"/>
    <x v="293"/>
    <x v="12"/>
    <s v="2025-12"/>
    <x v="13"/>
    <s v="PROSPECTAR"/>
    <x v="90"/>
    <n v="0"/>
    <n v="1"/>
  </r>
  <r>
    <s v="007.272.884/0001-82"/>
    <x v="276"/>
    <s v="INCLUSAO  ANOT.INADIMPLENCIA"/>
    <x v="293"/>
    <x v="10"/>
    <s v="2025-12"/>
    <x v="13"/>
    <s v="ROGERIO "/>
    <x v="276"/>
    <n v="0"/>
    <n v="1"/>
  </r>
  <r>
    <s v="008.250.872/0001-10"/>
    <x v="121"/>
    <s v="INCLUSAO  ANOT.INADIMPLENCIA"/>
    <x v="293"/>
    <x v="6"/>
    <s v="2025-12"/>
    <x v="13"/>
    <s v="RAFAEL PARISE"/>
    <x v="121"/>
    <n v="0"/>
    <n v="1"/>
  </r>
  <r>
    <s v="008.641.174/0001-45"/>
    <x v="295"/>
    <s v="INCLUSAO  ANOT.INADIMPLENCIA"/>
    <x v="293"/>
    <x v="5"/>
    <s v="2025-12"/>
    <x v="13"/>
    <s v="POENATELA"/>
    <x v="295"/>
    <n v="0"/>
    <n v="1"/>
  </r>
  <r>
    <s v="014.829.598/0001-30"/>
    <x v="31"/>
    <s v="INCL/EXCL ANOT.INADIMPLENCIA"/>
    <x v="293"/>
    <x v="9"/>
    <s v="2025-12"/>
    <x v="13"/>
    <s v="PRISCILA METZ"/>
    <x v="31"/>
    <n v="1"/>
    <n v="1"/>
  </r>
  <r>
    <s v="016.743.404/0001-05"/>
    <x v="264"/>
    <s v="INCLUSAO  ANOT.INADIMPLENCIA"/>
    <x v="293"/>
    <x v="29"/>
    <s v="2025-12"/>
    <x v="13"/>
    <s v="DALVA"/>
    <x v="264"/>
    <n v="0"/>
    <n v="1"/>
  </r>
  <r>
    <s v="027.180.131/0001-54"/>
    <x v="188"/>
    <s v="INCLUSAO  ANOT.INADIMPLENCIA"/>
    <x v="293"/>
    <x v="9"/>
    <s v="2025-12"/>
    <x v="13"/>
    <s v="PRISCILA METZ"/>
    <x v="188"/>
    <n v="0"/>
    <n v="1"/>
  </r>
  <r>
    <s v="016.772.642/0001-49"/>
    <x v="69"/>
    <s v="INCLUSAO  ANOT.INADIMPLENCIA"/>
    <x v="293"/>
    <x v="0"/>
    <s v="2025-12"/>
    <x v="13"/>
    <s v="ADMINISTRAÇÃO"/>
    <x v="69"/>
    <n v="0"/>
    <n v="1"/>
  </r>
  <r>
    <s v="018.608.055/0001-44"/>
    <x v="131"/>
    <s v="EXCLUSAO  ANOT.INADIMPLENCIA"/>
    <x v="293"/>
    <x v="3"/>
    <s v="2025-12"/>
    <x v="13"/>
    <s v="MARCUS VINICIUS "/>
    <x v="131"/>
    <n v="1"/>
    <n v="0"/>
  </r>
  <r>
    <s v="021.382.943/0001-04"/>
    <x v="205"/>
    <s v="INCL/EXCL ANOT.INADIMPLENCIA"/>
    <x v="293"/>
    <x v="0"/>
    <s v="2025-12"/>
    <x v="13"/>
    <s v="ADMINISTRAÇÃO"/>
    <x v="205"/>
    <n v="1"/>
    <n v="1"/>
  </r>
  <r>
    <s v="021.458.691/0001-41"/>
    <x v="223"/>
    <s v="INCLUSAO  ANOT.INADIMPLENCIA"/>
    <x v="293"/>
    <x v="26"/>
    <s v="2025-12"/>
    <x v="13"/>
    <s v="ANTECIPA"/>
    <x v="223"/>
    <n v="0"/>
    <n v="1"/>
  </r>
  <r>
    <s v="023.637.987/0001-55"/>
    <x v="20"/>
    <s v="EXCLUSAO  ANOT.INADIMPLENCIA"/>
    <x v="293"/>
    <x v="5"/>
    <s v="2025-12"/>
    <x v="13"/>
    <s v="POENATELA"/>
    <x v="20"/>
    <n v="1"/>
    <n v="0"/>
  </r>
  <r>
    <s v="023.768.603/0001-33"/>
    <x v="308"/>
    <s v="INCL/EXCL ANOT.INADIMPLENCIA"/>
    <x v="293"/>
    <x v="21"/>
    <s v="2025-12"/>
    <x v="13"/>
    <s v="CAIO"/>
    <x v="308"/>
    <n v="1"/>
    <n v="1"/>
  </r>
  <r>
    <s v="025.094.292/0001-08"/>
    <x v="213"/>
    <s v="INCLUSAO  ANOT.INADIMPLENCIA"/>
    <x v="293"/>
    <x v="12"/>
    <s v="2025-12"/>
    <x v="13"/>
    <s v="PROSPECTAR"/>
    <x v="213"/>
    <n v="0"/>
    <n v="1"/>
  </r>
  <r>
    <s v="018.068.347/0001-31"/>
    <x v="315"/>
    <s v="INCLUSAO  ANOT.INADIMPLENCIA"/>
    <x v="293"/>
    <x v="10"/>
    <s v="2025-12"/>
    <x v="13"/>
    <s v="ROGERIO "/>
    <x v="315"/>
    <n v="0"/>
    <n v="1"/>
  </r>
  <r>
    <s v="071.350.797/0001-03"/>
    <x v="48"/>
    <s v="EXCLUSAO  ANOT.INADIMPLENCIA"/>
    <x v="293"/>
    <x v="10"/>
    <s v="2025-12"/>
    <x v="13"/>
    <s v="ROGERIO "/>
    <x v="48"/>
    <n v="1"/>
    <n v="0"/>
  </r>
  <r>
    <s v="005.363.690/0001-67"/>
    <x v="90"/>
    <s v="EXCLUSAO  ANOT.INADIMPLENCIA"/>
    <x v="294"/>
    <x v="12"/>
    <s v="2025-12"/>
    <x v="13"/>
    <s v="PROSPECTAR"/>
    <x v="90"/>
    <n v="1"/>
    <n v="0"/>
  </r>
  <r>
    <s v="007.272.884/0001-82"/>
    <x v="276"/>
    <s v="INCLUSAO  ANOT.INADIMPLENCIA"/>
    <x v="294"/>
    <x v="10"/>
    <s v="2025-12"/>
    <x v="13"/>
    <s v="ROGERIO "/>
    <x v="276"/>
    <n v="0"/>
    <n v="1"/>
  </r>
  <r>
    <s v="014.829.598/0001-30"/>
    <x v="31"/>
    <s v="INCL/EXCL ANOT.INADIMPLENCIA"/>
    <x v="294"/>
    <x v="9"/>
    <s v="2025-12"/>
    <x v="13"/>
    <s v="PRISCILA METZ"/>
    <x v="31"/>
    <n v="1"/>
    <n v="1"/>
  </r>
  <r>
    <s v="018.608.055/0001-44"/>
    <x v="131"/>
    <s v="INCLUSAO  ANOT.INADIMPLENCIA"/>
    <x v="294"/>
    <x v="3"/>
    <s v="2025-12"/>
    <x v="13"/>
    <s v="MARCUS VINICIUS "/>
    <x v="131"/>
    <n v="0"/>
    <n v="1"/>
  </r>
  <r>
    <s v="021.382.943/0001-04"/>
    <x v="205"/>
    <s v="EXCLUSAO  ANOT.INADIMPLENCIA"/>
    <x v="294"/>
    <x v="0"/>
    <s v="2025-12"/>
    <x v="13"/>
    <s v="ADMINISTRAÇÃO"/>
    <x v="205"/>
    <n v="1"/>
    <n v="0"/>
  </r>
  <r>
    <s v="023.007.673/0001-79"/>
    <x v="310"/>
    <s v="EXCLUSAO  ANOT.INADIMPLENCIA"/>
    <x v="294"/>
    <x v="5"/>
    <s v="2025-12"/>
    <x v="13"/>
    <s v="POENATELA"/>
    <x v="310"/>
    <n v="1"/>
    <n v="0"/>
  </r>
  <r>
    <s v="028.511.223/0001-32"/>
    <x v="189"/>
    <s v="INCL/EXCL ANOT.INADIMPLENCIA"/>
    <x v="294"/>
    <x v="0"/>
    <s v="2025-12"/>
    <x v="13"/>
    <s v="ADMINISTRAÇÃO"/>
    <x v="189"/>
    <n v="1"/>
    <n v="1"/>
  </r>
  <r>
    <s v="030.030.642/0001-02"/>
    <x v="302"/>
    <s v="INCLUSAO  ANOT.INADIMPLENCIA"/>
    <x v="294"/>
    <x v="6"/>
    <s v="2025-12"/>
    <x v="13"/>
    <s v="RAFAEL PARISE"/>
    <x v="302"/>
    <n v="0"/>
    <n v="1"/>
  </r>
  <r>
    <s v="032.677.058/0001-60"/>
    <x v="305"/>
    <s v="EXCLUSAO  ANOT.INADIMPLENCIA"/>
    <x v="294"/>
    <x v="21"/>
    <s v="2025-12"/>
    <x v="13"/>
    <s v="CAIO"/>
    <x v="305"/>
    <n v="1"/>
    <n v="0"/>
  </r>
  <r>
    <s v="034.165.528/0001-32"/>
    <x v="256"/>
    <s v="INCL/EXCL ANOT.INADIMPLENCIA"/>
    <x v="294"/>
    <x v="27"/>
    <s v="2025-12"/>
    <x v="13"/>
    <s v="ALISSON DE SOUZA LIMA"/>
    <x v="256"/>
    <n v="1"/>
    <n v="1"/>
  </r>
  <r>
    <s v="039.438.917/0001-08"/>
    <x v="273"/>
    <s v="INCLUSAO  ANOT.INADIMPLENCIA"/>
    <x v="294"/>
    <x v="10"/>
    <s v="2025-12"/>
    <x v="13"/>
    <s v="ROGERIO "/>
    <x v="273"/>
    <n v="0"/>
    <n v="1"/>
  </r>
  <r>
    <s v="043.515.558/0001-12"/>
    <x v="176"/>
    <s v="INCLUSAO  ANOT.INADIMPLENCIA"/>
    <x v="294"/>
    <x v="10"/>
    <s v="2025-12"/>
    <x v="13"/>
    <s v="ROGERIO "/>
    <x v="176"/>
    <n v="0"/>
    <n v="1"/>
  </r>
  <r>
    <s v="003.590.360/0001-89"/>
    <x v="3"/>
    <s v="INCLUSAO  ANOT.INADIMPLENCIA"/>
    <x v="295"/>
    <x v="1"/>
    <s v="2025-12"/>
    <x v="13"/>
    <s v="CELIO PIMENTA"/>
    <x v="3"/>
    <n v="0"/>
    <n v="1"/>
  </r>
  <r>
    <s v="051.980.425/0001-45"/>
    <x v="173"/>
    <s v="INCLUSAO  ANOT.INADIMPLENCIA"/>
    <x v="295"/>
    <x v="10"/>
    <s v="2025-12"/>
    <x v="13"/>
    <s v="ROGERIO "/>
    <x v="173"/>
    <n v="0"/>
    <n v="1"/>
  </r>
  <r>
    <s v="047.635.671/0001-92"/>
    <x v="143"/>
    <s v="INCLUSAO  ANOT.INADIMPLENCIA"/>
    <x v="295"/>
    <x v="1"/>
    <s v="2025-12"/>
    <x v="13"/>
    <s v="CELIO PIMENTA"/>
    <x v="143"/>
    <n v="0"/>
    <n v="1"/>
  </r>
  <r>
    <s v="046.848.165/0001-19"/>
    <x v="271"/>
    <s v="INCLUSAO  ANOT.INADIMPLENCIA"/>
    <x v="295"/>
    <x v="11"/>
    <s v="2025-12"/>
    <x v="13"/>
    <s v="DIOGO AZEVEDO"/>
    <x v="271"/>
    <n v="0"/>
    <n v="1"/>
  </r>
  <r>
    <s v="046.674.060/0001-90"/>
    <x v="140"/>
    <s v="INCLUSAO  ANOT.INADIMPLENCIA"/>
    <x v="295"/>
    <x v="10"/>
    <s v="2025-12"/>
    <x v="13"/>
    <s v="ROGERIO "/>
    <x v="140"/>
    <n v="0"/>
    <n v="1"/>
  </r>
  <r>
    <s v="044.470.678/0001-03"/>
    <x v="203"/>
    <s v="INCLUSAO  ANOT.INADIMPLENCIA"/>
    <x v="295"/>
    <x v="9"/>
    <s v="2025-12"/>
    <x v="13"/>
    <s v="PRISCILA METZ"/>
    <x v="203"/>
    <n v="0"/>
    <n v="1"/>
  </r>
  <r>
    <s v="044.073.794/0001-99"/>
    <x v="280"/>
    <s v="INCLUSAO  ANOT.INADIMPLENCIA"/>
    <x v="295"/>
    <x v="27"/>
    <s v="2025-12"/>
    <x v="13"/>
    <s v="ALISSON DE SOUZA LIMA"/>
    <x v="280"/>
    <n v="0"/>
    <n v="1"/>
  </r>
  <r>
    <s v="040.520.193/0001-26"/>
    <x v="266"/>
    <s v="INCLUSAO  ANOT.INADIMPLENCIA"/>
    <x v="295"/>
    <x v="6"/>
    <s v="2025-12"/>
    <x v="13"/>
    <s v="RAFAEL PARISE"/>
    <x v="266"/>
    <n v="0"/>
    <n v="1"/>
  </r>
  <r>
    <s v="039.438.917/0001-08"/>
    <x v="273"/>
    <s v="INCLUSAO  ANOT.INADIMPLENCIA"/>
    <x v="295"/>
    <x v="10"/>
    <s v="2025-12"/>
    <x v="13"/>
    <s v="ROGERIO "/>
    <x v="273"/>
    <n v="0"/>
    <n v="1"/>
  </r>
  <r>
    <s v="038.161.686/0001-75"/>
    <x v="275"/>
    <s v="INCLUSAO  ANOT.INADIMPLENCIA"/>
    <x v="295"/>
    <x v="0"/>
    <s v="2025-12"/>
    <x v="13"/>
    <s v="ADMINISTRAÇÃO"/>
    <x v="275"/>
    <n v="0"/>
    <n v="1"/>
  </r>
  <r>
    <s v="034.165.528/0001-32"/>
    <x v="256"/>
    <s v="INCLUSAO  ANOT.INADIMPLENCIA"/>
    <x v="295"/>
    <x v="27"/>
    <s v="2025-12"/>
    <x v="13"/>
    <s v="ALISSON DE SOUZA LIMA"/>
    <x v="256"/>
    <n v="0"/>
    <n v="1"/>
  </r>
  <r>
    <s v="033.028.017/0001-06"/>
    <x v="260"/>
    <s v="EXCLUSAO  ANOT.INADIMPLENCIA"/>
    <x v="295"/>
    <x v="31"/>
    <s v="2025-12"/>
    <x v="13"/>
    <s v="TIAGO NEVES"/>
    <x v="260"/>
    <n v="1"/>
    <n v="0"/>
  </r>
  <r>
    <s v="032.213.847/0001-40"/>
    <x v="198"/>
    <s v="EXCLUSAO  ANOT.INADIMPLENCIA"/>
    <x v="295"/>
    <x v="9"/>
    <s v="2025-12"/>
    <x v="13"/>
    <s v="PRISCILA METZ"/>
    <x v="198"/>
    <n v="1"/>
    <n v="0"/>
  </r>
  <r>
    <s v="043.515.558/0001-12"/>
    <x v="176"/>
    <s v="INCLUSAO  ANOT.INADIMPLENCIA"/>
    <x v="295"/>
    <x v="10"/>
    <s v="2025-12"/>
    <x v="13"/>
    <s v="ROGERIO "/>
    <x v="176"/>
    <n v="0"/>
    <n v="1"/>
  </r>
  <r>
    <s v="030.030.642/0001-02"/>
    <x v="302"/>
    <s v="INCLUSAO  ANOT.INADIMPLENCIA"/>
    <x v="295"/>
    <x v="6"/>
    <s v="2025-12"/>
    <x v="13"/>
    <s v="RAFAEL PARISE"/>
    <x v="302"/>
    <n v="0"/>
    <n v="1"/>
  </r>
  <r>
    <s v="030.646.968/0001-50"/>
    <x v="296"/>
    <s v="INCLUSAO  ANOT.INADIMPLENCIA"/>
    <x v="295"/>
    <x v="10"/>
    <s v="2025-12"/>
    <x v="13"/>
    <s v="ROGERIO "/>
    <x v="296"/>
    <n v="0"/>
    <n v="1"/>
  </r>
  <r>
    <s v="007.272.884/0001-82"/>
    <x v="276"/>
    <s v="INCLUSAO  ANOT.INADIMPLENCIA"/>
    <x v="295"/>
    <x v="10"/>
    <s v="2025-12"/>
    <x v="13"/>
    <s v="ROGERIO "/>
    <x v="276"/>
    <n v="0"/>
    <n v="1"/>
  </r>
  <r>
    <s v="007.345.063/0001-29"/>
    <x v="306"/>
    <s v="INCLUSAO  ANOT.INADIMPLENCIA"/>
    <x v="295"/>
    <x v="5"/>
    <s v="2025-12"/>
    <x v="13"/>
    <s v="POENATELA"/>
    <x v="306"/>
    <n v="0"/>
    <n v="1"/>
  </r>
  <r>
    <s v="008.641.174/0001-45"/>
    <x v="295"/>
    <s v="INCLUSAO  ANOT.INADIMPLENCIA"/>
    <x v="295"/>
    <x v="5"/>
    <s v="2025-12"/>
    <x v="13"/>
    <s v="POENATELA"/>
    <x v="295"/>
    <n v="0"/>
    <n v="1"/>
  </r>
  <r>
    <s v="014.829.598/0001-30"/>
    <x v="31"/>
    <s v="INCLUSAO  ANOT.INADIMPLENCIA"/>
    <x v="295"/>
    <x v="9"/>
    <s v="2025-12"/>
    <x v="13"/>
    <s v="PRISCILA METZ"/>
    <x v="31"/>
    <n v="0"/>
    <n v="1"/>
  </r>
  <r>
    <s v="016.772.642/0001-49"/>
    <x v="69"/>
    <s v="INCLUSAO  ANOT.INADIMPLENCIA"/>
    <x v="295"/>
    <x v="0"/>
    <s v="2025-12"/>
    <x v="13"/>
    <s v="ADMINISTRAÇÃO"/>
    <x v="69"/>
    <n v="0"/>
    <n v="1"/>
  </r>
  <r>
    <s v="012.520.929/0001-20"/>
    <x v="294"/>
    <s v="INCLUSAO  ANOT.INADIMPLENCIA"/>
    <x v="295"/>
    <x v="35"/>
    <s v="2025-12"/>
    <x v="13"/>
    <s v="VALERIA"/>
    <x v="294"/>
    <n v="0"/>
    <n v="1"/>
  </r>
  <r>
    <s v="023.007.673/0001-79"/>
    <x v="310"/>
    <s v="INCLUSAO  ANOT.INADIMPLENCIA"/>
    <x v="295"/>
    <x v="5"/>
    <s v="2025-12"/>
    <x v="13"/>
    <s v="POENATELA"/>
    <x v="310"/>
    <n v="0"/>
    <n v="1"/>
  </r>
  <r>
    <s v="023.768.603/0001-33"/>
    <x v="308"/>
    <s v="EXCLUSAO  ANOT.INADIMPLENCIA"/>
    <x v="295"/>
    <x v="21"/>
    <s v="2025-12"/>
    <x v="13"/>
    <s v="CAIO"/>
    <x v="308"/>
    <n v="1"/>
    <n v="0"/>
  </r>
  <r>
    <s v="027.180.131/0001-54"/>
    <x v="188"/>
    <s v="INCLUSAO  ANOT.INADIMPLENCIA"/>
    <x v="295"/>
    <x v="9"/>
    <s v="2025-12"/>
    <x v="13"/>
    <s v="PRISCILA METZ"/>
    <x v="188"/>
    <n v="0"/>
    <n v="1"/>
  </r>
  <r>
    <s v="028.514.938/0001-49"/>
    <x v="249"/>
    <s v="EXCLUSAO  ANOT.INADIMPLENCIA"/>
    <x v="295"/>
    <x v="6"/>
    <s v="2025-12"/>
    <x v="13"/>
    <s v="RAFAEL PARISE"/>
    <x v="249"/>
    <n v="1"/>
    <n v="0"/>
  </r>
  <r>
    <s v="029.795.190/0001-62"/>
    <x v="138"/>
    <s v="INCLUSAO  ANOT.INADIMPLENCIA"/>
    <x v="295"/>
    <x v="0"/>
    <s v="2025-12"/>
    <x v="13"/>
    <s v="ADMINISTRAÇÃO"/>
    <x v="138"/>
    <n v="0"/>
    <n v="1"/>
  </r>
  <r>
    <s v="037.828.375/0001-54"/>
    <x v="39"/>
    <s v="EXCLUSAO  ANOT.INADIMPLENCIA"/>
    <x v="296"/>
    <x v="5"/>
    <s v="2025-12"/>
    <x v="14"/>
    <s v="POENATELA"/>
    <x v="39"/>
    <n v="1"/>
    <n v="0"/>
  </r>
  <r>
    <s v="032.213.847/0001-40"/>
    <x v="198"/>
    <s v="INCL/EXCL ANOT.INADIMPLENCIA"/>
    <x v="296"/>
    <x v="9"/>
    <s v="2025-12"/>
    <x v="14"/>
    <s v="PRISCILA METZ"/>
    <x v="198"/>
    <n v="1"/>
    <n v="1"/>
  </r>
  <r>
    <s v="033.028.017/0001-06"/>
    <x v="260"/>
    <s v="EXCLUSAO  ANOT.INADIMPLENCIA"/>
    <x v="296"/>
    <x v="31"/>
    <s v="2025-12"/>
    <x v="14"/>
    <s v="TIAGO NEVES"/>
    <x v="260"/>
    <n v="1"/>
    <n v="0"/>
  </r>
  <r>
    <s v="034.165.528/0001-32"/>
    <x v="256"/>
    <s v="INCLUSAO  ANOT.INADIMPLENCIA"/>
    <x v="296"/>
    <x v="27"/>
    <s v="2025-12"/>
    <x v="14"/>
    <s v="ALISSON DE SOUZA LIMA"/>
    <x v="256"/>
    <n v="0"/>
    <n v="1"/>
  </r>
  <r>
    <s v="030.030.642/0001-02"/>
    <x v="302"/>
    <s v="INCLUSAO  ANOT.INADIMPLENCIA"/>
    <x v="296"/>
    <x v="6"/>
    <s v="2025-12"/>
    <x v="14"/>
    <s v="RAFAEL PARISE"/>
    <x v="302"/>
    <n v="0"/>
    <n v="1"/>
  </r>
  <r>
    <s v="038.007.528/0001-65"/>
    <x v="277"/>
    <s v="INCLUSAO  ANOT.INADIMPLENCIA"/>
    <x v="296"/>
    <x v="9"/>
    <s v="2025-12"/>
    <x v="14"/>
    <s v="PRISCILA METZ"/>
    <x v="277"/>
    <n v="0"/>
    <n v="1"/>
  </r>
  <r>
    <s v="052.755.043/0001-80"/>
    <x v="237"/>
    <s v="INCLUSAO  ANOT.INADIMPLENCIA"/>
    <x v="296"/>
    <x v="3"/>
    <s v="2025-12"/>
    <x v="14"/>
    <s v="MARCUS VINICIUS "/>
    <x v="237"/>
    <n v="0"/>
    <n v="1"/>
  </r>
  <r>
    <s v="039.438.917/0001-08"/>
    <x v="273"/>
    <s v="INCL/EXCL ANOT.INADIMPLENCIA"/>
    <x v="296"/>
    <x v="10"/>
    <s v="2025-12"/>
    <x v="14"/>
    <s v="ROGERIO "/>
    <x v="273"/>
    <n v="1"/>
    <n v="1"/>
  </r>
  <r>
    <s v="039.535.425/0001-30"/>
    <x v="120"/>
    <s v="INCLUSAO  ANOT.INADIMPLENCIA"/>
    <x v="296"/>
    <x v="6"/>
    <s v="2025-12"/>
    <x v="14"/>
    <s v="RAFAEL PARISE"/>
    <x v="120"/>
    <n v="0"/>
    <n v="1"/>
  </r>
  <r>
    <s v="044.470.678/0001-03"/>
    <x v="203"/>
    <s v="INCLUSAO  ANOT.INADIMPLENCIA"/>
    <x v="296"/>
    <x v="9"/>
    <s v="2025-12"/>
    <x v="14"/>
    <s v="PRISCILA METZ"/>
    <x v="203"/>
    <n v="0"/>
    <n v="1"/>
  </r>
  <r>
    <s v="046.848.165/0001-19"/>
    <x v="271"/>
    <s v="INCLUSAO  ANOT.INADIMPLENCIA"/>
    <x v="296"/>
    <x v="11"/>
    <s v="2025-12"/>
    <x v="14"/>
    <s v="DIOGO AZEVEDO"/>
    <x v="271"/>
    <n v="0"/>
    <n v="1"/>
  </r>
  <r>
    <s v="051.980.425/0001-45"/>
    <x v="173"/>
    <s v="INCLUSAO  ANOT.INADIMPLENCIA"/>
    <x v="296"/>
    <x v="10"/>
    <s v="2025-12"/>
    <x v="14"/>
    <s v="ROGERIO "/>
    <x v="173"/>
    <n v="0"/>
    <n v="1"/>
  </r>
  <r>
    <s v="029.795.190/0001-62"/>
    <x v="138"/>
    <s v="INCLUSAO  ANOT.INADIMPLENCIA"/>
    <x v="296"/>
    <x v="0"/>
    <s v="2025-12"/>
    <x v="14"/>
    <s v="ADMINISTRAÇÃO"/>
    <x v="138"/>
    <n v="0"/>
    <n v="1"/>
  </r>
  <r>
    <s v="038.082.538/0001-65"/>
    <x v="79"/>
    <s v="INCLUSAO  ANOT.INADIMPLENCIA"/>
    <x v="296"/>
    <x v="0"/>
    <s v="2025-12"/>
    <x v="14"/>
    <s v="ADMINISTRAÇÃO"/>
    <x v="79"/>
    <n v="0"/>
    <n v="1"/>
  </r>
  <r>
    <s v="028.511.223/0001-32"/>
    <x v="189"/>
    <s v="INCLUSAO  ANOT.INADIMPLENCIA"/>
    <x v="296"/>
    <x v="0"/>
    <s v="2025-12"/>
    <x v="14"/>
    <s v="ADMINISTRAÇÃO"/>
    <x v="189"/>
    <n v="0"/>
    <n v="1"/>
  </r>
  <r>
    <s v="007.272.884/0001-82"/>
    <x v="276"/>
    <s v="INCLUSAO  ANOT.INADIMPLENCIA"/>
    <x v="296"/>
    <x v="10"/>
    <s v="2025-12"/>
    <x v="14"/>
    <s v="ROGERIO "/>
    <x v="276"/>
    <n v="0"/>
    <n v="1"/>
  </r>
  <r>
    <s v="025.094.292/0001-08"/>
    <x v="213"/>
    <s v="INCLUSAO  ANOT.INADIMPLENCIA"/>
    <x v="296"/>
    <x v="12"/>
    <s v="2025-12"/>
    <x v="14"/>
    <s v="PROSPECTAR"/>
    <x v="213"/>
    <n v="0"/>
    <n v="1"/>
  </r>
  <r>
    <s v="003.590.360/0001-89"/>
    <x v="3"/>
    <s v="INCLUSAO  ANOT.INADIMPLENCIA"/>
    <x v="296"/>
    <x v="1"/>
    <s v="2025-12"/>
    <x v="14"/>
    <s v="CELIO PIMENTA"/>
    <x v="3"/>
    <n v="0"/>
    <n v="1"/>
  </r>
  <r>
    <s v="005.271.241/0001-99"/>
    <x v="318"/>
    <s v="EXCLUSAO  ANOT.INADIMPLENCIA"/>
    <x v="296"/>
    <x v="27"/>
    <s v="2025-12"/>
    <x v="14"/>
    <s v="ALISSON DE SOUZA LIMA"/>
    <x v="318"/>
    <n v="1"/>
    <n v="0"/>
  </r>
  <r>
    <s v="057.696.093/0001-58"/>
    <x v="206"/>
    <s v="INCLUSAO  ANOT.INADIMPLENCIA"/>
    <x v="296"/>
    <x v="1"/>
    <s v="2025-12"/>
    <x v="14"/>
    <s v="CELIO PIMENTA"/>
    <x v="206"/>
    <n v="0"/>
    <n v="1"/>
  </r>
  <r>
    <s v="007.561.436/0001-07"/>
    <x v="34"/>
    <s v="INCLUSAO  ANOT.INADIMPLENCIA"/>
    <x v="296"/>
    <x v="12"/>
    <s v="2025-12"/>
    <x v="14"/>
    <s v="PROSPECTAR"/>
    <x v="34"/>
    <n v="0"/>
    <n v="1"/>
  </r>
  <r>
    <s v="008.250.872/0001-10"/>
    <x v="121"/>
    <s v="INCLUSAO  ANOT.INADIMPLENCIA"/>
    <x v="296"/>
    <x v="6"/>
    <s v="2025-12"/>
    <x v="14"/>
    <s v="RAFAEL PARISE"/>
    <x v="121"/>
    <n v="0"/>
    <n v="1"/>
  </r>
  <r>
    <s v="008.641.174/0001-45"/>
    <x v="295"/>
    <s v="INCLUSAO  ANOT.INADIMPLENCIA"/>
    <x v="296"/>
    <x v="5"/>
    <s v="2025-12"/>
    <x v="14"/>
    <s v="POENATELA"/>
    <x v="295"/>
    <n v="0"/>
    <n v="1"/>
  </r>
  <r>
    <s v="027.180.131/0001-54"/>
    <x v="188"/>
    <s v="INCLUSAO  ANOT.INADIMPLENCIA"/>
    <x v="296"/>
    <x v="9"/>
    <s v="2025-12"/>
    <x v="14"/>
    <s v="PRISCILA METZ"/>
    <x v="188"/>
    <n v="0"/>
    <n v="1"/>
  </r>
  <r>
    <s v="011.122.552/0001-99"/>
    <x v="59"/>
    <s v="INCLUSAO  ANOT.INADIMPLENCIA"/>
    <x v="296"/>
    <x v="6"/>
    <s v="2025-12"/>
    <x v="14"/>
    <s v="RAFAEL PARISE"/>
    <x v="59"/>
    <n v="0"/>
    <n v="1"/>
  </r>
  <r>
    <s v="012.520.929/0001-20"/>
    <x v="294"/>
    <s v="EXCLUSAO  ANOT.INADIMPLENCIA"/>
    <x v="296"/>
    <x v="35"/>
    <s v="2025-12"/>
    <x v="14"/>
    <s v="VALERIA"/>
    <x v="294"/>
    <n v="1"/>
    <n v="0"/>
  </r>
  <r>
    <s v="014.829.598/0001-30"/>
    <x v="31"/>
    <s v="INCLUSAO  ANOT.INADIMPLENCIA"/>
    <x v="296"/>
    <x v="9"/>
    <s v="2025-12"/>
    <x v="14"/>
    <s v="PRISCILA METZ"/>
    <x v="31"/>
    <n v="0"/>
    <n v="1"/>
  </r>
  <r>
    <s v="016.772.642/0001-49"/>
    <x v="69"/>
    <s v="INCLUSAO  ANOT.INADIMPLENCIA"/>
    <x v="296"/>
    <x v="0"/>
    <s v="2025-12"/>
    <x v="14"/>
    <s v="ADMINISTRAÇÃO"/>
    <x v="69"/>
    <n v="0"/>
    <n v="1"/>
  </r>
  <r>
    <s v="021.382.943/0001-04"/>
    <x v="205"/>
    <s v="INCLUSAO  ANOT.INADIMPLENCIA"/>
    <x v="296"/>
    <x v="0"/>
    <s v="2025-12"/>
    <x v="14"/>
    <s v="ADMINISTRAÇÃO"/>
    <x v="205"/>
    <n v="0"/>
    <n v="1"/>
  </r>
  <r>
    <s v="022.998.836/0001-60"/>
    <x v="24"/>
    <s v="INCLUSAO  ANOT.INADIMPLENCIA"/>
    <x v="296"/>
    <x v="0"/>
    <s v="2025-12"/>
    <x v="14"/>
    <s v="ADMINISTRAÇÃO"/>
    <x v="24"/>
    <n v="0"/>
    <n v="1"/>
  </r>
  <r>
    <s v="023.637.987/0001-55"/>
    <x v="20"/>
    <s v="INCLUSAO  ANOT.INADIMPLENCIA"/>
    <x v="296"/>
    <x v="5"/>
    <s v="2025-12"/>
    <x v="14"/>
    <s v="POENATELA"/>
    <x v="20"/>
    <n v="0"/>
    <n v="1"/>
  </r>
  <r>
    <s v="012.503.608/0001-18"/>
    <x v="319"/>
    <s v="INCLUSAO  ANOT.INADIMPLENCIA"/>
    <x v="296"/>
    <x v="9"/>
    <s v="2025-12"/>
    <x v="14"/>
    <s v="PRISCILA METZ"/>
    <x v="319"/>
    <n v="0"/>
    <n v="1"/>
  </r>
  <r>
    <s v="057.698.087/0001-30"/>
    <x v="229"/>
    <s v="EXCLUSAO  ANOT.INADIMPLENCIA"/>
    <x v="296"/>
    <x v="1"/>
    <s v="2025-12"/>
    <x v="14"/>
    <s v="CELIO PIMENTA"/>
    <x v="229"/>
    <n v="1"/>
    <n v="0"/>
  </r>
  <r>
    <s v="000.482.073/0001-67"/>
    <x v="279"/>
    <s v="INCLUSAO  ANOT.INADIMPLENCIA"/>
    <x v="297"/>
    <x v="12"/>
    <s v="2025-12"/>
    <x v="14"/>
    <s v="PROSPECTAR"/>
    <x v="279"/>
    <n v="0"/>
    <n v="1"/>
  </r>
  <r>
    <s v="046.848.165/0001-19"/>
    <x v="271"/>
    <s v="INCLUSAO  ANOT.INADIMPLENCIA"/>
    <x v="297"/>
    <x v="11"/>
    <s v="2025-12"/>
    <x v="14"/>
    <s v="DIOGO AZEVEDO"/>
    <x v="271"/>
    <n v="0"/>
    <n v="1"/>
  </r>
  <r>
    <s v="046.674.060/0001-90"/>
    <x v="140"/>
    <s v="INCLUSAO  ANOT.INADIMPLENCIA"/>
    <x v="297"/>
    <x v="10"/>
    <s v="2025-12"/>
    <x v="14"/>
    <s v="ROGERIO "/>
    <x v="140"/>
    <n v="0"/>
    <n v="1"/>
  </r>
  <r>
    <s v="043.515.558/0001-12"/>
    <x v="176"/>
    <s v="INCLUSAO  ANOT.INADIMPLENCIA"/>
    <x v="297"/>
    <x v="10"/>
    <s v="2025-12"/>
    <x v="14"/>
    <s v="ROGERIO "/>
    <x v="176"/>
    <n v="0"/>
    <n v="1"/>
  </r>
  <r>
    <s v="039.438.917/0001-08"/>
    <x v="273"/>
    <s v="INCLUSAO  ANOT.INADIMPLENCIA"/>
    <x v="297"/>
    <x v="10"/>
    <s v="2025-12"/>
    <x v="14"/>
    <s v="ROGERIO "/>
    <x v="273"/>
    <n v="0"/>
    <n v="1"/>
  </r>
  <r>
    <s v="038.007.528/0001-65"/>
    <x v="277"/>
    <s v="INCLUSAO  ANOT.INADIMPLENCIA"/>
    <x v="297"/>
    <x v="9"/>
    <s v="2025-12"/>
    <x v="14"/>
    <s v="PRISCILA METZ"/>
    <x v="277"/>
    <n v="0"/>
    <n v="1"/>
  </r>
  <r>
    <s v="034.165.528/0001-32"/>
    <x v="256"/>
    <s v="INCLUSAO  ANOT.INADIMPLENCIA"/>
    <x v="297"/>
    <x v="27"/>
    <s v="2025-12"/>
    <x v="14"/>
    <s v="ALISSON DE SOUZA LIMA"/>
    <x v="256"/>
    <n v="0"/>
    <n v="1"/>
  </r>
  <r>
    <s v="030.642.101/0001-27"/>
    <x v="307"/>
    <s v="INCLUSAO  ANOT.INADIMPLENCIA"/>
    <x v="297"/>
    <x v="10"/>
    <s v="2025-12"/>
    <x v="14"/>
    <s v="ROGERIO "/>
    <x v="307"/>
    <n v="0"/>
    <n v="1"/>
  </r>
  <r>
    <s v="030.030.642/0001-02"/>
    <x v="302"/>
    <s v="INCLUSAO  ANOT.INADIMPLENCIA"/>
    <x v="297"/>
    <x v="6"/>
    <s v="2025-12"/>
    <x v="14"/>
    <s v="RAFAEL PARISE"/>
    <x v="302"/>
    <n v="0"/>
    <n v="1"/>
  </r>
  <r>
    <s v="028.556.973/0001-20"/>
    <x v="118"/>
    <s v="INCL/EXCL ANOT.INADIMPLENCIA"/>
    <x v="297"/>
    <x v="1"/>
    <s v="2025-12"/>
    <x v="14"/>
    <s v="CELIO PIMENTA"/>
    <x v="118"/>
    <n v="1"/>
    <n v="1"/>
  </r>
  <r>
    <s v="028.514.938/0001-49"/>
    <x v="249"/>
    <s v="INCLUSAO  ANOT.INADIMPLENCIA"/>
    <x v="297"/>
    <x v="6"/>
    <s v="2025-12"/>
    <x v="14"/>
    <s v="RAFAEL PARISE"/>
    <x v="249"/>
    <n v="0"/>
    <n v="1"/>
  </r>
  <r>
    <s v="028.511.223/0001-32"/>
    <x v="189"/>
    <s v="EXCLUSAO  ANOT.INADIMPLENCIA"/>
    <x v="297"/>
    <x v="0"/>
    <s v="2025-12"/>
    <x v="14"/>
    <s v="ADMINISTRAÇÃO"/>
    <x v="189"/>
    <n v="1"/>
    <n v="0"/>
  </r>
  <r>
    <s v="027.180.131/0001-54"/>
    <x v="188"/>
    <s v="INCLUSAO  ANOT.INADIMPLENCIA"/>
    <x v="297"/>
    <x v="9"/>
    <s v="2025-12"/>
    <x v="14"/>
    <s v="PRISCILA METZ"/>
    <x v="188"/>
    <n v="0"/>
    <n v="1"/>
  </r>
  <r>
    <s v="023.768.603/0001-33"/>
    <x v="308"/>
    <s v="EXCLUSAO  ANOT.INADIMPLENCIA"/>
    <x v="297"/>
    <x v="21"/>
    <s v="2025-12"/>
    <x v="14"/>
    <s v="CAIO"/>
    <x v="308"/>
    <n v="1"/>
    <n v="0"/>
  </r>
  <r>
    <s v="021.382.943/0001-04"/>
    <x v="205"/>
    <s v="INCLUSAO  ANOT.INADIMPLENCIA"/>
    <x v="297"/>
    <x v="0"/>
    <s v="2025-12"/>
    <x v="14"/>
    <s v="ADMINISTRAÇÃO"/>
    <x v="205"/>
    <n v="0"/>
    <n v="1"/>
  </r>
  <r>
    <s v="019.961.036/0001-60"/>
    <x v="262"/>
    <s v="INCLUSAO  ANOT.INADIMPLENCIA"/>
    <x v="297"/>
    <x v="36"/>
    <s v="2025-12"/>
    <x v="14"/>
    <s v="JJPH"/>
    <x v="262"/>
    <n v="0"/>
    <n v="1"/>
  </r>
  <r>
    <s v="016.772.642/0001-49"/>
    <x v="69"/>
    <s v="INCLUSAO  ANOT.INADIMPLENCIA"/>
    <x v="297"/>
    <x v="0"/>
    <s v="2025-12"/>
    <x v="14"/>
    <s v="ADMINISTRAÇÃO"/>
    <x v="69"/>
    <n v="0"/>
    <n v="1"/>
  </r>
  <r>
    <s v="014.829.598/0001-30"/>
    <x v="31"/>
    <s v="INCLUSAO  ANOT.INADIMPLENCIA"/>
    <x v="297"/>
    <x v="9"/>
    <s v="2025-12"/>
    <x v="14"/>
    <s v="PRISCILA METZ"/>
    <x v="31"/>
    <n v="0"/>
    <n v="1"/>
  </r>
  <r>
    <s v="012.520.929/0001-20"/>
    <x v="294"/>
    <s v="INCLUSAO  ANOT.INADIMPLENCIA"/>
    <x v="297"/>
    <x v="35"/>
    <s v="2025-12"/>
    <x v="14"/>
    <s v="VALERIA"/>
    <x v="294"/>
    <n v="0"/>
    <n v="1"/>
  </r>
  <r>
    <s v="012.503.608/0001-18"/>
    <x v="319"/>
    <s v="INCLUSAO  ANOT.INADIMPLENCIA"/>
    <x v="297"/>
    <x v="9"/>
    <s v="2025-12"/>
    <x v="14"/>
    <s v="PRISCILA METZ"/>
    <x v="319"/>
    <n v="0"/>
    <n v="1"/>
  </r>
  <r>
    <s v="011.122.552/0001-99"/>
    <x v="59"/>
    <s v="INCLUSAO  ANOT.INADIMPLENCIA"/>
    <x v="297"/>
    <x v="6"/>
    <s v="2025-12"/>
    <x v="14"/>
    <s v="RAFAEL PARISE"/>
    <x v="59"/>
    <n v="0"/>
    <n v="1"/>
  </r>
  <r>
    <s v="008.641.174/0001-45"/>
    <x v="295"/>
    <s v="INCLUSAO  ANOT.INADIMPLENCIA"/>
    <x v="297"/>
    <x v="5"/>
    <s v="2025-12"/>
    <x v="14"/>
    <s v="POENATELA"/>
    <x v="295"/>
    <n v="0"/>
    <n v="1"/>
  </r>
  <r>
    <s v="008.250.872/0001-10"/>
    <x v="121"/>
    <s v="EXCLUSAO  ANOT.INADIMPLENCIA"/>
    <x v="297"/>
    <x v="6"/>
    <s v="2025-12"/>
    <x v="14"/>
    <s v="RAFAEL PARISE"/>
    <x v="121"/>
    <n v="1"/>
    <n v="0"/>
  </r>
  <r>
    <s v="007.561.436/0001-07"/>
    <x v="34"/>
    <s v="INCLUSAO  ANOT.INADIMPLENCIA"/>
    <x v="297"/>
    <x v="12"/>
    <s v="2025-12"/>
    <x v="14"/>
    <s v="PROSPECTAR"/>
    <x v="34"/>
    <n v="0"/>
    <n v="1"/>
  </r>
  <r>
    <s v="007.345.063/0001-29"/>
    <x v="306"/>
    <s v="INCLUSAO  ANOT.INADIMPLENCIA"/>
    <x v="297"/>
    <x v="5"/>
    <s v="2025-12"/>
    <x v="14"/>
    <s v="POENATELA"/>
    <x v="306"/>
    <n v="0"/>
    <n v="1"/>
  </r>
  <r>
    <s v="007.272.884/0001-82"/>
    <x v="276"/>
    <s v="INCLUSAO  ANOT.INADIMPLENCIA"/>
    <x v="297"/>
    <x v="10"/>
    <s v="2025-12"/>
    <x v="14"/>
    <s v="ROGERIO "/>
    <x v="276"/>
    <n v="0"/>
    <n v="1"/>
  </r>
  <r>
    <s v="005.774.638/0001-01"/>
    <x v="197"/>
    <s v="INCLUSAO  ANOT.INADIMPLENCIA"/>
    <x v="297"/>
    <x v="21"/>
    <s v="2025-12"/>
    <x v="14"/>
    <s v="CAIO"/>
    <x v="197"/>
    <n v="0"/>
    <n v="1"/>
  </r>
  <r>
    <s v="005.136.389/0001-10"/>
    <x v="274"/>
    <s v="INCLUSAO  ANOT.INADIMPLENCIA"/>
    <x v="297"/>
    <x v="0"/>
    <s v="2025-12"/>
    <x v="14"/>
    <s v="ADMINISTRAÇÃO"/>
    <x v="274"/>
    <n v="0"/>
    <n v="1"/>
  </r>
  <r>
    <s v="004.646.495/0001-81"/>
    <x v="311"/>
    <s v="INCLUSAO  ANOT.INADIMPLENCIA"/>
    <x v="297"/>
    <x v="10"/>
    <s v="2025-12"/>
    <x v="14"/>
    <s v="ROGERIO "/>
    <x v="311"/>
    <n v="0"/>
    <n v="1"/>
  </r>
  <r>
    <s v="000.803.044/0001-50"/>
    <x v="45"/>
    <s v="INCLUSAO  ANOT.INADIMPLENCIA"/>
    <x v="297"/>
    <x v="0"/>
    <s v="2025-12"/>
    <x v="14"/>
    <s v="ADMINISTRAÇÃO"/>
    <x v="45"/>
    <n v="0"/>
    <n v="1"/>
  </r>
  <r>
    <s v="047.635.671/0001-92"/>
    <x v="143"/>
    <s v="INCLUSAO  ANOT.INADIMPLENCIA"/>
    <x v="297"/>
    <x v="1"/>
    <s v="2025-12"/>
    <x v="14"/>
    <s v="CELIO PIMENTA"/>
    <x v="143"/>
    <n v="0"/>
    <n v="1"/>
  </r>
  <r>
    <s v="071.350.797/0001-03"/>
    <x v="48"/>
    <s v="INCLUSAO  ANOT.INADIMPLENCIA"/>
    <x v="297"/>
    <x v="10"/>
    <s v="2025-12"/>
    <x v="14"/>
    <s v="ROGERIO "/>
    <x v="48"/>
    <n v="0"/>
    <n v="1"/>
  </r>
  <r>
    <s v="000.482.073/0001-67"/>
    <x v="279"/>
    <s v="EXCLUSAO  ANOT.INADIMPLENCIA"/>
    <x v="298"/>
    <x v="12"/>
    <s v="2025-12"/>
    <x v="14"/>
    <s v="PROSPECTAR"/>
    <x v="279"/>
    <n v="1"/>
    <n v="0"/>
  </r>
  <r>
    <s v="052.718.364/0001-05"/>
    <x v="313"/>
    <s v="INCLUSAO  ANOT.INADIMPLENCIA"/>
    <x v="298"/>
    <x v="0"/>
    <s v="2025-12"/>
    <x v="14"/>
    <s v="ADMINISTRAÇÃO"/>
    <x v="313"/>
    <n v="0"/>
    <n v="1"/>
  </r>
  <r>
    <s v="046.848.165/0001-19"/>
    <x v="271"/>
    <s v="INCLUSAO  ANOT.INADIMPLENCIA"/>
    <x v="298"/>
    <x v="11"/>
    <s v="2025-12"/>
    <x v="14"/>
    <s v="DIOGO AZEVEDO"/>
    <x v="271"/>
    <n v="0"/>
    <n v="1"/>
  </r>
  <r>
    <s v="044.073.794/0001-99"/>
    <x v="280"/>
    <s v="INCLUSAO  ANOT.INADIMPLENCIA"/>
    <x v="298"/>
    <x v="27"/>
    <s v="2025-12"/>
    <x v="14"/>
    <s v="ALISSON DE SOUZA LIMA"/>
    <x v="280"/>
    <n v="0"/>
    <n v="1"/>
  </r>
  <r>
    <s v="040.520.193/0001-26"/>
    <x v="266"/>
    <s v="INCL/EXCL ANOT.INADIMPLENCIA"/>
    <x v="298"/>
    <x v="6"/>
    <s v="2025-12"/>
    <x v="14"/>
    <s v="RAFAEL PARISE"/>
    <x v="266"/>
    <n v="1"/>
    <n v="1"/>
  </r>
  <r>
    <s v="038.007.528/0001-65"/>
    <x v="277"/>
    <s v="EXCLUSAO  ANOT.INADIMPLENCIA"/>
    <x v="298"/>
    <x v="9"/>
    <s v="2025-12"/>
    <x v="14"/>
    <s v="PRISCILA METZ"/>
    <x v="277"/>
    <n v="1"/>
    <n v="0"/>
  </r>
  <r>
    <s v="034.165.528/0001-32"/>
    <x v="256"/>
    <s v="INCL/EXCL ANOT.INADIMPLENCIA"/>
    <x v="298"/>
    <x v="27"/>
    <s v="2025-12"/>
    <x v="14"/>
    <s v="ALISSON DE SOUZA LIMA"/>
    <x v="256"/>
    <n v="1"/>
    <n v="1"/>
  </r>
  <r>
    <s v="028.556.973/0001-20"/>
    <x v="118"/>
    <s v="INCLUSAO  ANOT.INADIMPLENCIA"/>
    <x v="298"/>
    <x v="1"/>
    <s v="2025-12"/>
    <x v="14"/>
    <s v="CELIO PIMENTA"/>
    <x v="118"/>
    <n v="0"/>
    <n v="1"/>
  </r>
  <r>
    <s v="027.180.131/0001-54"/>
    <x v="188"/>
    <s v="EXCLUSAO  ANOT.INADIMPLENCIA"/>
    <x v="298"/>
    <x v="9"/>
    <s v="2025-12"/>
    <x v="14"/>
    <s v="PRISCILA METZ"/>
    <x v="188"/>
    <n v="1"/>
    <n v="0"/>
  </r>
  <r>
    <s v="046.674.060/0001-90"/>
    <x v="140"/>
    <s v="EXCLUSAO  ANOT.INADIMPLENCIA"/>
    <x v="298"/>
    <x v="10"/>
    <s v="2025-12"/>
    <x v="14"/>
    <s v="ROGERIO "/>
    <x v="140"/>
    <n v="1"/>
    <n v="0"/>
  </r>
  <r>
    <s v="023.007.673/0001-79"/>
    <x v="310"/>
    <s v="EXCLUSAO  ANOT.INADIMPLENCIA"/>
    <x v="298"/>
    <x v="5"/>
    <s v="2025-12"/>
    <x v="14"/>
    <s v="POENATELA"/>
    <x v="310"/>
    <n v="1"/>
    <n v="0"/>
  </r>
  <r>
    <s v="021.382.943/0001-04"/>
    <x v="205"/>
    <s v="INCLUSAO  ANOT.INADIMPLENCIA"/>
    <x v="298"/>
    <x v="0"/>
    <s v="2025-12"/>
    <x v="14"/>
    <s v="ADMINISTRAÇÃO"/>
    <x v="205"/>
    <n v="0"/>
    <n v="1"/>
  </r>
  <r>
    <s v="011.173.099/0001-40"/>
    <x v="227"/>
    <s v="INCLUSAO  ANOT.INADIMPLENCIA"/>
    <x v="298"/>
    <x v="21"/>
    <s v="2025-12"/>
    <x v="14"/>
    <s v="CAIO"/>
    <x v="227"/>
    <n v="0"/>
    <n v="1"/>
  </r>
  <r>
    <s v="008.641.174/0001-45"/>
    <x v="295"/>
    <s v="INCLUSAO  ANOT.INADIMPLENCIA"/>
    <x v="298"/>
    <x v="5"/>
    <s v="2025-12"/>
    <x v="14"/>
    <s v="POENATELA"/>
    <x v="295"/>
    <n v="0"/>
    <n v="1"/>
  </r>
  <r>
    <s v="007.561.436/0001-07"/>
    <x v="34"/>
    <s v="INCLUSAO  ANOT.INADIMPLENCIA"/>
    <x v="298"/>
    <x v="12"/>
    <s v="2025-12"/>
    <x v="14"/>
    <s v="PROSPECTAR"/>
    <x v="34"/>
    <n v="0"/>
    <n v="1"/>
  </r>
  <r>
    <s v="007.345.063/0001-29"/>
    <x v="306"/>
    <s v="INCLUSAO  ANOT.INADIMPLENCIA"/>
    <x v="298"/>
    <x v="5"/>
    <s v="2025-12"/>
    <x v="14"/>
    <s v="POENATELA"/>
    <x v="306"/>
    <n v="0"/>
    <n v="1"/>
  </r>
  <r>
    <s v="005.363.690/0001-67"/>
    <x v="90"/>
    <s v="EXCLUSAO  ANOT.INADIMPLENCIA"/>
    <x v="298"/>
    <x v="12"/>
    <s v="2025-12"/>
    <x v="14"/>
    <s v="PROSPECTAR"/>
    <x v="90"/>
    <n v="1"/>
    <n v="0"/>
  </r>
  <r>
    <s v="003.590.360/0001-89"/>
    <x v="3"/>
    <s v="EXCLUSAO  ANOT.INADIMPLENCIA"/>
    <x v="298"/>
    <x v="1"/>
    <s v="2025-12"/>
    <x v="14"/>
    <s v="CELIO PIMENTA"/>
    <x v="3"/>
    <n v="1"/>
    <n v="0"/>
  </r>
  <r>
    <s v="025.788.035/0001-68"/>
    <x v="303"/>
    <s v="INCLUSAO  ANOT.INADIMPLENCIA"/>
    <x v="298"/>
    <x v="31"/>
    <s v="2025-12"/>
    <x v="14"/>
    <s v="TIAGO NEVES"/>
    <x v="303"/>
    <n v="0"/>
    <n v="1"/>
  </r>
  <r>
    <s v="028.556.973/0001-20"/>
    <x v="118"/>
    <s v="INCLUSAO  ANOT.INADIMPLENCIA"/>
    <x v="299"/>
    <x v="1"/>
    <s v="2025-12"/>
    <x v="14"/>
    <s v="CELIO PIMENTA"/>
    <x v="118"/>
    <n v="0"/>
    <n v="1"/>
  </r>
  <r>
    <s v="030.030.642/0001-02"/>
    <x v="302"/>
    <s v="INCLUSAO  ANOT.INADIMPLENCIA"/>
    <x v="299"/>
    <x v="6"/>
    <s v="2025-12"/>
    <x v="14"/>
    <s v="RAFAEL PARISE"/>
    <x v="302"/>
    <n v="0"/>
    <n v="1"/>
  </r>
  <r>
    <s v="030.642.101/0001-27"/>
    <x v="307"/>
    <s v="INCLUSAO  ANOT.INADIMPLENCIA"/>
    <x v="299"/>
    <x v="10"/>
    <s v="2025-12"/>
    <x v="14"/>
    <s v="ROGERIO "/>
    <x v="307"/>
    <n v="0"/>
    <n v="1"/>
  </r>
  <r>
    <s v="030.646.968/0001-50"/>
    <x v="296"/>
    <s v="INCLUSAO  ANOT.INADIMPLENCIA"/>
    <x v="299"/>
    <x v="10"/>
    <s v="2025-12"/>
    <x v="14"/>
    <s v="ROGERIO "/>
    <x v="296"/>
    <n v="0"/>
    <n v="1"/>
  </r>
  <r>
    <s v="032.024.304/0001-85"/>
    <x v="270"/>
    <s v="EXCLUSAO  ANOT.INADIMPLENCIA"/>
    <x v="299"/>
    <x v="12"/>
    <s v="2025-12"/>
    <x v="14"/>
    <s v="PROSPECTAR"/>
    <x v="270"/>
    <n v="1"/>
    <n v="0"/>
  </r>
  <r>
    <s v="034.165.528/0001-32"/>
    <x v="256"/>
    <s v="INCLUSAO  ANOT.INADIMPLENCIA"/>
    <x v="299"/>
    <x v="27"/>
    <s v="2025-12"/>
    <x v="14"/>
    <s v="ALISSON DE SOUZA LIMA"/>
    <x v="256"/>
    <n v="0"/>
    <n v="1"/>
  </r>
  <r>
    <s v="046.674.060/0001-90"/>
    <x v="140"/>
    <s v="EXCLUSAO  ANOT.INADIMPLENCIA"/>
    <x v="299"/>
    <x v="10"/>
    <s v="2025-12"/>
    <x v="14"/>
    <s v="ROGERIO "/>
    <x v="140"/>
    <n v="1"/>
    <n v="0"/>
  </r>
  <r>
    <s v="040.520.193/0001-26"/>
    <x v="266"/>
    <s v="INCL/EXCL ANOT.INADIMPLENCIA"/>
    <x v="299"/>
    <x v="6"/>
    <s v="2025-12"/>
    <x v="14"/>
    <s v="RAFAEL PARISE"/>
    <x v="266"/>
    <n v="1"/>
    <n v="1"/>
  </r>
  <r>
    <s v="042.119.428/0001-06"/>
    <x v="247"/>
    <s v="INCLUSAO  ANOT.INADIMPLENCIA"/>
    <x v="299"/>
    <x v="31"/>
    <s v="2025-12"/>
    <x v="14"/>
    <s v="TIAGO NEVES"/>
    <x v="247"/>
    <n v="0"/>
    <n v="1"/>
  </r>
  <r>
    <s v="043.515.558/0001-12"/>
    <x v="176"/>
    <s v="INCLUSAO  ANOT.INADIMPLENCIA"/>
    <x v="299"/>
    <x v="10"/>
    <s v="2025-12"/>
    <x v="14"/>
    <s v="ROGERIO "/>
    <x v="176"/>
    <n v="0"/>
    <n v="1"/>
  </r>
  <r>
    <s v="046.848.165/0001-19"/>
    <x v="271"/>
    <s v="INCLUSAO  ANOT.INADIMPLENCIA"/>
    <x v="299"/>
    <x v="11"/>
    <s v="2025-12"/>
    <x v="14"/>
    <s v="DIOGO AZEVEDO"/>
    <x v="271"/>
    <n v="0"/>
    <n v="1"/>
  </r>
  <r>
    <s v="047.635.671/0001-92"/>
    <x v="143"/>
    <s v="EXCLUSAO  ANOT.INADIMPLENCIA"/>
    <x v="299"/>
    <x v="1"/>
    <s v="2025-12"/>
    <x v="14"/>
    <s v="CELIO PIMENTA"/>
    <x v="143"/>
    <n v="1"/>
    <n v="0"/>
  </r>
  <r>
    <s v="028.514.938/0001-49"/>
    <x v="249"/>
    <s v="EXCLUSAO  ANOT.INADIMPLENCIA"/>
    <x v="299"/>
    <x v="6"/>
    <s v="2025-12"/>
    <x v="14"/>
    <s v="RAFAEL PARISE"/>
    <x v="249"/>
    <n v="1"/>
    <n v="0"/>
  </r>
  <r>
    <s v="038.007.528/0001-65"/>
    <x v="277"/>
    <s v="INCLUSAO  ANOT.INADIMPLENCIA"/>
    <x v="299"/>
    <x v="9"/>
    <s v="2025-12"/>
    <x v="14"/>
    <s v="PRISCILA METZ"/>
    <x v="277"/>
    <n v="0"/>
    <n v="1"/>
  </r>
  <r>
    <s v="028.511.223/0001-32"/>
    <x v="189"/>
    <s v="INCL/EXCL ANOT.INADIMPLENCIA"/>
    <x v="299"/>
    <x v="0"/>
    <s v="2025-12"/>
    <x v="14"/>
    <s v="ADMINISTRAÇÃO"/>
    <x v="189"/>
    <n v="1"/>
    <n v="1"/>
  </r>
  <r>
    <s v="008.641.174/0001-45"/>
    <x v="295"/>
    <s v="INCLUSAO  ANOT.INADIMPLENCIA"/>
    <x v="299"/>
    <x v="5"/>
    <s v="2025-12"/>
    <x v="14"/>
    <s v="POENATELA"/>
    <x v="295"/>
    <n v="0"/>
    <n v="1"/>
  </r>
  <r>
    <s v="023.007.673/0001-79"/>
    <x v="310"/>
    <s v="EXCLUSAO  ANOT.INADIMPLENCIA"/>
    <x v="299"/>
    <x v="5"/>
    <s v="2025-12"/>
    <x v="14"/>
    <s v="POENATELA"/>
    <x v="310"/>
    <n v="1"/>
    <n v="0"/>
  </r>
  <r>
    <s v="021.382.943/0001-04"/>
    <x v="205"/>
    <s v="INCLUSAO  ANOT.INADIMPLENCIA"/>
    <x v="299"/>
    <x v="0"/>
    <s v="2025-12"/>
    <x v="14"/>
    <s v="ADMINISTRAÇÃO"/>
    <x v="205"/>
    <n v="0"/>
    <n v="1"/>
  </r>
  <r>
    <s v="017.604.060/0001-16"/>
    <x v="297"/>
    <s v="INCLUSAO  ANOT.INADIMPLENCIA"/>
    <x v="299"/>
    <x v="12"/>
    <s v="2025-12"/>
    <x v="14"/>
    <s v="PROSPECTAR"/>
    <x v="297"/>
    <n v="0"/>
    <n v="1"/>
  </r>
  <r>
    <s v="014.829.598/0001-30"/>
    <x v="31"/>
    <s v="INCL/EXCL ANOT.INADIMPLENCIA"/>
    <x v="299"/>
    <x v="9"/>
    <s v="2025-12"/>
    <x v="14"/>
    <s v="PRISCILA METZ"/>
    <x v="31"/>
    <n v="1"/>
    <n v="1"/>
  </r>
  <r>
    <s v="012.915.648/0001-77"/>
    <x v="312"/>
    <s v="EXCLUSAO  ANOT.INADIMPLENCIA"/>
    <x v="299"/>
    <x v="5"/>
    <s v="2025-12"/>
    <x v="14"/>
    <s v="POENATELA"/>
    <x v="312"/>
    <n v="1"/>
    <n v="0"/>
  </r>
  <r>
    <s v="012.503.608/0001-18"/>
    <x v="319"/>
    <s v="EXCLUSAO  ANOT.INADIMPLENCIA"/>
    <x v="299"/>
    <x v="9"/>
    <s v="2025-12"/>
    <x v="14"/>
    <s v="PRISCILA METZ"/>
    <x v="319"/>
    <n v="1"/>
    <n v="0"/>
  </r>
  <r>
    <s v="011.122.552/0001-99"/>
    <x v="59"/>
    <s v="EXCLUSAO  ANOT.INADIMPLENCIA"/>
    <x v="299"/>
    <x v="6"/>
    <s v="2025-12"/>
    <x v="14"/>
    <s v="RAFAEL PARISE"/>
    <x v="59"/>
    <n v="1"/>
    <n v="0"/>
  </r>
  <r>
    <s v="057.698.087/0001-30"/>
    <x v="229"/>
    <s v="INCLUSAO  ANOT.INADIMPLENCIA"/>
    <x v="299"/>
    <x v="1"/>
    <s v="2025-12"/>
    <x v="14"/>
    <s v="CELIO PIMENTA"/>
    <x v="229"/>
    <n v="0"/>
    <n v="1"/>
  </r>
  <r>
    <s v="008.250.872/0001-10"/>
    <x v="121"/>
    <s v="INCLUSAO  ANOT.INADIMPLENCIA"/>
    <x v="299"/>
    <x v="6"/>
    <s v="2025-12"/>
    <x v="14"/>
    <s v="RAFAEL PARISE"/>
    <x v="121"/>
    <n v="0"/>
    <n v="1"/>
  </r>
  <r>
    <s v="007.561.436/0001-07"/>
    <x v="34"/>
    <s v="INCLUSAO  ANOT.INADIMPLENCIA"/>
    <x v="299"/>
    <x v="12"/>
    <s v="2025-12"/>
    <x v="14"/>
    <s v="PROSPECTAR"/>
    <x v="34"/>
    <n v="0"/>
    <n v="1"/>
  </r>
  <r>
    <s v="007.272.884/0001-82"/>
    <x v="276"/>
    <s v="INCLUSAO  ANOT.INADIMPLENCIA"/>
    <x v="299"/>
    <x v="10"/>
    <s v="2025-12"/>
    <x v="14"/>
    <s v="ROGERIO "/>
    <x v="276"/>
    <n v="0"/>
    <n v="1"/>
  </r>
  <r>
    <s v="005.997.418/0001-39"/>
    <x v="165"/>
    <s v="INCLUSAO  ANOT.INADIMPLENCIA"/>
    <x v="299"/>
    <x v="6"/>
    <s v="2025-12"/>
    <x v="14"/>
    <s v="RAFAEL PARISE"/>
    <x v="165"/>
    <n v="0"/>
    <n v="1"/>
  </r>
  <r>
    <s v="003.524.760/0001-96"/>
    <x v="230"/>
    <s v="INCLUSAO  ANOT.INADIMPLENCIA"/>
    <x v="299"/>
    <x v="30"/>
    <s v="2025-12"/>
    <x v="14"/>
    <s v="ANDRE CUNHA"/>
    <x v="230"/>
    <n v="0"/>
    <n v="1"/>
  </r>
  <r>
    <s v="001.113.219/0001-60"/>
    <x v="88"/>
    <s v="INCLUSAO  ANOT.INADIMPLENCIA"/>
    <x v="299"/>
    <x v="1"/>
    <s v="2025-12"/>
    <x v="14"/>
    <s v="CELIO PIMENTA"/>
    <x v="88"/>
    <n v="0"/>
    <n v="1"/>
  </r>
  <r>
    <s v="027.180.131/0001-54"/>
    <x v="188"/>
    <s v="EXCLUSAO  ANOT.INADIMPLENCIA"/>
    <x v="299"/>
    <x v="9"/>
    <s v="2025-12"/>
    <x v="14"/>
    <s v="PRISCILA METZ"/>
    <x v="188"/>
    <n v="1"/>
    <n v="0"/>
  </r>
  <r>
    <s v="061.008.540/0001-06"/>
    <x v="287"/>
    <s v="INCLUSAO  ANOT.INADIMPLENCIA"/>
    <x v="299"/>
    <x v="29"/>
    <s v="2025-12"/>
    <x v="14"/>
    <s v="DALVA"/>
    <x v="287"/>
    <n v="0"/>
    <n v="1"/>
  </r>
  <r>
    <m/>
    <x v="320"/>
    <m/>
    <x v="300"/>
    <x v="39"/>
    <m/>
    <x v="49"/>
    <m/>
    <x v="320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6182C4D-5B05-463A-BA3D-2AFA37FF0336}" name="Tabela dinâmica5" cacheId="52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>
  <location ref="A5:D24" firstHeaderRow="1" firstDataRow="2" firstDataCol="1" rowPageCount="2" colPageCount="1"/>
  <pivotFields count="12">
    <pivotField showAll="0"/>
    <pivotField axis="axisPage" multipleItemSelectionAllowed="1" showAll="0">
      <items count="322">
        <item x="320"/>
        <item x="236"/>
        <item x="121"/>
        <item x="4"/>
        <item x="177"/>
        <item x="205"/>
        <item x="7"/>
        <item x="167"/>
        <item x="189"/>
        <item x="166"/>
        <item x="238"/>
        <item x="171"/>
        <item x="201"/>
        <item x="47"/>
        <item x="0"/>
        <item x="1"/>
        <item x="2"/>
        <item x="3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9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8"/>
        <item x="2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8"/>
        <item x="169"/>
        <item x="170"/>
        <item x="172"/>
        <item x="173"/>
        <item x="174"/>
        <item x="175"/>
        <item x="176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2"/>
        <item x="203"/>
        <item x="204"/>
        <item x="229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06"/>
        <item x="219"/>
        <item x="220"/>
        <item x="221"/>
        <item x="222"/>
        <item x="223"/>
        <item x="224"/>
        <item x="225"/>
        <item x="226"/>
        <item x="227"/>
        <item x="228"/>
        <item x="230"/>
        <item x="231"/>
        <item x="232"/>
        <item x="233"/>
        <item x="234"/>
        <item x="235"/>
        <item x="237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t="default"/>
      </items>
    </pivotField>
    <pivotField showAll="0"/>
    <pivotField multipleItemSelectionAllowed="1" showAll="0">
      <items count="30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9"/>
        <item x="150"/>
        <item x="151"/>
        <item x="152"/>
        <item x="153"/>
        <item x="155"/>
        <item x="156"/>
        <item x="148"/>
        <item x="158"/>
        <item x="154"/>
        <item x="161"/>
        <item x="162"/>
        <item x="157"/>
        <item x="163"/>
        <item x="159"/>
        <item x="164"/>
        <item x="160"/>
        <item x="165"/>
        <item x="166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67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t="default"/>
      </items>
    </pivotField>
    <pivotField axis="axisRow" showAll="0">
      <items count="41">
        <item sd="0" x="0"/>
        <item sd="0" x="13"/>
        <item sd="0" x="25"/>
        <item sd="0" x="1"/>
        <item sd="0" x="11"/>
        <item sd="0" x="15"/>
        <item sd="0" x="22"/>
        <item sd="0" x="8"/>
        <item sd="0" x="19"/>
        <item sd="0" x="20"/>
        <item sd="0" x="17"/>
        <item sd="0" x="2"/>
        <item sd="0" x="3"/>
        <item sd="0" x="23"/>
        <item sd="0" x="14"/>
        <item sd="0" x="4"/>
        <item sd="0" x="24"/>
        <item sd="0" x="5"/>
        <item sd="0" x="9"/>
        <item sd="0" x="6"/>
        <item sd="0" x="18"/>
        <item sd="0" x="7"/>
        <item sd="0" x="39"/>
        <item sd="0" x="10"/>
        <item sd="0" x="12"/>
        <item sd="0" x="26"/>
        <item sd="0" x="21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16"/>
        <item sd="0" x="38"/>
        <item t="default" sd="0"/>
      </items>
    </pivotField>
    <pivotField multipleItemSelectionAllowed="1" showAll="0"/>
    <pivotField axis="axisPage" multipleItemSelectionAllowed="1" showAll="0">
      <items count="51"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7"/>
        <item x="38"/>
        <item x="39"/>
        <item x="36"/>
        <item x="40"/>
        <item x="41"/>
        <item x="4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49"/>
        <item x="43"/>
        <item x="44"/>
        <item x="45"/>
        <item x="46"/>
        <item x="47"/>
        <item x="48"/>
        <item t="default"/>
      </items>
    </pivotField>
    <pivotField showAll="0"/>
    <pivotField axis="axisRow" showAll="0">
      <items count="322">
        <item sd="0" x="320"/>
        <item sd="0" x="236"/>
        <item sd="0" x="121"/>
        <item sd="0" x="4"/>
        <item sd="0" x="177"/>
        <item sd="0" x="205"/>
        <item sd="0" x="7"/>
        <item sd="0" x="167"/>
        <item sd="0" x="189"/>
        <item sd="0" x="166"/>
        <item sd="0" x="238"/>
        <item sd="0" x="171"/>
        <item sd="0" x="201"/>
        <item sd="0" x="47"/>
        <item sd="0" x="0"/>
        <item sd="0" x="1"/>
        <item sd="0" x="2"/>
        <item sd="0" x="3"/>
        <item sd="0" x="5"/>
        <item sd="0" x="6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9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8"/>
        <item sd="0" x="2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8"/>
        <item sd="0" x="169"/>
        <item sd="0" x="170"/>
        <item sd="0" x="172"/>
        <item sd="0" x="173"/>
        <item sd="0" x="174"/>
        <item sd="0" x="175"/>
        <item sd="0" x="176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2"/>
        <item sd="0" x="203"/>
        <item sd="0" x="204"/>
        <item sd="0" x="229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06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30"/>
        <item sd="0" x="231"/>
        <item sd="0" x="232"/>
        <item sd="0" x="233"/>
        <item sd="0" x="234"/>
        <item sd="0" x="235"/>
        <item sd="0" x="237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x="307"/>
        <item sd="0" x="308"/>
        <item sd="0" x="309"/>
        <item sd="0" x="310"/>
        <item sd="0" x="311"/>
        <item x="312"/>
        <item x="313"/>
        <item x="314"/>
        <item x="315"/>
        <item x="316"/>
        <item x="317"/>
        <item x="318"/>
        <item x="319"/>
        <item t="default" sd="0"/>
      </items>
    </pivotField>
    <pivotField dataField="1" showAll="0"/>
    <pivotField dataField="1" showAll="0"/>
    <pivotField dataField="1" dragToRow="0" dragToCol="0" dragToPage="0" showAll="0" defaultSubtotal="0"/>
  </pivotFields>
  <rowFields count="2">
    <field x="4"/>
    <field x="8"/>
  </rowFields>
  <rowItems count="18">
    <i>
      <x/>
    </i>
    <i>
      <x v="3"/>
    </i>
    <i>
      <x v="4"/>
    </i>
    <i>
      <x v="12"/>
    </i>
    <i>
      <x v="17"/>
    </i>
    <i>
      <x v="18"/>
    </i>
    <i>
      <x v="19"/>
    </i>
    <i>
      <x v="23"/>
    </i>
    <i>
      <x v="24"/>
    </i>
    <i>
      <x v="25"/>
    </i>
    <i>
      <x v="26"/>
    </i>
    <i>
      <x v="27"/>
    </i>
    <i>
      <x v="29"/>
    </i>
    <i>
      <x v="30"/>
    </i>
    <i>
      <x v="31"/>
    </i>
    <i>
      <x v="35"/>
    </i>
    <i>
      <x v="36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1" hier="-1"/>
    <pageField fld="6" hier="-1"/>
  </pageFields>
  <dataFields count="3">
    <dataField name="Total de EXCLUSÕES" fld="9" baseField="0" baseItem="0"/>
    <dataField name="Total de INCLUSÕES" fld="10" baseField="0" baseItem="0"/>
    <dataField name="Contagem" fld="11" baseField="0" baseItem="0"/>
  </dataFields>
  <formats count="10">
    <format dxfId="17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16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15">
      <pivotArea field="4" grandRow="1" outline="0" collapsedLevelsAreSubtotals="1" axis="axisRow" fieldPosition="0">
        <references count="1">
          <reference field="4294967294" count="1" selected="0">
            <x v="2"/>
          </reference>
        </references>
      </pivotArea>
    </format>
    <format dxfId="14">
      <pivotArea collapsedLevelsAreSubtotals="1" fieldPosition="0">
        <references count="2">
          <reference field="4294967294" count="1" selected="0">
            <x v="2"/>
          </reference>
          <reference field="4" count="0"/>
        </references>
      </pivotArea>
    </format>
    <format dxfId="13">
      <pivotArea collapsedLevelsAreSubtotals="1" fieldPosition="0">
        <references count="2">
          <reference field="4294967294" count="2" selected="0">
            <x v="0"/>
            <x v="1"/>
          </reference>
          <reference field="4" count="0"/>
        </references>
      </pivotArea>
    </format>
    <format dxfId="12">
      <pivotArea dataOnly="0" labelOnly="1" fieldPosition="0">
        <references count="1">
          <reference field="4" count="0"/>
        </references>
      </pivotArea>
    </format>
    <format dxfId="11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0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9">
      <pivotArea field="4" grandRow="1" outline="0" collapsedLevelsAreSubtotals="1" axis="axisRow" fieldPosition="0">
        <references count="1">
          <reference field="4294967294" count="1" selected="0">
            <x v="2"/>
          </reference>
        </references>
      </pivotArea>
    </format>
    <format dxfId="8">
      <pivotArea field="4" grandRow="1" outline="0" collapsedLevelsAreSubtotals="1" axis="axisRow" fieldPosition="0">
        <references count="1">
          <reference field="4294967294" count="1" selected="0">
            <x v="2"/>
          </reference>
        </references>
      </pivotArea>
    </format>
  </formats>
  <conditionalFormats count="5">
    <conditionalFormat scope="data" priority="7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5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3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2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1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Dark18" showRowHeaders="1" showColHeaders="1" showRowStripes="0" showColStripes="0" showLastColumn="1"/>
  <filters count="1">
    <filter fld="3" type="dateBetween" evalOrder="-1" id="250" name="Data do recebimento do e-mail">
      <autoFilter ref="A1">
        <filterColumn colId="0">
          <customFilters and="1">
            <customFilter operator="greaterThanOrEqual" val="45992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Gerente" xr10:uid="{33269823-A72B-4770-AFDE-9669C0B7E2D4}" sourceName="Gerente">
  <pivotTables>
    <pivotTable tabId="7" name="Tabela dinâmica5"/>
  </pivotTables>
  <data>
    <tabular pivotCacheId="642120133">
      <items count="40">
        <i x="0" s="1"/>
        <i x="27" s="1"/>
        <i x="30" s="1"/>
        <i x="26" s="1"/>
        <i x="21" s="1"/>
        <i x="1" s="1"/>
        <i x="29" s="1"/>
        <i x="11" s="1"/>
        <i x="36" s="1"/>
        <i x="3" s="1"/>
        <i x="5" s="1"/>
        <i x="9" s="1"/>
        <i x="12" s="1"/>
        <i x="6" s="1"/>
        <i x="10" s="1"/>
        <i x="31" s="1"/>
        <i x="35" s="1"/>
        <i x="13" s="1" nd="1"/>
        <i x="25" s="1" nd="1"/>
        <i x="34" s="1" nd="1"/>
        <i x="38" s="1" nd="1"/>
        <i x="15" s="1" nd="1"/>
        <i x="33" s="1" nd="1"/>
        <i x="22" s="1" nd="1"/>
        <i x="8" s="1" nd="1"/>
        <i x="19" s="1" nd="1"/>
        <i x="20" s="1" nd="1"/>
        <i x="17" s="1" nd="1"/>
        <i x="2" s="1" nd="1"/>
        <i x="23" s="1" nd="1"/>
        <i x="14" s="1" nd="1"/>
        <i x="4" s="1" nd="1"/>
        <i x="24" s="1" nd="1"/>
        <i x="28" s="1" nd="1"/>
        <i x="16" s="1" nd="1"/>
        <i x="18" s="1" nd="1"/>
        <i x="37" s="1" nd="1"/>
        <i x="32" s="1" nd="1"/>
        <i x="7" s="1" nd="1"/>
        <i x="39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Gerente" xr10:uid="{D2BE521B-A8E1-44CC-AE89-54F87BCA7246}" cache="SegmentaçãodeDados_Gerente" caption="Gerente" style="SlicerStyleLight3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BC74EDF-CD31-443E-BB1D-040E7E63631F}" name="tblDados" displayName="tblDados" ref="A1:K5525" totalsRowShown="0">
  <autoFilter ref="A1:K5525" xr:uid="{4BC74EDF-CD31-443E-BB1D-040E7E63631F}"/>
  <sortState xmlns:xlrd2="http://schemas.microsoft.com/office/spreadsheetml/2017/richdata2" ref="A2:K4949">
    <sortCondition ref="F1:F4949"/>
  </sortState>
  <tableColumns count="11">
    <tableColumn id="1" xr3:uid="{580832D1-047F-442E-AA90-0581027F63E3}" name="CNPJ"/>
    <tableColumn id="2" xr3:uid="{6EB0F9A8-4B4F-40A6-8DF1-5FD437488F39}" name="Razão Social"/>
    <tableColumn id="3" xr3:uid="{C7C3E441-540E-4AB0-A84D-F7EBC711FCB9}" name="Alteração"/>
    <tableColumn id="4" xr3:uid="{AD0E5C19-4994-4FBB-8FC6-31AED43DF708}" name="Data do recebimento do e-mail" dataDxfId="4"/>
    <tableColumn id="5" xr3:uid="{27DDD937-C40C-43A5-89D5-0920FFDF5938}" name="Gerente">
      <calculatedColumnFormula>VLOOKUP(B2,'PROCV GERENTES BD'!A:B,2,0)</calculatedColumnFormula>
    </tableColumn>
    <tableColumn id="6" xr3:uid="{152B9876-AEEC-4B15-B881-35A2464C3ECE}" name="Mês e Ano" dataDxfId="3">
      <calculatedColumnFormula>YEAR(D2)&amp;"-"&amp;TEXT(MONTH(D2),"00")</calculatedColumnFormula>
    </tableColumn>
    <tableColumn id="11" xr3:uid="{14741CE4-B1D4-49B8-9600-959FF0737929}" name="Semana" dataDxfId="2">
      <calculatedColumnFormula>WEEKNUM(D2)</calculatedColumnFormula>
    </tableColumn>
    <tableColumn id="7" xr3:uid="{05310F21-8B05-4DB7-8F2C-8CC1124ABAD0}" name="Gerente'">
      <calculatedColumnFormula>E2</calculatedColumnFormula>
    </tableColumn>
    <tableColumn id="8" xr3:uid="{09A2FDAA-CF9F-46FC-9972-792069B18481}" name="Cedente">
      <calculatedColumnFormula>B2</calculatedColumnFormula>
    </tableColumn>
    <tableColumn id="9" xr3:uid="{7C376DF1-3E5D-40FD-9F80-3C109B173DA0}" name="EXCLUSÕES" dataDxfId="1">
      <calculatedColumnFormula>IF(OR(C2="EXCLUSAO  ANOT.INADIMPLENCIA",C2="INCL/EXCL ANOT.INADIMPLENCIA"),1,0)</calculatedColumnFormula>
    </tableColumn>
    <tableColumn id="10" xr3:uid="{2280508A-66FD-467E-8719-51776970412C}" name="INCLUSÕES" dataDxfId="0">
      <calculatedColumnFormula>IF(OR(C2="INCLUSAO  ANOT.INADIMPLENCIA",C2="INCL/EXCL ANOT.INADIMPLENCIA"),1,0)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a_do_recebimento_do_e_mail" xr10:uid="{D7E948B9-B9AE-43B8-9591-87CD64838A49}" sourceName="Data do recebimento do e-mail">
  <pivotTables>
    <pivotTable tabId="7" name="Tabela dinâmica5"/>
  </pivotTables>
  <state minimalRefreshVersion="6" lastRefreshVersion="6" pivotCacheId="642120133" filterType="dateBetween">
    <selection startDate="2025-12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a do recebimento do e-mail" xr10:uid="{95CE211E-A88A-4006-A372-F33FFBC2CCFA}" cache="NativeTimeline_Data_do_recebimento_do_e_mail" caption="Data do recebimento do e-mail" level="2" selectionLevel="2" scrollPosition="2025-05-19T00:00:00" style="TimeSlicerStyleDark3"/>
</timelines>
</file>

<file path=xl/worksheets/_rels/sheet1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Relationship Id="rId4" Type="http://schemas.microsoft.com/office/2011/relationships/timeline" Target="../timelines/timelin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E8219-C36F-4946-8D0C-0B56B3CF6B9F}">
  <sheetPr codeName="Planilha1">
    <tabColor rgb="FF67BC00"/>
  </sheetPr>
  <dimension ref="A1:D97"/>
  <sheetViews>
    <sheetView showGridLines="0" tabSelected="1" zoomScaleNormal="100" workbookViewId="0">
      <selection activeCell="I11" sqref="I11"/>
    </sheetView>
  </sheetViews>
  <sheetFormatPr defaultRowHeight="15" x14ac:dyDescent="0.25"/>
  <cols>
    <col min="1" max="1" width="25.140625" bestFit="1" customWidth="1"/>
    <col min="2" max="2" width="18.85546875" bestFit="1" customWidth="1"/>
    <col min="3" max="3" width="18.7109375" bestFit="1" customWidth="1"/>
    <col min="4" max="4" width="10" bestFit="1" customWidth="1"/>
    <col min="5" max="5" width="9.140625" customWidth="1"/>
  </cols>
  <sheetData>
    <row r="1" spans="1:4" ht="15" customHeight="1" thickBot="1" x14ac:dyDescent="0.3">
      <c r="A1" s="19" t="s">
        <v>650</v>
      </c>
      <c r="B1" s="20"/>
    </row>
    <row r="2" spans="1:4" ht="15" customHeight="1" x14ac:dyDescent="0.25">
      <c r="A2" s="5" t="s">
        <v>0</v>
      </c>
      <c r="B2" t="s">
        <v>1</v>
      </c>
      <c r="C2" s="13"/>
    </row>
    <row r="3" spans="1:4" ht="15" customHeight="1" thickBot="1" x14ac:dyDescent="0.3">
      <c r="A3" s="5" t="s">
        <v>641</v>
      </c>
      <c r="B3" t="s">
        <v>1</v>
      </c>
      <c r="C3" s="13"/>
    </row>
    <row r="5" spans="1:4" ht="15.75" thickBot="1" x14ac:dyDescent="0.3">
      <c r="B5" s="5" t="s">
        <v>42</v>
      </c>
    </row>
    <row r="6" spans="1:4" ht="15.75" thickBot="1" x14ac:dyDescent="0.3">
      <c r="A6" s="5" t="s">
        <v>2</v>
      </c>
      <c r="B6" t="s">
        <v>43</v>
      </c>
      <c r="C6" t="s">
        <v>44</v>
      </c>
      <c r="D6" s="7" t="s">
        <v>45</v>
      </c>
    </row>
    <row r="7" spans="1:4" x14ac:dyDescent="0.25">
      <c r="A7" s="14" t="s">
        <v>4</v>
      </c>
      <c r="B7" s="24">
        <v>5</v>
      </c>
      <c r="C7" s="24">
        <v>22</v>
      </c>
      <c r="D7" s="21">
        <v>17</v>
      </c>
    </row>
    <row r="8" spans="1:4" x14ac:dyDescent="0.25">
      <c r="A8" s="15" t="s">
        <v>7</v>
      </c>
      <c r="B8" s="25">
        <v>5</v>
      </c>
      <c r="C8" s="25">
        <v>14</v>
      </c>
      <c r="D8" s="22">
        <v>9</v>
      </c>
    </row>
    <row r="9" spans="1:4" x14ac:dyDescent="0.25">
      <c r="A9" s="15" t="s">
        <v>8</v>
      </c>
      <c r="B9" s="25">
        <v>0</v>
      </c>
      <c r="C9" s="25">
        <v>6</v>
      </c>
      <c r="D9" s="22">
        <v>6</v>
      </c>
    </row>
    <row r="10" spans="1:4" x14ac:dyDescent="0.25">
      <c r="A10" s="15" t="s">
        <v>13</v>
      </c>
      <c r="B10" s="25">
        <v>1</v>
      </c>
      <c r="C10" s="25">
        <v>2</v>
      </c>
      <c r="D10" s="22">
        <v>1</v>
      </c>
    </row>
    <row r="11" spans="1:4" x14ac:dyDescent="0.25">
      <c r="A11" s="15" t="s">
        <v>16</v>
      </c>
      <c r="B11" s="25">
        <v>7</v>
      </c>
      <c r="C11" s="25">
        <v>11</v>
      </c>
      <c r="D11" s="22">
        <v>4</v>
      </c>
    </row>
    <row r="12" spans="1:4" x14ac:dyDescent="0.25">
      <c r="A12" s="15" t="s">
        <v>17</v>
      </c>
      <c r="B12" s="25">
        <v>10</v>
      </c>
      <c r="C12" s="25">
        <v>19</v>
      </c>
      <c r="D12" s="22">
        <v>9</v>
      </c>
    </row>
    <row r="13" spans="1:4" x14ac:dyDescent="0.25">
      <c r="A13" s="15" t="s">
        <v>18</v>
      </c>
      <c r="B13" s="25">
        <v>6</v>
      </c>
      <c r="C13" s="25">
        <v>18</v>
      </c>
      <c r="D13" s="22">
        <v>12</v>
      </c>
    </row>
    <row r="14" spans="1:4" x14ac:dyDescent="0.25">
      <c r="A14" s="15" t="s">
        <v>21</v>
      </c>
      <c r="B14" s="25">
        <v>4</v>
      </c>
      <c r="C14" s="25">
        <v>28</v>
      </c>
      <c r="D14" s="22">
        <v>24</v>
      </c>
    </row>
    <row r="15" spans="1:4" x14ac:dyDescent="0.25">
      <c r="A15" s="15" t="s">
        <v>22</v>
      </c>
      <c r="B15" s="25">
        <v>5</v>
      </c>
      <c r="C15" s="25">
        <v>11</v>
      </c>
      <c r="D15" s="22">
        <v>6</v>
      </c>
    </row>
    <row r="16" spans="1:4" x14ac:dyDescent="0.25">
      <c r="A16" s="15" t="s">
        <v>23</v>
      </c>
      <c r="B16" s="25">
        <v>0</v>
      </c>
      <c r="C16" s="25">
        <v>1</v>
      </c>
      <c r="D16" s="22">
        <v>1</v>
      </c>
    </row>
    <row r="17" spans="1:4" x14ac:dyDescent="0.25">
      <c r="A17" s="15" t="s">
        <v>24</v>
      </c>
      <c r="B17" s="25">
        <v>4</v>
      </c>
      <c r="C17" s="25">
        <v>3</v>
      </c>
      <c r="D17" s="22">
        <v>-1</v>
      </c>
    </row>
    <row r="18" spans="1:4" x14ac:dyDescent="0.25">
      <c r="A18" s="15" t="s">
        <v>25</v>
      </c>
      <c r="B18" s="25">
        <v>5</v>
      </c>
      <c r="C18" s="25">
        <v>9</v>
      </c>
      <c r="D18" s="22">
        <v>4</v>
      </c>
    </row>
    <row r="19" spans="1:4" x14ac:dyDescent="0.25">
      <c r="A19" s="15" t="s">
        <v>27</v>
      </c>
      <c r="B19" s="25">
        <v>0</v>
      </c>
      <c r="C19" s="25">
        <v>2</v>
      </c>
      <c r="D19" s="22">
        <v>2</v>
      </c>
    </row>
    <row r="20" spans="1:4" x14ac:dyDescent="0.25">
      <c r="A20" s="15" t="s">
        <v>28</v>
      </c>
      <c r="B20" s="25">
        <v>0</v>
      </c>
      <c r="C20" s="25">
        <v>1</v>
      </c>
      <c r="D20" s="22">
        <v>1</v>
      </c>
    </row>
    <row r="21" spans="1:4" x14ac:dyDescent="0.25">
      <c r="A21" s="15" t="s">
        <v>612</v>
      </c>
      <c r="B21" s="25">
        <v>3</v>
      </c>
      <c r="C21" s="25">
        <v>2</v>
      </c>
      <c r="D21" s="22">
        <v>-1</v>
      </c>
    </row>
    <row r="22" spans="1:4" x14ac:dyDescent="0.25">
      <c r="A22" s="15" t="s">
        <v>618</v>
      </c>
      <c r="B22" s="25">
        <v>1</v>
      </c>
      <c r="C22" s="25">
        <v>2</v>
      </c>
      <c r="D22" s="22">
        <v>1</v>
      </c>
    </row>
    <row r="23" spans="1:4" ht="15.75" thickBot="1" x14ac:dyDescent="0.3">
      <c r="A23" s="16" t="s">
        <v>620</v>
      </c>
      <c r="B23" s="26">
        <v>0</v>
      </c>
      <c r="C23" s="26">
        <v>1</v>
      </c>
      <c r="D23" s="23">
        <v>1</v>
      </c>
    </row>
    <row r="24" spans="1:4" ht="15.75" thickBot="1" x14ac:dyDescent="0.3">
      <c r="A24" s="2" t="s">
        <v>3</v>
      </c>
      <c r="B24" s="26">
        <v>56</v>
      </c>
      <c r="C24" s="26">
        <v>152</v>
      </c>
      <c r="D24" s="27">
        <v>96</v>
      </c>
    </row>
    <row r="26" spans="1:4" ht="15.75" thickBot="1" x14ac:dyDescent="0.3"/>
    <row r="30" spans="1:4" ht="15.75" thickBot="1" x14ac:dyDescent="0.3"/>
    <row r="31" spans="1:4" ht="15.75" thickBot="1" x14ac:dyDescent="0.3"/>
    <row r="33" ht="15.75" thickBot="1" x14ac:dyDescent="0.3"/>
    <row r="46" ht="15.75" thickBot="1" x14ac:dyDescent="0.3"/>
    <row r="47" ht="15.75" thickBot="1" x14ac:dyDescent="0.3"/>
    <row r="50" ht="15.75" thickBot="1" x14ac:dyDescent="0.3"/>
    <row r="56" ht="15.75" thickBot="1" x14ac:dyDescent="0.3"/>
    <row r="61" ht="15.75" thickBot="1" x14ac:dyDescent="0.3"/>
    <row r="63" ht="15.75" thickBot="1" x14ac:dyDescent="0.3"/>
    <row r="66" ht="15.75" thickBot="1" x14ac:dyDescent="0.3"/>
    <row r="67" ht="15.75" thickBot="1" x14ac:dyDescent="0.3"/>
    <row r="68" ht="15.75" thickBot="1" x14ac:dyDescent="0.3"/>
    <row r="80" ht="15.75" thickBot="1" x14ac:dyDescent="0.3"/>
    <row r="81" ht="15.75" thickBot="1" x14ac:dyDescent="0.3"/>
    <row r="96" ht="15.75" thickBot="1" x14ac:dyDescent="0.3"/>
    <row r="97" ht="15.75" thickBot="1" x14ac:dyDescent="0.3"/>
  </sheetData>
  <mergeCells count="1">
    <mergeCell ref="A1:B1"/>
  </mergeCells>
  <conditionalFormatting pivot="1" sqref="D7:D24">
    <cfRule type="cellIs" dxfId="23" priority="7" operator="between">
      <formula>1</formula>
      <formula>5</formula>
    </cfRule>
  </conditionalFormatting>
  <conditionalFormatting pivot="1" sqref="D7:D24">
    <cfRule type="cellIs" dxfId="22" priority="5" operator="equal">
      <formula>0</formula>
    </cfRule>
  </conditionalFormatting>
  <conditionalFormatting sqref="E14">
    <cfRule type="cellIs" dxfId="21" priority="4" operator="lessThan">
      <formula>0</formula>
    </cfRule>
  </conditionalFormatting>
  <conditionalFormatting pivot="1" sqref="D7:D24">
    <cfRule type="cellIs" dxfId="20" priority="3" operator="lessThan">
      <formula>-5</formula>
    </cfRule>
  </conditionalFormatting>
  <conditionalFormatting pivot="1" sqref="D7:D24">
    <cfRule type="cellIs" dxfId="19" priority="2" operator="greaterThan">
      <formula>5</formula>
    </cfRule>
  </conditionalFormatting>
  <conditionalFormatting pivot="1" sqref="D7:D24">
    <cfRule type="cellIs" dxfId="18" priority="1" operator="between">
      <formula>-1</formula>
      <formula>-5</formula>
    </cfRule>
  </conditionalFormatting>
  <pageMargins left="0.511811024" right="0.511811024" top="0.78740157499999996" bottom="0.78740157499999996" header="0.31496062000000002" footer="0.31496062000000002"/>
  <drawing r:id="rId2"/>
  <extLst>
    <ext xmlns:x14="http://schemas.microsoft.com/office/spreadsheetml/2009/9/main" uri="{A8765BA9-456A-4dab-B4F3-ACF838C121DE}">
      <x14:slicerList>
        <x14:slicer r:id="rId3"/>
      </x14:slicerList>
    </ext>
    <ext xmlns:x15="http://schemas.microsoft.com/office/spreadsheetml/2010/11/main" uri="{7E03D99C-DC04-49d9-9315-930204A7B6E9}">
      <x15:timelineRefs>
        <x15:timelineRef r:id="rId4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>
    <tabColor rgb="FF0070C0"/>
  </sheetPr>
  <dimension ref="A1:K5525"/>
  <sheetViews>
    <sheetView topLeftCell="A5508" workbookViewId="0">
      <selection activeCell="B5454" sqref="B5454"/>
    </sheetView>
  </sheetViews>
  <sheetFormatPr defaultRowHeight="15" x14ac:dyDescent="0.25"/>
  <cols>
    <col min="1" max="1" width="20.5703125" customWidth="1"/>
    <col min="2" max="2" width="40.85546875" customWidth="1"/>
    <col min="3" max="3" width="31.7109375" bestFit="1" customWidth="1"/>
    <col min="4" max="4" width="33.5703125" style="1" bestFit="1" customWidth="1"/>
    <col min="5" max="5" width="23" bestFit="1" customWidth="1"/>
    <col min="6" max="6" width="12.7109375" bestFit="1" customWidth="1"/>
    <col min="7" max="7" width="10.28515625" style="17" bestFit="1" customWidth="1"/>
    <col min="8" max="8" width="23.7109375" bestFit="1" customWidth="1"/>
    <col min="9" max="9" width="56.28515625" bestFit="1" customWidth="1"/>
    <col min="10" max="10" width="13.140625" customWidth="1"/>
    <col min="11" max="11" width="13" customWidth="1"/>
  </cols>
  <sheetData>
    <row r="1" spans="1:11" x14ac:dyDescent="0.25">
      <c r="A1" t="s">
        <v>29</v>
      </c>
      <c r="B1" t="s">
        <v>0</v>
      </c>
      <c r="C1" t="s">
        <v>30</v>
      </c>
      <c r="D1" s="6" t="s">
        <v>31</v>
      </c>
      <c r="E1" t="s">
        <v>32</v>
      </c>
      <c r="F1" t="s">
        <v>33</v>
      </c>
      <c r="G1" s="17" t="s">
        <v>641</v>
      </c>
      <c r="H1" t="s">
        <v>640</v>
      </c>
      <c r="I1" t="s">
        <v>34</v>
      </c>
      <c r="J1" t="s">
        <v>40</v>
      </c>
      <c r="K1" t="s">
        <v>41</v>
      </c>
    </row>
    <row r="2" spans="1:11" x14ac:dyDescent="0.25">
      <c r="A2" t="s">
        <v>330</v>
      </c>
      <c r="B2" t="s">
        <v>78</v>
      </c>
      <c r="C2" t="s">
        <v>50</v>
      </c>
      <c r="D2" s="3">
        <v>45537</v>
      </c>
      <c r="E2" t="str">
        <f>VLOOKUP(B2,'PROCV GERENTES BD'!A:B,2,0)</f>
        <v>ADMINISTRAÇÃO</v>
      </c>
      <c r="F2" s="4" t="str">
        <f t="shared" ref="F2:F65" si="0">YEAR(D2)&amp;"-"&amp;TEXT(MONTH(D2),"00")</f>
        <v>2024-09</v>
      </c>
      <c r="G2" s="18">
        <f t="shared" ref="G2:G65" si="1">WEEKNUM(D2)</f>
        <v>36</v>
      </c>
      <c r="H2" t="str">
        <f t="shared" ref="H2:H65" si="2">E2</f>
        <v>ADMINISTRAÇÃO</v>
      </c>
      <c r="I2" t="str">
        <f t="shared" ref="I2:I65" si="3">B2</f>
        <v>ACQUION FOODTECH S/A</v>
      </c>
      <c r="J2">
        <f t="shared" ref="J2:J65" si="4">IF(OR(C2="EXCLUSAO  ANOT.INADIMPLENCIA",C2="INCL/EXCL ANOT.INADIMPLENCIA"),1,0)</f>
        <v>0</v>
      </c>
      <c r="K2">
        <f t="shared" ref="K2:K65" si="5">IF(OR(C2="INCLUSAO  ANOT.INADIMPLENCIA",C2="INCL/EXCL ANOT.INADIMPLENCIA"),1,0)</f>
        <v>1</v>
      </c>
    </row>
    <row r="3" spans="1:11" x14ac:dyDescent="0.25">
      <c r="A3" t="s">
        <v>331</v>
      </c>
      <c r="B3" t="s">
        <v>79</v>
      </c>
      <c r="C3" t="s">
        <v>50</v>
      </c>
      <c r="D3" s="3">
        <v>45537</v>
      </c>
      <c r="E3" t="str">
        <f>VLOOKUP(B3,'PROCV GERENTES BD'!A:B,2,0)</f>
        <v>ADMINISTRAÇÃO</v>
      </c>
      <c r="F3" s="4" t="str">
        <f t="shared" si="0"/>
        <v>2024-09</v>
      </c>
      <c r="G3" s="18">
        <f t="shared" si="1"/>
        <v>36</v>
      </c>
      <c r="H3" t="str">
        <f t="shared" si="2"/>
        <v>ADMINISTRAÇÃO</v>
      </c>
      <c r="I3" t="str">
        <f t="shared" si="3"/>
        <v>BOM PASTOR PAPEIS LTDA</v>
      </c>
      <c r="J3">
        <f t="shared" si="4"/>
        <v>0</v>
      </c>
      <c r="K3">
        <f t="shared" si="5"/>
        <v>1</v>
      </c>
    </row>
    <row r="4" spans="1:11" x14ac:dyDescent="0.25">
      <c r="A4" t="s">
        <v>319</v>
      </c>
      <c r="B4" t="s">
        <v>80</v>
      </c>
      <c r="C4" t="s">
        <v>50</v>
      </c>
      <c r="D4" s="3">
        <v>45537</v>
      </c>
      <c r="E4" t="str">
        <f>VLOOKUP(B4,'PROCV GERENTES BD'!A:B,2,0)</f>
        <v>CELIO PIMENTA</v>
      </c>
      <c r="F4" s="4" t="str">
        <f t="shared" si="0"/>
        <v>2024-09</v>
      </c>
      <c r="G4" s="18">
        <f t="shared" si="1"/>
        <v>36</v>
      </c>
      <c r="H4" t="str">
        <f t="shared" si="2"/>
        <v>CELIO PIMENTA</v>
      </c>
      <c r="I4" t="str">
        <f t="shared" si="3"/>
        <v>IMPORTEXTIL COMERCIO DE TECIDOS LTDA</v>
      </c>
      <c r="J4">
        <f t="shared" si="4"/>
        <v>0</v>
      </c>
      <c r="K4">
        <f t="shared" si="5"/>
        <v>1</v>
      </c>
    </row>
    <row r="5" spans="1:11" x14ac:dyDescent="0.25">
      <c r="A5" t="s">
        <v>311</v>
      </c>
      <c r="B5" t="s">
        <v>81</v>
      </c>
      <c r="C5" t="s">
        <v>50</v>
      </c>
      <c r="D5" s="3">
        <v>45537</v>
      </c>
      <c r="E5" t="str">
        <f>VLOOKUP(B5,'PROCV GERENTES BD'!A:B,2,0)</f>
        <v>CELIO PIMENTA</v>
      </c>
      <c r="F5" s="4" t="str">
        <f t="shared" si="0"/>
        <v>2024-09</v>
      </c>
      <c r="G5" s="18">
        <f t="shared" si="1"/>
        <v>36</v>
      </c>
      <c r="H5" t="str">
        <f t="shared" si="2"/>
        <v>CELIO PIMENTA</v>
      </c>
      <c r="I5" t="str">
        <f t="shared" si="3"/>
        <v>MBIOLOG DIAGNOSTICOS LTDA</v>
      </c>
      <c r="J5">
        <f t="shared" si="4"/>
        <v>0</v>
      </c>
      <c r="K5">
        <f t="shared" si="5"/>
        <v>1</v>
      </c>
    </row>
    <row r="6" spans="1:11" x14ac:dyDescent="0.25">
      <c r="A6" t="s">
        <v>332</v>
      </c>
      <c r="B6" t="s">
        <v>81</v>
      </c>
      <c r="C6" t="s">
        <v>66</v>
      </c>
      <c r="D6" s="3">
        <v>45537</v>
      </c>
      <c r="E6" t="str">
        <f>VLOOKUP(B6,'PROCV GERENTES BD'!A:B,2,0)</f>
        <v>CELIO PIMENTA</v>
      </c>
      <c r="F6" s="4" t="str">
        <f t="shared" si="0"/>
        <v>2024-09</v>
      </c>
      <c r="G6" s="18">
        <f t="shared" si="1"/>
        <v>36</v>
      </c>
      <c r="H6" t="str">
        <f t="shared" si="2"/>
        <v>CELIO PIMENTA</v>
      </c>
      <c r="I6" t="str">
        <f t="shared" si="3"/>
        <v>MBIOLOG DIAGNOSTICOS LTDA</v>
      </c>
      <c r="J6">
        <f t="shared" si="4"/>
        <v>1</v>
      </c>
      <c r="K6">
        <f t="shared" si="5"/>
        <v>0</v>
      </c>
    </row>
    <row r="7" spans="1:11" x14ac:dyDescent="0.25">
      <c r="A7" t="s">
        <v>54</v>
      </c>
      <c r="B7" t="s">
        <v>55</v>
      </c>
      <c r="C7" t="s">
        <v>50</v>
      </c>
      <c r="D7" s="3">
        <v>45537</v>
      </c>
      <c r="E7" t="str">
        <f>VLOOKUP(B7,'PROCV GERENTES BD'!A:B,2,0)</f>
        <v>CELIO PIMENTA</v>
      </c>
      <c r="F7" s="4" t="str">
        <f t="shared" si="0"/>
        <v>2024-09</v>
      </c>
      <c r="G7" s="18">
        <f t="shared" si="1"/>
        <v>36</v>
      </c>
      <c r="H7" t="str">
        <f t="shared" si="2"/>
        <v>CELIO PIMENTA</v>
      </c>
      <c r="I7" t="str">
        <f t="shared" si="3"/>
        <v>WJ CALDEIRARIA INDUSTRIA E COMERCIO LTDA ME</v>
      </c>
      <c r="J7">
        <f t="shared" si="4"/>
        <v>0</v>
      </c>
      <c r="K7">
        <f t="shared" si="5"/>
        <v>1</v>
      </c>
    </row>
    <row r="8" spans="1:11" x14ac:dyDescent="0.25">
      <c r="A8" t="s">
        <v>333</v>
      </c>
      <c r="B8" t="s">
        <v>82</v>
      </c>
      <c r="C8" t="s">
        <v>50</v>
      </c>
      <c r="D8" s="3">
        <v>45537</v>
      </c>
      <c r="E8" t="str">
        <f>VLOOKUP(B8,'PROCV GERENTES BD'!A:B,2,0)</f>
        <v>ADMINISTRAÇÃO</v>
      </c>
      <c r="F8" s="4" t="str">
        <f t="shared" si="0"/>
        <v>2024-09</v>
      </c>
      <c r="G8" s="18">
        <f t="shared" si="1"/>
        <v>36</v>
      </c>
      <c r="H8" t="str">
        <f t="shared" si="2"/>
        <v>ADMINISTRAÇÃO</v>
      </c>
      <c r="I8" t="str">
        <f t="shared" si="3"/>
        <v>BETMIX CONCRETO LTDA</v>
      </c>
      <c r="J8">
        <f t="shared" si="4"/>
        <v>0</v>
      </c>
      <c r="K8">
        <f t="shared" si="5"/>
        <v>1</v>
      </c>
    </row>
    <row r="9" spans="1:11" x14ac:dyDescent="0.25">
      <c r="A9" t="s">
        <v>334</v>
      </c>
      <c r="B9" t="s">
        <v>82</v>
      </c>
      <c r="C9" t="s">
        <v>66</v>
      </c>
      <c r="D9" s="3">
        <v>45537</v>
      </c>
      <c r="E9" t="str">
        <f>VLOOKUP(B9,'PROCV GERENTES BD'!A:B,2,0)</f>
        <v>ADMINISTRAÇÃO</v>
      </c>
      <c r="F9" s="4" t="str">
        <f t="shared" si="0"/>
        <v>2024-09</v>
      </c>
      <c r="G9" s="18">
        <f t="shared" si="1"/>
        <v>36</v>
      </c>
      <c r="H9" t="str">
        <f t="shared" si="2"/>
        <v>ADMINISTRAÇÃO</v>
      </c>
      <c r="I9" t="str">
        <f t="shared" si="3"/>
        <v>BETMIX CONCRETO LTDA</v>
      </c>
      <c r="J9">
        <f t="shared" si="4"/>
        <v>1</v>
      </c>
      <c r="K9">
        <f t="shared" si="5"/>
        <v>0</v>
      </c>
    </row>
    <row r="10" spans="1:11" x14ac:dyDescent="0.25">
      <c r="A10" t="s">
        <v>335</v>
      </c>
      <c r="B10" t="s">
        <v>83</v>
      </c>
      <c r="C10" t="s">
        <v>50</v>
      </c>
      <c r="D10" s="3">
        <v>45537</v>
      </c>
      <c r="E10" t="str">
        <f>VLOOKUP(B10,'PROCV GERENTES BD'!A:B,2,0)</f>
        <v>MARCOS SOUZA</v>
      </c>
      <c r="F10" s="4" t="str">
        <f t="shared" si="0"/>
        <v>2024-09</v>
      </c>
      <c r="G10" s="18">
        <f t="shared" si="1"/>
        <v>36</v>
      </c>
      <c r="H10" t="str">
        <f t="shared" si="2"/>
        <v>MARCOS SOUZA</v>
      </c>
      <c r="I10" t="str">
        <f t="shared" si="3"/>
        <v>ARCA CONSTRUCOES E INCORPORACOES LTDA</v>
      </c>
      <c r="J10">
        <f t="shared" si="4"/>
        <v>0</v>
      </c>
      <c r="K10">
        <f t="shared" si="5"/>
        <v>1</v>
      </c>
    </row>
    <row r="11" spans="1:11" x14ac:dyDescent="0.25">
      <c r="A11" t="s">
        <v>60</v>
      </c>
      <c r="B11" t="s">
        <v>61</v>
      </c>
      <c r="C11" t="s">
        <v>66</v>
      </c>
      <c r="D11" s="3">
        <v>45537</v>
      </c>
      <c r="E11" t="str">
        <f>VLOOKUP(B11,'PROCV GERENTES BD'!A:B,2,0)</f>
        <v xml:space="preserve">MARCUS VINICIUS </v>
      </c>
      <c r="F11" s="4" t="str">
        <f t="shared" si="0"/>
        <v>2024-09</v>
      </c>
      <c r="G11" s="18">
        <f t="shared" si="1"/>
        <v>36</v>
      </c>
      <c r="H11" t="str">
        <f t="shared" si="2"/>
        <v xml:space="preserve">MARCUS VINICIUS </v>
      </c>
      <c r="I11" t="str">
        <f t="shared" si="3"/>
        <v>COM IND DE CEREAIS E TRANSPORTES MACIEL LTDA</v>
      </c>
      <c r="J11">
        <f t="shared" si="4"/>
        <v>1</v>
      </c>
      <c r="K11">
        <f t="shared" si="5"/>
        <v>0</v>
      </c>
    </row>
    <row r="12" spans="1:11" x14ac:dyDescent="0.25">
      <c r="A12" t="s">
        <v>336</v>
      </c>
      <c r="B12" t="s">
        <v>84</v>
      </c>
      <c r="C12" t="s">
        <v>50</v>
      </c>
      <c r="D12" s="3">
        <v>45537</v>
      </c>
      <c r="E12" t="str">
        <f>VLOOKUP(B12,'PROCV GERENTES BD'!A:B,2,0)</f>
        <v>ADMINISTRAÇÃO</v>
      </c>
      <c r="F12" s="4" t="str">
        <f t="shared" si="0"/>
        <v>2024-09</v>
      </c>
      <c r="G12" s="18">
        <f t="shared" si="1"/>
        <v>36</v>
      </c>
      <c r="H12" t="str">
        <f t="shared" si="2"/>
        <v>ADMINISTRAÇÃO</v>
      </c>
      <c r="I12" t="str">
        <f t="shared" si="3"/>
        <v>BIOLIFE HEALTH IMPORTACAO E DISTRIBUICAO DE PRODUT</v>
      </c>
      <c r="J12">
        <f t="shared" si="4"/>
        <v>0</v>
      </c>
      <c r="K12">
        <f t="shared" si="5"/>
        <v>1</v>
      </c>
    </row>
    <row r="13" spans="1:11" x14ac:dyDescent="0.25">
      <c r="A13" t="s">
        <v>337</v>
      </c>
      <c r="B13" t="s">
        <v>84</v>
      </c>
      <c r="C13" t="s">
        <v>66</v>
      </c>
      <c r="D13" s="3">
        <v>45537</v>
      </c>
      <c r="E13" t="str">
        <f>VLOOKUP(B13,'PROCV GERENTES BD'!A:B,2,0)</f>
        <v>ADMINISTRAÇÃO</v>
      </c>
      <c r="F13" s="4" t="str">
        <f t="shared" si="0"/>
        <v>2024-09</v>
      </c>
      <c r="G13" s="18">
        <f t="shared" si="1"/>
        <v>36</v>
      </c>
      <c r="H13" t="str">
        <f t="shared" si="2"/>
        <v>ADMINISTRAÇÃO</v>
      </c>
      <c r="I13" t="str">
        <f t="shared" si="3"/>
        <v>BIOLIFE HEALTH IMPORTACAO E DISTRIBUICAO DE PRODUT</v>
      </c>
      <c r="J13">
        <f t="shared" si="4"/>
        <v>1</v>
      </c>
      <c r="K13">
        <f t="shared" si="5"/>
        <v>0</v>
      </c>
    </row>
    <row r="14" spans="1:11" x14ac:dyDescent="0.25">
      <c r="A14" t="s">
        <v>338</v>
      </c>
      <c r="B14" t="s">
        <v>85</v>
      </c>
      <c r="C14" t="s">
        <v>50</v>
      </c>
      <c r="D14" s="3">
        <v>45537</v>
      </c>
      <c r="E14" t="str">
        <f>VLOOKUP(B14,'PROCV GERENTES BD'!A:B,2,0)</f>
        <v>NOELI SALETE</v>
      </c>
      <c r="F14" s="4" t="str">
        <f t="shared" si="0"/>
        <v>2024-09</v>
      </c>
      <c r="G14" s="18">
        <f t="shared" si="1"/>
        <v>36</v>
      </c>
      <c r="H14" t="str">
        <f t="shared" si="2"/>
        <v>NOELI SALETE</v>
      </c>
      <c r="I14" t="str">
        <f t="shared" si="3"/>
        <v>MASTERVET COMERCIO DE PRODUTOS AGROPECUARIOS LTDA</v>
      </c>
      <c r="J14">
        <f t="shared" si="4"/>
        <v>0</v>
      </c>
      <c r="K14">
        <f t="shared" si="5"/>
        <v>1</v>
      </c>
    </row>
    <row r="15" spans="1:11" x14ac:dyDescent="0.25">
      <c r="A15" t="s">
        <v>339</v>
      </c>
      <c r="B15" t="s">
        <v>87</v>
      </c>
      <c r="C15" t="s">
        <v>50</v>
      </c>
      <c r="D15" s="3">
        <v>45537</v>
      </c>
      <c r="E15" t="str">
        <f>VLOOKUP(B15,'PROCV GERENTES BD'!A:B,2,0)</f>
        <v>NOELI SALETE</v>
      </c>
      <c r="F15" s="4" t="str">
        <f t="shared" si="0"/>
        <v>2024-09</v>
      </c>
      <c r="G15" s="18">
        <f t="shared" si="1"/>
        <v>36</v>
      </c>
      <c r="H15" t="str">
        <f t="shared" si="2"/>
        <v>NOELI SALETE</v>
      </c>
      <c r="I15" t="str">
        <f t="shared" si="3"/>
        <v>RODOBOX TRANSPORTES E ARMAZENAGEM DE CARGAS LTDA</v>
      </c>
      <c r="J15">
        <f t="shared" si="4"/>
        <v>0</v>
      </c>
      <c r="K15">
        <f t="shared" si="5"/>
        <v>1</v>
      </c>
    </row>
    <row r="16" spans="1:11" x14ac:dyDescent="0.25">
      <c r="A16" t="s">
        <v>340</v>
      </c>
      <c r="B16" t="s">
        <v>86</v>
      </c>
      <c r="C16" t="s">
        <v>50</v>
      </c>
      <c r="D16" s="3">
        <v>45537</v>
      </c>
      <c r="E16" t="str">
        <f>VLOOKUP(B16,'PROCV GERENTES BD'!A:B,2,0)</f>
        <v>NOELI SALETE</v>
      </c>
      <c r="F16" s="4" t="str">
        <f t="shared" si="0"/>
        <v>2024-09</v>
      </c>
      <c r="G16" s="18">
        <f t="shared" si="1"/>
        <v>36</v>
      </c>
      <c r="H16" t="str">
        <f t="shared" si="2"/>
        <v>NOELI SALETE</v>
      </c>
      <c r="I16" t="str">
        <f t="shared" si="3"/>
        <v>MEIO OESTE PAPEIS LTDA ME</v>
      </c>
      <c r="J16">
        <f t="shared" si="4"/>
        <v>0</v>
      </c>
      <c r="K16">
        <f t="shared" si="5"/>
        <v>1</v>
      </c>
    </row>
    <row r="17" spans="1:11" x14ac:dyDescent="0.25">
      <c r="A17" t="s">
        <v>341</v>
      </c>
      <c r="B17" t="s">
        <v>86</v>
      </c>
      <c r="C17" t="s">
        <v>66</v>
      </c>
      <c r="D17" s="3">
        <v>45537</v>
      </c>
      <c r="E17" t="str">
        <f>VLOOKUP(B17,'PROCV GERENTES BD'!A:B,2,0)</f>
        <v>NOELI SALETE</v>
      </c>
      <c r="F17" s="4" t="str">
        <f t="shared" si="0"/>
        <v>2024-09</v>
      </c>
      <c r="G17" s="18">
        <f t="shared" si="1"/>
        <v>36</v>
      </c>
      <c r="H17" t="str">
        <f t="shared" si="2"/>
        <v>NOELI SALETE</v>
      </c>
      <c r="I17" t="str">
        <f t="shared" si="3"/>
        <v>MEIO OESTE PAPEIS LTDA ME</v>
      </c>
      <c r="J17">
        <f t="shared" si="4"/>
        <v>1</v>
      </c>
      <c r="K17">
        <f t="shared" si="5"/>
        <v>0</v>
      </c>
    </row>
    <row r="18" spans="1:11" x14ac:dyDescent="0.25">
      <c r="A18" t="s">
        <v>342</v>
      </c>
      <c r="B18" t="s">
        <v>88</v>
      </c>
      <c r="C18" t="s">
        <v>50</v>
      </c>
      <c r="D18" s="3">
        <v>45537</v>
      </c>
      <c r="E18" t="str">
        <f>VLOOKUP(B18,'PROCV GERENTES BD'!A:B,2,0)</f>
        <v>NOELI SALETE</v>
      </c>
      <c r="F18" s="4" t="str">
        <f t="shared" si="0"/>
        <v>2024-09</v>
      </c>
      <c r="G18" s="18">
        <f t="shared" si="1"/>
        <v>36</v>
      </c>
      <c r="H18" t="str">
        <f t="shared" si="2"/>
        <v>NOELI SALETE</v>
      </c>
      <c r="I18" t="str">
        <f t="shared" si="3"/>
        <v>TRANSNECHER COMERCIO TRANSPORTES E EMPREENDIMENTOS</v>
      </c>
      <c r="J18">
        <f t="shared" si="4"/>
        <v>0</v>
      </c>
      <c r="K18">
        <f t="shared" si="5"/>
        <v>1</v>
      </c>
    </row>
    <row r="19" spans="1:11" x14ac:dyDescent="0.25">
      <c r="A19" t="s">
        <v>343</v>
      </c>
      <c r="B19" t="s">
        <v>88</v>
      </c>
      <c r="C19" t="s">
        <v>66</v>
      </c>
      <c r="D19" s="3">
        <v>45537</v>
      </c>
      <c r="E19" t="str">
        <f>VLOOKUP(B19,'PROCV GERENTES BD'!A:B,2,0)</f>
        <v>NOELI SALETE</v>
      </c>
      <c r="F19" s="4" t="str">
        <f t="shared" si="0"/>
        <v>2024-09</v>
      </c>
      <c r="G19" s="18">
        <f t="shared" si="1"/>
        <v>36</v>
      </c>
      <c r="H19" t="str">
        <f t="shared" si="2"/>
        <v>NOELI SALETE</v>
      </c>
      <c r="I19" t="str">
        <f t="shared" si="3"/>
        <v>TRANSNECHER COMERCIO TRANSPORTES E EMPREENDIMENTOS</v>
      </c>
      <c r="J19">
        <f t="shared" si="4"/>
        <v>1</v>
      </c>
      <c r="K19">
        <f t="shared" si="5"/>
        <v>0</v>
      </c>
    </row>
    <row r="20" spans="1:11" x14ac:dyDescent="0.25">
      <c r="A20" t="s">
        <v>344</v>
      </c>
      <c r="B20" t="s">
        <v>89</v>
      </c>
      <c r="C20" t="s">
        <v>50</v>
      </c>
      <c r="D20" s="3">
        <v>45537</v>
      </c>
      <c r="E20" t="str">
        <f>VLOOKUP(B20,'PROCV GERENTES BD'!A:B,2,0)</f>
        <v>POENATELA</v>
      </c>
      <c r="F20" s="4" t="str">
        <f t="shared" si="0"/>
        <v>2024-09</v>
      </c>
      <c r="G20" s="18">
        <f t="shared" si="1"/>
        <v>36</v>
      </c>
      <c r="H20" t="str">
        <f t="shared" si="2"/>
        <v>POENATELA</v>
      </c>
      <c r="I20" t="str">
        <f t="shared" si="3"/>
        <v>CERVEJARIA SOUZA LTDA</v>
      </c>
      <c r="J20">
        <f t="shared" si="4"/>
        <v>0</v>
      </c>
      <c r="K20">
        <f t="shared" si="5"/>
        <v>1</v>
      </c>
    </row>
    <row r="21" spans="1:11" x14ac:dyDescent="0.25">
      <c r="A21" t="s">
        <v>345</v>
      </c>
      <c r="B21" t="s">
        <v>90</v>
      </c>
      <c r="C21" t="s">
        <v>50</v>
      </c>
      <c r="D21" s="3">
        <v>45537</v>
      </c>
      <c r="E21" t="str">
        <f>VLOOKUP(B21,'PROCV GERENTES BD'!A:B,2,0)</f>
        <v>POENATELA</v>
      </c>
      <c r="F21" s="4" t="str">
        <f t="shared" si="0"/>
        <v>2024-09</v>
      </c>
      <c r="G21" s="18">
        <f t="shared" si="1"/>
        <v>36</v>
      </c>
      <c r="H21" t="str">
        <f t="shared" si="2"/>
        <v>POENATELA</v>
      </c>
      <c r="I21" t="str">
        <f t="shared" si="3"/>
        <v>GREEN FARMING FAZENDAS RENOVAVEIS LTDA</v>
      </c>
      <c r="J21">
        <f t="shared" si="4"/>
        <v>0</v>
      </c>
      <c r="K21">
        <f t="shared" si="5"/>
        <v>1</v>
      </c>
    </row>
    <row r="22" spans="1:11" x14ac:dyDescent="0.25">
      <c r="A22" t="s">
        <v>346</v>
      </c>
      <c r="B22" t="s">
        <v>91</v>
      </c>
      <c r="C22" t="s">
        <v>50</v>
      </c>
      <c r="D22" s="3">
        <v>45537</v>
      </c>
      <c r="E22" t="str">
        <f>VLOOKUP(B22,'PROCV GERENTES BD'!A:B,2,0)</f>
        <v>POENATELA</v>
      </c>
      <c r="F22" s="4" t="str">
        <f t="shared" si="0"/>
        <v>2024-09</v>
      </c>
      <c r="G22" s="18">
        <f t="shared" si="1"/>
        <v>36</v>
      </c>
      <c r="H22" t="str">
        <f t="shared" si="2"/>
        <v>POENATELA</v>
      </c>
      <c r="I22" t="str">
        <f t="shared" si="3"/>
        <v>UBERTEC SERVICE USINAGEM LTDA EPP</v>
      </c>
      <c r="J22">
        <f t="shared" si="4"/>
        <v>0</v>
      </c>
      <c r="K22">
        <f t="shared" si="5"/>
        <v>1</v>
      </c>
    </row>
    <row r="23" spans="1:11" x14ac:dyDescent="0.25">
      <c r="A23" t="s">
        <v>347</v>
      </c>
      <c r="B23" t="s">
        <v>92</v>
      </c>
      <c r="C23" t="s">
        <v>50</v>
      </c>
      <c r="D23" s="3">
        <v>45537</v>
      </c>
      <c r="E23" t="str">
        <f>VLOOKUP(B23,'PROCV GERENTES BD'!A:B,2,0)</f>
        <v>RAFAEL PARISE</v>
      </c>
      <c r="F23" s="4" t="str">
        <f t="shared" si="0"/>
        <v>2024-09</v>
      </c>
      <c r="G23" s="18">
        <f t="shared" si="1"/>
        <v>36</v>
      </c>
      <c r="H23" t="str">
        <f t="shared" si="2"/>
        <v>RAFAEL PARISE</v>
      </c>
      <c r="I23" t="str">
        <f t="shared" si="3"/>
        <v>CONSULOC ENGENHARIA LTDA EPP</v>
      </c>
      <c r="J23">
        <f t="shared" si="4"/>
        <v>0</v>
      </c>
      <c r="K23">
        <f t="shared" si="5"/>
        <v>1</v>
      </c>
    </row>
    <row r="24" spans="1:11" x14ac:dyDescent="0.25">
      <c r="A24" t="s">
        <v>348</v>
      </c>
      <c r="B24" t="s">
        <v>93</v>
      </c>
      <c r="C24" t="s">
        <v>50</v>
      </c>
      <c r="D24" s="3">
        <v>45537</v>
      </c>
      <c r="E24" t="str">
        <f>VLOOKUP(B24,'PROCV GERENTES BD'!A:B,2,0)</f>
        <v>WHELKYA IRIS</v>
      </c>
      <c r="F24" s="4" t="str">
        <f t="shared" si="0"/>
        <v>2024-09</v>
      </c>
      <c r="G24" s="18">
        <f t="shared" si="1"/>
        <v>36</v>
      </c>
      <c r="H24" t="str">
        <f t="shared" si="2"/>
        <v>WHELKYA IRIS</v>
      </c>
      <c r="I24" t="str">
        <f t="shared" si="3"/>
        <v>DIVINA INDUSTRIA DE COURO LTDA</v>
      </c>
      <c r="J24">
        <f t="shared" si="4"/>
        <v>0</v>
      </c>
      <c r="K24">
        <f t="shared" si="5"/>
        <v>1</v>
      </c>
    </row>
    <row r="25" spans="1:11" x14ac:dyDescent="0.25">
      <c r="A25" t="s">
        <v>349</v>
      </c>
      <c r="B25" t="s">
        <v>94</v>
      </c>
      <c r="C25" t="s">
        <v>50</v>
      </c>
      <c r="D25" s="3">
        <v>45538</v>
      </c>
      <c r="E25" t="str">
        <f>VLOOKUP(B25,'PROCV GERENTES BD'!A:B,2,0)</f>
        <v>ADMINISTRAÇÃO</v>
      </c>
      <c r="F25" s="4" t="str">
        <f t="shared" si="0"/>
        <v>2024-09</v>
      </c>
      <c r="G25" s="18">
        <f t="shared" si="1"/>
        <v>36</v>
      </c>
      <c r="H25" t="str">
        <f t="shared" si="2"/>
        <v>ADMINISTRAÇÃO</v>
      </c>
      <c r="I25" t="str">
        <f t="shared" si="3"/>
        <v>MEK SOL FUNDACOES E SERVICOS GEOTECNICOS LTDA EPP</v>
      </c>
      <c r="J25">
        <f t="shared" si="4"/>
        <v>0</v>
      </c>
      <c r="K25">
        <f t="shared" si="5"/>
        <v>1</v>
      </c>
    </row>
    <row r="26" spans="1:11" x14ac:dyDescent="0.25">
      <c r="A26" t="s">
        <v>331</v>
      </c>
      <c r="B26" t="s">
        <v>79</v>
      </c>
      <c r="C26" t="s">
        <v>66</v>
      </c>
      <c r="D26" s="3">
        <v>45538</v>
      </c>
      <c r="E26" t="str">
        <f>VLOOKUP(B26,'PROCV GERENTES BD'!A:B,2,0)</f>
        <v>ADMINISTRAÇÃO</v>
      </c>
      <c r="F26" s="4" t="str">
        <f t="shared" si="0"/>
        <v>2024-09</v>
      </c>
      <c r="G26" s="18">
        <f t="shared" si="1"/>
        <v>36</v>
      </c>
      <c r="H26" t="str">
        <f t="shared" si="2"/>
        <v>ADMINISTRAÇÃO</v>
      </c>
      <c r="I26" t="str">
        <f t="shared" si="3"/>
        <v>BOM PASTOR PAPEIS LTDA</v>
      </c>
      <c r="J26">
        <f t="shared" si="4"/>
        <v>1</v>
      </c>
      <c r="K26">
        <f t="shared" si="5"/>
        <v>0</v>
      </c>
    </row>
    <row r="27" spans="1:11" x14ac:dyDescent="0.25">
      <c r="A27" t="s">
        <v>319</v>
      </c>
      <c r="B27" t="s">
        <v>80</v>
      </c>
      <c r="C27" t="s">
        <v>50</v>
      </c>
      <c r="D27" s="3">
        <v>45538</v>
      </c>
      <c r="E27" t="str">
        <f>VLOOKUP(B27,'PROCV GERENTES BD'!A:B,2,0)</f>
        <v>CELIO PIMENTA</v>
      </c>
      <c r="F27" s="4" t="str">
        <f t="shared" si="0"/>
        <v>2024-09</v>
      </c>
      <c r="G27" s="18">
        <f t="shared" si="1"/>
        <v>36</v>
      </c>
      <c r="H27" t="str">
        <f t="shared" si="2"/>
        <v>CELIO PIMENTA</v>
      </c>
      <c r="I27" t="str">
        <f t="shared" si="3"/>
        <v>IMPORTEXTIL COMERCIO DE TECIDOS LTDA</v>
      </c>
      <c r="J27">
        <f t="shared" si="4"/>
        <v>0</v>
      </c>
      <c r="K27">
        <f t="shared" si="5"/>
        <v>1</v>
      </c>
    </row>
    <row r="28" spans="1:11" x14ac:dyDescent="0.25">
      <c r="A28" t="s">
        <v>350</v>
      </c>
      <c r="B28" t="s">
        <v>95</v>
      </c>
      <c r="C28" t="s">
        <v>50</v>
      </c>
      <c r="D28" s="3">
        <v>45538</v>
      </c>
      <c r="E28" t="str">
        <f>VLOOKUP(B28,'PROCV GERENTES BD'!A:B,2,0)</f>
        <v>GRUPO OTTO</v>
      </c>
      <c r="F28" s="4" t="str">
        <f t="shared" si="0"/>
        <v>2024-09</v>
      </c>
      <c r="G28" s="18">
        <f t="shared" si="1"/>
        <v>36</v>
      </c>
      <c r="H28" t="str">
        <f t="shared" si="2"/>
        <v>GRUPO OTTO</v>
      </c>
      <c r="I28" t="str">
        <f t="shared" si="3"/>
        <v>PLURIFORME INDUSTRIA E COMERCIO DE UNIFORMES LTDA</v>
      </c>
      <c r="J28">
        <f t="shared" si="4"/>
        <v>0</v>
      </c>
      <c r="K28">
        <f t="shared" si="5"/>
        <v>1</v>
      </c>
    </row>
    <row r="29" spans="1:11" x14ac:dyDescent="0.25">
      <c r="A29" t="s">
        <v>333</v>
      </c>
      <c r="B29" t="s">
        <v>82</v>
      </c>
      <c r="C29" t="s">
        <v>66</v>
      </c>
      <c r="D29" s="3">
        <v>45538</v>
      </c>
      <c r="E29" t="str">
        <f>VLOOKUP(B29,'PROCV GERENTES BD'!A:B,2,0)</f>
        <v>ADMINISTRAÇÃO</v>
      </c>
      <c r="F29" s="4" t="str">
        <f t="shared" si="0"/>
        <v>2024-09</v>
      </c>
      <c r="G29" s="18">
        <f t="shared" si="1"/>
        <v>36</v>
      </c>
      <c r="H29" t="str">
        <f t="shared" si="2"/>
        <v>ADMINISTRAÇÃO</v>
      </c>
      <c r="I29" t="str">
        <f t="shared" si="3"/>
        <v>BETMIX CONCRETO LTDA</v>
      </c>
      <c r="J29">
        <f t="shared" si="4"/>
        <v>1</v>
      </c>
      <c r="K29">
        <f t="shared" si="5"/>
        <v>0</v>
      </c>
    </row>
    <row r="30" spans="1:11" x14ac:dyDescent="0.25">
      <c r="A30" t="s">
        <v>338</v>
      </c>
      <c r="B30" t="s">
        <v>85</v>
      </c>
      <c r="C30" t="s">
        <v>50</v>
      </c>
      <c r="D30" s="3">
        <v>45538</v>
      </c>
      <c r="E30" t="str">
        <f>VLOOKUP(B30,'PROCV GERENTES BD'!A:B,2,0)</f>
        <v>NOELI SALETE</v>
      </c>
      <c r="F30" s="4" t="str">
        <f t="shared" si="0"/>
        <v>2024-09</v>
      </c>
      <c r="G30" s="18">
        <f t="shared" si="1"/>
        <v>36</v>
      </c>
      <c r="H30" t="str">
        <f t="shared" si="2"/>
        <v>NOELI SALETE</v>
      </c>
      <c r="I30" t="str">
        <f t="shared" si="3"/>
        <v>MASTERVET COMERCIO DE PRODUTOS AGROPECUARIOS LTDA</v>
      </c>
      <c r="J30">
        <f t="shared" si="4"/>
        <v>0</v>
      </c>
      <c r="K30">
        <f t="shared" si="5"/>
        <v>1</v>
      </c>
    </row>
    <row r="31" spans="1:11" x14ac:dyDescent="0.25">
      <c r="A31" t="s">
        <v>351</v>
      </c>
      <c r="B31" t="s">
        <v>85</v>
      </c>
      <c r="C31" t="s">
        <v>66</v>
      </c>
      <c r="D31" s="3">
        <v>45538</v>
      </c>
      <c r="E31" t="str">
        <f>VLOOKUP(B31,'PROCV GERENTES BD'!A:B,2,0)</f>
        <v>NOELI SALETE</v>
      </c>
      <c r="F31" s="4" t="str">
        <f t="shared" si="0"/>
        <v>2024-09</v>
      </c>
      <c r="G31" s="18">
        <f t="shared" si="1"/>
        <v>36</v>
      </c>
      <c r="H31" t="str">
        <f t="shared" si="2"/>
        <v>NOELI SALETE</v>
      </c>
      <c r="I31" t="str">
        <f t="shared" si="3"/>
        <v>MASTERVET COMERCIO DE PRODUTOS AGROPECUARIOS LTDA</v>
      </c>
      <c r="J31">
        <f t="shared" si="4"/>
        <v>1</v>
      </c>
      <c r="K31">
        <f t="shared" si="5"/>
        <v>0</v>
      </c>
    </row>
    <row r="32" spans="1:11" x14ac:dyDescent="0.25">
      <c r="A32" t="s">
        <v>339</v>
      </c>
      <c r="B32" t="s">
        <v>87</v>
      </c>
      <c r="C32" t="s">
        <v>50</v>
      </c>
      <c r="D32" s="3">
        <v>45538</v>
      </c>
      <c r="E32" t="str">
        <f>VLOOKUP(B32,'PROCV GERENTES BD'!A:B,2,0)</f>
        <v>NOELI SALETE</v>
      </c>
      <c r="F32" s="4" t="str">
        <f t="shared" si="0"/>
        <v>2024-09</v>
      </c>
      <c r="G32" s="18">
        <f t="shared" si="1"/>
        <v>36</v>
      </c>
      <c r="H32" t="str">
        <f t="shared" si="2"/>
        <v>NOELI SALETE</v>
      </c>
      <c r="I32" t="str">
        <f t="shared" si="3"/>
        <v>RODOBOX TRANSPORTES E ARMAZENAGEM DE CARGAS LTDA</v>
      </c>
      <c r="J32">
        <f t="shared" si="4"/>
        <v>0</v>
      </c>
      <c r="K32">
        <f t="shared" si="5"/>
        <v>1</v>
      </c>
    </row>
    <row r="33" spans="1:11" x14ac:dyDescent="0.25">
      <c r="A33" t="s">
        <v>340</v>
      </c>
      <c r="B33" t="s">
        <v>86</v>
      </c>
      <c r="C33" t="s">
        <v>66</v>
      </c>
      <c r="D33" s="3">
        <v>45538</v>
      </c>
      <c r="E33" t="str">
        <f>VLOOKUP(B33,'PROCV GERENTES BD'!A:B,2,0)</f>
        <v>NOELI SALETE</v>
      </c>
      <c r="F33" s="4" t="str">
        <f t="shared" si="0"/>
        <v>2024-09</v>
      </c>
      <c r="G33" s="18">
        <f t="shared" si="1"/>
        <v>36</v>
      </c>
      <c r="H33" t="str">
        <f t="shared" si="2"/>
        <v>NOELI SALETE</v>
      </c>
      <c r="I33" t="str">
        <f t="shared" si="3"/>
        <v>MEIO OESTE PAPEIS LTDA ME</v>
      </c>
      <c r="J33">
        <f t="shared" si="4"/>
        <v>1</v>
      </c>
      <c r="K33">
        <f t="shared" si="5"/>
        <v>0</v>
      </c>
    </row>
    <row r="34" spans="1:11" x14ac:dyDescent="0.25">
      <c r="A34" t="s">
        <v>342</v>
      </c>
      <c r="B34" t="s">
        <v>88</v>
      </c>
      <c r="C34" t="s">
        <v>66</v>
      </c>
      <c r="D34" s="3">
        <v>45538</v>
      </c>
      <c r="E34" t="str">
        <f>VLOOKUP(B34,'PROCV GERENTES BD'!A:B,2,0)</f>
        <v>NOELI SALETE</v>
      </c>
      <c r="F34" s="4" t="str">
        <f t="shared" si="0"/>
        <v>2024-09</v>
      </c>
      <c r="G34" s="18">
        <f t="shared" si="1"/>
        <v>36</v>
      </c>
      <c r="H34" t="str">
        <f t="shared" si="2"/>
        <v>NOELI SALETE</v>
      </c>
      <c r="I34" t="str">
        <f t="shared" si="3"/>
        <v>TRANSNECHER COMERCIO TRANSPORTES E EMPREENDIMENTOS</v>
      </c>
      <c r="J34">
        <f t="shared" si="4"/>
        <v>1</v>
      </c>
      <c r="K34">
        <f t="shared" si="5"/>
        <v>0</v>
      </c>
    </row>
    <row r="35" spans="1:11" x14ac:dyDescent="0.25">
      <c r="A35" t="s">
        <v>345</v>
      </c>
      <c r="B35" t="s">
        <v>90</v>
      </c>
      <c r="C35" t="s">
        <v>50</v>
      </c>
      <c r="D35" s="3">
        <v>45538</v>
      </c>
      <c r="E35" t="str">
        <f>VLOOKUP(B35,'PROCV GERENTES BD'!A:B,2,0)</f>
        <v>POENATELA</v>
      </c>
      <c r="F35" s="4" t="str">
        <f t="shared" si="0"/>
        <v>2024-09</v>
      </c>
      <c r="G35" s="18">
        <f t="shared" si="1"/>
        <v>36</v>
      </c>
      <c r="H35" t="str">
        <f t="shared" si="2"/>
        <v>POENATELA</v>
      </c>
      <c r="I35" t="str">
        <f t="shared" si="3"/>
        <v>GREEN FARMING FAZENDAS RENOVAVEIS LTDA</v>
      </c>
      <c r="J35">
        <f t="shared" si="4"/>
        <v>0</v>
      </c>
      <c r="K35">
        <f t="shared" si="5"/>
        <v>1</v>
      </c>
    </row>
    <row r="36" spans="1:11" x14ac:dyDescent="0.25">
      <c r="A36" t="s">
        <v>352</v>
      </c>
      <c r="B36" t="s">
        <v>96</v>
      </c>
      <c r="C36" t="s">
        <v>66</v>
      </c>
      <c r="D36" s="3">
        <v>45538</v>
      </c>
      <c r="E36" t="str">
        <f>VLOOKUP(B36,'PROCV GERENTES BD'!A:B,2,0)</f>
        <v>POENATELA</v>
      </c>
      <c r="F36" s="4" t="str">
        <f t="shared" si="0"/>
        <v>2024-09</v>
      </c>
      <c r="G36" s="18">
        <f t="shared" si="1"/>
        <v>36</v>
      </c>
      <c r="H36" t="str">
        <f t="shared" si="2"/>
        <v>POENATELA</v>
      </c>
      <c r="I36" t="str">
        <f t="shared" si="3"/>
        <v>SUPER HARD TECNOLOGIA EM TRATAMENTO DE SUPERFICIES</v>
      </c>
      <c r="J36">
        <f t="shared" si="4"/>
        <v>1</v>
      </c>
      <c r="K36">
        <f t="shared" si="5"/>
        <v>0</v>
      </c>
    </row>
    <row r="37" spans="1:11" x14ac:dyDescent="0.25">
      <c r="A37" t="s">
        <v>353</v>
      </c>
      <c r="B37" t="s">
        <v>97</v>
      </c>
      <c r="C37" t="s">
        <v>50</v>
      </c>
      <c r="D37" s="3">
        <v>45538</v>
      </c>
      <c r="E37" t="str">
        <f>VLOOKUP(B37,'PROCV GERENTES BD'!A:B,2,0)</f>
        <v>PRISCILA METZ</v>
      </c>
      <c r="F37" s="4" t="str">
        <f t="shared" si="0"/>
        <v>2024-09</v>
      </c>
      <c r="G37" s="18">
        <f t="shared" si="1"/>
        <v>36</v>
      </c>
      <c r="H37" t="str">
        <f t="shared" si="2"/>
        <v>PRISCILA METZ</v>
      </c>
      <c r="I37" t="str">
        <f t="shared" si="3"/>
        <v>ESSENZA INDUSTRIA QUIMICA LTDA</v>
      </c>
      <c r="J37">
        <f t="shared" si="4"/>
        <v>0</v>
      </c>
      <c r="K37">
        <f t="shared" si="5"/>
        <v>1</v>
      </c>
    </row>
    <row r="38" spans="1:11" x14ac:dyDescent="0.25">
      <c r="A38" t="s">
        <v>347</v>
      </c>
      <c r="B38" t="s">
        <v>92</v>
      </c>
      <c r="C38" t="s">
        <v>50</v>
      </c>
      <c r="D38" s="3">
        <v>45538</v>
      </c>
      <c r="E38" t="str">
        <f>VLOOKUP(B38,'PROCV GERENTES BD'!A:B,2,0)</f>
        <v>RAFAEL PARISE</v>
      </c>
      <c r="F38" s="4" t="str">
        <f t="shared" si="0"/>
        <v>2024-09</v>
      </c>
      <c r="G38" s="18">
        <f t="shared" si="1"/>
        <v>36</v>
      </c>
      <c r="H38" t="str">
        <f t="shared" si="2"/>
        <v>RAFAEL PARISE</v>
      </c>
      <c r="I38" t="str">
        <f t="shared" si="3"/>
        <v>CONSULOC ENGENHARIA LTDA EPP</v>
      </c>
      <c r="J38">
        <f t="shared" si="4"/>
        <v>0</v>
      </c>
      <c r="K38">
        <f t="shared" si="5"/>
        <v>1</v>
      </c>
    </row>
    <row r="39" spans="1:11" x14ac:dyDescent="0.25">
      <c r="A39" t="s">
        <v>314</v>
      </c>
      <c r="B39" t="s">
        <v>98</v>
      </c>
      <c r="C39" t="s">
        <v>66</v>
      </c>
      <c r="D39" s="3">
        <v>45538</v>
      </c>
      <c r="E39" t="str">
        <f>VLOOKUP(B39,'PROCV GERENTES BD'!A:B,2,0)</f>
        <v xml:space="preserve">ROGERIO </v>
      </c>
      <c r="F39" s="4" t="str">
        <f t="shared" si="0"/>
        <v>2024-09</v>
      </c>
      <c r="G39" s="18">
        <f t="shared" si="1"/>
        <v>36</v>
      </c>
      <c r="H39" t="str">
        <f t="shared" si="2"/>
        <v xml:space="preserve">ROGERIO </v>
      </c>
      <c r="I39" t="str">
        <f t="shared" si="3"/>
        <v>MUTCD CENTRO DISTRIBUICAO IND FABRICANTE COSMETICO</v>
      </c>
      <c r="J39">
        <f t="shared" si="4"/>
        <v>1</v>
      </c>
      <c r="K39">
        <f t="shared" si="5"/>
        <v>0</v>
      </c>
    </row>
    <row r="40" spans="1:11" x14ac:dyDescent="0.25">
      <c r="A40" t="s">
        <v>348</v>
      </c>
      <c r="B40" t="s">
        <v>93</v>
      </c>
      <c r="C40" t="s">
        <v>50</v>
      </c>
      <c r="D40" s="3">
        <v>45538</v>
      </c>
      <c r="E40" t="str">
        <f>VLOOKUP(B40,'PROCV GERENTES BD'!A:B,2,0)</f>
        <v>WHELKYA IRIS</v>
      </c>
      <c r="F40" s="4" t="str">
        <f t="shared" si="0"/>
        <v>2024-09</v>
      </c>
      <c r="G40" s="18">
        <f t="shared" si="1"/>
        <v>36</v>
      </c>
      <c r="H40" t="str">
        <f t="shared" si="2"/>
        <v>WHELKYA IRIS</v>
      </c>
      <c r="I40" t="str">
        <f t="shared" si="3"/>
        <v>DIVINA INDUSTRIA DE COURO LTDA</v>
      </c>
      <c r="J40">
        <f t="shared" si="4"/>
        <v>0</v>
      </c>
      <c r="K40">
        <f t="shared" si="5"/>
        <v>1</v>
      </c>
    </row>
    <row r="41" spans="1:11" x14ac:dyDescent="0.25">
      <c r="A41" t="s">
        <v>354</v>
      </c>
      <c r="B41" t="s">
        <v>99</v>
      </c>
      <c r="C41" t="s">
        <v>66</v>
      </c>
      <c r="D41" s="3">
        <v>45539</v>
      </c>
      <c r="E41" t="str">
        <f>VLOOKUP(B41,'PROCV GERENTES BD'!A:B,2,0)</f>
        <v>ADMINISTRAÇÃO</v>
      </c>
      <c r="F41" s="4" t="str">
        <f t="shared" si="0"/>
        <v>2024-09</v>
      </c>
      <c r="G41" s="18">
        <f t="shared" si="1"/>
        <v>36</v>
      </c>
      <c r="H41" t="str">
        <f t="shared" si="2"/>
        <v>ADMINISTRAÇÃO</v>
      </c>
      <c r="I41" t="str">
        <f t="shared" si="3"/>
        <v>COLIBRI IND MEDIC SUPLEMENTOS PARA PECUARIA VETERI</v>
      </c>
      <c r="J41">
        <f t="shared" si="4"/>
        <v>1</v>
      </c>
      <c r="K41">
        <f t="shared" si="5"/>
        <v>0</v>
      </c>
    </row>
    <row r="42" spans="1:11" x14ac:dyDescent="0.25">
      <c r="A42" t="s">
        <v>355</v>
      </c>
      <c r="B42" t="s">
        <v>100</v>
      </c>
      <c r="C42" t="s">
        <v>50</v>
      </c>
      <c r="D42" s="3">
        <v>45539</v>
      </c>
      <c r="E42" t="str">
        <f>VLOOKUP(B42,'PROCV GERENTES BD'!A:B,2,0)</f>
        <v>ADMINISTRAÇÃO</v>
      </c>
      <c r="F42" s="4" t="str">
        <f t="shared" si="0"/>
        <v>2024-09</v>
      </c>
      <c r="G42" s="18">
        <f t="shared" si="1"/>
        <v>36</v>
      </c>
      <c r="H42" t="str">
        <f t="shared" si="2"/>
        <v>ADMINISTRAÇÃO</v>
      </c>
      <c r="I42" t="str">
        <f t="shared" si="3"/>
        <v>DECISION DESENVOLVIMENTO DE SISTEMAS LTDA</v>
      </c>
      <c r="J42">
        <f t="shared" si="4"/>
        <v>0</v>
      </c>
      <c r="K42">
        <f t="shared" si="5"/>
        <v>1</v>
      </c>
    </row>
    <row r="43" spans="1:11" x14ac:dyDescent="0.25">
      <c r="A43" t="s">
        <v>356</v>
      </c>
      <c r="B43" t="s">
        <v>101</v>
      </c>
      <c r="C43" t="s">
        <v>66</v>
      </c>
      <c r="D43" s="3">
        <v>45539</v>
      </c>
      <c r="E43" t="str">
        <f>VLOOKUP(B43,'PROCV GERENTES BD'!A:B,2,0)</f>
        <v>ADMINISTRAÇÃO</v>
      </c>
      <c r="F43" s="4" t="str">
        <f t="shared" si="0"/>
        <v>2024-09</v>
      </c>
      <c r="G43" s="18">
        <f t="shared" si="1"/>
        <v>36</v>
      </c>
      <c r="H43" t="str">
        <f t="shared" si="2"/>
        <v>ADMINISTRAÇÃO</v>
      </c>
      <c r="I43" t="str">
        <f t="shared" si="3"/>
        <v>RPT SOLUCOES AMBIENTAIS LTDA</v>
      </c>
      <c r="J43">
        <f t="shared" si="4"/>
        <v>1</v>
      </c>
      <c r="K43">
        <f t="shared" si="5"/>
        <v>0</v>
      </c>
    </row>
    <row r="44" spans="1:11" x14ac:dyDescent="0.25">
      <c r="A44" t="s">
        <v>319</v>
      </c>
      <c r="B44" t="s">
        <v>80</v>
      </c>
      <c r="C44" t="s">
        <v>66</v>
      </c>
      <c r="D44" s="3">
        <v>45539</v>
      </c>
      <c r="E44" t="str">
        <f>VLOOKUP(B44,'PROCV GERENTES BD'!A:B,2,0)</f>
        <v>CELIO PIMENTA</v>
      </c>
      <c r="F44" s="4" t="str">
        <f t="shared" si="0"/>
        <v>2024-09</v>
      </c>
      <c r="G44" s="18">
        <f t="shared" si="1"/>
        <v>36</v>
      </c>
      <c r="H44" t="str">
        <f t="shared" si="2"/>
        <v>CELIO PIMENTA</v>
      </c>
      <c r="I44" t="str">
        <f t="shared" si="3"/>
        <v>IMPORTEXTIL COMERCIO DE TECIDOS LTDA</v>
      </c>
      <c r="J44">
        <f t="shared" si="4"/>
        <v>1</v>
      </c>
      <c r="K44">
        <f t="shared" si="5"/>
        <v>0</v>
      </c>
    </row>
    <row r="45" spans="1:11" x14ac:dyDescent="0.25">
      <c r="A45" t="s">
        <v>350</v>
      </c>
      <c r="B45" t="s">
        <v>95</v>
      </c>
      <c r="C45" t="s">
        <v>66</v>
      </c>
      <c r="D45" s="3">
        <v>45539</v>
      </c>
      <c r="E45" t="str">
        <f>VLOOKUP(B45,'PROCV GERENTES BD'!A:B,2,0)</f>
        <v>GRUPO OTTO</v>
      </c>
      <c r="F45" s="4" t="str">
        <f t="shared" si="0"/>
        <v>2024-09</v>
      </c>
      <c r="G45" s="18">
        <f t="shared" si="1"/>
        <v>36</v>
      </c>
      <c r="H45" t="str">
        <f t="shared" si="2"/>
        <v>GRUPO OTTO</v>
      </c>
      <c r="I45" t="str">
        <f t="shared" si="3"/>
        <v>PLURIFORME INDUSTRIA E COMERCIO DE UNIFORMES LTDA</v>
      </c>
      <c r="J45">
        <f t="shared" si="4"/>
        <v>1</v>
      </c>
      <c r="K45">
        <f t="shared" si="5"/>
        <v>0</v>
      </c>
    </row>
    <row r="46" spans="1:11" x14ac:dyDescent="0.25">
      <c r="A46" t="s">
        <v>340</v>
      </c>
      <c r="B46" t="s">
        <v>86</v>
      </c>
      <c r="C46" t="s">
        <v>66</v>
      </c>
      <c r="D46" s="3">
        <v>45539</v>
      </c>
      <c r="E46" t="str">
        <f>VLOOKUP(B46,'PROCV GERENTES BD'!A:B,2,0)</f>
        <v>NOELI SALETE</v>
      </c>
      <c r="F46" s="4" t="str">
        <f t="shared" si="0"/>
        <v>2024-09</v>
      </c>
      <c r="G46" s="18">
        <f t="shared" si="1"/>
        <v>36</v>
      </c>
      <c r="H46" t="str">
        <f t="shared" si="2"/>
        <v>NOELI SALETE</v>
      </c>
      <c r="I46" t="str">
        <f t="shared" si="3"/>
        <v>MEIO OESTE PAPEIS LTDA ME</v>
      </c>
      <c r="J46">
        <f t="shared" si="4"/>
        <v>1</v>
      </c>
      <c r="K46">
        <f t="shared" si="5"/>
        <v>0</v>
      </c>
    </row>
    <row r="47" spans="1:11" x14ac:dyDescent="0.25">
      <c r="A47" t="s">
        <v>344</v>
      </c>
      <c r="B47" t="s">
        <v>89</v>
      </c>
      <c r="C47" t="s">
        <v>66</v>
      </c>
      <c r="D47" s="3">
        <v>45539</v>
      </c>
      <c r="E47" t="str">
        <f>VLOOKUP(B47,'PROCV GERENTES BD'!A:B,2,0)</f>
        <v>POENATELA</v>
      </c>
      <c r="F47" s="4" t="str">
        <f t="shared" si="0"/>
        <v>2024-09</v>
      </c>
      <c r="G47" s="18">
        <f t="shared" si="1"/>
        <v>36</v>
      </c>
      <c r="H47" t="str">
        <f t="shared" si="2"/>
        <v>POENATELA</v>
      </c>
      <c r="I47" t="str">
        <f t="shared" si="3"/>
        <v>CERVEJARIA SOUZA LTDA</v>
      </c>
      <c r="J47">
        <f t="shared" si="4"/>
        <v>1</v>
      </c>
      <c r="K47">
        <f t="shared" si="5"/>
        <v>0</v>
      </c>
    </row>
    <row r="48" spans="1:11" x14ac:dyDescent="0.25">
      <c r="A48" t="s">
        <v>307</v>
      </c>
      <c r="B48" t="s">
        <v>102</v>
      </c>
      <c r="C48" t="s">
        <v>66</v>
      </c>
      <c r="D48" s="3">
        <v>45539</v>
      </c>
      <c r="E48" t="str">
        <f>VLOOKUP(B48,'PROCV GERENTES BD'!A:B,2,0)</f>
        <v>POENATELA</v>
      </c>
      <c r="F48" s="4" t="str">
        <f t="shared" si="0"/>
        <v>2024-09</v>
      </c>
      <c r="G48" s="18">
        <f t="shared" si="1"/>
        <v>36</v>
      </c>
      <c r="H48" t="str">
        <f t="shared" si="2"/>
        <v>POENATELA</v>
      </c>
      <c r="I48" t="str">
        <f t="shared" si="3"/>
        <v>ECOPINUS INDUSTRIA E COMERCIO DE EMBALAGENS DE MAD</v>
      </c>
      <c r="J48">
        <f t="shared" si="4"/>
        <v>1</v>
      </c>
      <c r="K48">
        <f t="shared" si="5"/>
        <v>0</v>
      </c>
    </row>
    <row r="49" spans="1:11" x14ac:dyDescent="0.25">
      <c r="A49" t="s">
        <v>347</v>
      </c>
      <c r="B49" t="s">
        <v>92</v>
      </c>
      <c r="C49" t="s">
        <v>50</v>
      </c>
      <c r="D49" s="3">
        <v>45539</v>
      </c>
      <c r="E49" t="str">
        <f>VLOOKUP(B49,'PROCV GERENTES BD'!A:B,2,0)</f>
        <v>RAFAEL PARISE</v>
      </c>
      <c r="F49" s="4" t="str">
        <f t="shared" si="0"/>
        <v>2024-09</v>
      </c>
      <c r="G49" s="18">
        <f t="shared" si="1"/>
        <v>36</v>
      </c>
      <c r="H49" t="str">
        <f t="shared" si="2"/>
        <v>RAFAEL PARISE</v>
      </c>
      <c r="I49" t="str">
        <f t="shared" si="3"/>
        <v>CONSULOC ENGENHARIA LTDA EPP</v>
      </c>
      <c r="J49">
        <f t="shared" si="4"/>
        <v>0</v>
      </c>
      <c r="K49">
        <f t="shared" si="5"/>
        <v>1</v>
      </c>
    </row>
    <row r="50" spans="1:11" x14ac:dyDescent="0.25">
      <c r="A50" t="s">
        <v>357</v>
      </c>
      <c r="B50" t="s">
        <v>103</v>
      </c>
      <c r="C50" t="s">
        <v>66</v>
      </c>
      <c r="D50" s="3">
        <v>45540</v>
      </c>
      <c r="E50" t="str">
        <f>VLOOKUP(B50,'PROCV GERENTES BD'!A:B,2,0)</f>
        <v>ADMINISTRAÇÃO</v>
      </c>
      <c r="F50" s="4" t="str">
        <f t="shared" si="0"/>
        <v>2024-09</v>
      </c>
      <c r="G50" s="18">
        <f t="shared" si="1"/>
        <v>36</v>
      </c>
      <c r="H50" t="str">
        <f t="shared" si="2"/>
        <v>ADMINISTRAÇÃO</v>
      </c>
      <c r="I50" t="str">
        <f t="shared" si="3"/>
        <v>MAPE TRATAMENTO DE RESIDUOS LTDA</v>
      </c>
      <c r="J50">
        <f t="shared" si="4"/>
        <v>1</v>
      </c>
      <c r="K50">
        <f t="shared" si="5"/>
        <v>0</v>
      </c>
    </row>
    <row r="51" spans="1:11" x14ac:dyDescent="0.25">
      <c r="A51" t="s">
        <v>355</v>
      </c>
      <c r="B51" t="s">
        <v>100</v>
      </c>
      <c r="C51" t="s">
        <v>66</v>
      </c>
      <c r="D51" s="3">
        <v>45540</v>
      </c>
      <c r="E51" t="str">
        <f>VLOOKUP(B51,'PROCV GERENTES BD'!A:B,2,0)</f>
        <v>ADMINISTRAÇÃO</v>
      </c>
      <c r="F51" s="4" t="str">
        <f t="shared" si="0"/>
        <v>2024-09</v>
      </c>
      <c r="G51" s="18">
        <f t="shared" si="1"/>
        <v>36</v>
      </c>
      <c r="H51" t="str">
        <f t="shared" si="2"/>
        <v>ADMINISTRAÇÃO</v>
      </c>
      <c r="I51" t="str">
        <f t="shared" si="3"/>
        <v>DECISION DESENVOLVIMENTO DE SISTEMAS LTDA</v>
      </c>
      <c r="J51">
        <f t="shared" si="4"/>
        <v>1</v>
      </c>
      <c r="K51">
        <f t="shared" si="5"/>
        <v>0</v>
      </c>
    </row>
    <row r="52" spans="1:11" x14ac:dyDescent="0.25">
      <c r="A52" t="s">
        <v>304</v>
      </c>
      <c r="B52" t="s">
        <v>123</v>
      </c>
      <c r="C52" t="s">
        <v>50</v>
      </c>
      <c r="D52" s="3">
        <v>45540</v>
      </c>
      <c r="E52" t="str">
        <f>VLOOKUP(B52,'PROCV GERENTES BD'!A:B,2,0)</f>
        <v>ADMINISTRAÇÃO</v>
      </c>
      <c r="F52" s="4" t="str">
        <f t="shared" si="0"/>
        <v>2024-09</v>
      </c>
      <c r="G52" s="18">
        <f t="shared" si="1"/>
        <v>36</v>
      </c>
      <c r="H52" t="str">
        <f t="shared" si="2"/>
        <v>ADMINISTRAÇÃO</v>
      </c>
      <c r="I52" t="str">
        <f t="shared" si="3"/>
        <v>VIC LOGISTICA LTDA EM RECUPERACAO JUDICIAL</v>
      </c>
      <c r="J52">
        <f t="shared" si="4"/>
        <v>0</v>
      </c>
      <c r="K52">
        <f t="shared" si="5"/>
        <v>1</v>
      </c>
    </row>
    <row r="53" spans="1:11" x14ac:dyDescent="0.25">
      <c r="A53" t="s">
        <v>54</v>
      </c>
      <c r="B53" t="s">
        <v>55</v>
      </c>
      <c r="C53" t="s">
        <v>50</v>
      </c>
      <c r="D53" s="3">
        <v>45540</v>
      </c>
      <c r="E53" t="str">
        <f>VLOOKUP(B53,'PROCV GERENTES BD'!A:B,2,0)</f>
        <v>CELIO PIMENTA</v>
      </c>
      <c r="F53" s="4" t="str">
        <f t="shared" si="0"/>
        <v>2024-09</v>
      </c>
      <c r="G53" s="18">
        <f t="shared" si="1"/>
        <v>36</v>
      </c>
      <c r="H53" t="str">
        <f t="shared" si="2"/>
        <v>CELIO PIMENTA</v>
      </c>
      <c r="I53" t="str">
        <f t="shared" si="3"/>
        <v>WJ CALDEIRARIA INDUSTRIA E COMERCIO LTDA ME</v>
      </c>
      <c r="J53">
        <f t="shared" si="4"/>
        <v>0</v>
      </c>
      <c r="K53">
        <f t="shared" si="5"/>
        <v>1</v>
      </c>
    </row>
    <row r="54" spans="1:11" x14ac:dyDescent="0.25">
      <c r="A54" t="s">
        <v>358</v>
      </c>
      <c r="B54" t="s">
        <v>104</v>
      </c>
      <c r="C54" t="s">
        <v>50</v>
      </c>
      <c r="D54" s="3">
        <v>45540</v>
      </c>
      <c r="E54" t="str">
        <f>VLOOKUP(B54,'PROCV GERENTES BD'!A:B,2,0)</f>
        <v>DIOGO AZEVEDO</v>
      </c>
      <c r="F54" s="4" t="str">
        <f t="shared" si="0"/>
        <v>2024-09</v>
      </c>
      <c r="G54" s="18">
        <f t="shared" si="1"/>
        <v>36</v>
      </c>
      <c r="H54" t="str">
        <f t="shared" si="2"/>
        <v>DIOGO AZEVEDO</v>
      </c>
      <c r="I54" t="str">
        <f t="shared" si="3"/>
        <v>INDUSTRIA E CERVEJARIA ARTESANAL DE MINAS GERAIS L</v>
      </c>
      <c r="J54">
        <f t="shared" si="4"/>
        <v>0</v>
      </c>
      <c r="K54">
        <f t="shared" si="5"/>
        <v>1</v>
      </c>
    </row>
    <row r="55" spans="1:11" x14ac:dyDescent="0.25">
      <c r="A55" t="s">
        <v>359</v>
      </c>
      <c r="B55" t="s">
        <v>105</v>
      </c>
      <c r="C55" t="s">
        <v>66</v>
      </c>
      <c r="D55" s="3">
        <v>45540</v>
      </c>
      <c r="E55" t="str">
        <f>VLOOKUP(B55,'PROCV GERENTES BD'!A:B,2,0)</f>
        <v>PROSPECTAR</v>
      </c>
      <c r="F55" s="4" t="str">
        <f t="shared" si="0"/>
        <v>2024-09</v>
      </c>
      <c r="G55" s="18">
        <f t="shared" si="1"/>
        <v>36</v>
      </c>
      <c r="H55" t="str">
        <f t="shared" si="2"/>
        <v>PROSPECTAR</v>
      </c>
      <c r="I55" t="str">
        <f t="shared" si="3"/>
        <v>ALEXANDRE ROSA VICENTE E SERVICOS LTDA ME</v>
      </c>
      <c r="J55">
        <f t="shared" si="4"/>
        <v>1</v>
      </c>
      <c r="K55">
        <f t="shared" si="5"/>
        <v>0</v>
      </c>
    </row>
    <row r="56" spans="1:11" x14ac:dyDescent="0.25">
      <c r="A56" t="s">
        <v>338</v>
      </c>
      <c r="B56" t="s">
        <v>85</v>
      </c>
      <c r="C56" t="s">
        <v>50</v>
      </c>
      <c r="D56" s="3">
        <v>45540</v>
      </c>
      <c r="E56" t="str">
        <f>VLOOKUP(B56,'PROCV GERENTES BD'!A:B,2,0)</f>
        <v>NOELI SALETE</v>
      </c>
      <c r="F56" s="4" t="str">
        <f t="shared" si="0"/>
        <v>2024-09</v>
      </c>
      <c r="G56" s="18">
        <f t="shared" si="1"/>
        <v>36</v>
      </c>
      <c r="H56" t="str">
        <f t="shared" si="2"/>
        <v>NOELI SALETE</v>
      </c>
      <c r="I56" t="str">
        <f t="shared" si="3"/>
        <v>MASTERVET COMERCIO DE PRODUTOS AGROPECUARIOS LTDA</v>
      </c>
      <c r="J56">
        <f t="shared" si="4"/>
        <v>0</v>
      </c>
      <c r="K56">
        <f t="shared" si="5"/>
        <v>1</v>
      </c>
    </row>
    <row r="57" spans="1:11" x14ac:dyDescent="0.25">
      <c r="A57" t="s">
        <v>351</v>
      </c>
      <c r="B57" t="s">
        <v>85</v>
      </c>
      <c r="C57" t="s">
        <v>66</v>
      </c>
      <c r="D57" s="3">
        <v>45540</v>
      </c>
      <c r="E57" t="str">
        <f>VLOOKUP(B57,'PROCV GERENTES BD'!A:B,2,0)</f>
        <v>NOELI SALETE</v>
      </c>
      <c r="F57" s="4" t="str">
        <f t="shared" si="0"/>
        <v>2024-09</v>
      </c>
      <c r="G57" s="18">
        <f t="shared" si="1"/>
        <v>36</v>
      </c>
      <c r="H57" t="str">
        <f t="shared" si="2"/>
        <v>NOELI SALETE</v>
      </c>
      <c r="I57" t="str">
        <f t="shared" si="3"/>
        <v>MASTERVET COMERCIO DE PRODUTOS AGROPECUARIOS LTDA</v>
      </c>
      <c r="J57">
        <f t="shared" si="4"/>
        <v>1</v>
      </c>
      <c r="K57">
        <f t="shared" si="5"/>
        <v>0</v>
      </c>
    </row>
    <row r="58" spans="1:11" x14ac:dyDescent="0.25">
      <c r="A58" t="s">
        <v>339</v>
      </c>
      <c r="B58" t="s">
        <v>87</v>
      </c>
      <c r="C58" t="s">
        <v>66</v>
      </c>
      <c r="D58" s="3">
        <v>45540</v>
      </c>
      <c r="E58" t="str">
        <f>VLOOKUP(B58,'PROCV GERENTES BD'!A:B,2,0)</f>
        <v>NOELI SALETE</v>
      </c>
      <c r="F58" s="4" t="str">
        <f t="shared" si="0"/>
        <v>2024-09</v>
      </c>
      <c r="G58" s="18">
        <f t="shared" si="1"/>
        <v>36</v>
      </c>
      <c r="H58" t="str">
        <f t="shared" si="2"/>
        <v>NOELI SALETE</v>
      </c>
      <c r="I58" t="str">
        <f t="shared" si="3"/>
        <v>RODOBOX TRANSPORTES E ARMAZENAGEM DE CARGAS LTDA</v>
      </c>
      <c r="J58">
        <f t="shared" si="4"/>
        <v>1</v>
      </c>
      <c r="K58">
        <f t="shared" si="5"/>
        <v>0</v>
      </c>
    </row>
    <row r="59" spans="1:11" x14ac:dyDescent="0.25">
      <c r="A59" t="s">
        <v>340</v>
      </c>
      <c r="B59" t="s">
        <v>86</v>
      </c>
      <c r="C59" t="s">
        <v>50</v>
      </c>
      <c r="D59" s="3">
        <v>45540</v>
      </c>
      <c r="E59" t="str">
        <f>VLOOKUP(B59,'PROCV GERENTES BD'!A:B,2,0)</f>
        <v>NOELI SALETE</v>
      </c>
      <c r="F59" s="4" t="str">
        <f t="shared" si="0"/>
        <v>2024-09</v>
      </c>
      <c r="G59" s="18">
        <f t="shared" si="1"/>
        <v>36</v>
      </c>
      <c r="H59" t="str">
        <f t="shared" si="2"/>
        <v>NOELI SALETE</v>
      </c>
      <c r="I59" t="str">
        <f t="shared" si="3"/>
        <v>MEIO OESTE PAPEIS LTDA ME</v>
      </c>
      <c r="J59">
        <f t="shared" si="4"/>
        <v>0</v>
      </c>
      <c r="K59">
        <f t="shared" si="5"/>
        <v>1</v>
      </c>
    </row>
    <row r="60" spans="1:11" x14ac:dyDescent="0.25">
      <c r="A60" t="s">
        <v>342</v>
      </c>
      <c r="B60" t="s">
        <v>88</v>
      </c>
      <c r="C60" t="s">
        <v>50</v>
      </c>
      <c r="D60" s="3">
        <v>45540</v>
      </c>
      <c r="E60" t="str">
        <f>VLOOKUP(B60,'PROCV GERENTES BD'!A:B,2,0)</f>
        <v>NOELI SALETE</v>
      </c>
      <c r="F60" s="4" t="str">
        <f t="shared" si="0"/>
        <v>2024-09</v>
      </c>
      <c r="G60" s="18">
        <f t="shared" si="1"/>
        <v>36</v>
      </c>
      <c r="H60" t="str">
        <f t="shared" si="2"/>
        <v>NOELI SALETE</v>
      </c>
      <c r="I60" t="str">
        <f t="shared" si="3"/>
        <v>TRANSNECHER COMERCIO TRANSPORTES E EMPREENDIMENTOS</v>
      </c>
      <c r="J60">
        <f t="shared" si="4"/>
        <v>0</v>
      </c>
      <c r="K60">
        <f t="shared" si="5"/>
        <v>1</v>
      </c>
    </row>
    <row r="61" spans="1:11" x14ac:dyDescent="0.25">
      <c r="A61" t="s">
        <v>343</v>
      </c>
      <c r="B61" t="s">
        <v>88</v>
      </c>
      <c r="C61" t="s">
        <v>66</v>
      </c>
      <c r="D61" s="3">
        <v>45540</v>
      </c>
      <c r="E61" t="str">
        <f>VLOOKUP(B61,'PROCV GERENTES BD'!A:B,2,0)</f>
        <v>NOELI SALETE</v>
      </c>
      <c r="F61" s="4" t="str">
        <f t="shared" si="0"/>
        <v>2024-09</v>
      </c>
      <c r="G61" s="18">
        <f t="shared" si="1"/>
        <v>36</v>
      </c>
      <c r="H61" t="str">
        <f t="shared" si="2"/>
        <v>NOELI SALETE</v>
      </c>
      <c r="I61" t="str">
        <f t="shared" si="3"/>
        <v>TRANSNECHER COMERCIO TRANSPORTES E EMPREENDIMENTOS</v>
      </c>
      <c r="J61">
        <f t="shared" si="4"/>
        <v>1</v>
      </c>
      <c r="K61">
        <f t="shared" si="5"/>
        <v>0</v>
      </c>
    </row>
    <row r="62" spans="1:11" x14ac:dyDescent="0.25">
      <c r="A62" t="s">
        <v>345</v>
      </c>
      <c r="B62" t="s">
        <v>90</v>
      </c>
      <c r="C62" t="s">
        <v>50</v>
      </c>
      <c r="D62" s="3">
        <v>45540</v>
      </c>
      <c r="E62" t="str">
        <f>VLOOKUP(B62,'PROCV GERENTES BD'!A:B,2,0)</f>
        <v>POENATELA</v>
      </c>
      <c r="F62" s="4" t="str">
        <f t="shared" si="0"/>
        <v>2024-09</v>
      </c>
      <c r="G62" s="18">
        <f t="shared" si="1"/>
        <v>36</v>
      </c>
      <c r="H62" t="str">
        <f t="shared" si="2"/>
        <v>POENATELA</v>
      </c>
      <c r="I62" t="str">
        <f t="shared" si="3"/>
        <v>GREEN FARMING FAZENDAS RENOVAVEIS LTDA</v>
      </c>
      <c r="J62">
        <f t="shared" si="4"/>
        <v>0</v>
      </c>
      <c r="K62">
        <f t="shared" si="5"/>
        <v>1</v>
      </c>
    </row>
    <row r="63" spans="1:11" x14ac:dyDescent="0.25">
      <c r="A63" t="s">
        <v>360</v>
      </c>
      <c r="B63" t="s">
        <v>90</v>
      </c>
      <c r="C63" t="s">
        <v>66</v>
      </c>
      <c r="D63" s="3">
        <v>45540</v>
      </c>
      <c r="E63" t="str">
        <f>VLOOKUP(B63,'PROCV GERENTES BD'!A:B,2,0)</f>
        <v>POENATELA</v>
      </c>
      <c r="F63" s="4" t="str">
        <f t="shared" si="0"/>
        <v>2024-09</v>
      </c>
      <c r="G63" s="18">
        <f t="shared" si="1"/>
        <v>36</v>
      </c>
      <c r="H63" t="str">
        <f t="shared" si="2"/>
        <v>POENATELA</v>
      </c>
      <c r="I63" t="str">
        <f t="shared" si="3"/>
        <v>GREEN FARMING FAZENDAS RENOVAVEIS LTDA</v>
      </c>
      <c r="J63">
        <f t="shared" si="4"/>
        <v>1</v>
      </c>
      <c r="K63">
        <f t="shared" si="5"/>
        <v>0</v>
      </c>
    </row>
    <row r="64" spans="1:11" x14ac:dyDescent="0.25">
      <c r="A64" t="s">
        <v>346</v>
      </c>
      <c r="B64" t="s">
        <v>91</v>
      </c>
      <c r="C64" t="s">
        <v>50</v>
      </c>
      <c r="D64" s="3">
        <v>45540</v>
      </c>
      <c r="E64" t="str">
        <f>VLOOKUP(B64,'PROCV GERENTES BD'!A:B,2,0)</f>
        <v>POENATELA</v>
      </c>
      <c r="F64" s="4" t="str">
        <f t="shared" si="0"/>
        <v>2024-09</v>
      </c>
      <c r="G64" s="18">
        <f t="shared" si="1"/>
        <v>36</v>
      </c>
      <c r="H64" t="str">
        <f t="shared" si="2"/>
        <v>POENATELA</v>
      </c>
      <c r="I64" t="str">
        <f t="shared" si="3"/>
        <v>UBERTEC SERVICE USINAGEM LTDA EPP</v>
      </c>
      <c r="J64">
        <f t="shared" si="4"/>
        <v>0</v>
      </c>
      <c r="K64">
        <f t="shared" si="5"/>
        <v>1</v>
      </c>
    </row>
    <row r="65" spans="1:11" x14ac:dyDescent="0.25">
      <c r="A65" t="s">
        <v>353</v>
      </c>
      <c r="B65" t="s">
        <v>97</v>
      </c>
      <c r="C65" t="s">
        <v>50</v>
      </c>
      <c r="D65" s="3">
        <v>45540</v>
      </c>
      <c r="E65" t="str">
        <f>VLOOKUP(B65,'PROCV GERENTES BD'!A:B,2,0)</f>
        <v>PRISCILA METZ</v>
      </c>
      <c r="F65" s="4" t="str">
        <f t="shared" si="0"/>
        <v>2024-09</v>
      </c>
      <c r="G65" s="18">
        <f t="shared" si="1"/>
        <v>36</v>
      </c>
      <c r="H65" t="str">
        <f t="shared" si="2"/>
        <v>PRISCILA METZ</v>
      </c>
      <c r="I65" t="str">
        <f t="shared" si="3"/>
        <v>ESSENZA INDUSTRIA QUIMICA LTDA</v>
      </c>
      <c r="J65">
        <f t="shared" si="4"/>
        <v>0</v>
      </c>
      <c r="K65">
        <f t="shared" si="5"/>
        <v>1</v>
      </c>
    </row>
    <row r="66" spans="1:11" x14ac:dyDescent="0.25">
      <c r="A66" t="s">
        <v>361</v>
      </c>
      <c r="B66" t="s">
        <v>106</v>
      </c>
      <c r="C66" t="s">
        <v>66</v>
      </c>
      <c r="D66" s="3">
        <v>45540</v>
      </c>
      <c r="E66" t="str">
        <f>VLOOKUP(B66,'PROCV GERENTES BD'!A:B,2,0)</f>
        <v>PRISCILA METZ</v>
      </c>
      <c r="F66" s="4" t="str">
        <f t="shared" ref="F66:F129" si="6">YEAR(D66)&amp;"-"&amp;TEXT(MONTH(D66),"00")</f>
        <v>2024-09</v>
      </c>
      <c r="G66" s="18">
        <f t="shared" ref="G66:G129" si="7">WEEKNUM(D66)</f>
        <v>36</v>
      </c>
      <c r="H66" t="str">
        <f t="shared" ref="H66:H129" si="8">E66</f>
        <v>PRISCILA METZ</v>
      </c>
      <c r="I66" t="str">
        <f t="shared" ref="I66:I129" si="9">B66</f>
        <v>HERBAMED LABORATORIO NUTRACEUTICO LTDA</v>
      </c>
      <c r="J66">
        <f t="shared" ref="J66:J129" si="10">IF(OR(C66="EXCLUSAO  ANOT.INADIMPLENCIA",C66="INCL/EXCL ANOT.INADIMPLENCIA"),1,0)</f>
        <v>1</v>
      </c>
      <c r="K66">
        <f t="shared" ref="K66:K129" si="11">IF(OR(C66="INCLUSAO  ANOT.INADIMPLENCIA",C66="INCL/EXCL ANOT.INADIMPLENCIA"),1,0)</f>
        <v>0</v>
      </c>
    </row>
    <row r="67" spans="1:11" x14ac:dyDescent="0.25">
      <c r="A67" t="s">
        <v>347</v>
      </c>
      <c r="B67" t="s">
        <v>92</v>
      </c>
      <c r="C67" t="s">
        <v>50</v>
      </c>
      <c r="D67" s="3">
        <v>45540</v>
      </c>
      <c r="E67" t="str">
        <f>VLOOKUP(B67,'PROCV GERENTES BD'!A:B,2,0)</f>
        <v>RAFAEL PARISE</v>
      </c>
      <c r="F67" s="4" t="str">
        <f t="shared" si="6"/>
        <v>2024-09</v>
      </c>
      <c r="G67" s="18">
        <f t="shared" si="7"/>
        <v>36</v>
      </c>
      <c r="H67" t="str">
        <f t="shared" si="8"/>
        <v>RAFAEL PARISE</v>
      </c>
      <c r="I67" t="str">
        <f t="shared" si="9"/>
        <v>CONSULOC ENGENHARIA LTDA EPP</v>
      </c>
      <c r="J67">
        <f t="shared" si="10"/>
        <v>0</v>
      </c>
      <c r="K67">
        <f t="shared" si="11"/>
        <v>1</v>
      </c>
    </row>
    <row r="68" spans="1:11" x14ac:dyDescent="0.25">
      <c r="A68" t="s">
        <v>362</v>
      </c>
      <c r="B68" t="s">
        <v>107</v>
      </c>
      <c r="C68" t="s">
        <v>50</v>
      </c>
      <c r="D68" s="3">
        <v>45540</v>
      </c>
      <c r="E68" t="s">
        <v>21</v>
      </c>
      <c r="F68" s="4" t="str">
        <f t="shared" si="6"/>
        <v>2024-09</v>
      </c>
      <c r="G68" s="18">
        <f t="shared" si="7"/>
        <v>36</v>
      </c>
      <c r="H68" t="str">
        <f t="shared" si="8"/>
        <v xml:space="preserve">ROGERIO </v>
      </c>
      <c r="I68" t="str">
        <f t="shared" si="9"/>
        <v>EVOLUTION MACHINES LTDA ME</v>
      </c>
      <c r="J68">
        <f t="shared" si="10"/>
        <v>0</v>
      </c>
      <c r="K68">
        <f t="shared" si="11"/>
        <v>1</v>
      </c>
    </row>
    <row r="69" spans="1:11" x14ac:dyDescent="0.25">
      <c r="A69" t="s">
        <v>348</v>
      </c>
      <c r="B69" t="s">
        <v>93</v>
      </c>
      <c r="C69" t="s">
        <v>50</v>
      </c>
      <c r="D69" s="3">
        <v>45540</v>
      </c>
      <c r="E69" t="str">
        <f>VLOOKUP(B69,'PROCV GERENTES BD'!A:B,2,0)</f>
        <v>WHELKYA IRIS</v>
      </c>
      <c r="F69" s="4" t="str">
        <f t="shared" si="6"/>
        <v>2024-09</v>
      </c>
      <c r="G69" s="18">
        <f t="shared" si="7"/>
        <v>36</v>
      </c>
      <c r="H69" t="str">
        <f t="shared" si="8"/>
        <v>WHELKYA IRIS</v>
      </c>
      <c r="I69" t="str">
        <f t="shared" si="9"/>
        <v>DIVINA INDUSTRIA DE COURO LTDA</v>
      </c>
      <c r="J69">
        <f t="shared" si="10"/>
        <v>0</v>
      </c>
      <c r="K69">
        <f t="shared" si="11"/>
        <v>1</v>
      </c>
    </row>
    <row r="70" spans="1:11" x14ac:dyDescent="0.25">
      <c r="A70" t="s">
        <v>363</v>
      </c>
      <c r="B70" t="s">
        <v>108</v>
      </c>
      <c r="C70" t="s">
        <v>50</v>
      </c>
      <c r="D70" s="3">
        <v>45541</v>
      </c>
      <c r="E70" t="str">
        <f>VLOOKUP(B70,'PROCV GERENTES BD'!A:B,2,0)</f>
        <v>ANDERSON FRAGA</v>
      </c>
      <c r="F70" s="4" t="str">
        <f t="shared" si="6"/>
        <v>2024-09</v>
      </c>
      <c r="G70" s="18">
        <f t="shared" si="7"/>
        <v>36</v>
      </c>
      <c r="H70" t="str">
        <f t="shared" si="8"/>
        <v>ANDERSON FRAGA</v>
      </c>
      <c r="I70" t="str">
        <f t="shared" si="9"/>
        <v>AMP INDUSTRIA E COMERCIO DE CONDUTORES LTDA</v>
      </c>
      <c r="J70">
        <f t="shared" si="10"/>
        <v>0</v>
      </c>
      <c r="K70">
        <f t="shared" si="11"/>
        <v>1</v>
      </c>
    </row>
    <row r="71" spans="1:11" x14ac:dyDescent="0.25">
      <c r="A71" t="s">
        <v>356</v>
      </c>
      <c r="B71" t="s">
        <v>101</v>
      </c>
      <c r="C71" t="s">
        <v>66</v>
      </c>
      <c r="D71" s="3">
        <v>45541</v>
      </c>
      <c r="E71" t="str">
        <f>VLOOKUP(B71,'PROCV GERENTES BD'!A:B,2,0)</f>
        <v>ADMINISTRAÇÃO</v>
      </c>
      <c r="F71" s="4" t="str">
        <f t="shared" si="6"/>
        <v>2024-09</v>
      </c>
      <c r="G71" s="18">
        <f t="shared" si="7"/>
        <v>36</v>
      </c>
      <c r="H71" t="str">
        <f t="shared" si="8"/>
        <v>ADMINISTRAÇÃO</v>
      </c>
      <c r="I71" t="str">
        <f t="shared" si="9"/>
        <v>RPT SOLUCOES AMBIENTAIS LTDA</v>
      </c>
      <c r="J71">
        <f t="shared" si="10"/>
        <v>1</v>
      </c>
      <c r="K71">
        <f t="shared" si="11"/>
        <v>0</v>
      </c>
    </row>
    <row r="72" spans="1:11" x14ac:dyDescent="0.25">
      <c r="A72" t="s">
        <v>304</v>
      </c>
      <c r="B72" t="s">
        <v>123</v>
      </c>
      <c r="C72" t="s">
        <v>66</v>
      </c>
      <c r="D72" s="3">
        <v>45541</v>
      </c>
      <c r="E72" t="str">
        <f>VLOOKUP(B72,'PROCV GERENTES BD'!A:B,2,0)</f>
        <v>ADMINISTRAÇÃO</v>
      </c>
      <c r="F72" s="4" t="str">
        <f t="shared" si="6"/>
        <v>2024-09</v>
      </c>
      <c r="G72" s="18">
        <f t="shared" si="7"/>
        <v>36</v>
      </c>
      <c r="H72" t="str">
        <f t="shared" si="8"/>
        <v>ADMINISTRAÇÃO</v>
      </c>
      <c r="I72" t="str">
        <f t="shared" si="9"/>
        <v>VIC LOGISTICA LTDA EM RECUPERACAO JUDICIAL</v>
      </c>
      <c r="J72">
        <f t="shared" si="10"/>
        <v>1</v>
      </c>
      <c r="K72">
        <f t="shared" si="11"/>
        <v>0</v>
      </c>
    </row>
    <row r="73" spans="1:11" x14ac:dyDescent="0.25">
      <c r="A73" t="s">
        <v>319</v>
      </c>
      <c r="B73" t="s">
        <v>80</v>
      </c>
      <c r="C73" t="s">
        <v>50</v>
      </c>
      <c r="D73" s="3">
        <v>45541</v>
      </c>
      <c r="E73" t="str">
        <f>VLOOKUP(B73,'PROCV GERENTES BD'!A:B,2,0)</f>
        <v>CELIO PIMENTA</v>
      </c>
      <c r="F73" s="4" t="str">
        <f t="shared" si="6"/>
        <v>2024-09</v>
      </c>
      <c r="G73" s="18">
        <f t="shared" si="7"/>
        <v>36</v>
      </c>
      <c r="H73" t="str">
        <f t="shared" si="8"/>
        <v>CELIO PIMENTA</v>
      </c>
      <c r="I73" t="str">
        <f t="shared" si="9"/>
        <v>IMPORTEXTIL COMERCIO DE TECIDOS LTDA</v>
      </c>
      <c r="J73">
        <f t="shared" si="10"/>
        <v>0</v>
      </c>
      <c r="K73">
        <f t="shared" si="11"/>
        <v>1</v>
      </c>
    </row>
    <row r="74" spans="1:11" x14ac:dyDescent="0.25">
      <c r="A74" t="s">
        <v>364</v>
      </c>
      <c r="B74" t="s">
        <v>80</v>
      </c>
      <c r="C74" t="s">
        <v>66</v>
      </c>
      <c r="D74" s="3">
        <v>45541</v>
      </c>
      <c r="E74" t="str">
        <f>VLOOKUP(B74,'PROCV GERENTES BD'!A:B,2,0)</f>
        <v>CELIO PIMENTA</v>
      </c>
      <c r="F74" s="4" t="str">
        <f t="shared" si="6"/>
        <v>2024-09</v>
      </c>
      <c r="G74" s="18">
        <f t="shared" si="7"/>
        <v>36</v>
      </c>
      <c r="H74" t="str">
        <f t="shared" si="8"/>
        <v>CELIO PIMENTA</v>
      </c>
      <c r="I74" t="str">
        <f t="shared" si="9"/>
        <v>IMPORTEXTIL COMERCIO DE TECIDOS LTDA</v>
      </c>
      <c r="J74">
        <f t="shared" si="10"/>
        <v>1</v>
      </c>
      <c r="K74">
        <f t="shared" si="11"/>
        <v>0</v>
      </c>
    </row>
    <row r="75" spans="1:11" x14ac:dyDescent="0.25">
      <c r="A75" t="s">
        <v>54</v>
      </c>
      <c r="B75" t="s">
        <v>55</v>
      </c>
      <c r="C75" t="s">
        <v>50</v>
      </c>
      <c r="D75" s="3">
        <v>45541</v>
      </c>
      <c r="E75" t="str">
        <f>VLOOKUP(B75,'PROCV GERENTES BD'!A:B,2,0)</f>
        <v>CELIO PIMENTA</v>
      </c>
      <c r="F75" s="4" t="str">
        <f t="shared" si="6"/>
        <v>2024-09</v>
      </c>
      <c r="G75" s="18">
        <f t="shared" si="7"/>
        <v>36</v>
      </c>
      <c r="H75" t="str">
        <f t="shared" si="8"/>
        <v>CELIO PIMENTA</v>
      </c>
      <c r="I75" t="str">
        <f t="shared" si="9"/>
        <v>WJ CALDEIRARIA INDUSTRIA E COMERCIO LTDA ME</v>
      </c>
      <c r="J75">
        <f t="shared" si="10"/>
        <v>0</v>
      </c>
      <c r="K75">
        <f t="shared" si="11"/>
        <v>1</v>
      </c>
    </row>
    <row r="76" spans="1:11" x14ac:dyDescent="0.25">
      <c r="A76" t="s">
        <v>365</v>
      </c>
      <c r="B76" t="s">
        <v>55</v>
      </c>
      <c r="C76" t="s">
        <v>66</v>
      </c>
      <c r="D76" s="3">
        <v>45541</v>
      </c>
      <c r="E76" t="str">
        <f>VLOOKUP(B76,'PROCV GERENTES BD'!A:B,2,0)</f>
        <v>CELIO PIMENTA</v>
      </c>
      <c r="F76" s="4" t="str">
        <f t="shared" si="6"/>
        <v>2024-09</v>
      </c>
      <c r="G76" s="18">
        <f t="shared" si="7"/>
        <v>36</v>
      </c>
      <c r="H76" t="str">
        <f t="shared" si="8"/>
        <v>CELIO PIMENTA</v>
      </c>
      <c r="I76" t="str">
        <f t="shared" si="9"/>
        <v>WJ CALDEIRARIA INDUSTRIA E COMERCIO LTDA ME</v>
      </c>
      <c r="J76">
        <f t="shared" si="10"/>
        <v>1</v>
      </c>
      <c r="K76">
        <f t="shared" si="11"/>
        <v>0</v>
      </c>
    </row>
    <row r="77" spans="1:11" x14ac:dyDescent="0.25">
      <c r="A77" t="s">
        <v>358</v>
      </c>
      <c r="B77" t="s">
        <v>104</v>
      </c>
      <c r="C77" t="s">
        <v>50</v>
      </c>
      <c r="D77" s="3">
        <v>45541</v>
      </c>
      <c r="E77" t="str">
        <f>VLOOKUP(B77,'PROCV GERENTES BD'!A:B,2,0)</f>
        <v>DIOGO AZEVEDO</v>
      </c>
      <c r="F77" s="4" t="str">
        <f t="shared" si="6"/>
        <v>2024-09</v>
      </c>
      <c r="G77" s="18">
        <f t="shared" si="7"/>
        <v>36</v>
      </c>
      <c r="H77" t="str">
        <f t="shared" si="8"/>
        <v>DIOGO AZEVEDO</v>
      </c>
      <c r="I77" t="str">
        <f t="shared" si="9"/>
        <v>INDUSTRIA E CERVEJARIA ARTESANAL DE MINAS GERAIS L</v>
      </c>
      <c r="J77">
        <f t="shared" si="10"/>
        <v>0</v>
      </c>
      <c r="K77">
        <f t="shared" si="11"/>
        <v>1</v>
      </c>
    </row>
    <row r="78" spans="1:11" x14ac:dyDescent="0.25">
      <c r="A78" t="s">
        <v>323</v>
      </c>
      <c r="B78" t="s">
        <v>109</v>
      </c>
      <c r="C78" t="s">
        <v>50</v>
      </c>
      <c r="D78" s="3">
        <v>45541</v>
      </c>
      <c r="E78" t="str">
        <f>VLOOKUP(B78,'PROCV GERENTES BD'!A:B,2,0)</f>
        <v>PROSPECTAR</v>
      </c>
      <c r="F78" s="4" t="str">
        <f t="shared" si="6"/>
        <v>2024-09</v>
      </c>
      <c r="G78" s="18">
        <f t="shared" si="7"/>
        <v>36</v>
      </c>
      <c r="H78" t="str">
        <f t="shared" si="8"/>
        <v>PROSPECTAR</v>
      </c>
      <c r="I78" t="str">
        <f t="shared" si="9"/>
        <v>SIAP COMERCIO DE PRODUTOS AGROPECUARIOS LTDA</v>
      </c>
      <c r="J78">
        <f t="shared" si="10"/>
        <v>0</v>
      </c>
      <c r="K78">
        <f t="shared" si="11"/>
        <v>1</v>
      </c>
    </row>
    <row r="79" spans="1:11" x14ac:dyDescent="0.25">
      <c r="A79" t="s">
        <v>333</v>
      </c>
      <c r="B79" t="s">
        <v>82</v>
      </c>
      <c r="C79" t="s">
        <v>50</v>
      </c>
      <c r="D79" s="3">
        <v>45541</v>
      </c>
      <c r="E79" t="str">
        <f>VLOOKUP(B79,'PROCV GERENTES BD'!A:B,2,0)</f>
        <v>ADMINISTRAÇÃO</v>
      </c>
      <c r="F79" s="4" t="str">
        <f t="shared" si="6"/>
        <v>2024-09</v>
      </c>
      <c r="G79" s="18">
        <f t="shared" si="7"/>
        <v>36</v>
      </c>
      <c r="H79" t="str">
        <f t="shared" si="8"/>
        <v>ADMINISTRAÇÃO</v>
      </c>
      <c r="I79" t="str">
        <f t="shared" si="9"/>
        <v>BETMIX CONCRETO LTDA</v>
      </c>
      <c r="J79">
        <f t="shared" si="10"/>
        <v>0</v>
      </c>
      <c r="K79">
        <f t="shared" si="11"/>
        <v>1</v>
      </c>
    </row>
    <row r="80" spans="1:11" x14ac:dyDescent="0.25">
      <c r="A80" t="s">
        <v>334</v>
      </c>
      <c r="B80" t="s">
        <v>82</v>
      </c>
      <c r="C80" t="s">
        <v>66</v>
      </c>
      <c r="D80" s="3">
        <v>45541</v>
      </c>
      <c r="E80" t="str">
        <f>VLOOKUP(B80,'PROCV GERENTES BD'!A:B,2,0)</f>
        <v>ADMINISTRAÇÃO</v>
      </c>
      <c r="F80" s="4" t="str">
        <f t="shared" si="6"/>
        <v>2024-09</v>
      </c>
      <c r="G80" s="18">
        <f t="shared" si="7"/>
        <v>36</v>
      </c>
      <c r="H80" t="str">
        <f t="shared" si="8"/>
        <v>ADMINISTRAÇÃO</v>
      </c>
      <c r="I80" t="str">
        <f t="shared" si="9"/>
        <v>BETMIX CONCRETO LTDA</v>
      </c>
      <c r="J80">
        <f t="shared" si="10"/>
        <v>1</v>
      </c>
      <c r="K80">
        <f t="shared" si="11"/>
        <v>0</v>
      </c>
    </row>
    <row r="81" spans="1:11" x14ac:dyDescent="0.25">
      <c r="A81" t="s">
        <v>366</v>
      </c>
      <c r="B81" t="s">
        <v>110</v>
      </c>
      <c r="C81" t="s">
        <v>50</v>
      </c>
      <c r="D81" s="3">
        <v>45541</v>
      </c>
      <c r="E81" t="str">
        <f>VLOOKUP(B81,'PROCV GERENTES BD'!A:B,2,0)</f>
        <v>NELSON</v>
      </c>
      <c r="F81" s="4" t="str">
        <f t="shared" si="6"/>
        <v>2024-09</v>
      </c>
      <c r="G81" s="18">
        <f t="shared" si="7"/>
        <v>36</v>
      </c>
      <c r="H81" t="str">
        <f t="shared" si="8"/>
        <v>NELSON</v>
      </c>
      <c r="I81" t="str">
        <f t="shared" si="9"/>
        <v>VALENTE PRODUCOES LTDA ME</v>
      </c>
      <c r="J81">
        <f t="shared" si="10"/>
        <v>0</v>
      </c>
      <c r="K81">
        <f t="shared" si="11"/>
        <v>1</v>
      </c>
    </row>
    <row r="82" spans="1:11" x14ac:dyDescent="0.25">
      <c r="A82" t="s">
        <v>339</v>
      </c>
      <c r="B82" t="s">
        <v>87</v>
      </c>
      <c r="C82" t="s">
        <v>50</v>
      </c>
      <c r="D82" s="3">
        <v>45541</v>
      </c>
      <c r="E82" t="str">
        <f>VLOOKUP(B82,'PROCV GERENTES BD'!A:B,2,0)</f>
        <v>NOELI SALETE</v>
      </c>
      <c r="F82" s="4" t="str">
        <f t="shared" si="6"/>
        <v>2024-09</v>
      </c>
      <c r="G82" s="18">
        <f t="shared" si="7"/>
        <v>36</v>
      </c>
      <c r="H82" t="str">
        <f t="shared" si="8"/>
        <v>NOELI SALETE</v>
      </c>
      <c r="I82" t="str">
        <f t="shared" si="9"/>
        <v>RODOBOX TRANSPORTES E ARMAZENAGEM DE CARGAS LTDA</v>
      </c>
      <c r="J82">
        <f t="shared" si="10"/>
        <v>0</v>
      </c>
      <c r="K82">
        <f t="shared" si="11"/>
        <v>1</v>
      </c>
    </row>
    <row r="83" spans="1:11" x14ac:dyDescent="0.25">
      <c r="A83" t="s">
        <v>340</v>
      </c>
      <c r="B83" t="s">
        <v>86</v>
      </c>
      <c r="C83" t="s">
        <v>50</v>
      </c>
      <c r="D83" s="3">
        <v>45541</v>
      </c>
      <c r="E83" t="str">
        <f>VLOOKUP(B83,'PROCV GERENTES BD'!A:B,2,0)</f>
        <v>NOELI SALETE</v>
      </c>
      <c r="F83" s="4" t="str">
        <f t="shared" si="6"/>
        <v>2024-09</v>
      </c>
      <c r="G83" s="18">
        <f t="shared" si="7"/>
        <v>36</v>
      </c>
      <c r="H83" t="str">
        <f t="shared" si="8"/>
        <v>NOELI SALETE</v>
      </c>
      <c r="I83" t="str">
        <f t="shared" si="9"/>
        <v>MEIO OESTE PAPEIS LTDA ME</v>
      </c>
      <c r="J83">
        <f t="shared" si="10"/>
        <v>0</v>
      </c>
      <c r="K83">
        <f t="shared" si="11"/>
        <v>1</v>
      </c>
    </row>
    <row r="84" spans="1:11" x14ac:dyDescent="0.25">
      <c r="A84" t="s">
        <v>342</v>
      </c>
      <c r="B84" t="s">
        <v>88</v>
      </c>
      <c r="C84" t="s">
        <v>66</v>
      </c>
      <c r="D84" s="3">
        <v>45541</v>
      </c>
      <c r="E84" t="str">
        <f>VLOOKUP(B84,'PROCV GERENTES BD'!A:B,2,0)</f>
        <v>NOELI SALETE</v>
      </c>
      <c r="F84" s="4" t="str">
        <f t="shared" si="6"/>
        <v>2024-09</v>
      </c>
      <c r="G84" s="18">
        <f t="shared" si="7"/>
        <v>36</v>
      </c>
      <c r="H84" t="str">
        <f t="shared" si="8"/>
        <v>NOELI SALETE</v>
      </c>
      <c r="I84" t="str">
        <f t="shared" si="9"/>
        <v>TRANSNECHER COMERCIO TRANSPORTES E EMPREENDIMENTOS</v>
      </c>
      <c r="J84">
        <f t="shared" si="10"/>
        <v>1</v>
      </c>
      <c r="K84">
        <f t="shared" si="11"/>
        <v>0</v>
      </c>
    </row>
    <row r="85" spans="1:11" x14ac:dyDescent="0.25">
      <c r="A85" t="s">
        <v>345</v>
      </c>
      <c r="B85" t="s">
        <v>90</v>
      </c>
      <c r="C85" t="s">
        <v>50</v>
      </c>
      <c r="D85" s="3">
        <v>45541</v>
      </c>
      <c r="E85" t="str">
        <f>VLOOKUP(B85,'PROCV GERENTES BD'!A:B,2,0)</f>
        <v>POENATELA</v>
      </c>
      <c r="F85" s="4" t="str">
        <f t="shared" si="6"/>
        <v>2024-09</v>
      </c>
      <c r="G85" s="18">
        <f t="shared" si="7"/>
        <v>36</v>
      </c>
      <c r="H85" t="str">
        <f t="shared" si="8"/>
        <v>POENATELA</v>
      </c>
      <c r="I85" t="str">
        <f t="shared" si="9"/>
        <v>GREEN FARMING FAZENDAS RENOVAVEIS LTDA</v>
      </c>
      <c r="J85">
        <f t="shared" si="10"/>
        <v>0</v>
      </c>
      <c r="K85">
        <f t="shared" si="11"/>
        <v>1</v>
      </c>
    </row>
    <row r="86" spans="1:11" x14ac:dyDescent="0.25">
      <c r="A86" t="s">
        <v>346</v>
      </c>
      <c r="B86" t="s">
        <v>91</v>
      </c>
      <c r="C86" t="s">
        <v>50</v>
      </c>
      <c r="D86" s="3">
        <v>45541</v>
      </c>
      <c r="E86" t="str">
        <f>VLOOKUP(B86,'PROCV GERENTES BD'!A:B,2,0)</f>
        <v>POENATELA</v>
      </c>
      <c r="F86" s="4" t="str">
        <f t="shared" si="6"/>
        <v>2024-09</v>
      </c>
      <c r="G86" s="18">
        <f t="shared" si="7"/>
        <v>36</v>
      </c>
      <c r="H86" t="str">
        <f t="shared" si="8"/>
        <v>POENATELA</v>
      </c>
      <c r="I86" t="str">
        <f t="shared" si="9"/>
        <v>UBERTEC SERVICE USINAGEM LTDA EPP</v>
      </c>
      <c r="J86">
        <f t="shared" si="10"/>
        <v>0</v>
      </c>
      <c r="K86">
        <f t="shared" si="11"/>
        <v>1</v>
      </c>
    </row>
    <row r="87" spans="1:11" x14ac:dyDescent="0.25">
      <c r="A87" t="s">
        <v>353</v>
      </c>
      <c r="B87" t="s">
        <v>97</v>
      </c>
      <c r="C87" t="s">
        <v>50</v>
      </c>
      <c r="D87" s="3">
        <v>45541</v>
      </c>
      <c r="E87" t="str">
        <f>VLOOKUP(B87,'PROCV GERENTES BD'!A:B,2,0)</f>
        <v>PRISCILA METZ</v>
      </c>
      <c r="F87" s="4" t="str">
        <f t="shared" si="6"/>
        <v>2024-09</v>
      </c>
      <c r="G87" s="18">
        <f t="shared" si="7"/>
        <v>36</v>
      </c>
      <c r="H87" t="str">
        <f t="shared" si="8"/>
        <v>PRISCILA METZ</v>
      </c>
      <c r="I87" t="str">
        <f t="shared" si="9"/>
        <v>ESSENZA INDUSTRIA QUIMICA LTDA</v>
      </c>
      <c r="J87">
        <f t="shared" si="10"/>
        <v>0</v>
      </c>
      <c r="K87">
        <f t="shared" si="11"/>
        <v>1</v>
      </c>
    </row>
    <row r="88" spans="1:11" x14ac:dyDescent="0.25">
      <c r="A88" t="s">
        <v>347</v>
      </c>
      <c r="B88" t="s">
        <v>92</v>
      </c>
      <c r="C88" t="s">
        <v>50</v>
      </c>
      <c r="D88" s="3">
        <v>45541</v>
      </c>
      <c r="E88" t="str">
        <f>VLOOKUP(B88,'PROCV GERENTES BD'!A:B,2,0)</f>
        <v>RAFAEL PARISE</v>
      </c>
      <c r="F88" s="4" t="str">
        <f t="shared" si="6"/>
        <v>2024-09</v>
      </c>
      <c r="G88" s="18">
        <f t="shared" si="7"/>
        <v>36</v>
      </c>
      <c r="H88" t="str">
        <f t="shared" si="8"/>
        <v>RAFAEL PARISE</v>
      </c>
      <c r="I88" t="str">
        <f t="shared" si="9"/>
        <v>CONSULOC ENGENHARIA LTDA EPP</v>
      </c>
      <c r="J88">
        <f t="shared" si="10"/>
        <v>0</v>
      </c>
      <c r="K88">
        <f t="shared" si="11"/>
        <v>1</v>
      </c>
    </row>
    <row r="89" spans="1:11" x14ac:dyDescent="0.25">
      <c r="A89" t="s">
        <v>367</v>
      </c>
      <c r="B89" t="s">
        <v>112</v>
      </c>
      <c r="C89" t="s">
        <v>50</v>
      </c>
      <c r="D89" s="3">
        <v>45544</v>
      </c>
      <c r="E89" t="str">
        <f>VLOOKUP(B89,'PROCV GERENTES BD'!A:B,2,0)</f>
        <v>ADMINISTRAÇÃO</v>
      </c>
      <c r="F89" s="4" t="str">
        <f t="shared" si="6"/>
        <v>2024-09</v>
      </c>
      <c r="G89" s="18">
        <f t="shared" si="7"/>
        <v>37</v>
      </c>
      <c r="H89" t="str">
        <f t="shared" si="8"/>
        <v>ADMINISTRAÇÃO</v>
      </c>
      <c r="I89" t="str">
        <f t="shared" si="9"/>
        <v>DISPA DISTRIBUIDORA SAO PAULO LTDA ME</v>
      </c>
      <c r="J89">
        <f t="shared" si="10"/>
        <v>0</v>
      </c>
      <c r="K89">
        <f t="shared" si="11"/>
        <v>1</v>
      </c>
    </row>
    <row r="90" spans="1:11" x14ac:dyDescent="0.25">
      <c r="A90" t="s">
        <v>368</v>
      </c>
      <c r="B90" t="s">
        <v>111</v>
      </c>
      <c r="C90" t="s">
        <v>66</v>
      </c>
      <c r="D90" s="3">
        <v>45544</v>
      </c>
      <c r="E90" t="str">
        <f>VLOOKUP(B90,'PROCV GERENTES BD'!A:B,2,0)</f>
        <v>ADMINISTRAÇÃO</v>
      </c>
      <c r="F90" s="4" t="str">
        <f t="shared" si="6"/>
        <v>2024-09</v>
      </c>
      <c r="G90" s="18">
        <f t="shared" si="7"/>
        <v>37</v>
      </c>
      <c r="H90" t="str">
        <f t="shared" si="8"/>
        <v>ADMINISTRAÇÃO</v>
      </c>
      <c r="I90" t="str">
        <f t="shared" si="9"/>
        <v>ARTECAL ELETROCENTROS S/A</v>
      </c>
      <c r="J90">
        <f t="shared" si="10"/>
        <v>1</v>
      </c>
      <c r="K90">
        <f t="shared" si="11"/>
        <v>0</v>
      </c>
    </row>
    <row r="91" spans="1:11" x14ac:dyDescent="0.25">
      <c r="A91" t="s">
        <v>319</v>
      </c>
      <c r="B91" t="s">
        <v>80</v>
      </c>
      <c r="C91" t="s">
        <v>50</v>
      </c>
      <c r="D91" s="3">
        <v>45544</v>
      </c>
      <c r="E91" t="str">
        <f>VLOOKUP(B91,'PROCV GERENTES BD'!A:B,2,0)</f>
        <v>CELIO PIMENTA</v>
      </c>
      <c r="F91" s="4" t="str">
        <f t="shared" si="6"/>
        <v>2024-09</v>
      </c>
      <c r="G91" s="18">
        <f t="shared" si="7"/>
        <v>37</v>
      </c>
      <c r="H91" t="str">
        <f t="shared" si="8"/>
        <v>CELIO PIMENTA</v>
      </c>
      <c r="I91" t="str">
        <f t="shared" si="9"/>
        <v>IMPORTEXTIL COMERCIO DE TECIDOS LTDA</v>
      </c>
      <c r="J91">
        <f t="shared" si="10"/>
        <v>0</v>
      </c>
      <c r="K91">
        <f t="shared" si="11"/>
        <v>1</v>
      </c>
    </row>
    <row r="92" spans="1:11" x14ac:dyDescent="0.25">
      <c r="A92" t="s">
        <v>319</v>
      </c>
      <c r="B92" t="s">
        <v>80</v>
      </c>
      <c r="C92" t="s">
        <v>50</v>
      </c>
      <c r="D92" s="3">
        <f>D91</f>
        <v>45544</v>
      </c>
      <c r="E92" t="str">
        <f>VLOOKUP(B92,'PROCV GERENTES BD'!A:B,2,0)</f>
        <v>CELIO PIMENTA</v>
      </c>
      <c r="F92" s="4" t="str">
        <f t="shared" si="6"/>
        <v>2024-09</v>
      </c>
      <c r="G92" s="18">
        <f t="shared" si="7"/>
        <v>37</v>
      </c>
      <c r="H92" t="str">
        <f t="shared" si="8"/>
        <v>CELIO PIMENTA</v>
      </c>
      <c r="I92" t="str">
        <f t="shared" si="9"/>
        <v>IMPORTEXTIL COMERCIO DE TECIDOS LTDA</v>
      </c>
      <c r="J92">
        <f t="shared" si="10"/>
        <v>0</v>
      </c>
      <c r="K92">
        <f t="shared" si="11"/>
        <v>1</v>
      </c>
    </row>
    <row r="93" spans="1:11" x14ac:dyDescent="0.25">
      <c r="A93" t="s">
        <v>323</v>
      </c>
      <c r="B93" t="s">
        <v>109</v>
      </c>
      <c r="C93" t="s">
        <v>50</v>
      </c>
      <c r="D93" s="3">
        <v>45544</v>
      </c>
      <c r="E93" t="str">
        <f>VLOOKUP(B93,'PROCV GERENTES BD'!A:B,2,0)</f>
        <v>PROSPECTAR</v>
      </c>
      <c r="F93" s="4" t="str">
        <f t="shared" si="6"/>
        <v>2024-09</v>
      </c>
      <c r="G93" s="18">
        <f t="shared" si="7"/>
        <v>37</v>
      </c>
      <c r="H93" t="str">
        <f t="shared" si="8"/>
        <v>PROSPECTAR</v>
      </c>
      <c r="I93" t="str">
        <f t="shared" si="9"/>
        <v>SIAP COMERCIO DE PRODUTOS AGROPECUARIOS LTDA</v>
      </c>
      <c r="J93">
        <f t="shared" si="10"/>
        <v>0</v>
      </c>
      <c r="K93">
        <f t="shared" si="11"/>
        <v>1</v>
      </c>
    </row>
    <row r="94" spans="1:11" x14ac:dyDescent="0.25">
      <c r="A94" t="s">
        <v>333</v>
      </c>
      <c r="B94" t="s">
        <v>82</v>
      </c>
      <c r="C94" t="s">
        <v>50</v>
      </c>
      <c r="D94" s="3">
        <v>45544</v>
      </c>
      <c r="E94" t="str">
        <f>VLOOKUP(B94,'PROCV GERENTES BD'!A:B,2,0)</f>
        <v>ADMINISTRAÇÃO</v>
      </c>
      <c r="F94" s="4" t="str">
        <f t="shared" si="6"/>
        <v>2024-09</v>
      </c>
      <c r="G94" s="18">
        <f t="shared" si="7"/>
        <v>37</v>
      </c>
      <c r="H94" t="str">
        <f t="shared" si="8"/>
        <v>ADMINISTRAÇÃO</v>
      </c>
      <c r="I94" t="str">
        <f t="shared" si="9"/>
        <v>BETMIX CONCRETO LTDA</v>
      </c>
      <c r="J94">
        <f t="shared" si="10"/>
        <v>0</v>
      </c>
      <c r="K94">
        <f t="shared" si="11"/>
        <v>1</v>
      </c>
    </row>
    <row r="95" spans="1:11" x14ac:dyDescent="0.25">
      <c r="A95" t="s">
        <v>333</v>
      </c>
      <c r="B95" t="s">
        <v>82</v>
      </c>
      <c r="C95" t="s">
        <v>50</v>
      </c>
      <c r="D95" s="3">
        <f>D94</f>
        <v>45544</v>
      </c>
      <c r="E95" t="str">
        <f>VLOOKUP(B95,'PROCV GERENTES BD'!A:B,2,0)</f>
        <v>ADMINISTRAÇÃO</v>
      </c>
      <c r="F95" s="4" t="str">
        <f t="shared" si="6"/>
        <v>2024-09</v>
      </c>
      <c r="G95" s="18">
        <f t="shared" si="7"/>
        <v>37</v>
      </c>
      <c r="H95" t="str">
        <f t="shared" si="8"/>
        <v>ADMINISTRAÇÃO</v>
      </c>
      <c r="I95" t="str">
        <f t="shared" si="9"/>
        <v>BETMIX CONCRETO LTDA</v>
      </c>
      <c r="J95">
        <f t="shared" si="10"/>
        <v>0</v>
      </c>
      <c r="K95">
        <f t="shared" si="11"/>
        <v>1</v>
      </c>
    </row>
    <row r="96" spans="1:11" x14ac:dyDescent="0.25">
      <c r="A96" t="s">
        <v>369</v>
      </c>
      <c r="B96" t="s">
        <v>113</v>
      </c>
      <c r="C96" t="s">
        <v>50</v>
      </c>
      <c r="D96" s="3">
        <v>45544</v>
      </c>
      <c r="E96" t="str">
        <f>VLOOKUP(B96,'PROCV GERENTES BD'!A:B,2,0)</f>
        <v xml:space="preserve">MARCUS VINICIUS </v>
      </c>
      <c r="F96" s="4" t="str">
        <f t="shared" si="6"/>
        <v>2024-09</v>
      </c>
      <c r="G96" s="18">
        <f t="shared" si="7"/>
        <v>37</v>
      </c>
      <c r="H96" t="str">
        <f t="shared" si="8"/>
        <v xml:space="preserve">MARCUS VINICIUS </v>
      </c>
      <c r="I96" t="str">
        <f t="shared" si="9"/>
        <v>ISOBASE POLIESTIRENO LTDA EPP</v>
      </c>
      <c r="J96">
        <f t="shared" si="10"/>
        <v>0</v>
      </c>
      <c r="K96">
        <f t="shared" si="11"/>
        <v>1</v>
      </c>
    </row>
    <row r="97" spans="1:11" x14ac:dyDescent="0.25">
      <c r="A97" t="s">
        <v>336</v>
      </c>
      <c r="B97" t="s">
        <v>84</v>
      </c>
      <c r="C97" t="s">
        <v>50</v>
      </c>
      <c r="D97" s="3">
        <v>45544</v>
      </c>
      <c r="E97" t="str">
        <f>VLOOKUP(B97,'PROCV GERENTES BD'!A:B,2,0)</f>
        <v>ADMINISTRAÇÃO</v>
      </c>
      <c r="F97" s="4" t="str">
        <f t="shared" si="6"/>
        <v>2024-09</v>
      </c>
      <c r="G97" s="18">
        <f t="shared" si="7"/>
        <v>37</v>
      </c>
      <c r="H97" t="str">
        <f t="shared" si="8"/>
        <v>ADMINISTRAÇÃO</v>
      </c>
      <c r="I97" t="str">
        <f t="shared" si="9"/>
        <v>BIOLIFE HEALTH IMPORTACAO E DISTRIBUICAO DE PRODUT</v>
      </c>
      <c r="J97">
        <f t="shared" si="10"/>
        <v>0</v>
      </c>
      <c r="K97">
        <f t="shared" si="11"/>
        <v>1</v>
      </c>
    </row>
    <row r="98" spans="1:11" x14ac:dyDescent="0.25">
      <c r="A98" t="s">
        <v>337</v>
      </c>
      <c r="B98" t="s">
        <v>84</v>
      </c>
      <c r="C98" t="s">
        <v>66</v>
      </c>
      <c r="D98" s="3">
        <v>45544</v>
      </c>
      <c r="E98" t="str">
        <f>VLOOKUP(B98,'PROCV GERENTES BD'!A:B,2,0)</f>
        <v>ADMINISTRAÇÃO</v>
      </c>
      <c r="F98" s="4" t="str">
        <f t="shared" si="6"/>
        <v>2024-09</v>
      </c>
      <c r="G98" s="18">
        <f t="shared" si="7"/>
        <v>37</v>
      </c>
      <c r="H98" t="str">
        <f t="shared" si="8"/>
        <v>ADMINISTRAÇÃO</v>
      </c>
      <c r="I98" t="str">
        <f t="shared" si="9"/>
        <v>BIOLIFE HEALTH IMPORTACAO E DISTRIBUICAO DE PRODUT</v>
      </c>
      <c r="J98">
        <f t="shared" si="10"/>
        <v>1</v>
      </c>
      <c r="K98">
        <f t="shared" si="11"/>
        <v>0</v>
      </c>
    </row>
    <row r="99" spans="1:11" x14ac:dyDescent="0.25">
      <c r="A99" t="s">
        <v>366</v>
      </c>
      <c r="B99" t="s">
        <v>110</v>
      </c>
      <c r="C99" t="s">
        <v>50</v>
      </c>
      <c r="D99" s="3">
        <v>45544</v>
      </c>
      <c r="E99" t="str">
        <f>VLOOKUP(B99,'PROCV GERENTES BD'!A:B,2,0)</f>
        <v>NELSON</v>
      </c>
      <c r="F99" s="4" t="str">
        <f t="shared" si="6"/>
        <v>2024-09</v>
      </c>
      <c r="G99" s="18">
        <f t="shared" si="7"/>
        <v>37</v>
      </c>
      <c r="H99" t="str">
        <f t="shared" si="8"/>
        <v>NELSON</v>
      </c>
      <c r="I99" t="str">
        <f t="shared" si="9"/>
        <v>VALENTE PRODUCOES LTDA ME</v>
      </c>
      <c r="J99">
        <f t="shared" si="10"/>
        <v>0</v>
      </c>
      <c r="K99">
        <f t="shared" si="11"/>
        <v>1</v>
      </c>
    </row>
    <row r="100" spans="1:11" x14ac:dyDescent="0.25">
      <c r="A100" t="s">
        <v>339</v>
      </c>
      <c r="B100" t="s">
        <v>87</v>
      </c>
      <c r="C100" t="s">
        <v>50</v>
      </c>
      <c r="D100" s="3">
        <v>45544</v>
      </c>
      <c r="E100" t="str">
        <f>VLOOKUP(B100,'PROCV GERENTES BD'!A:B,2,0)</f>
        <v>NOELI SALETE</v>
      </c>
      <c r="F100" s="4" t="str">
        <f t="shared" si="6"/>
        <v>2024-09</v>
      </c>
      <c r="G100" s="18">
        <f t="shared" si="7"/>
        <v>37</v>
      </c>
      <c r="H100" t="str">
        <f t="shared" si="8"/>
        <v>NOELI SALETE</v>
      </c>
      <c r="I100" t="str">
        <f t="shared" si="9"/>
        <v>RODOBOX TRANSPORTES E ARMAZENAGEM DE CARGAS LTDA</v>
      </c>
      <c r="J100">
        <f t="shared" si="10"/>
        <v>0</v>
      </c>
      <c r="K100">
        <f t="shared" si="11"/>
        <v>1</v>
      </c>
    </row>
    <row r="101" spans="1:11" x14ac:dyDescent="0.25">
      <c r="A101" t="s">
        <v>340</v>
      </c>
      <c r="B101" t="s">
        <v>86</v>
      </c>
      <c r="C101" t="s">
        <v>50</v>
      </c>
      <c r="D101" s="3">
        <v>45544</v>
      </c>
      <c r="E101" t="str">
        <f>VLOOKUP(B101,'PROCV GERENTES BD'!A:B,2,0)</f>
        <v>NOELI SALETE</v>
      </c>
      <c r="F101" s="4" t="str">
        <f t="shared" si="6"/>
        <v>2024-09</v>
      </c>
      <c r="G101" s="18">
        <f t="shared" si="7"/>
        <v>37</v>
      </c>
      <c r="H101" t="str">
        <f t="shared" si="8"/>
        <v>NOELI SALETE</v>
      </c>
      <c r="I101" t="str">
        <f t="shared" si="9"/>
        <v>MEIO OESTE PAPEIS LTDA ME</v>
      </c>
      <c r="J101">
        <f t="shared" si="10"/>
        <v>0</v>
      </c>
      <c r="K101">
        <f t="shared" si="11"/>
        <v>1</v>
      </c>
    </row>
    <row r="102" spans="1:11" x14ac:dyDescent="0.25">
      <c r="A102" t="s">
        <v>341</v>
      </c>
      <c r="B102" t="s">
        <v>86</v>
      </c>
      <c r="C102" t="s">
        <v>66</v>
      </c>
      <c r="D102" s="3">
        <v>45544</v>
      </c>
      <c r="E102" t="str">
        <f>VLOOKUP(B102,'PROCV GERENTES BD'!A:B,2,0)</f>
        <v>NOELI SALETE</v>
      </c>
      <c r="F102" s="4" t="str">
        <f t="shared" si="6"/>
        <v>2024-09</v>
      </c>
      <c r="G102" s="18">
        <f t="shared" si="7"/>
        <v>37</v>
      </c>
      <c r="H102" t="str">
        <f t="shared" si="8"/>
        <v>NOELI SALETE</v>
      </c>
      <c r="I102" t="str">
        <f t="shared" si="9"/>
        <v>MEIO OESTE PAPEIS LTDA ME</v>
      </c>
      <c r="J102">
        <f t="shared" si="10"/>
        <v>1</v>
      </c>
      <c r="K102">
        <f t="shared" si="11"/>
        <v>0</v>
      </c>
    </row>
    <row r="103" spans="1:11" x14ac:dyDescent="0.25">
      <c r="A103" t="s">
        <v>340</v>
      </c>
      <c r="B103" t="s">
        <v>86</v>
      </c>
      <c r="C103" t="s">
        <v>50</v>
      </c>
      <c r="D103" s="3">
        <f>D102</f>
        <v>45544</v>
      </c>
      <c r="E103" t="str">
        <f>VLOOKUP(B103,'PROCV GERENTES BD'!A:B,2,0)</f>
        <v>NOELI SALETE</v>
      </c>
      <c r="F103" s="4" t="str">
        <f t="shared" si="6"/>
        <v>2024-09</v>
      </c>
      <c r="G103" s="18">
        <f t="shared" si="7"/>
        <v>37</v>
      </c>
      <c r="H103" t="str">
        <f t="shared" si="8"/>
        <v>NOELI SALETE</v>
      </c>
      <c r="I103" t="str">
        <f t="shared" si="9"/>
        <v>MEIO OESTE PAPEIS LTDA ME</v>
      </c>
      <c r="J103">
        <f t="shared" si="10"/>
        <v>0</v>
      </c>
      <c r="K103">
        <f t="shared" si="11"/>
        <v>1</v>
      </c>
    </row>
    <row r="104" spans="1:11" x14ac:dyDescent="0.25">
      <c r="A104" t="s">
        <v>342</v>
      </c>
      <c r="B104" t="s">
        <v>88</v>
      </c>
      <c r="C104" t="s">
        <v>66</v>
      </c>
      <c r="D104" s="3">
        <v>45544</v>
      </c>
      <c r="E104" t="str">
        <f>VLOOKUP(B104,'PROCV GERENTES BD'!A:B,2,0)</f>
        <v>NOELI SALETE</v>
      </c>
      <c r="F104" s="4" t="str">
        <f t="shared" si="6"/>
        <v>2024-09</v>
      </c>
      <c r="G104" s="18">
        <f t="shared" si="7"/>
        <v>37</v>
      </c>
      <c r="H104" t="str">
        <f t="shared" si="8"/>
        <v>NOELI SALETE</v>
      </c>
      <c r="I104" t="str">
        <f t="shared" si="9"/>
        <v>TRANSNECHER COMERCIO TRANSPORTES E EMPREENDIMENTOS</v>
      </c>
      <c r="J104">
        <f t="shared" si="10"/>
        <v>1</v>
      </c>
      <c r="K104">
        <f t="shared" si="11"/>
        <v>0</v>
      </c>
    </row>
    <row r="105" spans="1:11" x14ac:dyDescent="0.25">
      <c r="A105" t="s">
        <v>370</v>
      </c>
      <c r="B105" t="s">
        <v>114</v>
      </c>
      <c r="C105" t="s">
        <v>50</v>
      </c>
      <c r="D105" s="3">
        <v>45544</v>
      </c>
      <c r="E105" t="str">
        <f>VLOOKUP(B105,'PROCV GERENTES BD'!A:B,2,0)</f>
        <v>POENATELA</v>
      </c>
      <c r="F105" s="4" t="str">
        <f t="shared" si="6"/>
        <v>2024-09</v>
      </c>
      <c r="G105" s="18">
        <f t="shared" si="7"/>
        <v>37</v>
      </c>
      <c r="H105" t="str">
        <f t="shared" si="8"/>
        <v>POENATELA</v>
      </c>
      <c r="I105" t="str">
        <f t="shared" si="9"/>
        <v>COOPERATIVA TRANSP AUTON CARGAS PASSAG SERVICOS LO</v>
      </c>
      <c r="J105">
        <f t="shared" si="10"/>
        <v>0</v>
      </c>
      <c r="K105">
        <f t="shared" si="11"/>
        <v>1</v>
      </c>
    </row>
    <row r="106" spans="1:11" x14ac:dyDescent="0.25">
      <c r="A106" t="s">
        <v>370</v>
      </c>
      <c r="B106" t="s">
        <v>114</v>
      </c>
      <c r="C106" t="s">
        <v>50</v>
      </c>
      <c r="D106" s="3">
        <f>D105</f>
        <v>45544</v>
      </c>
      <c r="E106" t="str">
        <f>VLOOKUP(B106,'PROCV GERENTES BD'!A:B,2,0)</f>
        <v>POENATELA</v>
      </c>
      <c r="F106" s="4" t="str">
        <f t="shared" si="6"/>
        <v>2024-09</v>
      </c>
      <c r="G106" s="18">
        <f t="shared" si="7"/>
        <v>37</v>
      </c>
      <c r="H106" t="str">
        <f t="shared" si="8"/>
        <v>POENATELA</v>
      </c>
      <c r="I106" t="str">
        <f t="shared" si="9"/>
        <v>COOPERATIVA TRANSP AUTON CARGAS PASSAG SERVICOS LO</v>
      </c>
      <c r="J106">
        <f t="shared" si="10"/>
        <v>0</v>
      </c>
      <c r="K106">
        <f t="shared" si="11"/>
        <v>1</v>
      </c>
    </row>
    <row r="107" spans="1:11" x14ac:dyDescent="0.25">
      <c r="A107" t="s">
        <v>345</v>
      </c>
      <c r="B107" t="s">
        <v>90</v>
      </c>
      <c r="C107" t="s">
        <v>50</v>
      </c>
      <c r="D107" s="3">
        <v>45544</v>
      </c>
      <c r="E107" t="str">
        <f>VLOOKUP(B107,'PROCV GERENTES BD'!A:B,2,0)</f>
        <v>POENATELA</v>
      </c>
      <c r="F107" s="4" t="str">
        <f t="shared" si="6"/>
        <v>2024-09</v>
      </c>
      <c r="G107" s="18">
        <f t="shared" si="7"/>
        <v>37</v>
      </c>
      <c r="H107" t="str">
        <f t="shared" si="8"/>
        <v>POENATELA</v>
      </c>
      <c r="I107" t="str">
        <f t="shared" si="9"/>
        <v>GREEN FARMING FAZENDAS RENOVAVEIS LTDA</v>
      </c>
      <c r="J107">
        <f t="shared" si="10"/>
        <v>0</v>
      </c>
      <c r="K107">
        <f t="shared" si="11"/>
        <v>1</v>
      </c>
    </row>
    <row r="108" spans="1:11" x14ac:dyDescent="0.25">
      <c r="A108" t="s">
        <v>346</v>
      </c>
      <c r="B108" t="s">
        <v>91</v>
      </c>
      <c r="C108" t="s">
        <v>50</v>
      </c>
      <c r="D108" s="3">
        <v>45544</v>
      </c>
      <c r="E108" t="str">
        <f>VLOOKUP(B108,'PROCV GERENTES BD'!A:B,2,0)</f>
        <v>POENATELA</v>
      </c>
      <c r="F108" s="4" t="str">
        <f t="shared" si="6"/>
        <v>2024-09</v>
      </c>
      <c r="G108" s="18">
        <f t="shared" si="7"/>
        <v>37</v>
      </c>
      <c r="H108" t="str">
        <f t="shared" si="8"/>
        <v>POENATELA</v>
      </c>
      <c r="I108" t="str">
        <f t="shared" si="9"/>
        <v>UBERTEC SERVICE USINAGEM LTDA EPP</v>
      </c>
      <c r="J108">
        <f t="shared" si="10"/>
        <v>0</v>
      </c>
      <c r="K108">
        <f t="shared" si="11"/>
        <v>1</v>
      </c>
    </row>
    <row r="109" spans="1:11" x14ac:dyDescent="0.25">
      <c r="A109" t="s">
        <v>346</v>
      </c>
      <c r="B109" t="s">
        <v>91</v>
      </c>
      <c r="C109" t="s">
        <v>50</v>
      </c>
      <c r="D109" s="3">
        <f>D108</f>
        <v>45544</v>
      </c>
      <c r="E109" t="str">
        <f>VLOOKUP(B109,'PROCV GERENTES BD'!A:B,2,0)</f>
        <v>POENATELA</v>
      </c>
      <c r="F109" s="4" t="str">
        <f t="shared" si="6"/>
        <v>2024-09</v>
      </c>
      <c r="G109" s="18">
        <f t="shared" si="7"/>
        <v>37</v>
      </c>
      <c r="H109" t="str">
        <f t="shared" si="8"/>
        <v>POENATELA</v>
      </c>
      <c r="I109" t="str">
        <f t="shared" si="9"/>
        <v>UBERTEC SERVICE USINAGEM LTDA EPP</v>
      </c>
      <c r="J109">
        <f t="shared" si="10"/>
        <v>0</v>
      </c>
      <c r="K109">
        <f t="shared" si="11"/>
        <v>1</v>
      </c>
    </row>
    <row r="110" spans="1:11" x14ac:dyDescent="0.25">
      <c r="A110" t="s">
        <v>353</v>
      </c>
      <c r="B110" t="s">
        <v>97</v>
      </c>
      <c r="C110" t="s">
        <v>50</v>
      </c>
      <c r="D110" s="3">
        <v>45544</v>
      </c>
      <c r="E110" t="str">
        <f>VLOOKUP(B110,'PROCV GERENTES BD'!A:B,2,0)</f>
        <v>PRISCILA METZ</v>
      </c>
      <c r="F110" s="4" t="str">
        <f t="shared" si="6"/>
        <v>2024-09</v>
      </c>
      <c r="G110" s="18">
        <f t="shared" si="7"/>
        <v>37</v>
      </c>
      <c r="H110" t="str">
        <f t="shared" si="8"/>
        <v>PRISCILA METZ</v>
      </c>
      <c r="I110" t="str">
        <f t="shared" si="9"/>
        <v>ESSENZA INDUSTRIA QUIMICA LTDA</v>
      </c>
      <c r="J110">
        <f t="shared" si="10"/>
        <v>0</v>
      </c>
      <c r="K110">
        <f t="shared" si="11"/>
        <v>1</v>
      </c>
    </row>
    <row r="111" spans="1:11" x14ac:dyDescent="0.25">
      <c r="A111" t="s">
        <v>361</v>
      </c>
      <c r="B111" t="s">
        <v>106</v>
      </c>
      <c r="C111" t="s">
        <v>50</v>
      </c>
      <c r="D111" s="3">
        <v>45544</v>
      </c>
      <c r="E111" t="str">
        <f>VLOOKUP(B111,'PROCV GERENTES BD'!A:B,2,0)</f>
        <v>PRISCILA METZ</v>
      </c>
      <c r="F111" s="4" t="str">
        <f t="shared" si="6"/>
        <v>2024-09</v>
      </c>
      <c r="G111" s="18">
        <f t="shared" si="7"/>
        <v>37</v>
      </c>
      <c r="H111" t="str">
        <f t="shared" si="8"/>
        <v>PRISCILA METZ</v>
      </c>
      <c r="I111" t="str">
        <f t="shared" si="9"/>
        <v>HERBAMED LABORATORIO NUTRACEUTICO LTDA</v>
      </c>
      <c r="J111">
        <f t="shared" si="10"/>
        <v>0</v>
      </c>
      <c r="K111">
        <f t="shared" si="11"/>
        <v>1</v>
      </c>
    </row>
    <row r="112" spans="1:11" x14ac:dyDescent="0.25">
      <c r="A112" t="s">
        <v>347</v>
      </c>
      <c r="B112" t="s">
        <v>92</v>
      </c>
      <c r="C112" t="s">
        <v>50</v>
      </c>
      <c r="D112" s="3">
        <v>45544</v>
      </c>
      <c r="E112" t="str">
        <f>VLOOKUP(B112,'PROCV GERENTES BD'!A:B,2,0)</f>
        <v>RAFAEL PARISE</v>
      </c>
      <c r="F112" s="4" t="str">
        <f t="shared" si="6"/>
        <v>2024-09</v>
      </c>
      <c r="G112" s="18">
        <f t="shared" si="7"/>
        <v>37</v>
      </c>
      <c r="H112" t="str">
        <f t="shared" si="8"/>
        <v>RAFAEL PARISE</v>
      </c>
      <c r="I112" t="str">
        <f t="shared" si="9"/>
        <v>CONSULOC ENGENHARIA LTDA EPP</v>
      </c>
      <c r="J112">
        <f t="shared" si="10"/>
        <v>0</v>
      </c>
      <c r="K112">
        <f t="shared" si="11"/>
        <v>1</v>
      </c>
    </row>
    <row r="113" spans="1:11" x14ac:dyDescent="0.25">
      <c r="A113" t="s">
        <v>348</v>
      </c>
      <c r="B113" t="s">
        <v>93</v>
      </c>
      <c r="C113" t="s">
        <v>50</v>
      </c>
      <c r="D113" s="3">
        <v>45544</v>
      </c>
      <c r="E113" t="str">
        <f>VLOOKUP(B113,'PROCV GERENTES BD'!A:B,2,0)</f>
        <v>WHELKYA IRIS</v>
      </c>
      <c r="F113" s="4" t="str">
        <f t="shared" si="6"/>
        <v>2024-09</v>
      </c>
      <c r="G113" s="18">
        <f t="shared" si="7"/>
        <v>37</v>
      </c>
      <c r="H113" t="str">
        <f t="shared" si="8"/>
        <v>WHELKYA IRIS</v>
      </c>
      <c r="I113" t="str">
        <f t="shared" si="9"/>
        <v>DIVINA INDUSTRIA DE COURO LTDA</v>
      </c>
      <c r="J113">
        <f t="shared" si="10"/>
        <v>0</v>
      </c>
      <c r="K113">
        <f t="shared" si="11"/>
        <v>1</v>
      </c>
    </row>
    <row r="114" spans="1:11" x14ac:dyDescent="0.25">
      <c r="A114" t="s">
        <v>348</v>
      </c>
      <c r="B114" t="s">
        <v>93</v>
      </c>
      <c r="C114" t="s">
        <v>50</v>
      </c>
      <c r="D114" s="3">
        <f>D113</f>
        <v>45544</v>
      </c>
      <c r="E114" t="str">
        <f>VLOOKUP(B114,'PROCV GERENTES BD'!A:B,2,0)</f>
        <v>WHELKYA IRIS</v>
      </c>
      <c r="F114" s="4" t="str">
        <f t="shared" si="6"/>
        <v>2024-09</v>
      </c>
      <c r="G114" s="18">
        <f t="shared" si="7"/>
        <v>37</v>
      </c>
      <c r="H114" t="str">
        <f t="shared" si="8"/>
        <v>WHELKYA IRIS</v>
      </c>
      <c r="I114" t="str">
        <f t="shared" si="9"/>
        <v>DIVINA INDUSTRIA DE COURO LTDA</v>
      </c>
      <c r="J114">
        <f t="shared" si="10"/>
        <v>0</v>
      </c>
      <c r="K114">
        <f t="shared" si="11"/>
        <v>1</v>
      </c>
    </row>
    <row r="115" spans="1:11" x14ac:dyDescent="0.25">
      <c r="A115" t="s">
        <v>330</v>
      </c>
      <c r="B115" t="s">
        <v>78</v>
      </c>
      <c r="C115" t="s">
        <v>66</v>
      </c>
      <c r="D115" s="3">
        <v>45545</v>
      </c>
      <c r="E115" t="str">
        <f>VLOOKUP(B115,'PROCV GERENTES BD'!A:B,2,0)</f>
        <v>ADMINISTRAÇÃO</v>
      </c>
      <c r="F115" s="4" t="str">
        <f t="shared" si="6"/>
        <v>2024-09</v>
      </c>
      <c r="G115" s="18">
        <f t="shared" si="7"/>
        <v>37</v>
      </c>
      <c r="H115" t="str">
        <f t="shared" si="8"/>
        <v>ADMINISTRAÇÃO</v>
      </c>
      <c r="I115" t="str">
        <f t="shared" si="9"/>
        <v>ACQUION FOODTECH S/A</v>
      </c>
      <c r="J115">
        <f t="shared" si="10"/>
        <v>1</v>
      </c>
      <c r="K115">
        <f t="shared" si="11"/>
        <v>0</v>
      </c>
    </row>
    <row r="116" spans="1:11" x14ac:dyDescent="0.25">
      <c r="A116" t="s">
        <v>371</v>
      </c>
      <c r="B116" t="s">
        <v>115</v>
      </c>
      <c r="C116" t="s">
        <v>50</v>
      </c>
      <c r="D116" s="3">
        <v>45545</v>
      </c>
      <c r="E116" t="str">
        <f>VLOOKUP(B116,'PROCV GERENTES BD'!A:B,2,0)</f>
        <v>ADMINISTRAÇÃO</v>
      </c>
      <c r="F116" s="4" t="str">
        <f t="shared" si="6"/>
        <v>2024-09</v>
      </c>
      <c r="G116" s="18">
        <f t="shared" si="7"/>
        <v>37</v>
      </c>
      <c r="H116" t="str">
        <f t="shared" si="8"/>
        <v>ADMINISTRAÇÃO</v>
      </c>
      <c r="I116" t="str">
        <f t="shared" si="9"/>
        <v>ESPECIALI INDUSTRIA DE ALIMENTOS LTDA ME</v>
      </c>
      <c r="J116">
        <f t="shared" si="10"/>
        <v>0</v>
      </c>
      <c r="K116">
        <f t="shared" si="11"/>
        <v>1</v>
      </c>
    </row>
    <row r="117" spans="1:11" x14ac:dyDescent="0.25">
      <c r="A117" t="s">
        <v>372</v>
      </c>
      <c r="B117" t="s">
        <v>116</v>
      </c>
      <c r="C117" t="s">
        <v>66</v>
      </c>
      <c r="D117" s="3">
        <v>45545</v>
      </c>
      <c r="E117" t="str">
        <f>VLOOKUP(B117,'PROCV GERENTES BD'!A:B,2,0)</f>
        <v>ADMINISTRAÇÃO</v>
      </c>
      <c r="F117" s="4" t="str">
        <f t="shared" si="6"/>
        <v>2024-09</v>
      </c>
      <c r="G117" s="18">
        <f t="shared" si="7"/>
        <v>37</v>
      </c>
      <c r="H117" t="str">
        <f t="shared" si="8"/>
        <v>ADMINISTRAÇÃO</v>
      </c>
      <c r="I117" t="str">
        <f t="shared" si="9"/>
        <v>PREMOLDADOS MATOSINHOS LTDA EPP</v>
      </c>
      <c r="J117">
        <f t="shared" si="10"/>
        <v>1</v>
      </c>
      <c r="K117">
        <f t="shared" si="11"/>
        <v>0</v>
      </c>
    </row>
    <row r="118" spans="1:11" x14ac:dyDescent="0.25">
      <c r="A118" t="s">
        <v>373</v>
      </c>
      <c r="B118" t="s">
        <v>117</v>
      </c>
      <c r="C118" t="s">
        <v>66</v>
      </c>
      <c r="D118" s="3">
        <v>45545</v>
      </c>
      <c r="E118" t="str">
        <f>VLOOKUP(B118,'PROCV GERENTES BD'!A:B,2,0)</f>
        <v>ADMINISTRAÇÃO</v>
      </c>
      <c r="F118" s="4" t="str">
        <f t="shared" si="6"/>
        <v>2024-09</v>
      </c>
      <c r="G118" s="18">
        <f t="shared" si="7"/>
        <v>37</v>
      </c>
      <c r="H118" t="str">
        <f t="shared" si="8"/>
        <v>ADMINISTRAÇÃO</v>
      </c>
      <c r="I118" t="str">
        <f t="shared" si="9"/>
        <v>VIVAN TRANSPORTES LTDA</v>
      </c>
      <c r="J118">
        <f t="shared" si="10"/>
        <v>1</v>
      </c>
      <c r="K118">
        <f t="shared" si="11"/>
        <v>0</v>
      </c>
    </row>
    <row r="119" spans="1:11" x14ac:dyDescent="0.25">
      <c r="A119" t="s">
        <v>319</v>
      </c>
      <c r="B119" t="s">
        <v>80</v>
      </c>
      <c r="C119" t="s">
        <v>50</v>
      </c>
      <c r="D119" s="3">
        <v>45545</v>
      </c>
      <c r="E119" t="str">
        <f>VLOOKUP(B119,'PROCV GERENTES BD'!A:B,2,0)</f>
        <v>CELIO PIMENTA</v>
      </c>
      <c r="F119" s="4" t="str">
        <f t="shared" si="6"/>
        <v>2024-09</v>
      </c>
      <c r="G119" s="18">
        <f t="shared" si="7"/>
        <v>37</v>
      </c>
      <c r="H119" t="str">
        <f t="shared" si="8"/>
        <v>CELIO PIMENTA</v>
      </c>
      <c r="I119" t="str">
        <f t="shared" si="9"/>
        <v>IMPORTEXTIL COMERCIO DE TECIDOS LTDA</v>
      </c>
      <c r="J119">
        <f t="shared" si="10"/>
        <v>0</v>
      </c>
      <c r="K119">
        <f t="shared" si="11"/>
        <v>1</v>
      </c>
    </row>
    <row r="120" spans="1:11" x14ac:dyDescent="0.25">
      <c r="A120" t="s">
        <v>374</v>
      </c>
      <c r="B120" t="s">
        <v>118</v>
      </c>
      <c r="C120" t="s">
        <v>50</v>
      </c>
      <c r="D120" s="3">
        <v>45545</v>
      </c>
      <c r="E120" t="str">
        <f>VLOOKUP(B120,'PROCV GERENTES BD'!A:B,2,0)</f>
        <v>CELIO PIMENTA</v>
      </c>
      <c r="F120" s="4" t="str">
        <f t="shared" si="6"/>
        <v>2024-09</v>
      </c>
      <c r="G120" s="18">
        <f t="shared" si="7"/>
        <v>37</v>
      </c>
      <c r="H120" t="str">
        <f t="shared" si="8"/>
        <v>CELIO PIMENTA</v>
      </c>
      <c r="I120" t="str">
        <f t="shared" si="9"/>
        <v>MINAS ALIMENTOS E FRUTAS SECAS LTDA EPP</v>
      </c>
      <c r="J120">
        <f t="shared" si="10"/>
        <v>0</v>
      </c>
      <c r="K120">
        <f t="shared" si="11"/>
        <v>1</v>
      </c>
    </row>
    <row r="121" spans="1:11" x14ac:dyDescent="0.25">
      <c r="A121" t="s">
        <v>324</v>
      </c>
      <c r="B121" t="s">
        <v>119</v>
      </c>
      <c r="C121" t="s">
        <v>50</v>
      </c>
      <c r="D121" s="3">
        <v>45545</v>
      </c>
      <c r="E121" t="str">
        <f>VLOOKUP(B121,'PROCV GERENTES BD'!A:B,2,0)</f>
        <v>PROSPECTAR</v>
      </c>
      <c r="F121" s="4" t="str">
        <f t="shared" si="6"/>
        <v>2024-09</v>
      </c>
      <c r="G121" s="18">
        <f t="shared" si="7"/>
        <v>37</v>
      </c>
      <c r="H121" t="str">
        <f t="shared" si="8"/>
        <v>PROSPECTAR</v>
      </c>
      <c r="I121" t="str">
        <f t="shared" si="9"/>
        <v>TRANSHENRY TRANSPORTES LTDA</v>
      </c>
      <c r="J121">
        <f t="shared" si="10"/>
        <v>0</v>
      </c>
      <c r="K121">
        <f t="shared" si="11"/>
        <v>1</v>
      </c>
    </row>
    <row r="122" spans="1:11" x14ac:dyDescent="0.25">
      <c r="A122" t="s">
        <v>350</v>
      </c>
      <c r="B122" t="s">
        <v>95</v>
      </c>
      <c r="C122" t="s">
        <v>50</v>
      </c>
      <c r="D122" s="3">
        <v>45545</v>
      </c>
      <c r="E122" t="str">
        <f>VLOOKUP(B122,'PROCV GERENTES BD'!A:B,2,0)</f>
        <v>GRUPO OTTO</v>
      </c>
      <c r="F122" s="4" t="str">
        <f t="shared" si="6"/>
        <v>2024-09</v>
      </c>
      <c r="G122" s="18">
        <f t="shared" si="7"/>
        <v>37</v>
      </c>
      <c r="H122" t="str">
        <f t="shared" si="8"/>
        <v>GRUPO OTTO</v>
      </c>
      <c r="I122" t="str">
        <f t="shared" si="9"/>
        <v>PLURIFORME INDUSTRIA E COMERCIO DE UNIFORMES LTDA</v>
      </c>
      <c r="J122">
        <f t="shared" si="10"/>
        <v>0</v>
      </c>
      <c r="K122">
        <f t="shared" si="11"/>
        <v>1</v>
      </c>
    </row>
    <row r="123" spans="1:11" x14ac:dyDescent="0.25">
      <c r="A123" t="s">
        <v>375</v>
      </c>
      <c r="B123" t="s">
        <v>120</v>
      </c>
      <c r="C123" t="s">
        <v>66</v>
      </c>
      <c r="D123" s="3">
        <v>45545</v>
      </c>
      <c r="E123" t="str">
        <f>VLOOKUP(B123,'PROCV GERENTES BD'!A:B,2,0)</f>
        <v>ADMINISTRAÇÃO</v>
      </c>
      <c r="F123" s="4" t="str">
        <f t="shared" si="6"/>
        <v>2024-09</v>
      </c>
      <c r="G123" s="18">
        <f t="shared" si="7"/>
        <v>37</v>
      </c>
      <c r="H123" t="str">
        <f t="shared" si="8"/>
        <v>ADMINISTRAÇÃO</v>
      </c>
      <c r="I123" t="str">
        <f t="shared" si="9"/>
        <v>FARINELLI NUTRIMENTOS LTDA</v>
      </c>
      <c r="J123">
        <f t="shared" si="10"/>
        <v>1</v>
      </c>
      <c r="K123">
        <f t="shared" si="11"/>
        <v>0</v>
      </c>
    </row>
    <row r="124" spans="1:11" x14ac:dyDescent="0.25">
      <c r="A124" t="s">
        <v>340</v>
      </c>
      <c r="B124" t="s">
        <v>86</v>
      </c>
      <c r="C124" t="s">
        <v>50</v>
      </c>
      <c r="D124" s="3">
        <v>45545</v>
      </c>
      <c r="E124" t="str">
        <f>VLOOKUP(B124,'PROCV GERENTES BD'!A:B,2,0)</f>
        <v>NOELI SALETE</v>
      </c>
      <c r="F124" s="4" t="str">
        <f t="shared" si="6"/>
        <v>2024-09</v>
      </c>
      <c r="G124" s="18">
        <f t="shared" si="7"/>
        <v>37</v>
      </c>
      <c r="H124" t="str">
        <f t="shared" si="8"/>
        <v>NOELI SALETE</v>
      </c>
      <c r="I124" t="str">
        <f t="shared" si="9"/>
        <v>MEIO OESTE PAPEIS LTDA ME</v>
      </c>
      <c r="J124">
        <f t="shared" si="10"/>
        <v>0</v>
      </c>
      <c r="K124">
        <f t="shared" si="11"/>
        <v>1</v>
      </c>
    </row>
    <row r="125" spans="1:11" x14ac:dyDescent="0.25">
      <c r="A125" t="s">
        <v>370</v>
      </c>
      <c r="B125" t="s">
        <v>114</v>
      </c>
      <c r="C125" t="s">
        <v>66</v>
      </c>
      <c r="D125" s="3">
        <v>45545</v>
      </c>
      <c r="E125" t="str">
        <f>VLOOKUP(B125,'PROCV GERENTES BD'!A:B,2,0)</f>
        <v>POENATELA</v>
      </c>
      <c r="F125" s="4" t="str">
        <f t="shared" si="6"/>
        <v>2024-09</v>
      </c>
      <c r="G125" s="18">
        <f t="shared" si="7"/>
        <v>37</v>
      </c>
      <c r="H125" t="str">
        <f t="shared" si="8"/>
        <v>POENATELA</v>
      </c>
      <c r="I125" t="str">
        <f t="shared" si="9"/>
        <v>COOPERATIVA TRANSP AUTON CARGAS PASSAG SERVICOS LO</v>
      </c>
      <c r="J125">
        <f t="shared" si="10"/>
        <v>1</v>
      </c>
      <c r="K125">
        <f t="shared" si="11"/>
        <v>0</v>
      </c>
    </row>
    <row r="126" spans="1:11" x14ac:dyDescent="0.25">
      <c r="A126" t="s">
        <v>345</v>
      </c>
      <c r="B126" t="s">
        <v>90</v>
      </c>
      <c r="C126" t="s">
        <v>50</v>
      </c>
      <c r="D126" s="3">
        <v>45545</v>
      </c>
      <c r="E126" t="str">
        <f>VLOOKUP(B126,'PROCV GERENTES BD'!A:B,2,0)</f>
        <v>POENATELA</v>
      </c>
      <c r="F126" s="4" t="str">
        <f t="shared" si="6"/>
        <v>2024-09</v>
      </c>
      <c r="G126" s="18">
        <f t="shared" si="7"/>
        <v>37</v>
      </c>
      <c r="H126" t="str">
        <f t="shared" si="8"/>
        <v>POENATELA</v>
      </c>
      <c r="I126" t="str">
        <f t="shared" si="9"/>
        <v>GREEN FARMING FAZENDAS RENOVAVEIS LTDA</v>
      </c>
      <c r="J126">
        <f t="shared" si="10"/>
        <v>0</v>
      </c>
      <c r="K126">
        <f t="shared" si="11"/>
        <v>1</v>
      </c>
    </row>
    <row r="127" spans="1:11" x14ac:dyDescent="0.25">
      <c r="A127" t="s">
        <v>346</v>
      </c>
      <c r="B127" t="s">
        <v>91</v>
      </c>
      <c r="C127" t="s">
        <v>50</v>
      </c>
      <c r="D127" s="3">
        <v>45545</v>
      </c>
      <c r="E127" t="str">
        <f>VLOOKUP(B127,'PROCV GERENTES BD'!A:B,2,0)</f>
        <v>POENATELA</v>
      </c>
      <c r="F127" s="4" t="str">
        <f t="shared" si="6"/>
        <v>2024-09</v>
      </c>
      <c r="G127" s="18">
        <f t="shared" si="7"/>
        <v>37</v>
      </c>
      <c r="H127" t="str">
        <f t="shared" si="8"/>
        <v>POENATELA</v>
      </c>
      <c r="I127" t="str">
        <f t="shared" si="9"/>
        <v>UBERTEC SERVICE USINAGEM LTDA EPP</v>
      </c>
      <c r="J127">
        <f t="shared" si="10"/>
        <v>0</v>
      </c>
      <c r="K127">
        <f t="shared" si="11"/>
        <v>1</v>
      </c>
    </row>
    <row r="128" spans="1:11" x14ac:dyDescent="0.25">
      <c r="A128" t="s">
        <v>353</v>
      </c>
      <c r="B128" t="s">
        <v>97</v>
      </c>
      <c r="C128" t="s">
        <v>50</v>
      </c>
      <c r="D128" s="3">
        <v>45545</v>
      </c>
      <c r="E128" t="str">
        <f>VLOOKUP(B128,'PROCV GERENTES BD'!A:B,2,0)</f>
        <v>PRISCILA METZ</v>
      </c>
      <c r="F128" s="4" t="str">
        <f t="shared" si="6"/>
        <v>2024-09</v>
      </c>
      <c r="G128" s="18">
        <f t="shared" si="7"/>
        <v>37</v>
      </c>
      <c r="H128" t="str">
        <f t="shared" si="8"/>
        <v>PRISCILA METZ</v>
      </c>
      <c r="I128" t="str">
        <f t="shared" si="9"/>
        <v>ESSENZA INDUSTRIA QUIMICA LTDA</v>
      </c>
      <c r="J128">
        <f t="shared" si="10"/>
        <v>0</v>
      </c>
      <c r="K128">
        <f t="shared" si="11"/>
        <v>1</v>
      </c>
    </row>
    <row r="129" spans="1:11" x14ac:dyDescent="0.25">
      <c r="A129" t="s">
        <v>376</v>
      </c>
      <c r="B129" t="s">
        <v>121</v>
      </c>
      <c r="C129" t="s">
        <v>50</v>
      </c>
      <c r="D129" s="3">
        <v>45545</v>
      </c>
      <c r="E129" t="str">
        <f>VLOOKUP(B129,'PROCV GERENTES BD'!A:B,2,0)</f>
        <v>PRISCILA METZ</v>
      </c>
      <c r="F129" s="4" t="str">
        <f t="shared" si="6"/>
        <v>2024-09</v>
      </c>
      <c r="G129" s="18">
        <f t="shared" si="7"/>
        <v>37</v>
      </c>
      <c r="H129" t="str">
        <f t="shared" si="8"/>
        <v>PRISCILA METZ</v>
      </c>
      <c r="I129" t="str">
        <f t="shared" si="9"/>
        <v>NOVA DISTRIBUIDORA E ATACADO DE LIMPEZA LTDA</v>
      </c>
      <c r="J129">
        <f t="shared" si="10"/>
        <v>0</v>
      </c>
      <c r="K129">
        <f t="shared" si="11"/>
        <v>1</v>
      </c>
    </row>
    <row r="130" spans="1:11" x14ac:dyDescent="0.25">
      <c r="A130" t="s">
        <v>76</v>
      </c>
      <c r="B130" t="s">
        <v>77</v>
      </c>
      <c r="C130" t="s">
        <v>50</v>
      </c>
      <c r="D130" s="3">
        <v>45545</v>
      </c>
      <c r="E130" t="str">
        <f>VLOOKUP(B130,'PROCV GERENTES BD'!A:B,2,0)</f>
        <v>RAFAEL PARISE</v>
      </c>
      <c r="F130" s="4" t="str">
        <f t="shared" ref="F130:F193" si="12">YEAR(D130)&amp;"-"&amp;TEXT(MONTH(D130),"00")</f>
        <v>2024-09</v>
      </c>
      <c r="G130" s="18">
        <f t="shared" ref="G130:G193" si="13">WEEKNUM(D130)</f>
        <v>37</v>
      </c>
      <c r="H130" t="str">
        <f t="shared" ref="H130:H193" si="14">E130</f>
        <v>RAFAEL PARISE</v>
      </c>
      <c r="I130" t="str">
        <f t="shared" ref="I130:I193" si="15">B130</f>
        <v>UNITA AUTO PECAS LTDA EPP</v>
      </c>
      <c r="J130">
        <f t="shared" ref="J130:J193" si="16">IF(OR(C130="EXCLUSAO  ANOT.INADIMPLENCIA",C130="INCL/EXCL ANOT.INADIMPLENCIA"),1,0)</f>
        <v>0</v>
      </c>
      <c r="K130">
        <f t="shared" ref="K130:K193" si="17">IF(OR(C130="INCLUSAO  ANOT.INADIMPLENCIA",C130="INCL/EXCL ANOT.INADIMPLENCIA"),1,0)</f>
        <v>1</v>
      </c>
    </row>
    <row r="131" spans="1:11" x14ac:dyDescent="0.25">
      <c r="A131" t="s">
        <v>326</v>
      </c>
      <c r="B131" t="s">
        <v>122</v>
      </c>
      <c r="C131" t="s">
        <v>50</v>
      </c>
      <c r="D131" s="3">
        <v>45545</v>
      </c>
      <c r="E131" t="s">
        <v>21</v>
      </c>
      <c r="F131" s="4" t="str">
        <f t="shared" si="12"/>
        <v>2024-09</v>
      </c>
      <c r="G131" s="18">
        <f t="shared" si="13"/>
        <v>37</v>
      </c>
      <c r="H131" t="str">
        <f t="shared" si="14"/>
        <v xml:space="preserve">ROGERIO </v>
      </c>
      <c r="I131" t="str">
        <f t="shared" si="15"/>
        <v>BIBE PRODUTOS INFANTIS LTDA</v>
      </c>
      <c r="J131">
        <f t="shared" si="16"/>
        <v>0</v>
      </c>
      <c r="K131">
        <f t="shared" si="17"/>
        <v>1</v>
      </c>
    </row>
    <row r="132" spans="1:11" x14ac:dyDescent="0.25">
      <c r="A132" t="s">
        <v>330</v>
      </c>
      <c r="B132" t="s">
        <v>78</v>
      </c>
      <c r="C132" t="s">
        <v>66</v>
      </c>
      <c r="D132" s="3">
        <v>45546</v>
      </c>
      <c r="E132" t="str">
        <f>VLOOKUP(B132,'PROCV GERENTES BD'!A:B,2,0)</f>
        <v>ADMINISTRAÇÃO</v>
      </c>
      <c r="F132" s="4" t="str">
        <f t="shared" si="12"/>
        <v>2024-09</v>
      </c>
      <c r="G132" s="18">
        <f t="shared" si="13"/>
        <v>37</v>
      </c>
      <c r="H132" t="str">
        <f t="shared" si="14"/>
        <v>ADMINISTRAÇÃO</v>
      </c>
      <c r="I132" t="str">
        <f t="shared" si="15"/>
        <v>ACQUION FOODTECH S/A</v>
      </c>
      <c r="J132">
        <f t="shared" si="16"/>
        <v>1</v>
      </c>
      <c r="K132">
        <f t="shared" si="17"/>
        <v>0</v>
      </c>
    </row>
    <row r="133" spans="1:11" x14ac:dyDescent="0.25">
      <c r="A133" t="s">
        <v>372</v>
      </c>
      <c r="B133" t="s">
        <v>116</v>
      </c>
      <c r="C133" t="s">
        <v>50</v>
      </c>
      <c r="D133" s="3">
        <v>45546</v>
      </c>
      <c r="E133" t="str">
        <f>VLOOKUP(B133,'PROCV GERENTES BD'!A:B,2,0)</f>
        <v>ADMINISTRAÇÃO</v>
      </c>
      <c r="F133" s="4" t="str">
        <f t="shared" si="12"/>
        <v>2024-09</v>
      </c>
      <c r="G133" s="18">
        <f t="shared" si="13"/>
        <v>37</v>
      </c>
      <c r="H133" t="str">
        <f t="shared" si="14"/>
        <v>ADMINISTRAÇÃO</v>
      </c>
      <c r="I133" t="str">
        <f t="shared" si="15"/>
        <v>PREMOLDADOS MATOSINHOS LTDA EPP</v>
      </c>
      <c r="J133">
        <f t="shared" si="16"/>
        <v>0</v>
      </c>
      <c r="K133">
        <f t="shared" si="17"/>
        <v>1</v>
      </c>
    </row>
    <row r="134" spans="1:11" x14ac:dyDescent="0.25">
      <c r="A134" t="s">
        <v>319</v>
      </c>
      <c r="B134" t="s">
        <v>80</v>
      </c>
      <c r="C134" t="s">
        <v>50</v>
      </c>
      <c r="D134" s="3">
        <v>45546</v>
      </c>
      <c r="E134" t="str">
        <f>VLOOKUP(B134,'PROCV GERENTES BD'!A:B,2,0)</f>
        <v>CELIO PIMENTA</v>
      </c>
      <c r="F134" s="4" t="str">
        <f t="shared" si="12"/>
        <v>2024-09</v>
      </c>
      <c r="G134" s="18">
        <f t="shared" si="13"/>
        <v>37</v>
      </c>
      <c r="H134" t="str">
        <f t="shared" si="14"/>
        <v>CELIO PIMENTA</v>
      </c>
      <c r="I134" t="str">
        <f t="shared" si="15"/>
        <v>IMPORTEXTIL COMERCIO DE TECIDOS LTDA</v>
      </c>
      <c r="J134">
        <f t="shared" si="16"/>
        <v>0</v>
      </c>
      <c r="K134">
        <f t="shared" si="17"/>
        <v>1</v>
      </c>
    </row>
    <row r="135" spans="1:11" x14ac:dyDescent="0.25">
      <c r="A135" t="s">
        <v>319</v>
      </c>
      <c r="B135" t="s">
        <v>80</v>
      </c>
      <c r="C135" t="s">
        <v>66</v>
      </c>
      <c r="D135" s="3">
        <v>45546</v>
      </c>
      <c r="E135" t="str">
        <f>VLOOKUP(B135,'PROCV GERENTES BD'!A:B,2,0)</f>
        <v>CELIO PIMENTA</v>
      </c>
      <c r="F135" s="4" t="str">
        <f t="shared" si="12"/>
        <v>2024-09</v>
      </c>
      <c r="G135" s="18">
        <f t="shared" si="13"/>
        <v>37</v>
      </c>
      <c r="H135" t="str">
        <f t="shared" si="14"/>
        <v>CELIO PIMENTA</v>
      </c>
      <c r="I135" t="str">
        <f t="shared" si="15"/>
        <v>IMPORTEXTIL COMERCIO DE TECIDOS LTDA</v>
      </c>
      <c r="J135">
        <f t="shared" si="16"/>
        <v>1</v>
      </c>
      <c r="K135">
        <f t="shared" si="17"/>
        <v>0</v>
      </c>
    </row>
    <row r="136" spans="1:11" x14ac:dyDescent="0.25">
      <c r="A136" t="s">
        <v>374</v>
      </c>
      <c r="B136" t="s">
        <v>118</v>
      </c>
      <c r="C136" t="s">
        <v>50</v>
      </c>
      <c r="D136" s="3">
        <v>45546</v>
      </c>
      <c r="E136" t="str">
        <f>VLOOKUP(B136,'PROCV GERENTES BD'!A:B,2,0)</f>
        <v>CELIO PIMENTA</v>
      </c>
      <c r="F136" s="4" t="str">
        <f t="shared" si="12"/>
        <v>2024-09</v>
      </c>
      <c r="G136" s="18">
        <f t="shared" si="13"/>
        <v>37</v>
      </c>
      <c r="H136" t="str">
        <f t="shared" si="14"/>
        <v>CELIO PIMENTA</v>
      </c>
      <c r="I136" t="str">
        <f t="shared" si="15"/>
        <v>MINAS ALIMENTOS E FRUTAS SECAS LTDA EPP</v>
      </c>
      <c r="J136">
        <f t="shared" si="16"/>
        <v>0</v>
      </c>
      <c r="K136">
        <f t="shared" si="17"/>
        <v>1</v>
      </c>
    </row>
    <row r="137" spans="1:11" x14ac:dyDescent="0.25">
      <c r="A137" t="s">
        <v>358</v>
      </c>
      <c r="B137" t="s">
        <v>104</v>
      </c>
      <c r="C137" t="s">
        <v>50</v>
      </c>
      <c r="D137" s="3">
        <v>45546</v>
      </c>
      <c r="E137" t="str">
        <f>VLOOKUP(B137,'PROCV GERENTES BD'!A:B,2,0)</f>
        <v>DIOGO AZEVEDO</v>
      </c>
      <c r="F137" s="4" t="str">
        <f t="shared" si="12"/>
        <v>2024-09</v>
      </c>
      <c r="G137" s="18">
        <f t="shared" si="13"/>
        <v>37</v>
      </c>
      <c r="H137" t="str">
        <f t="shared" si="14"/>
        <v>DIOGO AZEVEDO</v>
      </c>
      <c r="I137" t="str">
        <f t="shared" si="15"/>
        <v>INDUSTRIA E CERVEJARIA ARTESANAL DE MINAS GERAIS L</v>
      </c>
      <c r="J137">
        <f t="shared" si="16"/>
        <v>0</v>
      </c>
      <c r="K137">
        <f t="shared" si="17"/>
        <v>1</v>
      </c>
    </row>
    <row r="138" spans="1:11" x14ac:dyDescent="0.25">
      <c r="A138" t="s">
        <v>339</v>
      </c>
      <c r="B138" t="s">
        <v>87</v>
      </c>
      <c r="C138" t="s">
        <v>50</v>
      </c>
      <c r="D138" s="3">
        <v>45546</v>
      </c>
      <c r="E138" t="str">
        <f>VLOOKUP(B138,'PROCV GERENTES BD'!A:B,2,0)</f>
        <v>NOELI SALETE</v>
      </c>
      <c r="F138" s="4" t="str">
        <f t="shared" si="12"/>
        <v>2024-09</v>
      </c>
      <c r="G138" s="18">
        <f t="shared" si="13"/>
        <v>37</v>
      </c>
      <c r="H138" t="str">
        <f t="shared" si="14"/>
        <v>NOELI SALETE</v>
      </c>
      <c r="I138" t="str">
        <f t="shared" si="15"/>
        <v>RODOBOX TRANSPORTES E ARMAZENAGEM DE CARGAS LTDA</v>
      </c>
      <c r="J138">
        <f t="shared" si="16"/>
        <v>0</v>
      </c>
      <c r="K138">
        <f t="shared" si="17"/>
        <v>1</v>
      </c>
    </row>
    <row r="139" spans="1:11" x14ac:dyDescent="0.25">
      <c r="A139" t="s">
        <v>340</v>
      </c>
      <c r="B139" t="s">
        <v>86</v>
      </c>
      <c r="C139" t="s">
        <v>50</v>
      </c>
      <c r="D139" s="3">
        <v>45546</v>
      </c>
      <c r="E139" t="str">
        <f>VLOOKUP(B139,'PROCV GERENTES BD'!A:B,2,0)</f>
        <v>NOELI SALETE</v>
      </c>
      <c r="F139" s="4" t="str">
        <f t="shared" si="12"/>
        <v>2024-09</v>
      </c>
      <c r="G139" s="18">
        <f t="shared" si="13"/>
        <v>37</v>
      </c>
      <c r="H139" t="str">
        <f t="shared" si="14"/>
        <v>NOELI SALETE</v>
      </c>
      <c r="I139" t="str">
        <f t="shared" si="15"/>
        <v>MEIO OESTE PAPEIS LTDA ME</v>
      </c>
      <c r="J139">
        <f t="shared" si="16"/>
        <v>0</v>
      </c>
      <c r="K139">
        <f t="shared" si="17"/>
        <v>1</v>
      </c>
    </row>
    <row r="140" spans="1:11" x14ac:dyDescent="0.25">
      <c r="A140" t="s">
        <v>345</v>
      </c>
      <c r="B140" t="s">
        <v>90</v>
      </c>
      <c r="C140" t="s">
        <v>50</v>
      </c>
      <c r="D140" s="3">
        <v>45546</v>
      </c>
      <c r="E140" t="str">
        <f>VLOOKUP(B140,'PROCV GERENTES BD'!A:B,2,0)</f>
        <v>POENATELA</v>
      </c>
      <c r="F140" s="4" t="str">
        <f t="shared" si="12"/>
        <v>2024-09</v>
      </c>
      <c r="G140" s="18">
        <f t="shared" si="13"/>
        <v>37</v>
      </c>
      <c r="H140" t="str">
        <f t="shared" si="14"/>
        <v>POENATELA</v>
      </c>
      <c r="I140" t="str">
        <f t="shared" si="15"/>
        <v>GREEN FARMING FAZENDAS RENOVAVEIS LTDA</v>
      </c>
      <c r="J140">
        <f t="shared" si="16"/>
        <v>0</v>
      </c>
      <c r="K140">
        <f t="shared" si="17"/>
        <v>1</v>
      </c>
    </row>
    <row r="141" spans="1:11" x14ac:dyDescent="0.25">
      <c r="A141" t="s">
        <v>346</v>
      </c>
      <c r="B141" t="s">
        <v>91</v>
      </c>
      <c r="C141" t="s">
        <v>66</v>
      </c>
      <c r="D141" s="3">
        <v>45546</v>
      </c>
      <c r="E141" t="str">
        <f>VLOOKUP(B141,'PROCV GERENTES BD'!A:B,2,0)</f>
        <v>POENATELA</v>
      </c>
      <c r="F141" s="4" t="str">
        <f t="shared" si="12"/>
        <v>2024-09</v>
      </c>
      <c r="G141" s="18">
        <f t="shared" si="13"/>
        <v>37</v>
      </c>
      <c r="H141" t="str">
        <f t="shared" si="14"/>
        <v>POENATELA</v>
      </c>
      <c r="I141" t="str">
        <f t="shared" si="15"/>
        <v>UBERTEC SERVICE USINAGEM LTDA EPP</v>
      </c>
      <c r="J141">
        <f t="shared" si="16"/>
        <v>1</v>
      </c>
      <c r="K141">
        <f t="shared" si="17"/>
        <v>0</v>
      </c>
    </row>
    <row r="142" spans="1:11" x14ac:dyDescent="0.25">
      <c r="A142" t="s">
        <v>76</v>
      </c>
      <c r="B142" t="s">
        <v>77</v>
      </c>
      <c r="C142" t="s">
        <v>66</v>
      </c>
      <c r="D142" s="3">
        <v>45546</v>
      </c>
      <c r="E142" t="str">
        <f>VLOOKUP(B142,'PROCV GERENTES BD'!A:B,2,0)</f>
        <v>RAFAEL PARISE</v>
      </c>
      <c r="F142" s="4" t="str">
        <f t="shared" si="12"/>
        <v>2024-09</v>
      </c>
      <c r="G142" s="18">
        <f t="shared" si="13"/>
        <v>37</v>
      </c>
      <c r="H142" t="str">
        <f t="shared" si="14"/>
        <v>RAFAEL PARISE</v>
      </c>
      <c r="I142" t="str">
        <f t="shared" si="15"/>
        <v>UNITA AUTO PECAS LTDA EPP</v>
      </c>
      <c r="J142">
        <f t="shared" si="16"/>
        <v>1</v>
      </c>
      <c r="K142">
        <f t="shared" si="17"/>
        <v>0</v>
      </c>
    </row>
    <row r="143" spans="1:11" x14ac:dyDescent="0.25">
      <c r="A143" t="s">
        <v>367</v>
      </c>
      <c r="B143" t="s">
        <v>112</v>
      </c>
      <c r="C143" t="s">
        <v>50</v>
      </c>
      <c r="D143" s="3">
        <v>45547</v>
      </c>
      <c r="E143" t="str">
        <f>VLOOKUP(B143,'PROCV GERENTES BD'!A:B,2,0)</f>
        <v>ADMINISTRAÇÃO</v>
      </c>
      <c r="F143" s="4" t="str">
        <f t="shared" si="12"/>
        <v>2024-09</v>
      </c>
      <c r="G143" s="18">
        <f t="shared" si="13"/>
        <v>37</v>
      </c>
      <c r="H143" t="str">
        <f t="shared" si="14"/>
        <v>ADMINISTRAÇÃO</v>
      </c>
      <c r="I143" t="str">
        <f t="shared" si="15"/>
        <v>DISPA DISTRIBUIDORA SAO PAULO LTDA ME</v>
      </c>
      <c r="J143">
        <f t="shared" si="16"/>
        <v>0</v>
      </c>
      <c r="K143">
        <f t="shared" si="17"/>
        <v>1</v>
      </c>
    </row>
    <row r="144" spans="1:11" x14ac:dyDescent="0.25">
      <c r="A144" t="s">
        <v>372</v>
      </c>
      <c r="B144" t="s">
        <v>116</v>
      </c>
      <c r="C144" t="s">
        <v>66</v>
      </c>
      <c r="D144" s="3">
        <v>45547</v>
      </c>
      <c r="E144" t="str">
        <f>VLOOKUP(B144,'PROCV GERENTES BD'!A:B,2,0)</f>
        <v>ADMINISTRAÇÃO</v>
      </c>
      <c r="F144" s="4" t="str">
        <f t="shared" si="12"/>
        <v>2024-09</v>
      </c>
      <c r="G144" s="18">
        <f t="shared" si="13"/>
        <v>37</v>
      </c>
      <c r="H144" t="str">
        <f t="shared" si="14"/>
        <v>ADMINISTRAÇÃO</v>
      </c>
      <c r="I144" t="str">
        <f t="shared" si="15"/>
        <v>PREMOLDADOS MATOSINHOS LTDA EPP</v>
      </c>
      <c r="J144">
        <f t="shared" si="16"/>
        <v>1</v>
      </c>
      <c r="K144">
        <f t="shared" si="17"/>
        <v>0</v>
      </c>
    </row>
    <row r="145" spans="1:11" x14ac:dyDescent="0.25">
      <c r="A145" t="s">
        <v>304</v>
      </c>
      <c r="B145" t="s">
        <v>123</v>
      </c>
      <c r="C145" t="s">
        <v>50</v>
      </c>
      <c r="D145" s="3">
        <v>45547</v>
      </c>
      <c r="E145" t="str">
        <f>VLOOKUP(B145,'PROCV GERENTES BD'!A:B,2,0)</f>
        <v>ADMINISTRAÇÃO</v>
      </c>
      <c r="F145" s="4" t="str">
        <f t="shared" si="12"/>
        <v>2024-09</v>
      </c>
      <c r="G145" s="18">
        <f t="shared" si="13"/>
        <v>37</v>
      </c>
      <c r="H145" t="str">
        <f t="shared" si="14"/>
        <v>ADMINISTRAÇÃO</v>
      </c>
      <c r="I145" t="str">
        <f t="shared" si="15"/>
        <v>VIC LOGISTICA LTDA EM RECUPERACAO JUDICIAL</v>
      </c>
      <c r="J145">
        <f t="shared" si="16"/>
        <v>0</v>
      </c>
      <c r="K145">
        <f t="shared" si="17"/>
        <v>1</v>
      </c>
    </row>
    <row r="146" spans="1:11" x14ac:dyDescent="0.25">
      <c r="A146" t="s">
        <v>377</v>
      </c>
      <c r="B146" t="s">
        <v>124</v>
      </c>
      <c r="C146" t="s">
        <v>50</v>
      </c>
      <c r="D146" s="3">
        <v>45547</v>
      </c>
      <c r="E146" t="str">
        <f>VLOOKUP(B146,'PROCV GERENTES BD'!A:B,2,0)</f>
        <v>EDUARDO MATOSO</v>
      </c>
      <c r="F146" s="4" t="str">
        <f t="shared" si="12"/>
        <v>2024-09</v>
      </c>
      <c r="G146" s="18">
        <f t="shared" si="13"/>
        <v>37</v>
      </c>
      <c r="H146" t="str">
        <f t="shared" si="14"/>
        <v>EDUARDO MATOSO</v>
      </c>
      <c r="I146" t="str">
        <f t="shared" si="15"/>
        <v>STONE ENGENHARIA E MONTAGENS INDUSTRIAIS LTDA</v>
      </c>
      <c r="J146">
        <f t="shared" si="16"/>
        <v>0</v>
      </c>
      <c r="K146">
        <f t="shared" si="17"/>
        <v>1</v>
      </c>
    </row>
    <row r="147" spans="1:11" x14ac:dyDescent="0.25">
      <c r="A147" t="s">
        <v>333</v>
      </c>
      <c r="B147" t="s">
        <v>82</v>
      </c>
      <c r="C147" t="s">
        <v>66</v>
      </c>
      <c r="D147" s="3">
        <v>45547</v>
      </c>
      <c r="E147" t="str">
        <f>VLOOKUP(B147,'PROCV GERENTES BD'!A:B,2,0)</f>
        <v>ADMINISTRAÇÃO</v>
      </c>
      <c r="F147" s="4" t="str">
        <f t="shared" si="12"/>
        <v>2024-09</v>
      </c>
      <c r="G147" s="18">
        <f t="shared" si="13"/>
        <v>37</v>
      </c>
      <c r="H147" t="str">
        <f t="shared" si="14"/>
        <v>ADMINISTRAÇÃO</v>
      </c>
      <c r="I147" t="str">
        <f t="shared" si="15"/>
        <v>BETMIX CONCRETO LTDA</v>
      </c>
      <c r="J147">
        <f t="shared" si="16"/>
        <v>1</v>
      </c>
      <c r="K147">
        <f t="shared" si="17"/>
        <v>0</v>
      </c>
    </row>
    <row r="148" spans="1:11" x14ac:dyDescent="0.25">
      <c r="A148" t="s">
        <v>340</v>
      </c>
      <c r="B148" t="s">
        <v>86</v>
      </c>
      <c r="C148" t="s">
        <v>50</v>
      </c>
      <c r="D148" s="3">
        <v>45547</v>
      </c>
      <c r="E148" t="str">
        <f>VLOOKUP(B148,'PROCV GERENTES BD'!A:B,2,0)</f>
        <v>NOELI SALETE</v>
      </c>
      <c r="F148" s="4" t="str">
        <f t="shared" si="12"/>
        <v>2024-09</v>
      </c>
      <c r="G148" s="18">
        <f t="shared" si="13"/>
        <v>37</v>
      </c>
      <c r="H148" t="str">
        <f t="shared" si="14"/>
        <v>NOELI SALETE</v>
      </c>
      <c r="I148" t="str">
        <f t="shared" si="15"/>
        <v>MEIO OESTE PAPEIS LTDA ME</v>
      </c>
      <c r="J148">
        <f t="shared" si="16"/>
        <v>0</v>
      </c>
      <c r="K148">
        <f t="shared" si="17"/>
        <v>1</v>
      </c>
    </row>
    <row r="149" spans="1:11" x14ac:dyDescent="0.25">
      <c r="A149" t="s">
        <v>345</v>
      </c>
      <c r="B149" t="s">
        <v>90</v>
      </c>
      <c r="C149" t="s">
        <v>50</v>
      </c>
      <c r="D149" s="3">
        <v>45547</v>
      </c>
      <c r="E149" t="str">
        <f>VLOOKUP(B149,'PROCV GERENTES BD'!A:B,2,0)</f>
        <v>POENATELA</v>
      </c>
      <c r="F149" s="4" t="str">
        <f t="shared" si="12"/>
        <v>2024-09</v>
      </c>
      <c r="G149" s="18">
        <f t="shared" si="13"/>
        <v>37</v>
      </c>
      <c r="H149" t="str">
        <f t="shared" si="14"/>
        <v>POENATELA</v>
      </c>
      <c r="I149" t="str">
        <f t="shared" si="15"/>
        <v>GREEN FARMING FAZENDAS RENOVAVEIS LTDA</v>
      </c>
      <c r="J149">
        <f t="shared" si="16"/>
        <v>0</v>
      </c>
      <c r="K149">
        <f t="shared" si="17"/>
        <v>1</v>
      </c>
    </row>
    <row r="150" spans="1:11" x14ac:dyDescent="0.25">
      <c r="A150" t="s">
        <v>346</v>
      </c>
      <c r="B150" t="s">
        <v>91</v>
      </c>
      <c r="C150" t="s">
        <v>50</v>
      </c>
      <c r="D150" s="3">
        <v>45547</v>
      </c>
      <c r="E150" t="str">
        <f>VLOOKUP(B150,'PROCV GERENTES BD'!A:B,2,0)</f>
        <v>POENATELA</v>
      </c>
      <c r="F150" s="4" t="str">
        <f t="shared" si="12"/>
        <v>2024-09</v>
      </c>
      <c r="G150" s="18">
        <f t="shared" si="13"/>
        <v>37</v>
      </c>
      <c r="H150" t="str">
        <f t="shared" si="14"/>
        <v>POENATELA</v>
      </c>
      <c r="I150" t="str">
        <f t="shared" si="15"/>
        <v>UBERTEC SERVICE USINAGEM LTDA EPP</v>
      </c>
      <c r="J150">
        <f t="shared" si="16"/>
        <v>0</v>
      </c>
      <c r="K150">
        <f t="shared" si="17"/>
        <v>1</v>
      </c>
    </row>
    <row r="151" spans="1:11" x14ac:dyDescent="0.25">
      <c r="A151" t="s">
        <v>376</v>
      </c>
      <c r="B151" t="s">
        <v>121</v>
      </c>
      <c r="C151" t="s">
        <v>66</v>
      </c>
      <c r="D151" s="3">
        <v>45547</v>
      </c>
      <c r="E151" t="str">
        <f>VLOOKUP(B151,'PROCV GERENTES BD'!A:B,2,0)</f>
        <v>PRISCILA METZ</v>
      </c>
      <c r="F151" s="4" t="str">
        <f t="shared" si="12"/>
        <v>2024-09</v>
      </c>
      <c r="G151" s="18">
        <f t="shared" si="13"/>
        <v>37</v>
      </c>
      <c r="H151" t="str">
        <f t="shared" si="14"/>
        <v>PRISCILA METZ</v>
      </c>
      <c r="I151" t="str">
        <f t="shared" si="15"/>
        <v>NOVA DISTRIBUIDORA E ATACADO DE LIMPEZA LTDA</v>
      </c>
      <c r="J151">
        <f t="shared" si="16"/>
        <v>1</v>
      </c>
      <c r="K151">
        <f t="shared" si="17"/>
        <v>0</v>
      </c>
    </row>
    <row r="152" spans="1:11" x14ac:dyDescent="0.25">
      <c r="A152" t="s">
        <v>367</v>
      </c>
      <c r="B152" t="s">
        <v>112</v>
      </c>
      <c r="C152" t="s">
        <v>50</v>
      </c>
      <c r="D152" s="3">
        <v>45548</v>
      </c>
      <c r="E152" t="str">
        <f>VLOOKUP(B152,'PROCV GERENTES BD'!A:B,2,0)</f>
        <v>ADMINISTRAÇÃO</v>
      </c>
      <c r="F152" s="4" t="str">
        <f t="shared" si="12"/>
        <v>2024-09</v>
      </c>
      <c r="G152" s="18">
        <f t="shared" si="13"/>
        <v>37</v>
      </c>
      <c r="H152" t="str">
        <f t="shared" si="14"/>
        <v>ADMINISTRAÇÃO</v>
      </c>
      <c r="I152" t="str">
        <f t="shared" si="15"/>
        <v>DISPA DISTRIBUIDORA SAO PAULO LTDA ME</v>
      </c>
      <c r="J152">
        <f t="shared" si="16"/>
        <v>0</v>
      </c>
      <c r="K152">
        <f t="shared" si="17"/>
        <v>1</v>
      </c>
    </row>
    <row r="153" spans="1:11" x14ac:dyDescent="0.25">
      <c r="A153" t="s">
        <v>319</v>
      </c>
      <c r="B153" t="s">
        <v>80</v>
      </c>
      <c r="C153" t="s">
        <v>53</v>
      </c>
      <c r="D153" s="3">
        <v>45548</v>
      </c>
      <c r="E153" t="str">
        <f>VLOOKUP(B153,'PROCV GERENTES BD'!A:B,2,0)</f>
        <v>CELIO PIMENTA</v>
      </c>
      <c r="F153" s="4" t="str">
        <f t="shared" si="12"/>
        <v>2024-09</v>
      </c>
      <c r="G153" s="18">
        <f t="shared" si="13"/>
        <v>37</v>
      </c>
      <c r="H153" t="str">
        <f t="shared" si="14"/>
        <v>CELIO PIMENTA</v>
      </c>
      <c r="I153" t="str">
        <f t="shared" si="15"/>
        <v>IMPORTEXTIL COMERCIO DE TECIDOS LTDA</v>
      </c>
      <c r="J153">
        <f t="shared" si="16"/>
        <v>1</v>
      </c>
      <c r="K153">
        <f t="shared" si="17"/>
        <v>1</v>
      </c>
    </row>
    <row r="154" spans="1:11" x14ac:dyDescent="0.25">
      <c r="A154" t="s">
        <v>378</v>
      </c>
      <c r="B154" t="s">
        <v>125</v>
      </c>
      <c r="C154" t="s">
        <v>50</v>
      </c>
      <c r="D154" s="3">
        <v>45548</v>
      </c>
      <c r="E154" t="str">
        <f>VLOOKUP(B154,'PROCV GERENTES BD'!A:B,2,0)</f>
        <v>CELIO PIMENTA</v>
      </c>
      <c r="F154" s="4" t="str">
        <f t="shared" si="12"/>
        <v>2024-09</v>
      </c>
      <c r="G154" s="18">
        <f t="shared" si="13"/>
        <v>37</v>
      </c>
      <c r="H154" t="str">
        <f t="shared" si="14"/>
        <v>CELIO PIMENTA</v>
      </c>
      <c r="I154" t="str">
        <f t="shared" si="15"/>
        <v>PHOENIX LOG TRANSPORTES LTDA EPP</v>
      </c>
      <c r="J154">
        <f t="shared" si="16"/>
        <v>0</v>
      </c>
      <c r="K154">
        <f t="shared" si="17"/>
        <v>1</v>
      </c>
    </row>
    <row r="155" spans="1:11" x14ac:dyDescent="0.25">
      <c r="A155" t="s">
        <v>377</v>
      </c>
      <c r="B155" t="s">
        <v>124</v>
      </c>
      <c r="C155" t="s">
        <v>50</v>
      </c>
      <c r="D155" s="3">
        <v>45548</v>
      </c>
      <c r="E155" t="str">
        <f>VLOOKUP(B155,'PROCV GERENTES BD'!A:B,2,0)</f>
        <v>EDUARDO MATOSO</v>
      </c>
      <c r="F155" s="4" t="str">
        <f t="shared" si="12"/>
        <v>2024-09</v>
      </c>
      <c r="G155" s="18">
        <f t="shared" si="13"/>
        <v>37</v>
      </c>
      <c r="H155" t="str">
        <f t="shared" si="14"/>
        <v>EDUARDO MATOSO</v>
      </c>
      <c r="I155" t="str">
        <f t="shared" si="15"/>
        <v>STONE ENGENHARIA E MONTAGENS INDUSTRIAIS LTDA</v>
      </c>
      <c r="J155">
        <f t="shared" si="16"/>
        <v>0</v>
      </c>
      <c r="K155">
        <f t="shared" si="17"/>
        <v>1</v>
      </c>
    </row>
    <row r="156" spans="1:11" x14ac:dyDescent="0.25">
      <c r="A156" t="s">
        <v>340</v>
      </c>
      <c r="B156" t="s">
        <v>86</v>
      </c>
      <c r="C156" t="s">
        <v>50</v>
      </c>
      <c r="D156" s="3">
        <v>45548</v>
      </c>
      <c r="E156" t="str">
        <f>VLOOKUP(B156,'PROCV GERENTES BD'!A:B,2,0)</f>
        <v>NOELI SALETE</v>
      </c>
      <c r="F156" s="4" t="str">
        <f t="shared" si="12"/>
        <v>2024-09</v>
      </c>
      <c r="G156" s="18">
        <f t="shared" si="13"/>
        <v>37</v>
      </c>
      <c r="H156" t="str">
        <f t="shared" si="14"/>
        <v>NOELI SALETE</v>
      </c>
      <c r="I156" t="str">
        <f t="shared" si="15"/>
        <v>MEIO OESTE PAPEIS LTDA ME</v>
      </c>
      <c r="J156">
        <f t="shared" si="16"/>
        <v>0</v>
      </c>
      <c r="K156">
        <f t="shared" si="17"/>
        <v>1</v>
      </c>
    </row>
    <row r="157" spans="1:11" x14ac:dyDescent="0.25">
      <c r="A157" t="s">
        <v>330</v>
      </c>
      <c r="B157" t="s">
        <v>78</v>
      </c>
      <c r="C157" t="s">
        <v>50</v>
      </c>
      <c r="D157" s="3">
        <v>45551</v>
      </c>
      <c r="E157" t="str">
        <f>VLOOKUP(B157,'PROCV GERENTES BD'!A:B,2,0)</f>
        <v>ADMINISTRAÇÃO</v>
      </c>
      <c r="F157" s="4" t="str">
        <f t="shared" si="12"/>
        <v>2024-09</v>
      </c>
      <c r="G157" s="18">
        <f t="shared" si="13"/>
        <v>38</v>
      </c>
      <c r="H157" t="str">
        <f t="shared" si="14"/>
        <v>ADMINISTRAÇÃO</v>
      </c>
      <c r="I157" t="str">
        <f t="shared" si="15"/>
        <v>ACQUION FOODTECH S/A</v>
      </c>
      <c r="J157">
        <f t="shared" si="16"/>
        <v>0</v>
      </c>
      <c r="K157">
        <f t="shared" si="17"/>
        <v>1</v>
      </c>
    </row>
    <row r="158" spans="1:11" x14ac:dyDescent="0.25">
      <c r="A158" t="s">
        <v>379</v>
      </c>
      <c r="B158" t="s">
        <v>126</v>
      </c>
      <c r="C158" t="s">
        <v>50</v>
      </c>
      <c r="D158" s="3">
        <v>45551</v>
      </c>
      <c r="E158" t="str">
        <f>VLOOKUP(B158,'PROCV GERENTES BD'!A:B,2,0)</f>
        <v>ADMINISTRAÇÃO</v>
      </c>
      <c r="F158" s="4" t="str">
        <f t="shared" si="12"/>
        <v>2024-09</v>
      </c>
      <c r="G158" s="18">
        <f t="shared" si="13"/>
        <v>38</v>
      </c>
      <c r="H158" t="str">
        <f t="shared" si="14"/>
        <v>ADMINISTRAÇÃO</v>
      </c>
      <c r="I158" t="str">
        <f t="shared" si="15"/>
        <v>ENXOVAIS MINAS LTDA ME</v>
      </c>
      <c r="J158">
        <f t="shared" si="16"/>
        <v>0</v>
      </c>
      <c r="K158">
        <f t="shared" si="17"/>
        <v>1</v>
      </c>
    </row>
    <row r="159" spans="1:11" x14ac:dyDescent="0.25">
      <c r="A159" t="s">
        <v>380</v>
      </c>
      <c r="B159" t="s">
        <v>127</v>
      </c>
      <c r="C159" t="s">
        <v>50</v>
      </c>
      <c r="D159" s="3">
        <v>45551</v>
      </c>
      <c r="E159" t="str">
        <f>VLOOKUP(B159,'PROCV GERENTES BD'!A:B,2,0)</f>
        <v>ADMINISTRAÇÃO</v>
      </c>
      <c r="F159" s="4" t="str">
        <f t="shared" si="12"/>
        <v>2024-09</v>
      </c>
      <c r="G159" s="18">
        <f t="shared" si="13"/>
        <v>38</v>
      </c>
      <c r="H159" t="str">
        <f t="shared" si="14"/>
        <v>ADMINISTRAÇÃO</v>
      </c>
      <c r="I159" t="str">
        <f t="shared" si="15"/>
        <v>MG CONSULT DIST LTDA EPP</v>
      </c>
      <c r="J159">
        <f t="shared" si="16"/>
        <v>0</v>
      </c>
      <c r="K159">
        <f t="shared" si="17"/>
        <v>1</v>
      </c>
    </row>
    <row r="160" spans="1:11" x14ac:dyDescent="0.25">
      <c r="A160" t="s">
        <v>381</v>
      </c>
      <c r="B160" t="s">
        <v>128</v>
      </c>
      <c r="C160" t="s">
        <v>50</v>
      </c>
      <c r="D160" s="3">
        <v>45551</v>
      </c>
      <c r="E160" t="str">
        <f>VLOOKUP(B160,'PROCV GERENTES BD'!A:B,2,0)</f>
        <v>ADMINISTRAÇÃO</v>
      </c>
      <c r="F160" s="4" t="str">
        <f t="shared" si="12"/>
        <v>2024-09</v>
      </c>
      <c r="G160" s="18">
        <f t="shared" si="13"/>
        <v>38</v>
      </c>
      <c r="H160" t="str">
        <f t="shared" si="14"/>
        <v>ADMINISTRAÇÃO</v>
      </c>
      <c r="I160" t="str">
        <f t="shared" si="15"/>
        <v>MOLAS ANEL POSTO DE TROCA LTDA EPP</v>
      </c>
      <c r="J160">
        <f t="shared" si="16"/>
        <v>0</v>
      </c>
      <c r="K160">
        <f t="shared" si="17"/>
        <v>1</v>
      </c>
    </row>
    <row r="161" spans="1:11" x14ac:dyDescent="0.25">
      <c r="A161" t="s">
        <v>382</v>
      </c>
      <c r="B161" t="s">
        <v>129</v>
      </c>
      <c r="C161" t="s">
        <v>50</v>
      </c>
      <c r="D161" s="3">
        <v>45551</v>
      </c>
      <c r="E161" t="str">
        <f>VLOOKUP(B161,'PROCV GERENTES BD'!A:B,2,0)</f>
        <v>ADMINISTRAÇÃO</v>
      </c>
      <c r="F161" s="4" t="str">
        <f t="shared" si="12"/>
        <v>2024-09</v>
      </c>
      <c r="G161" s="18">
        <f t="shared" si="13"/>
        <v>38</v>
      </c>
      <c r="H161" t="str">
        <f t="shared" si="14"/>
        <v>ADMINISTRAÇÃO</v>
      </c>
      <c r="I161" t="str">
        <f t="shared" si="15"/>
        <v>XEQUE MATE BEBIDAS LTDA ME</v>
      </c>
      <c r="J161">
        <f t="shared" si="16"/>
        <v>0</v>
      </c>
      <c r="K161">
        <f t="shared" si="17"/>
        <v>1</v>
      </c>
    </row>
    <row r="162" spans="1:11" x14ac:dyDescent="0.25">
      <c r="A162" t="s">
        <v>319</v>
      </c>
      <c r="B162" t="s">
        <v>80</v>
      </c>
      <c r="C162" t="s">
        <v>53</v>
      </c>
      <c r="D162" s="3">
        <v>45551</v>
      </c>
      <c r="E162" t="str">
        <f>VLOOKUP(B162,'PROCV GERENTES BD'!A:B,2,0)</f>
        <v>CELIO PIMENTA</v>
      </c>
      <c r="F162" s="4" t="str">
        <f t="shared" si="12"/>
        <v>2024-09</v>
      </c>
      <c r="G162" s="18">
        <f t="shared" si="13"/>
        <v>38</v>
      </c>
      <c r="H162" t="str">
        <f t="shared" si="14"/>
        <v>CELIO PIMENTA</v>
      </c>
      <c r="I162" t="str">
        <f t="shared" si="15"/>
        <v>IMPORTEXTIL COMERCIO DE TECIDOS LTDA</v>
      </c>
      <c r="J162">
        <f t="shared" si="16"/>
        <v>1</v>
      </c>
      <c r="K162">
        <f t="shared" si="17"/>
        <v>1</v>
      </c>
    </row>
    <row r="163" spans="1:11" x14ac:dyDescent="0.25">
      <c r="A163" t="s">
        <v>383</v>
      </c>
      <c r="B163" t="s">
        <v>130</v>
      </c>
      <c r="C163" t="s">
        <v>50</v>
      </c>
      <c r="D163" s="3">
        <v>45551</v>
      </c>
      <c r="E163" t="str">
        <f>VLOOKUP(B163,'PROCV GERENTES BD'!A:B,2,0)</f>
        <v>CELIO PIMENTA</v>
      </c>
      <c r="F163" s="4" t="str">
        <f t="shared" si="12"/>
        <v>2024-09</v>
      </c>
      <c r="G163" s="18">
        <f t="shared" si="13"/>
        <v>38</v>
      </c>
      <c r="H163" t="str">
        <f t="shared" si="14"/>
        <v>CELIO PIMENTA</v>
      </c>
      <c r="I163" t="str">
        <f t="shared" si="15"/>
        <v>JR X IMPORT LTDA EPP</v>
      </c>
      <c r="J163">
        <f t="shared" si="16"/>
        <v>0</v>
      </c>
      <c r="K163">
        <f t="shared" si="17"/>
        <v>1</v>
      </c>
    </row>
    <row r="164" spans="1:11" x14ac:dyDescent="0.25">
      <c r="A164" t="s">
        <v>378</v>
      </c>
      <c r="B164" t="s">
        <v>125</v>
      </c>
      <c r="C164" t="s">
        <v>50</v>
      </c>
      <c r="D164" s="3">
        <v>45551</v>
      </c>
      <c r="E164" t="str">
        <f>VLOOKUP(B164,'PROCV GERENTES BD'!A:B,2,0)</f>
        <v>CELIO PIMENTA</v>
      </c>
      <c r="F164" s="4" t="str">
        <f t="shared" si="12"/>
        <v>2024-09</v>
      </c>
      <c r="G164" s="18">
        <f t="shared" si="13"/>
        <v>38</v>
      </c>
      <c r="H164" t="str">
        <f t="shared" si="14"/>
        <v>CELIO PIMENTA</v>
      </c>
      <c r="I164" t="str">
        <f t="shared" si="15"/>
        <v>PHOENIX LOG TRANSPORTES LTDA EPP</v>
      </c>
      <c r="J164">
        <f t="shared" si="16"/>
        <v>0</v>
      </c>
      <c r="K164">
        <f t="shared" si="17"/>
        <v>1</v>
      </c>
    </row>
    <row r="165" spans="1:11" x14ac:dyDescent="0.25">
      <c r="A165" t="s">
        <v>54</v>
      </c>
      <c r="B165" t="s">
        <v>55</v>
      </c>
      <c r="C165" t="s">
        <v>50</v>
      </c>
      <c r="D165" s="3">
        <v>45551</v>
      </c>
      <c r="E165" t="str">
        <f>VLOOKUP(B165,'PROCV GERENTES BD'!A:B,2,0)</f>
        <v>CELIO PIMENTA</v>
      </c>
      <c r="F165" s="4" t="str">
        <f t="shared" si="12"/>
        <v>2024-09</v>
      </c>
      <c r="G165" s="18">
        <f t="shared" si="13"/>
        <v>38</v>
      </c>
      <c r="H165" t="str">
        <f t="shared" si="14"/>
        <v>CELIO PIMENTA</v>
      </c>
      <c r="I165" t="str">
        <f t="shared" si="15"/>
        <v>WJ CALDEIRARIA INDUSTRIA E COMERCIO LTDA ME</v>
      </c>
      <c r="J165">
        <f t="shared" si="16"/>
        <v>0</v>
      </c>
      <c r="K165">
        <f t="shared" si="17"/>
        <v>1</v>
      </c>
    </row>
    <row r="166" spans="1:11" x14ac:dyDescent="0.25">
      <c r="A166" t="s">
        <v>358</v>
      </c>
      <c r="B166" t="s">
        <v>104</v>
      </c>
      <c r="C166" t="s">
        <v>50</v>
      </c>
      <c r="D166" s="3">
        <v>45551</v>
      </c>
      <c r="E166" t="str">
        <f>VLOOKUP(B166,'PROCV GERENTES BD'!A:B,2,0)</f>
        <v>DIOGO AZEVEDO</v>
      </c>
      <c r="F166" s="4" t="str">
        <f t="shared" si="12"/>
        <v>2024-09</v>
      </c>
      <c r="G166" s="18">
        <f t="shared" si="13"/>
        <v>38</v>
      </c>
      <c r="H166" t="str">
        <f t="shared" si="14"/>
        <v>DIOGO AZEVEDO</v>
      </c>
      <c r="I166" t="str">
        <f t="shared" si="15"/>
        <v>INDUSTRIA E CERVEJARIA ARTESANAL DE MINAS GERAIS L</v>
      </c>
      <c r="J166">
        <f t="shared" si="16"/>
        <v>0</v>
      </c>
      <c r="K166">
        <f t="shared" si="17"/>
        <v>1</v>
      </c>
    </row>
    <row r="167" spans="1:11" x14ac:dyDescent="0.25">
      <c r="A167" t="s">
        <v>377</v>
      </c>
      <c r="B167" t="s">
        <v>124</v>
      </c>
      <c r="C167" t="s">
        <v>50</v>
      </c>
      <c r="D167" s="3">
        <v>45551</v>
      </c>
      <c r="E167" t="str">
        <f>VLOOKUP(B167,'PROCV GERENTES BD'!A:B,2,0)</f>
        <v>EDUARDO MATOSO</v>
      </c>
      <c r="F167" s="4" t="str">
        <f t="shared" si="12"/>
        <v>2024-09</v>
      </c>
      <c r="G167" s="18">
        <f t="shared" si="13"/>
        <v>38</v>
      </c>
      <c r="H167" t="str">
        <f t="shared" si="14"/>
        <v>EDUARDO MATOSO</v>
      </c>
      <c r="I167" t="str">
        <f t="shared" si="15"/>
        <v>STONE ENGENHARIA E MONTAGENS INDUSTRIAIS LTDA</v>
      </c>
      <c r="J167">
        <f t="shared" si="16"/>
        <v>0</v>
      </c>
      <c r="K167">
        <f t="shared" si="17"/>
        <v>1</v>
      </c>
    </row>
    <row r="168" spans="1:11" x14ac:dyDescent="0.25">
      <c r="A168" t="s">
        <v>323</v>
      </c>
      <c r="B168" t="s">
        <v>109</v>
      </c>
      <c r="C168" t="s">
        <v>50</v>
      </c>
      <c r="D168" s="3">
        <v>45551</v>
      </c>
      <c r="E168" t="str">
        <f>VLOOKUP(B168,'PROCV GERENTES BD'!A:B,2,0)</f>
        <v>PROSPECTAR</v>
      </c>
      <c r="F168" s="4" t="str">
        <f t="shared" si="12"/>
        <v>2024-09</v>
      </c>
      <c r="G168" s="18">
        <f t="shared" si="13"/>
        <v>38</v>
      </c>
      <c r="H168" t="str">
        <f t="shared" si="14"/>
        <v>PROSPECTAR</v>
      </c>
      <c r="I168" t="str">
        <f t="shared" si="15"/>
        <v>SIAP COMERCIO DE PRODUTOS AGROPECUARIOS LTDA</v>
      </c>
      <c r="J168">
        <f t="shared" si="16"/>
        <v>0</v>
      </c>
      <c r="K168">
        <f t="shared" si="17"/>
        <v>1</v>
      </c>
    </row>
    <row r="169" spans="1:11" x14ac:dyDescent="0.25">
      <c r="A169" t="s">
        <v>350</v>
      </c>
      <c r="B169" t="s">
        <v>95</v>
      </c>
      <c r="C169" t="s">
        <v>50</v>
      </c>
      <c r="D169" s="3">
        <v>45551</v>
      </c>
      <c r="E169" t="str">
        <f>VLOOKUP(B169,'PROCV GERENTES BD'!A:B,2,0)</f>
        <v>GRUPO OTTO</v>
      </c>
      <c r="F169" s="4" t="str">
        <f t="shared" si="12"/>
        <v>2024-09</v>
      </c>
      <c r="G169" s="18">
        <f t="shared" si="13"/>
        <v>38</v>
      </c>
      <c r="H169" t="str">
        <f t="shared" si="14"/>
        <v>GRUPO OTTO</v>
      </c>
      <c r="I169" t="str">
        <f t="shared" si="15"/>
        <v>PLURIFORME INDUSTRIA E COMERCIO DE UNIFORMES LTDA</v>
      </c>
      <c r="J169">
        <f t="shared" si="16"/>
        <v>0</v>
      </c>
      <c r="K169">
        <f t="shared" si="17"/>
        <v>1</v>
      </c>
    </row>
    <row r="170" spans="1:11" x14ac:dyDescent="0.25">
      <c r="A170" t="s">
        <v>384</v>
      </c>
      <c r="B170" t="s">
        <v>131</v>
      </c>
      <c r="C170" t="s">
        <v>50</v>
      </c>
      <c r="D170" s="3">
        <v>45551</v>
      </c>
      <c r="E170" t="str">
        <f>VLOOKUP(B170,'PROCV GERENTES BD'!A:B,2,0)</f>
        <v xml:space="preserve">MARCUS VINICIUS </v>
      </c>
      <c r="F170" s="4" t="str">
        <f t="shared" si="12"/>
        <v>2024-09</v>
      </c>
      <c r="G170" s="18">
        <f t="shared" si="13"/>
        <v>38</v>
      </c>
      <c r="H170" t="str">
        <f t="shared" si="14"/>
        <v xml:space="preserve">MARCUS VINICIUS </v>
      </c>
      <c r="I170" t="str">
        <f t="shared" si="15"/>
        <v>PALMILHADO INDUSTRIA E COMERCIO LTDA</v>
      </c>
      <c r="J170">
        <f t="shared" si="16"/>
        <v>0</v>
      </c>
      <c r="K170">
        <f t="shared" si="17"/>
        <v>1</v>
      </c>
    </row>
    <row r="171" spans="1:11" x14ac:dyDescent="0.25">
      <c r="A171" t="s">
        <v>385</v>
      </c>
      <c r="B171" t="s">
        <v>132</v>
      </c>
      <c r="C171" t="s">
        <v>50</v>
      </c>
      <c r="D171" s="3">
        <v>45551</v>
      </c>
      <c r="E171" t="str">
        <f>VLOOKUP(B171,'PROCV GERENTES BD'!A:B,2,0)</f>
        <v xml:space="preserve">MARCUS VINICIUS </v>
      </c>
      <c r="F171" s="4" t="str">
        <f t="shared" si="12"/>
        <v>2024-09</v>
      </c>
      <c r="G171" s="18">
        <f t="shared" si="13"/>
        <v>38</v>
      </c>
      <c r="H171" t="str">
        <f t="shared" si="14"/>
        <v xml:space="preserve">MARCUS VINICIUS </v>
      </c>
      <c r="I171" t="str">
        <f t="shared" si="15"/>
        <v>RODOANEL REFORMADORA DE IMPLEMENTOS RODOVIARIOS LT</v>
      </c>
      <c r="J171">
        <f t="shared" si="16"/>
        <v>0</v>
      </c>
      <c r="K171">
        <f t="shared" si="17"/>
        <v>1</v>
      </c>
    </row>
    <row r="172" spans="1:11" x14ac:dyDescent="0.25">
      <c r="A172" t="s">
        <v>340</v>
      </c>
      <c r="B172" t="s">
        <v>86</v>
      </c>
      <c r="C172" t="s">
        <v>50</v>
      </c>
      <c r="D172" s="3">
        <v>45551</v>
      </c>
      <c r="E172" t="str">
        <f>VLOOKUP(B172,'PROCV GERENTES BD'!A:B,2,0)</f>
        <v>NOELI SALETE</v>
      </c>
      <c r="F172" s="4" t="str">
        <f t="shared" si="12"/>
        <v>2024-09</v>
      </c>
      <c r="G172" s="18">
        <f t="shared" si="13"/>
        <v>38</v>
      </c>
      <c r="H172" t="str">
        <f t="shared" si="14"/>
        <v>NOELI SALETE</v>
      </c>
      <c r="I172" t="str">
        <f t="shared" si="15"/>
        <v>MEIO OESTE PAPEIS LTDA ME</v>
      </c>
      <c r="J172">
        <f t="shared" si="16"/>
        <v>0</v>
      </c>
      <c r="K172">
        <f t="shared" si="17"/>
        <v>1</v>
      </c>
    </row>
    <row r="173" spans="1:11" x14ac:dyDescent="0.25">
      <c r="A173" t="s">
        <v>345</v>
      </c>
      <c r="B173" t="s">
        <v>90</v>
      </c>
      <c r="C173" t="s">
        <v>50</v>
      </c>
      <c r="D173" s="3">
        <v>45551</v>
      </c>
      <c r="E173" t="str">
        <f>VLOOKUP(B173,'PROCV GERENTES BD'!A:B,2,0)</f>
        <v>POENATELA</v>
      </c>
      <c r="F173" s="4" t="str">
        <f t="shared" si="12"/>
        <v>2024-09</v>
      </c>
      <c r="G173" s="18">
        <f t="shared" si="13"/>
        <v>38</v>
      </c>
      <c r="H173" t="str">
        <f t="shared" si="14"/>
        <v>POENATELA</v>
      </c>
      <c r="I173" t="str">
        <f t="shared" si="15"/>
        <v>GREEN FARMING FAZENDAS RENOVAVEIS LTDA</v>
      </c>
      <c r="J173">
        <f t="shared" si="16"/>
        <v>0</v>
      </c>
      <c r="K173">
        <f t="shared" si="17"/>
        <v>1</v>
      </c>
    </row>
    <row r="174" spans="1:11" x14ac:dyDescent="0.25">
      <c r="A174" t="s">
        <v>386</v>
      </c>
      <c r="B174" t="s">
        <v>133</v>
      </c>
      <c r="C174" t="s">
        <v>66</v>
      </c>
      <c r="D174" s="3">
        <v>45551</v>
      </c>
      <c r="E174" t="str">
        <f>VLOOKUP(B174,'PROCV GERENTES BD'!A:B,2,0)</f>
        <v>POENATELA</v>
      </c>
      <c r="F174" s="4" t="str">
        <f t="shared" si="12"/>
        <v>2024-09</v>
      </c>
      <c r="G174" s="18">
        <f t="shared" si="13"/>
        <v>38</v>
      </c>
      <c r="H174" t="str">
        <f t="shared" si="14"/>
        <v>POENATELA</v>
      </c>
      <c r="I174" t="str">
        <f t="shared" si="15"/>
        <v>HT SERVICOS DE TRANSPORTE E LOCACAO LTDA</v>
      </c>
      <c r="J174">
        <f t="shared" si="16"/>
        <v>1</v>
      </c>
      <c r="K174">
        <f t="shared" si="17"/>
        <v>0</v>
      </c>
    </row>
    <row r="175" spans="1:11" x14ac:dyDescent="0.25">
      <c r="A175" t="s">
        <v>346</v>
      </c>
      <c r="B175" t="s">
        <v>91</v>
      </c>
      <c r="C175" t="s">
        <v>50</v>
      </c>
      <c r="D175" s="3">
        <v>45551</v>
      </c>
      <c r="E175" t="str">
        <f>VLOOKUP(B175,'PROCV GERENTES BD'!A:B,2,0)</f>
        <v>POENATELA</v>
      </c>
      <c r="F175" s="4" t="str">
        <f t="shared" si="12"/>
        <v>2024-09</v>
      </c>
      <c r="G175" s="18">
        <f t="shared" si="13"/>
        <v>38</v>
      </c>
      <c r="H175" t="str">
        <f t="shared" si="14"/>
        <v>POENATELA</v>
      </c>
      <c r="I175" t="str">
        <f t="shared" si="15"/>
        <v>UBERTEC SERVICE USINAGEM LTDA EPP</v>
      </c>
      <c r="J175">
        <f t="shared" si="16"/>
        <v>0</v>
      </c>
      <c r="K175">
        <f t="shared" si="17"/>
        <v>1</v>
      </c>
    </row>
    <row r="176" spans="1:11" x14ac:dyDescent="0.25">
      <c r="A176" t="s">
        <v>376</v>
      </c>
      <c r="B176" t="s">
        <v>121</v>
      </c>
      <c r="C176" t="s">
        <v>50</v>
      </c>
      <c r="D176" s="3">
        <v>45551</v>
      </c>
      <c r="E176" t="str">
        <f>VLOOKUP(B176,'PROCV GERENTES BD'!A:B,2,0)</f>
        <v>PRISCILA METZ</v>
      </c>
      <c r="F176" s="4" t="str">
        <f t="shared" si="12"/>
        <v>2024-09</v>
      </c>
      <c r="G176" s="18">
        <f t="shared" si="13"/>
        <v>38</v>
      </c>
      <c r="H176" t="str">
        <f t="shared" si="14"/>
        <v>PRISCILA METZ</v>
      </c>
      <c r="I176" t="str">
        <f t="shared" si="15"/>
        <v>NOVA DISTRIBUIDORA E ATACADO DE LIMPEZA LTDA</v>
      </c>
      <c r="J176">
        <f t="shared" si="16"/>
        <v>0</v>
      </c>
      <c r="K176">
        <f t="shared" si="17"/>
        <v>1</v>
      </c>
    </row>
    <row r="177" spans="1:11" x14ac:dyDescent="0.25">
      <c r="A177" t="s">
        <v>387</v>
      </c>
      <c r="B177" t="s">
        <v>134</v>
      </c>
      <c r="C177" t="s">
        <v>66</v>
      </c>
      <c r="D177" s="3">
        <v>45551</v>
      </c>
      <c r="E177" t="str">
        <f>VLOOKUP(B177,'PROCV GERENTES BD'!A:B,2,0)</f>
        <v>RAFAEL PARISE</v>
      </c>
      <c r="F177" s="4" t="str">
        <f t="shared" si="12"/>
        <v>2024-09</v>
      </c>
      <c r="G177" s="18">
        <f t="shared" si="13"/>
        <v>38</v>
      </c>
      <c r="H177" t="str">
        <f t="shared" si="14"/>
        <v>RAFAEL PARISE</v>
      </c>
      <c r="I177" t="str">
        <f t="shared" si="15"/>
        <v>MAIS DISTRIBUIDORA LTDA</v>
      </c>
      <c r="J177">
        <f t="shared" si="16"/>
        <v>1</v>
      </c>
      <c r="K177">
        <f t="shared" si="17"/>
        <v>0</v>
      </c>
    </row>
    <row r="178" spans="1:11" x14ac:dyDescent="0.25">
      <c r="A178" t="s">
        <v>326</v>
      </c>
      <c r="B178" t="s">
        <v>122</v>
      </c>
      <c r="C178" t="s">
        <v>66</v>
      </c>
      <c r="D178" s="3">
        <v>45551</v>
      </c>
      <c r="E178" t="s">
        <v>21</v>
      </c>
      <c r="F178" s="4" t="str">
        <f t="shared" si="12"/>
        <v>2024-09</v>
      </c>
      <c r="G178" s="18">
        <f t="shared" si="13"/>
        <v>38</v>
      </c>
      <c r="H178" t="str">
        <f t="shared" si="14"/>
        <v xml:space="preserve">ROGERIO </v>
      </c>
      <c r="I178" t="str">
        <f t="shared" si="15"/>
        <v>BIBE PRODUTOS INFANTIS LTDA</v>
      </c>
      <c r="J178">
        <f t="shared" si="16"/>
        <v>1</v>
      </c>
      <c r="K178">
        <f t="shared" si="17"/>
        <v>0</v>
      </c>
    </row>
    <row r="179" spans="1:11" x14ac:dyDescent="0.25">
      <c r="A179" t="s">
        <v>388</v>
      </c>
      <c r="B179" t="s">
        <v>135</v>
      </c>
      <c r="C179" t="s">
        <v>50</v>
      </c>
      <c r="D179" s="3">
        <v>45551</v>
      </c>
      <c r="E179" t="s">
        <v>21</v>
      </c>
      <c r="F179" s="4" t="str">
        <f t="shared" si="12"/>
        <v>2024-09</v>
      </c>
      <c r="G179" s="18">
        <f t="shared" si="13"/>
        <v>38</v>
      </c>
      <c r="H179" t="str">
        <f t="shared" si="14"/>
        <v xml:space="preserve">ROGERIO </v>
      </c>
      <c r="I179" t="str">
        <f t="shared" si="15"/>
        <v>DINAMICA COM FERRAMENTAS EQUIPAMENTOS PROTECAO IND</v>
      </c>
      <c r="J179">
        <f t="shared" si="16"/>
        <v>0</v>
      </c>
      <c r="K179">
        <f t="shared" si="17"/>
        <v>1</v>
      </c>
    </row>
    <row r="180" spans="1:11" x14ac:dyDescent="0.25">
      <c r="A180" t="s">
        <v>372</v>
      </c>
      <c r="B180" t="s">
        <v>116</v>
      </c>
      <c r="C180" t="s">
        <v>50</v>
      </c>
      <c r="D180" s="3">
        <v>45553</v>
      </c>
      <c r="E180" t="str">
        <f>VLOOKUP(B180,'PROCV GERENTES BD'!A:B,2,0)</f>
        <v>ADMINISTRAÇÃO</v>
      </c>
      <c r="F180" s="4" t="str">
        <f t="shared" si="12"/>
        <v>2024-09</v>
      </c>
      <c r="G180" s="18">
        <f t="shared" si="13"/>
        <v>38</v>
      </c>
      <c r="H180" t="str">
        <f t="shared" si="14"/>
        <v>ADMINISTRAÇÃO</v>
      </c>
      <c r="I180" t="str">
        <f t="shared" si="15"/>
        <v>PREMOLDADOS MATOSINHOS LTDA EPP</v>
      </c>
      <c r="J180">
        <f t="shared" si="16"/>
        <v>0</v>
      </c>
      <c r="K180">
        <f t="shared" si="17"/>
        <v>1</v>
      </c>
    </row>
    <row r="181" spans="1:11" x14ac:dyDescent="0.25">
      <c r="A181" t="s">
        <v>358</v>
      </c>
      <c r="B181" t="s">
        <v>104</v>
      </c>
      <c r="C181" t="s">
        <v>50</v>
      </c>
      <c r="D181" s="3">
        <v>45553</v>
      </c>
      <c r="E181" t="str">
        <f>VLOOKUP(B181,'PROCV GERENTES BD'!A:B,2,0)</f>
        <v>DIOGO AZEVEDO</v>
      </c>
      <c r="F181" s="4" t="str">
        <f t="shared" si="12"/>
        <v>2024-09</v>
      </c>
      <c r="G181" s="18">
        <f t="shared" si="13"/>
        <v>38</v>
      </c>
      <c r="H181" t="str">
        <f t="shared" si="14"/>
        <v>DIOGO AZEVEDO</v>
      </c>
      <c r="I181" t="str">
        <f t="shared" si="15"/>
        <v>INDUSTRIA E CERVEJARIA ARTESANAL DE MINAS GERAIS L</v>
      </c>
      <c r="J181">
        <f t="shared" si="16"/>
        <v>0</v>
      </c>
      <c r="K181">
        <f t="shared" si="17"/>
        <v>1</v>
      </c>
    </row>
    <row r="182" spans="1:11" x14ac:dyDescent="0.25">
      <c r="A182" t="s">
        <v>333</v>
      </c>
      <c r="B182" t="s">
        <v>82</v>
      </c>
      <c r="C182" t="s">
        <v>66</v>
      </c>
      <c r="D182" s="3">
        <v>45553</v>
      </c>
      <c r="E182" t="str">
        <f>VLOOKUP(B182,'PROCV GERENTES BD'!A:B,2,0)</f>
        <v>ADMINISTRAÇÃO</v>
      </c>
      <c r="F182" s="4" t="str">
        <f t="shared" si="12"/>
        <v>2024-09</v>
      </c>
      <c r="G182" s="18">
        <f t="shared" si="13"/>
        <v>38</v>
      </c>
      <c r="H182" t="str">
        <f t="shared" si="14"/>
        <v>ADMINISTRAÇÃO</v>
      </c>
      <c r="I182" t="str">
        <f t="shared" si="15"/>
        <v>BETMIX CONCRETO LTDA</v>
      </c>
      <c r="J182">
        <f t="shared" si="16"/>
        <v>1</v>
      </c>
      <c r="K182">
        <f t="shared" si="17"/>
        <v>0</v>
      </c>
    </row>
    <row r="183" spans="1:11" x14ac:dyDescent="0.25">
      <c r="A183" t="s">
        <v>375</v>
      </c>
      <c r="B183" t="s">
        <v>120</v>
      </c>
      <c r="C183" t="s">
        <v>66</v>
      </c>
      <c r="D183" s="3">
        <v>45553</v>
      </c>
      <c r="E183" t="str">
        <f>VLOOKUP(B183,'PROCV GERENTES BD'!A:B,2,0)</f>
        <v>ADMINISTRAÇÃO</v>
      </c>
      <c r="F183" s="4" t="str">
        <f t="shared" si="12"/>
        <v>2024-09</v>
      </c>
      <c r="G183" s="18">
        <f t="shared" si="13"/>
        <v>38</v>
      </c>
      <c r="H183" t="str">
        <f t="shared" si="14"/>
        <v>ADMINISTRAÇÃO</v>
      </c>
      <c r="I183" t="str">
        <f t="shared" si="15"/>
        <v>FARINELLI NUTRIMENTOS LTDA</v>
      </c>
      <c r="J183">
        <f t="shared" si="16"/>
        <v>1</v>
      </c>
      <c r="K183">
        <f t="shared" si="17"/>
        <v>0</v>
      </c>
    </row>
    <row r="184" spans="1:11" x14ac:dyDescent="0.25">
      <c r="A184" t="s">
        <v>339</v>
      </c>
      <c r="B184" t="s">
        <v>87</v>
      </c>
      <c r="C184" t="s">
        <v>50</v>
      </c>
      <c r="D184" s="3">
        <v>45553</v>
      </c>
      <c r="E184" t="str">
        <f>VLOOKUP(B184,'PROCV GERENTES BD'!A:B,2,0)</f>
        <v>NOELI SALETE</v>
      </c>
      <c r="F184" s="4" t="str">
        <f t="shared" si="12"/>
        <v>2024-09</v>
      </c>
      <c r="G184" s="18">
        <f t="shared" si="13"/>
        <v>38</v>
      </c>
      <c r="H184" t="str">
        <f t="shared" si="14"/>
        <v>NOELI SALETE</v>
      </c>
      <c r="I184" t="str">
        <f t="shared" si="15"/>
        <v>RODOBOX TRANSPORTES E ARMAZENAGEM DE CARGAS LTDA</v>
      </c>
      <c r="J184">
        <f t="shared" si="16"/>
        <v>0</v>
      </c>
      <c r="K184">
        <f t="shared" si="17"/>
        <v>1</v>
      </c>
    </row>
    <row r="185" spans="1:11" x14ac:dyDescent="0.25">
      <c r="A185" t="s">
        <v>340</v>
      </c>
      <c r="B185" t="s">
        <v>86</v>
      </c>
      <c r="C185" t="s">
        <v>50</v>
      </c>
      <c r="D185" s="3">
        <v>45553</v>
      </c>
      <c r="E185" t="str">
        <f>VLOOKUP(B185,'PROCV GERENTES BD'!A:B,2,0)</f>
        <v>NOELI SALETE</v>
      </c>
      <c r="F185" s="4" t="str">
        <f t="shared" si="12"/>
        <v>2024-09</v>
      </c>
      <c r="G185" s="18">
        <f t="shared" si="13"/>
        <v>38</v>
      </c>
      <c r="H185" t="str">
        <f t="shared" si="14"/>
        <v>NOELI SALETE</v>
      </c>
      <c r="I185" t="str">
        <f t="shared" si="15"/>
        <v>MEIO OESTE PAPEIS LTDA ME</v>
      </c>
      <c r="J185">
        <f t="shared" si="16"/>
        <v>0</v>
      </c>
      <c r="K185">
        <f t="shared" si="17"/>
        <v>1</v>
      </c>
    </row>
    <row r="186" spans="1:11" x14ac:dyDescent="0.25">
      <c r="A186" t="s">
        <v>389</v>
      </c>
      <c r="B186" t="s">
        <v>136</v>
      </c>
      <c r="C186" t="s">
        <v>50</v>
      </c>
      <c r="D186" s="3">
        <v>45553</v>
      </c>
      <c r="E186" t="str">
        <f>VLOOKUP(B186,'PROCV GERENTES BD'!A:B,2,0)</f>
        <v>POENATELA</v>
      </c>
      <c r="F186" s="4" t="str">
        <f t="shared" si="12"/>
        <v>2024-09</v>
      </c>
      <c r="G186" s="18">
        <f t="shared" si="13"/>
        <v>38</v>
      </c>
      <c r="H186" t="str">
        <f t="shared" si="14"/>
        <v>POENATELA</v>
      </c>
      <c r="I186" t="str">
        <f t="shared" si="15"/>
        <v>CONQUISTA INDUSTRIA DE MOVEIS S/A</v>
      </c>
      <c r="J186">
        <f t="shared" si="16"/>
        <v>0</v>
      </c>
      <c r="K186">
        <f t="shared" si="17"/>
        <v>1</v>
      </c>
    </row>
    <row r="187" spans="1:11" x14ac:dyDescent="0.25">
      <c r="A187" t="s">
        <v>345</v>
      </c>
      <c r="B187" t="s">
        <v>90</v>
      </c>
      <c r="C187" t="s">
        <v>50</v>
      </c>
      <c r="D187" s="3">
        <v>45553</v>
      </c>
      <c r="E187" t="str">
        <f>VLOOKUP(B187,'PROCV GERENTES BD'!A:B,2,0)</f>
        <v>POENATELA</v>
      </c>
      <c r="F187" s="4" t="str">
        <f t="shared" si="12"/>
        <v>2024-09</v>
      </c>
      <c r="G187" s="18">
        <f t="shared" si="13"/>
        <v>38</v>
      </c>
      <c r="H187" t="str">
        <f t="shared" si="14"/>
        <v>POENATELA</v>
      </c>
      <c r="I187" t="str">
        <f t="shared" si="15"/>
        <v>GREEN FARMING FAZENDAS RENOVAVEIS LTDA</v>
      </c>
      <c r="J187">
        <f t="shared" si="16"/>
        <v>0</v>
      </c>
      <c r="K187">
        <f t="shared" si="17"/>
        <v>1</v>
      </c>
    </row>
    <row r="188" spans="1:11" x14ac:dyDescent="0.25">
      <c r="A188" t="s">
        <v>346</v>
      </c>
      <c r="B188" t="s">
        <v>91</v>
      </c>
      <c r="C188" t="s">
        <v>50</v>
      </c>
      <c r="D188" s="3">
        <v>45553</v>
      </c>
      <c r="E188" t="str">
        <f>VLOOKUP(B188,'PROCV GERENTES BD'!A:B,2,0)</f>
        <v>POENATELA</v>
      </c>
      <c r="F188" s="4" t="str">
        <f t="shared" si="12"/>
        <v>2024-09</v>
      </c>
      <c r="G188" s="18">
        <f t="shared" si="13"/>
        <v>38</v>
      </c>
      <c r="H188" t="str">
        <f t="shared" si="14"/>
        <v>POENATELA</v>
      </c>
      <c r="I188" t="str">
        <f t="shared" si="15"/>
        <v>UBERTEC SERVICE USINAGEM LTDA EPP</v>
      </c>
      <c r="J188">
        <f t="shared" si="16"/>
        <v>0</v>
      </c>
      <c r="K188">
        <f t="shared" si="17"/>
        <v>1</v>
      </c>
    </row>
    <row r="189" spans="1:11" x14ac:dyDescent="0.25">
      <c r="A189" t="s">
        <v>376</v>
      </c>
      <c r="B189" t="s">
        <v>121</v>
      </c>
      <c r="C189" t="s">
        <v>50</v>
      </c>
      <c r="D189" s="3">
        <v>45553</v>
      </c>
      <c r="E189" t="str">
        <f>VLOOKUP(B189,'PROCV GERENTES BD'!A:B,2,0)</f>
        <v>PRISCILA METZ</v>
      </c>
      <c r="F189" s="4" t="str">
        <f t="shared" si="12"/>
        <v>2024-09</v>
      </c>
      <c r="G189" s="18">
        <f t="shared" si="13"/>
        <v>38</v>
      </c>
      <c r="H189" t="str">
        <f t="shared" si="14"/>
        <v>PRISCILA METZ</v>
      </c>
      <c r="I189" t="str">
        <f t="shared" si="15"/>
        <v>NOVA DISTRIBUIDORA E ATACADO DE LIMPEZA LTDA</v>
      </c>
      <c r="J189">
        <f t="shared" si="16"/>
        <v>0</v>
      </c>
      <c r="K189">
        <f t="shared" si="17"/>
        <v>1</v>
      </c>
    </row>
    <row r="190" spans="1:11" x14ac:dyDescent="0.25">
      <c r="A190" t="s">
        <v>390</v>
      </c>
      <c r="B190" t="s">
        <v>137</v>
      </c>
      <c r="C190" t="s">
        <v>50</v>
      </c>
      <c r="D190" s="3">
        <v>45553</v>
      </c>
      <c r="E190" t="str">
        <f>VLOOKUP(B190,'PROCV GERENTES BD'!A:B,2,0)</f>
        <v>PRISCILA METZ</v>
      </c>
      <c r="F190" s="4" t="str">
        <f t="shared" si="12"/>
        <v>2024-09</v>
      </c>
      <c r="G190" s="18">
        <f t="shared" si="13"/>
        <v>38</v>
      </c>
      <c r="H190" t="str">
        <f t="shared" si="14"/>
        <v>PRISCILA METZ</v>
      </c>
      <c r="I190" t="str">
        <f t="shared" si="15"/>
        <v>VLF IMPERIAL LATICINIOS LTDA ME</v>
      </c>
      <c r="J190">
        <f t="shared" si="16"/>
        <v>0</v>
      </c>
      <c r="K190">
        <f t="shared" si="17"/>
        <v>1</v>
      </c>
    </row>
    <row r="191" spans="1:11" x14ac:dyDescent="0.25">
      <c r="A191" t="s">
        <v>325</v>
      </c>
      <c r="B191" t="s">
        <v>138</v>
      </c>
      <c r="C191" t="s">
        <v>50</v>
      </c>
      <c r="D191" s="3">
        <v>45553</v>
      </c>
      <c r="E191" t="str">
        <f>VLOOKUP(B191,'PROCV GERENTES BD'!A:B,2,0)</f>
        <v>SACADO</v>
      </c>
      <c r="F191" s="4" t="str">
        <f t="shared" si="12"/>
        <v>2024-09</v>
      </c>
      <c r="G191" s="18">
        <f t="shared" si="13"/>
        <v>38</v>
      </c>
      <c r="H191" t="str">
        <f t="shared" si="14"/>
        <v>SACADO</v>
      </c>
      <c r="I191" t="str">
        <f t="shared" si="15"/>
        <v>ALLIAGE S A INDUSTRIAS MEDICO ODONTOLOGICA</v>
      </c>
      <c r="J191">
        <f t="shared" si="16"/>
        <v>0</v>
      </c>
      <c r="K191">
        <f t="shared" si="17"/>
        <v>1</v>
      </c>
    </row>
    <row r="192" spans="1:11" x14ac:dyDescent="0.25">
      <c r="A192" t="s">
        <v>367</v>
      </c>
      <c r="B192" t="s">
        <v>112</v>
      </c>
      <c r="C192" t="s">
        <v>50</v>
      </c>
      <c r="D192" s="3">
        <v>45554</v>
      </c>
      <c r="E192" t="str">
        <f>VLOOKUP(B192,'PROCV GERENTES BD'!A:B,2,0)</f>
        <v>ADMINISTRAÇÃO</v>
      </c>
      <c r="F192" s="4" t="str">
        <f t="shared" si="12"/>
        <v>2024-09</v>
      </c>
      <c r="G192" s="18">
        <f t="shared" si="13"/>
        <v>38</v>
      </c>
      <c r="H192" t="str">
        <f t="shared" si="14"/>
        <v>ADMINISTRAÇÃO</v>
      </c>
      <c r="I192" t="str">
        <f t="shared" si="15"/>
        <v>DISPA DISTRIBUIDORA SAO PAULO LTDA ME</v>
      </c>
      <c r="J192">
        <f t="shared" si="16"/>
        <v>0</v>
      </c>
      <c r="K192">
        <f t="shared" si="17"/>
        <v>1</v>
      </c>
    </row>
    <row r="193" spans="1:11" x14ac:dyDescent="0.25">
      <c r="A193" t="s">
        <v>54</v>
      </c>
      <c r="B193" t="s">
        <v>55</v>
      </c>
      <c r="C193" t="s">
        <v>50</v>
      </c>
      <c r="D193" s="3">
        <v>45554</v>
      </c>
      <c r="E193" t="str">
        <f>VLOOKUP(B193,'PROCV GERENTES BD'!A:B,2,0)</f>
        <v>CELIO PIMENTA</v>
      </c>
      <c r="F193" s="4" t="str">
        <f t="shared" si="12"/>
        <v>2024-09</v>
      </c>
      <c r="G193" s="18">
        <f t="shared" si="13"/>
        <v>38</v>
      </c>
      <c r="H193" t="str">
        <f t="shared" si="14"/>
        <v>CELIO PIMENTA</v>
      </c>
      <c r="I193" t="str">
        <f t="shared" si="15"/>
        <v>WJ CALDEIRARIA INDUSTRIA E COMERCIO LTDA ME</v>
      </c>
      <c r="J193">
        <f t="shared" si="16"/>
        <v>0</v>
      </c>
      <c r="K193">
        <f t="shared" si="17"/>
        <v>1</v>
      </c>
    </row>
    <row r="194" spans="1:11" x14ac:dyDescent="0.25">
      <c r="A194" t="s">
        <v>324</v>
      </c>
      <c r="B194" t="s">
        <v>119</v>
      </c>
      <c r="C194" t="s">
        <v>66</v>
      </c>
      <c r="D194" s="3">
        <v>45554</v>
      </c>
      <c r="E194" t="str">
        <f>VLOOKUP(B194,'PROCV GERENTES BD'!A:B,2,0)</f>
        <v>PROSPECTAR</v>
      </c>
      <c r="F194" s="4" t="str">
        <f t="shared" ref="F194:F257" si="18">YEAR(D194)&amp;"-"&amp;TEXT(MONTH(D194),"00")</f>
        <v>2024-09</v>
      </c>
      <c r="G194" s="18">
        <f t="shared" ref="G194:G257" si="19">WEEKNUM(D194)</f>
        <v>38</v>
      </c>
      <c r="H194" t="str">
        <f t="shared" ref="H194:H257" si="20">E194</f>
        <v>PROSPECTAR</v>
      </c>
      <c r="I194" t="str">
        <f t="shared" ref="I194:I257" si="21">B194</f>
        <v>TRANSHENRY TRANSPORTES LTDA</v>
      </c>
      <c r="J194">
        <f t="shared" ref="J194:J257" si="22">IF(OR(C194="EXCLUSAO  ANOT.INADIMPLENCIA",C194="INCL/EXCL ANOT.INADIMPLENCIA"),1,0)</f>
        <v>1</v>
      </c>
      <c r="K194">
        <f t="shared" ref="K194:K257" si="23">IF(OR(C194="INCLUSAO  ANOT.INADIMPLENCIA",C194="INCL/EXCL ANOT.INADIMPLENCIA"),1,0)</f>
        <v>0</v>
      </c>
    </row>
    <row r="195" spans="1:11" x14ac:dyDescent="0.25">
      <c r="A195" t="s">
        <v>307</v>
      </c>
      <c r="B195" t="s">
        <v>102</v>
      </c>
      <c r="C195" t="s">
        <v>66</v>
      </c>
      <c r="D195" s="3">
        <v>45554</v>
      </c>
      <c r="E195" t="str">
        <f>VLOOKUP(B195,'PROCV GERENTES BD'!A:B,2,0)</f>
        <v>POENATELA</v>
      </c>
      <c r="F195" s="4" t="str">
        <f t="shared" si="18"/>
        <v>2024-09</v>
      </c>
      <c r="G195" s="18">
        <f t="shared" si="19"/>
        <v>38</v>
      </c>
      <c r="H195" t="str">
        <f t="shared" si="20"/>
        <v>POENATELA</v>
      </c>
      <c r="I195" t="str">
        <f t="shared" si="21"/>
        <v>ECOPINUS INDUSTRIA E COMERCIO DE EMBALAGENS DE MAD</v>
      </c>
      <c r="J195">
        <f t="shared" si="22"/>
        <v>1</v>
      </c>
      <c r="K195">
        <f t="shared" si="23"/>
        <v>0</v>
      </c>
    </row>
    <row r="196" spans="1:11" x14ac:dyDescent="0.25">
      <c r="A196" t="s">
        <v>345</v>
      </c>
      <c r="B196" t="s">
        <v>90</v>
      </c>
      <c r="C196" t="s">
        <v>53</v>
      </c>
      <c r="D196" s="3">
        <v>45554</v>
      </c>
      <c r="E196" t="str">
        <f>VLOOKUP(B196,'PROCV GERENTES BD'!A:B,2,0)</f>
        <v>POENATELA</v>
      </c>
      <c r="F196" s="4" t="str">
        <f t="shared" si="18"/>
        <v>2024-09</v>
      </c>
      <c r="G196" s="18">
        <f t="shared" si="19"/>
        <v>38</v>
      </c>
      <c r="H196" t="str">
        <f t="shared" si="20"/>
        <v>POENATELA</v>
      </c>
      <c r="I196" t="str">
        <f t="shared" si="21"/>
        <v>GREEN FARMING FAZENDAS RENOVAVEIS LTDA</v>
      </c>
      <c r="J196">
        <f t="shared" si="22"/>
        <v>1</v>
      </c>
      <c r="K196">
        <f t="shared" si="23"/>
        <v>1</v>
      </c>
    </row>
    <row r="197" spans="1:11" x14ac:dyDescent="0.25">
      <c r="A197" t="s">
        <v>346</v>
      </c>
      <c r="B197" t="s">
        <v>91</v>
      </c>
      <c r="C197" t="s">
        <v>53</v>
      </c>
      <c r="D197" s="3">
        <v>45554</v>
      </c>
      <c r="E197" t="str">
        <f>VLOOKUP(B197,'PROCV GERENTES BD'!A:B,2,0)</f>
        <v>POENATELA</v>
      </c>
      <c r="F197" s="4" t="str">
        <f t="shared" si="18"/>
        <v>2024-09</v>
      </c>
      <c r="G197" s="18">
        <f t="shared" si="19"/>
        <v>38</v>
      </c>
      <c r="H197" t="str">
        <f t="shared" si="20"/>
        <v>POENATELA</v>
      </c>
      <c r="I197" t="str">
        <f t="shared" si="21"/>
        <v>UBERTEC SERVICE USINAGEM LTDA EPP</v>
      </c>
      <c r="J197">
        <f t="shared" si="22"/>
        <v>1</v>
      </c>
      <c r="K197">
        <f t="shared" si="23"/>
        <v>1</v>
      </c>
    </row>
    <row r="198" spans="1:11" x14ac:dyDescent="0.25">
      <c r="A198" t="s">
        <v>353</v>
      </c>
      <c r="B198" t="s">
        <v>97</v>
      </c>
      <c r="C198" t="s">
        <v>50</v>
      </c>
      <c r="D198" s="3">
        <v>45554</v>
      </c>
      <c r="E198" t="str">
        <f>VLOOKUP(B198,'PROCV GERENTES BD'!A:B,2,0)</f>
        <v>PRISCILA METZ</v>
      </c>
      <c r="F198" s="4" t="str">
        <f t="shared" si="18"/>
        <v>2024-09</v>
      </c>
      <c r="G198" s="18">
        <f t="shared" si="19"/>
        <v>38</v>
      </c>
      <c r="H198" t="str">
        <f t="shared" si="20"/>
        <v>PRISCILA METZ</v>
      </c>
      <c r="I198" t="str">
        <f t="shared" si="21"/>
        <v>ESSENZA INDUSTRIA QUIMICA LTDA</v>
      </c>
      <c r="J198">
        <f t="shared" si="22"/>
        <v>0</v>
      </c>
      <c r="K198">
        <f t="shared" si="23"/>
        <v>1</v>
      </c>
    </row>
    <row r="199" spans="1:11" x14ac:dyDescent="0.25">
      <c r="A199" t="s">
        <v>376</v>
      </c>
      <c r="B199" t="s">
        <v>121</v>
      </c>
      <c r="C199" t="s">
        <v>50</v>
      </c>
      <c r="D199" s="3">
        <v>45554</v>
      </c>
      <c r="E199" t="str">
        <f>VLOOKUP(B199,'PROCV GERENTES BD'!A:B,2,0)</f>
        <v>PRISCILA METZ</v>
      </c>
      <c r="F199" s="4" t="str">
        <f t="shared" si="18"/>
        <v>2024-09</v>
      </c>
      <c r="G199" s="18">
        <f t="shared" si="19"/>
        <v>38</v>
      </c>
      <c r="H199" t="str">
        <f t="shared" si="20"/>
        <v>PRISCILA METZ</v>
      </c>
      <c r="I199" t="str">
        <f t="shared" si="21"/>
        <v>NOVA DISTRIBUIDORA E ATACADO DE LIMPEZA LTDA</v>
      </c>
      <c r="J199">
        <f t="shared" si="22"/>
        <v>0</v>
      </c>
      <c r="K199">
        <f t="shared" si="23"/>
        <v>1</v>
      </c>
    </row>
    <row r="200" spans="1:11" x14ac:dyDescent="0.25">
      <c r="A200" t="s">
        <v>391</v>
      </c>
      <c r="B200" t="s">
        <v>139</v>
      </c>
      <c r="C200" t="s">
        <v>66</v>
      </c>
      <c r="D200" s="3">
        <v>45554</v>
      </c>
      <c r="E200" t="s">
        <v>21</v>
      </c>
      <c r="F200" s="4" t="str">
        <f t="shared" si="18"/>
        <v>2024-09</v>
      </c>
      <c r="G200" s="18">
        <f t="shared" si="19"/>
        <v>38</v>
      </c>
      <c r="H200" t="str">
        <f t="shared" si="20"/>
        <v xml:space="preserve">ROGERIO </v>
      </c>
      <c r="I200" t="str">
        <f t="shared" si="21"/>
        <v>PREMIUMGRAF SERVICOS GRAFICOS LTDA ME</v>
      </c>
      <c r="J200">
        <f t="shared" si="22"/>
        <v>1</v>
      </c>
      <c r="K200">
        <f t="shared" si="23"/>
        <v>0</v>
      </c>
    </row>
    <row r="201" spans="1:11" x14ac:dyDescent="0.25">
      <c r="A201" t="s">
        <v>325</v>
      </c>
      <c r="B201" t="s">
        <v>138</v>
      </c>
      <c r="C201" t="s">
        <v>66</v>
      </c>
      <c r="D201" s="3">
        <v>45554</v>
      </c>
      <c r="E201" t="str">
        <f>VLOOKUP(B201,'PROCV GERENTES BD'!A:B,2,0)</f>
        <v>SACADO</v>
      </c>
      <c r="F201" s="4" t="str">
        <f t="shared" si="18"/>
        <v>2024-09</v>
      </c>
      <c r="G201" s="18">
        <f t="shared" si="19"/>
        <v>38</v>
      </c>
      <c r="H201" t="str">
        <f t="shared" si="20"/>
        <v>SACADO</v>
      </c>
      <c r="I201" t="str">
        <f t="shared" si="21"/>
        <v>ALLIAGE S A INDUSTRIAS MEDICO ODONTOLOGICA</v>
      </c>
      <c r="J201">
        <f t="shared" si="22"/>
        <v>1</v>
      </c>
      <c r="K201">
        <f t="shared" si="23"/>
        <v>0</v>
      </c>
    </row>
    <row r="202" spans="1:11" x14ac:dyDescent="0.25">
      <c r="A202" t="s">
        <v>314</v>
      </c>
      <c r="B202" t="s">
        <v>98</v>
      </c>
      <c r="C202" t="s">
        <v>66</v>
      </c>
      <c r="D202" s="3">
        <v>45554</v>
      </c>
      <c r="E202" t="str">
        <f>VLOOKUP(B202,'PROCV GERENTES BD'!A:B,2,0)</f>
        <v xml:space="preserve">ROGERIO </v>
      </c>
      <c r="F202" s="4" t="str">
        <f t="shared" si="18"/>
        <v>2024-09</v>
      </c>
      <c r="G202" s="18">
        <f t="shared" si="19"/>
        <v>38</v>
      </c>
      <c r="H202" t="str">
        <f t="shared" si="20"/>
        <v xml:space="preserve">ROGERIO </v>
      </c>
      <c r="I202" t="str">
        <f t="shared" si="21"/>
        <v>MUTCD CENTRO DISTRIBUICAO IND FABRICANTE COSMETICO</v>
      </c>
      <c r="J202">
        <f t="shared" si="22"/>
        <v>1</v>
      </c>
      <c r="K202">
        <f t="shared" si="23"/>
        <v>0</v>
      </c>
    </row>
    <row r="203" spans="1:11" x14ac:dyDescent="0.25">
      <c r="A203" t="s">
        <v>392</v>
      </c>
      <c r="B203" t="s">
        <v>140</v>
      </c>
      <c r="C203" t="s">
        <v>50</v>
      </c>
      <c r="D203" s="3">
        <v>45555</v>
      </c>
      <c r="E203" t="str">
        <f>VLOOKUP(B203,'PROCV GERENTES BD'!A:B,2,0)</f>
        <v>ADMINISTRAÇÃO</v>
      </c>
      <c r="F203" s="4" t="str">
        <f t="shared" si="18"/>
        <v>2024-09</v>
      </c>
      <c r="G203" s="18">
        <f t="shared" si="19"/>
        <v>38</v>
      </c>
      <c r="H203" t="str">
        <f t="shared" si="20"/>
        <v>ADMINISTRAÇÃO</v>
      </c>
      <c r="I203" t="str">
        <f t="shared" si="21"/>
        <v>VALADRES DIESEL LTDA EM RECUPERACAO JUDICIAL</v>
      </c>
      <c r="J203">
        <f t="shared" si="22"/>
        <v>0</v>
      </c>
      <c r="K203">
        <f t="shared" si="23"/>
        <v>1</v>
      </c>
    </row>
    <row r="204" spans="1:11" x14ac:dyDescent="0.25">
      <c r="A204" t="s">
        <v>319</v>
      </c>
      <c r="B204" t="s">
        <v>80</v>
      </c>
      <c r="C204" t="s">
        <v>50</v>
      </c>
      <c r="D204" s="3">
        <v>45555</v>
      </c>
      <c r="E204" t="str">
        <f>VLOOKUP(B204,'PROCV GERENTES BD'!A:B,2,0)</f>
        <v>CELIO PIMENTA</v>
      </c>
      <c r="F204" s="4" t="str">
        <f t="shared" si="18"/>
        <v>2024-09</v>
      </c>
      <c r="G204" s="18">
        <f t="shared" si="19"/>
        <v>38</v>
      </c>
      <c r="H204" t="str">
        <f t="shared" si="20"/>
        <v>CELIO PIMENTA</v>
      </c>
      <c r="I204" t="str">
        <f t="shared" si="21"/>
        <v>IMPORTEXTIL COMERCIO DE TECIDOS LTDA</v>
      </c>
      <c r="J204">
        <f t="shared" si="22"/>
        <v>0</v>
      </c>
      <c r="K204">
        <f t="shared" si="23"/>
        <v>1</v>
      </c>
    </row>
    <row r="205" spans="1:11" x14ac:dyDescent="0.25">
      <c r="A205" t="s">
        <v>311</v>
      </c>
      <c r="B205" t="s">
        <v>81</v>
      </c>
      <c r="C205" t="s">
        <v>66</v>
      </c>
      <c r="D205" s="3">
        <v>45555</v>
      </c>
      <c r="E205" t="str">
        <f>VLOOKUP(B205,'PROCV GERENTES BD'!A:B,2,0)</f>
        <v>CELIO PIMENTA</v>
      </c>
      <c r="F205" s="4" t="str">
        <f t="shared" si="18"/>
        <v>2024-09</v>
      </c>
      <c r="G205" s="18">
        <f t="shared" si="19"/>
        <v>38</v>
      </c>
      <c r="H205" t="str">
        <f t="shared" si="20"/>
        <v>CELIO PIMENTA</v>
      </c>
      <c r="I205" t="str">
        <f t="shared" si="21"/>
        <v>MBIOLOG DIAGNOSTICOS LTDA</v>
      </c>
      <c r="J205">
        <f t="shared" si="22"/>
        <v>1</v>
      </c>
      <c r="K205">
        <f t="shared" si="23"/>
        <v>0</v>
      </c>
    </row>
    <row r="206" spans="1:11" x14ac:dyDescent="0.25">
      <c r="A206" t="s">
        <v>374</v>
      </c>
      <c r="B206" t="s">
        <v>118</v>
      </c>
      <c r="C206" t="s">
        <v>50</v>
      </c>
      <c r="D206" s="3">
        <v>45555</v>
      </c>
      <c r="E206" t="str">
        <f>VLOOKUP(B206,'PROCV GERENTES BD'!A:B,2,0)</f>
        <v>CELIO PIMENTA</v>
      </c>
      <c r="F206" s="4" t="str">
        <f t="shared" si="18"/>
        <v>2024-09</v>
      </c>
      <c r="G206" s="18">
        <f t="shared" si="19"/>
        <v>38</v>
      </c>
      <c r="H206" t="str">
        <f t="shared" si="20"/>
        <v>CELIO PIMENTA</v>
      </c>
      <c r="I206" t="str">
        <f t="shared" si="21"/>
        <v>MINAS ALIMENTOS E FRUTAS SECAS LTDA EPP</v>
      </c>
      <c r="J206">
        <f t="shared" si="22"/>
        <v>0</v>
      </c>
      <c r="K206">
        <f t="shared" si="23"/>
        <v>1</v>
      </c>
    </row>
    <row r="207" spans="1:11" x14ac:dyDescent="0.25">
      <c r="A207" t="s">
        <v>350</v>
      </c>
      <c r="B207" t="s">
        <v>95</v>
      </c>
      <c r="C207" t="s">
        <v>66</v>
      </c>
      <c r="D207" s="3">
        <v>45555</v>
      </c>
      <c r="E207" t="str">
        <f>VLOOKUP(B207,'PROCV GERENTES BD'!A:B,2,0)</f>
        <v>GRUPO OTTO</v>
      </c>
      <c r="F207" s="4" t="str">
        <f t="shared" si="18"/>
        <v>2024-09</v>
      </c>
      <c r="G207" s="18">
        <f t="shared" si="19"/>
        <v>38</v>
      </c>
      <c r="H207" t="str">
        <f t="shared" si="20"/>
        <v>GRUPO OTTO</v>
      </c>
      <c r="I207" t="str">
        <f t="shared" si="21"/>
        <v>PLURIFORME INDUSTRIA E COMERCIO DE UNIFORMES LTDA</v>
      </c>
      <c r="J207">
        <f t="shared" si="22"/>
        <v>1</v>
      </c>
      <c r="K207">
        <f t="shared" si="23"/>
        <v>0</v>
      </c>
    </row>
    <row r="208" spans="1:11" x14ac:dyDescent="0.25">
      <c r="A208" t="s">
        <v>305</v>
      </c>
      <c r="B208" t="s">
        <v>141</v>
      </c>
      <c r="C208" t="s">
        <v>66</v>
      </c>
      <c r="D208" s="3">
        <v>45555</v>
      </c>
      <c r="E208" t="str">
        <f>VLOOKUP(B208,'PROCV GERENTES BD'!A:B,2,0)</f>
        <v>NOELI SALETE</v>
      </c>
      <c r="F208" s="4" t="str">
        <f t="shared" si="18"/>
        <v>2024-09</v>
      </c>
      <c r="G208" s="18">
        <f t="shared" si="19"/>
        <v>38</v>
      </c>
      <c r="H208" t="str">
        <f t="shared" si="20"/>
        <v>NOELI SALETE</v>
      </c>
      <c r="I208" t="str">
        <f t="shared" si="21"/>
        <v>JMS EMBALAGENS INDUSTRIAIS LTDA</v>
      </c>
      <c r="J208">
        <f t="shared" si="22"/>
        <v>1</v>
      </c>
      <c r="K208">
        <f t="shared" si="23"/>
        <v>0</v>
      </c>
    </row>
    <row r="209" spans="1:11" x14ac:dyDescent="0.25">
      <c r="A209" t="s">
        <v>339</v>
      </c>
      <c r="B209" t="s">
        <v>87</v>
      </c>
      <c r="C209" t="s">
        <v>66</v>
      </c>
      <c r="D209" s="3">
        <v>45555</v>
      </c>
      <c r="E209" t="str">
        <f>VLOOKUP(B209,'PROCV GERENTES BD'!A:B,2,0)</f>
        <v>NOELI SALETE</v>
      </c>
      <c r="F209" s="4" t="str">
        <f t="shared" si="18"/>
        <v>2024-09</v>
      </c>
      <c r="G209" s="18">
        <f t="shared" si="19"/>
        <v>38</v>
      </c>
      <c r="H209" t="str">
        <f t="shared" si="20"/>
        <v>NOELI SALETE</v>
      </c>
      <c r="I209" t="str">
        <f t="shared" si="21"/>
        <v>RODOBOX TRANSPORTES E ARMAZENAGEM DE CARGAS LTDA</v>
      </c>
      <c r="J209">
        <f t="shared" si="22"/>
        <v>1</v>
      </c>
      <c r="K209">
        <f t="shared" si="23"/>
        <v>0</v>
      </c>
    </row>
    <row r="210" spans="1:11" x14ac:dyDescent="0.25">
      <c r="A210" t="s">
        <v>340</v>
      </c>
      <c r="B210" t="s">
        <v>86</v>
      </c>
      <c r="C210" t="s">
        <v>50</v>
      </c>
      <c r="D210" s="3">
        <v>45555</v>
      </c>
      <c r="E210" t="str">
        <f>VLOOKUP(B210,'PROCV GERENTES BD'!A:B,2,0)</f>
        <v>NOELI SALETE</v>
      </c>
      <c r="F210" s="4" t="str">
        <f t="shared" si="18"/>
        <v>2024-09</v>
      </c>
      <c r="G210" s="18">
        <f t="shared" si="19"/>
        <v>38</v>
      </c>
      <c r="H210" t="str">
        <f t="shared" si="20"/>
        <v>NOELI SALETE</v>
      </c>
      <c r="I210" t="str">
        <f t="shared" si="21"/>
        <v>MEIO OESTE PAPEIS LTDA ME</v>
      </c>
      <c r="J210">
        <f t="shared" si="22"/>
        <v>0</v>
      </c>
      <c r="K210">
        <f t="shared" si="23"/>
        <v>1</v>
      </c>
    </row>
    <row r="211" spans="1:11" x14ac:dyDescent="0.25">
      <c r="A211" t="s">
        <v>345</v>
      </c>
      <c r="B211" t="s">
        <v>90</v>
      </c>
      <c r="C211" t="s">
        <v>53</v>
      </c>
      <c r="D211" s="3">
        <v>45555</v>
      </c>
      <c r="E211" t="str">
        <f>VLOOKUP(B211,'PROCV GERENTES BD'!A:B,2,0)</f>
        <v>POENATELA</v>
      </c>
      <c r="F211" s="4" t="str">
        <f t="shared" si="18"/>
        <v>2024-09</v>
      </c>
      <c r="G211" s="18">
        <f t="shared" si="19"/>
        <v>38</v>
      </c>
      <c r="H211" t="str">
        <f t="shared" si="20"/>
        <v>POENATELA</v>
      </c>
      <c r="I211" t="str">
        <f t="shared" si="21"/>
        <v>GREEN FARMING FAZENDAS RENOVAVEIS LTDA</v>
      </c>
      <c r="J211">
        <f t="shared" si="22"/>
        <v>1</v>
      </c>
      <c r="K211">
        <f t="shared" si="23"/>
        <v>1</v>
      </c>
    </row>
    <row r="212" spans="1:11" x14ac:dyDescent="0.25">
      <c r="A212" t="s">
        <v>346</v>
      </c>
      <c r="B212" t="s">
        <v>91</v>
      </c>
      <c r="C212" t="s">
        <v>66</v>
      </c>
      <c r="D212" s="3">
        <v>45555</v>
      </c>
      <c r="E212" t="str">
        <f>VLOOKUP(B212,'PROCV GERENTES BD'!A:B,2,0)</f>
        <v>POENATELA</v>
      </c>
      <c r="F212" s="4" t="str">
        <f t="shared" si="18"/>
        <v>2024-09</v>
      </c>
      <c r="G212" s="18">
        <f t="shared" si="19"/>
        <v>38</v>
      </c>
      <c r="H212" t="str">
        <f t="shared" si="20"/>
        <v>POENATELA</v>
      </c>
      <c r="I212" t="str">
        <f t="shared" si="21"/>
        <v>UBERTEC SERVICE USINAGEM LTDA EPP</v>
      </c>
      <c r="J212">
        <f t="shared" si="22"/>
        <v>1</v>
      </c>
      <c r="K212">
        <f t="shared" si="23"/>
        <v>0</v>
      </c>
    </row>
    <row r="213" spans="1:11" x14ac:dyDescent="0.25">
      <c r="A213" t="s">
        <v>388</v>
      </c>
      <c r="B213" t="s">
        <v>135</v>
      </c>
      <c r="C213" t="s">
        <v>66</v>
      </c>
      <c r="D213" s="3">
        <v>45555</v>
      </c>
      <c r="E213" t="s">
        <v>21</v>
      </c>
      <c r="F213" s="4" t="str">
        <f t="shared" si="18"/>
        <v>2024-09</v>
      </c>
      <c r="G213" s="18">
        <f t="shared" si="19"/>
        <v>38</v>
      </c>
      <c r="H213" t="str">
        <f t="shared" si="20"/>
        <v xml:space="preserve">ROGERIO </v>
      </c>
      <c r="I213" t="str">
        <f t="shared" si="21"/>
        <v>DINAMICA COM FERRAMENTAS EQUIPAMENTOS PROTECAO IND</v>
      </c>
      <c r="J213">
        <f t="shared" si="22"/>
        <v>1</v>
      </c>
      <c r="K213">
        <f t="shared" si="23"/>
        <v>0</v>
      </c>
    </row>
    <row r="214" spans="1:11" x14ac:dyDescent="0.25">
      <c r="A214" t="s">
        <v>348</v>
      </c>
      <c r="B214" t="s">
        <v>93</v>
      </c>
      <c r="C214" t="s">
        <v>50</v>
      </c>
      <c r="D214" s="3">
        <v>45555</v>
      </c>
      <c r="E214" t="str">
        <f>VLOOKUP(B214,'PROCV GERENTES BD'!A:B,2,0)</f>
        <v>WHELKYA IRIS</v>
      </c>
      <c r="F214" s="4" t="str">
        <f t="shared" si="18"/>
        <v>2024-09</v>
      </c>
      <c r="G214" s="18">
        <f t="shared" si="19"/>
        <v>38</v>
      </c>
      <c r="H214" t="str">
        <f t="shared" si="20"/>
        <v>WHELKYA IRIS</v>
      </c>
      <c r="I214" t="str">
        <f t="shared" si="21"/>
        <v>DIVINA INDUSTRIA DE COURO LTDA</v>
      </c>
      <c r="J214">
        <f t="shared" si="22"/>
        <v>0</v>
      </c>
      <c r="K214">
        <f t="shared" si="23"/>
        <v>1</v>
      </c>
    </row>
    <row r="215" spans="1:11" x14ac:dyDescent="0.25">
      <c r="A215" t="s">
        <v>354</v>
      </c>
      <c r="B215" t="s">
        <v>99</v>
      </c>
      <c r="C215" t="s">
        <v>50</v>
      </c>
      <c r="D215" s="3">
        <v>45556</v>
      </c>
      <c r="E215" t="str">
        <f>VLOOKUP(B215,'PROCV GERENTES BD'!A:B,2,0)</f>
        <v>ADMINISTRAÇÃO</v>
      </c>
      <c r="F215" s="4" t="str">
        <f t="shared" si="18"/>
        <v>2024-09</v>
      </c>
      <c r="G215" s="18">
        <f t="shared" si="19"/>
        <v>38</v>
      </c>
      <c r="H215" t="str">
        <f t="shared" si="20"/>
        <v>ADMINISTRAÇÃO</v>
      </c>
      <c r="I215" t="str">
        <f t="shared" si="21"/>
        <v>COLIBRI IND MEDIC SUPLEMENTOS PARA PECUARIA VETERI</v>
      </c>
      <c r="J215">
        <f t="shared" si="22"/>
        <v>0</v>
      </c>
      <c r="K215">
        <f t="shared" si="23"/>
        <v>1</v>
      </c>
    </row>
    <row r="216" spans="1:11" x14ac:dyDescent="0.25">
      <c r="A216" t="s">
        <v>371</v>
      </c>
      <c r="B216" t="s">
        <v>115</v>
      </c>
      <c r="C216" t="s">
        <v>66</v>
      </c>
      <c r="D216" s="3">
        <v>45556</v>
      </c>
      <c r="E216" t="str">
        <f>VLOOKUP(B216,'PROCV GERENTES BD'!A:B,2,0)</f>
        <v>ADMINISTRAÇÃO</v>
      </c>
      <c r="F216" s="4" t="str">
        <f t="shared" si="18"/>
        <v>2024-09</v>
      </c>
      <c r="G216" s="18">
        <f t="shared" si="19"/>
        <v>38</v>
      </c>
      <c r="H216" t="str">
        <f t="shared" si="20"/>
        <v>ADMINISTRAÇÃO</v>
      </c>
      <c r="I216" t="str">
        <f t="shared" si="21"/>
        <v>ESPECIALI INDUSTRIA DE ALIMENTOS LTDA ME</v>
      </c>
      <c r="J216">
        <f t="shared" si="22"/>
        <v>1</v>
      </c>
      <c r="K216">
        <f t="shared" si="23"/>
        <v>0</v>
      </c>
    </row>
    <row r="217" spans="1:11" x14ac:dyDescent="0.25">
      <c r="A217" t="s">
        <v>319</v>
      </c>
      <c r="B217" t="s">
        <v>80</v>
      </c>
      <c r="C217" t="s">
        <v>50</v>
      </c>
      <c r="D217" s="3">
        <v>45556</v>
      </c>
      <c r="E217" t="str">
        <f>VLOOKUP(B217,'PROCV GERENTES BD'!A:B,2,0)</f>
        <v>CELIO PIMENTA</v>
      </c>
      <c r="F217" s="4" t="str">
        <f t="shared" si="18"/>
        <v>2024-09</v>
      </c>
      <c r="G217" s="18">
        <f t="shared" si="19"/>
        <v>38</v>
      </c>
      <c r="H217" t="str">
        <f t="shared" si="20"/>
        <v>CELIO PIMENTA</v>
      </c>
      <c r="I217" t="str">
        <f t="shared" si="21"/>
        <v>IMPORTEXTIL COMERCIO DE TECIDOS LTDA</v>
      </c>
      <c r="J217">
        <f t="shared" si="22"/>
        <v>0</v>
      </c>
      <c r="K217">
        <f t="shared" si="23"/>
        <v>1</v>
      </c>
    </row>
    <row r="218" spans="1:11" x14ac:dyDescent="0.25">
      <c r="A218" t="s">
        <v>54</v>
      </c>
      <c r="B218" t="s">
        <v>55</v>
      </c>
      <c r="C218" t="s">
        <v>66</v>
      </c>
      <c r="D218" s="3">
        <v>45556</v>
      </c>
      <c r="E218" t="str">
        <f>VLOOKUP(B218,'PROCV GERENTES BD'!A:B,2,0)</f>
        <v>CELIO PIMENTA</v>
      </c>
      <c r="F218" s="4" t="str">
        <f t="shared" si="18"/>
        <v>2024-09</v>
      </c>
      <c r="G218" s="18">
        <f t="shared" si="19"/>
        <v>38</v>
      </c>
      <c r="H218" t="str">
        <f t="shared" si="20"/>
        <v>CELIO PIMENTA</v>
      </c>
      <c r="I218" t="str">
        <f t="shared" si="21"/>
        <v>WJ CALDEIRARIA INDUSTRIA E COMERCIO LTDA ME</v>
      </c>
      <c r="J218">
        <f t="shared" si="22"/>
        <v>1</v>
      </c>
      <c r="K218">
        <f t="shared" si="23"/>
        <v>0</v>
      </c>
    </row>
    <row r="219" spans="1:11" x14ac:dyDescent="0.25">
      <c r="A219" t="s">
        <v>375</v>
      </c>
      <c r="B219" t="s">
        <v>120</v>
      </c>
      <c r="C219" t="s">
        <v>66</v>
      </c>
      <c r="D219" s="3">
        <v>45556</v>
      </c>
      <c r="E219" t="str">
        <f>VLOOKUP(B219,'PROCV GERENTES BD'!A:B,2,0)</f>
        <v>ADMINISTRAÇÃO</v>
      </c>
      <c r="F219" s="4" t="str">
        <f t="shared" si="18"/>
        <v>2024-09</v>
      </c>
      <c r="G219" s="18">
        <f t="shared" si="19"/>
        <v>38</v>
      </c>
      <c r="H219" t="str">
        <f t="shared" si="20"/>
        <v>ADMINISTRAÇÃO</v>
      </c>
      <c r="I219" t="str">
        <f t="shared" si="21"/>
        <v>FARINELLI NUTRIMENTOS LTDA</v>
      </c>
      <c r="J219">
        <f t="shared" si="22"/>
        <v>1</v>
      </c>
      <c r="K219">
        <f t="shared" si="23"/>
        <v>0</v>
      </c>
    </row>
    <row r="220" spans="1:11" x14ac:dyDescent="0.25">
      <c r="A220" t="s">
        <v>339</v>
      </c>
      <c r="B220" t="s">
        <v>87</v>
      </c>
      <c r="C220" t="s">
        <v>50</v>
      </c>
      <c r="D220" s="3">
        <v>45556</v>
      </c>
      <c r="E220" t="str">
        <f>VLOOKUP(B220,'PROCV GERENTES BD'!A:B,2,0)</f>
        <v>NOELI SALETE</v>
      </c>
      <c r="F220" s="4" t="str">
        <f t="shared" si="18"/>
        <v>2024-09</v>
      </c>
      <c r="G220" s="18">
        <f t="shared" si="19"/>
        <v>38</v>
      </c>
      <c r="H220" t="str">
        <f t="shared" si="20"/>
        <v>NOELI SALETE</v>
      </c>
      <c r="I220" t="str">
        <f t="shared" si="21"/>
        <v>RODOBOX TRANSPORTES E ARMAZENAGEM DE CARGAS LTDA</v>
      </c>
      <c r="J220">
        <f t="shared" si="22"/>
        <v>0</v>
      </c>
      <c r="K220">
        <f t="shared" si="23"/>
        <v>1</v>
      </c>
    </row>
    <row r="221" spans="1:11" x14ac:dyDescent="0.25">
      <c r="A221" t="s">
        <v>340</v>
      </c>
      <c r="B221" t="s">
        <v>86</v>
      </c>
      <c r="C221" t="s">
        <v>50</v>
      </c>
      <c r="D221" s="3">
        <v>45556</v>
      </c>
      <c r="E221" t="str">
        <f>VLOOKUP(B221,'PROCV GERENTES BD'!A:B,2,0)</f>
        <v>NOELI SALETE</v>
      </c>
      <c r="F221" s="4" t="str">
        <f t="shared" si="18"/>
        <v>2024-09</v>
      </c>
      <c r="G221" s="18">
        <f t="shared" si="19"/>
        <v>38</v>
      </c>
      <c r="H221" t="str">
        <f t="shared" si="20"/>
        <v>NOELI SALETE</v>
      </c>
      <c r="I221" t="str">
        <f t="shared" si="21"/>
        <v>MEIO OESTE PAPEIS LTDA ME</v>
      </c>
      <c r="J221">
        <f t="shared" si="22"/>
        <v>0</v>
      </c>
      <c r="K221">
        <f t="shared" si="23"/>
        <v>1</v>
      </c>
    </row>
    <row r="222" spans="1:11" x14ac:dyDescent="0.25">
      <c r="A222" t="s">
        <v>345</v>
      </c>
      <c r="B222" t="s">
        <v>90</v>
      </c>
      <c r="C222" t="s">
        <v>53</v>
      </c>
      <c r="D222" s="3">
        <v>45556</v>
      </c>
      <c r="E222" t="str">
        <f>VLOOKUP(B222,'PROCV GERENTES BD'!A:B,2,0)</f>
        <v>POENATELA</v>
      </c>
      <c r="F222" s="4" t="str">
        <f t="shared" si="18"/>
        <v>2024-09</v>
      </c>
      <c r="G222" s="18">
        <f t="shared" si="19"/>
        <v>38</v>
      </c>
      <c r="H222" t="str">
        <f t="shared" si="20"/>
        <v>POENATELA</v>
      </c>
      <c r="I222" t="str">
        <f t="shared" si="21"/>
        <v>GREEN FARMING FAZENDAS RENOVAVEIS LTDA</v>
      </c>
      <c r="J222">
        <f t="shared" si="22"/>
        <v>1</v>
      </c>
      <c r="K222">
        <f t="shared" si="23"/>
        <v>1</v>
      </c>
    </row>
    <row r="223" spans="1:11" x14ac:dyDescent="0.25">
      <c r="A223" t="s">
        <v>346</v>
      </c>
      <c r="B223" t="s">
        <v>91</v>
      </c>
      <c r="C223" t="s">
        <v>53</v>
      </c>
      <c r="D223" s="3">
        <v>45556</v>
      </c>
      <c r="E223" t="str">
        <f>VLOOKUP(B223,'PROCV GERENTES BD'!A:B,2,0)</f>
        <v>POENATELA</v>
      </c>
      <c r="F223" s="4" t="str">
        <f t="shared" si="18"/>
        <v>2024-09</v>
      </c>
      <c r="G223" s="18">
        <f t="shared" si="19"/>
        <v>38</v>
      </c>
      <c r="H223" t="str">
        <f t="shared" si="20"/>
        <v>POENATELA</v>
      </c>
      <c r="I223" t="str">
        <f t="shared" si="21"/>
        <v>UBERTEC SERVICE USINAGEM LTDA EPP</v>
      </c>
      <c r="J223">
        <f t="shared" si="22"/>
        <v>1</v>
      </c>
      <c r="K223">
        <f t="shared" si="23"/>
        <v>1</v>
      </c>
    </row>
    <row r="224" spans="1:11" x14ac:dyDescent="0.25">
      <c r="A224" t="s">
        <v>376</v>
      </c>
      <c r="B224" t="s">
        <v>121</v>
      </c>
      <c r="C224" t="s">
        <v>50</v>
      </c>
      <c r="D224" s="3">
        <v>45556</v>
      </c>
      <c r="E224" t="str">
        <f>VLOOKUP(B224,'PROCV GERENTES BD'!A:B,2,0)</f>
        <v>PRISCILA METZ</v>
      </c>
      <c r="F224" s="4" t="str">
        <f t="shared" si="18"/>
        <v>2024-09</v>
      </c>
      <c r="G224" s="18">
        <f t="shared" si="19"/>
        <v>38</v>
      </c>
      <c r="H224" t="str">
        <f t="shared" si="20"/>
        <v>PRISCILA METZ</v>
      </c>
      <c r="I224" t="str">
        <f t="shared" si="21"/>
        <v>NOVA DISTRIBUIDORA E ATACADO DE LIMPEZA LTDA</v>
      </c>
      <c r="J224">
        <f t="shared" si="22"/>
        <v>0</v>
      </c>
      <c r="K224">
        <f t="shared" si="23"/>
        <v>1</v>
      </c>
    </row>
    <row r="225" spans="1:11" x14ac:dyDescent="0.25">
      <c r="A225" t="s">
        <v>393</v>
      </c>
      <c r="B225" t="s">
        <v>142</v>
      </c>
      <c r="C225" t="s">
        <v>50</v>
      </c>
      <c r="D225" s="3">
        <v>45556</v>
      </c>
      <c r="E225" t="str">
        <f>VLOOKUP(B225,'PROCV GERENTES BD'!A:B,2,0)</f>
        <v>ADMINISTRAÇÃO</v>
      </c>
      <c r="F225" s="4" t="str">
        <f t="shared" si="18"/>
        <v>2024-09</v>
      </c>
      <c r="G225" s="18">
        <f t="shared" si="19"/>
        <v>38</v>
      </c>
      <c r="H225" t="str">
        <f t="shared" si="20"/>
        <v>ADMINISTRAÇÃO</v>
      </c>
      <c r="I225" t="str">
        <f t="shared" si="21"/>
        <v>MONTAGEM MINAS GERAIS LTDA ME</v>
      </c>
      <c r="J225">
        <f t="shared" si="22"/>
        <v>0</v>
      </c>
      <c r="K225">
        <f t="shared" si="23"/>
        <v>1</v>
      </c>
    </row>
    <row r="226" spans="1:11" x14ac:dyDescent="0.25">
      <c r="A226" t="s">
        <v>394</v>
      </c>
      <c r="B226" t="s">
        <v>143</v>
      </c>
      <c r="C226" t="s">
        <v>602</v>
      </c>
      <c r="D226" s="3">
        <v>45557</v>
      </c>
      <c r="E226" t="str">
        <f>VLOOKUP(B226,'PROCV GERENTES BD'!A:B,2,0)</f>
        <v>NOELI SALETE</v>
      </c>
      <c r="F226" s="4" t="str">
        <f t="shared" si="18"/>
        <v>2024-09</v>
      </c>
      <c r="G226" s="18">
        <f t="shared" si="19"/>
        <v>39</v>
      </c>
      <c r="H226" t="str">
        <f t="shared" si="20"/>
        <v>NOELI SALETE</v>
      </c>
      <c r="I226" t="str">
        <f t="shared" si="21"/>
        <v>ALBERTO H DA SILVA ME</v>
      </c>
      <c r="J226">
        <f t="shared" si="22"/>
        <v>0</v>
      </c>
      <c r="K226">
        <f t="shared" si="23"/>
        <v>0</v>
      </c>
    </row>
    <row r="227" spans="1:11" x14ac:dyDescent="0.25">
      <c r="A227" t="s">
        <v>394</v>
      </c>
      <c r="B227" t="s">
        <v>143</v>
      </c>
      <c r="C227" t="s">
        <v>50</v>
      </c>
      <c r="D227" s="3">
        <v>45557</v>
      </c>
      <c r="E227" t="str">
        <f>VLOOKUP(B227,'PROCV GERENTES BD'!A:B,2,0)</f>
        <v>NOELI SALETE</v>
      </c>
      <c r="F227" s="4" t="str">
        <f t="shared" si="18"/>
        <v>2024-09</v>
      </c>
      <c r="G227" s="18">
        <f t="shared" si="19"/>
        <v>39</v>
      </c>
      <c r="H227" t="str">
        <f t="shared" si="20"/>
        <v>NOELI SALETE</v>
      </c>
      <c r="I227" t="str">
        <f t="shared" si="21"/>
        <v>ALBERTO H DA SILVA ME</v>
      </c>
      <c r="J227">
        <f t="shared" si="22"/>
        <v>0</v>
      </c>
      <c r="K227">
        <f t="shared" si="23"/>
        <v>1</v>
      </c>
    </row>
    <row r="228" spans="1:11" x14ac:dyDescent="0.25">
      <c r="A228" t="s">
        <v>311</v>
      </c>
      <c r="B228" t="s">
        <v>81</v>
      </c>
      <c r="C228" t="s">
        <v>50</v>
      </c>
      <c r="D228" s="3">
        <v>45559</v>
      </c>
      <c r="E228" t="str">
        <f>VLOOKUP(B228,'PROCV GERENTES BD'!A:B,2,0)</f>
        <v>CELIO PIMENTA</v>
      </c>
      <c r="F228" s="4" t="str">
        <f t="shared" si="18"/>
        <v>2024-09</v>
      </c>
      <c r="G228" s="18">
        <f t="shared" si="19"/>
        <v>39</v>
      </c>
      <c r="H228" t="str">
        <f t="shared" si="20"/>
        <v>CELIO PIMENTA</v>
      </c>
      <c r="I228" t="str">
        <f t="shared" si="21"/>
        <v>MBIOLOG DIAGNOSTICOS LTDA</v>
      </c>
      <c r="J228">
        <f t="shared" si="22"/>
        <v>0</v>
      </c>
      <c r="K228">
        <f t="shared" si="23"/>
        <v>1</v>
      </c>
    </row>
    <row r="229" spans="1:11" x14ac:dyDescent="0.25">
      <c r="A229" t="s">
        <v>331</v>
      </c>
      <c r="B229" t="s">
        <v>144</v>
      </c>
      <c r="C229" t="s">
        <v>50</v>
      </c>
      <c r="D229" s="3">
        <v>45560</v>
      </c>
      <c r="E229" t="str">
        <f>VLOOKUP(B229,'PROCV GERENTES BD'!A:B,2,0)</f>
        <v>ADMINISTRAÇÃO</v>
      </c>
      <c r="F229" s="4" t="str">
        <f t="shared" si="18"/>
        <v>2024-09</v>
      </c>
      <c r="G229" s="18">
        <f t="shared" si="19"/>
        <v>39</v>
      </c>
      <c r="H229" t="str">
        <f t="shared" si="20"/>
        <v>ADMINISTRAÇÃO</v>
      </c>
      <c r="I229" t="str">
        <f t="shared" si="21"/>
        <v>BOM PASTOR PAPEIS LTDA EM RECUPERACAO JUDICIAL</v>
      </c>
      <c r="J229">
        <f t="shared" si="22"/>
        <v>0</v>
      </c>
      <c r="K229">
        <f t="shared" si="23"/>
        <v>1</v>
      </c>
    </row>
    <row r="230" spans="1:11" x14ac:dyDescent="0.25">
      <c r="A230" t="s">
        <v>373</v>
      </c>
      <c r="B230" t="s">
        <v>117</v>
      </c>
      <c r="C230" t="s">
        <v>50</v>
      </c>
      <c r="D230" s="3">
        <v>45560</v>
      </c>
      <c r="E230" t="str">
        <f>VLOOKUP(B230,'PROCV GERENTES BD'!A:B,2,0)</f>
        <v>ADMINISTRAÇÃO</v>
      </c>
      <c r="F230" s="4" t="str">
        <f t="shared" si="18"/>
        <v>2024-09</v>
      </c>
      <c r="G230" s="18">
        <f t="shared" si="19"/>
        <v>39</v>
      </c>
      <c r="H230" t="str">
        <f t="shared" si="20"/>
        <v>ADMINISTRAÇÃO</v>
      </c>
      <c r="I230" t="str">
        <f t="shared" si="21"/>
        <v>VIVAN TRANSPORTES LTDA</v>
      </c>
      <c r="J230">
        <f t="shared" si="22"/>
        <v>0</v>
      </c>
      <c r="K230">
        <f t="shared" si="23"/>
        <v>1</v>
      </c>
    </row>
    <row r="231" spans="1:11" x14ac:dyDescent="0.25">
      <c r="A231" t="s">
        <v>319</v>
      </c>
      <c r="B231" t="s">
        <v>80</v>
      </c>
      <c r="C231" t="s">
        <v>50</v>
      </c>
      <c r="D231" s="3">
        <v>45560</v>
      </c>
      <c r="E231" t="str">
        <f>VLOOKUP(B231,'PROCV GERENTES BD'!A:B,2,0)</f>
        <v>CELIO PIMENTA</v>
      </c>
      <c r="F231" s="4" t="str">
        <f t="shared" si="18"/>
        <v>2024-09</v>
      </c>
      <c r="G231" s="18">
        <f t="shared" si="19"/>
        <v>39</v>
      </c>
      <c r="H231" t="str">
        <f t="shared" si="20"/>
        <v>CELIO PIMENTA</v>
      </c>
      <c r="I231" t="str">
        <f t="shared" si="21"/>
        <v>IMPORTEXTIL COMERCIO DE TECIDOS LTDA</v>
      </c>
      <c r="J231">
        <f t="shared" si="22"/>
        <v>0</v>
      </c>
      <c r="K231">
        <f t="shared" si="23"/>
        <v>1</v>
      </c>
    </row>
    <row r="232" spans="1:11" x14ac:dyDescent="0.25">
      <c r="A232" t="s">
        <v>324</v>
      </c>
      <c r="B232" t="s">
        <v>119</v>
      </c>
      <c r="C232" t="s">
        <v>66</v>
      </c>
      <c r="D232" s="3">
        <v>45560</v>
      </c>
      <c r="E232" t="str">
        <f>VLOOKUP(B232,'PROCV GERENTES BD'!A:B,2,0)</f>
        <v>PROSPECTAR</v>
      </c>
      <c r="F232" s="4" t="str">
        <f t="shared" si="18"/>
        <v>2024-09</v>
      </c>
      <c r="G232" s="18">
        <f t="shared" si="19"/>
        <v>39</v>
      </c>
      <c r="H232" t="str">
        <f t="shared" si="20"/>
        <v>PROSPECTAR</v>
      </c>
      <c r="I232" t="str">
        <f t="shared" si="21"/>
        <v>TRANSHENRY TRANSPORTES LTDA</v>
      </c>
      <c r="J232">
        <f t="shared" si="22"/>
        <v>1</v>
      </c>
      <c r="K232">
        <f t="shared" si="23"/>
        <v>0</v>
      </c>
    </row>
    <row r="233" spans="1:11" x14ac:dyDescent="0.25">
      <c r="A233" t="s">
        <v>350</v>
      </c>
      <c r="B233" t="s">
        <v>95</v>
      </c>
      <c r="C233" t="s">
        <v>50</v>
      </c>
      <c r="D233" s="3">
        <v>45560</v>
      </c>
      <c r="E233" t="str">
        <f>VLOOKUP(B233,'PROCV GERENTES BD'!A:B,2,0)</f>
        <v>GRUPO OTTO</v>
      </c>
      <c r="F233" s="4" t="str">
        <f t="shared" si="18"/>
        <v>2024-09</v>
      </c>
      <c r="G233" s="18">
        <f t="shared" si="19"/>
        <v>39</v>
      </c>
      <c r="H233" t="str">
        <f t="shared" si="20"/>
        <v>GRUPO OTTO</v>
      </c>
      <c r="I233" t="str">
        <f t="shared" si="21"/>
        <v>PLURIFORME INDUSTRIA E COMERCIO DE UNIFORMES LTDA</v>
      </c>
      <c r="J233">
        <f t="shared" si="22"/>
        <v>0</v>
      </c>
      <c r="K233">
        <f t="shared" si="23"/>
        <v>1</v>
      </c>
    </row>
    <row r="234" spans="1:11" x14ac:dyDescent="0.25">
      <c r="A234" t="s">
        <v>333</v>
      </c>
      <c r="B234" t="s">
        <v>82</v>
      </c>
      <c r="C234" t="s">
        <v>66</v>
      </c>
      <c r="D234" s="3">
        <v>45560</v>
      </c>
      <c r="E234" t="str">
        <f>VLOOKUP(B234,'PROCV GERENTES BD'!A:B,2,0)</f>
        <v>ADMINISTRAÇÃO</v>
      </c>
      <c r="F234" s="4" t="str">
        <f t="shared" si="18"/>
        <v>2024-09</v>
      </c>
      <c r="G234" s="18">
        <f t="shared" si="19"/>
        <v>39</v>
      </c>
      <c r="H234" t="str">
        <f t="shared" si="20"/>
        <v>ADMINISTRAÇÃO</v>
      </c>
      <c r="I234" t="str">
        <f t="shared" si="21"/>
        <v>BETMIX CONCRETO LTDA</v>
      </c>
      <c r="J234">
        <f t="shared" si="22"/>
        <v>1</v>
      </c>
      <c r="K234">
        <f t="shared" si="23"/>
        <v>0</v>
      </c>
    </row>
    <row r="235" spans="1:11" x14ac:dyDescent="0.25">
      <c r="A235" t="s">
        <v>395</v>
      </c>
      <c r="B235" t="s">
        <v>145</v>
      </c>
      <c r="C235" t="s">
        <v>66</v>
      </c>
      <c r="D235" s="3">
        <v>45560</v>
      </c>
      <c r="E235" t="str">
        <f>VLOOKUP(B235,'PROCV GERENTES BD'!A:B,2,0)</f>
        <v>MARCIO LEONEL</v>
      </c>
      <c r="F235" s="4" t="str">
        <f t="shared" si="18"/>
        <v>2024-09</v>
      </c>
      <c r="G235" s="18">
        <f t="shared" si="19"/>
        <v>39</v>
      </c>
      <c r="H235" t="str">
        <f t="shared" si="20"/>
        <v>MARCIO LEONEL</v>
      </c>
      <c r="I235" t="str">
        <f t="shared" si="21"/>
        <v>MEDICAL PRIME IMP EXPORT DISTRIB PRODUTOS MEDICOS</v>
      </c>
      <c r="J235">
        <f t="shared" si="22"/>
        <v>1</v>
      </c>
      <c r="K235">
        <f t="shared" si="23"/>
        <v>0</v>
      </c>
    </row>
    <row r="236" spans="1:11" x14ac:dyDescent="0.25">
      <c r="A236" t="s">
        <v>335</v>
      </c>
      <c r="B236" t="s">
        <v>83</v>
      </c>
      <c r="C236" t="s">
        <v>53</v>
      </c>
      <c r="D236" s="3">
        <v>45560</v>
      </c>
      <c r="E236" t="str">
        <f>VLOOKUP(B236,'PROCV GERENTES BD'!A:B,2,0)</f>
        <v>MARCOS SOUZA</v>
      </c>
      <c r="F236" s="4" t="str">
        <f t="shared" si="18"/>
        <v>2024-09</v>
      </c>
      <c r="G236" s="18">
        <f t="shared" si="19"/>
        <v>39</v>
      </c>
      <c r="H236" t="str">
        <f t="shared" si="20"/>
        <v>MARCOS SOUZA</v>
      </c>
      <c r="I236" t="str">
        <f t="shared" si="21"/>
        <v>ARCA CONSTRUCOES E INCORPORACOES LTDA</v>
      </c>
      <c r="J236">
        <f t="shared" si="22"/>
        <v>1</v>
      </c>
      <c r="K236">
        <f t="shared" si="23"/>
        <v>1</v>
      </c>
    </row>
    <row r="237" spans="1:11" x14ac:dyDescent="0.25">
      <c r="A237" t="s">
        <v>60</v>
      </c>
      <c r="B237" t="s">
        <v>61</v>
      </c>
      <c r="C237" t="s">
        <v>50</v>
      </c>
      <c r="D237" s="3">
        <v>45560</v>
      </c>
      <c r="E237" t="str">
        <f>VLOOKUP(B237,'PROCV GERENTES BD'!A:B,2,0)</f>
        <v xml:space="preserve">MARCUS VINICIUS </v>
      </c>
      <c r="F237" s="4" t="str">
        <f t="shared" si="18"/>
        <v>2024-09</v>
      </c>
      <c r="G237" s="18">
        <f t="shared" si="19"/>
        <v>39</v>
      </c>
      <c r="H237" t="str">
        <f t="shared" si="20"/>
        <v xml:space="preserve">MARCUS VINICIUS </v>
      </c>
      <c r="I237" t="str">
        <f t="shared" si="21"/>
        <v>COM IND DE CEREAIS E TRANSPORTES MACIEL LTDA</v>
      </c>
      <c r="J237">
        <f t="shared" si="22"/>
        <v>0</v>
      </c>
      <c r="K237">
        <f t="shared" si="23"/>
        <v>1</v>
      </c>
    </row>
    <row r="238" spans="1:11" x14ac:dyDescent="0.25">
      <c r="A238" t="s">
        <v>369</v>
      </c>
      <c r="B238" t="s">
        <v>113</v>
      </c>
      <c r="C238" t="s">
        <v>50</v>
      </c>
      <c r="D238" s="3">
        <v>45560</v>
      </c>
      <c r="E238" t="str">
        <f>VLOOKUP(B238,'PROCV GERENTES BD'!A:B,2,0)</f>
        <v xml:space="preserve">MARCUS VINICIUS </v>
      </c>
      <c r="F238" s="4" t="str">
        <f t="shared" si="18"/>
        <v>2024-09</v>
      </c>
      <c r="G238" s="18">
        <f t="shared" si="19"/>
        <v>39</v>
      </c>
      <c r="H238" t="str">
        <f t="shared" si="20"/>
        <v xml:space="preserve">MARCUS VINICIUS </v>
      </c>
      <c r="I238" t="str">
        <f t="shared" si="21"/>
        <v>ISOBASE POLIESTIRENO LTDA EPP</v>
      </c>
      <c r="J238">
        <f t="shared" si="22"/>
        <v>0</v>
      </c>
      <c r="K238">
        <f t="shared" si="23"/>
        <v>1</v>
      </c>
    </row>
    <row r="239" spans="1:11" x14ac:dyDescent="0.25">
      <c r="A239" t="s">
        <v>339</v>
      </c>
      <c r="B239" t="s">
        <v>87</v>
      </c>
      <c r="C239" t="s">
        <v>50</v>
      </c>
      <c r="D239" s="3">
        <v>45560</v>
      </c>
      <c r="E239" t="str">
        <f>VLOOKUP(B239,'PROCV GERENTES BD'!A:B,2,0)</f>
        <v>NOELI SALETE</v>
      </c>
      <c r="F239" s="4" t="str">
        <f t="shared" si="18"/>
        <v>2024-09</v>
      </c>
      <c r="G239" s="18">
        <f t="shared" si="19"/>
        <v>39</v>
      </c>
      <c r="H239" t="str">
        <f t="shared" si="20"/>
        <v>NOELI SALETE</v>
      </c>
      <c r="I239" t="str">
        <f t="shared" si="21"/>
        <v>RODOBOX TRANSPORTES E ARMAZENAGEM DE CARGAS LTDA</v>
      </c>
      <c r="J239">
        <f t="shared" si="22"/>
        <v>0</v>
      </c>
      <c r="K239">
        <f t="shared" si="23"/>
        <v>1</v>
      </c>
    </row>
    <row r="240" spans="1:11" x14ac:dyDescent="0.25">
      <c r="A240" t="s">
        <v>340</v>
      </c>
      <c r="B240" t="s">
        <v>86</v>
      </c>
      <c r="C240" t="s">
        <v>53</v>
      </c>
      <c r="D240" s="3">
        <v>45560</v>
      </c>
      <c r="E240" t="str">
        <f>VLOOKUP(B240,'PROCV GERENTES BD'!A:B,2,0)</f>
        <v>NOELI SALETE</v>
      </c>
      <c r="F240" s="4" t="str">
        <f t="shared" si="18"/>
        <v>2024-09</v>
      </c>
      <c r="G240" s="18">
        <f t="shared" si="19"/>
        <v>39</v>
      </c>
      <c r="H240" t="str">
        <f t="shared" si="20"/>
        <v>NOELI SALETE</v>
      </c>
      <c r="I240" t="str">
        <f t="shared" si="21"/>
        <v>MEIO OESTE PAPEIS LTDA ME</v>
      </c>
      <c r="J240">
        <f t="shared" si="22"/>
        <v>1</v>
      </c>
      <c r="K240">
        <f t="shared" si="23"/>
        <v>1</v>
      </c>
    </row>
    <row r="241" spans="1:11" x14ac:dyDescent="0.25">
      <c r="A241" t="s">
        <v>345</v>
      </c>
      <c r="B241" t="s">
        <v>90</v>
      </c>
      <c r="C241" t="s">
        <v>53</v>
      </c>
      <c r="D241" s="3">
        <v>45560</v>
      </c>
      <c r="E241" t="str">
        <f>VLOOKUP(B241,'PROCV GERENTES BD'!A:B,2,0)</f>
        <v>POENATELA</v>
      </c>
      <c r="F241" s="4" t="str">
        <f t="shared" si="18"/>
        <v>2024-09</v>
      </c>
      <c r="G241" s="18">
        <f t="shared" si="19"/>
        <v>39</v>
      </c>
      <c r="H241" t="str">
        <f t="shared" si="20"/>
        <v>POENATELA</v>
      </c>
      <c r="I241" t="str">
        <f t="shared" si="21"/>
        <v>GREEN FARMING FAZENDAS RENOVAVEIS LTDA</v>
      </c>
      <c r="J241">
        <f t="shared" si="22"/>
        <v>1</v>
      </c>
      <c r="K241">
        <f t="shared" si="23"/>
        <v>1</v>
      </c>
    </row>
    <row r="242" spans="1:11" x14ac:dyDescent="0.25">
      <c r="A242" t="s">
        <v>346</v>
      </c>
      <c r="B242" t="s">
        <v>91</v>
      </c>
      <c r="C242" t="s">
        <v>50</v>
      </c>
      <c r="D242" s="3">
        <v>45560</v>
      </c>
      <c r="E242" t="str">
        <f>VLOOKUP(B242,'PROCV GERENTES BD'!A:B,2,0)</f>
        <v>POENATELA</v>
      </c>
      <c r="F242" s="4" t="str">
        <f t="shared" si="18"/>
        <v>2024-09</v>
      </c>
      <c r="G242" s="18">
        <f t="shared" si="19"/>
        <v>39</v>
      </c>
      <c r="H242" t="str">
        <f t="shared" si="20"/>
        <v>POENATELA</v>
      </c>
      <c r="I242" t="str">
        <f t="shared" si="21"/>
        <v>UBERTEC SERVICE USINAGEM LTDA EPP</v>
      </c>
      <c r="J242">
        <f t="shared" si="22"/>
        <v>0</v>
      </c>
      <c r="K242">
        <f t="shared" si="23"/>
        <v>1</v>
      </c>
    </row>
    <row r="243" spans="1:11" x14ac:dyDescent="0.25">
      <c r="A243" t="s">
        <v>376</v>
      </c>
      <c r="B243" t="s">
        <v>121</v>
      </c>
      <c r="C243" t="s">
        <v>50</v>
      </c>
      <c r="D243" s="3">
        <v>45560</v>
      </c>
      <c r="E243" t="str">
        <f>VLOOKUP(B243,'PROCV GERENTES BD'!A:B,2,0)</f>
        <v>PRISCILA METZ</v>
      </c>
      <c r="F243" s="4" t="str">
        <f t="shared" si="18"/>
        <v>2024-09</v>
      </c>
      <c r="G243" s="18">
        <f t="shared" si="19"/>
        <v>39</v>
      </c>
      <c r="H243" t="str">
        <f t="shared" si="20"/>
        <v>PRISCILA METZ</v>
      </c>
      <c r="I243" t="str">
        <f t="shared" si="21"/>
        <v>NOVA DISTRIBUIDORA E ATACADO DE LIMPEZA LTDA</v>
      </c>
      <c r="J243">
        <f t="shared" si="22"/>
        <v>0</v>
      </c>
      <c r="K243">
        <f t="shared" si="23"/>
        <v>1</v>
      </c>
    </row>
    <row r="244" spans="1:11" x14ac:dyDescent="0.25">
      <c r="A244" t="s">
        <v>393</v>
      </c>
      <c r="B244" t="s">
        <v>142</v>
      </c>
      <c r="C244" t="s">
        <v>66</v>
      </c>
      <c r="D244" s="3">
        <v>45560</v>
      </c>
      <c r="E244" t="str">
        <f>VLOOKUP(B244,'PROCV GERENTES BD'!A:B,2,0)</f>
        <v>ADMINISTRAÇÃO</v>
      </c>
      <c r="F244" s="4" t="str">
        <f t="shared" si="18"/>
        <v>2024-09</v>
      </c>
      <c r="G244" s="18">
        <f t="shared" si="19"/>
        <v>39</v>
      </c>
      <c r="H244" t="str">
        <f t="shared" si="20"/>
        <v>ADMINISTRAÇÃO</v>
      </c>
      <c r="I244" t="str">
        <f t="shared" si="21"/>
        <v>MONTAGEM MINAS GERAIS LTDA ME</v>
      </c>
      <c r="J244">
        <f t="shared" si="22"/>
        <v>1</v>
      </c>
      <c r="K244">
        <f t="shared" si="23"/>
        <v>0</v>
      </c>
    </row>
    <row r="245" spans="1:11" x14ac:dyDescent="0.25">
      <c r="A245" t="s">
        <v>372</v>
      </c>
      <c r="B245" t="s">
        <v>116</v>
      </c>
      <c r="C245" t="s">
        <v>50</v>
      </c>
      <c r="D245" s="3">
        <v>45561</v>
      </c>
      <c r="E245" t="str">
        <f>VLOOKUP(B245,'PROCV GERENTES BD'!A:B,2,0)</f>
        <v>ADMINISTRAÇÃO</v>
      </c>
      <c r="F245" s="4" t="str">
        <f t="shared" si="18"/>
        <v>2024-09</v>
      </c>
      <c r="G245" s="18">
        <f t="shared" si="19"/>
        <v>39</v>
      </c>
      <c r="H245" t="str">
        <f t="shared" si="20"/>
        <v>ADMINISTRAÇÃO</v>
      </c>
      <c r="I245" t="str">
        <f t="shared" si="21"/>
        <v>PREMOLDADOS MATOSINHOS LTDA EPP</v>
      </c>
      <c r="J245">
        <f t="shared" si="22"/>
        <v>0</v>
      </c>
      <c r="K245">
        <f t="shared" si="23"/>
        <v>1</v>
      </c>
    </row>
    <row r="246" spans="1:11" x14ac:dyDescent="0.25">
      <c r="A246" t="s">
        <v>319</v>
      </c>
      <c r="B246" t="s">
        <v>80</v>
      </c>
      <c r="C246" t="s">
        <v>50</v>
      </c>
      <c r="D246" s="3">
        <v>45561</v>
      </c>
      <c r="E246" t="str">
        <f>VLOOKUP(B246,'PROCV GERENTES BD'!A:B,2,0)</f>
        <v>CELIO PIMENTA</v>
      </c>
      <c r="F246" s="4" t="str">
        <f t="shared" si="18"/>
        <v>2024-09</v>
      </c>
      <c r="G246" s="18">
        <f t="shared" si="19"/>
        <v>39</v>
      </c>
      <c r="H246" t="str">
        <f t="shared" si="20"/>
        <v>CELIO PIMENTA</v>
      </c>
      <c r="I246" t="str">
        <f t="shared" si="21"/>
        <v>IMPORTEXTIL COMERCIO DE TECIDOS LTDA</v>
      </c>
      <c r="J246">
        <f t="shared" si="22"/>
        <v>0</v>
      </c>
      <c r="K246">
        <f t="shared" si="23"/>
        <v>1</v>
      </c>
    </row>
    <row r="247" spans="1:11" x14ac:dyDescent="0.25">
      <c r="A247" t="s">
        <v>374</v>
      </c>
      <c r="B247" t="s">
        <v>118</v>
      </c>
      <c r="C247" t="s">
        <v>50</v>
      </c>
      <c r="D247" s="3">
        <v>45561</v>
      </c>
      <c r="E247" t="str">
        <f>VLOOKUP(B247,'PROCV GERENTES BD'!A:B,2,0)</f>
        <v>CELIO PIMENTA</v>
      </c>
      <c r="F247" s="4" t="str">
        <f t="shared" si="18"/>
        <v>2024-09</v>
      </c>
      <c r="G247" s="18">
        <f t="shared" si="19"/>
        <v>39</v>
      </c>
      <c r="H247" t="str">
        <f t="shared" si="20"/>
        <v>CELIO PIMENTA</v>
      </c>
      <c r="I247" t="str">
        <f t="shared" si="21"/>
        <v>MINAS ALIMENTOS E FRUTAS SECAS LTDA EPP</v>
      </c>
      <c r="J247">
        <f t="shared" si="22"/>
        <v>0</v>
      </c>
      <c r="K247">
        <f t="shared" si="23"/>
        <v>1</v>
      </c>
    </row>
    <row r="248" spans="1:11" x14ac:dyDescent="0.25">
      <c r="A248" t="s">
        <v>323</v>
      </c>
      <c r="B248" t="s">
        <v>109</v>
      </c>
      <c r="C248" t="s">
        <v>50</v>
      </c>
      <c r="D248" s="3">
        <v>45561</v>
      </c>
      <c r="E248" t="str">
        <f>VLOOKUP(B248,'PROCV GERENTES BD'!A:B,2,0)</f>
        <v>PROSPECTAR</v>
      </c>
      <c r="F248" s="4" t="str">
        <f t="shared" si="18"/>
        <v>2024-09</v>
      </c>
      <c r="G248" s="18">
        <f t="shared" si="19"/>
        <v>39</v>
      </c>
      <c r="H248" t="str">
        <f t="shared" si="20"/>
        <v>PROSPECTAR</v>
      </c>
      <c r="I248" t="str">
        <f t="shared" si="21"/>
        <v>SIAP COMERCIO DE PRODUTOS AGROPECUARIOS LTDA</v>
      </c>
      <c r="J248">
        <f t="shared" si="22"/>
        <v>0</v>
      </c>
      <c r="K248">
        <f t="shared" si="23"/>
        <v>1</v>
      </c>
    </row>
    <row r="249" spans="1:11" x14ac:dyDescent="0.25">
      <c r="A249" t="s">
        <v>395</v>
      </c>
      <c r="B249" t="s">
        <v>145</v>
      </c>
      <c r="C249" t="s">
        <v>50</v>
      </c>
      <c r="D249" s="3">
        <v>45561</v>
      </c>
      <c r="E249" t="str">
        <f>VLOOKUP(B249,'PROCV GERENTES BD'!A:B,2,0)</f>
        <v>MARCIO LEONEL</v>
      </c>
      <c r="F249" s="4" t="str">
        <f t="shared" si="18"/>
        <v>2024-09</v>
      </c>
      <c r="G249" s="18">
        <f t="shared" si="19"/>
        <v>39</v>
      </c>
      <c r="H249" t="str">
        <f t="shared" si="20"/>
        <v>MARCIO LEONEL</v>
      </c>
      <c r="I249" t="str">
        <f t="shared" si="21"/>
        <v>MEDICAL PRIME IMP EXPORT DISTRIB PRODUTOS MEDICOS</v>
      </c>
      <c r="J249">
        <f t="shared" si="22"/>
        <v>0</v>
      </c>
      <c r="K249">
        <f t="shared" si="23"/>
        <v>1</v>
      </c>
    </row>
    <row r="250" spans="1:11" x14ac:dyDescent="0.25">
      <c r="A250" t="s">
        <v>340</v>
      </c>
      <c r="B250" t="s">
        <v>86</v>
      </c>
      <c r="C250" t="s">
        <v>53</v>
      </c>
      <c r="D250" s="3">
        <v>45561</v>
      </c>
      <c r="E250" t="str">
        <f>VLOOKUP(B250,'PROCV GERENTES BD'!A:B,2,0)</f>
        <v>NOELI SALETE</v>
      </c>
      <c r="F250" s="4" t="str">
        <f t="shared" si="18"/>
        <v>2024-09</v>
      </c>
      <c r="G250" s="18">
        <f t="shared" si="19"/>
        <v>39</v>
      </c>
      <c r="H250" t="str">
        <f t="shared" si="20"/>
        <v>NOELI SALETE</v>
      </c>
      <c r="I250" t="str">
        <f t="shared" si="21"/>
        <v>MEIO OESTE PAPEIS LTDA ME</v>
      </c>
      <c r="J250">
        <f t="shared" si="22"/>
        <v>1</v>
      </c>
      <c r="K250">
        <f t="shared" si="23"/>
        <v>1</v>
      </c>
    </row>
    <row r="251" spans="1:11" x14ac:dyDescent="0.25">
      <c r="A251" t="s">
        <v>345</v>
      </c>
      <c r="B251" t="s">
        <v>90</v>
      </c>
      <c r="C251" t="s">
        <v>50</v>
      </c>
      <c r="D251" s="3">
        <v>45561</v>
      </c>
      <c r="E251" t="str">
        <f>VLOOKUP(B251,'PROCV GERENTES BD'!A:B,2,0)</f>
        <v>POENATELA</v>
      </c>
      <c r="F251" s="4" t="str">
        <f t="shared" si="18"/>
        <v>2024-09</v>
      </c>
      <c r="G251" s="18">
        <f t="shared" si="19"/>
        <v>39</v>
      </c>
      <c r="H251" t="str">
        <f t="shared" si="20"/>
        <v>POENATELA</v>
      </c>
      <c r="I251" t="str">
        <f t="shared" si="21"/>
        <v>GREEN FARMING FAZENDAS RENOVAVEIS LTDA</v>
      </c>
      <c r="J251">
        <f t="shared" si="22"/>
        <v>0</v>
      </c>
      <c r="K251">
        <f t="shared" si="23"/>
        <v>1</v>
      </c>
    </row>
    <row r="252" spans="1:11" x14ac:dyDescent="0.25">
      <c r="A252" t="s">
        <v>346</v>
      </c>
      <c r="B252" t="s">
        <v>91</v>
      </c>
      <c r="C252" t="s">
        <v>50</v>
      </c>
      <c r="D252" s="3">
        <v>45561</v>
      </c>
      <c r="E252" t="str">
        <f>VLOOKUP(B252,'PROCV GERENTES BD'!A:B,2,0)</f>
        <v>POENATELA</v>
      </c>
      <c r="F252" s="4" t="str">
        <f t="shared" si="18"/>
        <v>2024-09</v>
      </c>
      <c r="G252" s="18">
        <f t="shared" si="19"/>
        <v>39</v>
      </c>
      <c r="H252" t="str">
        <f t="shared" si="20"/>
        <v>POENATELA</v>
      </c>
      <c r="I252" t="str">
        <f t="shared" si="21"/>
        <v>UBERTEC SERVICE USINAGEM LTDA EPP</v>
      </c>
      <c r="J252">
        <f t="shared" si="22"/>
        <v>0</v>
      </c>
      <c r="K252">
        <f t="shared" si="23"/>
        <v>1</v>
      </c>
    </row>
    <row r="253" spans="1:11" x14ac:dyDescent="0.25">
      <c r="A253" t="s">
        <v>354</v>
      </c>
      <c r="B253" t="s">
        <v>99</v>
      </c>
      <c r="C253" t="s">
        <v>66</v>
      </c>
      <c r="D253" s="3">
        <v>45562</v>
      </c>
      <c r="E253" t="str">
        <f>VLOOKUP(B253,'PROCV GERENTES BD'!A:B,2,0)</f>
        <v>ADMINISTRAÇÃO</v>
      </c>
      <c r="F253" s="4" t="str">
        <f t="shared" si="18"/>
        <v>2024-09</v>
      </c>
      <c r="G253" s="18">
        <f t="shared" si="19"/>
        <v>39</v>
      </c>
      <c r="H253" t="str">
        <f t="shared" si="20"/>
        <v>ADMINISTRAÇÃO</v>
      </c>
      <c r="I253" t="str">
        <f t="shared" si="21"/>
        <v>COLIBRI IND MEDIC SUPLEMENTOS PARA PECUARIA VETERI</v>
      </c>
      <c r="J253">
        <f t="shared" si="22"/>
        <v>1</v>
      </c>
      <c r="K253">
        <f t="shared" si="23"/>
        <v>0</v>
      </c>
    </row>
    <row r="254" spans="1:11" x14ac:dyDescent="0.25">
      <c r="A254" t="s">
        <v>382</v>
      </c>
      <c r="B254" t="s">
        <v>129</v>
      </c>
      <c r="C254" t="s">
        <v>66</v>
      </c>
      <c r="D254" s="3">
        <v>45562</v>
      </c>
      <c r="E254" t="str">
        <f>VLOOKUP(B254,'PROCV GERENTES BD'!A:B,2,0)</f>
        <v>ADMINISTRAÇÃO</v>
      </c>
      <c r="F254" s="4" t="str">
        <f t="shared" si="18"/>
        <v>2024-09</v>
      </c>
      <c r="G254" s="18">
        <f t="shared" si="19"/>
        <v>39</v>
      </c>
      <c r="H254" t="str">
        <f t="shared" si="20"/>
        <v>ADMINISTRAÇÃO</v>
      </c>
      <c r="I254" t="str">
        <f t="shared" si="21"/>
        <v>XEQUE MATE BEBIDAS LTDA ME</v>
      </c>
      <c r="J254">
        <f t="shared" si="22"/>
        <v>1</v>
      </c>
      <c r="K254">
        <f t="shared" si="23"/>
        <v>0</v>
      </c>
    </row>
    <row r="255" spans="1:11" x14ac:dyDescent="0.25">
      <c r="A255" t="s">
        <v>319</v>
      </c>
      <c r="B255" t="s">
        <v>80</v>
      </c>
      <c r="C255" t="s">
        <v>50</v>
      </c>
      <c r="D255" s="3">
        <v>45562</v>
      </c>
      <c r="E255" t="str">
        <f>VLOOKUP(B255,'PROCV GERENTES BD'!A:B,2,0)</f>
        <v>CELIO PIMENTA</v>
      </c>
      <c r="F255" s="4" t="str">
        <f t="shared" si="18"/>
        <v>2024-09</v>
      </c>
      <c r="G255" s="18">
        <f t="shared" si="19"/>
        <v>39</v>
      </c>
      <c r="H255" t="str">
        <f t="shared" si="20"/>
        <v>CELIO PIMENTA</v>
      </c>
      <c r="I255" t="str">
        <f t="shared" si="21"/>
        <v>IMPORTEXTIL COMERCIO DE TECIDOS LTDA</v>
      </c>
      <c r="J255">
        <f t="shared" si="22"/>
        <v>0</v>
      </c>
      <c r="K255">
        <f t="shared" si="23"/>
        <v>1</v>
      </c>
    </row>
    <row r="256" spans="1:11" x14ac:dyDescent="0.25">
      <c r="A256" t="s">
        <v>350</v>
      </c>
      <c r="B256" t="s">
        <v>95</v>
      </c>
      <c r="C256" t="s">
        <v>50</v>
      </c>
      <c r="D256" s="3">
        <v>45562</v>
      </c>
      <c r="E256" t="str">
        <f>VLOOKUP(B256,'PROCV GERENTES BD'!A:B,2,0)</f>
        <v>GRUPO OTTO</v>
      </c>
      <c r="F256" s="4" t="str">
        <f t="shared" si="18"/>
        <v>2024-09</v>
      </c>
      <c r="G256" s="18">
        <f t="shared" si="19"/>
        <v>39</v>
      </c>
      <c r="H256" t="str">
        <f t="shared" si="20"/>
        <v>GRUPO OTTO</v>
      </c>
      <c r="I256" t="str">
        <f t="shared" si="21"/>
        <v>PLURIFORME INDUSTRIA E COMERCIO DE UNIFORMES LTDA</v>
      </c>
      <c r="J256">
        <f t="shared" si="22"/>
        <v>0</v>
      </c>
      <c r="K256">
        <f t="shared" si="23"/>
        <v>1</v>
      </c>
    </row>
    <row r="257" spans="1:11" x14ac:dyDescent="0.25">
      <c r="A257" t="s">
        <v>369</v>
      </c>
      <c r="B257" t="s">
        <v>113</v>
      </c>
      <c r="C257" t="s">
        <v>50</v>
      </c>
      <c r="D257" s="3">
        <v>45562</v>
      </c>
      <c r="E257" t="str">
        <f>VLOOKUP(B257,'PROCV GERENTES BD'!A:B,2,0)</f>
        <v xml:space="preserve">MARCUS VINICIUS </v>
      </c>
      <c r="F257" s="4" t="str">
        <f t="shared" si="18"/>
        <v>2024-09</v>
      </c>
      <c r="G257" s="18">
        <f t="shared" si="19"/>
        <v>39</v>
      </c>
      <c r="H257" t="str">
        <f t="shared" si="20"/>
        <v xml:space="preserve">MARCUS VINICIUS </v>
      </c>
      <c r="I257" t="str">
        <f t="shared" si="21"/>
        <v>ISOBASE POLIESTIRENO LTDA EPP</v>
      </c>
      <c r="J257">
        <f t="shared" si="22"/>
        <v>0</v>
      </c>
      <c r="K257">
        <f t="shared" si="23"/>
        <v>1</v>
      </c>
    </row>
    <row r="258" spans="1:11" x14ac:dyDescent="0.25">
      <c r="A258" t="s">
        <v>396</v>
      </c>
      <c r="B258" t="s">
        <v>146</v>
      </c>
      <c r="C258" t="s">
        <v>50</v>
      </c>
      <c r="D258" s="3">
        <v>45562</v>
      </c>
      <c r="E258" t="str">
        <f>VLOOKUP(B258,'PROCV GERENTES BD'!A:B,2,0)</f>
        <v xml:space="preserve">MARCUS VINICIUS </v>
      </c>
      <c r="F258" s="4" t="str">
        <f t="shared" ref="F258:F321" si="24">YEAR(D258)&amp;"-"&amp;TEXT(MONTH(D258),"00")</f>
        <v>2024-09</v>
      </c>
      <c r="G258" s="18">
        <f t="shared" ref="G258:G321" si="25">WEEKNUM(D258)</f>
        <v>39</v>
      </c>
      <c r="H258" t="str">
        <f t="shared" ref="H258:H321" si="26">E258</f>
        <v xml:space="preserve">MARCUS VINICIUS </v>
      </c>
      <c r="I258" t="str">
        <f t="shared" ref="I258:I321" si="27">B258</f>
        <v>OLINDA IMPORTACAO E COMERCIO LTDA</v>
      </c>
      <c r="J258">
        <f t="shared" ref="J258:J321" si="28">IF(OR(C258="EXCLUSAO  ANOT.INADIMPLENCIA",C258="INCL/EXCL ANOT.INADIMPLENCIA"),1,0)</f>
        <v>0</v>
      </c>
      <c r="K258">
        <f t="shared" ref="K258:K321" si="29">IF(OR(C258="INCLUSAO  ANOT.INADIMPLENCIA",C258="INCL/EXCL ANOT.INADIMPLENCIA"),1,0)</f>
        <v>1</v>
      </c>
    </row>
    <row r="259" spans="1:11" x14ac:dyDescent="0.25">
      <c r="A259" t="s">
        <v>397</v>
      </c>
      <c r="B259" t="s">
        <v>147</v>
      </c>
      <c r="C259" t="s">
        <v>66</v>
      </c>
      <c r="D259" s="3">
        <v>45562</v>
      </c>
      <c r="E259" t="str">
        <f>VLOOKUP(B259,'PROCV GERENTES BD'!A:B,2,0)</f>
        <v xml:space="preserve">MARCUS VINICIUS </v>
      </c>
      <c r="F259" s="4" t="str">
        <f t="shared" si="24"/>
        <v>2024-09</v>
      </c>
      <c r="G259" s="18">
        <f t="shared" si="25"/>
        <v>39</v>
      </c>
      <c r="H259" t="str">
        <f t="shared" si="26"/>
        <v xml:space="preserve">MARCUS VINICIUS </v>
      </c>
      <c r="I259" t="str">
        <f t="shared" si="27"/>
        <v>UNIVERSO INOX INDUSTRIA E COMERCIO LTDA EPP</v>
      </c>
      <c r="J259">
        <f t="shared" si="28"/>
        <v>1</v>
      </c>
      <c r="K259">
        <f t="shared" si="29"/>
        <v>0</v>
      </c>
    </row>
    <row r="260" spans="1:11" x14ac:dyDescent="0.25">
      <c r="A260" t="s">
        <v>345</v>
      </c>
      <c r="B260" t="s">
        <v>90</v>
      </c>
      <c r="C260" t="s">
        <v>66</v>
      </c>
      <c r="D260" s="3">
        <v>45562</v>
      </c>
      <c r="E260" t="str">
        <f>VLOOKUP(B260,'PROCV GERENTES BD'!A:B,2,0)</f>
        <v>POENATELA</v>
      </c>
      <c r="F260" s="4" t="str">
        <f t="shared" si="24"/>
        <v>2024-09</v>
      </c>
      <c r="G260" s="18">
        <f t="shared" si="25"/>
        <v>39</v>
      </c>
      <c r="H260" t="str">
        <f t="shared" si="26"/>
        <v>POENATELA</v>
      </c>
      <c r="I260" t="str">
        <f t="shared" si="27"/>
        <v>GREEN FARMING FAZENDAS RENOVAVEIS LTDA</v>
      </c>
      <c r="J260">
        <f t="shared" si="28"/>
        <v>1</v>
      </c>
      <c r="K260">
        <f t="shared" si="29"/>
        <v>0</v>
      </c>
    </row>
    <row r="261" spans="1:11" x14ac:dyDescent="0.25">
      <c r="A261" t="s">
        <v>346</v>
      </c>
      <c r="B261" t="s">
        <v>91</v>
      </c>
      <c r="C261" t="s">
        <v>50</v>
      </c>
      <c r="D261" s="3">
        <v>45562</v>
      </c>
      <c r="E261" t="str">
        <f>VLOOKUP(B261,'PROCV GERENTES BD'!A:B,2,0)</f>
        <v>POENATELA</v>
      </c>
      <c r="F261" s="4" t="str">
        <f t="shared" si="24"/>
        <v>2024-09</v>
      </c>
      <c r="G261" s="18">
        <f t="shared" si="25"/>
        <v>39</v>
      </c>
      <c r="H261" t="str">
        <f t="shared" si="26"/>
        <v>POENATELA</v>
      </c>
      <c r="I261" t="str">
        <f t="shared" si="27"/>
        <v>UBERTEC SERVICE USINAGEM LTDA EPP</v>
      </c>
      <c r="J261">
        <f t="shared" si="28"/>
        <v>0</v>
      </c>
      <c r="K261">
        <f t="shared" si="29"/>
        <v>1</v>
      </c>
    </row>
    <row r="262" spans="1:11" x14ac:dyDescent="0.25">
      <c r="A262" t="s">
        <v>326</v>
      </c>
      <c r="B262" t="s">
        <v>122</v>
      </c>
      <c r="C262" t="s">
        <v>50</v>
      </c>
      <c r="D262" s="3">
        <v>45562</v>
      </c>
      <c r="E262" t="s">
        <v>21</v>
      </c>
      <c r="F262" s="4" t="str">
        <f t="shared" si="24"/>
        <v>2024-09</v>
      </c>
      <c r="G262" s="18">
        <f t="shared" si="25"/>
        <v>39</v>
      </c>
      <c r="H262" t="str">
        <f t="shared" si="26"/>
        <v xml:space="preserve">ROGERIO </v>
      </c>
      <c r="I262" t="str">
        <f t="shared" si="27"/>
        <v>BIBE PRODUTOS INFANTIS LTDA</v>
      </c>
      <c r="J262">
        <f t="shared" si="28"/>
        <v>0</v>
      </c>
      <c r="K262">
        <f t="shared" si="29"/>
        <v>1</v>
      </c>
    </row>
    <row r="263" spans="1:11" x14ac:dyDescent="0.25">
      <c r="A263" t="s">
        <v>331</v>
      </c>
      <c r="B263" t="s">
        <v>144</v>
      </c>
      <c r="C263" t="s">
        <v>66</v>
      </c>
      <c r="D263" s="3">
        <v>45563</v>
      </c>
      <c r="E263" t="str">
        <f>VLOOKUP(B263,'PROCV GERENTES BD'!A:B,2,0)</f>
        <v>ADMINISTRAÇÃO</v>
      </c>
      <c r="F263" s="4" t="str">
        <f t="shared" si="24"/>
        <v>2024-09</v>
      </c>
      <c r="G263" s="18">
        <f t="shared" si="25"/>
        <v>39</v>
      </c>
      <c r="H263" t="str">
        <f t="shared" si="26"/>
        <v>ADMINISTRAÇÃO</v>
      </c>
      <c r="I263" t="str">
        <f t="shared" si="27"/>
        <v>BOM PASTOR PAPEIS LTDA EM RECUPERACAO JUDICIAL</v>
      </c>
      <c r="J263">
        <f t="shared" si="28"/>
        <v>1</v>
      </c>
      <c r="K263">
        <f t="shared" si="29"/>
        <v>0</v>
      </c>
    </row>
    <row r="264" spans="1:11" x14ac:dyDescent="0.25">
      <c r="A264" t="s">
        <v>319</v>
      </c>
      <c r="B264" t="s">
        <v>80</v>
      </c>
      <c r="C264" t="s">
        <v>53</v>
      </c>
      <c r="D264" s="3">
        <v>45563</v>
      </c>
      <c r="E264" t="str">
        <f>VLOOKUP(B264,'PROCV GERENTES BD'!A:B,2,0)</f>
        <v>CELIO PIMENTA</v>
      </c>
      <c r="F264" s="4" t="str">
        <f t="shared" si="24"/>
        <v>2024-09</v>
      </c>
      <c r="G264" s="18">
        <f t="shared" si="25"/>
        <v>39</v>
      </c>
      <c r="H264" t="str">
        <f t="shared" si="26"/>
        <v>CELIO PIMENTA</v>
      </c>
      <c r="I264" t="str">
        <f t="shared" si="27"/>
        <v>IMPORTEXTIL COMERCIO DE TECIDOS LTDA</v>
      </c>
      <c r="J264">
        <f t="shared" si="28"/>
        <v>1</v>
      </c>
      <c r="K264">
        <f t="shared" si="29"/>
        <v>1</v>
      </c>
    </row>
    <row r="265" spans="1:11" x14ac:dyDescent="0.25">
      <c r="A265" t="s">
        <v>311</v>
      </c>
      <c r="B265" t="s">
        <v>81</v>
      </c>
      <c r="C265" t="s">
        <v>66</v>
      </c>
      <c r="D265" s="3">
        <v>45563</v>
      </c>
      <c r="E265" t="str">
        <f>VLOOKUP(B265,'PROCV GERENTES BD'!A:B,2,0)</f>
        <v>CELIO PIMENTA</v>
      </c>
      <c r="F265" s="4" t="str">
        <f t="shared" si="24"/>
        <v>2024-09</v>
      </c>
      <c r="G265" s="18">
        <f t="shared" si="25"/>
        <v>39</v>
      </c>
      <c r="H265" t="str">
        <f t="shared" si="26"/>
        <v>CELIO PIMENTA</v>
      </c>
      <c r="I265" t="str">
        <f t="shared" si="27"/>
        <v>MBIOLOG DIAGNOSTICOS LTDA</v>
      </c>
      <c r="J265">
        <f t="shared" si="28"/>
        <v>1</v>
      </c>
      <c r="K265">
        <f t="shared" si="29"/>
        <v>0</v>
      </c>
    </row>
    <row r="266" spans="1:11" x14ac:dyDescent="0.25">
      <c r="A266" t="s">
        <v>54</v>
      </c>
      <c r="B266" t="s">
        <v>55</v>
      </c>
      <c r="C266" t="s">
        <v>50</v>
      </c>
      <c r="D266" s="3">
        <v>45563</v>
      </c>
      <c r="E266" t="str">
        <f>VLOOKUP(B266,'PROCV GERENTES BD'!A:B,2,0)</f>
        <v>CELIO PIMENTA</v>
      </c>
      <c r="F266" s="4" t="str">
        <f t="shared" si="24"/>
        <v>2024-09</v>
      </c>
      <c r="G266" s="18">
        <f t="shared" si="25"/>
        <v>39</v>
      </c>
      <c r="H266" t="str">
        <f t="shared" si="26"/>
        <v>CELIO PIMENTA</v>
      </c>
      <c r="I266" t="str">
        <f t="shared" si="27"/>
        <v>WJ CALDEIRARIA INDUSTRIA E COMERCIO LTDA ME</v>
      </c>
      <c r="J266">
        <f t="shared" si="28"/>
        <v>0</v>
      </c>
      <c r="K266">
        <f t="shared" si="29"/>
        <v>1</v>
      </c>
    </row>
    <row r="267" spans="1:11" x14ac:dyDescent="0.25">
      <c r="A267" t="s">
        <v>335</v>
      </c>
      <c r="B267" t="s">
        <v>83</v>
      </c>
      <c r="C267" t="s">
        <v>50</v>
      </c>
      <c r="D267" s="3">
        <v>45563</v>
      </c>
      <c r="E267" t="str">
        <f>VLOOKUP(B267,'PROCV GERENTES BD'!A:B,2,0)</f>
        <v>MARCOS SOUZA</v>
      </c>
      <c r="F267" s="4" t="str">
        <f t="shared" si="24"/>
        <v>2024-09</v>
      </c>
      <c r="G267" s="18">
        <f t="shared" si="25"/>
        <v>39</v>
      </c>
      <c r="H267" t="str">
        <f t="shared" si="26"/>
        <v>MARCOS SOUZA</v>
      </c>
      <c r="I267" t="str">
        <f t="shared" si="27"/>
        <v>ARCA CONSTRUCOES E INCORPORACOES LTDA</v>
      </c>
      <c r="J267">
        <f t="shared" si="28"/>
        <v>0</v>
      </c>
      <c r="K267">
        <f t="shared" si="29"/>
        <v>1</v>
      </c>
    </row>
    <row r="268" spans="1:11" x14ac:dyDescent="0.25">
      <c r="A268" t="s">
        <v>384</v>
      </c>
      <c r="B268" t="s">
        <v>131</v>
      </c>
      <c r="C268" t="s">
        <v>50</v>
      </c>
      <c r="D268" s="3">
        <v>45563</v>
      </c>
      <c r="E268" t="str">
        <f>VLOOKUP(B268,'PROCV GERENTES BD'!A:B,2,0)</f>
        <v xml:space="preserve">MARCUS VINICIUS </v>
      </c>
      <c r="F268" s="4" t="str">
        <f t="shared" si="24"/>
        <v>2024-09</v>
      </c>
      <c r="G268" s="18">
        <f t="shared" si="25"/>
        <v>39</v>
      </c>
      <c r="H268" t="str">
        <f t="shared" si="26"/>
        <v xml:space="preserve">MARCUS VINICIUS </v>
      </c>
      <c r="I268" t="str">
        <f t="shared" si="27"/>
        <v>PALMILHADO INDUSTRIA E COMERCIO LTDA</v>
      </c>
      <c r="J268">
        <f t="shared" si="28"/>
        <v>0</v>
      </c>
      <c r="K268">
        <f t="shared" si="29"/>
        <v>1</v>
      </c>
    </row>
    <row r="269" spans="1:11" x14ac:dyDescent="0.25">
      <c r="A269" t="s">
        <v>384</v>
      </c>
      <c r="B269" t="s">
        <v>131</v>
      </c>
      <c r="C269" t="s">
        <v>50</v>
      </c>
      <c r="D269" s="3">
        <f>D268</f>
        <v>45563</v>
      </c>
      <c r="E269" t="str">
        <f>VLOOKUP(B269,'PROCV GERENTES BD'!A:B,2,0)</f>
        <v xml:space="preserve">MARCUS VINICIUS </v>
      </c>
      <c r="F269" s="4" t="str">
        <f t="shared" si="24"/>
        <v>2024-09</v>
      </c>
      <c r="G269" s="18">
        <f t="shared" si="25"/>
        <v>39</v>
      </c>
      <c r="H269" t="str">
        <f t="shared" si="26"/>
        <v xml:space="preserve">MARCUS VINICIUS </v>
      </c>
      <c r="I269" t="str">
        <f t="shared" si="27"/>
        <v>PALMILHADO INDUSTRIA E COMERCIO LTDA</v>
      </c>
      <c r="J269">
        <f t="shared" si="28"/>
        <v>0</v>
      </c>
      <c r="K269">
        <f t="shared" si="29"/>
        <v>1</v>
      </c>
    </row>
    <row r="270" spans="1:11" x14ac:dyDescent="0.25">
      <c r="A270" t="s">
        <v>397</v>
      </c>
      <c r="B270" t="s">
        <v>147</v>
      </c>
      <c r="C270" t="s">
        <v>50</v>
      </c>
      <c r="D270" s="3">
        <v>45563</v>
      </c>
      <c r="E270" t="str">
        <f>VLOOKUP(B270,'PROCV GERENTES BD'!A:B,2,0)</f>
        <v xml:space="preserve">MARCUS VINICIUS </v>
      </c>
      <c r="F270" s="4" t="str">
        <f t="shared" si="24"/>
        <v>2024-09</v>
      </c>
      <c r="G270" s="18">
        <f t="shared" si="25"/>
        <v>39</v>
      </c>
      <c r="H270" t="str">
        <f t="shared" si="26"/>
        <v xml:space="preserve">MARCUS VINICIUS </v>
      </c>
      <c r="I270" t="str">
        <f t="shared" si="27"/>
        <v>UNIVERSO INOX INDUSTRIA E COMERCIO LTDA EPP</v>
      </c>
      <c r="J270">
        <f t="shared" si="28"/>
        <v>0</v>
      </c>
      <c r="K270">
        <f t="shared" si="29"/>
        <v>1</v>
      </c>
    </row>
    <row r="271" spans="1:11" x14ac:dyDescent="0.25">
      <c r="A271" t="s">
        <v>397</v>
      </c>
      <c r="B271" t="s">
        <v>147</v>
      </c>
      <c r="C271" t="s">
        <v>50</v>
      </c>
      <c r="D271" s="3">
        <f>D270</f>
        <v>45563</v>
      </c>
      <c r="E271" t="str">
        <f>VLOOKUP(B271,'PROCV GERENTES BD'!A:B,2,0)</f>
        <v xml:space="preserve">MARCUS VINICIUS </v>
      </c>
      <c r="F271" s="4" t="str">
        <f t="shared" si="24"/>
        <v>2024-09</v>
      </c>
      <c r="G271" s="18">
        <f t="shared" si="25"/>
        <v>39</v>
      </c>
      <c r="H271" t="str">
        <f t="shared" si="26"/>
        <v xml:space="preserve">MARCUS VINICIUS </v>
      </c>
      <c r="I271" t="str">
        <f t="shared" si="27"/>
        <v>UNIVERSO INOX INDUSTRIA E COMERCIO LTDA EPP</v>
      </c>
      <c r="J271">
        <f t="shared" si="28"/>
        <v>0</v>
      </c>
      <c r="K271">
        <f t="shared" si="29"/>
        <v>1</v>
      </c>
    </row>
    <row r="272" spans="1:11" x14ac:dyDescent="0.25">
      <c r="A272" t="s">
        <v>340</v>
      </c>
      <c r="B272" t="s">
        <v>86</v>
      </c>
      <c r="C272" t="s">
        <v>50</v>
      </c>
      <c r="D272" s="3">
        <v>45563</v>
      </c>
      <c r="E272" t="str">
        <f>VLOOKUP(B272,'PROCV GERENTES BD'!A:B,2,0)</f>
        <v>NOELI SALETE</v>
      </c>
      <c r="F272" s="4" t="str">
        <f t="shared" si="24"/>
        <v>2024-09</v>
      </c>
      <c r="G272" s="18">
        <f t="shared" si="25"/>
        <v>39</v>
      </c>
      <c r="H272" t="str">
        <f t="shared" si="26"/>
        <v>NOELI SALETE</v>
      </c>
      <c r="I272" t="str">
        <f t="shared" si="27"/>
        <v>MEIO OESTE PAPEIS LTDA ME</v>
      </c>
      <c r="J272">
        <f t="shared" si="28"/>
        <v>0</v>
      </c>
      <c r="K272">
        <f t="shared" si="29"/>
        <v>1</v>
      </c>
    </row>
    <row r="273" spans="1:11" x14ac:dyDescent="0.25">
      <c r="A273" t="s">
        <v>345</v>
      </c>
      <c r="B273" t="s">
        <v>90</v>
      </c>
      <c r="C273" t="s">
        <v>66</v>
      </c>
      <c r="D273" s="3">
        <v>45563</v>
      </c>
      <c r="E273" t="str">
        <f>VLOOKUP(B273,'PROCV GERENTES BD'!A:B,2,0)</f>
        <v>POENATELA</v>
      </c>
      <c r="F273" s="4" t="str">
        <f t="shared" si="24"/>
        <v>2024-09</v>
      </c>
      <c r="G273" s="18">
        <f t="shared" si="25"/>
        <v>39</v>
      </c>
      <c r="H273" t="str">
        <f t="shared" si="26"/>
        <v>POENATELA</v>
      </c>
      <c r="I273" t="str">
        <f t="shared" si="27"/>
        <v>GREEN FARMING FAZENDAS RENOVAVEIS LTDA</v>
      </c>
      <c r="J273">
        <f t="shared" si="28"/>
        <v>1</v>
      </c>
      <c r="K273">
        <f t="shared" si="29"/>
        <v>0</v>
      </c>
    </row>
    <row r="274" spans="1:11" x14ac:dyDescent="0.25">
      <c r="A274" t="s">
        <v>346</v>
      </c>
      <c r="B274" t="s">
        <v>91</v>
      </c>
      <c r="C274" t="s">
        <v>50</v>
      </c>
      <c r="D274" s="3">
        <v>45563</v>
      </c>
      <c r="E274" t="str">
        <f>VLOOKUP(B274,'PROCV GERENTES BD'!A:B,2,0)</f>
        <v>POENATELA</v>
      </c>
      <c r="F274" s="4" t="str">
        <f t="shared" si="24"/>
        <v>2024-09</v>
      </c>
      <c r="G274" s="18">
        <f t="shared" si="25"/>
        <v>39</v>
      </c>
      <c r="H274" t="str">
        <f t="shared" si="26"/>
        <v>POENATELA</v>
      </c>
      <c r="I274" t="str">
        <f t="shared" si="27"/>
        <v>UBERTEC SERVICE USINAGEM LTDA EPP</v>
      </c>
      <c r="J274">
        <f t="shared" si="28"/>
        <v>0</v>
      </c>
      <c r="K274">
        <f t="shared" si="29"/>
        <v>1</v>
      </c>
    </row>
    <row r="275" spans="1:11" x14ac:dyDescent="0.25">
      <c r="A275" t="s">
        <v>398</v>
      </c>
      <c r="B275" t="s">
        <v>148</v>
      </c>
      <c r="C275" t="s">
        <v>50</v>
      </c>
      <c r="D275" s="3">
        <v>45563</v>
      </c>
      <c r="E275" t="str">
        <f>VLOOKUP(B275,'PROCV GERENTES BD'!A:B,2,0)</f>
        <v>PRISCILA METZ</v>
      </c>
      <c r="F275" s="4" t="str">
        <f t="shared" si="24"/>
        <v>2024-09</v>
      </c>
      <c r="G275" s="18">
        <f t="shared" si="25"/>
        <v>39</v>
      </c>
      <c r="H275" t="str">
        <f t="shared" si="26"/>
        <v>PRISCILA METZ</v>
      </c>
      <c r="I275" t="str">
        <f t="shared" si="27"/>
        <v>JF GOLD DISTRIBUIDORA LTDA EPP</v>
      </c>
      <c r="J275">
        <f t="shared" si="28"/>
        <v>0</v>
      </c>
      <c r="K275">
        <f t="shared" si="29"/>
        <v>1</v>
      </c>
    </row>
    <row r="276" spans="1:11" x14ac:dyDescent="0.25">
      <c r="A276" t="s">
        <v>399</v>
      </c>
      <c r="B276" t="s">
        <v>149</v>
      </c>
      <c r="C276" t="s">
        <v>50</v>
      </c>
      <c r="D276" s="3">
        <v>45566</v>
      </c>
      <c r="E276" t="str">
        <f>VLOOKUP(B276,'PROCV GERENTES BD'!A:B,2,0)</f>
        <v>ADMINISTRAÇÃO</v>
      </c>
      <c r="F276" s="4" t="str">
        <f t="shared" si="24"/>
        <v>2024-10</v>
      </c>
      <c r="G276" s="18">
        <f t="shared" si="25"/>
        <v>40</v>
      </c>
      <c r="H276" t="str">
        <f t="shared" si="26"/>
        <v>ADMINISTRAÇÃO</v>
      </c>
      <c r="I276" t="str">
        <f t="shared" si="27"/>
        <v>ALPS FOMENTO MERCANTIL LTDA</v>
      </c>
      <c r="J276">
        <f t="shared" si="28"/>
        <v>0</v>
      </c>
      <c r="K276">
        <f t="shared" si="29"/>
        <v>1</v>
      </c>
    </row>
    <row r="277" spans="1:11" x14ac:dyDescent="0.25">
      <c r="A277" t="s">
        <v>304</v>
      </c>
      <c r="B277" t="s">
        <v>123</v>
      </c>
      <c r="C277" t="s">
        <v>66</v>
      </c>
      <c r="D277" s="3">
        <v>45566</v>
      </c>
      <c r="E277" t="str">
        <f>VLOOKUP(B277,'PROCV GERENTES BD'!A:B,2,0)</f>
        <v>ADMINISTRAÇÃO</v>
      </c>
      <c r="F277" s="4" t="str">
        <f t="shared" si="24"/>
        <v>2024-10</v>
      </c>
      <c r="G277" s="18">
        <f t="shared" si="25"/>
        <v>40</v>
      </c>
      <c r="H277" t="str">
        <f t="shared" si="26"/>
        <v>ADMINISTRAÇÃO</v>
      </c>
      <c r="I277" t="str">
        <f t="shared" si="27"/>
        <v>VIC LOGISTICA LTDA EM RECUPERACAO JUDICIAL</v>
      </c>
      <c r="J277">
        <f t="shared" si="28"/>
        <v>1</v>
      </c>
      <c r="K277">
        <f t="shared" si="29"/>
        <v>0</v>
      </c>
    </row>
    <row r="278" spans="1:11" x14ac:dyDescent="0.25">
      <c r="A278" t="s">
        <v>319</v>
      </c>
      <c r="B278" t="s">
        <v>80</v>
      </c>
      <c r="C278" t="s">
        <v>53</v>
      </c>
      <c r="D278" s="3">
        <v>45566</v>
      </c>
      <c r="E278" t="str">
        <f>VLOOKUP(B278,'PROCV GERENTES BD'!A:B,2,0)</f>
        <v>CELIO PIMENTA</v>
      </c>
      <c r="F278" s="4" t="str">
        <f t="shared" si="24"/>
        <v>2024-10</v>
      </c>
      <c r="G278" s="18">
        <f t="shared" si="25"/>
        <v>40</v>
      </c>
      <c r="H278" t="str">
        <f t="shared" si="26"/>
        <v>CELIO PIMENTA</v>
      </c>
      <c r="I278" t="str">
        <f t="shared" si="27"/>
        <v>IMPORTEXTIL COMERCIO DE TECIDOS LTDA</v>
      </c>
      <c r="J278">
        <f t="shared" si="28"/>
        <v>1</v>
      </c>
      <c r="K278">
        <f t="shared" si="29"/>
        <v>1</v>
      </c>
    </row>
    <row r="279" spans="1:11" x14ac:dyDescent="0.25">
      <c r="A279" t="s">
        <v>311</v>
      </c>
      <c r="B279" t="s">
        <v>81</v>
      </c>
      <c r="C279" t="s">
        <v>66</v>
      </c>
      <c r="D279" s="3">
        <v>45566</v>
      </c>
      <c r="E279" t="str">
        <f>VLOOKUP(B279,'PROCV GERENTES BD'!A:B,2,0)</f>
        <v>CELIO PIMENTA</v>
      </c>
      <c r="F279" s="4" t="str">
        <f t="shared" si="24"/>
        <v>2024-10</v>
      </c>
      <c r="G279" s="18">
        <f t="shared" si="25"/>
        <v>40</v>
      </c>
      <c r="H279" t="str">
        <f t="shared" si="26"/>
        <v>CELIO PIMENTA</v>
      </c>
      <c r="I279" t="str">
        <f t="shared" si="27"/>
        <v>MBIOLOG DIAGNOSTICOS LTDA</v>
      </c>
      <c r="J279">
        <f t="shared" si="28"/>
        <v>1</v>
      </c>
      <c r="K279">
        <f t="shared" si="29"/>
        <v>0</v>
      </c>
    </row>
    <row r="280" spans="1:11" x14ac:dyDescent="0.25">
      <c r="A280" t="s">
        <v>54</v>
      </c>
      <c r="B280" t="s">
        <v>55</v>
      </c>
      <c r="C280" t="s">
        <v>50</v>
      </c>
      <c r="D280" s="3">
        <v>45566</v>
      </c>
      <c r="E280" t="str">
        <f>VLOOKUP(B280,'PROCV GERENTES BD'!A:B,2,0)</f>
        <v>CELIO PIMENTA</v>
      </c>
      <c r="F280" s="4" t="str">
        <f t="shared" si="24"/>
        <v>2024-10</v>
      </c>
      <c r="G280" s="18">
        <f t="shared" si="25"/>
        <v>40</v>
      </c>
      <c r="H280" t="str">
        <f t="shared" si="26"/>
        <v>CELIO PIMENTA</v>
      </c>
      <c r="I280" t="str">
        <f t="shared" si="27"/>
        <v>WJ CALDEIRARIA INDUSTRIA E COMERCIO LTDA ME</v>
      </c>
      <c r="J280">
        <f t="shared" si="28"/>
        <v>0</v>
      </c>
      <c r="K280">
        <f t="shared" si="29"/>
        <v>1</v>
      </c>
    </row>
    <row r="281" spans="1:11" x14ac:dyDescent="0.25">
      <c r="A281" t="s">
        <v>323</v>
      </c>
      <c r="B281" t="s">
        <v>109</v>
      </c>
      <c r="C281" t="s">
        <v>50</v>
      </c>
      <c r="D281" s="3">
        <v>45566</v>
      </c>
      <c r="E281" t="str">
        <f>VLOOKUP(B281,'PROCV GERENTES BD'!A:B,2,0)</f>
        <v>PROSPECTAR</v>
      </c>
      <c r="F281" s="4" t="str">
        <f t="shared" si="24"/>
        <v>2024-10</v>
      </c>
      <c r="G281" s="18">
        <f t="shared" si="25"/>
        <v>40</v>
      </c>
      <c r="H281" t="str">
        <f t="shared" si="26"/>
        <v>PROSPECTAR</v>
      </c>
      <c r="I281" t="str">
        <f t="shared" si="27"/>
        <v>SIAP COMERCIO DE PRODUTOS AGROPECUARIOS LTDA</v>
      </c>
      <c r="J281">
        <f t="shared" si="28"/>
        <v>0</v>
      </c>
      <c r="K281">
        <f t="shared" si="29"/>
        <v>1</v>
      </c>
    </row>
    <row r="282" spans="1:11" x14ac:dyDescent="0.25">
      <c r="A282" t="s">
        <v>369</v>
      </c>
      <c r="B282" t="s">
        <v>113</v>
      </c>
      <c r="C282" t="s">
        <v>50</v>
      </c>
      <c r="D282" s="3">
        <v>45566</v>
      </c>
      <c r="E282" t="str">
        <f>VLOOKUP(B282,'PROCV GERENTES BD'!A:B,2,0)</f>
        <v xml:space="preserve">MARCUS VINICIUS </v>
      </c>
      <c r="F282" s="4" t="str">
        <f t="shared" si="24"/>
        <v>2024-10</v>
      </c>
      <c r="G282" s="18">
        <f t="shared" si="25"/>
        <v>40</v>
      </c>
      <c r="H282" t="str">
        <f t="shared" si="26"/>
        <v xml:space="preserve">MARCUS VINICIUS </v>
      </c>
      <c r="I282" t="str">
        <f t="shared" si="27"/>
        <v>ISOBASE POLIESTIRENO LTDA EPP</v>
      </c>
      <c r="J282">
        <f t="shared" si="28"/>
        <v>0</v>
      </c>
      <c r="K282">
        <f t="shared" si="29"/>
        <v>1</v>
      </c>
    </row>
    <row r="283" spans="1:11" x14ac:dyDescent="0.25">
      <c r="A283" t="s">
        <v>375</v>
      </c>
      <c r="B283" t="s">
        <v>120</v>
      </c>
      <c r="C283" t="s">
        <v>66</v>
      </c>
      <c r="D283" s="3">
        <v>45566</v>
      </c>
      <c r="E283" t="str">
        <f>VLOOKUP(B283,'PROCV GERENTES BD'!A:B,2,0)</f>
        <v>ADMINISTRAÇÃO</v>
      </c>
      <c r="F283" s="4" t="str">
        <f t="shared" si="24"/>
        <v>2024-10</v>
      </c>
      <c r="G283" s="18">
        <f t="shared" si="25"/>
        <v>40</v>
      </c>
      <c r="H283" t="str">
        <f t="shared" si="26"/>
        <v>ADMINISTRAÇÃO</v>
      </c>
      <c r="I283" t="str">
        <f t="shared" si="27"/>
        <v>FARINELLI NUTRIMENTOS LTDA</v>
      </c>
      <c r="J283">
        <f t="shared" si="28"/>
        <v>1</v>
      </c>
      <c r="K283">
        <f t="shared" si="29"/>
        <v>0</v>
      </c>
    </row>
    <row r="284" spans="1:11" x14ac:dyDescent="0.25">
      <c r="A284" t="s">
        <v>339</v>
      </c>
      <c r="B284" t="s">
        <v>87</v>
      </c>
      <c r="C284" t="s">
        <v>53</v>
      </c>
      <c r="D284" s="3">
        <v>45566</v>
      </c>
      <c r="E284" t="str">
        <f>VLOOKUP(B284,'PROCV GERENTES BD'!A:B,2,0)</f>
        <v>NOELI SALETE</v>
      </c>
      <c r="F284" s="4" t="str">
        <f t="shared" si="24"/>
        <v>2024-10</v>
      </c>
      <c r="G284" s="18">
        <f t="shared" si="25"/>
        <v>40</v>
      </c>
      <c r="H284" t="str">
        <f t="shared" si="26"/>
        <v>NOELI SALETE</v>
      </c>
      <c r="I284" t="str">
        <f t="shared" si="27"/>
        <v>RODOBOX TRANSPORTES E ARMAZENAGEM DE CARGAS LTDA</v>
      </c>
      <c r="J284">
        <f t="shared" si="28"/>
        <v>1</v>
      </c>
      <c r="K284">
        <f t="shared" si="29"/>
        <v>1</v>
      </c>
    </row>
    <row r="285" spans="1:11" x14ac:dyDescent="0.25">
      <c r="A285" t="s">
        <v>340</v>
      </c>
      <c r="B285" t="s">
        <v>86</v>
      </c>
      <c r="C285" t="s">
        <v>50</v>
      </c>
      <c r="D285" s="3">
        <v>45566</v>
      </c>
      <c r="E285" t="str">
        <f>VLOOKUP(B285,'PROCV GERENTES BD'!A:B,2,0)</f>
        <v>NOELI SALETE</v>
      </c>
      <c r="F285" s="4" t="str">
        <f t="shared" si="24"/>
        <v>2024-10</v>
      </c>
      <c r="G285" s="18">
        <f t="shared" si="25"/>
        <v>40</v>
      </c>
      <c r="H285" t="str">
        <f t="shared" si="26"/>
        <v>NOELI SALETE</v>
      </c>
      <c r="I285" t="str">
        <f t="shared" si="27"/>
        <v>MEIO OESTE PAPEIS LTDA ME</v>
      </c>
      <c r="J285">
        <f t="shared" si="28"/>
        <v>0</v>
      </c>
      <c r="K285">
        <f t="shared" si="29"/>
        <v>1</v>
      </c>
    </row>
    <row r="286" spans="1:11" x14ac:dyDescent="0.25">
      <c r="A286" t="s">
        <v>400</v>
      </c>
      <c r="B286" t="s">
        <v>150</v>
      </c>
      <c r="C286" t="s">
        <v>50</v>
      </c>
      <c r="D286" s="3">
        <v>45566</v>
      </c>
      <c r="E286" t="str">
        <f>VLOOKUP(B286,'PROCV GERENTES BD'!A:B,2,0)</f>
        <v>NOELI SALETE</v>
      </c>
      <c r="F286" s="4" t="str">
        <f t="shared" si="24"/>
        <v>2024-10</v>
      </c>
      <c r="G286" s="18">
        <f t="shared" si="25"/>
        <v>40</v>
      </c>
      <c r="H286" t="str">
        <f t="shared" si="26"/>
        <v>NOELI SALETE</v>
      </c>
      <c r="I286" t="str">
        <f t="shared" si="27"/>
        <v>POOLMAK SISTEMAS ESTRUTURAIS LTDA</v>
      </c>
      <c r="J286">
        <f t="shared" si="28"/>
        <v>0</v>
      </c>
      <c r="K286">
        <f t="shared" si="29"/>
        <v>1</v>
      </c>
    </row>
    <row r="287" spans="1:11" x14ac:dyDescent="0.25">
      <c r="A287" t="s">
        <v>345</v>
      </c>
      <c r="B287" t="s">
        <v>90</v>
      </c>
      <c r="C287" t="s">
        <v>50</v>
      </c>
      <c r="D287" s="3">
        <v>45566</v>
      </c>
      <c r="E287" t="str">
        <f>VLOOKUP(B287,'PROCV GERENTES BD'!A:B,2,0)</f>
        <v>POENATELA</v>
      </c>
      <c r="F287" s="4" t="str">
        <f t="shared" si="24"/>
        <v>2024-10</v>
      </c>
      <c r="G287" s="18">
        <f t="shared" si="25"/>
        <v>40</v>
      </c>
      <c r="H287" t="str">
        <f t="shared" si="26"/>
        <v>POENATELA</v>
      </c>
      <c r="I287" t="str">
        <f t="shared" si="27"/>
        <v>GREEN FARMING FAZENDAS RENOVAVEIS LTDA</v>
      </c>
      <c r="J287">
        <f t="shared" si="28"/>
        <v>0</v>
      </c>
      <c r="K287">
        <f t="shared" si="29"/>
        <v>1</v>
      </c>
    </row>
    <row r="288" spans="1:11" x14ac:dyDescent="0.25">
      <c r="A288" t="s">
        <v>346</v>
      </c>
      <c r="B288" t="s">
        <v>91</v>
      </c>
      <c r="C288" t="s">
        <v>53</v>
      </c>
      <c r="D288" s="3">
        <v>45566</v>
      </c>
      <c r="E288" t="str">
        <f>VLOOKUP(B288,'PROCV GERENTES BD'!A:B,2,0)</f>
        <v>POENATELA</v>
      </c>
      <c r="F288" s="4" t="str">
        <f t="shared" si="24"/>
        <v>2024-10</v>
      </c>
      <c r="G288" s="18">
        <f t="shared" si="25"/>
        <v>40</v>
      </c>
      <c r="H288" t="str">
        <f t="shared" si="26"/>
        <v>POENATELA</v>
      </c>
      <c r="I288" t="str">
        <f t="shared" si="27"/>
        <v>UBERTEC SERVICE USINAGEM LTDA EPP</v>
      </c>
      <c r="J288">
        <f t="shared" si="28"/>
        <v>1</v>
      </c>
      <c r="K288">
        <f t="shared" si="29"/>
        <v>1</v>
      </c>
    </row>
    <row r="289" spans="1:11" x14ac:dyDescent="0.25">
      <c r="A289" t="s">
        <v>376</v>
      </c>
      <c r="B289" t="s">
        <v>121</v>
      </c>
      <c r="C289" t="s">
        <v>50</v>
      </c>
      <c r="D289" s="3">
        <v>45566</v>
      </c>
      <c r="E289" t="str">
        <f>VLOOKUP(B289,'PROCV GERENTES BD'!A:B,2,0)</f>
        <v>PRISCILA METZ</v>
      </c>
      <c r="F289" s="4" t="str">
        <f t="shared" si="24"/>
        <v>2024-10</v>
      </c>
      <c r="G289" s="18">
        <f t="shared" si="25"/>
        <v>40</v>
      </c>
      <c r="H289" t="str">
        <f t="shared" si="26"/>
        <v>PRISCILA METZ</v>
      </c>
      <c r="I289" t="str">
        <f t="shared" si="27"/>
        <v>NOVA DISTRIBUIDORA E ATACADO DE LIMPEZA LTDA</v>
      </c>
      <c r="J289">
        <f t="shared" si="28"/>
        <v>0</v>
      </c>
      <c r="K289">
        <f t="shared" si="29"/>
        <v>1</v>
      </c>
    </row>
    <row r="290" spans="1:11" x14ac:dyDescent="0.25">
      <c r="A290" t="s">
        <v>348</v>
      </c>
      <c r="B290" t="s">
        <v>93</v>
      </c>
      <c r="C290" t="s">
        <v>50</v>
      </c>
      <c r="D290" s="3">
        <v>45566</v>
      </c>
      <c r="E290" t="str">
        <f>VLOOKUP(B290,'PROCV GERENTES BD'!A:B,2,0)</f>
        <v>WHELKYA IRIS</v>
      </c>
      <c r="F290" s="4" t="str">
        <f t="shared" si="24"/>
        <v>2024-10</v>
      </c>
      <c r="G290" s="18">
        <f t="shared" si="25"/>
        <v>40</v>
      </c>
      <c r="H290" t="str">
        <f t="shared" si="26"/>
        <v>WHELKYA IRIS</v>
      </c>
      <c r="I290" t="str">
        <f t="shared" si="27"/>
        <v>DIVINA INDUSTRIA DE COURO LTDA</v>
      </c>
      <c r="J290">
        <f t="shared" si="28"/>
        <v>0</v>
      </c>
      <c r="K290">
        <f t="shared" si="29"/>
        <v>1</v>
      </c>
    </row>
    <row r="291" spans="1:11" x14ac:dyDescent="0.25">
      <c r="A291" t="s">
        <v>331</v>
      </c>
      <c r="B291" t="s">
        <v>144</v>
      </c>
      <c r="C291" t="s">
        <v>66</v>
      </c>
      <c r="D291" s="3">
        <v>45567</v>
      </c>
      <c r="E291" t="str">
        <f>VLOOKUP(B291,'PROCV GERENTES BD'!A:B,2,0)</f>
        <v>ADMINISTRAÇÃO</v>
      </c>
      <c r="F291" s="4" t="str">
        <f t="shared" si="24"/>
        <v>2024-10</v>
      </c>
      <c r="G291" s="18">
        <f t="shared" si="25"/>
        <v>40</v>
      </c>
      <c r="H291" t="str">
        <f t="shared" si="26"/>
        <v>ADMINISTRAÇÃO</v>
      </c>
      <c r="I291" t="str">
        <f t="shared" si="27"/>
        <v>BOM PASTOR PAPEIS LTDA EM RECUPERACAO JUDICIAL</v>
      </c>
      <c r="J291">
        <f t="shared" si="28"/>
        <v>1</v>
      </c>
      <c r="K291">
        <f t="shared" si="29"/>
        <v>0</v>
      </c>
    </row>
    <row r="292" spans="1:11" x14ac:dyDescent="0.25">
      <c r="A292" t="s">
        <v>368</v>
      </c>
      <c r="B292" t="s">
        <v>111</v>
      </c>
      <c r="C292" t="s">
        <v>66</v>
      </c>
      <c r="D292" s="3">
        <v>45567</v>
      </c>
      <c r="E292" t="str">
        <f>VLOOKUP(B292,'PROCV GERENTES BD'!A:B,2,0)</f>
        <v>ADMINISTRAÇÃO</v>
      </c>
      <c r="F292" s="4" t="str">
        <f t="shared" si="24"/>
        <v>2024-10</v>
      </c>
      <c r="G292" s="18">
        <f t="shared" si="25"/>
        <v>40</v>
      </c>
      <c r="H292" t="str">
        <f t="shared" si="26"/>
        <v>ADMINISTRAÇÃO</v>
      </c>
      <c r="I292" t="str">
        <f t="shared" si="27"/>
        <v>ARTECAL ELETROCENTROS S/A</v>
      </c>
      <c r="J292">
        <f t="shared" si="28"/>
        <v>1</v>
      </c>
      <c r="K292">
        <f t="shared" si="29"/>
        <v>0</v>
      </c>
    </row>
    <row r="293" spans="1:11" x14ac:dyDescent="0.25">
      <c r="A293" t="s">
        <v>372</v>
      </c>
      <c r="B293" t="s">
        <v>116</v>
      </c>
      <c r="C293" t="s">
        <v>50</v>
      </c>
      <c r="D293" s="3">
        <v>45567</v>
      </c>
      <c r="E293" t="str">
        <f>VLOOKUP(B293,'PROCV GERENTES BD'!A:B,2,0)</f>
        <v>ADMINISTRAÇÃO</v>
      </c>
      <c r="F293" s="4" t="str">
        <f t="shared" si="24"/>
        <v>2024-10</v>
      </c>
      <c r="G293" s="18">
        <f t="shared" si="25"/>
        <v>40</v>
      </c>
      <c r="H293" t="str">
        <f t="shared" si="26"/>
        <v>ADMINISTRAÇÃO</v>
      </c>
      <c r="I293" t="str">
        <f t="shared" si="27"/>
        <v>PREMOLDADOS MATOSINHOS LTDA EPP</v>
      </c>
      <c r="J293">
        <f t="shared" si="28"/>
        <v>0</v>
      </c>
      <c r="K293">
        <f t="shared" si="29"/>
        <v>1</v>
      </c>
    </row>
    <row r="294" spans="1:11" x14ac:dyDescent="0.25">
      <c r="A294" t="s">
        <v>319</v>
      </c>
      <c r="B294" t="s">
        <v>80</v>
      </c>
      <c r="C294" t="s">
        <v>50</v>
      </c>
      <c r="D294" s="3">
        <v>45567</v>
      </c>
      <c r="E294" t="str">
        <f>VLOOKUP(B294,'PROCV GERENTES BD'!A:B,2,0)</f>
        <v>CELIO PIMENTA</v>
      </c>
      <c r="F294" s="4" t="str">
        <f t="shared" si="24"/>
        <v>2024-10</v>
      </c>
      <c r="G294" s="18">
        <f t="shared" si="25"/>
        <v>40</v>
      </c>
      <c r="H294" t="str">
        <f t="shared" si="26"/>
        <v>CELIO PIMENTA</v>
      </c>
      <c r="I294" t="str">
        <f t="shared" si="27"/>
        <v>IMPORTEXTIL COMERCIO DE TECIDOS LTDA</v>
      </c>
      <c r="J294">
        <f t="shared" si="28"/>
        <v>0</v>
      </c>
      <c r="K294">
        <f t="shared" si="29"/>
        <v>1</v>
      </c>
    </row>
    <row r="295" spans="1:11" x14ac:dyDescent="0.25">
      <c r="A295" t="s">
        <v>401</v>
      </c>
      <c r="B295" t="s">
        <v>151</v>
      </c>
      <c r="C295" t="s">
        <v>50</v>
      </c>
      <c r="D295" s="3">
        <v>45567</v>
      </c>
      <c r="E295" t="str">
        <f>VLOOKUP(B295,'PROCV GERENTES BD'!A:B,2,0)</f>
        <v xml:space="preserve">ROGERIO </v>
      </c>
      <c r="F295" s="4" t="str">
        <f t="shared" si="24"/>
        <v>2024-10</v>
      </c>
      <c r="G295" s="18">
        <f t="shared" si="25"/>
        <v>40</v>
      </c>
      <c r="H295" t="str">
        <f t="shared" si="26"/>
        <v xml:space="preserve">ROGERIO </v>
      </c>
      <c r="I295" t="str">
        <f t="shared" si="27"/>
        <v>RECICOLOGY INDUSTRIA E COMERCIO DE PRODUTOS RECICL</v>
      </c>
      <c r="J295">
        <f t="shared" si="28"/>
        <v>0</v>
      </c>
      <c r="K295">
        <f t="shared" si="29"/>
        <v>1</v>
      </c>
    </row>
    <row r="296" spans="1:11" x14ac:dyDescent="0.25">
      <c r="A296" t="s">
        <v>377</v>
      </c>
      <c r="B296" t="s">
        <v>124</v>
      </c>
      <c r="C296" t="s">
        <v>66</v>
      </c>
      <c r="D296" s="3">
        <v>45567</v>
      </c>
      <c r="E296" t="str">
        <f>VLOOKUP(B296,'PROCV GERENTES BD'!A:B,2,0)</f>
        <v>EDUARDO MATOSO</v>
      </c>
      <c r="F296" s="4" t="str">
        <f t="shared" si="24"/>
        <v>2024-10</v>
      </c>
      <c r="G296" s="18">
        <f t="shared" si="25"/>
        <v>40</v>
      </c>
      <c r="H296" t="str">
        <f t="shared" si="26"/>
        <v>EDUARDO MATOSO</v>
      </c>
      <c r="I296" t="str">
        <f t="shared" si="27"/>
        <v>STONE ENGENHARIA E MONTAGENS INDUSTRIAIS LTDA</v>
      </c>
      <c r="J296">
        <f t="shared" si="28"/>
        <v>1</v>
      </c>
      <c r="K296">
        <f t="shared" si="29"/>
        <v>0</v>
      </c>
    </row>
    <row r="297" spans="1:11" x14ac:dyDescent="0.25">
      <c r="A297" t="s">
        <v>402</v>
      </c>
      <c r="B297" t="s">
        <v>152</v>
      </c>
      <c r="C297" t="s">
        <v>50</v>
      </c>
      <c r="D297" s="3">
        <v>45567</v>
      </c>
      <c r="E297" t="str">
        <f>VLOOKUP(B297,'PROCV GERENTES BD'!A:B,2,0)</f>
        <v>PROSPECTAR</v>
      </c>
      <c r="F297" s="4" t="str">
        <f t="shared" si="24"/>
        <v>2024-10</v>
      </c>
      <c r="G297" s="18">
        <f t="shared" si="25"/>
        <v>40</v>
      </c>
      <c r="H297" t="str">
        <f t="shared" si="26"/>
        <v>PROSPECTAR</v>
      </c>
      <c r="I297" t="str">
        <f t="shared" si="27"/>
        <v>MOINHO DE TRIGO JM LTDA</v>
      </c>
      <c r="J297">
        <f t="shared" si="28"/>
        <v>0</v>
      </c>
      <c r="K297">
        <f t="shared" si="29"/>
        <v>1</v>
      </c>
    </row>
    <row r="298" spans="1:11" x14ac:dyDescent="0.25">
      <c r="A298" t="s">
        <v>375</v>
      </c>
      <c r="B298" t="s">
        <v>120</v>
      </c>
      <c r="C298" t="s">
        <v>66</v>
      </c>
      <c r="D298" s="3">
        <v>45567</v>
      </c>
      <c r="E298" t="str">
        <f>VLOOKUP(B298,'PROCV GERENTES BD'!A:B,2,0)</f>
        <v>ADMINISTRAÇÃO</v>
      </c>
      <c r="F298" s="4" t="str">
        <f t="shared" si="24"/>
        <v>2024-10</v>
      </c>
      <c r="G298" s="18">
        <f t="shared" si="25"/>
        <v>40</v>
      </c>
      <c r="H298" t="str">
        <f t="shared" si="26"/>
        <v>ADMINISTRAÇÃO</v>
      </c>
      <c r="I298" t="str">
        <f t="shared" si="27"/>
        <v>FARINELLI NUTRIMENTOS LTDA</v>
      </c>
      <c r="J298">
        <f t="shared" si="28"/>
        <v>1</v>
      </c>
      <c r="K298">
        <f t="shared" si="29"/>
        <v>0</v>
      </c>
    </row>
    <row r="299" spans="1:11" x14ac:dyDescent="0.25">
      <c r="A299" t="s">
        <v>339</v>
      </c>
      <c r="B299" t="s">
        <v>87</v>
      </c>
      <c r="C299" t="s">
        <v>53</v>
      </c>
      <c r="D299" s="3">
        <v>45567</v>
      </c>
      <c r="E299" t="str">
        <f>VLOOKUP(B299,'PROCV GERENTES BD'!A:B,2,0)</f>
        <v>NOELI SALETE</v>
      </c>
      <c r="F299" s="4" t="str">
        <f t="shared" si="24"/>
        <v>2024-10</v>
      </c>
      <c r="G299" s="18">
        <f t="shared" si="25"/>
        <v>40</v>
      </c>
      <c r="H299" t="str">
        <f t="shared" si="26"/>
        <v>NOELI SALETE</v>
      </c>
      <c r="I299" t="str">
        <f t="shared" si="27"/>
        <v>RODOBOX TRANSPORTES E ARMAZENAGEM DE CARGAS LTDA</v>
      </c>
      <c r="J299">
        <f t="shared" si="28"/>
        <v>1</v>
      </c>
      <c r="K299">
        <f t="shared" si="29"/>
        <v>1</v>
      </c>
    </row>
    <row r="300" spans="1:11" x14ac:dyDescent="0.25">
      <c r="A300" t="s">
        <v>340</v>
      </c>
      <c r="B300" t="s">
        <v>86</v>
      </c>
      <c r="C300" t="s">
        <v>50</v>
      </c>
      <c r="D300" s="3">
        <v>45567</v>
      </c>
      <c r="E300" t="str">
        <f>VLOOKUP(B300,'PROCV GERENTES BD'!A:B,2,0)</f>
        <v>NOELI SALETE</v>
      </c>
      <c r="F300" s="4" t="str">
        <f t="shared" si="24"/>
        <v>2024-10</v>
      </c>
      <c r="G300" s="18">
        <f t="shared" si="25"/>
        <v>40</v>
      </c>
      <c r="H300" t="str">
        <f t="shared" si="26"/>
        <v>NOELI SALETE</v>
      </c>
      <c r="I300" t="str">
        <f t="shared" si="27"/>
        <v>MEIO OESTE PAPEIS LTDA ME</v>
      </c>
      <c r="J300">
        <f t="shared" si="28"/>
        <v>0</v>
      </c>
      <c r="K300">
        <f t="shared" si="29"/>
        <v>1</v>
      </c>
    </row>
    <row r="301" spans="1:11" x14ac:dyDescent="0.25">
      <c r="A301" t="s">
        <v>345</v>
      </c>
      <c r="B301" t="s">
        <v>90</v>
      </c>
      <c r="C301" t="s">
        <v>50</v>
      </c>
      <c r="D301" s="3">
        <v>45567</v>
      </c>
      <c r="E301" t="str">
        <f>VLOOKUP(B301,'PROCV GERENTES BD'!A:B,2,0)</f>
        <v>POENATELA</v>
      </c>
      <c r="F301" s="4" t="str">
        <f t="shared" si="24"/>
        <v>2024-10</v>
      </c>
      <c r="G301" s="18">
        <f t="shared" si="25"/>
        <v>40</v>
      </c>
      <c r="H301" t="str">
        <f t="shared" si="26"/>
        <v>POENATELA</v>
      </c>
      <c r="I301" t="str">
        <f t="shared" si="27"/>
        <v>GREEN FARMING FAZENDAS RENOVAVEIS LTDA</v>
      </c>
      <c r="J301">
        <f t="shared" si="28"/>
        <v>0</v>
      </c>
      <c r="K301">
        <f t="shared" si="29"/>
        <v>1</v>
      </c>
    </row>
    <row r="302" spans="1:11" x14ac:dyDescent="0.25">
      <c r="A302" t="s">
        <v>346</v>
      </c>
      <c r="B302" t="s">
        <v>91</v>
      </c>
      <c r="C302" t="s">
        <v>53</v>
      </c>
      <c r="D302" s="3">
        <v>45567</v>
      </c>
      <c r="E302" t="str">
        <f>VLOOKUP(B302,'PROCV GERENTES BD'!A:B,2,0)</f>
        <v>POENATELA</v>
      </c>
      <c r="F302" s="4" t="str">
        <f t="shared" si="24"/>
        <v>2024-10</v>
      </c>
      <c r="G302" s="18">
        <f t="shared" si="25"/>
        <v>40</v>
      </c>
      <c r="H302" t="str">
        <f t="shared" si="26"/>
        <v>POENATELA</v>
      </c>
      <c r="I302" t="str">
        <f t="shared" si="27"/>
        <v>UBERTEC SERVICE USINAGEM LTDA EPP</v>
      </c>
      <c r="J302">
        <f t="shared" si="28"/>
        <v>1</v>
      </c>
      <c r="K302">
        <f t="shared" si="29"/>
        <v>1</v>
      </c>
    </row>
    <row r="303" spans="1:11" x14ac:dyDescent="0.25">
      <c r="A303" t="s">
        <v>376</v>
      </c>
      <c r="B303" t="s">
        <v>121</v>
      </c>
      <c r="C303" t="s">
        <v>50</v>
      </c>
      <c r="D303" s="3">
        <v>45567</v>
      </c>
      <c r="E303" t="str">
        <f>VLOOKUP(B303,'PROCV GERENTES BD'!A:B,2,0)</f>
        <v>PRISCILA METZ</v>
      </c>
      <c r="F303" s="4" t="str">
        <f t="shared" si="24"/>
        <v>2024-10</v>
      </c>
      <c r="G303" s="18">
        <f t="shared" si="25"/>
        <v>40</v>
      </c>
      <c r="H303" t="str">
        <f t="shared" si="26"/>
        <v>PRISCILA METZ</v>
      </c>
      <c r="I303" t="str">
        <f t="shared" si="27"/>
        <v>NOVA DISTRIBUIDORA E ATACADO DE LIMPEZA LTDA</v>
      </c>
      <c r="J303">
        <f t="shared" si="28"/>
        <v>0</v>
      </c>
      <c r="K303">
        <f t="shared" si="29"/>
        <v>1</v>
      </c>
    </row>
    <row r="304" spans="1:11" x14ac:dyDescent="0.25">
      <c r="A304" t="s">
        <v>403</v>
      </c>
      <c r="B304" t="s">
        <v>153</v>
      </c>
      <c r="C304" t="s">
        <v>50</v>
      </c>
      <c r="D304" s="3">
        <v>45567</v>
      </c>
      <c r="E304" t="str">
        <f>VLOOKUP(B304,'PROCV GERENTES BD'!A:B,2,0)</f>
        <v>PRISCILA METZ</v>
      </c>
      <c r="F304" s="4" t="str">
        <f t="shared" si="24"/>
        <v>2024-10</v>
      </c>
      <c r="G304" s="18">
        <f t="shared" si="25"/>
        <v>40</v>
      </c>
      <c r="H304" t="str">
        <f t="shared" si="26"/>
        <v>PRISCILA METZ</v>
      </c>
      <c r="I304" t="str">
        <f t="shared" si="27"/>
        <v>REI DO MILHO ATACADISTA E VAREJISTA LTDA ME</v>
      </c>
      <c r="J304">
        <f t="shared" si="28"/>
        <v>0</v>
      </c>
      <c r="K304">
        <f t="shared" si="29"/>
        <v>1</v>
      </c>
    </row>
    <row r="305" spans="1:11" x14ac:dyDescent="0.25">
      <c r="A305" t="s">
        <v>355</v>
      </c>
      <c r="B305" t="s">
        <v>100</v>
      </c>
      <c r="C305" t="s">
        <v>66</v>
      </c>
      <c r="D305" s="3">
        <v>45569</v>
      </c>
      <c r="E305" t="str">
        <f>VLOOKUP(B305,'PROCV GERENTES BD'!A:B,2,0)</f>
        <v>ADMINISTRAÇÃO</v>
      </c>
      <c r="F305" s="4" t="str">
        <f t="shared" si="24"/>
        <v>2024-10</v>
      </c>
      <c r="G305" s="18">
        <f t="shared" si="25"/>
        <v>40</v>
      </c>
      <c r="H305" t="str">
        <f t="shared" si="26"/>
        <v>ADMINISTRAÇÃO</v>
      </c>
      <c r="I305" t="str">
        <f t="shared" si="27"/>
        <v>DECISION DESENVOLVIMENTO DE SISTEMAS LTDA</v>
      </c>
      <c r="J305">
        <f t="shared" si="28"/>
        <v>1</v>
      </c>
      <c r="K305">
        <f t="shared" si="29"/>
        <v>0</v>
      </c>
    </row>
    <row r="306" spans="1:11" x14ac:dyDescent="0.25">
      <c r="A306" t="s">
        <v>319</v>
      </c>
      <c r="B306" t="s">
        <v>80</v>
      </c>
      <c r="C306" t="s">
        <v>50</v>
      </c>
      <c r="D306" s="3">
        <v>45569</v>
      </c>
      <c r="E306" t="str">
        <f>VLOOKUP(B306,'PROCV GERENTES BD'!A:B,2,0)</f>
        <v>CELIO PIMENTA</v>
      </c>
      <c r="F306" s="4" t="str">
        <f t="shared" si="24"/>
        <v>2024-10</v>
      </c>
      <c r="G306" s="18">
        <f t="shared" si="25"/>
        <v>40</v>
      </c>
      <c r="H306" t="str">
        <f t="shared" si="26"/>
        <v>CELIO PIMENTA</v>
      </c>
      <c r="I306" t="str">
        <f t="shared" si="27"/>
        <v>IMPORTEXTIL COMERCIO DE TECIDOS LTDA</v>
      </c>
      <c r="J306">
        <f t="shared" si="28"/>
        <v>0</v>
      </c>
      <c r="K306">
        <f t="shared" si="29"/>
        <v>1</v>
      </c>
    </row>
    <row r="307" spans="1:11" x14ac:dyDescent="0.25">
      <c r="A307" t="s">
        <v>54</v>
      </c>
      <c r="B307" t="s">
        <v>55</v>
      </c>
      <c r="C307" t="s">
        <v>50</v>
      </c>
      <c r="D307" s="3">
        <v>45569</v>
      </c>
      <c r="E307" t="str">
        <f>VLOOKUP(B307,'PROCV GERENTES BD'!A:B,2,0)</f>
        <v>CELIO PIMENTA</v>
      </c>
      <c r="F307" s="4" t="str">
        <f t="shared" si="24"/>
        <v>2024-10</v>
      </c>
      <c r="G307" s="18">
        <f t="shared" si="25"/>
        <v>40</v>
      </c>
      <c r="H307" t="str">
        <f t="shared" si="26"/>
        <v>CELIO PIMENTA</v>
      </c>
      <c r="I307" t="str">
        <f t="shared" si="27"/>
        <v>WJ CALDEIRARIA INDUSTRIA E COMERCIO LTDA ME</v>
      </c>
      <c r="J307">
        <f t="shared" si="28"/>
        <v>0</v>
      </c>
      <c r="K307">
        <f t="shared" si="29"/>
        <v>1</v>
      </c>
    </row>
    <row r="308" spans="1:11" x14ac:dyDescent="0.25">
      <c r="A308" t="s">
        <v>358</v>
      </c>
      <c r="B308" t="s">
        <v>104</v>
      </c>
      <c r="C308" t="s">
        <v>66</v>
      </c>
      <c r="D308" s="3">
        <v>45569</v>
      </c>
      <c r="E308" t="str">
        <f>VLOOKUP(B308,'PROCV GERENTES BD'!A:B,2,0)</f>
        <v>DIOGO AZEVEDO</v>
      </c>
      <c r="F308" s="4" t="str">
        <f t="shared" si="24"/>
        <v>2024-10</v>
      </c>
      <c r="G308" s="18">
        <f t="shared" si="25"/>
        <v>40</v>
      </c>
      <c r="H308" t="str">
        <f t="shared" si="26"/>
        <v>DIOGO AZEVEDO</v>
      </c>
      <c r="I308" t="str">
        <f t="shared" si="27"/>
        <v>INDUSTRIA E CERVEJARIA ARTESANAL DE MINAS GERAIS L</v>
      </c>
      <c r="J308">
        <f t="shared" si="28"/>
        <v>1</v>
      </c>
      <c r="K308">
        <f t="shared" si="29"/>
        <v>0</v>
      </c>
    </row>
    <row r="309" spans="1:11" x14ac:dyDescent="0.25">
      <c r="A309" t="s">
        <v>335</v>
      </c>
      <c r="B309" t="s">
        <v>83</v>
      </c>
      <c r="C309" t="s">
        <v>66</v>
      </c>
      <c r="D309" s="3">
        <v>45569</v>
      </c>
      <c r="E309" t="str">
        <f>VLOOKUP(B309,'PROCV GERENTES BD'!A:B,2,0)</f>
        <v>MARCOS SOUZA</v>
      </c>
      <c r="F309" s="4" t="str">
        <f t="shared" si="24"/>
        <v>2024-10</v>
      </c>
      <c r="G309" s="18">
        <f t="shared" si="25"/>
        <v>40</v>
      </c>
      <c r="H309" t="str">
        <f t="shared" si="26"/>
        <v>MARCOS SOUZA</v>
      </c>
      <c r="I309" t="str">
        <f t="shared" si="27"/>
        <v>ARCA CONSTRUCOES E INCORPORACOES LTDA</v>
      </c>
      <c r="J309">
        <f t="shared" si="28"/>
        <v>1</v>
      </c>
      <c r="K309">
        <f t="shared" si="29"/>
        <v>0</v>
      </c>
    </row>
    <row r="310" spans="1:11" x14ac:dyDescent="0.25">
      <c r="A310" t="s">
        <v>340</v>
      </c>
      <c r="B310" t="s">
        <v>86</v>
      </c>
      <c r="C310" t="s">
        <v>50</v>
      </c>
      <c r="D310" s="3">
        <v>45569</v>
      </c>
      <c r="E310" t="str">
        <f>VLOOKUP(B310,'PROCV GERENTES BD'!A:B,2,0)</f>
        <v>NOELI SALETE</v>
      </c>
      <c r="F310" s="4" t="str">
        <f t="shared" si="24"/>
        <v>2024-10</v>
      </c>
      <c r="G310" s="18">
        <f t="shared" si="25"/>
        <v>40</v>
      </c>
      <c r="H310" t="str">
        <f t="shared" si="26"/>
        <v>NOELI SALETE</v>
      </c>
      <c r="I310" t="str">
        <f t="shared" si="27"/>
        <v>MEIO OESTE PAPEIS LTDA ME</v>
      </c>
      <c r="J310">
        <f t="shared" si="28"/>
        <v>0</v>
      </c>
      <c r="K310">
        <f t="shared" si="29"/>
        <v>1</v>
      </c>
    </row>
    <row r="311" spans="1:11" x14ac:dyDescent="0.25">
      <c r="A311" t="s">
        <v>400</v>
      </c>
      <c r="B311" t="s">
        <v>150</v>
      </c>
      <c r="C311" t="s">
        <v>66</v>
      </c>
      <c r="D311" s="3">
        <v>45569</v>
      </c>
      <c r="E311" t="str">
        <f>VLOOKUP(B311,'PROCV GERENTES BD'!A:B,2,0)</f>
        <v>NOELI SALETE</v>
      </c>
      <c r="F311" s="4" t="str">
        <f t="shared" si="24"/>
        <v>2024-10</v>
      </c>
      <c r="G311" s="18">
        <f t="shared" si="25"/>
        <v>40</v>
      </c>
      <c r="H311" t="str">
        <f t="shared" si="26"/>
        <v>NOELI SALETE</v>
      </c>
      <c r="I311" t="str">
        <f t="shared" si="27"/>
        <v>POOLMAK SISTEMAS ESTRUTURAIS LTDA</v>
      </c>
      <c r="J311">
        <f t="shared" si="28"/>
        <v>1</v>
      </c>
      <c r="K311">
        <f t="shared" si="29"/>
        <v>0</v>
      </c>
    </row>
    <row r="312" spans="1:11" x14ac:dyDescent="0.25">
      <c r="A312" t="s">
        <v>345</v>
      </c>
      <c r="B312" t="s">
        <v>90</v>
      </c>
      <c r="C312" t="s">
        <v>66</v>
      </c>
      <c r="D312" s="3">
        <v>45569</v>
      </c>
      <c r="E312" t="str">
        <f>VLOOKUP(B312,'PROCV GERENTES BD'!A:B,2,0)</f>
        <v>POENATELA</v>
      </c>
      <c r="F312" s="4" t="str">
        <f t="shared" si="24"/>
        <v>2024-10</v>
      </c>
      <c r="G312" s="18">
        <f t="shared" si="25"/>
        <v>40</v>
      </c>
      <c r="H312" t="str">
        <f t="shared" si="26"/>
        <v>POENATELA</v>
      </c>
      <c r="I312" t="str">
        <f t="shared" si="27"/>
        <v>GREEN FARMING FAZENDAS RENOVAVEIS LTDA</v>
      </c>
      <c r="J312">
        <f t="shared" si="28"/>
        <v>1</v>
      </c>
      <c r="K312">
        <f t="shared" si="29"/>
        <v>0</v>
      </c>
    </row>
    <row r="313" spans="1:11" x14ac:dyDescent="0.25">
      <c r="A313" t="s">
        <v>76</v>
      </c>
      <c r="B313" t="s">
        <v>77</v>
      </c>
      <c r="C313" t="s">
        <v>50</v>
      </c>
      <c r="D313" s="3">
        <v>45569</v>
      </c>
      <c r="E313" t="str">
        <f>VLOOKUP(B313,'PROCV GERENTES BD'!A:B,2,0)</f>
        <v>RAFAEL PARISE</v>
      </c>
      <c r="F313" s="4" t="str">
        <f t="shared" si="24"/>
        <v>2024-10</v>
      </c>
      <c r="G313" s="18">
        <f t="shared" si="25"/>
        <v>40</v>
      </c>
      <c r="H313" t="str">
        <f t="shared" si="26"/>
        <v>RAFAEL PARISE</v>
      </c>
      <c r="I313" t="str">
        <f t="shared" si="27"/>
        <v>UNITA AUTO PECAS LTDA EPP</v>
      </c>
      <c r="J313">
        <f t="shared" si="28"/>
        <v>0</v>
      </c>
      <c r="K313">
        <f t="shared" si="29"/>
        <v>1</v>
      </c>
    </row>
    <row r="314" spans="1:11" x14ac:dyDescent="0.25">
      <c r="A314" t="s">
        <v>362</v>
      </c>
      <c r="B314" t="s">
        <v>107</v>
      </c>
      <c r="C314" t="s">
        <v>50</v>
      </c>
      <c r="D314" s="3">
        <v>45569</v>
      </c>
      <c r="E314" t="s">
        <v>21</v>
      </c>
      <c r="F314" s="4" t="str">
        <f t="shared" si="24"/>
        <v>2024-10</v>
      </c>
      <c r="G314" s="18">
        <f t="shared" si="25"/>
        <v>40</v>
      </c>
      <c r="H314" t="str">
        <f t="shared" si="26"/>
        <v xml:space="preserve">ROGERIO </v>
      </c>
      <c r="I314" t="str">
        <f t="shared" si="27"/>
        <v>EVOLUTION MACHINES LTDA ME</v>
      </c>
      <c r="J314">
        <f t="shared" si="28"/>
        <v>0</v>
      </c>
      <c r="K314">
        <f t="shared" si="29"/>
        <v>1</v>
      </c>
    </row>
    <row r="315" spans="1:11" x14ac:dyDescent="0.25">
      <c r="A315" t="s">
        <v>319</v>
      </c>
      <c r="B315" t="s">
        <v>80</v>
      </c>
      <c r="C315" t="s">
        <v>50</v>
      </c>
      <c r="D315" s="3">
        <v>45570</v>
      </c>
      <c r="E315" t="str">
        <f>VLOOKUP(B315,'PROCV GERENTES BD'!A:B,2,0)</f>
        <v>CELIO PIMENTA</v>
      </c>
      <c r="F315" s="4" t="str">
        <f t="shared" si="24"/>
        <v>2024-10</v>
      </c>
      <c r="G315" s="18">
        <f t="shared" si="25"/>
        <v>40</v>
      </c>
      <c r="H315" t="str">
        <f t="shared" si="26"/>
        <v>CELIO PIMENTA</v>
      </c>
      <c r="I315" t="str">
        <f t="shared" si="27"/>
        <v>IMPORTEXTIL COMERCIO DE TECIDOS LTDA</v>
      </c>
      <c r="J315">
        <f t="shared" si="28"/>
        <v>0</v>
      </c>
      <c r="K315">
        <f t="shared" si="29"/>
        <v>1</v>
      </c>
    </row>
    <row r="316" spans="1:11" x14ac:dyDescent="0.25">
      <c r="A316" t="s">
        <v>401</v>
      </c>
      <c r="B316" t="s">
        <v>151</v>
      </c>
      <c r="C316" t="s">
        <v>66</v>
      </c>
      <c r="D316" s="3">
        <v>45570</v>
      </c>
      <c r="E316" t="str">
        <f>VLOOKUP(B316,'PROCV GERENTES BD'!A:B,2,0)</f>
        <v xml:space="preserve">ROGERIO </v>
      </c>
      <c r="F316" s="4" t="str">
        <f t="shared" si="24"/>
        <v>2024-10</v>
      </c>
      <c r="G316" s="18">
        <f t="shared" si="25"/>
        <v>40</v>
      </c>
      <c r="H316" t="str">
        <f t="shared" si="26"/>
        <v xml:space="preserve">ROGERIO </v>
      </c>
      <c r="I316" t="str">
        <f t="shared" si="27"/>
        <v>RECICOLOGY INDUSTRIA E COMERCIO DE PRODUTOS RECICL</v>
      </c>
      <c r="J316">
        <f t="shared" si="28"/>
        <v>1</v>
      </c>
      <c r="K316">
        <f t="shared" si="29"/>
        <v>0</v>
      </c>
    </row>
    <row r="317" spans="1:11" x14ac:dyDescent="0.25">
      <c r="A317" t="s">
        <v>402</v>
      </c>
      <c r="B317" t="s">
        <v>152</v>
      </c>
      <c r="C317" t="s">
        <v>66</v>
      </c>
      <c r="D317" s="3">
        <v>45570</v>
      </c>
      <c r="E317" t="str">
        <f>VLOOKUP(B317,'PROCV GERENTES BD'!A:B,2,0)</f>
        <v>PROSPECTAR</v>
      </c>
      <c r="F317" s="4" t="str">
        <f t="shared" si="24"/>
        <v>2024-10</v>
      </c>
      <c r="G317" s="18">
        <f t="shared" si="25"/>
        <v>40</v>
      </c>
      <c r="H317" t="str">
        <f t="shared" si="26"/>
        <v>PROSPECTAR</v>
      </c>
      <c r="I317" t="str">
        <f t="shared" si="27"/>
        <v>MOINHO DE TRIGO JM LTDA</v>
      </c>
      <c r="J317">
        <f t="shared" si="28"/>
        <v>1</v>
      </c>
      <c r="K317">
        <f t="shared" si="29"/>
        <v>0</v>
      </c>
    </row>
    <row r="318" spans="1:11" x14ac:dyDescent="0.25">
      <c r="A318" t="s">
        <v>335</v>
      </c>
      <c r="B318" t="s">
        <v>83</v>
      </c>
      <c r="C318" t="s">
        <v>66</v>
      </c>
      <c r="D318" s="3">
        <v>45570</v>
      </c>
      <c r="E318" t="str">
        <f>VLOOKUP(B318,'PROCV GERENTES BD'!A:B,2,0)</f>
        <v>MARCOS SOUZA</v>
      </c>
      <c r="F318" s="4" t="str">
        <f t="shared" si="24"/>
        <v>2024-10</v>
      </c>
      <c r="G318" s="18">
        <f t="shared" si="25"/>
        <v>40</v>
      </c>
      <c r="H318" t="str">
        <f t="shared" si="26"/>
        <v>MARCOS SOUZA</v>
      </c>
      <c r="I318" t="str">
        <f t="shared" si="27"/>
        <v>ARCA CONSTRUCOES E INCORPORACOES LTDA</v>
      </c>
      <c r="J318">
        <f t="shared" si="28"/>
        <v>1</v>
      </c>
      <c r="K318">
        <f t="shared" si="29"/>
        <v>0</v>
      </c>
    </row>
    <row r="319" spans="1:11" x14ac:dyDescent="0.25">
      <c r="A319" t="s">
        <v>339</v>
      </c>
      <c r="B319" t="s">
        <v>87</v>
      </c>
      <c r="C319" t="s">
        <v>50</v>
      </c>
      <c r="D319" s="3">
        <v>45570</v>
      </c>
      <c r="E319" t="str">
        <f>VLOOKUP(B319,'PROCV GERENTES BD'!A:B,2,0)</f>
        <v>NOELI SALETE</v>
      </c>
      <c r="F319" s="4" t="str">
        <f t="shared" si="24"/>
        <v>2024-10</v>
      </c>
      <c r="G319" s="18">
        <f t="shared" si="25"/>
        <v>40</v>
      </c>
      <c r="H319" t="str">
        <f t="shared" si="26"/>
        <v>NOELI SALETE</v>
      </c>
      <c r="I319" t="str">
        <f t="shared" si="27"/>
        <v>RODOBOX TRANSPORTES E ARMAZENAGEM DE CARGAS LTDA</v>
      </c>
      <c r="J319">
        <f t="shared" si="28"/>
        <v>0</v>
      </c>
      <c r="K319">
        <f t="shared" si="29"/>
        <v>1</v>
      </c>
    </row>
    <row r="320" spans="1:11" x14ac:dyDescent="0.25">
      <c r="A320" t="s">
        <v>340</v>
      </c>
      <c r="B320" t="s">
        <v>86</v>
      </c>
      <c r="C320" t="s">
        <v>50</v>
      </c>
      <c r="D320" s="3">
        <v>45570</v>
      </c>
      <c r="E320" t="str">
        <f>VLOOKUP(B320,'PROCV GERENTES BD'!A:B,2,0)</f>
        <v>NOELI SALETE</v>
      </c>
      <c r="F320" s="4" t="str">
        <f t="shared" si="24"/>
        <v>2024-10</v>
      </c>
      <c r="G320" s="18">
        <f t="shared" si="25"/>
        <v>40</v>
      </c>
      <c r="H320" t="str">
        <f t="shared" si="26"/>
        <v>NOELI SALETE</v>
      </c>
      <c r="I320" t="str">
        <f t="shared" si="27"/>
        <v>MEIO OESTE PAPEIS LTDA ME</v>
      </c>
      <c r="J320">
        <f t="shared" si="28"/>
        <v>0</v>
      </c>
      <c r="K320">
        <f t="shared" si="29"/>
        <v>1</v>
      </c>
    </row>
    <row r="321" spans="1:11" x14ac:dyDescent="0.25">
      <c r="A321" t="s">
        <v>400</v>
      </c>
      <c r="B321" t="s">
        <v>150</v>
      </c>
      <c r="C321" t="s">
        <v>50</v>
      </c>
      <c r="D321" s="3">
        <v>45570</v>
      </c>
      <c r="E321" t="str">
        <f>VLOOKUP(B321,'PROCV GERENTES BD'!A:B,2,0)</f>
        <v>NOELI SALETE</v>
      </c>
      <c r="F321" s="4" t="str">
        <f t="shared" si="24"/>
        <v>2024-10</v>
      </c>
      <c r="G321" s="18">
        <f t="shared" si="25"/>
        <v>40</v>
      </c>
      <c r="H321" t="str">
        <f t="shared" si="26"/>
        <v>NOELI SALETE</v>
      </c>
      <c r="I321" t="str">
        <f t="shared" si="27"/>
        <v>POOLMAK SISTEMAS ESTRUTURAIS LTDA</v>
      </c>
      <c r="J321">
        <f t="shared" si="28"/>
        <v>0</v>
      </c>
      <c r="K321">
        <f t="shared" si="29"/>
        <v>1</v>
      </c>
    </row>
    <row r="322" spans="1:11" x14ac:dyDescent="0.25">
      <c r="A322" t="s">
        <v>344</v>
      </c>
      <c r="B322" t="s">
        <v>89</v>
      </c>
      <c r="C322" t="s">
        <v>50</v>
      </c>
      <c r="D322" s="3">
        <v>45570</v>
      </c>
      <c r="E322" t="str">
        <f>VLOOKUP(B322,'PROCV GERENTES BD'!A:B,2,0)</f>
        <v>POENATELA</v>
      </c>
      <c r="F322" s="4" t="str">
        <f t="shared" ref="F322:F385" si="30">YEAR(D322)&amp;"-"&amp;TEXT(MONTH(D322),"00")</f>
        <v>2024-10</v>
      </c>
      <c r="G322" s="18">
        <f t="shared" ref="G322:G385" si="31">WEEKNUM(D322)</f>
        <v>40</v>
      </c>
      <c r="H322" t="str">
        <f t="shared" ref="H322:H385" si="32">E322</f>
        <v>POENATELA</v>
      </c>
      <c r="I322" t="str">
        <f t="shared" ref="I322:I385" si="33">B322</f>
        <v>CERVEJARIA SOUZA LTDA</v>
      </c>
      <c r="J322">
        <f t="shared" ref="J322:J385" si="34">IF(OR(C322="EXCLUSAO  ANOT.INADIMPLENCIA",C322="INCL/EXCL ANOT.INADIMPLENCIA"),1,0)</f>
        <v>0</v>
      </c>
      <c r="K322">
        <f t="shared" ref="K322:K385" si="35">IF(OR(C322="INCLUSAO  ANOT.INADIMPLENCIA",C322="INCL/EXCL ANOT.INADIMPLENCIA"),1,0)</f>
        <v>1</v>
      </c>
    </row>
    <row r="323" spans="1:11" x14ac:dyDescent="0.25">
      <c r="A323" t="s">
        <v>346</v>
      </c>
      <c r="B323" t="s">
        <v>91</v>
      </c>
      <c r="C323" t="s">
        <v>50</v>
      </c>
      <c r="D323" s="3">
        <v>45570</v>
      </c>
      <c r="E323" t="str">
        <f>VLOOKUP(B323,'PROCV GERENTES BD'!A:B,2,0)</f>
        <v>POENATELA</v>
      </c>
      <c r="F323" s="4" t="str">
        <f t="shared" si="30"/>
        <v>2024-10</v>
      </c>
      <c r="G323" s="18">
        <f t="shared" si="31"/>
        <v>40</v>
      </c>
      <c r="H323" t="str">
        <f t="shared" si="32"/>
        <v>POENATELA</v>
      </c>
      <c r="I323" t="str">
        <f t="shared" si="33"/>
        <v>UBERTEC SERVICE USINAGEM LTDA EPP</v>
      </c>
      <c r="J323">
        <f t="shared" si="34"/>
        <v>0</v>
      </c>
      <c r="K323">
        <f t="shared" si="35"/>
        <v>1</v>
      </c>
    </row>
    <row r="324" spans="1:11" x14ac:dyDescent="0.25">
      <c r="A324" t="s">
        <v>387</v>
      </c>
      <c r="B324" t="s">
        <v>134</v>
      </c>
      <c r="C324" t="s">
        <v>50</v>
      </c>
      <c r="D324" s="3">
        <v>45570</v>
      </c>
      <c r="E324" t="str">
        <f>VLOOKUP(B324,'PROCV GERENTES BD'!A:B,2,0)</f>
        <v>RAFAEL PARISE</v>
      </c>
      <c r="F324" s="4" t="str">
        <f t="shared" si="30"/>
        <v>2024-10</v>
      </c>
      <c r="G324" s="18">
        <f t="shared" si="31"/>
        <v>40</v>
      </c>
      <c r="H324" t="str">
        <f t="shared" si="32"/>
        <v>RAFAEL PARISE</v>
      </c>
      <c r="I324" t="str">
        <f t="shared" si="33"/>
        <v>MAIS DISTRIBUIDORA LTDA</v>
      </c>
      <c r="J324">
        <f t="shared" si="34"/>
        <v>0</v>
      </c>
      <c r="K324">
        <f t="shared" si="35"/>
        <v>1</v>
      </c>
    </row>
    <row r="325" spans="1:11" x14ac:dyDescent="0.25">
      <c r="A325" t="s">
        <v>325</v>
      </c>
      <c r="B325" t="s">
        <v>138</v>
      </c>
      <c r="C325" t="s">
        <v>66</v>
      </c>
      <c r="D325" s="3">
        <v>45570</v>
      </c>
      <c r="E325" t="str">
        <f>VLOOKUP(B325,'PROCV GERENTES BD'!A:B,2,0)</f>
        <v>SACADO</v>
      </c>
      <c r="F325" s="4" t="str">
        <f t="shared" si="30"/>
        <v>2024-10</v>
      </c>
      <c r="G325" s="18">
        <f t="shared" si="31"/>
        <v>40</v>
      </c>
      <c r="H325" t="str">
        <f t="shared" si="32"/>
        <v>SACADO</v>
      </c>
      <c r="I325" t="str">
        <f t="shared" si="33"/>
        <v>ALLIAGE S A INDUSTRIAS MEDICO ODONTOLOGICA</v>
      </c>
      <c r="J325">
        <f t="shared" si="34"/>
        <v>1</v>
      </c>
      <c r="K325">
        <f t="shared" si="35"/>
        <v>0</v>
      </c>
    </row>
    <row r="326" spans="1:11" x14ac:dyDescent="0.25">
      <c r="A326" t="s">
        <v>404</v>
      </c>
      <c r="B326" t="s">
        <v>154</v>
      </c>
      <c r="C326" t="s">
        <v>50</v>
      </c>
      <c r="D326" s="3">
        <v>45573</v>
      </c>
      <c r="E326" t="str">
        <f>VLOOKUP(B326,'PROCV GERENTES BD'!A:B,2,0)</f>
        <v>ADMINISTRAÇÃO</v>
      </c>
      <c r="F326" s="4" t="str">
        <f t="shared" si="30"/>
        <v>2024-10</v>
      </c>
      <c r="G326" s="18">
        <f t="shared" si="31"/>
        <v>41</v>
      </c>
      <c r="H326" t="str">
        <f t="shared" si="32"/>
        <v>ADMINISTRAÇÃO</v>
      </c>
      <c r="I326" t="str">
        <f t="shared" si="33"/>
        <v>PRIVILEGIO CONFECCOES CAMA MESA E BANHO LTDA EPP</v>
      </c>
      <c r="J326">
        <f t="shared" si="34"/>
        <v>0</v>
      </c>
      <c r="K326">
        <f t="shared" si="35"/>
        <v>1</v>
      </c>
    </row>
    <row r="327" spans="1:11" x14ac:dyDescent="0.25">
      <c r="A327" t="s">
        <v>404</v>
      </c>
      <c r="B327" t="s">
        <v>154</v>
      </c>
      <c r="C327" t="s">
        <v>66</v>
      </c>
      <c r="D327" s="3">
        <f>D326</f>
        <v>45573</v>
      </c>
      <c r="E327" t="str">
        <f>VLOOKUP(B327,'PROCV GERENTES BD'!A:B,2,0)</f>
        <v>ADMINISTRAÇÃO</v>
      </c>
      <c r="F327" s="4" t="str">
        <f t="shared" si="30"/>
        <v>2024-10</v>
      </c>
      <c r="G327" s="18">
        <f t="shared" si="31"/>
        <v>41</v>
      </c>
      <c r="H327" t="str">
        <f t="shared" si="32"/>
        <v>ADMINISTRAÇÃO</v>
      </c>
      <c r="I327" t="str">
        <f t="shared" si="33"/>
        <v>PRIVILEGIO CONFECCOES CAMA MESA E BANHO LTDA EPP</v>
      </c>
      <c r="J327">
        <f t="shared" si="34"/>
        <v>1</v>
      </c>
      <c r="K327">
        <f t="shared" si="35"/>
        <v>0</v>
      </c>
    </row>
    <row r="328" spans="1:11" x14ac:dyDescent="0.25">
      <c r="A328" t="s">
        <v>304</v>
      </c>
      <c r="B328" t="s">
        <v>123</v>
      </c>
      <c r="C328" t="s">
        <v>66</v>
      </c>
      <c r="D328" s="3">
        <v>45573</v>
      </c>
      <c r="E328" t="str">
        <f>VLOOKUP(B328,'PROCV GERENTES BD'!A:B,2,0)</f>
        <v>ADMINISTRAÇÃO</v>
      </c>
      <c r="F328" s="4" t="str">
        <f t="shared" si="30"/>
        <v>2024-10</v>
      </c>
      <c r="G328" s="18">
        <f t="shared" si="31"/>
        <v>41</v>
      </c>
      <c r="H328" t="str">
        <f t="shared" si="32"/>
        <v>ADMINISTRAÇÃO</v>
      </c>
      <c r="I328" t="str">
        <f t="shared" si="33"/>
        <v>VIC LOGISTICA LTDA EM RECUPERACAO JUDICIAL</v>
      </c>
      <c r="J328">
        <f t="shared" si="34"/>
        <v>1</v>
      </c>
      <c r="K328">
        <f t="shared" si="35"/>
        <v>0</v>
      </c>
    </row>
    <row r="329" spans="1:11" x14ac:dyDescent="0.25">
      <c r="A329" t="s">
        <v>319</v>
      </c>
      <c r="B329" t="s">
        <v>80</v>
      </c>
      <c r="C329" t="s">
        <v>50</v>
      </c>
      <c r="D329" s="3">
        <v>45573</v>
      </c>
      <c r="E329" t="str">
        <f>VLOOKUP(B329,'PROCV GERENTES BD'!A:B,2,0)</f>
        <v>CELIO PIMENTA</v>
      </c>
      <c r="F329" s="4" t="str">
        <f t="shared" si="30"/>
        <v>2024-10</v>
      </c>
      <c r="G329" s="18">
        <f t="shared" si="31"/>
        <v>41</v>
      </c>
      <c r="H329" t="str">
        <f t="shared" si="32"/>
        <v>CELIO PIMENTA</v>
      </c>
      <c r="I329" t="str">
        <f t="shared" si="33"/>
        <v>IMPORTEXTIL COMERCIO DE TECIDOS LTDA</v>
      </c>
      <c r="J329">
        <f t="shared" si="34"/>
        <v>0</v>
      </c>
      <c r="K329">
        <f t="shared" si="35"/>
        <v>1</v>
      </c>
    </row>
    <row r="330" spans="1:11" x14ac:dyDescent="0.25">
      <c r="A330" t="s">
        <v>54</v>
      </c>
      <c r="B330" t="s">
        <v>55</v>
      </c>
      <c r="C330" t="s">
        <v>66</v>
      </c>
      <c r="D330" s="3">
        <v>45573</v>
      </c>
      <c r="E330" t="str">
        <f>VLOOKUP(B330,'PROCV GERENTES BD'!A:B,2,0)</f>
        <v>CELIO PIMENTA</v>
      </c>
      <c r="F330" s="4" t="str">
        <f t="shared" si="30"/>
        <v>2024-10</v>
      </c>
      <c r="G330" s="18">
        <f t="shared" si="31"/>
        <v>41</v>
      </c>
      <c r="H330" t="str">
        <f t="shared" si="32"/>
        <v>CELIO PIMENTA</v>
      </c>
      <c r="I330" t="str">
        <f t="shared" si="33"/>
        <v>WJ CALDEIRARIA INDUSTRIA E COMERCIO LTDA ME</v>
      </c>
      <c r="J330">
        <f t="shared" si="34"/>
        <v>1</v>
      </c>
      <c r="K330">
        <f t="shared" si="35"/>
        <v>0</v>
      </c>
    </row>
    <row r="331" spans="1:11" x14ac:dyDescent="0.25">
      <c r="A331" t="s">
        <v>358</v>
      </c>
      <c r="B331" t="s">
        <v>104</v>
      </c>
      <c r="C331" t="s">
        <v>50</v>
      </c>
      <c r="D331" s="3">
        <v>45573</v>
      </c>
      <c r="E331" t="str">
        <f>VLOOKUP(B331,'PROCV GERENTES BD'!A:B,2,0)</f>
        <v>DIOGO AZEVEDO</v>
      </c>
      <c r="F331" s="4" t="str">
        <f t="shared" si="30"/>
        <v>2024-10</v>
      </c>
      <c r="G331" s="18">
        <f t="shared" si="31"/>
        <v>41</v>
      </c>
      <c r="H331" t="str">
        <f t="shared" si="32"/>
        <v>DIOGO AZEVEDO</v>
      </c>
      <c r="I331" t="str">
        <f t="shared" si="33"/>
        <v>INDUSTRIA E CERVEJARIA ARTESANAL DE MINAS GERAIS L</v>
      </c>
      <c r="J331">
        <f t="shared" si="34"/>
        <v>0</v>
      </c>
      <c r="K331">
        <f t="shared" si="35"/>
        <v>1</v>
      </c>
    </row>
    <row r="332" spans="1:11" x14ac:dyDescent="0.25">
      <c r="A332" t="s">
        <v>324</v>
      </c>
      <c r="B332" t="s">
        <v>119</v>
      </c>
      <c r="C332" t="s">
        <v>50</v>
      </c>
      <c r="D332" s="3">
        <v>45573</v>
      </c>
      <c r="E332" t="str">
        <f>VLOOKUP(B332,'PROCV GERENTES BD'!A:B,2,0)</f>
        <v>PROSPECTAR</v>
      </c>
      <c r="F332" s="4" t="str">
        <f t="shared" si="30"/>
        <v>2024-10</v>
      </c>
      <c r="G332" s="18">
        <f t="shared" si="31"/>
        <v>41</v>
      </c>
      <c r="H332" t="str">
        <f t="shared" si="32"/>
        <v>PROSPECTAR</v>
      </c>
      <c r="I332" t="str">
        <f t="shared" si="33"/>
        <v>TRANSHENRY TRANSPORTES LTDA</v>
      </c>
      <c r="J332">
        <f t="shared" si="34"/>
        <v>0</v>
      </c>
      <c r="K332">
        <f t="shared" si="35"/>
        <v>1</v>
      </c>
    </row>
    <row r="333" spans="1:11" x14ac:dyDescent="0.25">
      <c r="A333" t="s">
        <v>350</v>
      </c>
      <c r="B333" t="s">
        <v>95</v>
      </c>
      <c r="C333" t="s">
        <v>50</v>
      </c>
      <c r="D333" s="3">
        <v>45573</v>
      </c>
      <c r="E333" t="str">
        <f>VLOOKUP(B333,'PROCV GERENTES BD'!A:B,2,0)</f>
        <v>GRUPO OTTO</v>
      </c>
      <c r="F333" s="4" t="str">
        <f t="shared" si="30"/>
        <v>2024-10</v>
      </c>
      <c r="G333" s="18">
        <f t="shared" si="31"/>
        <v>41</v>
      </c>
      <c r="H333" t="str">
        <f t="shared" si="32"/>
        <v>GRUPO OTTO</v>
      </c>
      <c r="I333" t="str">
        <f t="shared" si="33"/>
        <v>PLURIFORME INDUSTRIA E COMERCIO DE UNIFORMES LTDA</v>
      </c>
      <c r="J333">
        <f t="shared" si="34"/>
        <v>0</v>
      </c>
      <c r="K333">
        <f t="shared" si="35"/>
        <v>1</v>
      </c>
    </row>
    <row r="334" spans="1:11" x14ac:dyDescent="0.25">
      <c r="A334" t="s">
        <v>333</v>
      </c>
      <c r="B334" t="s">
        <v>82</v>
      </c>
      <c r="C334" t="s">
        <v>66</v>
      </c>
      <c r="D334" s="3">
        <v>45573</v>
      </c>
      <c r="E334" t="str">
        <f>VLOOKUP(B334,'PROCV GERENTES BD'!A:B,2,0)</f>
        <v>ADMINISTRAÇÃO</v>
      </c>
      <c r="F334" s="4" t="str">
        <f t="shared" si="30"/>
        <v>2024-10</v>
      </c>
      <c r="G334" s="18">
        <f t="shared" si="31"/>
        <v>41</v>
      </c>
      <c r="H334" t="str">
        <f t="shared" si="32"/>
        <v>ADMINISTRAÇÃO</v>
      </c>
      <c r="I334" t="str">
        <f t="shared" si="33"/>
        <v>BETMIX CONCRETO LTDA</v>
      </c>
      <c r="J334">
        <f t="shared" si="34"/>
        <v>1</v>
      </c>
      <c r="K334">
        <f t="shared" si="35"/>
        <v>0</v>
      </c>
    </row>
    <row r="335" spans="1:11" x14ac:dyDescent="0.25">
      <c r="A335" t="s">
        <v>375</v>
      </c>
      <c r="B335" t="s">
        <v>120</v>
      </c>
      <c r="C335" t="s">
        <v>66</v>
      </c>
      <c r="D335" s="3">
        <v>45573</v>
      </c>
      <c r="E335" t="str">
        <f>VLOOKUP(B335,'PROCV GERENTES BD'!A:B,2,0)</f>
        <v>ADMINISTRAÇÃO</v>
      </c>
      <c r="F335" s="4" t="str">
        <f t="shared" si="30"/>
        <v>2024-10</v>
      </c>
      <c r="G335" s="18">
        <f t="shared" si="31"/>
        <v>41</v>
      </c>
      <c r="H335" t="str">
        <f t="shared" si="32"/>
        <v>ADMINISTRAÇÃO</v>
      </c>
      <c r="I335" t="str">
        <f t="shared" si="33"/>
        <v>FARINELLI NUTRIMENTOS LTDA</v>
      </c>
      <c r="J335">
        <f t="shared" si="34"/>
        <v>1</v>
      </c>
      <c r="K335">
        <f t="shared" si="35"/>
        <v>0</v>
      </c>
    </row>
    <row r="336" spans="1:11" x14ac:dyDescent="0.25">
      <c r="A336" t="s">
        <v>340</v>
      </c>
      <c r="B336" t="s">
        <v>86</v>
      </c>
      <c r="C336" t="s">
        <v>50</v>
      </c>
      <c r="D336" s="3">
        <v>45573</v>
      </c>
      <c r="E336" t="str">
        <f>VLOOKUP(B336,'PROCV GERENTES BD'!A:B,2,0)</f>
        <v>NOELI SALETE</v>
      </c>
      <c r="F336" s="4" t="str">
        <f t="shared" si="30"/>
        <v>2024-10</v>
      </c>
      <c r="G336" s="18">
        <f t="shared" si="31"/>
        <v>41</v>
      </c>
      <c r="H336" t="str">
        <f t="shared" si="32"/>
        <v>NOELI SALETE</v>
      </c>
      <c r="I336" t="str">
        <f t="shared" si="33"/>
        <v>MEIO OESTE PAPEIS LTDA ME</v>
      </c>
      <c r="J336">
        <f t="shared" si="34"/>
        <v>0</v>
      </c>
      <c r="K336">
        <f t="shared" si="35"/>
        <v>1</v>
      </c>
    </row>
    <row r="337" spans="1:11" x14ac:dyDescent="0.25">
      <c r="A337" t="s">
        <v>400</v>
      </c>
      <c r="B337" t="s">
        <v>150</v>
      </c>
      <c r="C337" t="s">
        <v>50</v>
      </c>
      <c r="D337" s="3">
        <v>45573</v>
      </c>
      <c r="E337" t="str">
        <f>VLOOKUP(B337,'PROCV GERENTES BD'!A:B,2,0)</f>
        <v>NOELI SALETE</v>
      </c>
      <c r="F337" s="4" t="str">
        <f t="shared" si="30"/>
        <v>2024-10</v>
      </c>
      <c r="G337" s="18">
        <f t="shared" si="31"/>
        <v>41</v>
      </c>
      <c r="H337" t="str">
        <f t="shared" si="32"/>
        <v>NOELI SALETE</v>
      </c>
      <c r="I337" t="str">
        <f t="shared" si="33"/>
        <v>POOLMAK SISTEMAS ESTRUTURAIS LTDA</v>
      </c>
      <c r="J337">
        <f t="shared" si="34"/>
        <v>0</v>
      </c>
      <c r="K337">
        <f t="shared" si="35"/>
        <v>1</v>
      </c>
    </row>
    <row r="338" spans="1:11" x14ac:dyDescent="0.25">
      <c r="A338" t="s">
        <v>345</v>
      </c>
      <c r="B338" t="s">
        <v>90</v>
      </c>
      <c r="C338" t="s">
        <v>66</v>
      </c>
      <c r="D338" s="3">
        <v>45573</v>
      </c>
      <c r="E338" t="str">
        <f>VLOOKUP(B338,'PROCV GERENTES BD'!A:B,2,0)</f>
        <v>POENATELA</v>
      </c>
      <c r="F338" s="4" t="str">
        <f t="shared" si="30"/>
        <v>2024-10</v>
      </c>
      <c r="G338" s="18">
        <f t="shared" si="31"/>
        <v>41</v>
      </c>
      <c r="H338" t="str">
        <f t="shared" si="32"/>
        <v>POENATELA</v>
      </c>
      <c r="I338" t="str">
        <f t="shared" si="33"/>
        <v>GREEN FARMING FAZENDAS RENOVAVEIS LTDA</v>
      </c>
      <c r="J338">
        <f t="shared" si="34"/>
        <v>1</v>
      </c>
      <c r="K338">
        <f t="shared" si="35"/>
        <v>0</v>
      </c>
    </row>
    <row r="339" spans="1:11" x14ac:dyDescent="0.25">
      <c r="A339" t="s">
        <v>346</v>
      </c>
      <c r="B339" t="s">
        <v>91</v>
      </c>
      <c r="C339" t="s">
        <v>66</v>
      </c>
      <c r="D339" s="3">
        <v>45573</v>
      </c>
      <c r="E339" t="str">
        <f>VLOOKUP(B339,'PROCV GERENTES BD'!A:B,2,0)</f>
        <v>POENATELA</v>
      </c>
      <c r="F339" s="4" t="str">
        <f t="shared" si="30"/>
        <v>2024-10</v>
      </c>
      <c r="G339" s="18">
        <f t="shared" si="31"/>
        <v>41</v>
      </c>
      <c r="H339" t="str">
        <f t="shared" si="32"/>
        <v>POENATELA</v>
      </c>
      <c r="I339" t="str">
        <f t="shared" si="33"/>
        <v>UBERTEC SERVICE USINAGEM LTDA EPP</v>
      </c>
      <c r="J339">
        <f t="shared" si="34"/>
        <v>1</v>
      </c>
      <c r="K339">
        <f t="shared" si="35"/>
        <v>0</v>
      </c>
    </row>
    <row r="340" spans="1:11" x14ac:dyDescent="0.25">
      <c r="A340" t="s">
        <v>405</v>
      </c>
      <c r="B340" t="s">
        <v>155</v>
      </c>
      <c r="C340" t="s">
        <v>50</v>
      </c>
      <c r="D340" s="3">
        <v>45573</v>
      </c>
      <c r="E340" t="str">
        <f>VLOOKUP(B340,'PROCV GERENTES BD'!A:B,2,0)</f>
        <v>ADMINISTRAÇÃO</v>
      </c>
      <c r="F340" s="4" t="str">
        <f t="shared" si="30"/>
        <v>2024-10</v>
      </c>
      <c r="G340" s="18">
        <f t="shared" si="31"/>
        <v>41</v>
      </c>
      <c r="H340" t="str">
        <f t="shared" si="32"/>
        <v>ADMINISTRAÇÃO</v>
      </c>
      <c r="I340" t="str">
        <f t="shared" si="33"/>
        <v>PARTNER SECURITY SERVICOS DE SEGURANCA LTDA</v>
      </c>
      <c r="J340">
        <f t="shared" si="34"/>
        <v>0</v>
      </c>
      <c r="K340">
        <f t="shared" si="35"/>
        <v>1</v>
      </c>
    </row>
    <row r="341" spans="1:11" x14ac:dyDescent="0.25">
      <c r="A341" t="s">
        <v>325</v>
      </c>
      <c r="B341" t="s">
        <v>138</v>
      </c>
      <c r="C341" t="s">
        <v>66</v>
      </c>
      <c r="D341" s="3">
        <v>45573</v>
      </c>
      <c r="E341" t="str">
        <f>VLOOKUP(B341,'PROCV GERENTES BD'!A:B,2,0)</f>
        <v>SACADO</v>
      </c>
      <c r="F341" s="4" t="str">
        <f t="shared" si="30"/>
        <v>2024-10</v>
      </c>
      <c r="G341" s="18">
        <f t="shared" si="31"/>
        <v>41</v>
      </c>
      <c r="H341" t="str">
        <f t="shared" si="32"/>
        <v>SACADO</v>
      </c>
      <c r="I341" t="str">
        <f t="shared" si="33"/>
        <v>ALLIAGE S A INDUSTRIAS MEDICO ODONTOLOGICA</v>
      </c>
      <c r="J341">
        <f t="shared" si="34"/>
        <v>1</v>
      </c>
      <c r="K341">
        <f t="shared" si="35"/>
        <v>0</v>
      </c>
    </row>
    <row r="342" spans="1:11" x14ac:dyDescent="0.25">
      <c r="A342" t="s">
        <v>348</v>
      </c>
      <c r="B342" t="s">
        <v>93</v>
      </c>
      <c r="C342" t="s">
        <v>50</v>
      </c>
      <c r="D342" s="3">
        <v>45573</v>
      </c>
      <c r="E342" t="str">
        <f>VLOOKUP(B342,'PROCV GERENTES BD'!A:B,2,0)</f>
        <v>WHELKYA IRIS</v>
      </c>
      <c r="F342" s="4" t="str">
        <f t="shared" si="30"/>
        <v>2024-10</v>
      </c>
      <c r="G342" s="18">
        <f t="shared" si="31"/>
        <v>41</v>
      </c>
      <c r="H342" t="str">
        <f t="shared" si="32"/>
        <v>WHELKYA IRIS</v>
      </c>
      <c r="I342" t="str">
        <f t="shared" si="33"/>
        <v>DIVINA INDUSTRIA DE COURO LTDA</v>
      </c>
      <c r="J342">
        <f t="shared" si="34"/>
        <v>0</v>
      </c>
      <c r="K342">
        <f t="shared" si="35"/>
        <v>1</v>
      </c>
    </row>
    <row r="343" spans="1:11" x14ac:dyDescent="0.25">
      <c r="A343" t="s">
        <v>406</v>
      </c>
      <c r="B343" t="s">
        <v>156</v>
      </c>
      <c r="C343" t="s">
        <v>50</v>
      </c>
      <c r="D343" s="3">
        <v>45574</v>
      </c>
      <c r="E343" t="str">
        <f>VLOOKUP(B343,'PROCV GERENTES BD'!A:B,2,0)</f>
        <v>ADMINISTRAÇÃO</v>
      </c>
      <c r="F343" s="4" t="str">
        <f t="shared" si="30"/>
        <v>2024-10</v>
      </c>
      <c r="G343" s="18">
        <f t="shared" si="31"/>
        <v>41</v>
      </c>
      <c r="H343" t="str">
        <f t="shared" si="32"/>
        <v>ADMINISTRAÇÃO</v>
      </c>
      <c r="I343" t="str">
        <f t="shared" si="33"/>
        <v>RIMAG COMERCIO ATACADISTA DE ALIMENTOS IMPORTACAO</v>
      </c>
      <c r="J343">
        <f t="shared" si="34"/>
        <v>0</v>
      </c>
      <c r="K343">
        <f t="shared" si="35"/>
        <v>1</v>
      </c>
    </row>
    <row r="344" spans="1:11" x14ac:dyDescent="0.25">
      <c r="A344" t="s">
        <v>319</v>
      </c>
      <c r="B344" t="s">
        <v>80</v>
      </c>
      <c r="C344" t="s">
        <v>53</v>
      </c>
      <c r="D344" s="3">
        <v>45574</v>
      </c>
      <c r="E344" t="str">
        <f>VLOOKUP(B344,'PROCV GERENTES BD'!A:B,2,0)</f>
        <v>CELIO PIMENTA</v>
      </c>
      <c r="F344" s="4" t="str">
        <f t="shared" si="30"/>
        <v>2024-10</v>
      </c>
      <c r="G344" s="18">
        <f t="shared" si="31"/>
        <v>41</v>
      </c>
      <c r="H344" t="str">
        <f t="shared" si="32"/>
        <v>CELIO PIMENTA</v>
      </c>
      <c r="I344" t="str">
        <f t="shared" si="33"/>
        <v>IMPORTEXTIL COMERCIO DE TECIDOS LTDA</v>
      </c>
      <c r="J344">
        <f t="shared" si="34"/>
        <v>1</v>
      </c>
      <c r="K344">
        <f t="shared" si="35"/>
        <v>1</v>
      </c>
    </row>
    <row r="345" spans="1:11" x14ac:dyDescent="0.25">
      <c r="A345" t="s">
        <v>324</v>
      </c>
      <c r="B345" t="s">
        <v>119</v>
      </c>
      <c r="C345" t="s">
        <v>66</v>
      </c>
      <c r="D345" s="3">
        <v>45574</v>
      </c>
      <c r="E345" t="str">
        <f>VLOOKUP(B345,'PROCV GERENTES BD'!A:B,2,0)</f>
        <v>PROSPECTAR</v>
      </c>
      <c r="F345" s="4" t="str">
        <f t="shared" si="30"/>
        <v>2024-10</v>
      </c>
      <c r="G345" s="18">
        <f t="shared" si="31"/>
        <v>41</v>
      </c>
      <c r="H345" t="str">
        <f t="shared" si="32"/>
        <v>PROSPECTAR</v>
      </c>
      <c r="I345" t="str">
        <f t="shared" si="33"/>
        <v>TRANSHENRY TRANSPORTES LTDA</v>
      </c>
      <c r="J345">
        <f t="shared" si="34"/>
        <v>1</v>
      </c>
      <c r="K345">
        <f t="shared" si="35"/>
        <v>0</v>
      </c>
    </row>
    <row r="346" spans="1:11" x14ac:dyDescent="0.25">
      <c r="A346" t="s">
        <v>395</v>
      </c>
      <c r="B346" t="s">
        <v>145</v>
      </c>
      <c r="C346" t="s">
        <v>50</v>
      </c>
      <c r="D346" s="3">
        <v>45574</v>
      </c>
      <c r="E346" t="str">
        <f>VLOOKUP(B346,'PROCV GERENTES BD'!A:B,2,0)</f>
        <v>MARCIO LEONEL</v>
      </c>
      <c r="F346" s="4" t="str">
        <f t="shared" si="30"/>
        <v>2024-10</v>
      </c>
      <c r="G346" s="18">
        <f t="shared" si="31"/>
        <v>41</v>
      </c>
      <c r="H346" t="str">
        <f t="shared" si="32"/>
        <v>MARCIO LEONEL</v>
      </c>
      <c r="I346" t="str">
        <f t="shared" si="33"/>
        <v>MEDICAL PRIME IMP EXPORT DISTRIB PRODUTOS MEDICOS</v>
      </c>
      <c r="J346">
        <f t="shared" si="34"/>
        <v>0</v>
      </c>
      <c r="K346">
        <f t="shared" si="35"/>
        <v>1</v>
      </c>
    </row>
    <row r="347" spans="1:11" x14ac:dyDescent="0.25">
      <c r="A347" t="s">
        <v>339</v>
      </c>
      <c r="B347" t="s">
        <v>87</v>
      </c>
      <c r="C347" t="s">
        <v>50</v>
      </c>
      <c r="D347" s="3">
        <v>45574</v>
      </c>
      <c r="E347" t="str">
        <f>VLOOKUP(B347,'PROCV GERENTES BD'!A:B,2,0)</f>
        <v>NOELI SALETE</v>
      </c>
      <c r="F347" s="4" t="str">
        <f t="shared" si="30"/>
        <v>2024-10</v>
      </c>
      <c r="G347" s="18">
        <f t="shared" si="31"/>
        <v>41</v>
      </c>
      <c r="H347" t="str">
        <f t="shared" si="32"/>
        <v>NOELI SALETE</v>
      </c>
      <c r="I347" t="str">
        <f t="shared" si="33"/>
        <v>RODOBOX TRANSPORTES E ARMAZENAGEM DE CARGAS LTDA</v>
      </c>
      <c r="J347">
        <f t="shared" si="34"/>
        <v>0</v>
      </c>
      <c r="K347">
        <f t="shared" si="35"/>
        <v>1</v>
      </c>
    </row>
    <row r="348" spans="1:11" x14ac:dyDescent="0.25">
      <c r="A348" t="s">
        <v>407</v>
      </c>
      <c r="B348" t="s">
        <v>157</v>
      </c>
      <c r="C348" t="s">
        <v>66</v>
      </c>
      <c r="D348" s="3">
        <v>45574</v>
      </c>
      <c r="E348" t="str">
        <f>VLOOKUP(B348,'PROCV GERENTES BD'!A:B,2,0)</f>
        <v>NOELI SALETE</v>
      </c>
      <c r="F348" s="4" t="str">
        <f t="shared" si="30"/>
        <v>2024-10</v>
      </c>
      <c r="G348" s="18">
        <f t="shared" si="31"/>
        <v>41</v>
      </c>
      <c r="H348" t="str">
        <f t="shared" si="32"/>
        <v>NOELI SALETE</v>
      </c>
      <c r="I348" t="str">
        <f t="shared" si="33"/>
        <v>SGAMAQ INOVACAO AGROINDUSTRIAL LTDA</v>
      </c>
      <c r="J348">
        <f t="shared" si="34"/>
        <v>1</v>
      </c>
      <c r="K348">
        <f t="shared" si="35"/>
        <v>0</v>
      </c>
    </row>
    <row r="349" spans="1:11" x14ac:dyDescent="0.25">
      <c r="A349" t="s">
        <v>346</v>
      </c>
      <c r="B349" t="s">
        <v>91</v>
      </c>
      <c r="C349" t="s">
        <v>50</v>
      </c>
      <c r="D349" s="3">
        <v>45574</v>
      </c>
      <c r="E349" t="str">
        <f>VLOOKUP(B349,'PROCV GERENTES BD'!A:B,2,0)</f>
        <v>POENATELA</v>
      </c>
      <c r="F349" s="4" t="str">
        <f t="shared" si="30"/>
        <v>2024-10</v>
      </c>
      <c r="G349" s="18">
        <f t="shared" si="31"/>
        <v>41</v>
      </c>
      <c r="H349" t="str">
        <f t="shared" si="32"/>
        <v>POENATELA</v>
      </c>
      <c r="I349" t="str">
        <f t="shared" si="33"/>
        <v>UBERTEC SERVICE USINAGEM LTDA EPP</v>
      </c>
      <c r="J349">
        <f t="shared" si="34"/>
        <v>0</v>
      </c>
      <c r="K349">
        <f t="shared" si="35"/>
        <v>1</v>
      </c>
    </row>
    <row r="350" spans="1:11" x14ac:dyDescent="0.25">
      <c r="A350" t="s">
        <v>408</v>
      </c>
      <c r="B350" t="s">
        <v>158</v>
      </c>
      <c r="C350" t="s">
        <v>50</v>
      </c>
      <c r="D350" s="3">
        <v>45574</v>
      </c>
      <c r="E350" t="str">
        <f>VLOOKUP(B350,'PROCV GERENTES BD'!A:B,2,0)</f>
        <v>PRISCILA METZ</v>
      </c>
      <c r="F350" s="4" t="str">
        <f t="shared" si="30"/>
        <v>2024-10</v>
      </c>
      <c r="G350" s="18">
        <f t="shared" si="31"/>
        <v>41</v>
      </c>
      <c r="H350" t="str">
        <f t="shared" si="32"/>
        <v>PRISCILA METZ</v>
      </c>
      <c r="I350" t="str">
        <f t="shared" si="33"/>
        <v>37 054 821 LARISSA GONTIJO AZEVEDO ME</v>
      </c>
      <c r="J350">
        <f t="shared" si="34"/>
        <v>0</v>
      </c>
      <c r="K350">
        <f t="shared" si="35"/>
        <v>1</v>
      </c>
    </row>
    <row r="351" spans="1:11" x14ac:dyDescent="0.25">
      <c r="A351" t="s">
        <v>353</v>
      </c>
      <c r="B351" t="s">
        <v>97</v>
      </c>
      <c r="C351" t="s">
        <v>50</v>
      </c>
      <c r="D351" s="3">
        <v>45574</v>
      </c>
      <c r="E351" t="str">
        <f>VLOOKUP(B351,'PROCV GERENTES BD'!A:B,2,0)</f>
        <v>PRISCILA METZ</v>
      </c>
      <c r="F351" s="4" t="str">
        <f t="shared" si="30"/>
        <v>2024-10</v>
      </c>
      <c r="G351" s="18">
        <f t="shared" si="31"/>
        <v>41</v>
      </c>
      <c r="H351" t="str">
        <f t="shared" si="32"/>
        <v>PRISCILA METZ</v>
      </c>
      <c r="I351" t="str">
        <f t="shared" si="33"/>
        <v>ESSENZA INDUSTRIA QUIMICA LTDA</v>
      </c>
      <c r="J351">
        <f t="shared" si="34"/>
        <v>0</v>
      </c>
      <c r="K351">
        <f t="shared" si="35"/>
        <v>1</v>
      </c>
    </row>
    <row r="352" spans="1:11" x14ac:dyDescent="0.25">
      <c r="A352" t="s">
        <v>409</v>
      </c>
      <c r="B352" t="s">
        <v>159</v>
      </c>
      <c r="C352" t="s">
        <v>50</v>
      </c>
      <c r="D352" s="3">
        <v>45574</v>
      </c>
      <c r="E352" t="str">
        <f>VLOOKUP(B352,'PROCV GERENTES BD'!A:B,2,0)</f>
        <v>RAFAEL PARISE</v>
      </c>
      <c r="F352" s="4" t="str">
        <f t="shared" si="30"/>
        <v>2024-10</v>
      </c>
      <c r="G352" s="18">
        <f t="shared" si="31"/>
        <v>41</v>
      </c>
      <c r="H352" t="str">
        <f t="shared" si="32"/>
        <v>RAFAEL PARISE</v>
      </c>
      <c r="I352" t="str">
        <f t="shared" si="33"/>
        <v>OXIGAS RESIDUOS ESPECIAIS LTDA EPP</v>
      </c>
      <c r="J352">
        <f t="shared" si="34"/>
        <v>0</v>
      </c>
      <c r="K352">
        <f t="shared" si="35"/>
        <v>1</v>
      </c>
    </row>
    <row r="353" spans="1:11" x14ac:dyDescent="0.25">
      <c r="A353" t="s">
        <v>326</v>
      </c>
      <c r="B353" t="s">
        <v>122</v>
      </c>
      <c r="C353" t="s">
        <v>50</v>
      </c>
      <c r="D353" s="3">
        <v>45574</v>
      </c>
      <c r="E353" t="s">
        <v>21</v>
      </c>
      <c r="F353" s="4" t="str">
        <f t="shared" si="30"/>
        <v>2024-10</v>
      </c>
      <c r="G353" s="18">
        <f t="shared" si="31"/>
        <v>41</v>
      </c>
      <c r="H353" t="str">
        <f t="shared" si="32"/>
        <v xml:space="preserve">ROGERIO </v>
      </c>
      <c r="I353" t="str">
        <f t="shared" si="33"/>
        <v>BIBE PRODUTOS INFANTIS LTDA</v>
      </c>
      <c r="J353">
        <f t="shared" si="34"/>
        <v>0</v>
      </c>
      <c r="K353">
        <f t="shared" si="35"/>
        <v>1</v>
      </c>
    </row>
    <row r="354" spans="1:11" x14ac:dyDescent="0.25">
      <c r="A354" t="s">
        <v>406</v>
      </c>
      <c r="B354" t="s">
        <v>156</v>
      </c>
      <c r="C354" t="s">
        <v>66</v>
      </c>
      <c r="D354" s="3">
        <v>45575</v>
      </c>
      <c r="E354" t="str">
        <f>VLOOKUP(B354,'PROCV GERENTES BD'!A:B,2,0)</f>
        <v>ADMINISTRAÇÃO</v>
      </c>
      <c r="F354" s="4" t="str">
        <f t="shared" si="30"/>
        <v>2024-10</v>
      </c>
      <c r="G354" s="18">
        <f t="shared" si="31"/>
        <v>41</v>
      </c>
      <c r="H354" t="str">
        <f t="shared" si="32"/>
        <v>ADMINISTRAÇÃO</v>
      </c>
      <c r="I354" t="str">
        <f t="shared" si="33"/>
        <v>RIMAG COMERCIO ATACADISTA DE ALIMENTOS IMPORTACAO</v>
      </c>
      <c r="J354">
        <f t="shared" si="34"/>
        <v>1</v>
      </c>
      <c r="K354">
        <f t="shared" si="35"/>
        <v>0</v>
      </c>
    </row>
    <row r="355" spans="1:11" x14ac:dyDescent="0.25">
      <c r="A355" t="s">
        <v>319</v>
      </c>
      <c r="B355" t="s">
        <v>80</v>
      </c>
      <c r="C355" t="s">
        <v>53</v>
      </c>
      <c r="D355" s="3">
        <v>45575</v>
      </c>
      <c r="E355" t="str">
        <f>VLOOKUP(B355,'PROCV GERENTES BD'!A:B,2,0)</f>
        <v>CELIO PIMENTA</v>
      </c>
      <c r="F355" s="4" t="str">
        <f t="shared" si="30"/>
        <v>2024-10</v>
      </c>
      <c r="G355" s="18">
        <f t="shared" si="31"/>
        <v>41</v>
      </c>
      <c r="H355" t="str">
        <f t="shared" si="32"/>
        <v>CELIO PIMENTA</v>
      </c>
      <c r="I355" t="str">
        <f t="shared" si="33"/>
        <v>IMPORTEXTIL COMERCIO DE TECIDOS LTDA</v>
      </c>
      <c r="J355">
        <f t="shared" si="34"/>
        <v>1</v>
      </c>
      <c r="K355">
        <f t="shared" si="35"/>
        <v>1</v>
      </c>
    </row>
    <row r="356" spans="1:11" x14ac:dyDescent="0.25">
      <c r="A356" t="s">
        <v>410</v>
      </c>
      <c r="B356" t="s">
        <v>160</v>
      </c>
      <c r="C356" t="s">
        <v>50</v>
      </c>
      <c r="D356" s="3">
        <v>45575</v>
      </c>
      <c r="E356" t="str">
        <f>VLOOKUP(B356,'PROCV GERENTES BD'!A:B,2,0)</f>
        <v>PROSPECTAR</v>
      </c>
      <c r="F356" s="4" t="str">
        <f t="shared" si="30"/>
        <v>2024-10</v>
      </c>
      <c r="G356" s="18">
        <f t="shared" si="31"/>
        <v>41</v>
      </c>
      <c r="H356" t="str">
        <f t="shared" si="32"/>
        <v>PROSPECTAR</v>
      </c>
      <c r="I356" t="str">
        <f t="shared" si="33"/>
        <v>ESCUDO ADMINISTRACAO E SERVICOS LTDA EM RECUPERACA</v>
      </c>
      <c r="J356">
        <f t="shared" si="34"/>
        <v>0</v>
      </c>
      <c r="K356">
        <f t="shared" si="35"/>
        <v>1</v>
      </c>
    </row>
    <row r="357" spans="1:11" x14ac:dyDescent="0.25">
      <c r="A357" t="s">
        <v>411</v>
      </c>
      <c r="B357" t="s">
        <v>161</v>
      </c>
      <c r="C357" t="s">
        <v>50</v>
      </c>
      <c r="D357" s="3">
        <v>45575</v>
      </c>
      <c r="E357" t="str">
        <f>VLOOKUP(B357,'PROCV GERENTES BD'!A:B,2,0)</f>
        <v>PROSPECTAR</v>
      </c>
      <c r="F357" s="4" t="str">
        <f t="shared" si="30"/>
        <v>2024-10</v>
      </c>
      <c r="G357" s="18">
        <f t="shared" si="31"/>
        <v>41</v>
      </c>
      <c r="H357" t="str">
        <f t="shared" si="32"/>
        <v>PROSPECTAR</v>
      </c>
      <c r="I357" t="str">
        <f t="shared" si="33"/>
        <v>ESCUDO VIGILANCIA E SEGURANCA LTDA EM RECUPERACAO</v>
      </c>
      <c r="J357">
        <f t="shared" si="34"/>
        <v>0</v>
      </c>
      <c r="K357">
        <f t="shared" si="35"/>
        <v>1</v>
      </c>
    </row>
    <row r="358" spans="1:11" x14ac:dyDescent="0.25">
      <c r="A358" t="s">
        <v>412</v>
      </c>
      <c r="B358" t="s">
        <v>162</v>
      </c>
      <c r="C358" t="s">
        <v>50</v>
      </c>
      <c r="D358" s="3">
        <v>45575</v>
      </c>
      <c r="E358" t="str">
        <f>VLOOKUP(B358,'PROCV GERENTES BD'!A:B,2,0)</f>
        <v>PROSPECTAR</v>
      </c>
      <c r="F358" s="4" t="str">
        <f t="shared" si="30"/>
        <v>2024-10</v>
      </c>
      <c r="G358" s="18">
        <f t="shared" si="31"/>
        <v>41</v>
      </c>
      <c r="H358" t="str">
        <f t="shared" si="32"/>
        <v>PROSPECTAR</v>
      </c>
      <c r="I358" t="str">
        <f t="shared" si="33"/>
        <v>MORIA PRESTACAO DE SERVICOS LTDA ME</v>
      </c>
      <c r="J358">
        <f t="shared" si="34"/>
        <v>0</v>
      </c>
      <c r="K358">
        <f t="shared" si="35"/>
        <v>1</v>
      </c>
    </row>
    <row r="359" spans="1:11" x14ac:dyDescent="0.25">
      <c r="A359" t="s">
        <v>346</v>
      </c>
      <c r="B359" t="s">
        <v>91</v>
      </c>
      <c r="C359" t="s">
        <v>66</v>
      </c>
      <c r="D359" s="3">
        <v>45575</v>
      </c>
      <c r="E359" t="str">
        <f>VLOOKUP(B359,'PROCV GERENTES BD'!A:B,2,0)</f>
        <v>POENATELA</v>
      </c>
      <c r="F359" s="4" t="str">
        <f t="shared" si="30"/>
        <v>2024-10</v>
      </c>
      <c r="G359" s="18">
        <f t="shared" si="31"/>
        <v>41</v>
      </c>
      <c r="H359" t="str">
        <f t="shared" si="32"/>
        <v>POENATELA</v>
      </c>
      <c r="I359" t="str">
        <f t="shared" si="33"/>
        <v>UBERTEC SERVICE USINAGEM LTDA EPP</v>
      </c>
      <c r="J359">
        <f t="shared" si="34"/>
        <v>1</v>
      </c>
      <c r="K359">
        <f t="shared" si="35"/>
        <v>0</v>
      </c>
    </row>
    <row r="360" spans="1:11" x14ac:dyDescent="0.25">
      <c r="A360" t="s">
        <v>390</v>
      </c>
      <c r="B360" t="s">
        <v>137</v>
      </c>
      <c r="C360" t="s">
        <v>66</v>
      </c>
      <c r="D360" s="3">
        <v>45575</v>
      </c>
      <c r="E360" t="str">
        <f>VLOOKUP(B360,'PROCV GERENTES BD'!A:B,2,0)</f>
        <v>PRISCILA METZ</v>
      </c>
      <c r="F360" s="4" t="str">
        <f t="shared" si="30"/>
        <v>2024-10</v>
      </c>
      <c r="G360" s="18">
        <f t="shared" si="31"/>
        <v>41</v>
      </c>
      <c r="H360" t="str">
        <f t="shared" si="32"/>
        <v>PRISCILA METZ</v>
      </c>
      <c r="I360" t="str">
        <f t="shared" si="33"/>
        <v>VLF IMPERIAL LATICINIOS LTDA ME</v>
      </c>
      <c r="J360">
        <f t="shared" si="34"/>
        <v>1</v>
      </c>
      <c r="K360">
        <f t="shared" si="35"/>
        <v>0</v>
      </c>
    </row>
    <row r="361" spans="1:11" x14ac:dyDescent="0.25">
      <c r="A361" t="s">
        <v>405</v>
      </c>
      <c r="B361" t="s">
        <v>155</v>
      </c>
      <c r="C361" t="s">
        <v>66</v>
      </c>
      <c r="D361" s="3">
        <v>45575</v>
      </c>
      <c r="E361" t="str">
        <f>VLOOKUP(B361,'PROCV GERENTES BD'!A:B,2,0)</f>
        <v>ADMINISTRAÇÃO</v>
      </c>
      <c r="F361" s="4" t="str">
        <f t="shared" si="30"/>
        <v>2024-10</v>
      </c>
      <c r="G361" s="18">
        <f t="shared" si="31"/>
        <v>41</v>
      </c>
      <c r="H361" t="str">
        <f t="shared" si="32"/>
        <v>ADMINISTRAÇÃO</v>
      </c>
      <c r="I361" t="str">
        <f t="shared" si="33"/>
        <v>PARTNER SECURITY SERVICOS DE SEGURANCA LTDA</v>
      </c>
      <c r="J361">
        <f t="shared" si="34"/>
        <v>1</v>
      </c>
      <c r="K361">
        <f t="shared" si="35"/>
        <v>0</v>
      </c>
    </row>
    <row r="362" spans="1:11" x14ac:dyDescent="0.25">
      <c r="A362" t="s">
        <v>413</v>
      </c>
      <c r="B362" t="s">
        <v>163</v>
      </c>
      <c r="C362" t="s">
        <v>327</v>
      </c>
      <c r="D362" s="3">
        <v>45576</v>
      </c>
      <c r="E362" t="str">
        <f>VLOOKUP(B362,'PROCV GERENTES BD'!A:B,2,0)</f>
        <v>CELIO PIMENTA</v>
      </c>
      <c r="F362" s="4" t="str">
        <f t="shared" si="30"/>
        <v>2024-10</v>
      </c>
      <c r="G362" s="18">
        <f t="shared" si="31"/>
        <v>41</v>
      </c>
      <c r="H362" t="str">
        <f t="shared" si="32"/>
        <v>CELIO PIMENTA</v>
      </c>
      <c r="I362" t="str">
        <f t="shared" si="33"/>
        <v>TOUROS IMPLEMENTOS LTDA ME</v>
      </c>
      <c r="J362">
        <f t="shared" si="34"/>
        <v>0</v>
      </c>
      <c r="K362">
        <f t="shared" si="35"/>
        <v>0</v>
      </c>
    </row>
    <row r="363" spans="1:11" x14ac:dyDescent="0.25">
      <c r="A363" t="s">
        <v>413</v>
      </c>
      <c r="B363" t="s">
        <v>163</v>
      </c>
      <c r="C363" t="s">
        <v>50</v>
      </c>
      <c r="D363" s="3">
        <f>D362</f>
        <v>45576</v>
      </c>
      <c r="E363" t="str">
        <f>VLOOKUP(B363,'PROCV GERENTES BD'!A:B,2,0)</f>
        <v>CELIO PIMENTA</v>
      </c>
      <c r="F363" s="4" t="str">
        <f t="shared" si="30"/>
        <v>2024-10</v>
      </c>
      <c r="G363" s="18">
        <f t="shared" si="31"/>
        <v>41</v>
      </c>
      <c r="H363" t="str">
        <f t="shared" si="32"/>
        <v>CELIO PIMENTA</v>
      </c>
      <c r="I363" t="str">
        <f t="shared" si="33"/>
        <v>TOUROS IMPLEMENTOS LTDA ME</v>
      </c>
      <c r="J363">
        <f t="shared" si="34"/>
        <v>0</v>
      </c>
      <c r="K363">
        <f t="shared" si="35"/>
        <v>1</v>
      </c>
    </row>
    <row r="364" spans="1:11" x14ac:dyDescent="0.25">
      <c r="A364" t="s">
        <v>319</v>
      </c>
      <c r="B364" t="s">
        <v>80</v>
      </c>
      <c r="C364" t="s">
        <v>50</v>
      </c>
      <c r="D364" s="3">
        <v>45577</v>
      </c>
      <c r="E364" t="str">
        <f>VLOOKUP(B364,'PROCV GERENTES BD'!A:B,2,0)</f>
        <v>CELIO PIMENTA</v>
      </c>
      <c r="F364" s="4" t="str">
        <f t="shared" si="30"/>
        <v>2024-10</v>
      </c>
      <c r="G364" s="18">
        <f t="shared" si="31"/>
        <v>41</v>
      </c>
      <c r="H364" t="str">
        <f t="shared" si="32"/>
        <v>CELIO PIMENTA</v>
      </c>
      <c r="I364" t="str">
        <f t="shared" si="33"/>
        <v>IMPORTEXTIL COMERCIO DE TECIDOS LTDA</v>
      </c>
      <c r="J364">
        <f t="shared" si="34"/>
        <v>0</v>
      </c>
      <c r="K364">
        <f t="shared" si="35"/>
        <v>1</v>
      </c>
    </row>
    <row r="365" spans="1:11" x14ac:dyDescent="0.25">
      <c r="A365" t="s">
        <v>411</v>
      </c>
      <c r="B365" t="s">
        <v>161</v>
      </c>
      <c r="C365" t="s">
        <v>66</v>
      </c>
      <c r="D365" s="3">
        <v>45577</v>
      </c>
      <c r="E365" t="str">
        <f>VLOOKUP(B365,'PROCV GERENTES BD'!A:B,2,0)</f>
        <v>PROSPECTAR</v>
      </c>
      <c r="F365" s="4" t="str">
        <f t="shared" si="30"/>
        <v>2024-10</v>
      </c>
      <c r="G365" s="18">
        <f t="shared" si="31"/>
        <v>41</v>
      </c>
      <c r="H365" t="str">
        <f t="shared" si="32"/>
        <v>PROSPECTAR</v>
      </c>
      <c r="I365" t="str">
        <f t="shared" si="33"/>
        <v>ESCUDO VIGILANCIA E SEGURANCA LTDA EM RECUPERACAO</v>
      </c>
      <c r="J365">
        <f t="shared" si="34"/>
        <v>1</v>
      </c>
      <c r="K365">
        <f t="shared" si="35"/>
        <v>0</v>
      </c>
    </row>
    <row r="366" spans="1:11" x14ac:dyDescent="0.25">
      <c r="A366" t="s">
        <v>323</v>
      </c>
      <c r="B366" t="s">
        <v>109</v>
      </c>
      <c r="C366" t="s">
        <v>53</v>
      </c>
      <c r="D366" s="3">
        <v>45577</v>
      </c>
      <c r="E366" t="str">
        <f>VLOOKUP(B366,'PROCV GERENTES BD'!A:B,2,0)</f>
        <v>PROSPECTAR</v>
      </c>
      <c r="F366" s="4" t="str">
        <f t="shared" si="30"/>
        <v>2024-10</v>
      </c>
      <c r="G366" s="18">
        <f t="shared" si="31"/>
        <v>41</v>
      </c>
      <c r="H366" t="str">
        <f t="shared" si="32"/>
        <v>PROSPECTAR</v>
      </c>
      <c r="I366" t="str">
        <f t="shared" si="33"/>
        <v>SIAP COMERCIO DE PRODUTOS AGROPECUARIOS LTDA</v>
      </c>
      <c r="J366">
        <f t="shared" si="34"/>
        <v>1</v>
      </c>
      <c r="K366">
        <f t="shared" si="35"/>
        <v>1</v>
      </c>
    </row>
    <row r="367" spans="1:11" x14ac:dyDescent="0.25">
      <c r="A367" t="s">
        <v>340</v>
      </c>
      <c r="B367" t="s">
        <v>86</v>
      </c>
      <c r="C367" t="s">
        <v>50</v>
      </c>
      <c r="D367" s="3">
        <v>45577</v>
      </c>
      <c r="E367" t="str">
        <f>VLOOKUP(B367,'PROCV GERENTES BD'!A:B,2,0)</f>
        <v>NOELI SALETE</v>
      </c>
      <c r="F367" s="4" t="str">
        <f t="shared" si="30"/>
        <v>2024-10</v>
      </c>
      <c r="G367" s="18">
        <f t="shared" si="31"/>
        <v>41</v>
      </c>
      <c r="H367" t="str">
        <f t="shared" si="32"/>
        <v>NOELI SALETE</v>
      </c>
      <c r="I367" t="str">
        <f t="shared" si="33"/>
        <v>MEIO OESTE PAPEIS LTDA ME</v>
      </c>
      <c r="J367">
        <f t="shared" si="34"/>
        <v>0</v>
      </c>
      <c r="K367">
        <f t="shared" si="35"/>
        <v>1</v>
      </c>
    </row>
    <row r="368" spans="1:11" x14ac:dyDescent="0.25">
      <c r="A368" t="s">
        <v>407</v>
      </c>
      <c r="B368" t="s">
        <v>157</v>
      </c>
      <c r="C368" t="s">
        <v>66</v>
      </c>
      <c r="D368" s="3">
        <v>45577</v>
      </c>
      <c r="E368" t="str">
        <f>VLOOKUP(B368,'PROCV GERENTES BD'!A:B,2,0)</f>
        <v>NOELI SALETE</v>
      </c>
      <c r="F368" s="4" t="str">
        <f t="shared" si="30"/>
        <v>2024-10</v>
      </c>
      <c r="G368" s="18">
        <f t="shared" si="31"/>
        <v>41</v>
      </c>
      <c r="H368" t="str">
        <f t="shared" si="32"/>
        <v>NOELI SALETE</v>
      </c>
      <c r="I368" t="str">
        <f t="shared" si="33"/>
        <v>SGAMAQ INOVACAO AGROINDUSTRIAL LTDA</v>
      </c>
      <c r="J368">
        <f t="shared" si="34"/>
        <v>1</v>
      </c>
      <c r="K368">
        <f t="shared" si="35"/>
        <v>0</v>
      </c>
    </row>
    <row r="369" spans="1:11" x14ac:dyDescent="0.25">
      <c r="A369" t="s">
        <v>376</v>
      </c>
      <c r="B369" t="s">
        <v>121</v>
      </c>
      <c r="C369" t="s">
        <v>50</v>
      </c>
      <c r="D369" s="3">
        <v>45577</v>
      </c>
      <c r="E369" t="str">
        <f>VLOOKUP(B369,'PROCV GERENTES BD'!A:B,2,0)</f>
        <v>PRISCILA METZ</v>
      </c>
      <c r="F369" s="4" t="str">
        <f t="shared" si="30"/>
        <v>2024-10</v>
      </c>
      <c r="G369" s="18">
        <f t="shared" si="31"/>
        <v>41</v>
      </c>
      <c r="H369" t="str">
        <f t="shared" si="32"/>
        <v>PRISCILA METZ</v>
      </c>
      <c r="I369" t="str">
        <f t="shared" si="33"/>
        <v>NOVA DISTRIBUIDORA E ATACADO DE LIMPEZA LTDA</v>
      </c>
      <c r="J369">
        <f t="shared" si="34"/>
        <v>0</v>
      </c>
      <c r="K369">
        <f t="shared" si="35"/>
        <v>1</v>
      </c>
    </row>
    <row r="370" spans="1:11" x14ac:dyDescent="0.25">
      <c r="A370" t="s">
        <v>314</v>
      </c>
      <c r="B370" t="s">
        <v>98</v>
      </c>
      <c r="C370" t="s">
        <v>66</v>
      </c>
      <c r="D370" s="3">
        <v>45577</v>
      </c>
      <c r="E370" t="str">
        <f>VLOOKUP(B370,'PROCV GERENTES BD'!A:B,2,0)</f>
        <v xml:space="preserve">ROGERIO </v>
      </c>
      <c r="F370" s="4" t="str">
        <f t="shared" si="30"/>
        <v>2024-10</v>
      </c>
      <c r="G370" s="18">
        <f t="shared" si="31"/>
        <v>41</v>
      </c>
      <c r="H370" t="str">
        <f t="shared" si="32"/>
        <v xml:space="preserve">ROGERIO </v>
      </c>
      <c r="I370" t="str">
        <f t="shared" si="33"/>
        <v>MUTCD CENTRO DISTRIBUICAO IND FABRICANTE COSMETICO</v>
      </c>
      <c r="J370">
        <f t="shared" si="34"/>
        <v>1</v>
      </c>
      <c r="K370">
        <f t="shared" si="35"/>
        <v>0</v>
      </c>
    </row>
    <row r="371" spans="1:11" x14ac:dyDescent="0.25">
      <c r="A371" t="s">
        <v>414</v>
      </c>
      <c r="B371" t="s">
        <v>164</v>
      </c>
      <c r="C371" t="s">
        <v>50</v>
      </c>
      <c r="D371" s="3">
        <v>45580</v>
      </c>
      <c r="E371" t="str">
        <f>VLOOKUP(B371,'PROCV GERENTES BD'!A:B,2,0)</f>
        <v>ADMINISTRAÇÃO</v>
      </c>
      <c r="F371" s="4" t="str">
        <f t="shared" si="30"/>
        <v>2024-10</v>
      </c>
      <c r="G371" s="18">
        <f t="shared" si="31"/>
        <v>42</v>
      </c>
      <c r="H371" t="str">
        <f t="shared" si="32"/>
        <v>ADMINISTRAÇÃO</v>
      </c>
      <c r="I371" t="str">
        <f t="shared" si="33"/>
        <v>PROSPER MINERACAO S/A</v>
      </c>
      <c r="J371">
        <f t="shared" si="34"/>
        <v>0</v>
      </c>
      <c r="K371">
        <f t="shared" si="35"/>
        <v>1</v>
      </c>
    </row>
    <row r="372" spans="1:11" x14ac:dyDescent="0.25">
      <c r="A372" t="s">
        <v>372</v>
      </c>
      <c r="B372" t="s">
        <v>116</v>
      </c>
      <c r="C372" t="s">
        <v>50</v>
      </c>
      <c r="D372" s="3">
        <v>45580</v>
      </c>
      <c r="E372" t="str">
        <f>VLOOKUP(B372,'PROCV GERENTES BD'!A:B,2,0)</f>
        <v>ADMINISTRAÇÃO</v>
      </c>
      <c r="F372" s="4" t="str">
        <f t="shared" si="30"/>
        <v>2024-10</v>
      </c>
      <c r="G372" s="18">
        <f t="shared" si="31"/>
        <v>42</v>
      </c>
      <c r="H372" t="str">
        <f t="shared" si="32"/>
        <v>ADMINISTRAÇÃO</v>
      </c>
      <c r="I372" t="str">
        <f t="shared" si="33"/>
        <v>PREMOLDADOS MATOSINHOS LTDA EPP</v>
      </c>
      <c r="J372">
        <f t="shared" si="34"/>
        <v>0</v>
      </c>
      <c r="K372">
        <f t="shared" si="35"/>
        <v>1</v>
      </c>
    </row>
    <row r="373" spans="1:11" x14ac:dyDescent="0.25">
      <c r="A373" t="s">
        <v>319</v>
      </c>
      <c r="B373" t="s">
        <v>80</v>
      </c>
      <c r="C373" t="s">
        <v>50</v>
      </c>
      <c r="D373" s="3">
        <v>45580</v>
      </c>
      <c r="E373" t="str">
        <f>VLOOKUP(B373,'PROCV GERENTES BD'!A:B,2,0)</f>
        <v>CELIO PIMENTA</v>
      </c>
      <c r="F373" s="4" t="str">
        <f t="shared" si="30"/>
        <v>2024-10</v>
      </c>
      <c r="G373" s="18">
        <f t="shared" si="31"/>
        <v>42</v>
      </c>
      <c r="H373" t="str">
        <f t="shared" si="32"/>
        <v>CELIO PIMENTA</v>
      </c>
      <c r="I373" t="str">
        <f t="shared" si="33"/>
        <v>IMPORTEXTIL COMERCIO DE TECIDOS LTDA</v>
      </c>
      <c r="J373">
        <f t="shared" si="34"/>
        <v>0</v>
      </c>
      <c r="K373">
        <f t="shared" si="35"/>
        <v>1</v>
      </c>
    </row>
    <row r="374" spans="1:11" x14ac:dyDescent="0.25">
      <c r="A374" t="s">
        <v>311</v>
      </c>
      <c r="B374" t="s">
        <v>81</v>
      </c>
      <c r="C374" t="s">
        <v>50</v>
      </c>
      <c r="D374" s="3">
        <v>45580</v>
      </c>
      <c r="E374" t="str">
        <f>VLOOKUP(B374,'PROCV GERENTES BD'!A:B,2,0)</f>
        <v>CELIO PIMENTA</v>
      </c>
      <c r="F374" s="4" t="str">
        <f t="shared" si="30"/>
        <v>2024-10</v>
      </c>
      <c r="G374" s="18">
        <f t="shared" si="31"/>
        <v>42</v>
      </c>
      <c r="H374" t="str">
        <f t="shared" si="32"/>
        <v>CELIO PIMENTA</v>
      </c>
      <c r="I374" t="str">
        <f t="shared" si="33"/>
        <v>MBIOLOG DIAGNOSTICOS LTDA</v>
      </c>
      <c r="J374">
        <f t="shared" si="34"/>
        <v>0</v>
      </c>
      <c r="K374">
        <f t="shared" si="35"/>
        <v>1</v>
      </c>
    </row>
    <row r="375" spans="1:11" x14ac:dyDescent="0.25">
      <c r="A375" t="s">
        <v>415</v>
      </c>
      <c r="B375" t="s">
        <v>165</v>
      </c>
      <c r="C375" t="s">
        <v>50</v>
      </c>
      <c r="D375" s="3">
        <v>45580</v>
      </c>
      <c r="E375" t="str">
        <f>VLOOKUP(B375,'PROCV GERENTES BD'!A:B,2,0)</f>
        <v>PROSPECTAR</v>
      </c>
      <c r="F375" s="4" t="str">
        <f t="shared" si="30"/>
        <v>2024-10</v>
      </c>
      <c r="G375" s="18">
        <f t="shared" si="31"/>
        <v>42</v>
      </c>
      <c r="H375" t="str">
        <f t="shared" si="32"/>
        <v>PROSPECTAR</v>
      </c>
      <c r="I375" t="str">
        <f t="shared" si="33"/>
        <v>STA SERVICOS LTDA</v>
      </c>
      <c r="J375">
        <f t="shared" si="34"/>
        <v>0</v>
      </c>
      <c r="K375">
        <f t="shared" si="35"/>
        <v>1</v>
      </c>
    </row>
    <row r="376" spans="1:11" x14ac:dyDescent="0.25">
      <c r="A376" t="s">
        <v>324</v>
      </c>
      <c r="B376" t="s">
        <v>119</v>
      </c>
      <c r="C376" t="s">
        <v>50</v>
      </c>
      <c r="D376" s="3">
        <v>45580</v>
      </c>
      <c r="E376" t="str">
        <f>VLOOKUP(B376,'PROCV GERENTES BD'!A:B,2,0)</f>
        <v>PROSPECTAR</v>
      </c>
      <c r="F376" s="4" t="str">
        <f t="shared" si="30"/>
        <v>2024-10</v>
      </c>
      <c r="G376" s="18">
        <f t="shared" si="31"/>
        <v>42</v>
      </c>
      <c r="H376" t="str">
        <f t="shared" si="32"/>
        <v>PROSPECTAR</v>
      </c>
      <c r="I376" t="str">
        <f t="shared" si="33"/>
        <v>TRANSHENRY TRANSPORTES LTDA</v>
      </c>
      <c r="J376">
        <f t="shared" si="34"/>
        <v>0</v>
      </c>
      <c r="K376">
        <f t="shared" si="35"/>
        <v>1</v>
      </c>
    </row>
    <row r="377" spans="1:11" x14ac:dyDescent="0.25">
      <c r="A377" t="s">
        <v>323</v>
      </c>
      <c r="B377" t="s">
        <v>109</v>
      </c>
      <c r="C377" t="s">
        <v>66</v>
      </c>
      <c r="D377" s="3">
        <v>45580</v>
      </c>
      <c r="E377" t="str">
        <f>VLOOKUP(B377,'PROCV GERENTES BD'!A:B,2,0)</f>
        <v>PROSPECTAR</v>
      </c>
      <c r="F377" s="4" t="str">
        <f t="shared" si="30"/>
        <v>2024-10</v>
      </c>
      <c r="G377" s="18">
        <f t="shared" si="31"/>
        <v>42</v>
      </c>
      <c r="H377" t="str">
        <f t="shared" si="32"/>
        <v>PROSPECTAR</v>
      </c>
      <c r="I377" t="str">
        <f t="shared" si="33"/>
        <v>SIAP COMERCIO DE PRODUTOS AGROPECUARIOS LTDA</v>
      </c>
      <c r="J377">
        <f t="shared" si="34"/>
        <v>1</v>
      </c>
      <c r="K377">
        <f t="shared" si="35"/>
        <v>0</v>
      </c>
    </row>
    <row r="378" spans="1:11" x14ac:dyDescent="0.25">
      <c r="A378" t="s">
        <v>333</v>
      </c>
      <c r="B378" t="s">
        <v>82</v>
      </c>
      <c r="C378" t="s">
        <v>50</v>
      </c>
      <c r="D378" s="3">
        <v>45580</v>
      </c>
      <c r="E378" t="str">
        <f>VLOOKUP(B378,'PROCV GERENTES BD'!A:B,2,0)</f>
        <v>ADMINISTRAÇÃO</v>
      </c>
      <c r="F378" s="4" t="str">
        <f t="shared" si="30"/>
        <v>2024-10</v>
      </c>
      <c r="G378" s="18">
        <f t="shared" si="31"/>
        <v>42</v>
      </c>
      <c r="H378" t="str">
        <f t="shared" si="32"/>
        <v>ADMINISTRAÇÃO</v>
      </c>
      <c r="I378" t="str">
        <f t="shared" si="33"/>
        <v>BETMIX CONCRETO LTDA</v>
      </c>
      <c r="J378">
        <f t="shared" si="34"/>
        <v>0</v>
      </c>
      <c r="K378">
        <f t="shared" si="35"/>
        <v>1</v>
      </c>
    </row>
    <row r="379" spans="1:11" x14ac:dyDescent="0.25">
      <c r="A379" t="s">
        <v>339</v>
      </c>
      <c r="B379" t="s">
        <v>87</v>
      </c>
      <c r="C379" t="s">
        <v>50</v>
      </c>
      <c r="D379" s="3">
        <v>45580</v>
      </c>
      <c r="E379" t="str">
        <f>VLOOKUP(B379,'PROCV GERENTES BD'!A:B,2,0)</f>
        <v>NOELI SALETE</v>
      </c>
      <c r="F379" s="4" t="str">
        <f t="shared" si="30"/>
        <v>2024-10</v>
      </c>
      <c r="G379" s="18">
        <f t="shared" si="31"/>
        <v>42</v>
      </c>
      <c r="H379" t="str">
        <f t="shared" si="32"/>
        <v>NOELI SALETE</v>
      </c>
      <c r="I379" t="str">
        <f t="shared" si="33"/>
        <v>RODOBOX TRANSPORTES E ARMAZENAGEM DE CARGAS LTDA</v>
      </c>
      <c r="J379">
        <f t="shared" si="34"/>
        <v>0</v>
      </c>
      <c r="K379">
        <f t="shared" si="35"/>
        <v>1</v>
      </c>
    </row>
    <row r="380" spans="1:11" x14ac:dyDescent="0.25">
      <c r="A380" t="s">
        <v>340</v>
      </c>
      <c r="B380" t="s">
        <v>86</v>
      </c>
      <c r="C380" t="s">
        <v>50</v>
      </c>
      <c r="D380" s="3">
        <v>45580</v>
      </c>
      <c r="E380" t="str">
        <f>VLOOKUP(B380,'PROCV GERENTES BD'!A:B,2,0)</f>
        <v>NOELI SALETE</v>
      </c>
      <c r="F380" s="4" t="str">
        <f t="shared" si="30"/>
        <v>2024-10</v>
      </c>
      <c r="G380" s="18">
        <f t="shared" si="31"/>
        <v>42</v>
      </c>
      <c r="H380" t="str">
        <f t="shared" si="32"/>
        <v>NOELI SALETE</v>
      </c>
      <c r="I380" t="str">
        <f t="shared" si="33"/>
        <v>MEIO OESTE PAPEIS LTDA ME</v>
      </c>
      <c r="J380">
        <f t="shared" si="34"/>
        <v>0</v>
      </c>
      <c r="K380">
        <f t="shared" si="35"/>
        <v>1</v>
      </c>
    </row>
    <row r="381" spans="1:11" x14ac:dyDescent="0.25">
      <c r="A381" t="s">
        <v>344</v>
      </c>
      <c r="B381" t="s">
        <v>89</v>
      </c>
      <c r="C381" t="s">
        <v>50</v>
      </c>
      <c r="D381" s="3">
        <v>45580</v>
      </c>
      <c r="E381" t="str">
        <f>VLOOKUP(B381,'PROCV GERENTES BD'!A:B,2,0)</f>
        <v>POENATELA</v>
      </c>
      <c r="F381" s="4" t="str">
        <f t="shared" si="30"/>
        <v>2024-10</v>
      </c>
      <c r="G381" s="18">
        <f t="shared" si="31"/>
        <v>42</v>
      </c>
      <c r="H381" t="str">
        <f t="shared" si="32"/>
        <v>POENATELA</v>
      </c>
      <c r="I381" t="str">
        <f t="shared" si="33"/>
        <v>CERVEJARIA SOUZA LTDA</v>
      </c>
      <c r="J381">
        <f t="shared" si="34"/>
        <v>0</v>
      </c>
      <c r="K381">
        <f t="shared" si="35"/>
        <v>1</v>
      </c>
    </row>
    <row r="382" spans="1:11" x14ac:dyDescent="0.25">
      <c r="A382" t="s">
        <v>386</v>
      </c>
      <c r="B382" t="s">
        <v>133</v>
      </c>
      <c r="C382" t="s">
        <v>50</v>
      </c>
      <c r="D382" s="3">
        <v>45580</v>
      </c>
      <c r="E382" t="str">
        <f>VLOOKUP(B382,'PROCV GERENTES BD'!A:B,2,0)</f>
        <v>POENATELA</v>
      </c>
      <c r="F382" s="4" t="str">
        <f t="shared" si="30"/>
        <v>2024-10</v>
      </c>
      <c r="G382" s="18">
        <f t="shared" si="31"/>
        <v>42</v>
      </c>
      <c r="H382" t="str">
        <f t="shared" si="32"/>
        <v>POENATELA</v>
      </c>
      <c r="I382" t="str">
        <f t="shared" si="33"/>
        <v>HT SERVICOS DE TRANSPORTE E LOCACAO LTDA</v>
      </c>
      <c r="J382">
        <f t="shared" si="34"/>
        <v>0</v>
      </c>
      <c r="K382">
        <f t="shared" si="35"/>
        <v>1</v>
      </c>
    </row>
    <row r="383" spans="1:11" x14ac:dyDescent="0.25">
      <c r="A383" t="s">
        <v>346</v>
      </c>
      <c r="B383" t="s">
        <v>91</v>
      </c>
      <c r="C383" t="s">
        <v>50</v>
      </c>
      <c r="D383" s="3">
        <v>45580</v>
      </c>
      <c r="E383" t="str">
        <f>VLOOKUP(B383,'PROCV GERENTES BD'!A:B,2,0)</f>
        <v>POENATELA</v>
      </c>
      <c r="F383" s="4" t="str">
        <f t="shared" si="30"/>
        <v>2024-10</v>
      </c>
      <c r="G383" s="18">
        <f t="shared" si="31"/>
        <v>42</v>
      </c>
      <c r="H383" t="str">
        <f t="shared" si="32"/>
        <v>POENATELA</v>
      </c>
      <c r="I383" t="str">
        <f t="shared" si="33"/>
        <v>UBERTEC SERVICE USINAGEM LTDA EPP</v>
      </c>
      <c r="J383">
        <f t="shared" si="34"/>
        <v>0</v>
      </c>
      <c r="K383">
        <f t="shared" si="35"/>
        <v>1</v>
      </c>
    </row>
    <row r="384" spans="1:11" x14ac:dyDescent="0.25">
      <c r="A384" t="s">
        <v>376</v>
      </c>
      <c r="B384" t="s">
        <v>121</v>
      </c>
      <c r="C384" t="s">
        <v>50</v>
      </c>
      <c r="D384" s="3">
        <v>45580</v>
      </c>
      <c r="E384" t="str">
        <f>VLOOKUP(B384,'PROCV GERENTES BD'!A:B,2,0)</f>
        <v>PRISCILA METZ</v>
      </c>
      <c r="F384" s="4" t="str">
        <f t="shared" si="30"/>
        <v>2024-10</v>
      </c>
      <c r="G384" s="18">
        <f t="shared" si="31"/>
        <v>42</v>
      </c>
      <c r="H384" t="str">
        <f t="shared" si="32"/>
        <v>PRISCILA METZ</v>
      </c>
      <c r="I384" t="str">
        <f t="shared" si="33"/>
        <v>NOVA DISTRIBUIDORA E ATACADO DE LIMPEZA LTDA</v>
      </c>
      <c r="J384">
        <f t="shared" si="34"/>
        <v>0</v>
      </c>
      <c r="K384">
        <f t="shared" si="35"/>
        <v>1</v>
      </c>
    </row>
    <row r="385" spans="1:11" x14ac:dyDescent="0.25">
      <c r="A385" t="s">
        <v>326</v>
      </c>
      <c r="B385" t="s">
        <v>122</v>
      </c>
      <c r="C385" t="s">
        <v>66</v>
      </c>
      <c r="D385" s="3">
        <v>45580</v>
      </c>
      <c r="E385" t="s">
        <v>21</v>
      </c>
      <c r="F385" s="4" t="str">
        <f t="shared" si="30"/>
        <v>2024-10</v>
      </c>
      <c r="G385" s="18">
        <f t="shared" si="31"/>
        <v>42</v>
      </c>
      <c r="H385" t="str">
        <f t="shared" si="32"/>
        <v xml:space="preserve">ROGERIO </v>
      </c>
      <c r="I385" t="str">
        <f t="shared" si="33"/>
        <v>BIBE PRODUTOS INFANTIS LTDA</v>
      </c>
      <c r="J385">
        <f t="shared" si="34"/>
        <v>1</v>
      </c>
      <c r="K385">
        <f t="shared" si="35"/>
        <v>0</v>
      </c>
    </row>
    <row r="386" spans="1:11" x14ac:dyDescent="0.25">
      <c r="A386" t="s">
        <v>416</v>
      </c>
      <c r="B386" t="s">
        <v>166</v>
      </c>
      <c r="C386" t="s">
        <v>50</v>
      </c>
      <c r="D386" s="3">
        <v>45580</v>
      </c>
      <c r="E386" t="s">
        <v>21</v>
      </c>
      <c r="F386" s="4" t="str">
        <f t="shared" ref="F386:F449" si="36">YEAR(D386)&amp;"-"&amp;TEXT(MONTH(D386),"00")</f>
        <v>2024-10</v>
      </c>
      <c r="G386" s="18">
        <f t="shared" ref="G386:G449" si="37">WEEKNUM(D386)</f>
        <v>42</v>
      </c>
      <c r="H386" t="str">
        <f t="shared" ref="H386:H449" si="38">E386</f>
        <v xml:space="preserve">ROGERIO </v>
      </c>
      <c r="I386" t="str">
        <f t="shared" ref="I386:I449" si="39">B386</f>
        <v>LUCCI ILUMINACAO LTDA EPP</v>
      </c>
      <c r="J386">
        <f t="shared" ref="J386:J449" si="40">IF(OR(C386="EXCLUSAO  ANOT.INADIMPLENCIA",C386="INCL/EXCL ANOT.INADIMPLENCIA"),1,0)</f>
        <v>0</v>
      </c>
      <c r="K386">
        <f t="shared" ref="K386:K449" si="41">IF(OR(C386="INCLUSAO  ANOT.INADIMPLENCIA",C386="INCL/EXCL ANOT.INADIMPLENCIA"),1,0)</f>
        <v>1</v>
      </c>
    </row>
    <row r="387" spans="1:11" x14ac:dyDescent="0.25">
      <c r="A387" t="s">
        <v>331</v>
      </c>
      <c r="B387" t="s">
        <v>144</v>
      </c>
      <c r="C387" t="s">
        <v>50</v>
      </c>
      <c r="D387" s="3">
        <v>45581</v>
      </c>
      <c r="E387" t="str">
        <f>VLOOKUP(B387,'PROCV GERENTES BD'!A:B,2,0)</f>
        <v>ADMINISTRAÇÃO</v>
      </c>
      <c r="F387" s="4" t="str">
        <f t="shared" si="36"/>
        <v>2024-10</v>
      </c>
      <c r="G387" s="18">
        <f t="shared" si="37"/>
        <v>42</v>
      </c>
      <c r="H387" t="str">
        <f t="shared" si="38"/>
        <v>ADMINISTRAÇÃO</v>
      </c>
      <c r="I387" t="str">
        <f t="shared" si="39"/>
        <v>BOM PASTOR PAPEIS LTDA EM RECUPERACAO JUDICIAL</v>
      </c>
      <c r="J387">
        <f t="shared" si="40"/>
        <v>0</v>
      </c>
      <c r="K387">
        <f t="shared" si="41"/>
        <v>1</v>
      </c>
    </row>
    <row r="388" spans="1:11" x14ac:dyDescent="0.25">
      <c r="A388" t="s">
        <v>319</v>
      </c>
      <c r="B388" t="s">
        <v>80</v>
      </c>
      <c r="C388" t="s">
        <v>53</v>
      </c>
      <c r="D388" s="3">
        <v>45581</v>
      </c>
      <c r="E388" t="str">
        <f>VLOOKUP(B388,'PROCV GERENTES BD'!A:B,2,0)</f>
        <v>CELIO PIMENTA</v>
      </c>
      <c r="F388" s="4" t="str">
        <f t="shared" si="36"/>
        <v>2024-10</v>
      </c>
      <c r="G388" s="18">
        <f t="shared" si="37"/>
        <v>42</v>
      </c>
      <c r="H388" t="str">
        <f t="shared" si="38"/>
        <v>CELIO PIMENTA</v>
      </c>
      <c r="I388" t="str">
        <f t="shared" si="39"/>
        <v>IMPORTEXTIL COMERCIO DE TECIDOS LTDA</v>
      </c>
      <c r="J388">
        <f t="shared" si="40"/>
        <v>1</v>
      </c>
      <c r="K388">
        <f t="shared" si="41"/>
        <v>1</v>
      </c>
    </row>
    <row r="389" spans="1:11" x14ac:dyDescent="0.25">
      <c r="A389" t="s">
        <v>54</v>
      </c>
      <c r="B389" t="s">
        <v>55</v>
      </c>
      <c r="C389" t="s">
        <v>50</v>
      </c>
      <c r="D389" s="3">
        <v>45581</v>
      </c>
      <c r="E389" t="str">
        <f>VLOOKUP(B389,'PROCV GERENTES BD'!A:B,2,0)</f>
        <v>CELIO PIMENTA</v>
      </c>
      <c r="F389" s="4" t="str">
        <f t="shared" si="36"/>
        <v>2024-10</v>
      </c>
      <c r="G389" s="18">
        <f t="shared" si="37"/>
        <v>42</v>
      </c>
      <c r="H389" t="str">
        <f t="shared" si="38"/>
        <v>CELIO PIMENTA</v>
      </c>
      <c r="I389" t="str">
        <f t="shared" si="39"/>
        <v>WJ CALDEIRARIA INDUSTRIA E COMERCIO LTDA ME</v>
      </c>
      <c r="J389">
        <f t="shared" si="40"/>
        <v>0</v>
      </c>
      <c r="K389">
        <f t="shared" si="41"/>
        <v>1</v>
      </c>
    </row>
    <row r="390" spans="1:11" x14ac:dyDescent="0.25">
      <c r="A390" t="s">
        <v>323</v>
      </c>
      <c r="B390" t="s">
        <v>109</v>
      </c>
      <c r="C390" t="s">
        <v>66</v>
      </c>
      <c r="D390" s="3">
        <v>45581</v>
      </c>
      <c r="E390" t="str">
        <f>VLOOKUP(B390,'PROCV GERENTES BD'!A:B,2,0)</f>
        <v>PROSPECTAR</v>
      </c>
      <c r="F390" s="4" t="str">
        <f t="shared" si="36"/>
        <v>2024-10</v>
      </c>
      <c r="G390" s="18">
        <f t="shared" si="37"/>
        <v>42</v>
      </c>
      <c r="H390" t="str">
        <f t="shared" si="38"/>
        <v>PROSPECTAR</v>
      </c>
      <c r="I390" t="str">
        <f t="shared" si="39"/>
        <v>SIAP COMERCIO DE PRODUTOS AGROPECUARIOS LTDA</v>
      </c>
      <c r="J390">
        <f t="shared" si="40"/>
        <v>1</v>
      </c>
      <c r="K390">
        <f t="shared" si="41"/>
        <v>0</v>
      </c>
    </row>
    <row r="391" spans="1:11" x14ac:dyDescent="0.25">
      <c r="A391" t="s">
        <v>339</v>
      </c>
      <c r="B391" t="s">
        <v>87</v>
      </c>
      <c r="C391" t="s">
        <v>50</v>
      </c>
      <c r="D391" s="3">
        <v>45581</v>
      </c>
      <c r="E391" t="str">
        <f>VLOOKUP(B391,'PROCV GERENTES BD'!A:B,2,0)</f>
        <v>NOELI SALETE</v>
      </c>
      <c r="F391" s="4" t="str">
        <f t="shared" si="36"/>
        <v>2024-10</v>
      </c>
      <c r="G391" s="18">
        <f t="shared" si="37"/>
        <v>42</v>
      </c>
      <c r="H391" t="str">
        <f t="shared" si="38"/>
        <v>NOELI SALETE</v>
      </c>
      <c r="I391" t="str">
        <f t="shared" si="39"/>
        <v>RODOBOX TRANSPORTES E ARMAZENAGEM DE CARGAS LTDA</v>
      </c>
      <c r="J391">
        <f t="shared" si="40"/>
        <v>0</v>
      </c>
      <c r="K391">
        <f t="shared" si="41"/>
        <v>1</v>
      </c>
    </row>
    <row r="392" spans="1:11" x14ac:dyDescent="0.25">
      <c r="A392" t="s">
        <v>340</v>
      </c>
      <c r="B392" t="s">
        <v>86</v>
      </c>
      <c r="C392" t="s">
        <v>66</v>
      </c>
      <c r="D392" s="3">
        <v>45581</v>
      </c>
      <c r="E392" t="str">
        <f>VLOOKUP(B392,'PROCV GERENTES BD'!A:B,2,0)</f>
        <v>NOELI SALETE</v>
      </c>
      <c r="F392" s="4" t="str">
        <f t="shared" si="36"/>
        <v>2024-10</v>
      </c>
      <c r="G392" s="18">
        <f t="shared" si="37"/>
        <v>42</v>
      </c>
      <c r="H392" t="str">
        <f t="shared" si="38"/>
        <v>NOELI SALETE</v>
      </c>
      <c r="I392" t="str">
        <f t="shared" si="39"/>
        <v>MEIO OESTE PAPEIS LTDA ME</v>
      </c>
      <c r="J392">
        <f t="shared" si="40"/>
        <v>1</v>
      </c>
      <c r="K392">
        <f t="shared" si="41"/>
        <v>0</v>
      </c>
    </row>
    <row r="393" spans="1:11" x14ac:dyDescent="0.25">
      <c r="A393" t="s">
        <v>407</v>
      </c>
      <c r="B393" t="s">
        <v>157</v>
      </c>
      <c r="C393" t="s">
        <v>66</v>
      </c>
      <c r="D393" s="3">
        <v>45581</v>
      </c>
      <c r="E393" t="str">
        <f>VLOOKUP(B393,'PROCV GERENTES BD'!A:B,2,0)</f>
        <v>NOELI SALETE</v>
      </c>
      <c r="F393" s="4" t="str">
        <f t="shared" si="36"/>
        <v>2024-10</v>
      </c>
      <c r="G393" s="18">
        <f t="shared" si="37"/>
        <v>42</v>
      </c>
      <c r="H393" t="str">
        <f t="shared" si="38"/>
        <v>NOELI SALETE</v>
      </c>
      <c r="I393" t="str">
        <f t="shared" si="39"/>
        <v>SGAMAQ INOVACAO AGROINDUSTRIAL LTDA</v>
      </c>
      <c r="J393">
        <f t="shared" si="40"/>
        <v>1</v>
      </c>
      <c r="K393">
        <f t="shared" si="41"/>
        <v>0</v>
      </c>
    </row>
    <row r="394" spans="1:11" x14ac:dyDescent="0.25">
      <c r="A394" t="s">
        <v>417</v>
      </c>
      <c r="B394" t="s">
        <v>167</v>
      </c>
      <c r="C394" t="s">
        <v>327</v>
      </c>
      <c r="D394" s="3">
        <v>45581</v>
      </c>
      <c r="E394" t="str">
        <f>VLOOKUP(B394,'PROCV GERENTES BD'!A:B,2,0)</f>
        <v>POENATELA</v>
      </c>
      <c r="F394" s="4" t="str">
        <f t="shared" si="36"/>
        <v>2024-10</v>
      </c>
      <c r="G394" s="18">
        <f t="shared" si="37"/>
        <v>42</v>
      </c>
      <c r="H394" t="str">
        <f t="shared" si="38"/>
        <v>POENATELA</v>
      </c>
      <c r="I394" t="str">
        <f t="shared" si="39"/>
        <v>DETRONIC ENERGIA E SERVICOS LTDA</v>
      </c>
      <c r="J394">
        <f t="shared" si="40"/>
        <v>0</v>
      </c>
      <c r="K394">
        <f t="shared" si="41"/>
        <v>0</v>
      </c>
    </row>
    <row r="395" spans="1:11" x14ac:dyDescent="0.25">
      <c r="A395" t="s">
        <v>346</v>
      </c>
      <c r="B395" t="s">
        <v>91</v>
      </c>
      <c r="C395" t="s">
        <v>50</v>
      </c>
      <c r="D395" s="3">
        <v>45581</v>
      </c>
      <c r="E395" t="str">
        <f>VLOOKUP(B395,'PROCV GERENTES BD'!A:B,2,0)</f>
        <v>POENATELA</v>
      </c>
      <c r="F395" s="4" t="str">
        <f t="shared" si="36"/>
        <v>2024-10</v>
      </c>
      <c r="G395" s="18">
        <f t="shared" si="37"/>
        <v>42</v>
      </c>
      <c r="H395" t="str">
        <f t="shared" si="38"/>
        <v>POENATELA</v>
      </c>
      <c r="I395" t="str">
        <f t="shared" si="39"/>
        <v>UBERTEC SERVICE USINAGEM LTDA EPP</v>
      </c>
      <c r="J395">
        <f t="shared" si="40"/>
        <v>0</v>
      </c>
      <c r="K395">
        <f t="shared" si="41"/>
        <v>1</v>
      </c>
    </row>
    <row r="396" spans="1:11" x14ac:dyDescent="0.25">
      <c r="A396" t="s">
        <v>376</v>
      </c>
      <c r="B396" t="s">
        <v>121</v>
      </c>
      <c r="C396" t="s">
        <v>50</v>
      </c>
      <c r="D396" s="3">
        <v>45581</v>
      </c>
      <c r="E396" t="str">
        <f>VLOOKUP(B396,'PROCV GERENTES BD'!A:B,2,0)</f>
        <v>PRISCILA METZ</v>
      </c>
      <c r="F396" s="4" t="str">
        <f t="shared" si="36"/>
        <v>2024-10</v>
      </c>
      <c r="G396" s="18">
        <f t="shared" si="37"/>
        <v>42</v>
      </c>
      <c r="H396" t="str">
        <f t="shared" si="38"/>
        <v>PRISCILA METZ</v>
      </c>
      <c r="I396" t="str">
        <f t="shared" si="39"/>
        <v>NOVA DISTRIBUIDORA E ATACADO DE LIMPEZA LTDA</v>
      </c>
      <c r="J396">
        <f t="shared" si="40"/>
        <v>0</v>
      </c>
      <c r="K396">
        <f t="shared" si="41"/>
        <v>1</v>
      </c>
    </row>
    <row r="397" spans="1:11" x14ac:dyDescent="0.25">
      <c r="A397" t="s">
        <v>409</v>
      </c>
      <c r="B397" t="s">
        <v>159</v>
      </c>
      <c r="C397" t="s">
        <v>50</v>
      </c>
      <c r="D397" s="3">
        <v>45581</v>
      </c>
      <c r="E397" t="str">
        <f>VLOOKUP(B397,'PROCV GERENTES BD'!A:B,2,0)</f>
        <v>RAFAEL PARISE</v>
      </c>
      <c r="F397" s="4" t="str">
        <f t="shared" si="36"/>
        <v>2024-10</v>
      </c>
      <c r="G397" s="18">
        <f t="shared" si="37"/>
        <v>42</v>
      </c>
      <c r="H397" t="str">
        <f t="shared" si="38"/>
        <v>RAFAEL PARISE</v>
      </c>
      <c r="I397" t="str">
        <f t="shared" si="39"/>
        <v>OXIGAS RESIDUOS ESPECIAIS LTDA EPP</v>
      </c>
      <c r="J397">
        <f t="shared" si="40"/>
        <v>0</v>
      </c>
      <c r="K397">
        <f t="shared" si="41"/>
        <v>1</v>
      </c>
    </row>
    <row r="398" spans="1:11" x14ac:dyDescent="0.25">
      <c r="A398" t="s">
        <v>368</v>
      </c>
      <c r="B398" t="s">
        <v>111</v>
      </c>
      <c r="C398" t="s">
        <v>50</v>
      </c>
      <c r="D398" s="3">
        <v>45582</v>
      </c>
      <c r="E398" t="str">
        <f>VLOOKUP(B398,'PROCV GERENTES BD'!A:B,2,0)</f>
        <v>ADMINISTRAÇÃO</v>
      </c>
      <c r="F398" s="4" t="str">
        <f t="shared" si="36"/>
        <v>2024-10</v>
      </c>
      <c r="G398" s="18">
        <f t="shared" si="37"/>
        <v>42</v>
      </c>
      <c r="H398" t="str">
        <f t="shared" si="38"/>
        <v>ADMINISTRAÇÃO</v>
      </c>
      <c r="I398" t="str">
        <f t="shared" si="39"/>
        <v>ARTECAL ELETROCENTROS S/A</v>
      </c>
      <c r="J398">
        <f t="shared" si="40"/>
        <v>0</v>
      </c>
      <c r="K398">
        <f t="shared" si="41"/>
        <v>1</v>
      </c>
    </row>
    <row r="399" spans="1:11" x14ac:dyDescent="0.25">
      <c r="A399" t="s">
        <v>319</v>
      </c>
      <c r="B399" t="s">
        <v>80</v>
      </c>
      <c r="C399" t="s">
        <v>53</v>
      </c>
      <c r="D399" s="3">
        <v>45582</v>
      </c>
      <c r="E399" t="str">
        <f>VLOOKUP(B399,'PROCV GERENTES BD'!A:B,2,0)</f>
        <v>CELIO PIMENTA</v>
      </c>
      <c r="F399" s="4" t="str">
        <f t="shared" si="36"/>
        <v>2024-10</v>
      </c>
      <c r="G399" s="18">
        <f t="shared" si="37"/>
        <v>42</v>
      </c>
      <c r="H399" t="str">
        <f t="shared" si="38"/>
        <v>CELIO PIMENTA</v>
      </c>
      <c r="I399" t="str">
        <f t="shared" si="39"/>
        <v>IMPORTEXTIL COMERCIO DE TECIDOS LTDA</v>
      </c>
      <c r="J399">
        <f t="shared" si="40"/>
        <v>1</v>
      </c>
      <c r="K399">
        <f t="shared" si="41"/>
        <v>1</v>
      </c>
    </row>
    <row r="400" spans="1:11" x14ac:dyDescent="0.25">
      <c r="A400" t="s">
        <v>54</v>
      </c>
      <c r="B400" t="s">
        <v>55</v>
      </c>
      <c r="C400" t="s">
        <v>50</v>
      </c>
      <c r="D400" s="3">
        <v>45582</v>
      </c>
      <c r="E400" t="str">
        <f>VLOOKUP(B400,'PROCV GERENTES BD'!A:B,2,0)</f>
        <v>CELIO PIMENTA</v>
      </c>
      <c r="F400" s="4" t="str">
        <f t="shared" si="36"/>
        <v>2024-10</v>
      </c>
      <c r="G400" s="18">
        <f t="shared" si="37"/>
        <v>42</v>
      </c>
      <c r="H400" t="str">
        <f t="shared" si="38"/>
        <v>CELIO PIMENTA</v>
      </c>
      <c r="I400" t="str">
        <f t="shared" si="39"/>
        <v>WJ CALDEIRARIA INDUSTRIA E COMERCIO LTDA ME</v>
      </c>
      <c r="J400">
        <f t="shared" si="40"/>
        <v>0</v>
      </c>
      <c r="K400">
        <f t="shared" si="41"/>
        <v>1</v>
      </c>
    </row>
    <row r="401" spans="1:11" x14ac:dyDescent="0.25">
      <c r="A401" t="s">
        <v>377</v>
      </c>
      <c r="B401" t="s">
        <v>124</v>
      </c>
      <c r="C401" t="s">
        <v>50</v>
      </c>
      <c r="D401" s="3">
        <v>45582</v>
      </c>
      <c r="E401" t="str">
        <f>VLOOKUP(B401,'PROCV GERENTES BD'!A:B,2,0)</f>
        <v>EDUARDO MATOSO</v>
      </c>
      <c r="F401" s="4" t="str">
        <f t="shared" si="36"/>
        <v>2024-10</v>
      </c>
      <c r="G401" s="18">
        <f t="shared" si="37"/>
        <v>42</v>
      </c>
      <c r="H401" t="str">
        <f t="shared" si="38"/>
        <v>EDUARDO MATOSO</v>
      </c>
      <c r="I401" t="str">
        <f t="shared" si="39"/>
        <v>STONE ENGENHARIA E MONTAGENS INDUSTRIAIS LTDA</v>
      </c>
      <c r="J401">
        <f t="shared" si="40"/>
        <v>0</v>
      </c>
      <c r="K401">
        <f t="shared" si="41"/>
        <v>1</v>
      </c>
    </row>
    <row r="402" spans="1:11" x14ac:dyDescent="0.25">
      <c r="A402" t="s">
        <v>359</v>
      </c>
      <c r="B402" t="s">
        <v>105</v>
      </c>
      <c r="C402" t="s">
        <v>50</v>
      </c>
      <c r="D402" s="3">
        <v>45582</v>
      </c>
      <c r="E402" t="str">
        <f>VLOOKUP(B402,'PROCV GERENTES BD'!A:B,2,0)</f>
        <v>PROSPECTAR</v>
      </c>
      <c r="F402" s="4" t="str">
        <f t="shared" si="36"/>
        <v>2024-10</v>
      </c>
      <c r="G402" s="18">
        <f t="shared" si="37"/>
        <v>42</v>
      </c>
      <c r="H402" t="str">
        <f t="shared" si="38"/>
        <v>PROSPECTAR</v>
      </c>
      <c r="I402" t="str">
        <f t="shared" si="39"/>
        <v>ALEXANDRE ROSA VICENTE E SERVICOS LTDA ME</v>
      </c>
      <c r="J402">
        <f t="shared" si="40"/>
        <v>0</v>
      </c>
      <c r="K402">
        <f t="shared" si="41"/>
        <v>1</v>
      </c>
    </row>
    <row r="403" spans="1:11" x14ac:dyDescent="0.25">
      <c r="A403" t="s">
        <v>410</v>
      </c>
      <c r="B403" t="s">
        <v>160</v>
      </c>
      <c r="C403" t="s">
        <v>66</v>
      </c>
      <c r="D403" s="3">
        <v>45582</v>
      </c>
      <c r="E403" t="str">
        <f>VLOOKUP(B403,'PROCV GERENTES BD'!A:B,2,0)</f>
        <v>PROSPECTAR</v>
      </c>
      <c r="F403" s="4" t="str">
        <f t="shared" si="36"/>
        <v>2024-10</v>
      </c>
      <c r="G403" s="18">
        <f t="shared" si="37"/>
        <v>42</v>
      </c>
      <c r="H403" t="str">
        <f t="shared" si="38"/>
        <v>PROSPECTAR</v>
      </c>
      <c r="I403" t="str">
        <f t="shared" si="39"/>
        <v>ESCUDO ADMINISTRACAO E SERVICOS LTDA EM RECUPERACA</v>
      </c>
      <c r="J403">
        <f t="shared" si="40"/>
        <v>1</v>
      </c>
      <c r="K403">
        <f t="shared" si="41"/>
        <v>0</v>
      </c>
    </row>
    <row r="404" spans="1:11" x14ac:dyDescent="0.25">
      <c r="A404" t="s">
        <v>323</v>
      </c>
      <c r="B404" t="s">
        <v>109</v>
      </c>
      <c r="C404" t="s">
        <v>53</v>
      </c>
      <c r="D404" s="3">
        <v>45582</v>
      </c>
      <c r="E404" t="str">
        <f>VLOOKUP(B404,'PROCV GERENTES BD'!A:B,2,0)</f>
        <v>PROSPECTAR</v>
      </c>
      <c r="F404" s="4" t="str">
        <f t="shared" si="36"/>
        <v>2024-10</v>
      </c>
      <c r="G404" s="18">
        <f t="shared" si="37"/>
        <v>42</v>
      </c>
      <c r="H404" t="str">
        <f t="shared" si="38"/>
        <v>PROSPECTAR</v>
      </c>
      <c r="I404" t="str">
        <f t="shared" si="39"/>
        <v>SIAP COMERCIO DE PRODUTOS AGROPECUARIOS LTDA</v>
      </c>
      <c r="J404">
        <f t="shared" si="40"/>
        <v>1</v>
      </c>
      <c r="K404">
        <f t="shared" si="41"/>
        <v>1</v>
      </c>
    </row>
    <row r="405" spans="1:11" x14ac:dyDescent="0.25">
      <c r="A405" t="s">
        <v>384</v>
      </c>
      <c r="B405" t="s">
        <v>131</v>
      </c>
      <c r="C405" t="s">
        <v>50</v>
      </c>
      <c r="D405" s="3">
        <v>45582</v>
      </c>
      <c r="E405" t="str">
        <f>VLOOKUP(B405,'PROCV GERENTES BD'!A:B,2,0)</f>
        <v xml:space="preserve">MARCUS VINICIUS </v>
      </c>
      <c r="F405" s="4" t="str">
        <f t="shared" si="36"/>
        <v>2024-10</v>
      </c>
      <c r="G405" s="18">
        <f t="shared" si="37"/>
        <v>42</v>
      </c>
      <c r="H405" t="str">
        <f t="shared" si="38"/>
        <v xml:space="preserve">MARCUS VINICIUS </v>
      </c>
      <c r="I405" t="str">
        <f t="shared" si="39"/>
        <v>PALMILHADO INDUSTRIA E COMERCIO LTDA</v>
      </c>
      <c r="J405">
        <f t="shared" si="40"/>
        <v>0</v>
      </c>
      <c r="K405">
        <f t="shared" si="41"/>
        <v>1</v>
      </c>
    </row>
    <row r="406" spans="1:11" x14ac:dyDescent="0.25">
      <c r="A406" t="s">
        <v>375</v>
      </c>
      <c r="B406" t="s">
        <v>120</v>
      </c>
      <c r="C406" t="s">
        <v>66</v>
      </c>
      <c r="D406" s="3">
        <v>45582</v>
      </c>
      <c r="E406" t="str">
        <f>VLOOKUP(B406,'PROCV GERENTES BD'!A:B,2,0)</f>
        <v>ADMINISTRAÇÃO</v>
      </c>
      <c r="F406" s="4" t="str">
        <f t="shared" si="36"/>
        <v>2024-10</v>
      </c>
      <c r="G406" s="18">
        <f t="shared" si="37"/>
        <v>42</v>
      </c>
      <c r="H406" t="str">
        <f t="shared" si="38"/>
        <v>ADMINISTRAÇÃO</v>
      </c>
      <c r="I406" t="str">
        <f t="shared" si="39"/>
        <v>FARINELLI NUTRIMENTOS LTDA</v>
      </c>
      <c r="J406">
        <f t="shared" si="40"/>
        <v>1</v>
      </c>
      <c r="K406">
        <f t="shared" si="41"/>
        <v>0</v>
      </c>
    </row>
    <row r="407" spans="1:11" x14ac:dyDescent="0.25">
      <c r="A407" t="s">
        <v>418</v>
      </c>
      <c r="B407" t="s">
        <v>168</v>
      </c>
      <c r="C407" t="s">
        <v>50</v>
      </c>
      <c r="D407" s="3">
        <v>45582</v>
      </c>
      <c r="E407" t="str">
        <f>VLOOKUP(B407,'PROCV GERENTES BD'!A:B,2,0)</f>
        <v>ADMINISTRAÇÃO</v>
      </c>
      <c r="F407" s="4" t="str">
        <f t="shared" si="36"/>
        <v>2024-10</v>
      </c>
      <c r="G407" s="18">
        <f t="shared" si="37"/>
        <v>42</v>
      </c>
      <c r="H407" t="str">
        <f t="shared" si="38"/>
        <v>ADMINISTRAÇÃO</v>
      </c>
      <c r="I407" t="str">
        <f t="shared" si="39"/>
        <v>MAAT COMERCIO DE VESTUARIO LTDA EPP</v>
      </c>
      <c r="J407">
        <f t="shared" si="40"/>
        <v>0</v>
      </c>
      <c r="K407">
        <f t="shared" si="41"/>
        <v>1</v>
      </c>
    </row>
    <row r="408" spans="1:11" x14ac:dyDescent="0.25">
      <c r="A408" t="s">
        <v>419</v>
      </c>
      <c r="B408" t="s">
        <v>169</v>
      </c>
      <c r="C408" t="s">
        <v>50</v>
      </c>
      <c r="D408" s="3">
        <v>45582</v>
      </c>
      <c r="E408" t="str">
        <f>VLOOKUP(B408,'PROCV GERENTES BD'!A:B,2,0)</f>
        <v>NOELI SALETE</v>
      </c>
      <c r="F408" s="4" t="str">
        <f t="shared" si="36"/>
        <v>2024-10</v>
      </c>
      <c r="G408" s="18">
        <f t="shared" si="37"/>
        <v>42</v>
      </c>
      <c r="H408" t="str">
        <f t="shared" si="38"/>
        <v>NOELI SALETE</v>
      </c>
      <c r="I408" t="str">
        <f t="shared" si="39"/>
        <v>GLOBAL ACO SERVICOS E PRODUTOS SIDERURGICOS LTDA E</v>
      </c>
      <c r="J408">
        <f t="shared" si="40"/>
        <v>0</v>
      </c>
      <c r="K408">
        <f t="shared" si="41"/>
        <v>1</v>
      </c>
    </row>
    <row r="409" spans="1:11" x14ac:dyDescent="0.25">
      <c r="A409" t="s">
        <v>400</v>
      </c>
      <c r="B409" t="s">
        <v>150</v>
      </c>
      <c r="C409" t="s">
        <v>66</v>
      </c>
      <c r="D409" s="3">
        <v>45582</v>
      </c>
      <c r="E409" t="str">
        <f>VLOOKUP(B409,'PROCV GERENTES BD'!A:B,2,0)</f>
        <v>NOELI SALETE</v>
      </c>
      <c r="F409" s="4" t="str">
        <f t="shared" si="36"/>
        <v>2024-10</v>
      </c>
      <c r="G409" s="18">
        <f t="shared" si="37"/>
        <v>42</v>
      </c>
      <c r="H409" t="str">
        <f t="shared" si="38"/>
        <v>NOELI SALETE</v>
      </c>
      <c r="I409" t="str">
        <f t="shared" si="39"/>
        <v>POOLMAK SISTEMAS ESTRUTURAIS LTDA</v>
      </c>
      <c r="J409">
        <f t="shared" si="40"/>
        <v>1</v>
      </c>
      <c r="K409">
        <f t="shared" si="41"/>
        <v>0</v>
      </c>
    </row>
    <row r="410" spans="1:11" x14ac:dyDescent="0.25">
      <c r="A410" t="s">
        <v>346</v>
      </c>
      <c r="B410" t="s">
        <v>91</v>
      </c>
      <c r="C410" t="s">
        <v>50</v>
      </c>
      <c r="D410" s="3">
        <v>45582</v>
      </c>
      <c r="E410" t="str">
        <f>VLOOKUP(B410,'PROCV GERENTES BD'!A:B,2,0)</f>
        <v>POENATELA</v>
      </c>
      <c r="F410" s="4" t="str">
        <f t="shared" si="36"/>
        <v>2024-10</v>
      </c>
      <c r="G410" s="18">
        <f t="shared" si="37"/>
        <v>42</v>
      </c>
      <c r="H410" t="str">
        <f t="shared" si="38"/>
        <v>POENATELA</v>
      </c>
      <c r="I410" t="str">
        <f t="shared" si="39"/>
        <v>UBERTEC SERVICE USINAGEM LTDA EPP</v>
      </c>
      <c r="J410">
        <f t="shared" si="40"/>
        <v>0</v>
      </c>
      <c r="K410">
        <f t="shared" si="41"/>
        <v>1</v>
      </c>
    </row>
    <row r="411" spans="1:11" x14ac:dyDescent="0.25">
      <c r="A411" t="s">
        <v>76</v>
      </c>
      <c r="B411" t="s">
        <v>77</v>
      </c>
      <c r="C411" t="s">
        <v>66</v>
      </c>
      <c r="D411" s="3">
        <v>45582</v>
      </c>
      <c r="E411" t="str">
        <f>VLOOKUP(B411,'PROCV GERENTES BD'!A:B,2,0)</f>
        <v>RAFAEL PARISE</v>
      </c>
      <c r="F411" s="4" t="str">
        <f t="shared" si="36"/>
        <v>2024-10</v>
      </c>
      <c r="G411" s="18">
        <f t="shared" si="37"/>
        <v>42</v>
      </c>
      <c r="H411" t="str">
        <f t="shared" si="38"/>
        <v>RAFAEL PARISE</v>
      </c>
      <c r="I411" t="str">
        <f t="shared" si="39"/>
        <v>UNITA AUTO PECAS LTDA EPP</v>
      </c>
      <c r="J411">
        <f t="shared" si="40"/>
        <v>1</v>
      </c>
      <c r="K411">
        <f t="shared" si="41"/>
        <v>0</v>
      </c>
    </row>
    <row r="412" spans="1:11" x14ac:dyDescent="0.25">
      <c r="A412" t="s">
        <v>362</v>
      </c>
      <c r="B412" t="s">
        <v>107</v>
      </c>
      <c r="C412" t="s">
        <v>50</v>
      </c>
      <c r="D412" s="3">
        <v>45582</v>
      </c>
      <c r="E412" t="s">
        <v>21</v>
      </c>
      <c r="F412" s="4" t="str">
        <f t="shared" si="36"/>
        <v>2024-10</v>
      </c>
      <c r="G412" s="18">
        <f t="shared" si="37"/>
        <v>42</v>
      </c>
      <c r="H412" t="str">
        <f t="shared" si="38"/>
        <v xml:space="preserve">ROGERIO </v>
      </c>
      <c r="I412" t="str">
        <f t="shared" si="39"/>
        <v>EVOLUTION MACHINES LTDA ME</v>
      </c>
      <c r="J412">
        <f t="shared" si="40"/>
        <v>0</v>
      </c>
      <c r="K412">
        <f t="shared" si="41"/>
        <v>1</v>
      </c>
    </row>
    <row r="413" spans="1:11" x14ac:dyDescent="0.25">
      <c r="A413" t="s">
        <v>325</v>
      </c>
      <c r="B413" t="s">
        <v>138</v>
      </c>
      <c r="C413" t="s">
        <v>66</v>
      </c>
      <c r="D413" s="3">
        <v>45582</v>
      </c>
      <c r="E413" t="str">
        <f>VLOOKUP(B413,'PROCV GERENTES BD'!A:B,2,0)</f>
        <v>SACADO</v>
      </c>
      <c r="F413" s="4" t="str">
        <f t="shared" si="36"/>
        <v>2024-10</v>
      </c>
      <c r="G413" s="18">
        <f t="shared" si="37"/>
        <v>42</v>
      </c>
      <c r="H413" t="str">
        <f t="shared" si="38"/>
        <v>SACADO</v>
      </c>
      <c r="I413" t="str">
        <f t="shared" si="39"/>
        <v>ALLIAGE S A INDUSTRIAS MEDICO ODONTOLOGICA</v>
      </c>
      <c r="J413">
        <f t="shared" si="40"/>
        <v>1</v>
      </c>
      <c r="K413">
        <f t="shared" si="41"/>
        <v>0</v>
      </c>
    </row>
    <row r="414" spans="1:11" x14ac:dyDescent="0.25">
      <c r="A414" t="s">
        <v>367</v>
      </c>
      <c r="B414" t="s">
        <v>112</v>
      </c>
      <c r="C414" t="s">
        <v>50</v>
      </c>
      <c r="D414" s="3">
        <v>45583</v>
      </c>
      <c r="E414" t="str">
        <f>VLOOKUP(B414,'PROCV GERENTES BD'!A:B,2,0)</f>
        <v>ADMINISTRAÇÃO</v>
      </c>
      <c r="F414" s="4" t="str">
        <f t="shared" si="36"/>
        <v>2024-10</v>
      </c>
      <c r="G414" s="18">
        <f t="shared" si="37"/>
        <v>42</v>
      </c>
      <c r="H414" t="str">
        <f t="shared" si="38"/>
        <v>ADMINISTRAÇÃO</v>
      </c>
      <c r="I414" t="str">
        <f t="shared" si="39"/>
        <v>DISPA DISTRIBUIDORA SAO PAULO LTDA ME</v>
      </c>
      <c r="J414">
        <f t="shared" si="40"/>
        <v>0</v>
      </c>
      <c r="K414">
        <f t="shared" si="41"/>
        <v>1</v>
      </c>
    </row>
    <row r="415" spans="1:11" x14ac:dyDescent="0.25">
      <c r="A415" t="s">
        <v>349</v>
      </c>
      <c r="B415" t="s">
        <v>94</v>
      </c>
      <c r="C415" t="s">
        <v>50</v>
      </c>
      <c r="D415" s="3">
        <v>45583</v>
      </c>
      <c r="E415" t="str">
        <f>VLOOKUP(B415,'PROCV GERENTES BD'!A:B,2,0)</f>
        <v>ADMINISTRAÇÃO</v>
      </c>
      <c r="F415" s="4" t="str">
        <f t="shared" si="36"/>
        <v>2024-10</v>
      </c>
      <c r="G415" s="18">
        <f t="shared" si="37"/>
        <v>42</v>
      </c>
      <c r="H415" t="str">
        <f t="shared" si="38"/>
        <v>ADMINISTRAÇÃO</v>
      </c>
      <c r="I415" t="str">
        <f t="shared" si="39"/>
        <v>MEK SOL FUNDACOES E SERVICOS GEOTECNICOS LTDA EPP</v>
      </c>
      <c r="J415">
        <f t="shared" si="40"/>
        <v>0</v>
      </c>
      <c r="K415">
        <f t="shared" si="41"/>
        <v>1</v>
      </c>
    </row>
    <row r="416" spans="1:11" x14ac:dyDescent="0.25">
      <c r="A416" t="s">
        <v>406</v>
      </c>
      <c r="B416" t="s">
        <v>156</v>
      </c>
      <c r="C416" t="s">
        <v>50</v>
      </c>
      <c r="D416" s="3">
        <v>45583</v>
      </c>
      <c r="E416" t="str">
        <f>VLOOKUP(B416,'PROCV GERENTES BD'!A:B,2,0)</f>
        <v>ADMINISTRAÇÃO</v>
      </c>
      <c r="F416" s="4" t="str">
        <f t="shared" si="36"/>
        <v>2024-10</v>
      </c>
      <c r="G416" s="18">
        <f t="shared" si="37"/>
        <v>42</v>
      </c>
      <c r="H416" t="str">
        <f t="shared" si="38"/>
        <v>ADMINISTRAÇÃO</v>
      </c>
      <c r="I416" t="str">
        <f t="shared" si="39"/>
        <v>RIMAG COMERCIO ATACADISTA DE ALIMENTOS IMPORTACAO</v>
      </c>
      <c r="J416">
        <f t="shared" si="40"/>
        <v>0</v>
      </c>
      <c r="K416">
        <f t="shared" si="41"/>
        <v>1</v>
      </c>
    </row>
    <row r="417" spans="1:11" x14ac:dyDescent="0.25">
      <c r="A417" t="s">
        <v>319</v>
      </c>
      <c r="B417" t="s">
        <v>80</v>
      </c>
      <c r="C417" t="s">
        <v>50</v>
      </c>
      <c r="D417" s="3">
        <v>45583</v>
      </c>
      <c r="E417" t="str">
        <f>VLOOKUP(B417,'PROCV GERENTES BD'!A:B,2,0)</f>
        <v>CELIO PIMENTA</v>
      </c>
      <c r="F417" s="4" t="str">
        <f t="shared" si="36"/>
        <v>2024-10</v>
      </c>
      <c r="G417" s="18">
        <f t="shared" si="37"/>
        <v>42</v>
      </c>
      <c r="H417" t="str">
        <f t="shared" si="38"/>
        <v>CELIO PIMENTA</v>
      </c>
      <c r="I417" t="str">
        <f t="shared" si="39"/>
        <v>IMPORTEXTIL COMERCIO DE TECIDOS LTDA</v>
      </c>
      <c r="J417">
        <f t="shared" si="40"/>
        <v>0</v>
      </c>
      <c r="K417">
        <f t="shared" si="41"/>
        <v>1</v>
      </c>
    </row>
    <row r="418" spans="1:11" x14ac:dyDescent="0.25">
      <c r="A418" t="s">
        <v>311</v>
      </c>
      <c r="B418" t="s">
        <v>81</v>
      </c>
      <c r="C418" t="s">
        <v>50</v>
      </c>
      <c r="D418" s="3">
        <v>45583</v>
      </c>
      <c r="E418" t="str">
        <f>VLOOKUP(B418,'PROCV GERENTES BD'!A:B,2,0)</f>
        <v>CELIO PIMENTA</v>
      </c>
      <c r="F418" s="4" t="str">
        <f t="shared" si="36"/>
        <v>2024-10</v>
      </c>
      <c r="G418" s="18">
        <f t="shared" si="37"/>
        <v>42</v>
      </c>
      <c r="H418" t="str">
        <f t="shared" si="38"/>
        <v>CELIO PIMENTA</v>
      </c>
      <c r="I418" t="str">
        <f t="shared" si="39"/>
        <v>MBIOLOG DIAGNOSTICOS LTDA</v>
      </c>
      <c r="J418">
        <f t="shared" si="40"/>
        <v>0</v>
      </c>
      <c r="K418">
        <f t="shared" si="41"/>
        <v>1</v>
      </c>
    </row>
    <row r="419" spans="1:11" x14ac:dyDescent="0.25">
      <c r="A419" t="s">
        <v>374</v>
      </c>
      <c r="B419" t="s">
        <v>118</v>
      </c>
      <c r="C419" t="s">
        <v>50</v>
      </c>
      <c r="D419" s="3">
        <v>45583</v>
      </c>
      <c r="E419" t="str">
        <f>VLOOKUP(B419,'PROCV GERENTES BD'!A:B,2,0)</f>
        <v>CELIO PIMENTA</v>
      </c>
      <c r="F419" s="4" t="str">
        <f t="shared" si="36"/>
        <v>2024-10</v>
      </c>
      <c r="G419" s="18">
        <f t="shared" si="37"/>
        <v>42</v>
      </c>
      <c r="H419" t="str">
        <f t="shared" si="38"/>
        <v>CELIO PIMENTA</v>
      </c>
      <c r="I419" t="str">
        <f t="shared" si="39"/>
        <v>MINAS ALIMENTOS E FRUTAS SECAS LTDA EPP</v>
      </c>
      <c r="J419">
        <f t="shared" si="40"/>
        <v>0</v>
      </c>
      <c r="K419">
        <f t="shared" si="41"/>
        <v>1</v>
      </c>
    </row>
    <row r="420" spans="1:11" x14ac:dyDescent="0.25">
      <c r="A420" t="s">
        <v>358</v>
      </c>
      <c r="B420" t="s">
        <v>104</v>
      </c>
      <c r="C420" t="s">
        <v>50</v>
      </c>
      <c r="D420" s="3">
        <v>45583</v>
      </c>
      <c r="E420" t="str">
        <f>VLOOKUP(B420,'PROCV GERENTES BD'!A:B,2,0)</f>
        <v>DIOGO AZEVEDO</v>
      </c>
      <c r="F420" s="4" t="str">
        <f t="shared" si="36"/>
        <v>2024-10</v>
      </c>
      <c r="G420" s="18">
        <f t="shared" si="37"/>
        <v>42</v>
      </c>
      <c r="H420" t="str">
        <f t="shared" si="38"/>
        <v>DIOGO AZEVEDO</v>
      </c>
      <c r="I420" t="str">
        <f t="shared" si="39"/>
        <v>INDUSTRIA E CERVEJARIA ARTESANAL DE MINAS GERAIS L</v>
      </c>
      <c r="J420">
        <f t="shared" si="40"/>
        <v>0</v>
      </c>
      <c r="K420">
        <f t="shared" si="41"/>
        <v>1</v>
      </c>
    </row>
    <row r="421" spans="1:11" x14ac:dyDescent="0.25">
      <c r="A421" t="s">
        <v>377</v>
      </c>
      <c r="B421" t="s">
        <v>124</v>
      </c>
      <c r="C421" t="s">
        <v>50</v>
      </c>
      <c r="D421" s="3">
        <v>45583</v>
      </c>
      <c r="E421" t="str">
        <f>VLOOKUP(B421,'PROCV GERENTES BD'!A:B,2,0)</f>
        <v>EDUARDO MATOSO</v>
      </c>
      <c r="F421" s="4" t="str">
        <f t="shared" si="36"/>
        <v>2024-10</v>
      </c>
      <c r="G421" s="18">
        <f t="shared" si="37"/>
        <v>42</v>
      </c>
      <c r="H421" t="str">
        <f t="shared" si="38"/>
        <v>EDUARDO MATOSO</v>
      </c>
      <c r="I421" t="str">
        <f t="shared" si="39"/>
        <v>STONE ENGENHARIA E MONTAGENS INDUSTRIAIS LTDA</v>
      </c>
      <c r="J421">
        <f t="shared" si="40"/>
        <v>0</v>
      </c>
      <c r="K421">
        <f t="shared" si="41"/>
        <v>1</v>
      </c>
    </row>
    <row r="422" spans="1:11" x14ac:dyDescent="0.25">
      <c r="A422" t="s">
        <v>384</v>
      </c>
      <c r="B422" t="s">
        <v>131</v>
      </c>
      <c r="C422" t="s">
        <v>50</v>
      </c>
      <c r="D422" s="3">
        <v>45583</v>
      </c>
      <c r="E422" t="str">
        <f>VLOOKUP(B422,'PROCV GERENTES BD'!A:B,2,0)</f>
        <v xml:space="preserve">MARCUS VINICIUS </v>
      </c>
      <c r="F422" s="4" t="str">
        <f t="shared" si="36"/>
        <v>2024-10</v>
      </c>
      <c r="G422" s="18">
        <f t="shared" si="37"/>
        <v>42</v>
      </c>
      <c r="H422" t="str">
        <f t="shared" si="38"/>
        <v xml:space="preserve">MARCUS VINICIUS </v>
      </c>
      <c r="I422" t="str">
        <f t="shared" si="39"/>
        <v>PALMILHADO INDUSTRIA E COMERCIO LTDA</v>
      </c>
      <c r="J422">
        <f t="shared" si="40"/>
        <v>0</v>
      </c>
      <c r="K422">
        <f t="shared" si="41"/>
        <v>1</v>
      </c>
    </row>
    <row r="423" spans="1:11" x14ac:dyDescent="0.25">
      <c r="A423" t="s">
        <v>418</v>
      </c>
      <c r="B423" t="s">
        <v>168</v>
      </c>
      <c r="C423" t="s">
        <v>50</v>
      </c>
      <c r="D423" s="3">
        <v>45583</v>
      </c>
      <c r="E423" t="str">
        <f>VLOOKUP(B423,'PROCV GERENTES BD'!A:B,2,0)</f>
        <v>ADMINISTRAÇÃO</v>
      </c>
      <c r="F423" s="4" t="str">
        <f t="shared" si="36"/>
        <v>2024-10</v>
      </c>
      <c r="G423" s="18">
        <f t="shared" si="37"/>
        <v>42</v>
      </c>
      <c r="H423" t="str">
        <f t="shared" si="38"/>
        <v>ADMINISTRAÇÃO</v>
      </c>
      <c r="I423" t="str">
        <f t="shared" si="39"/>
        <v>MAAT COMERCIO DE VESTUARIO LTDA EPP</v>
      </c>
      <c r="J423">
        <f t="shared" si="40"/>
        <v>0</v>
      </c>
      <c r="K423">
        <f t="shared" si="41"/>
        <v>1</v>
      </c>
    </row>
    <row r="424" spans="1:11" x14ac:dyDescent="0.25">
      <c r="A424" t="s">
        <v>366</v>
      </c>
      <c r="B424" t="s">
        <v>110</v>
      </c>
      <c r="C424" t="s">
        <v>50</v>
      </c>
      <c r="D424" s="3">
        <v>45583</v>
      </c>
      <c r="E424" t="str">
        <f>VLOOKUP(B424,'PROCV GERENTES BD'!A:B,2,0)</f>
        <v>NELSON</v>
      </c>
      <c r="F424" s="4" t="str">
        <f t="shared" si="36"/>
        <v>2024-10</v>
      </c>
      <c r="G424" s="18">
        <f t="shared" si="37"/>
        <v>42</v>
      </c>
      <c r="H424" t="str">
        <f t="shared" si="38"/>
        <v>NELSON</v>
      </c>
      <c r="I424" t="str">
        <f t="shared" si="39"/>
        <v>VALENTE PRODUCOES LTDA ME</v>
      </c>
      <c r="J424">
        <f t="shared" si="40"/>
        <v>0</v>
      </c>
      <c r="K424">
        <f t="shared" si="41"/>
        <v>1</v>
      </c>
    </row>
    <row r="425" spans="1:11" x14ac:dyDescent="0.25">
      <c r="A425" t="s">
        <v>339</v>
      </c>
      <c r="B425" t="s">
        <v>87</v>
      </c>
      <c r="C425" t="s">
        <v>50</v>
      </c>
      <c r="D425" s="3">
        <v>45583</v>
      </c>
      <c r="E425" t="str">
        <f>VLOOKUP(B425,'PROCV GERENTES BD'!A:B,2,0)</f>
        <v>NOELI SALETE</v>
      </c>
      <c r="F425" s="4" t="str">
        <f t="shared" si="36"/>
        <v>2024-10</v>
      </c>
      <c r="G425" s="18">
        <f t="shared" si="37"/>
        <v>42</v>
      </c>
      <c r="H425" t="str">
        <f t="shared" si="38"/>
        <v>NOELI SALETE</v>
      </c>
      <c r="I425" t="str">
        <f t="shared" si="39"/>
        <v>RODOBOX TRANSPORTES E ARMAZENAGEM DE CARGAS LTDA</v>
      </c>
      <c r="J425">
        <f t="shared" si="40"/>
        <v>0</v>
      </c>
      <c r="K425">
        <f t="shared" si="41"/>
        <v>1</v>
      </c>
    </row>
    <row r="426" spans="1:11" x14ac:dyDescent="0.25">
      <c r="A426" t="s">
        <v>407</v>
      </c>
      <c r="B426" t="s">
        <v>157</v>
      </c>
      <c r="C426" t="s">
        <v>50</v>
      </c>
      <c r="D426" s="3">
        <v>45583</v>
      </c>
      <c r="E426" t="str">
        <f>VLOOKUP(B426,'PROCV GERENTES BD'!A:B,2,0)</f>
        <v>NOELI SALETE</v>
      </c>
      <c r="F426" s="4" t="str">
        <f t="shared" si="36"/>
        <v>2024-10</v>
      </c>
      <c r="G426" s="18">
        <f t="shared" si="37"/>
        <v>42</v>
      </c>
      <c r="H426" t="str">
        <f t="shared" si="38"/>
        <v>NOELI SALETE</v>
      </c>
      <c r="I426" t="str">
        <f t="shared" si="39"/>
        <v>SGAMAQ INOVACAO AGROINDUSTRIAL LTDA</v>
      </c>
      <c r="J426">
        <f t="shared" si="40"/>
        <v>0</v>
      </c>
      <c r="K426">
        <f t="shared" si="41"/>
        <v>1</v>
      </c>
    </row>
    <row r="427" spans="1:11" x14ac:dyDescent="0.25">
      <c r="A427" t="s">
        <v>344</v>
      </c>
      <c r="B427" t="s">
        <v>89</v>
      </c>
      <c r="C427" t="s">
        <v>66</v>
      </c>
      <c r="D427" s="3">
        <v>45583</v>
      </c>
      <c r="E427" t="str">
        <f>VLOOKUP(B427,'PROCV GERENTES BD'!A:B,2,0)</f>
        <v>POENATELA</v>
      </c>
      <c r="F427" s="4" t="str">
        <f t="shared" si="36"/>
        <v>2024-10</v>
      </c>
      <c r="G427" s="18">
        <f t="shared" si="37"/>
        <v>42</v>
      </c>
      <c r="H427" t="str">
        <f t="shared" si="38"/>
        <v>POENATELA</v>
      </c>
      <c r="I427" t="str">
        <f t="shared" si="39"/>
        <v>CERVEJARIA SOUZA LTDA</v>
      </c>
      <c r="J427">
        <f t="shared" si="40"/>
        <v>1</v>
      </c>
      <c r="K427">
        <f t="shared" si="41"/>
        <v>0</v>
      </c>
    </row>
    <row r="428" spans="1:11" x14ac:dyDescent="0.25">
      <c r="A428" t="s">
        <v>420</v>
      </c>
      <c r="B428" t="s">
        <v>170</v>
      </c>
      <c r="C428" t="s">
        <v>66</v>
      </c>
      <c r="D428" s="3">
        <v>45583</v>
      </c>
      <c r="E428" t="str">
        <f>VLOOKUP(B428,'PROCV GERENTES BD'!A:B,2,0)</f>
        <v>POENATELA</v>
      </c>
      <c r="F428" s="4" t="str">
        <f t="shared" si="36"/>
        <v>2024-10</v>
      </c>
      <c r="G428" s="18">
        <f t="shared" si="37"/>
        <v>42</v>
      </c>
      <c r="H428" t="str">
        <f t="shared" si="38"/>
        <v>POENATELA</v>
      </c>
      <c r="I428" t="str">
        <f t="shared" si="39"/>
        <v>SAVIXX COMERCIO INTERNACIONAL S/A</v>
      </c>
      <c r="J428">
        <f t="shared" si="40"/>
        <v>1</v>
      </c>
      <c r="K428">
        <f t="shared" si="41"/>
        <v>0</v>
      </c>
    </row>
    <row r="429" spans="1:11" x14ac:dyDescent="0.25">
      <c r="A429" t="s">
        <v>346</v>
      </c>
      <c r="B429" t="s">
        <v>91</v>
      </c>
      <c r="C429" t="s">
        <v>50</v>
      </c>
      <c r="D429" s="3">
        <v>45583</v>
      </c>
      <c r="E429" t="str">
        <f>VLOOKUP(B429,'PROCV GERENTES BD'!A:B,2,0)</f>
        <v>POENATELA</v>
      </c>
      <c r="F429" s="4" t="str">
        <f t="shared" si="36"/>
        <v>2024-10</v>
      </c>
      <c r="G429" s="18">
        <f t="shared" si="37"/>
        <v>42</v>
      </c>
      <c r="H429" t="str">
        <f t="shared" si="38"/>
        <v>POENATELA</v>
      </c>
      <c r="I429" t="str">
        <f t="shared" si="39"/>
        <v>UBERTEC SERVICE USINAGEM LTDA EPP</v>
      </c>
      <c r="J429">
        <f t="shared" si="40"/>
        <v>0</v>
      </c>
      <c r="K429">
        <f t="shared" si="41"/>
        <v>1</v>
      </c>
    </row>
    <row r="430" spans="1:11" x14ac:dyDescent="0.25">
      <c r="A430" t="s">
        <v>353</v>
      </c>
      <c r="B430" t="s">
        <v>97</v>
      </c>
      <c r="C430" t="s">
        <v>50</v>
      </c>
      <c r="D430" s="3">
        <v>45583</v>
      </c>
      <c r="E430" t="str">
        <f>VLOOKUP(B430,'PROCV GERENTES BD'!A:B,2,0)</f>
        <v>PRISCILA METZ</v>
      </c>
      <c r="F430" s="4" t="str">
        <f t="shared" si="36"/>
        <v>2024-10</v>
      </c>
      <c r="G430" s="18">
        <f t="shared" si="37"/>
        <v>42</v>
      </c>
      <c r="H430" t="str">
        <f t="shared" si="38"/>
        <v>PRISCILA METZ</v>
      </c>
      <c r="I430" t="str">
        <f t="shared" si="39"/>
        <v>ESSENZA INDUSTRIA QUIMICA LTDA</v>
      </c>
      <c r="J430">
        <f t="shared" si="40"/>
        <v>0</v>
      </c>
      <c r="K430">
        <f t="shared" si="41"/>
        <v>1</v>
      </c>
    </row>
    <row r="431" spans="1:11" x14ac:dyDescent="0.25">
      <c r="A431" t="s">
        <v>76</v>
      </c>
      <c r="B431" t="s">
        <v>77</v>
      </c>
      <c r="C431" t="s">
        <v>50</v>
      </c>
      <c r="D431" s="3">
        <v>45583</v>
      </c>
      <c r="E431" t="str">
        <f>VLOOKUP(B431,'PROCV GERENTES BD'!A:B,2,0)</f>
        <v>RAFAEL PARISE</v>
      </c>
      <c r="F431" s="4" t="str">
        <f t="shared" si="36"/>
        <v>2024-10</v>
      </c>
      <c r="G431" s="18">
        <f t="shared" si="37"/>
        <v>42</v>
      </c>
      <c r="H431" t="str">
        <f t="shared" si="38"/>
        <v>RAFAEL PARISE</v>
      </c>
      <c r="I431" t="str">
        <f t="shared" si="39"/>
        <v>UNITA AUTO PECAS LTDA EPP</v>
      </c>
      <c r="J431">
        <f t="shared" si="40"/>
        <v>0</v>
      </c>
      <c r="K431">
        <f t="shared" si="41"/>
        <v>1</v>
      </c>
    </row>
    <row r="432" spans="1:11" x14ac:dyDescent="0.25">
      <c r="A432" t="s">
        <v>416</v>
      </c>
      <c r="B432" t="s">
        <v>166</v>
      </c>
      <c r="C432" t="s">
        <v>50</v>
      </c>
      <c r="D432" s="3">
        <v>45583</v>
      </c>
      <c r="E432" t="s">
        <v>21</v>
      </c>
      <c r="F432" s="4" t="str">
        <f t="shared" si="36"/>
        <v>2024-10</v>
      </c>
      <c r="G432" s="18">
        <f t="shared" si="37"/>
        <v>42</v>
      </c>
      <c r="H432" t="str">
        <f t="shared" si="38"/>
        <v xml:space="preserve">ROGERIO </v>
      </c>
      <c r="I432" t="str">
        <f t="shared" si="39"/>
        <v>LUCCI ILUMINACAO LTDA EPP</v>
      </c>
      <c r="J432">
        <f t="shared" si="40"/>
        <v>0</v>
      </c>
      <c r="K432">
        <f t="shared" si="41"/>
        <v>1</v>
      </c>
    </row>
    <row r="433" spans="1:11" x14ac:dyDescent="0.25">
      <c r="A433" t="s">
        <v>421</v>
      </c>
      <c r="B433" t="s">
        <v>171</v>
      </c>
      <c r="C433" t="s">
        <v>50</v>
      </c>
      <c r="D433" s="3">
        <v>45583</v>
      </c>
      <c r="E433" t="str">
        <f>VLOOKUP(B433,'PROCV GERENTES BD'!A:B,2,0)</f>
        <v>WHELKYA IRIS</v>
      </c>
      <c r="F433" s="4" t="str">
        <f t="shared" si="36"/>
        <v>2024-10</v>
      </c>
      <c r="G433" s="18">
        <f t="shared" si="37"/>
        <v>42</v>
      </c>
      <c r="H433" t="str">
        <f t="shared" si="38"/>
        <v>WHELKYA IRIS</v>
      </c>
      <c r="I433" t="str">
        <f t="shared" si="39"/>
        <v>EDUARDO LUIZ SILVA DA LUZ ME</v>
      </c>
      <c r="J433">
        <f t="shared" si="40"/>
        <v>0</v>
      </c>
      <c r="K433">
        <f t="shared" si="41"/>
        <v>1</v>
      </c>
    </row>
    <row r="434" spans="1:11" x14ac:dyDescent="0.25">
      <c r="A434" t="s">
        <v>381</v>
      </c>
      <c r="B434" t="s">
        <v>128</v>
      </c>
      <c r="C434" t="s">
        <v>50</v>
      </c>
      <c r="D434" s="3">
        <v>45586</v>
      </c>
      <c r="E434" t="str">
        <f>VLOOKUP(B434,'PROCV GERENTES BD'!A:B,2,0)</f>
        <v>ADMINISTRAÇÃO</v>
      </c>
      <c r="F434" s="4" t="str">
        <f t="shared" si="36"/>
        <v>2024-10</v>
      </c>
      <c r="G434" s="18">
        <f t="shared" si="37"/>
        <v>43</v>
      </c>
      <c r="H434" t="str">
        <f t="shared" si="38"/>
        <v>ADMINISTRAÇÃO</v>
      </c>
      <c r="I434" t="str">
        <f t="shared" si="39"/>
        <v>MOLAS ANEL POSTO DE TROCA LTDA EPP</v>
      </c>
      <c r="J434">
        <f t="shared" si="40"/>
        <v>0</v>
      </c>
      <c r="K434">
        <f t="shared" si="41"/>
        <v>1</v>
      </c>
    </row>
    <row r="435" spans="1:11" x14ac:dyDescent="0.25">
      <c r="A435" t="s">
        <v>392</v>
      </c>
      <c r="B435" t="s">
        <v>172</v>
      </c>
      <c r="C435" t="s">
        <v>328</v>
      </c>
      <c r="D435" s="3">
        <v>45586</v>
      </c>
      <c r="E435" t="str">
        <f>VLOOKUP(B435,'PROCV GERENTES BD'!A:B,2,0)</f>
        <v>ADMINISTRAÇÃO</v>
      </c>
      <c r="F435" s="4" t="str">
        <f t="shared" si="36"/>
        <v>2024-10</v>
      </c>
      <c r="G435" s="18">
        <f t="shared" si="37"/>
        <v>43</v>
      </c>
      <c r="H435" t="str">
        <f t="shared" si="38"/>
        <v>ADMINISTRAÇÃO</v>
      </c>
      <c r="I435" t="str">
        <f t="shared" si="39"/>
        <v>VALADARES DIESEL LTDA EM RECUPERACAO JUDICIAL</v>
      </c>
      <c r="J435">
        <f t="shared" si="40"/>
        <v>0</v>
      </c>
      <c r="K435">
        <f t="shared" si="41"/>
        <v>0</v>
      </c>
    </row>
    <row r="436" spans="1:11" x14ac:dyDescent="0.25">
      <c r="A436" t="s">
        <v>356</v>
      </c>
      <c r="B436" t="s">
        <v>101</v>
      </c>
      <c r="C436" t="s">
        <v>66</v>
      </c>
      <c r="D436" s="3">
        <v>45586</v>
      </c>
      <c r="E436" t="str">
        <f>VLOOKUP(B436,'PROCV GERENTES BD'!A:B,2,0)</f>
        <v>ADMINISTRAÇÃO</v>
      </c>
      <c r="F436" s="4" t="str">
        <f t="shared" si="36"/>
        <v>2024-10</v>
      </c>
      <c r="G436" s="18">
        <f t="shared" si="37"/>
        <v>43</v>
      </c>
      <c r="H436" t="str">
        <f t="shared" si="38"/>
        <v>ADMINISTRAÇÃO</v>
      </c>
      <c r="I436" t="str">
        <f t="shared" si="39"/>
        <v>RPT SOLUCOES AMBIENTAIS LTDA</v>
      </c>
      <c r="J436">
        <f t="shared" si="40"/>
        <v>1</v>
      </c>
      <c r="K436">
        <f t="shared" si="41"/>
        <v>0</v>
      </c>
    </row>
    <row r="437" spans="1:11" x14ac:dyDescent="0.25">
      <c r="A437" t="s">
        <v>319</v>
      </c>
      <c r="B437" t="s">
        <v>80</v>
      </c>
      <c r="C437" t="s">
        <v>50</v>
      </c>
      <c r="D437" s="3">
        <v>45586</v>
      </c>
      <c r="E437" t="str">
        <f>VLOOKUP(B437,'PROCV GERENTES BD'!A:B,2,0)</f>
        <v>CELIO PIMENTA</v>
      </c>
      <c r="F437" s="4" t="str">
        <f t="shared" si="36"/>
        <v>2024-10</v>
      </c>
      <c r="G437" s="18">
        <f t="shared" si="37"/>
        <v>43</v>
      </c>
      <c r="H437" t="str">
        <f t="shared" si="38"/>
        <v>CELIO PIMENTA</v>
      </c>
      <c r="I437" t="str">
        <f t="shared" si="39"/>
        <v>IMPORTEXTIL COMERCIO DE TECIDOS LTDA</v>
      </c>
      <c r="J437">
        <f t="shared" si="40"/>
        <v>0</v>
      </c>
      <c r="K437">
        <f t="shared" si="41"/>
        <v>1</v>
      </c>
    </row>
    <row r="438" spans="1:11" x14ac:dyDescent="0.25">
      <c r="A438" t="s">
        <v>358</v>
      </c>
      <c r="B438" t="s">
        <v>104</v>
      </c>
      <c r="C438" t="s">
        <v>53</v>
      </c>
      <c r="D438" s="3">
        <v>45586</v>
      </c>
      <c r="E438" t="str">
        <f>VLOOKUP(B438,'PROCV GERENTES BD'!A:B,2,0)</f>
        <v>DIOGO AZEVEDO</v>
      </c>
      <c r="F438" s="4" t="str">
        <f t="shared" si="36"/>
        <v>2024-10</v>
      </c>
      <c r="G438" s="18">
        <f t="shared" si="37"/>
        <v>43</v>
      </c>
      <c r="H438" t="str">
        <f t="shared" si="38"/>
        <v>DIOGO AZEVEDO</v>
      </c>
      <c r="I438" t="str">
        <f t="shared" si="39"/>
        <v>INDUSTRIA E CERVEJARIA ARTESANAL DE MINAS GERAIS L</v>
      </c>
      <c r="J438">
        <f t="shared" si="40"/>
        <v>1</v>
      </c>
      <c r="K438">
        <f t="shared" si="41"/>
        <v>1</v>
      </c>
    </row>
    <row r="439" spans="1:11" x14ac:dyDescent="0.25">
      <c r="A439" t="s">
        <v>377</v>
      </c>
      <c r="B439" t="s">
        <v>124</v>
      </c>
      <c r="C439" t="s">
        <v>50</v>
      </c>
      <c r="D439" s="3">
        <v>45586</v>
      </c>
      <c r="E439" t="str">
        <f>VLOOKUP(B439,'PROCV GERENTES BD'!A:B,2,0)</f>
        <v>EDUARDO MATOSO</v>
      </c>
      <c r="F439" s="4" t="str">
        <f t="shared" si="36"/>
        <v>2024-10</v>
      </c>
      <c r="G439" s="18">
        <f t="shared" si="37"/>
        <v>43</v>
      </c>
      <c r="H439" t="str">
        <f t="shared" si="38"/>
        <v>EDUARDO MATOSO</v>
      </c>
      <c r="I439" t="str">
        <f t="shared" si="39"/>
        <v>STONE ENGENHARIA E MONTAGENS INDUSTRIAIS LTDA</v>
      </c>
      <c r="J439">
        <f t="shared" si="40"/>
        <v>0</v>
      </c>
      <c r="K439">
        <f t="shared" si="41"/>
        <v>1</v>
      </c>
    </row>
    <row r="440" spans="1:11" x14ac:dyDescent="0.25">
      <c r="A440" t="s">
        <v>350</v>
      </c>
      <c r="B440" t="s">
        <v>95</v>
      </c>
      <c r="C440" t="s">
        <v>50</v>
      </c>
      <c r="D440" s="3">
        <v>45586</v>
      </c>
      <c r="E440" t="str">
        <f>VLOOKUP(B440,'PROCV GERENTES BD'!A:B,2,0)</f>
        <v>GRUPO OTTO</v>
      </c>
      <c r="F440" s="4" t="str">
        <f t="shared" si="36"/>
        <v>2024-10</v>
      </c>
      <c r="G440" s="18">
        <f t="shared" si="37"/>
        <v>43</v>
      </c>
      <c r="H440" t="str">
        <f t="shared" si="38"/>
        <v>GRUPO OTTO</v>
      </c>
      <c r="I440" t="str">
        <f t="shared" si="39"/>
        <v>PLURIFORME INDUSTRIA E COMERCIO DE UNIFORMES LTDA</v>
      </c>
      <c r="J440">
        <f t="shared" si="40"/>
        <v>0</v>
      </c>
      <c r="K440">
        <f t="shared" si="41"/>
        <v>1</v>
      </c>
    </row>
    <row r="441" spans="1:11" x14ac:dyDescent="0.25">
      <c r="A441" t="s">
        <v>350</v>
      </c>
      <c r="B441" t="s">
        <v>95</v>
      </c>
      <c r="C441" t="s">
        <v>327</v>
      </c>
      <c r="D441" s="3">
        <v>45586</v>
      </c>
      <c r="E441" t="str">
        <f>VLOOKUP(B441,'PROCV GERENTES BD'!A:B,2,0)</f>
        <v>GRUPO OTTO</v>
      </c>
      <c r="F441" s="4" t="str">
        <f t="shared" si="36"/>
        <v>2024-10</v>
      </c>
      <c r="G441" s="18">
        <f t="shared" si="37"/>
        <v>43</v>
      </c>
      <c r="H441" t="str">
        <f t="shared" si="38"/>
        <v>GRUPO OTTO</v>
      </c>
      <c r="I441" t="str">
        <f t="shared" si="39"/>
        <v>PLURIFORME INDUSTRIA E COMERCIO DE UNIFORMES LTDA</v>
      </c>
      <c r="J441">
        <f t="shared" si="40"/>
        <v>0</v>
      </c>
      <c r="K441">
        <f t="shared" si="41"/>
        <v>0</v>
      </c>
    </row>
    <row r="442" spans="1:11" x14ac:dyDescent="0.25">
      <c r="A442" t="s">
        <v>350</v>
      </c>
      <c r="B442" t="s">
        <v>95</v>
      </c>
      <c r="C442" t="s">
        <v>50</v>
      </c>
      <c r="D442" s="3">
        <v>45586</v>
      </c>
      <c r="E442" t="str">
        <f>VLOOKUP(B442,'PROCV GERENTES BD'!A:B,2,0)</f>
        <v>GRUPO OTTO</v>
      </c>
      <c r="F442" s="4" t="str">
        <f t="shared" si="36"/>
        <v>2024-10</v>
      </c>
      <c r="G442" s="18">
        <f t="shared" si="37"/>
        <v>43</v>
      </c>
      <c r="H442" t="str">
        <f t="shared" si="38"/>
        <v>GRUPO OTTO</v>
      </c>
      <c r="I442" t="str">
        <f t="shared" si="39"/>
        <v>PLURIFORME INDUSTRIA E COMERCIO DE UNIFORMES LTDA</v>
      </c>
      <c r="J442">
        <f t="shared" si="40"/>
        <v>0</v>
      </c>
      <c r="K442">
        <f t="shared" si="41"/>
        <v>1</v>
      </c>
    </row>
    <row r="443" spans="1:11" x14ac:dyDescent="0.25">
      <c r="A443" t="s">
        <v>350</v>
      </c>
      <c r="B443" t="s">
        <v>95</v>
      </c>
      <c r="C443" t="s">
        <v>50</v>
      </c>
      <c r="D443" s="3">
        <v>45586</v>
      </c>
      <c r="E443" t="str">
        <f>VLOOKUP(B443,'PROCV GERENTES BD'!A:B,2,0)</f>
        <v>GRUPO OTTO</v>
      </c>
      <c r="F443" s="4" t="str">
        <f t="shared" si="36"/>
        <v>2024-10</v>
      </c>
      <c r="G443" s="18">
        <f t="shared" si="37"/>
        <v>43</v>
      </c>
      <c r="H443" t="str">
        <f t="shared" si="38"/>
        <v>GRUPO OTTO</v>
      </c>
      <c r="I443" t="str">
        <f t="shared" si="39"/>
        <v>PLURIFORME INDUSTRIA E COMERCIO DE UNIFORMES LTDA</v>
      </c>
      <c r="J443">
        <f t="shared" si="40"/>
        <v>0</v>
      </c>
      <c r="K443">
        <f t="shared" si="41"/>
        <v>1</v>
      </c>
    </row>
    <row r="444" spans="1:11" x14ac:dyDescent="0.25">
      <c r="A444" t="s">
        <v>422</v>
      </c>
      <c r="B444" t="s">
        <v>173</v>
      </c>
      <c r="C444" t="s">
        <v>50</v>
      </c>
      <c r="D444" s="3">
        <v>45586</v>
      </c>
      <c r="E444" t="str">
        <f>VLOOKUP(B444,'PROCV GERENTES BD'!A:B,2,0)</f>
        <v>NOELI SALETE</v>
      </c>
      <c r="F444" s="4" t="str">
        <f t="shared" si="36"/>
        <v>2024-10</v>
      </c>
      <c r="G444" s="18">
        <f t="shared" si="37"/>
        <v>43</v>
      </c>
      <c r="H444" t="str">
        <f t="shared" si="38"/>
        <v>NOELI SALETE</v>
      </c>
      <c r="I444" t="str">
        <f t="shared" si="39"/>
        <v>COMGROUP AGROINDUSTRIAL LTDA</v>
      </c>
      <c r="J444">
        <f t="shared" si="40"/>
        <v>0</v>
      </c>
      <c r="K444">
        <f t="shared" si="41"/>
        <v>1</v>
      </c>
    </row>
    <row r="445" spans="1:11" x14ac:dyDescent="0.25">
      <c r="A445" t="s">
        <v>339</v>
      </c>
      <c r="B445" t="s">
        <v>87</v>
      </c>
      <c r="C445" t="s">
        <v>50</v>
      </c>
      <c r="D445" s="3">
        <v>45586</v>
      </c>
      <c r="E445" t="str">
        <f>VLOOKUP(B445,'PROCV GERENTES BD'!A:B,2,0)</f>
        <v>NOELI SALETE</v>
      </c>
      <c r="F445" s="4" t="str">
        <f t="shared" si="36"/>
        <v>2024-10</v>
      </c>
      <c r="G445" s="18">
        <f t="shared" si="37"/>
        <v>43</v>
      </c>
      <c r="H445" t="str">
        <f t="shared" si="38"/>
        <v>NOELI SALETE</v>
      </c>
      <c r="I445" t="str">
        <f t="shared" si="39"/>
        <v>RODOBOX TRANSPORTES E ARMAZENAGEM DE CARGAS LTDA</v>
      </c>
      <c r="J445">
        <f t="shared" si="40"/>
        <v>0</v>
      </c>
      <c r="K445">
        <f t="shared" si="41"/>
        <v>1</v>
      </c>
    </row>
    <row r="446" spans="1:11" x14ac:dyDescent="0.25">
      <c r="A446" t="s">
        <v>340</v>
      </c>
      <c r="B446" t="s">
        <v>86</v>
      </c>
      <c r="C446" t="s">
        <v>50</v>
      </c>
      <c r="D446" s="3">
        <v>45586</v>
      </c>
      <c r="E446" t="str">
        <f>VLOOKUP(B446,'PROCV GERENTES BD'!A:B,2,0)</f>
        <v>NOELI SALETE</v>
      </c>
      <c r="F446" s="4" t="str">
        <f t="shared" si="36"/>
        <v>2024-10</v>
      </c>
      <c r="G446" s="18">
        <f t="shared" si="37"/>
        <v>43</v>
      </c>
      <c r="H446" t="str">
        <f t="shared" si="38"/>
        <v>NOELI SALETE</v>
      </c>
      <c r="I446" t="str">
        <f t="shared" si="39"/>
        <v>MEIO OESTE PAPEIS LTDA ME</v>
      </c>
      <c r="J446">
        <f t="shared" si="40"/>
        <v>0</v>
      </c>
      <c r="K446">
        <f t="shared" si="41"/>
        <v>1</v>
      </c>
    </row>
    <row r="447" spans="1:11" x14ac:dyDescent="0.25">
      <c r="A447" t="s">
        <v>400</v>
      </c>
      <c r="B447" t="s">
        <v>150</v>
      </c>
      <c r="C447" t="s">
        <v>50</v>
      </c>
      <c r="D447" s="3">
        <v>45586</v>
      </c>
      <c r="E447" t="str">
        <f>VLOOKUP(B447,'PROCV GERENTES BD'!A:B,2,0)</f>
        <v>NOELI SALETE</v>
      </c>
      <c r="F447" s="4" t="str">
        <f t="shared" si="36"/>
        <v>2024-10</v>
      </c>
      <c r="G447" s="18">
        <f t="shared" si="37"/>
        <v>43</v>
      </c>
      <c r="H447" t="str">
        <f t="shared" si="38"/>
        <v>NOELI SALETE</v>
      </c>
      <c r="I447" t="str">
        <f t="shared" si="39"/>
        <v>POOLMAK SISTEMAS ESTRUTURAIS LTDA</v>
      </c>
      <c r="J447">
        <f t="shared" si="40"/>
        <v>0</v>
      </c>
      <c r="K447">
        <f t="shared" si="41"/>
        <v>1</v>
      </c>
    </row>
    <row r="448" spans="1:11" x14ac:dyDescent="0.25">
      <c r="A448" t="s">
        <v>407</v>
      </c>
      <c r="B448" t="s">
        <v>157</v>
      </c>
      <c r="C448" t="s">
        <v>66</v>
      </c>
      <c r="D448" s="3">
        <v>45586</v>
      </c>
      <c r="E448" t="str">
        <f>VLOOKUP(B448,'PROCV GERENTES BD'!A:B,2,0)</f>
        <v>NOELI SALETE</v>
      </c>
      <c r="F448" s="4" t="str">
        <f t="shared" si="36"/>
        <v>2024-10</v>
      </c>
      <c r="G448" s="18">
        <f t="shared" si="37"/>
        <v>43</v>
      </c>
      <c r="H448" t="str">
        <f t="shared" si="38"/>
        <v>NOELI SALETE</v>
      </c>
      <c r="I448" t="str">
        <f t="shared" si="39"/>
        <v>SGAMAQ INOVACAO AGROINDUSTRIAL LTDA</v>
      </c>
      <c r="J448">
        <f t="shared" si="40"/>
        <v>1</v>
      </c>
      <c r="K448">
        <f t="shared" si="41"/>
        <v>0</v>
      </c>
    </row>
    <row r="449" spans="1:11" x14ac:dyDescent="0.25">
      <c r="A449" t="s">
        <v>423</v>
      </c>
      <c r="B449" t="s">
        <v>174</v>
      </c>
      <c r="C449" t="s">
        <v>50</v>
      </c>
      <c r="D449" s="3">
        <v>45586</v>
      </c>
      <c r="E449" t="str">
        <f>VLOOKUP(B449,'PROCV GERENTES BD'!A:B,2,0)</f>
        <v>POENATELA</v>
      </c>
      <c r="F449" s="4" t="str">
        <f t="shared" si="36"/>
        <v>2024-10</v>
      </c>
      <c r="G449" s="18">
        <f t="shared" si="37"/>
        <v>43</v>
      </c>
      <c r="H449" t="str">
        <f t="shared" si="38"/>
        <v>POENATELA</v>
      </c>
      <c r="I449" t="str">
        <f t="shared" si="39"/>
        <v>EXPRESSO PAV CONSTRUCOES E SERVICOS LTDA ME</v>
      </c>
      <c r="J449">
        <f t="shared" si="40"/>
        <v>0</v>
      </c>
      <c r="K449">
        <f t="shared" si="41"/>
        <v>1</v>
      </c>
    </row>
    <row r="450" spans="1:11" x14ac:dyDescent="0.25">
      <c r="A450" t="s">
        <v>346</v>
      </c>
      <c r="B450" t="s">
        <v>91</v>
      </c>
      <c r="C450" t="s">
        <v>53</v>
      </c>
      <c r="D450" s="3">
        <v>45586</v>
      </c>
      <c r="E450" t="str">
        <f>VLOOKUP(B450,'PROCV GERENTES BD'!A:B,2,0)</f>
        <v>POENATELA</v>
      </c>
      <c r="F450" s="4" t="str">
        <f t="shared" ref="F450:F513" si="42">YEAR(D450)&amp;"-"&amp;TEXT(MONTH(D450),"00")</f>
        <v>2024-10</v>
      </c>
      <c r="G450" s="18">
        <f t="shared" ref="G450:G513" si="43">WEEKNUM(D450)</f>
        <v>43</v>
      </c>
      <c r="H450" t="str">
        <f t="shared" ref="H450:H513" si="44">E450</f>
        <v>POENATELA</v>
      </c>
      <c r="I450" t="str">
        <f t="shared" ref="I450:I513" si="45">B450</f>
        <v>UBERTEC SERVICE USINAGEM LTDA EPP</v>
      </c>
      <c r="J450">
        <f t="shared" ref="J450:J513" si="46">IF(OR(C450="EXCLUSAO  ANOT.INADIMPLENCIA",C450="INCL/EXCL ANOT.INADIMPLENCIA"),1,0)</f>
        <v>1</v>
      </c>
      <c r="K450">
        <f t="shared" ref="K450:K513" si="47">IF(OR(C450="INCLUSAO  ANOT.INADIMPLENCIA",C450="INCL/EXCL ANOT.INADIMPLENCIA"),1,0)</f>
        <v>1</v>
      </c>
    </row>
    <row r="451" spans="1:11" x14ac:dyDescent="0.25">
      <c r="A451" t="s">
        <v>424</v>
      </c>
      <c r="B451" t="s">
        <v>175</v>
      </c>
      <c r="C451" t="s">
        <v>328</v>
      </c>
      <c r="D451" s="3">
        <v>45586</v>
      </c>
      <c r="E451" t="str">
        <f>VLOOKUP(B451,'PROCV GERENTES BD'!A:B,2,0)</f>
        <v>RAFAEL PARISE</v>
      </c>
      <c r="F451" s="4" t="str">
        <f t="shared" si="42"/>
        <v>2024-10</v>
      </c>
      <c r="G451" s="18">
        <f t="shared" si="43"/>
        <v>43</v>
      </c>
      <c r="H451" t="str">
        <f t="shared" si="44"/>
        <v>RAFAEL PARISE</v>
      </c>
      <c r="I451" t="str">
        <f t="shared" si="45"/>
        <v>AGROINDUSTRIA FRUTAS JARDINS LTDA</v>
      </c>
      <c r="J451">
        <f t="shared" si="46"/>
        <v>0</v>
      </c>
      <c r="K451">
        <f t="shared" si="47"/>
        <v>0</v>
      </c>
    </row>
    <row r="452" spans="1:11" x14ac:dyDescent="0.25">
      <c r="A452" t="s">
        <v>425</v>
      </c>
      <c r="B452" t="s">
        <v>176</v>
      </c>
      <c r="C452" t="s">
        <v>328</v>
      </c>
      <c r="D452" s="3">
        <v>45586</v>
      </c>
      <c r="E452" t="str">
        <f>VLOOKUP(B452,'PROCV GERENTES BD'!A:B,2,0)</f>
        <v>SEM GERENTE</v>
      </c>
      <c r="F452" s="4" t="str">
        <f t="shared" si="42"/>
        <v>2024-10</v>
      </c>
      <c r="G452" s="18">
        <f t="shared" si="43"/>
        <v>43</v>
      </c>
      <c r="H452" t="str">
        <f t="shared" si="44"/>
        <v>SEM GERENTE</v>
      </c>
      <c r="I452" t="str">
        <f t="shared" si="45"/>
        <v>RESERVA TRADE LTDA ME</v>
      </c>
      <c r="J452">
        <f t="shared" si="46"/>
        <v>0</v>
      </c>
      <c r="K452">
        <f t="shared" si="47"/>
        <v>0</v>
      </c>
    </row>
    <row r="453" spans="1:11" x14ac:dyDescent="0.25">
      <c r="A453" t="s">
        <v>425</v>
      </c>
      <c r="B453" t="s">
        <v>176</v>
      </c>
      <c r="C453" t="s">
        <v>50</v>
      </c>
      <c r="D453" s="3">
        <v>45586</v>
      </c>
      <c r="E453" t="str">
        <f>VLOOKUP(B453,'PROCV GERENTES BD'!A:B,2,0)</f>
        <v>SEM GERENTE</v>
      </c>
      <c r="F453" s="4" t="str">
        <f t="shared" si="42"/>
        <v>2024-10</v>
      </c>
      <c r="G453" s="18">
        <f t="shared" si="43"/>
        <v>43</v>
      </c>
      <c r="H453" t="str">
        <f t="shared" si="44"/>
        <v>SEM GERENTE</v>
      </c>
      <c r="I453" t="str">
        <f t="shared" si="45"/>
        <v>RESERVA TRADE LTDA ME</v>
      </c>
      <c r="J453">
        <f t="shared" si="46"/>
        <v>0</v>
      </c>
      <c r="K453">
        <f t="shared" si="47"/>
        <v>1</v>
      </c>
    </row>
    <row r="454" spans="1:11" x14ac:dyDescent="0.25">
      <c r="A454" t="s">
        <v>421</v>
      </c>
      <c r="B454" t="s">
        <v>171</v>
      </c>
      <c r="C454" t="s">
        <v>50</v>
      </c>
      <c r="D454" s="3">
        <v>45586</v>
      </c>
      <c r="E454" t="str">
        <f>VLOOKUP(B454,'PROCV GERENTES BD'!A:B,2,0)</f>
        <v>WHELKYA IRIS</v>
      </c>
      <c r="F454" s="4" t="str">
        <f t="shared" si="42"/>
        <v>2024-10</v>
      </c>
      <c r="G454" s="18">
        <f t="shared" si="43"/>
        <v>43</v>
      </c>
      <c r="H454" t="str">
        <f t="shared" si="44"/>
        <v>WHELKYA IRIS</v>
      </c>
      <c r="I454" t="str">
        <f t="shared" si="45"/>
        <v>EDUARDO LUIZ SILVA DA LUZ ME</v>
      </c>
      <c r="J454">
        <f t="shared" si="46"/>
        <v>0</v>
      </c>
      <c r="K454">
        <f t="shared" si="47"/>
        <v>1</v>
      </c>
    </row>
    <row r="455" spans="1:11" x14ac:dyDescent="0.25">
      <c r="A455" t="s">
        <v>426</v>
      </c>
      <c r="B455" t="s">
        <v>177</v>
      </c>
      <c r="C455" t="s">
        <v>50</v>
      </c>
      <c r="D455" s="3">
        <v>45586</v>
      </c>
      <c r="E455" t="str">
        <f>VLOOKUP(B455,'PROCV GERENTES BD'!A:B,2,0)</f>
        <v>WHELKYA IRIS</v>
      </c>
      <c r="F455" s="4" t="str">
        <f t="shared" si="42"/>
        <v>2024-10</v>
      </c>
      <c r="G455" s="18">
        <f t="shared" si="43"/>
        <v>43</v>
      </c>
      <c r="H455" t="str">
        <f t="shared" si="44"/>
        <v>WHELKYA IRIS</v>
      </c>
      <c r="I455" t="str">
        <f t="shared" si="45"/>
        <v>JFIX INDUSTRIA QUIMICA LTDA ME</v>
      </c>
      <c r="J455">
        <f t="shared" si="46"/>
        <v>0</v>
      </c>
      <c r="K455">
        <f t="shared" si="47"/>
        <v>1</v>
      </c>
    </row>
    <row r="456" spans="1:11" x14ac:dyDescent="0.25">
      <c r="A456" t="s">
        <v>427</v>
      </c>
      <c r="B456" t="s">
        <v>178</v>
      </c>
      <c r="C456" t="s">
        <v>50</v>
      </c>
      <c r="D456" s="3">
        <v>45587</v>
      </c>
      <c r="E456" t="str">
        <f>VLOOKUP(B456,'PROCV GERENTES BD'!A:B,2,0)</f>
        <v>ADMINISTRAÇÃO</v>
      </c>
      <c r="F456" s="4" t="str">
        <f t="shared" si="42"/>
        <v>2024-10</v>
      </c>
      <c r="G456" s="18">
        <f t="shared" si="43"/>
        <v>43</v>
      </c>
      <c r="H456" t="str">
        <f t="shared" si="44"/>
        <v>ADMINISTRAÇÃO</v>
      </c>
      <c r="I456" t="str">
        <f t="shared" si="45"/>
        <v>LIZZENA COSMETICOS LTDA EPP</v>
      </c>
      <c r="J456">
        <f t="shared" si="46"/>
        <v>0</v>
      </c>
      <c r="K456">
        <f t="shared" si="47"/>
        <v>1</v>
      </c>
    </row>
    <row r="457" spans="1:11" x14ac:dyDescent="0.25">
      <c r="A457" t="s">
        <v>372</v>
      </c>
      <c r="B457" t="s">
        <v>116</v>
      </c>
      <c r="C457" t="s">
        <v>50</v>
      </c>
      <c r="D457" s="3">
        <v>45587</v>
      </c>
      <c r="E457" t="str">
        <f>VLOOKUP(B457,'PROCV GERENTES BD'!A:B,2,0)</f>
        <v>ADMINISTRAÇÃO</v>
      </c>
      <c r="F457" s="4" t="str">
        <f t="shared" si="42"/>
        <v>2024-10</v>
      </c>
      <c r="G457" s="18">
        <f t="shared" si="43"/>
        <v>43</v>
      </c>
      <c r="H457" t="str">
        <f t="shared" si="44"/>
        <v>ADMINISTRAÇÃO</v>
      </c>
      <c r="I457" t="str">
        <f t="shared" si="45"/>
        <v>PREMOLDADOS MATOSINHOS LTDA EPP</v>
      </c>
      <c r="J457">
        <f t="shared" si="46"/>
        <v>0</v>
      </c>
      <c r="K457">
        <f t="shared" si="47"/>
        <v>1</v>
      </c>
    </row>
    <row r="458" spans="1:11" x14ac:dyDescent="0.25">
      <c r="A458" t="s">
        <v>319</v>
      </c>
      <c r="B458" t="s">
        <v>80</v>
      </c>
      <c r="C458" t="s">
        <v>50</v>
      </c>
      <c r="D458" s="3">
        <v>45587</v>
      </c>
      <c r="E458" t="str">
        <f>VLOOKUP(B458,'PROCV GERENTES BD'!A:B,2,0)</f>
        <v>CELIO PIMENTA</v>
      </c>
      <c r="F458" s="4" t="str">
        <f t="shared" si="42"/>
        <v>2024-10</v>
      </c>
      <c r="G458" s="18">
        <f t="shared" si="43"/>
        <v>43</v>
      </c>
      <c r="H458" t="str">
        <f t="shared" si="44"/>
        <v>CELIO PIMENTA</v>
      </c>
      <c r="I458" t="str">
        <f t="shared" si="45"/>
        <v>IMPORTEXTIL COMERCIO DE TECIDOS LTDA</v>
      </c>
      <c r="J458">
        <f t="shared" si="46"/>
        <v>0</v>
      </c>
      <c r="K458">
        <f t="shared" si="47"/>
        <v>1</v>
      </c>
    </row>
    <row r="459" spans="1:11" x14ac:dyDescent="0.25">
      <c r="A459" t="s">
        <v>324</v>
      </c>
      <c r="B459" t="s">
        <v>119</v>
      </c>
      <c r="C459" t="s">
        <v>66</v>
      </c>
      <c r="D459" s="3">
        <v>45587</v>
      </c>
      <c r="E459" t="str">
        <f>VLOOKUP(B459,'PROCV GERENTES BD'!A:B,2,0)</f>
        <v>PROSPECTAR</v>
      </c>
      <c r="F459" s="4" t="str">
        <f t="shared" si="42"/>
        <v>2024-10</v>
      </c>
      <c r="G459" s="18">
        <f t="shared" si="43"/>
        <v>43</v>
      </c>
      <c r="H459" t="str">
        <f t="shared" si="44"/>
        <v>PROSPECTAR</v>
      </c>
      <c r="I459" t="str">
        <f t="shared" si="45"/>
        <v>TRANSHENRY TRANSPORTES LTDA</v>
      </c>
      <c r="J459">
        <f t="shared" si="46"/>
        <v>1</v>
      </c>
      <c r="K459">
        <f t="shared" si="47"/>
        <v>0</v>
      </c>
    </row>
    <row r="460" spans="1:11" x14ac:dyDescent="0.25">
      <c r="A460" t="s">
        <v>333</v>
      </c>
      <c r="B460" t="s">
        <v>82</v>
      </c>
      <c r="C460" t="s">
        <v>50</v>
      </c>
      <c r="D460" s="3">
        <v>45587</v>
      </c>
      <c r="E460" t="str">
        <f>VLOOKUP(B460,'PROCV GERENTES BD'!A:B,2,0)</f>
        <v>ADMINISTRAÇÃO</v>
      </c>
      <c r="F460" s="4" t="str">
        <f t="shared" si="42"/>
        <v>2024-10</v>
      </c>
      <c r="G460" s="18">
        <f t="shared" si="43"/>
        <v>43</v>
      </c>
      <c r="H460" t="str">
        <f t="shared" si="44"/>
        <v>ADMINISTRAÇÃO</v>
      </c>
      <c r="I460" t="str">
        <f t="shared" si="45"/>
        <v>BETMIX CONCRETO LTDA</v>
      </c>
      <c r="J460">
        <f t="shared" si="46"/>
        <v>0</v>
      </c>
      <c r="K460">
        <f t="shared" si="47"/>
        <v>1</v>
      </c>
    </row>
    <row r="461" spans="1:11" x14ac:dyDescent="0.25">
      <c r="A461" t="s">
        <v>369</v>
      </c>
      <c r="B461" t="s">
        <v>113</v>
      </c>
      <c r="C461" t="s">
        <v>50</v>
      </c>
      <c r="D461" s="3">
        <v>45587</v>
      </c>
      <c r="E461" t="str">
        <f>VLOOKUP(B461,'PROCV GERENTES BD'!A:B,2,0)</f>
        <v xml:space="preserve">MARCUS VINICIUS </v>
      </c>
      <c r="F461" s="4" t="str">
        <f t="shared" si="42"/>
        <v>2024-10</v>
      </c>
      <c r="G461" s="18">
        <f t="shared" si="43"/>
        <v>43</v>
      </c>
      <c r="H461" t="str">
        <f t="shared" si="44"/>
        <v xml:space="preserve">MARCUS VINICIUS </v>
      </c>
      <c r="I461" t="str">
        <f t="shared" si="45"/>
        <v>ISOBASE POLIESTIRENO LTDA EPP</v>
      </c>
      <c r="J461">
        <f t="shared" si="46"/>
        <v>0</v>
      </c>
      <c r="K461">
        <f t="shared" si="47"/>
        <v>1</v>
      </c>
    </row>
    <row r="462" spans="1:11" x14ac:dyDescent="0.25">
      <c r="A462" t="s">
        <v>428</v>
      </c>
      <c r="B462" t="s">
        <v>179</v>
      </c>
      <c r="C462" t="s">
        <v>50</v>
      </c>
      <c r="D462" s="3">
        <v>45587</v>
      </c>
      <c r="E462" t="str">
        <f>VLOOKUP(B462,'PROCV GERENTES BD'!A:B,2,0)</f>
        <v xml:space="preserve">MARCUS VINICIUS </v>
      </c>
      <c r="F462" s="4" t="str">
        <f t="shared" si="42"/>
        <v>2024-10</v>
      </c>
      <c r="G462" s="18">
        <f t="shared" si="43"/>
        <v>43</v>
      </c>
      <c r="H462" t="str">
        <f t="shared" si="44"/>
        <v xml:space="preserve">MARCUS VINICIUS </v>
      </c>
      <c r="I462" t="str">
        <f t="shared" si="45"/>
        <v>LABOR ELETRIC INDUSTRIA E COMERCIO UNIPESSOAL LTDA</v>
      </c>
      <c r="J462">
        <f t="shared" si="46"/>
        <v>0</v>
      </c>
      <c r="K462">
        <f t="shared" si="47"/>
        <v>1</v>
      </c>
    </row>
    <row r="463" spans="1:11" x14ac:dyDescent="0.25">
      <c r="A463" t="s">
        <v>366</v>
      </c>
      <c r="B463" t="s">
        <v>110</v>
      </c>
      <c r="C463" t="s">
        <v>66</v>
      </c>
      <c r="D463" s="3">
        <v>45587</v>
      </c>
      <c r="E463" t="str">
        <f>VLOOKUP(B463,'PROCV GERENTES BD'!A:B,2,0)</f>
        <v>NELSON</v>
      </c>
      <c r="F463" s="4" t="str">
        <f t="shared" si="42"/>
        <v>2024-10</v>
      </c>
      <c r="G463" s="18">
        <f t="shared" si="43"/>
        <v>43</v>
      </c>
      <c r="H463" t="str">
        <f t="shared" si="44"/>
        <v>NELSON</v>
      </c>
      <c r="I463" t="str">
        <f t="shared" si="45"/>
        <v>VALENTE PRODUCOES LTDA ME</v>
      </c>
      <c r="J463">
        <f t="shared" si="46"/>
        <v>1</v>
      </c>
      <c r="K463">
        <f t="shared" si="47"/>
        <v>0</v>
      </c>
    </row>
    <row r="464" spans="1:11" x14ac:dyDescent="0.25">
      <c r="A464" t="s">
        <v>422</v>
      </c>
      <c r="B464" t="s">
        <v>173</v>
      </c>
      <c r="C464" t="s">
        <v>50</v>
      </c>
      <c r="D464" s="3">
        <v>45587</v>
      </c>
      <c r="E464" t="str">
        <f>VLOOKUP(B464,'PROCV GERENTES BD'!A:B,2,0)</f>
        <v>NOELI SALETE</v>
      </c>
      <c r="F464" s="4" t="str">
        <f t="shared" si="42"/>
        <v>2024-10</v>
      </c>
      <c r="G464" s="18">
        <f t="shared" si="43"/>
        <v>43</v>
      </c>
      <c r="H464" t="str">
        <f t="shared" si="44"/>
        <v>NOELI SALETE</v>
      </c>
      <c r="I464" t="str">
        <f t="shared" si="45"/>
        <v>COMGROUP AGROINDUSTRIAL LTDA</v>
      </c>
      <c r="J464">
        <f t="shared" si="46"/>
        <v>0</v>
      </c>
      <c r="K464">
        <f t="shared" si="47"/>
        <v>1</v>
      </c>
    </row>
    <row r="465" spans="1:11" x14ac:dyDescent="0.25">
      <c r="A465" t="s">
        <v>419</v>
      </c>
      <c r="B465" t="s">
        <v>169</v>
      </c>
      <c r="C465" t="s">
        <v>50</v>
      </c>
      <c r="D465" s="3">
        <v>45587</v>
      </c>
      <c r="E465" t="str">
        <f>VLOOKUP(B465,'PROCV GERENTES BD'!A:B,2,0)</f>
        <v>NOELI SALETE</v>
      </c>
      <c r="F465" s="4" t="str">
        <f t="shared" si="42"/>
        <v>2024-10</v>
      </c>
      <c r="G465" s="18">
        <f t="shared" si="43"/>
        <v>43</v>
      </c>
      <c r="H465" t="str">
        <f t="shared" si="44"/>
        <v>NOELI SALETE</v>
      </c>
      <c r="I465" t="str">
        <f t="shared" si="45"/>
        <v>GLOBAL ACO SERVICOS E PRODUTOS SIDERURGICOS LTDA E</v>
      </c>
      <c r="J465">
        <f t="shared" si="46"/>
        <v>0</v>
      </c>
      <c r="K465">
        <f t="shared" si="47"/>
        <v>1</v>
      </c>
    </row>
    <row r="466" spans="1:11" x14ac:dyDescent="0.25">
      <c r="A466" t="s">
        <v>339</v>
      </c>
      <c r="B466" t="s">
        <v>87</v>
      </c>
      <c r="C466" t="s">
        <v>50</v>
      </c>
      <c r="D466" s="3">
        <v>45587</v>
      </c>
      <c r="E466" t="str">
        <f>VLOOKUP(B466,'PROCV GERENTES BD'!A:B,2,0)</f>
        <v>NOELI SALETE</v>
      </c>
      <c r="F466" s="4" t="str">
        <f t="shared" si="42"/>
        <v>2024-10</v>
      </c>
      <c r="G466" s="18">
        <f t="shared" si="43"/>
        <v>43</v>
      </c>
      <c r="H466" t="str">
        <f t="shared" si="44"/>
        <v>NOELI SALETE</v>
      </c>
      <c r="I466" t="str">
        <f t="shared" si="45"/>
        <v>RODOBOX TRANSPORTES E ARMAZENAGEM DE CARGAS LTDA</v>
      </c>
      <c r="J466">
        <f t="shared" si="46"/>
        <v>0</v>
      </c>
      <c r="K466">
        <f t="shared" si="47"/>
        <v>1</v>
      </c>
    </row>
    <row r="467" spans="1:11" x14ac:dyDescent="0.25">
      <c r="A467" t="s">
        <v>340</v>
      </c>
      <c r="B467" t="s">
        <v>86</v>
      </c>
      <c r="C467" t="s">
        <v>50</v>
      </c>
      <c r="D467" s="3">
        <v>45587</v>
      </c>
      <c r="E467" t="str">
        <f>VLOOKUP(B467,'PROCV GERENTES BD'!A:B,2,0)</f>
        <v>NOELI SALETE</v>
      </c>
      <c r="F467" s="4" t="str">
        <f t="shared" si="42"/>
        <v>2024-10</v>
      </c>
      <c r="G467" s="18">
        <f t="shared" si="43"/>
        <v>43</v>
      </c>
      <c r="H467" t="str">
        <f t="shared" si="44"/>
        <v>NOELI SALETE</v>
      </c>
      <c r="I467" t="str">
        <f t="shared" si="45"/>
        <v>MEIO OESTE PAPEIS LTDA ME</v>
      </c>
      <c r="J467">
        <f t="shared" si="46"/>
        <v>0</v>
      </c>
      <c r="K467">
        <f t="shared" si="47"/>
        <v>1</v>
      </c>
    </row>
    <row r="468" spans="1:11" x14ac:dyDescent="0.25">
      <c r="A468" t="s">
        <v>407</v>
      </c>
      <c r="B468" t="s">
        <v>157</v>
      </c>
      <c r="C468" t="s">
        <v>50</v>
      </c>
      <c r="D468" s="3">
        <v>45587</v>
      </c>
      <c r="E468" t="str">
        <f>VLOOKUP(B468,'PROCV GERENTES BD'!A:B,2,0)</f>
        <v>NOELI SALETE</v>
      </c>
      <c r="F468" s="4" t="str">
        <f t="shared" si="42"/>
        <v>2024-10</v>
      </c>
      <c r="G468" s="18">
        <f t="shared" si="43"/>
        <v>43</v>
      </c>
      <c r="H468" t="str">
        <f t="shared" si="44"/>
        <v>NOELI SALETE</v>
      </c>
      <c r="I468" t="str">
        <f t="shared" si="45"/>
        <v>SGAMAQ INOVACAO AGROINDUSTRIAL LTDA</v>
      </c>
      <c r="J468">
        <f t="shared" si="46"/>
        <v>0</v>
      </c>
      <c r="K468">
        <f t="shared" si="47"/>
        <v>1</v>
      </c>
    </row>
    <row r="469" spans="1:11" x14ac:dyDescent="0.25">
      <c r="A469" t="s">
        <v>417</v>
      </c>
      <c r="B469" t="s">
        <v>167</v>
      </c>
      <c r="C469" t="s">
        <v>50</v>
      </c>
      <c r="D469" s="3">
        <v>45587</v>
      </c>
      <c r="E469" t="str">
        <f>VLOOKUP(B469,'PROCV GERENTES BD'!A:B,2,0)</f>
        <v>POENATELA</v>
      </c>
      <c r="F469" s="4" t="str">
        <f t="shared" si="42"/>
        <v>2024-10</v>
      </c>
      <c r="G469" s="18">
        <f t="shared" si="43"/>
        <v>43</v>
      </c>
      <c r="H469" t="str">
        <f t="shared" si="44"/>
        <v>POENATELA</v>
      </c>
      <c r="I469" t="str">
        <f t="shared" si="45"/>
        <v>DETRONIC ENERGIA E SERVICOS LTDA</v>
      </c>
      <c r="J469">
        <f t="shared" si="46"/>
        <v>0</v>
      </c>
      <c r="K469">
        <f t="shared" si="47"/>
        <v>1</v>
      </c>
    </row>
    <row r="470" spans="1:11" x14ac:dyDescent="0.25">
      <c r="A470" t="s">
        <v>353</v>
      </c>
      <c r="B470" t="s">
        <v>97</v>
      </c>
      <c r="C470" t="s">
        <v>50</v>
      </c>
      <c r="D470" s="3">
        <v>45587</v>
      </c>
      <c r="E470" t="str">
        <f>VLOOKUP(B470,'PROCV GERENTES BD'!A:B,2,0)</f>
        <v>PRISCILA METZ</v>
      </c>
      <c r="F470" s="4" t="str">
        <f t="shared" si="42"/>
        <v>2024-10</v>
      </c>
      <c r="G470" s="18">
        <f t="shared" si="43"/>
        <v>43</v>
      </c>
      <c r="H470" t="str">
        <f t="shared" si="44"/>
        <v>PRISCILA METZ</v>
      </c>
      <c r="I470" t="str">
        <f t="shared" si="45"/>
        <v>ESSENZA INDUSTRIA QUIMICA LTDA</v>
      </c>
      <c r="J470">
        <f t="shared" si="46"/>
        <v>0</v>
      </c>
      <c r="K470">
        <f t="shared" si="47"/>
        <v>1</v>
      </c>
    </row>
    <row r="471" spans="1:11" x14ac:dyDescent="0.25">
      <c r="A471" t="s">
        <v>376</v>
      </c>
      <c r="B471" t="s">
        <v>121</v>
      </c>
      <c r="C471" t="s">
        <v>50</v>
      </c>
      <c r="D471" s="3">
        <v>45587</v>
      </c>
      <c r="E471" t="str">
        <f>VLOOKUP(B471,'PROCV GERENTES BD'!A:B,2,0)</f>
        <v>PRISCILA METZ</v>
      </c>
      <c r="F471" s="4" t="str">
        <f t="shared" si="42"/>
        <v>2024-10</v>
      </c>
      <c r="G471" s="18">
        <f t="shared" si="43"/>
        <v>43</v>
      </c>
      <c r="H471" t="str">
        <f t="shared" si="44"/>
        <v>PRISCILA METZ</v>
      </c>
      <c r="I471" t="str">
        <f t="shared" si="45"/>
        <v>NOVA DISTRIBUIDORA E ATACADO DE LIMPEZA LTDA</v>
      </c>
      <c r="J471">
        <f t="shared" si="46"/>
        <v>0</v>
      </c>
      <c r="K471">
        <f t="shared" si="47"/>
        <v>1</v>
      </c>
    </row>
    <row r="472" spans="1:11" x14ac:dyDescent="0.25">
      <c r="A472" t="s">
        <v>429</v>
      </c>
      <c r="B472" t="s">
        <v>180</v>
      </c>
      <c r="C472" t="s">
        <v>50</v>
      </c>
      <c r="D472" s="3">
        <v>45587</v>
      </c>
      <c r="E472" t="s">
        <v>21</v>
      </c>
      <c r="F472" s="4" t="str">
        <f t="shared" si="42"/>
        <v>2024-10</v>
      </c>
      <c r="G472" s="18">
        <f t="shared" si="43"/>
        <v>43</v>
      </c>
      <c r="H472" t="str">
        <f t="shared" si="44"/>
        <v xml:space="preserve">ROGERIO </v>
      </c>
      <c r="I472" t="str">
        <f t="shared" si="45"/>
        <v>ENCADESP LTDA ME</v>
      </c>
      <c r="J472">
        <f t="shared" si="46"/>
        <v>0</v>
      </c>
      <c r="K472">
        <f t="shared" si="47"/>
        <v>1</v>
      </c>
    </row>
    <row r="473" spans="1:11" x14ac:dyDescent="0.25">
      <c r="A473" t="s">
        <v>406</v>
      </c>
      <c r="B473" t="s">
        <v>156</v>
      </c>
      <c r="C473" t="s">
        <v>50</v>
      </c>
      <c r="D473" s="3">
        <v>45588</v>
      </c>
      <c r="E473" t="str">
        <f>VLOOKUP(B473,'PROCV GERENTES BD'!A:B,2,0)</f>
        <v>ADMINISTRAÇÃO</v>
      </c>
      <c r="F473" s="4" t="str">
        <f t="shared" si="42"/>
        <v>2024-10</v>
      </c>
      <c r="G473" s="18">
        <f t="shared" si="43"/>
        <v>43</v>
      </c>
      <c r="H473" t="str">
        <f t="shared" si="44"/>
        <v>ADMINISTRAÇÃO</v>
      </c>
      <c r="I473" t="str">
        <f t="shared" si="45"/>
        <v>RIMAG COMERCIO ATACADISTA DE ALIMENTOS IMPORTACAO</v>
      </c>
      <c r="J473">
        <f t="shared" si="46"/>
        <v>0</v>
      </c>
      <c r="K473">
        <f t="shared" si="47"/>
        <v>1</v>
      </c>
    </row>
    <row r="474" spans="1:11" x14ac:dyDescent="0.25">
      <c r="A474" t="s">
        <v>319</v>
      </c>
      <c r="B474" t="s">
        <v>80</v>
      </c>
      <c r="C474" t="s">
        <v>50</v>
      </c>
      <c r="D474" s="3">
        <v>45588</v>
      </c>
      <c r="E474" t="str">
        <f>VLOOKUP(B474,'PROCV GERENTES BD'!A:B,2,0)</f>
        <v>CELIO PIMENTA</v>
      </c>
      <c r="F474" s="4" t="str">
        <f t="shared" si="42"/>
        <v>2024-10</v>
      </c>
      <c r="G474" s="18">
        <f t="shared" si="43"/>
        <v>43</v>
      </c>
      <c r="H474" t="str">
        <f t="shared" si="44"/>
        <v>CELIO PIMENTA</v>
      </c>
      <c r="I474" t="str">
        <f t="shared" si="45"/>
        <v>IMPORTEXTIL COMERCIO DE TECIDOS LTDA</v>
      </c>
      <c r="J474">
        <f t="shared" si="46"/>
        <v>0</v>
      </c>
      <c r="K474">
        <f t="shared" si="47"/>
        <v>1</v>
      </c>
    </row>
    <row r="475" spans="1:11" x14ac:dyDescent="0.25">
      <c r="A475" t="s">
        <v>374</v>
      </c>
      <c r="B475" t="s">
        <v>118</v>
      </c>
      <c r="C475" t="s">
        <v>50</v>
      </c>
      <c r="D475" s="3">
        <v>45588</v>
      </c>
      <c r="E475" t="str">
        <f>VLOOKUP(B475,'PROCV GERENTES BD'!A:B,2,0)</f>
        <v>CELIO PIMENTA</v>
      </c>
      <c r="F475" s="4" t="str">
        <f t="shared" si="42"/>
        <v>2024-10</v>
      </c>
      <c r="G475" s="18">
        <f t="shared" si="43"/>
        <v>43</v>
      </c>
      <c r="H475" t="str">
        <f t="shared" si="44"/>
        <v>CELIO PIMENTA</v>
      </c>
      <c r="I475" t="str">
        <f t="shared" si="45"/>
        <v>MINAS ALIMENTOS E FRUTAS SECAS LTDA EPP</v>
      </c>
      <c r="J475">
        <f t="shared" si="46"/>
        <v>0</v>
      </c>
      <c r="K475">
        <f t="shared" si="47"/>
        <v>1</v>
      </c>
    </row>
    <row r="476" spans="1:11" x14ac:dyDescent="0.25">
      <c r="A476" t="s">
        <v>54</v>
      </c>
      <c r="B476" t="s">
        <v>55</v>
      </c>
      <c r="C476" t="s">
        <v>66</v>
      </c>
      <c r="D476" s="3">
        <v>45588</v>
      </c>
      <c r="E476" t="str">
        <f>VLOOKUP(B476,'PROCV GERENTES BD'!A:B,2,0)</f>
        <v>CELIO PIMENTA</v>
      </c>
      <c r="F476" s="4" t="str">
        <f t="shared" si="42"/>
        <v>2024-10</v>
      </c>
      <c r="G476" s="18">
        <f t="shared" si="43"/>
        <v>43</v>
      </c>
      <c r="H476" t="str">
        <f t="shared" si="44"/>
        <v>CELIO PIMENTA</v>
      </c>
      <c r="I476" t="str">
        <f t="shared" si="45"/>
        <v>WJ CALDEIRARIA INDUSTRIA E COMERCIO LTDA ME</v>
      </c>
      <c r="J476">
        <f t="shared" si="46"/>
        <v>1</v>
      </c>
      <c r="K476">
        <f t="shared" si="47"/>
        <v>0</v>
      </c>
    </row>
    <row r="477" spans="1:11" x14ac:dyDescent="0.25">
      <c r="A477" t="s">
        <v>350</v>
      </c>
      <c r="B477" t="s">
        <v>95</v>
      </c>
      <c r="C477" t="s">
        <v>53</v>
      </c>
      <c r="D477" s="3">
        <v>45588</v>
      </c>
      <c r="E477" t="str">
        <f>VLOOKUP(B477,'PROCV GERENTES BD'!A:B,2,0)</f>
        <v>GRUPO OTTO</v>
      </c>
      <c r="F477" s="4" t="str">
        <f t="shared" si="42"/>
        <v>2024-10</v>
      </c>
      <c r="G477" s="18">
        <f t="shared" si="43"/>
        <v>43</v>
      </c>
      <c r="H477" t="str">
        <f t="shared" si="44"/>
        <v>GRUPO OTTO</v>
      </c>
      <c r="I477" t="str">
        <f t="shared" si="45"/>
        <v>PLURIFORME INDUSTRIA E COMERCIO DE UNIFORMES LTDA</v>
      </c>
      <c r="J477">
        <f t="shared" si="46"/>
        <v>1</v>
      </c>
      <c r="K477">
        <f t="shared" si="47"/>
        <v>1</v>
      </c>
    </row>
    <row r="478" spans="1:11" x14ac:dyDescent="0.25">
      <c r="A478" t="s">
        <v>418</v>
      </c>
      <c r="B478" t="s">
        <v>168</v>
      </c>
      <c r="C478" t="s">
        <v>50</v>
      </c>
      <c r="D478" s="3">
        <v>45588</v>
      </c>
      <c r="E478" t="str">
        <f>VLOOKUP(B478,'PROCV GERENTES BD'!A:B,2,0)</f>
        <v>ADMINISTRAÇÃO</v>
      </c>
      <c r="F478" s="4" t="str">
        <f t="shared" si="42"/>
        <v>2024-10</v>
      </c>
      <c r="G478" s="18">
        <f t="shared" si="43"/>
        <v>43</v>
      </c>
      <c r="H478" t="str">
        <f t="shared" si="44"/>
        <v>ADMINISTRAÇÃO</v>
      </c>
      <c r="I478" t="str">
        <f t="shared" si="45"/>
        <v>MAAT COMERCIO DE VESTUARIO LTDA EPP</v>
      </c>
      <c r="J478">
        <f t="shared" si="46"/>
        <v>0</v>
      </c>
      <c r="K478">
        <f t="shared" si="47"/>
        <v>1</v>
      </c>
    </row>
    <row r="479" spans="1:11" x14ac:dyDescent="0.25">
      <c r="A479" t="s">
        <v>340</v>
      </c>
      <c r="B479" t="s">
        <v>86</v>
      </c>
      <c r="C479" t="s">
        <v>50</v>
      </c>
      <c r="D479" s="3">
        <v>45588</v>
      </c>
      <c r="E479" t="str">
        <f>VLOOKUP(B479,'PROCV GERENTES BD'!A:B,2,0)</f>
        <v>NOELI SALETE</v>
      </c>
      <c r="F479" s="4" t="str">
        <f t="shared" si="42"/>
        <v>2024-10</v>
      </c>
      <c r="G479" s="18">
        <f t="shared" si="43"/>
        <v>43</v>
      </c>
      <c r="H479" t="str">
        <f t="shared" si="44"/>
        <v>NOELI SALETE</v>
      </c>
      <c r="I479" t="str">
        <f t="shared" si="45"/>
        <v>MEIO OESTE PAPEIS LTDA ME</v>
      </c>
      <c r="J479">
        <f t="shared" si="46"/>
        <v>0</v>
      </c>
      <c r="K479">
        <f t="shared" si="47"/>
        <v>1</v>
      </c>
    </row>
    <row r="480" spans="1:11" x14ac:dyDescent="0.25">
      <c r="A480" t="s">
        <v>400</v>
      </c>
      <c r="B480" t="s">
        <v>150</v>
      </c>
      <c r="C480" t="s">
        <v>50</v>
      </c>
      <c r="D480" s="3">
        <v>45588</v>
      </c>
      <c r="E480" t="str">
        <f>VLOOKUP(B480,'PROCV GERENTES BD'!A:B,2,0)</f>
        <v>NOELI SALETE</v>
      </c>
      <c r="F480" s="4" t="str">
        <f t="shared" si="42"/>
        <v>2024-10</v>
      </c>
      <c r="G480" s="18">
        <f t="shared" si="43"/>
        <v>43</v>
      </c>
      <c r="H480" t="str">
        <f t="shared" si="44"/>
        <v>NOELI SALETE</v>
      </c>
      <c r="I480" t="str">
        <f t="shared" si="45"/>
        <v>POOLMAK SISTEMAS ESTRUTURAIS LTDA</v>
      </c>
      <c r="J480">
        <f t="shared" si="46"/>
        <v>0</v>
      </c>
      <c r="K480">
        <f t="shared" si="47"/>
        <v>1</v>
      </c>
    </row>
    <row r="481" spans="1:11" x14ac:dyDescent="0.25">
      <c r="A481" t="s">
        <v>407</v>
      </c>
      <c r="B481" t="s">
        <v>157</v>
      </c>
      <c r="C481" t="s">
        <v>66</v>
      </c>
      <c r="D481" s="3">
        <v>45588</v>
      </c>
      <c r="E481" t="str">
        <f>VLOOKUP(B481,'PROCV GERENTES BD'!A:B,2,0)</f>
        <v>NOELI SALETE</v>
      </c>
      <c r="F481" s="4" t="str">
        <f t="shared" si="42"/>
        <v>2024-10</v>
      </c>
      <c r="G481" s="18">
        <f t="shared" si="43"/>
        <v>43</v>
      </c>
      <c r="H481" t="str">
        <f t="shared" si="44"/>
        <v>NOELI SALETE</v>
      </c>
      <c r="I481" t="str">
        <f t="shared" si="45"/>
        <v>SGAMAQ INOVACAO AGROINDUSTRIAL LTDA</v>
      </c>
      <c r="J481">
        <f t="shared" si="46"/>
        <v>1</v>
      </c>
      <c r="K481">
        <f t="shared" si="47"/>
        <v>0</v>
      </c>
    </row>
    <row r="482" spans="1:11" x14ac:dyDescent="0.25">
      <c r="A482" t="s">
        <v>344</v>
      </c>
      <c r="B482" t="s">
        <v>89</v>
      </c>
      <c r="C482" t="s">
        <v>66</v>
      </c>
      <c r="D482" s="3">
        <v>45588</v>
      </c>
      <c r="E482" t="str">
        <f>VLOOKUP(B482,'PROCV GERENTES BD'!A:B,2,0)</f>
        <v>POENATELA</v>
      </c>
      <c r="F482" s="4" t="str">
        <f t="shared" si="42"/>
        <v>2024-10</v>
      </c>
      <c r="G482" s="18">
        <f t="shared" si="43"/>
        <v>43</v>
      </c>
      <c r="H482" t="str">
        <f t="shared" si="44"/>
        <v>POENATELA</v>
      </c>
      <c r="I482" t="str">
        <f t="shared" si="45"/>
        <v>CERVEJARIA SOUZA LTDA</v>
      </c>
      <c r="J482">
        <f t="shared" si="46"/>
        <v>1</v>
      </c>
      <c r="K482">
        <f t="shared" si="47"/>
        <v>0</v>
      </c>
    </row>
    <row r="483" spans="1:11" x14ac:dyDescent="0.25">
      <c r="A483" t="s">
        <v>346</v>
      </c>
      <c r="B483" t="s">
        <v>91</v>
      </c>
      <c r="C483" t="s">
        <v>53</v>
      </c>
      <c r="D483" s="3">
        <v>45588</v>
      </c>
      <c r="E483" t="str">
        <f>VLOOKUP(B483,'PROCV GERENTES BD'!A:B,2,0)</f>
        <v>POENATELA</v>
      </c>
      <c r="F483" s="4" t="str">
        <f t="shared" si="42"/>
        <v>2024-10</v>
      </c>
      <c r="G483" s="18">
        <f t="shared" si="43"/>
        <v>43</v>
      </c>
      <c r="H483" t="str">
        <f t="shared" si="44"/>
        <v>POENATELA</v>
      </c>
      <c r="I483" t="str">
        <f t="shared" si="45"/>
        <v>UBERTEC SERVICE USINAGEM LTDA EPP</v>
      </c>
      <c r="J483">
        <f t="shared" si="46"/>
        <v>1</v>
      </c>
      <c r="K483">
        <f t="shared" si="47"/>
        <v>1</v>
      </c>
    </row>
    <row r="484" spans="1:11" x14ac:dyDescent="0.25">
      <c r="A484" t="s">
        <v>408</v>
      </c>
      <c r="B484" t="s">
        <v>158</v>
      </c>
      <c r="C484" t="s">
        <v>66</v>
      </c>
      <c r="D484" s="3">
        <v>45588</v>
      </c>
      <c r="E484" t="str">
        <f>VLOOKUP(B484,'PROCV GERENTES BD'!A:B,2,0)</f>
        <v>PRISCILA METZ</v>
      </c>
      <c r="F484" s="4" t="str">
        <f t="shared" si="42"/>
        <v>2024-10</v>
      </c>
      <c r="G484" s="18">
        <f t="shared" si="43"/>
        <v>43</v>
      </c>
      <c r="H484" t="str">
        <f t="shared" si="44"/>
        <v>PRISCILA METZ</v>
      </c>
      <c r="I484" t="str">
        <f t="shared" si="45"/>
        <v>37 054 821 LARISSA GONTIJO AZEVEDO ME</v>
      </c>
      <c r="J484">
        <f t="shared" si="46"/>
        <v>1</v>
      </c>
      <c r="K484">
        <f t="shared" si="47"/>
        <v>0</v>
      </c>
    </row>
    <row r="485" spans="1:11" x14ac:dyDescent="0.25">
      <c r="A485" t="s">
        <v>376</v>
      </c>
      <c r="B485" t="s">
        <v>121</v>
      </c>
      <c r="C485" t="s">
        <v>50</v>
      </c>
      <c r="D485" s="3">
        <v>45588</v>
      </c>
      <c r="E485" t="str">
        <f>VLOOKUP(B485,'PROCV GERENTES BD'!A:B,2,0)</f>
        <v>PRISCILA METZ</v>
      </c>
      <c r="F485" s="4" t="str">
        <f t="shared" si="42"/>
        <v>2024-10</v>
      </c>
      <c r="G485" s="18">
        <f t="shared" si="43"/>
        <v>43</v>
      </c>
      <c r="H485" t="str">
        <f t="shared" si="44"/>
        <v>PRISCILA METZ</v>
      </c>
      <c r="I485" t="str">
        <f t="shared" si="45"/>
        <v>NOVA DISTRIBUIDORA E ATACADO DE LIMPEZA LTDA</v>
      </c>
      <c r="J485">
        <f t="shared" si="46"/>
        <v>0</v>
      </c>
      <c r="K485">
        <f t="shared" si="47"/>
        <v>1</v>
      </c>
    </row>
    <row r="486" spans="1:11" x14ac:dyDescent="0.25">
      <c r="A486" t="s">
        <v>319</v>
      </c>
      <c r="B486" t="s">
        <v>80</v>
      </c>
      <c r="C486" t="s">
        <v>50</v>
      </c>
      <c r="D486" s="3">
        <v>45589</v>
      </c>
      <c r="E486" t="str">
        <f>VLOOKUP(B486,'PROCV GERENTES BD'!A:B,2,0)</f>
        <v>CELIO PIMENTA</v>
      </c>
      <c r="F486" s="4" t="str">
        <f t="shared" si="42"/>
        <v>2024-10</v>
      </c>
      <c r="G486" s="18">
        <f t="shared" si="43"/>
        <v>43</v>
      </c>
      <c r="H486" t="str">
        <f t="shared" si="44"/>
        <v>CELIO PIMENTA</v>
      </c>
      <c r="I486" t="str">
        <f t="shared" si="45"/>
        <v>IMPORTEXTIL COMERCIO DE TECIDOS LTDA</v>
      </c>
      <c r="J486">
        <f t="shared" si="46"/>
        <v>0</v>
      </c>
      <c r="K486">
        <f t="shared" si="47"/>
        <v>1</v>
      </c>
    </row>
    <row r="487" spans="1:11" x14ac:dyDescent="0.25">
      <c r="A487" t="s">
        <v>378</v>
      </c>
      <c r="B487" t="s">
        <v>125</v>
      </c>
      <c r="C487" t="s">
        <v>66</v>
      </c>
      <c r="D487" s="3">
        <v>45589</v>
      </c>
      <c r="E487" t="str">
        <f>VLOOKUP(B487,'PROCV GERENTES BD'!A:B,2,0)</f>
        <v>CELIO PIMENTA</v>
      </c>
      <c r="F487" s="4" t="str">
        <f t="shared" si="42"/>
        <v>2024-10</v>
      </c>
      <c r="G487" s="18">
        <f t="shared" si="43"/>
        <v>43</v>
      </c>
      <c r="H487" t="str">
        <f t="shared" si="44"/>
        <v>CELIO PIMENTA</v>
      </c>
      <c r="I487" t="str">
        <f t="shared" si="45"/>
        <v>PHOENIX LOG TRANSPORTES LTDA EPP</v>
      </c>
      <c r="J487">
        <f t="shared" si="46"/>
        <v>1</v>
      </c>
      <c r="K487">
        <f t="shared" si="47"/>
        <v>0</v>
      </c>
    </row>
    <row r="488" spans="1:11" x14ac:dyDescent="0.25">
      <c r="A488" t="s">
        <v>323</v>
      </c>
      <c r="B488" t="s">
        <v>109</v>
      </c>
      <c r="C488" t="s">
        <v>50</v>
      </c>
      <c r="D488" s="3">
        <v>45589</v>
      </c>
      <c r="E488" t="str">
        <f>VLOOKUP(B488,'PROCV GERENTES BD'!A:B,2,0)</f>
        <v>PROSPECTAR</v>
      </c>
      <c r="F488" s="4" t="str">
        <f t="shared" si="42"/>
        <v>2024-10</v>
      </c>
      <c r="G488" s="18">
        <f t="shared" si="43"/>
        <v>43</v>
      </c>
      <c r="H488" t="str">
        <f t="shared" si="44"/>
        <v>PROSPECTAR</v>
      </c>
      <c r="I488" t="str">
        <f t="shared" si="45"/>
        <v>SIAP COMERCIO DE PRODUTOS AGROPECUARIOS LTDA</v>
      </c>
      <c r="J488">
        <f t="shared" si="46"/>
        <v>0</v>
      </c>
      <c r="K488">
        <f t="shared" si="47"/>
        <v>1</v>
      </c>
    </row>
    <row r="489" spans="1:11" x14ac:dyDescent="0.25">
      <c r="A489" t="s">
        <v>350</v>
      </c>
      <c r="B489" t="s">
        <v>95</v>
      </c>
      <c r="C489" t="s">
        <v>53</v>
      </c>
      <c r="D489" s="3">
        <v>45589</v>
      </c>
      <c r="E489" t="str">
        <f>VLOOKUP(B489,'PROCV GERENTES BD'!A:B,2,0)</f>
        <v>GRUPO OTTO</v>
      </c>
      <c r="F489" s="4" t="str">
        <f t="shared" si="42"/>
        <v>2024-10</v>
      </c>
      <c r="G489" s="18">
        <f t="shared" si="43"/>
        <v>43</v>
      </c>
      <c r="H489" t="str">
        <f t="shared" si="44"/>
        <v>GRUPO OTTO</v>
      </c>
      <c r="I489" t="str">
        <f t="shared" si="45"/>
        <v>PLURIFORME INDUSTRIA E COMERCIO DE UNIFORMES LTDA</v>
      </c>
      <c r="J489">
        <f t="shared" si="46"/>
        <v>1</v>
      </c>
      <c r="K489">
        <f t="shared" si="47"/>
        <v>1</v>
      </c>
    </row>
    <row r="490" spans="1:11" x14ac:dyDescent="0.25">
      <c r="A490" t="s">
        <v>395</v>
      </c>
      <c r="B490" t="s">
        <v>145</v>
      </c>
      <c r="C490" t="s">
        <v>66</v>
      </c>
      <c r="D490" s="3">
        <v>45589</v>
      </c>
      <c r="E490" t="str">
        <f>VLOOKUP(B490,'PROCV GERENTES BD'!A:B,2,0)</f>
        <v>MARCIO LEONEL</v>
      </c>
      <c r="F490" s="4" t="str">
        <f t="shared" si="42"/>
        <v>2024-10</v>
      </c>
      <c r="G490" s="18">
        <f t="shared" si="43"/>
        <v>43</v>
      </c>
      <c r="H490" t="str">
        <f t="shared" si="44"/>
        <v>MARCIO LEONEL</v>
      </c>
      <c r="I490" t="str">
        <f t="shared" si="45"/>
        <v>MEDICAL PRIME IMP EXPORT DISTRIB PRODUTOS MEDICOS</v>
      </c>
      <c r="J490">
        <f t="shared" si="46"/>
        <v>1</v>
      </c>
      <c r="K490">
        <f t="shared" si="47"/>
        <v>0</v>
      </c>
    </row>
    <row r="491" spans="1:11" x14ac:dyDescent="0.25">
      <c r="A491" t="s">
        <v>60</v>
      </c>
      <c r="B491" t="s">
        <v>61</v>
      </c>
      <c r="C491" t="s">
        <v>66</v>
      </c>
      <c r="D491" s="3">
        <v>45589</v>
      </c>
      <c r="E491" t="str">
        <f>VLOOKUP(B491,'PROCV GERENTES BD'!A:B,2,0)</f>
        <v xml:space="preserve">MARCUS VINICIUS </v>
      </c>
      <c r="F491" s="4" t="str">
        <f t="shared" si="42"/>
        <v>2024-10</v>
      </c>
      <c r="G491" s="18">
        <f t="shared" si="43"/>
        <v>43</v>
      </c>
      <c r="H491" t="str">
        <f t="shared" si="44"/>
        <v xml:space="preserve">MARCUS VINICIUS </v>
      </c>
      <c r="I491" t="str">
        <f t="shared" si="45"/>
        <v>COM IND DE CEREAIS E TRANSPORTES MACIEL LTDA</v>
      </c>
      <c r="J491">
        <f t="shared" si="46"/>
        <v>1</v>
      </c>
      <c r="K491">
        <f t="shared" si="47"/>
        <v>0</v>
      </c>
    </row>
    <row r="492" spans="1:11" x14ac:dyDescent="0.25">
      <c r="A492" t="s">
        <v>369</v>
      </c>
      <c r="B492" t="s">
        <v>113</v>
      </c>
      <c r="C492" t="s">
        <v>50</v>
      </c>
      <c r="D492" s="3">
        <v>45589</v>
      </c>
      <c r="E492" t="str">
        <f>VLOOKUP(B492,'PROCV GERENTES BD'!A:B,2,0)</f>
        <v xml:space="preserve">MARCUS VINICIUS </v>
      </c>
      <c r="F492" s="4" t="str">
        <f t="shared" si="42"/>
        <v>2024-10</v>
      </c>
      <c r="G492" s="18">
        <f t="shared" si="43"/>
        <v>43</v>
      </c>
      <c r="H492" t="str">
        <f t="shared" si="44"/>
        <v xml:space="preserve">MARCUS VINICIUS </v>
      </c>
      <c r="I492" t="str">
        <f t="shared" si="45"/>
        <v>ISOBASE POLIESTIRENO LTDA EPP</v>
      </c>
      <c r="J492">
        <f t="shared" si="46"/>
        <v>0</v>
      </c>
      <c r="K492">
        <f t="shared" si="47"/>
        <v>1</v>
      </c>
    </row>
    <row r="493" spans="1:11" x14ac:dyDescent="0.25">
      <c r="A493" t="s">
        <v>418</v>
      </c>
      <c r="B493" t="s">
        <v>168</v>
      </c>
      <c r="C493" t="s">
        <v>50</v>
      </c>
      <c r="D493" s="3">
        <v>45589</v>
      </c>
      <c r="E493" t="str">
        <f>VLOOKUP(B493,'PROCV GERENTES BD'!A:B,2,0)</f>
        <v>ADMINISTRAÇÃO</v>
      </c>
      <c r="F493" s="4" t="str">
        <f t="shared" si="42"/>
        <v>2024-10</v>
      </c>
      <c r="G493" s="18">
        <f t="shared" si="43"/>
        <v>43</v>
      </c>
      <c r="H493" t="str">
        <f t="shared" si="44"/>
        <v>ADMINISTRAÇÃO</v>
      </c>
      <c r="I493" t="str">
        <f t="shared" si="45"/>
        <v>MAAT COMERCIO DE VESTUARIO LTDA EPP</v>
      </c>
      <c r="J493">
        <f t="shared" si="46"/>
        <v>0</v>
      </c>
      <c r="K493">
        <f t="shared" si="47"/>
        <v>1</v>
      </c>
    </row>
    <row r="494" spans="1:11" x14ac:dyDescent="0.25">
      <c r="A494" t="s">
        <v>422</v>
      </c>
      <c r="B494" t="s">
        <v>173</v>
      </c>
      <c r="C494" t="s">
        <v>50</v>
      </c>
      <c r="D494" s="3">
        <v>45589</v>
      </c>
      <c r="E494" t="str">
        <f>VLOOKUP(B494,'PROCV GERENTES BD'!A:B,2,0)</f>
        <v>NOELI SALETE</v>
      </c>
      <c r="F494" s="4" t="str">
        <f t="shared" si="42"/>
        <v>2024-10</v>
      </c>
      <c r="G494" s="18">
        <f t="shared" si="43"/>
        <v>43</v>
      </c>
      <c r="H494" t="str">
        <f t="shared" si="44"/>
        <v>NOELI SALETE</v>
      </c>
      <c r="I494" t="str">
        <f t="shared" si="45"/>
        <v>COMGROUP AGROINDUSTRIAL LTDA</v>
      </c>
      <c r="J494">
        <f t="shared" si="46"/>
        <v>0</v>
      </c>
      <c r="K494">
        <f t="shared" si="47"/>
        <v>1</v>
      </c>
    </row>
    <row r="495" spans="1:11" x14ac:dyDescent="0.25">
      <c r="A495" t="s">
        <v>340</v>
      </c>
      <c r="B495" t="s">
        <v>86</v>
      </c>
      <c r="C495" t="s">
        <v>50</v>
      </c>
      <c r="D495" s="3">
        <v>45589</v>
      </c>
      <c r="E495" t="str">
        <f>VLOOKUP(B495,'PROCV GERENTES BD'!A:B,2,0)</f>
        <v>NOELI SALETE</v>
      </c>
      <c r="F495" s="4" t="str">
        <f t="shared" si="42"/>
        <v>2024-10</v>
      </c>
      <c r="G495" s="18">
        <f t="shared" si="43"/>
        <v>43</v>
      </c>
      <c r="H495" t="str">
        <f t="shared" si="44"/>
        <v>NOELI SALETE</v>
      </c>
      <c r="I495" t="str">
        <f t="shared" si="45"/>
        <v>MEIO OESTE PAPEIS LTDA ME</v>
      </c>
      <c r="J495">
        <f t="shared" si="46"/>
        <v>0</v>
      </c>
      <c r="K495">
        <f t="shared" si="47"/>
        <v>1</v>
      </c>
    </row>
    <row r="496" spans="1:11" x14ac:dyDescent="0.25">
      <c r="A496" t="s">
        <v>423</v>
      </c>
      <c r="B496" t="s">
        <v>174</v>
      </c>
      <c r="C496" t="s">
        <v>66</v>
      </c>
      <c r="D496" s="3">
        <v>45589</v>
      </c>
      <c r="E496" t="str">
        <f>VLOOKUP(B496,'PROCV GERENTES BD'!A:B,2,0)</f>
        <v>POENATELA</v>
      </c>
      <c r="F496" s="4" t="str">
        <f t="shared" si="42"/>
        <v>2024-10</v>
      </c>
      <c r="G496" s="18">
        <f t="shared" si="43"/>
        <v>43</v>
      </c>
      <c r="H496" t="str">
        <f t="shared" si="44"/>
        <v>POENATELA</v>
      </c>
      <c r="I496" t="str">
        <f t="shared" si="45"/>
        <v>EXPRESSO PAV CONSTRUCOES E SERVICOS LTDA ME</v>
      </c>
      <c r="J496">
        <f t="shared" si="46"/>
        <v>1</v>
      </c>
      <c r="K496">
        <f t="shared" si="47"/>
        <v>0</v>
      </c>
    </row>
    <row r="497" spans="1:11" x14ac:dyDescent="0.25">
      <c r="A497" t="s">
        <v>353</v>
      </c>
      <c r="B497" t="s">
        <v>97</v>
      </c>
      <c r="C497" t="s">
        <v>50</v>
      </c>
      <c r="D497" s="3">
        <v>45589</v>
      </c>
      <c r="E497" t="str">
        <f>VLOOKUP(B497,'PROCV GERENTES BD'!A:B,2,0)</f>
        <v>PRISCILA METZ</v>
      </c>
      <c r="F497" s="4" t="str">
        <f t="shared" si="42"/>
        <v>2024-10</v>
      </c>
      <c r="G497" s="18">
        <f t="shared" si="43"/>
        <v>43</v>
      </c>
      <c r="H497" t="str">
        <f t="shared" si="44"/>
        <v>PRISCILA METZ</v>
      </c>
      <c r="I497" t="str">
        <f t="shared" si="45"/>
        <v>ESSENZA INDUSTRIA QUIMICA LTDA</v>
      </c>
      <c r="J497">
        <f t="shared" si="46"/>
        <v>0</v>
      </c>
      <c r="K497">
        <f t="shared" si="47"/>
        <v>1</v>
      </c>
    </row>
    <row r="498" spans="1:11" x14ac:dyDescent="0.25">
      <c r="A498" t="s">
        <v>387</v>
      </c>
      <c r="B498" t="s">
        <v>134</v>
      </c>
      <c r="C498" t="s">
        <v>66</v>
      </c>
      <c r="D498" s="3">
        <v>45589</v>
      </c>
      <c r="E498" t="str">
        <f>VLOOKUP(B498,'PROCV GERENTES BD'!A:B,2,0)</f>
        <v>RAFAEL PARISE</v>
      </c>
      <c r="F498" s="4" t="str">
        <f t="shared" si="42"/>
        <v>2024-10</v>
      </c>
      <c r="G498" s="18">
        <f t="shared" si="43"/>
        <v>43</v>
      </c>
      <c r="H498" t="str">
        <f t="shared" si="44"/>
        <v>RAFAEL PARISE</v>
      </c>
      <c r="I498" t="str">
        <f t="shared" si="45"/>
        <v>MAIS DISTRIBUIDORA LTDA</v>
      </c>
      <c r="J498">
        <f t="shared" si="46"/>
        <v>1</v>
      </c>
      <c r="K498">
        <f t="shared" si="47"/>
        <v>0</v>
      </c>
    </row>
    <row r="499" spans="1:11" x14ac:dyDescent="0.25">
      <c r="A499" t="s">
        <v>76</v>
      </c>
      <c r="B499" t="s">
        <v>77</v>
      </c>
      <c r="C499" t="s">
        <v>66</v>
      </c>
      <c r="D499" s="3">
        <v>45589</v>
      </c>
      <c r="E499" t="str">
        <f>VLOOKUP(B499,'PROCV GERENTES BD'!A:B,2,0)</f>
        <v>RAFAEL PARISE</v>
      </c>
      <c r="F499" s="4" t="str">
        <f t="shared" si="42"/>
        <v>2024-10</v>
      </c>
      <c r="G499" s="18">
        <f t="shared" si="43"/>
        <v>43</v>
      </c>
      <c r="H499" t="str">
        <f t="shared" si="44"/>
        <v>RAFAEL PARISE</v>
      </c>
      <c r="I499" t="str">
        <f t="shared" si="45"/>
        <v>UNITA AUTO PECAS LTDA EPP</v>
      </c>
      <c r="J499">
        <f t="shared" si="46"/>
        <v>1</v>
      </c>
      <c r="K499">
        <f t="shared" si="47"/>
        <v>0</v>
      </c>
    </row>
    <row r="500" spans="1:11" x14ac:dyDescent="0.25">
      <c r="A500" t="s">
        <v>429</v>
      </c>
      <c r="B500" t="s">
        <v>180</v>
      </c>
      <c r="C500" t="s">
        <v>66</v>
      </c>
      <c r="D500" s="3">
        <v>45589</v>
      </c>
      <c r="E500" t="s">
        <v>21</v>
      </c>
      <c r="F500" s="4" t="str">
        <f t="shared" si="42"/>
        <v>2024-10</v>
      </c>
      <c r="G500" s="18">
        <f t="shared" si="43"/>
        <v>43</v>
      </c>
      <c r="H500" t="str">
        <f t="shared" si="44"/>
        <v xml:space="preserve">ROGERIO </v>
      </c>
      <c r="I500" t="str">
        <f t="shared" si="45"/>
        <v>ENCADESP LTDA ME</v>
      </c>
      <c r="J500">
        <f t="shared" si="46"/>
        <v>1</v>
      </c>
      <c r="K500">
        <f t="shared" si="47"/>
        <v>0</v>
      </c>
    </row>
    <row r="501" spans="1:11" x14ac:dyDescent="0.25">
      <c r="A501" t="s">
        <v>421</v>
      </c>
      <c r="B501" t="s">
        <v>171</v>
      </c>
      <c r="C501" t="s">
        <v>50</v>
      </c>
      <c r="D501" s="3">
        <v>45589</v>
      </c>
      <c r="E501" t="str">
        <f>VLOOKUP(B501,'PROCV GERENTES BD'!A:B,2,0)</f>
        <v>WHELKYA IRIS</v>
      </c>
      <c r="F501" s="4" t="str">
        <f t="shared" si="42"/>
        <v>2024-10</v>
      </c>
      <c r="G501" s="18">
        <f t="shared" si="43"/>
        <v>43</v>
      </c>
      <c r="H501" t="str">
        <f t="shared" si="44"/>
        <v>WHELKYA IRIS</v>
      </c>
      <c r="I501" t="str">
        <f t="shared" si="45"/>
        <v>EDUARDO LUIZ SILVA DA LUZ ME</v>
      </c>
      <c r="J501">
        <f t="shared" si="46"/>
        <v>0</v>
      </c>
      <c r="K501">
        <f t="shared" si="47"/>
        <v>1</v>
      </c>
    </row>
    <row r="502" spans="1:11" x14ac:dyDescent="0.25">
      <c r="A502" t="s">
        <v>372</v>
      </c>
      <c r="B502" t="s">
        <v>116</v>
      </c>
      <c r="C502" t="s">
        <v>66</v>
      </c>
      <c r="D502" s="3">
        <v>45590</v>
      </c>
      <c r="E502" t="str">
        <f>VLOOKUP(B502,'PROCV GERENTES BD'!A:B,2,0)</f>
        <v>ADMINISTRAÇÃO</v>
      </c>
      <c r="F502" s="4" t="str">
        <f t="shared" si="42"/>
        <v>2024-10</v>
      </c>
      <c r="G502" s="18">
        <f t="shared" si="43"/>
        <v>43</v>
      </c>
      <c r="H502" t="str">
        <f t="shared" si="44"/>
        <v>ADMINISTRAÇÃO</v>
      </c>
      <c r="I502" t="str">
        <f t="shared" si="45"/>
        <v>PREMOLDADOS MATOSINHOS LTDA EPP</v>
      </c>
      <c r="J502">
        <f t="shared" si="46"/>
        <v>1</v>
      </c>
      <c r="K502">
        <f t="shared" si="47"/>
        <v>0</v>
      </c>
    </row>
    <row r="503" spans="1:11" x14ac:dyDescent="0.25">
      <c r="A503" t="s">
        <v>319</v>
      </c>
      <c r="B503" t="s">
        <v>80</v>
      </c>
      <c r="C503" t="s">
        <v>50</v>
      </c>
      <c r="D503" s="3">
        <v>45590</v>
      </c>
      <c r="E503" t="str">
        <f>VLOOKUP(B503,'PROCV GERENTES BD'!A:B,2,0)</f>
        <v>CELIO PIMENTA</v>
      </c>
      <c r="F503" s="4" t="str">
        <f t="shared" si="42"/>
        <v>2024-10</v>
      </c>
      <c r="G503" s="18">
        <f t="shared" si="43"/>
        <v>43</v>
      </c>
      <c r="H503" t="str">
        <f t="shared" si="44"/>
        <v>CELIO PIMENTA</v>
      </c>
      <c r="I503" t="str">
        <f t="shared" si="45"/>
        <v>IMPORTEXTIL COMERCIO DE TECIDOS LTDA</v>
      </c>
      <c r="J503">
        <f t="shared" si="46"/>
        <v>0</v>
      </c>
      <c r="K503">
        <f t="shared" si="47"/>
        <v>1</v>
      </c>
    </row>
    <row r="504" spans="1:11" x14ac:dyDescent="0.25">
      <c r="A504" t="s">
        <v>374</v>
      </c>
      <c r="B504" t="s">
        <v>118</v>
      </c>
      <c r="C504" t="s">
        <v>50</v>
      </c>
      <c r="D504" s="3">
        <v>45590</v>
      </c>
      <c r="E504" t="str">
        <f>VLOOKUP(B504,'PROCV GERENTES BD'!A:B,2,0)</f>
        <v>CELIO PIMENTA</v>
      </c>
      <c r="F504" s="4" t="str">
        <f t="shared" si="42"/>
        <v>2024-10</v>
      </c>
      <c r="G504" s="18">
        <f t="shared" si="43"/>
        <v>43</v>
      </c>
      <c r="H504" t="str">
        <f t="shared" si="44"/>
        <v>CELIO PIMENTA</v>
      </c>
      <c r="I504" t="str">
        <f t="shared" si="45"/>
        <v>MINAS ALIMENTOS E FRUTAS SECAS LTDA EPP</v>
      </c>
      <c r="J504">
        <f t="shared" si="46"/>
        <v>0</v>
      </c>
      <c r="K504">
        <f t="shared" si="47"/>
        <v>1</v>
      </c>
    </row>
    <row r="505" spans="1:11" x14ac:dyDescent="0.25">
      <c r="A505" t="s">
        <v>358</v>
      </c>
      <c r="B505" t="s">
        <v>104</v>
      </c>
      <c r="C505" t="s">
        <v>50</v>
      </c>
      <c r="D505" s="3">
        <v>45590</v>
      </c>
      <c r="E505" t="str">
        <f>VLOOKUP(B505,'PROCV GERENTES BD'!A:B,2,0)</f>
        <v>DIOGO AZEVEDO</v>
      </c>
      <c r="F505" s="4" t="str">
        <f t="shared" si="42"/>
        <v>2024-10</v>
      </c>
      <c r="G505" s="18">
        <f t="shared" si="43"/>
        <v>43</v>
      </c>
      <c r="H505" t="str">
        <f t="shared" si="44"/>
        <v>DIOGO AZEVEDO</v>
      </c>
      <c r="I505" t="str">
        <f t="shared" si="45"/>
        <v>INDUSTRIA E CERVEJARIA ARTESANAL DE MINAS GERAIS L</v>
      </c>
      <c r="J505">
        <f t="shared" si="46"/>
        <v>0</v>
      </c>
      <c r="K505">
        <f t="shared" si="47"/>
        <v>1</v>
      </c>
    </row>
    <row r="506" spans="1:11" x14ac:dyDescent="0.25">
      <c r="A506" t="s">
        <v>333</v>
      </c>
      <c r="B506" t="s">
        <v>82</v>
      </c>
      <c r="C506" t="s">
        <v>50</v>
      </c>
      <c r="D506" s="3">
        <v>45590</v>
      </c>
      <c r="E506" t="str">
        <f>VLOOKUP(B506,'PROCV GERENTES BD'!A:B,2,0)</f>
        <v>ADMINISTRAÇÃO</v>
      </c>
      <c r="F506" s="4" t="str">
        <f t="shared" si="42"/>
        <v>2024-10</v>
      </c>
      <c r="G506" s="18">
        <f t="shared" si="43"/>
        <v>43</v>
      </c>
      <c r="H506" t="str">
        <f t="shared" si="44"/>
        <v>ADMINISTRAÇÃO</v>
      </c>
      <c r="I506" t="str">
        <f t="shared" si="45"/>
        <v>BETMIX CONCRETO LTDA</v>
      </c>
      <c r="J506">
        <f t="shared" si="46"/>
        <v>0</v>
      </c>
      <c r="K506">
        <f t="shared" si="47"/>
        <v>1</v>
      </c>
    </row>
    <row r="507" spans="1:11" x14ac:dyDescent="0.25">
      <c r="A507" t="s">
        <v>384</v>
      </c>
      <c r="B507" t="s">
        <v>131</v>
      </c>
      <c r="C507" t="s">
        <v>50</v>
      </c>
      <c r="D507" s="3">
        <v>45590</v>
      </c>
      <c r="E507" t="str">
        <f>VLOOKUP(B507,'PROCV GERENTES BD'!A:B,2,0)</f>
        <v xml:space="preserve">MARCUS VINICIUS </v>
      </c>
      <c r="F507" s="4" t="str">
        <f t="shared" si="42"/>
        <v>2024-10</v>
      </c>
      <c r="G507" s="18">
        <f t="shared" si="43"/>
        <v>43</v>
      </c>
      <c r="H507" t="str">
        <f t="shared" si="44"/>
        <v xml:space="preserve">MARCUS VINICIUS </v>
      </c>
      <c r="I507" t="str">
        <f t="shared" si="45"/>
        <v>PALMILHADO INDUSTRIA E COMERCIO LTDA</v>
      </c>
      <c r="J507">
        <f t="shared" si="46"/>
        <v>0</v>
      </c>
      <c r="K507">
        <f t="shared" si="47"/>
        <v>1</v>
      </c>
    </row>
    <row r="508" spans="1:11" x14ac:dyDescent="0.25">
      <c r="A508" t="s">
        <v>418</v>
      </c>
      <c r="B508" t="s">
        <v>168</v>
      </c>
      <c r="C508" t="s">
        <v>50</v>
      </c>
      <c r="D508" s="3">
        <v>45590</v>
      </c>
      <c r="E508" t="str">
        <f>VLOOKUP(B508,'PROCV GERENTES BD'!A:B,2,0)</f>
        <v>ADMINISTRAÇÃO</v>
      </c>
      <c r="F508" s="4" t="str">
        <f t="shared" si="42"/>
        <v>2024-10</v>
      </c>
      <c r="G508" s="18">
        <f t="shared" si="43"/>
        <v>43</v>
      </c>
      <c r="H508" t="str">
        <f t="shared" si="44"/>
        <v>ADMINISTRAÇÃO</v>
      </c>
      <c r="I508" t="str">
        <f t="shared" si="45"/>
        <v>MAAT COMERCIO DE VESTUARIO LTDA EPP</v>
      </c>
      <c r="J508">
        <f t="shared" si="46"/>
        <v>0</v>
      </c>
      <c r="K508">
        <f t="shared" si="47"/>
        <v>1</v>
      </c>
    </row>
    <row r="509" spans="1:11" x14ac:dyDescent="0.25">
      <c r="A509" t="s">
        <v>339</v>
      </c>
      <c r="B509" t="s">
        <v>87</v>
      </c>
      <c r="C509" t="s">
        <v>66</v>
      </c>
      <c r="D509" s="3">
        <v>45590</v>
      </c>
      <c r="E509" t="str">
        <f>VLOOKUP(B509,'PROCV GERENTES BD'!A:B,2,0)</f>
        <v>NOELI SALETE</v>
      </c>
      <c r="F509" s="4" t="str">
        <f t="shared" si="42"/>
        <v>2024-10</v>
      </c>
      <c r="G509" s="18">
        <f t="shared" si="43"/>
        <v>43</v>
      </c>
      <c r="H509" t="str">
        <f t="shared" si="44"/>
        <v>NOELI SALETE</v>
      </c>
      <c r="I509" t="str">
        <f t="shared" si="45"/>
        <v>RODOBOX TRANSPORTES E ARMAZENAGEM DE CARGAS LTDA</v>
      </c>
      <c r="J509">
        <f t="shared" si="46"/>
        <v>1</v>
      </c>
      <c r="K509">
        <f t="shared" si="47"/>
        <v>0</v>
      </c>
    </row>
    <row r="510" spans="1:11" x14ac:dyDescent="0.25">
      <c r="A510" t="s">
        <v>346</v>
      </c>
      <c r="B510" t="s">
        <v>91</v>
      </c>
      <c r="C510" t="s">
        <v>50</v>
      </c>
      <c r="D510" s="3">
        <v>45590</v>
      </c>
      <c r="E510" t="str">
        <f>VLOOKUP(B510,'PROCV GERENTES BD'!A:B,2,0)</f>
        <v>POENATELA</v>
      </c>
      <c r="F510" s="4" t="str">
        <f t="shared" si="42"/>
        <v>2024-10</v>
      </c>
      <c r="G510" s="18">
        <f t="shared" si="43"/>
        <v>43</v>
      </c>
      <c r="H510" t="str">
        <f t="shared" si="44"/>
        <v>POENATELA</v>
      </c>
      <c r="I510" t="str">
        <f t="shared" si="45"/>
        <v>UBERTEC SERVICE USINAGEM LTDA EPP</v>
      </c>
      <c r="J510">
        <f t="shared" si="46"/>
        <v>0</v>
      </c>
      <c r="K510">
        <f t="shared" si="47"/>
        <v>1</v>
      </c>
    </row>
    <row r="511" spans="1:11" x14ac:dyDescent="0.25">
      <c r="A511" t="s">
        <v>353</v>
      </c>
      <c r="B511" t="s">
        <v>97</v>
      </c>
      <c r="C511" t="s">
        <v>50</v>
      </c>
      <c r="D511" s="3">
        <v>45590</v>
      </c>
      <c r="E511" t="str">
        <f>VLOOKUP(B511,'PROCV GERENTES BD'!A:B,2,0)</f>
        <v>PRISCILA METZ</v>
      </c>
      <c r="F511" s="4" t="str">
        <f t="shared" si="42"/>
        <v>2024-10</v>
      </c>
      <c r="G511" s="18">
        <f t="shared" si="43"/>
        <v>43</v>
      </c>
      <c r="H511" t="str">
        <f t="shared" si="44"/>
        <v>PRISCILA METZ</v>
      </c>
      <c r="I511" t="str">
        <f t="shared" si="45"/>
        <v>ESSENZA INDUSTRIA QUIMICA LTDA</v>
      </c>
      <c r="J511">
        <f t="shared" si="46"/>
        <v>0</v>
      </c>
      <c r="K511">
        <f t="shared" si="47"/>
        <v>1</v>
      </c>
    </row>
    <row r="512" spans="1:11" x14ac:dyDescent="0.25">
      <c r="A512" t="s">
        <v>405</v>
      </c>
      <c r="B512" t="s">
        <v>155</v>
      </c>
      <c r="C512" t="s">
        <v>50</v>
      </c>
      <c r="D512" s="3">
        <v>45590</v>
      </c>
      <c r="E512" t="str">
        <f>VLOOKUP(B512,'PROCV GERENTES BD'!A:B,2,0)</f>
        <v>ADMINISTRAÇÃO</v>
      </c>
      <c r="F512" s="4" t="str">
        <f t="shared" si="42"/>
        <v>2024-10</v>
      </c>
      <c r="G512" s="18">
        <f t="shared" si="43"/>
        <v>43</v>
      </c>
      <c r="H512" t="str">
        <f t="shared" si="44"/>
        <v>ADMINISTRAÇÃO</v>
      </c>
      <c r="I512" t="str">
        <f t="shared" si="45"/>
        <v>PARTNER SECURITY SERVICOS DE SEGURANCA LTDA</v>
      </c>
      <c r="J512">
        <f t="shared" si="46"/>
        <v>0</v>
      </c>
      <c r="K512">
        <f t="shared" si="47"/>
        <v>1</v>
      </c>
    </row>
    <row r="513" spans="1:11" x14ac:dyDescent="0.25">
      <c r="A513" t="s">
        <v>406</v>
      </c>
      <c r="B513" t="s">
        <v>156</v>
      </c>
      <c r="C513" t="s">
        <v>66</v>
      </c>
      <c r="D513" s="3">
        <v>45591</v>
      </c>
      <c r="E513" t="str">
        <f>VLOOKUP(B513,'PROCV GERENTES BD'!A:B,2,0)</f>
        <v>ADMINISTRAÇÃO</v>
      </c>
      <c r="F513" s="4" t="str">
        <f t="shared" si="42"/>
        <v>2024-10</v>
      </c>
      <c r="G513" s="18">
        <f t="shared" si="43"/>
        <v>43</v>
      </c>
      <c r="H513" t="str">
        <f t="shared" si="44"/>
        <v>ADMINISTRAÇÃO</v>
      </c>
      <c r="I513" t="str">
        <f t="shared" si="45"/>
        <v>RIMAG COMERCIO ATACADISTA DE ALIMENTOS IMPORTACAO</v>
      </c>
      <c r="J513">
        <f t="shared" si="46"/>
        <v>1</v>
      </c>
      <c r="K513">
        <f t="shared" si="47"/>
        <v>0</v>
      </c>
    </row>
    <row r="514" spans="1:11" x14ac:dyDescent="0.25">
      <c r="A514" t="s">
        <v>319</v>
      </c>
      <c r="B514" t="s">
        <v>80</v>
      </c>
      <c r="C514" t="s">
        <v>50</v>
      </c>
      <c r="D514" s="3">
        <v>45591</v>
      </c>
      <c r="E514" t="str">
        <f>VLOOKUP(B514,'PROCV GERENTES BD'!A:B,2,0)</f>
        <v>CELIO PIMENTA</v>
      </c>
      <c r="F514" s="4" t="str">
        <f t="shared" ref="F514:F577" si="48">YEAR(D514)&amp;"-"&amp;TEXT(MONTH(D514),"00")</f>
        <v>2024-10</v>
      </c>
      <c r="G514" s="18">
        <f t="shared" ref="G514:G577" si="49">WEEKNUM(D514)</f>
        <v>43</v>
      </c>
      <c r="H514" t="str">
        <f t="shared" ref="H514:H577" si="50">E514</f>
        <v>CELIO PIMENTA</v>
      </c>
      <c r="I514" t="str">
        <f t="shared" ref="I514:I577" si="51">B514</f>
        <v>IMPORTEXTIL COMERCIO DE TECIDOS LTDA</v>
      </c>
      <c r="J514">
        <f t="shared" ref="J514:J577" si="52">IF(OR(C514="EXCLUSAO  ANOT.INADIMPLENCIA",C514="INCL/EXCL ANOT.INADIMPLENCIA"),1,0)</f>
        <v>0</v>
      </c>
      <c r="K514">
        <f t="shared" ref="K514:K577" si="53">IF(OR(C514="INCLUSAO  ANOT.INADIMPLENCIA",C514="INCL/EXCL ANOT.INADIMPLENCIA"),1,0)</f>
        <v>1</v>
      </c>
    </row>
    <row r="515" spans="1:11" x14ac:dyDescent="0.25">
      <c r="A515" t="s">
        <v>311</v>
      </c>
      <c r="B515" t="s">
        <v>81</v>
      </c>
      <c r="C515" t="s">
        <v>50</v>
      </c>
      <c r="D515" s="3">
        <v>45591</v>
      </c>
      <c r="E515" t="str">
        <f>VLOOKUP(B515,'PROCV GERENTES BD'!A:B,2,0)</f>
        <v>CELIO PIMENTA</v>
      </c>
      <c r="F515" s="4" t="str">
        <f t="shared" si="48"/>
        <v>2024-10</v>
      </c>
      <c r="G515" s="18">
        <f t="shared" si="49"/>
        <v>43</v>
      </c>
      <c r="H515" t="str">
        <f t="shared" si="50"/>
        <v>CELIO PIMENTA</v>
      </c>
      <c r="I515" t="str">
        <f t="shared" si="51"/>
        <v>MBIOLOG DIAGNOSTICOS LTDA</v>
      </c>
      <c r="J515">
        <f t="shared" si="52"/>
        <v>0</v>
      </c>
      <c r="K515">
        <f t="shared" si="53"/>
        <v>1</v>
      </c>
    </row>
    <row r="516" spans="1:11" x14ac:dyDescent="0.25">
      <c r="A516" t="s">
        <v>323</v>
      </c>
      <c r="B516" t="s">
        <v>109</v>
      </c>
      <c r="C516" t="s">
        <v>66</v>
      </c>
      <c r="D516" s="3">
        <v>45591</v>
      </c>
      <c r="E516" t="str">
        <f>VLOOKUP(B516,'PROCV GERENTES BD'!A:B,2,0)</f>
        <v>PROSPECTAR</v>
      </c>
      <c r="F516" s="4" t="str">
        <f t="shared" si="48"/>
        <v>2024-10</v>
      </c>
      <c r="G516" s="18">
        <f t="shared" si="49"/>
        <v>43</v>
      </c>
      <c r="H516" t="str">
        <f t="shared" si="50"/>
        <v>PROSPECTAR</v>
      </c>
      <c r="I516" t="str">
        <f t="shared" si="51"/>
        <v>SIAP COMERCIO DE PRODUTOS AGROPECUARIOS LTDA</v>
      </c>
      <c r="J516">
        <f t="shared" si="52"/>
        <v>1</v>
      </c>
      <c r="K516">
        <f t="shared" si="53"/>
        <v>0</v>
      </c>
    </row>
    <row r="517" spans="1:11" x14ac:dyDescent="0.25">
      <c r="A517" t="s">
        <v>418</v>
      </c>
      <c r="B517" t="s">
        <v>168</v>
      </c>
      <c r="C517" t="s">
        <v>50</v>
      </c>
      <c r="D517" s="3">
        <v>45591</v>
      </c>
      <c r="E517" t="str">
        <f>VLOOKUP(B517,'PROCV GERENTES BD'!A:B,2,0)</f>
        <v>ADMINISTRAÇÃO</v>
      </c>
      <c r="F517" s="4" t="str">
        <f t="shared" si="48"/>
        <v>2024-10</v>
      </c>
      <c r="G517" s="18">
        <f t="shared" si="49"/>
        <v>43</v>
      </c>
      <c r="H517" t="str">
        <f t="shared" si="50"/>
        <v>ADMINISTRAÇÃO</v>
      </c>
      <c r="I517" t="str">
        <f t="shared" si="51"/>
        <v>MAAT COMERCIO DE VESTUARIO LTDA EPP</v>
      </c>
      <c r="J517">
        <f t="shared" si="52"/>
        <v>0</v>
      </c>
      <c r="K517">
        <f t="shared" si="53"/>
        <v>1</v>
      </c>
    </row>
    <row r="518" spans="1:11" x14ac:dyDescent="0.25">
      <c r="A518" t="s">
        <v>340</v>
      </c>
      <c r="B518" t="s">
        <v>86</v>
      </c>
      <c r="C518" t="s">
        <v>50</v>
      </c>
      <c r="D518" s="3">
        <v>45591</v>
      </c>
      <c r="E518" t="str">
        <f>VLOOKUP(B518,'PROCV GERENTES BD'!A:B,2,0)</f>
        <v>NOELI SALETE</v>
      </c>
      <c r="F518" s="4" t="str">
        <f t="shared" si="48"/>
        <v>2024-10</v>
      </c>
      <c r="G518" s="18">
        <f t="shared" si="49"/>
        <v>43</v>
      </c>
      <c r="H518" t="str">
        <f t="shared" si="50"/>
        <v>NOELI SALETE</v>
      </c>
      <c r="I518" t="str">
        <f t="shared" si="51"/>
        <v>MEIO OESTE PAPEIS LTDA ME</v>
      </c>
      <c r="J518">
        <f t="shared" si="52"/>
        <v>0</v>
      </c>
      <c r="K518">
        <f t="shared" si="53"/>
        <v>1</v>
      </c>
    </row>
    <row r="519" spans="1:11" x14ac:dyDescent="0.25">
      <c r="A519" t="s">
        <v>407</v>
      </c>
      <c r="B519" t="s">
        <v>157</v>
      </c>
      <c r="C519" t="s">
        <v>66</v>
      </c>
      <c r="D519" s="3">
        <v>45591</v>
      </c>
      <c r="E519" t="str">
        <f>VLOOKUP(B519,'PROCV GERENTES BD'!A:B,2,0)</f>
        <v>NOELI SALETE</v>
      </c>
      <c r="F519" s="4" t="str">
        <f t="shared" si="48"/>
        <v>2024-10</v>
      </c>
      <c r="G519" s="18">
        <f t="shared" si="49"/>
        <v>43</v>
      </c>
      <c r="H519" t="str">
        <f t="shared" si="50"/>
        <v>NOELI SALETE</v>
      </c>
      <c r="I519" t="str">
        <f t="shared" si="51"/>
        <v>SGAMAQ INOVACAO AGROINDUSTRIAL LTDA</v>
      </c>
      <c r="J519">
        <f t="shared" si="52"/>
        <v>1</v>
      </c>
      <c r="K519">
        <f t="shared" si="53"/>
        <v>0</v>
      </c>
    </row>
    <row r="520" spans="1:11" x14ac:dyDescent="0.25">
      <c r="A520" t="s">
        <v>346</v>
      </c>
      <c r="B520" t="s">
        <v>91</v>
      </c>
      <c r="C520" t="s">
        <v>50</v>
      </c>
      <c r="D520" s="3">
        <v>45591</v>
      </c>
      <c r="E520" t="str">
        <f>VLOOKUP(B520,'PROCV GERENTES BD'!A:B,2,0)</f>
        <v>POENATELA</v>
      </c>
      <c r="F520" s="4" t="str">
        <f t="shared" si="48"/>
        <v>2024-10</v>
      </c>
      <c r="G520" s="18">
        <f t="shared" si="49"/>
        <v>43</v>
      </c>
      <c r="H520" t="str">
        <f t="shared" si="50"/>
        <v>POENATELA</v>
      </c>
      <c r="I520" t="str">
        <f t="shared" si="51"/>
        <v>UBERTEC SERVICE USINAGEM LTDA EPP</v>
      </c>
      <c r="J520">
        <f t="shared" si="52"/>
        <v>0</v>
      </c>
      <c r="K520">
        <f t="shared" si="53"/>
        <v>1</v>
      </c>
    </row>
    <row r="521" spans="1:11" x14ac:dyDescent="0.25">
      <c r="A521" t="s">
        <v>314</v>
      </c>
      <c r="B521" t="s">
        <v>98</v>
      </c>
      <c r="C521" t="s">
        <v>50</v>
      </c>
      <c r="D521" s="3">
        <v>45591</v>
      </c>
      <c r="E521" t="str">
        <f>VLOOKUP(B521,'PROCV GERENTES BD'!A:B,2,0)</f>
        <v xml:space="preserve">ROGERIO </v>
      </c>
      <c r="F521" s="4" t="str">
        <f t="shared" si="48"/>
        <v>2024-10</v>
      </c>
      <c r="G521" s="18">
        <f t="shared" si="49"/>
        <v>43</v>
      </c>
      <c r="H521" t="str">
        <f t="shared" si="50"/>
        <v xml:space="preserve">ROGERIO </v>
      </c>
      <c r="I521" t="str">
        <f t="shared" si="51"/>
        <v>MUTCD CENTRO DISTRIBUICAO IND FABRICANTE COSMETICO</v>
      </c>
      <c r="J521">
        <f t="shared" si="52"/>
        <v>0</v>
      </c>
      <c r="K521">
        <f t="shared" si="53"/>
        <v>1</v>
      </c>
    </row>
    <row r="522" spans="1:11" x14ac:dyDescent="0.25">
      <c r="A522" t="s">
        <v>331</v>
      </c>
      <c r="B522" t="s">
        <v>144</v>
      </c>
      <c r="C522" t="s">
        <v>50</v>
      </c>
      <c r="D522" s="3">
        <v>45594</v>
      </c>
      <c r="E522" t="str">
        <f>VLOOKUP(B522,'PROCV GERENTES BD'!A:B,2,0)</f>
        <v>ADMINISTRAÇÃO</v>
      </c>
      <c r="F522" s="4" t="str">
        <f t="shared" si="48"/>
        <v>2024-10</v>
      </c>
      <c r="G522" s="18">
        <f t="shared" si="49"/>
        <v>44</v>
      </c>
      <c r="H522" t="str">
        <f t="shared" si="50"/>
        <v>ADMINISTRAÇÃO</v>
      </c>
      <c r="I522" t="str">
        <f t="shared" si="51"/>
        <v>BOM PASTOR PAPEIS LTDA EM RECUPERACAO JUDICIAL</v>
      </c>
      <c r="J522">
        <f t="shared" si="52"/>
        <v>0</v>
      </c>
      <c r="K522">
        <f t="shared" si="53"/>
        <v>1</v>
      </c>
    </row>
    <row r="523" spans="1:11" x14ac:dyDescent="0.25">
      <c r="A523" t="s">
        <v>427</v>
      </c>
      <c r="B523" t="s">
        <v>178</v>
      </c>
      <c r="C523" t="s">
        <v>66</v>
      </c>
      <c r="D523" s="3">
        <v>45594</v>
      </c>
      <c r="E523" t="str">
        <f>VLOOKUP(B523,'PROCV GERENTES BD'!A:B,2,0)</f>
        <v>ADMINISTRAÇÃO</v>
      </c>
      <c r="F523" s="4" t="str">
        <f t="shared" si="48"/>
        <v>2024-10</v>
      </c>
      <c r="G523" s="18">
        <f t="shared" si="49"/>
        <v>44</v>
      </c>
      <c r="H523" t="str">
        <f t="shared" si="50"/>
        <v>ADMINISTRAÇÃO</v>
      </c>
      <c r="I523" t="str">
        <f t="shared" si="51"/>
        <v>LIZZENA COSMETICOS LTDA EPP</v>
      </c>
      <c r="J523">
        <f t="shared" si="52"/>
        <v>1</v>
      </c>
      <c r="K523">
        <f t="shared" si="53"/>
        <v>0</v>
      </c>
    </row>
    <row r="524" spans="1:11" x14ac:dyDescent="0.25">
      <c r="A524" t="s">
        <v>382</v>
      </c>
      <c r="B524" t="s">
        <v>129</v>
      </c>
      <c r="C524" t="s">
        <v>50</v>
      </c>
      <c r="D524" s="3">
        <v>45594</v>
      </c>
      <c r="E524" t="str">
        <f>VLOOKUP(B524,'PROCV GERENTES BD'!A:B,2,0)</f>
        <v>ADMINISTRAÇÃO</v>
      </c>
      <c r="F524" s="4" t="str">
        <f t="shared" si="48"/>
        <v>2024-10</v>
      </c>
      <c r="G524" s="18">
        <f t="shared" si="49"/>
        <v>44</v>
      </c>
      <c r="H524" t="str">
        <f t="shared" si="50"/>
        <v>ADMINISTRAÇÃO</v>
      </c>
      <c r="I524" t="str">
        <f t="shared" si="51"/>
        <v>XEQUE MATE BEBIDAS LTDA ME</v>
      </c>
      <c r="J524">
        <f t="shared" si="52"/>
        <v>0</v>
      </c>
      <c r="K524">
        <f t="shared" si="53"/>
        <v>1</v>
      </c>
    </row>
    <row r="525" spans="1:11" x14ac:dyDescent="0.25">
      <c r="A525" t="s">
        <v>406</v>
      </c>
      <c r="B525" t="s">
        <v>156</v>
      </c>
      <c r="C525" t="s">
        <v>50</v>
      </c>
      <c r="D525" s="3">
        <v>45594</v>
      </c>
      <c r="E525" t="str">
        <f>VLOOKUP(B525,'PROCV GERENTES BD'!A:B,2,0)</f>
        <v>ADMINISTRAÇÃO</v>
      </c>
      <c r="F525" s="4" t="str">
        <f t="shared" si="48"/>
        <v>2024-10</v>
      </c>
      <c r="G525" s="18">
        <f t="shared" si="49"/>
        <v>44</v>
      </c>
      <c r="H525" t="str">
        <f t="shared" si="50"/>
        <v>ADMINISTRAÇÃO</v>
      </c>
      <c r="I525" t="str">
        <f t="shared" si="51"/>
        <v>RIMAG COMERCIO ATACADISTA DE ALIMENTOS IMPORTACAO</v>
      </c>
      <c r="J525">
        <f t="shared" si="52"/>
        <v>0</v>
      </c>
      <c r="K525">
        <f t="shared" si="53"/>
        <v>1</v>
      </c>
    </row>
    <row r="526" spans="1:11" x14ac:dyDescent="0.25">
      <c r="A526" t="s">
        <v>372</v>
      </c>
      <c r="B526" t="s">
        <v>116</v>
      </c>
      <c r="C526" t="s">
        <v>53</v>
      </c>
      <c r="D526" s="3">
        <v>45594</v>
      </c>
      <c r="E526" t="str">
        <f>VLOOKUP(B526,'PROCV GERENTES BD'!A:B,2,0)</f>
        <v>ADMINISTRAÇÃO</v>
      </c>
      <c r="F526" s="4" t="str">
        <f t="shared" si="48"/>
        <v>2024-10</v>
      </c>
      <c r="G526" s="18">
        <f t="shared" si="49"/>
        <v>44</v>
      </c>
      <c r="H526" t="str">
        <f t="shared" si="50"/>
        <v>ADMINISTRAÇÃO</v>
      </c>
      <c r="I526" t="str">
        <f t="shared" si="51"/>
        <v>PREMOLDADOS MATOSINHOS LTDA EPP</v>
      </c>
      <c r="J526">
        <f t="shared" si="52"/>
        <v>1</v>
      </c>
      <c r="K526">
        <f t="shared" si="53"/>
        <v>1</v>
      </c>
    </row>
    <row r="527" spans="1:11" x14ac:dyDescent="0.25">
      <c r="A527" t="s">
        <v>304</v>
      </c>
      <c r="B527" t="s">
        <v>123</v>
      </c>
      <c r="C527" t="s">
        <v>66</v>
      </c>
      <c r="D527" s="3">
        <v>45594</v>
      </c>
      <c r="E527" t="str">
        <f>VLOOKUP(B527,'PROCV GERENTES BD'!A:B,2,0)</f>
        <v>ADMINISTRAÇÃO</v>
      </c>
      <c r="F527" s="4" t="str">
        <f t="shared" si="48"/>
        <v>2024-10</v>
      </c>
      <c r="G527" s="18">
        <f t="shared" si="49"/>
        <v>44</v>
      </c>
      <c r="H527" t="str">
        <f t="shared" si="50"/>
        <v>ADMINISTRAÇÃO</v>
      </c>
      <c r="I527" t="str">
        <f t="shared" si="51"/>
        <v>VIC LOGISTICA LTDA EM RECUPERACAO JUDICIAL</v>
      </c>
      <c r="J527">
        <f t="shared" si="52"/>
        <v>1</v>
      </c>
      <c r="K527">
        <f t="shared" si="53"/>
        <v>0</v>
      </c>
    </row>
    <row r="528" spans="1:11" x14ac:dyDescent="0.25">
      <c r="A528" t="s">
        <v>373</v>
      </c>
      <c r="B528" t="s">
        <v>117</v>
      </c>
      <c r="C528" t="s">
        <v>50</v>
      </c>
      <c r="D528" s="3">
        <v>45594</v>
      </c>
      <c r="E528" t="str">
        <f>VLOOKUP(B528,'PROCV GERENTES BD'!A:B,2,0)</f>
        <v>ADMINISTRAÇÃO</v>
      </c>
      <c r="F528" s="4" t="str">
        <f t="shared" si="48"/>
        <v>2024-10</v>
      </c>
      <c r="G528" s="18">
        <f t="shared" si="49"/>
        <v>44</v>
      </c>
      <c r="H528" t="str">
        <f t="shared" si="50"/>
        <v>ADMINISTRAÇÃO</v>
      </c>
      <c r="I528" t="str">
        <f t="shared" si="51"/>
        <v>VIVAN TRANSPORTES LTDA</v>
      </c>
      <c r="J528">
        <f t="shared" si="52"/>
        <v>0</v>
      </c>
      <c r="K528">
        <f t="shared" si="53"/>
        <v>1</v>
      </c>
    </row>
    <row r="529" spans="1:11" x14ac:dyDescent="0.25">
      <c r="A529" t="s">
        <v>319</v>
      </c>
      <c r="B529" t="s">
        <v>80</v>
      </c>
      <c r="C529" t="s">
        <v>50</v>
      </c>
      <c r="D529" s="3">
        <v>45594</v>
      </c>
      <c r="E529" t="str">
        <f>VLOOKUP(B529,'PROCV GERENTES BD'!A:B,2,0)</f>
        <v>CELIO PIMENTA</v>
      </c>
      <c r="F529" s="4" t="str">
        <f t="shared" si="48"/>
        <v>2024-10</v>
      </c>
      <c r="G529" s="18">
        <f t="shared" si="49"/>
        <v>44</v>
      </c>
      <c r="H529" t="str">
        <f t="shared" si="50"/>
        <v>CELIO PIMENTA</v>
      </c>
      <c r="I529" t="str">
        <f t="shared" si="51"/>
        <v>IMPORTEXTIL COMERCIO DE TECIDOS LTDA</v>
      </c>
      <c r="J529">
        <f t="shared" si="52"/>
        <v>0</v>
      </c>
      <c r="K529">
        <f t="shared" si="53"/>
        <v>1</v>
      </c>
    </row>
    <row r="530" spans="1:11" x14ac:dyDescent="0.25">
      <c r="A530" t="s">
        <v>311</v>
      </c>
      <c r="B530" t="s">
        <v>81</v>
      </c>
      <c r="C530" t="s">
        <v>50</v>
      </c>
      <c r="D530" s="3">
        <v>45594</v>
      </c>
      <c r="E530" t="str">
        <f>VLOOKUP(B530,'PROCV GERENTES BD'!A:B,2,0)</f>
        <v>CELIO PIMENTA</v>
      </c>
      <c r="F530" s="4" t="str">
        <f t="shared" si="48"/>
        <v>2024-10</v>
      </c>
      <c r="G530" s="18">
        <f t="shared" si="49"/>
        <v>44</v>
      </c>
      <c r="H530" t="str">
        <f t="shared" si="50"/>
        <v>CELIO PIMENTA</v>
      </c>
      <c r="I530" t="str">
        <f t="shared" si="51"/>
        <v>MBIOLOG DIAGNOSTICOS LTDA</v>
      </c>
      <c r="J530">
        <f t="shared" si="52"/>
        <v>0</v>
      </c>
      <c r="K530">
        <f t="shared" si="53"/>
        <v>1</v>
      </c>
    </row>
    <row r="531" spans="1:11" x14ac:dyDescent="0.25">
      <c r="A531" t="s">
        <v>350</v>
      </c>
      <c r="B531" t="s">
        <v>95</v>
      </c>
      <c r="C531" t="s">
        <v>50</v>
      </c>
      <c r="D531" s="3">
        <v>45594</v>
      </c>
      <c r="E531" t="str">
        <f>VLOOKUP(B531,'PROCV GERENTES BD'!A:B,2,0)</f>
        <v>GRUPO OTTO</v>
      </c>
      <c r="F531" s="4" t="str">
        <f t="shared" si="48"/>
        <v>2024-10</v>
      </c>
      <c r="G531" s="18">
        <f t="shared" si="49"/>
        <v>44</v>
      </c>
      <c r="H531" t="str">
        <f t="shared" si="50"/>
        <v>GRUPO OTTO</v>
      </c>
      <c r="I531" t="str">
        <f t="shared" si="51"/>
        <v>PLURIFORME INDUSTRIA E COMERCIO DE UNIFORMES LTDA</v>
      </c>
      <c r="J531">
        <f t="shared" si="52"/>
        <v>0</v>
      </c>
      <c r="K531">
        <f t="shared" si="53"/>
        <v>1</v>
      </c>
    </row>
    <row r="532" spans="1:11" x14ac:dyDescent="0.25">
      <c r="A532" t="s">
        <v>395</v>
      </c>
      <c r="B532" t="s">
        <v>145</v>
      </c>
      <c r="C532" t="s">
        <v>66</v>
      </c>
      <c r="D532" s="3">
        <v>45594</v>
      </c>
      <c r="E532" t="str">
        <f>VLOOKUP(B532,'PROCV GERENTES BD'!A:B,2,0)</f>
        <v>MARCIO LEONEL</v>
      </c>
      <c r="F532" s="4" t="str">
        <f t="shared" si="48"/>
        <v>2024-10</v>
      </c>
      <c r="G532" s="18">
        <f t="shared" si="49"/>
        <v>44</v>
      </c>
      <c r="H532" t="str">
        <f t="shared" si="50"/>
        <v>MARCIO LEONEL</v>
      </c>
      <c r="I532" t="str">
        <f t="shared" si="51"/>
        <v>MEDICAL PRIME IMP EXPORT DISTRIB PRODUTOS MEDICOS</v>
      </c>
      <c r="J532">
        <f t="shared" si="52"/>
        <v>1</v>
      </c>
      <c r="K532">
        <f t="shared" si="53"/>
        <v>0</v>
      </c>
    </row>
    <row r="533" spans="1:11" x14ac:dyDescent="0.25">
      <c r="A533" t="s">
        <v>428</v>
      </c>
      <c r="B533" t="s">
        <v>179</v>
      </c>
      <c r="C533" t="s">
        <v>50</v>
      </c>
      <c r="D533" s="3">
        <v>45594</v>
      </c>
      <c r="E533" t="str">
        <f>VLOOKUP(B533,'PROCV GERENTES BD'!A:B,2,0)</f>
        <v xml:space="preserve">MARCUS VINICIUS </v>
      </c>
      <c r="F533" s="4" t="str">
        <f t="shared" si="48"/>
        <v>2024-10</v>
      </c>
      <c r="G533" s="18">
        <f t="shared" si="49"/>
        <v>44</v>
      </c>
      <c r="H533" t="str">
        <f t="shared" si="50"/>
        <v xml:space="preserve">MARCUS VINICIUS </v>
      </c>
      <c r="I533" t="str">
        <f t="shared" si="51"/>
        <v>LABOR ELETRIC INDUSTRIA E COMERCIO UNIPESSOAL LTDA</v>
      </c>
      <c r="J533">
        <f t="shared" si="52"/>
        <v>0</v>
      </c>
      <c r="K533">
        <f t="shared" si="53"/>
        <v>1</v>
      </c>
    </row>
    <row r="534" spans="1:11" x14ac:dyDescent="0.25">
      <c r="A534" t="s">
        <v>418</v>
      </c>
      <c r="B534" t="s">
        <v>168</v>
      </c>
      <c r="C534" t="s">
        <v>50</v>
      </c>
      <c r="D534" s="3">
        <v>45594</v>
      </c>
      <c r="E534" t="str">
        <f>VLOOKUP(B534,'PROCV GERENTES BD'!A:B,2,0)</f>
        <v>ADMINISTRAÇÃO</v>
      </c>
      <c r="F534" s="4" t="str">
        <f t="shared" si="48"/>
        <v>2024-10</v>
      </c>
      <c r="G534" s="18">
        <f t="shared" si="49"/>
        <v>44</v>
      </c>
      <c r="H534" t="str">
        <f t="shared" si="50"/>
        <v>ADMINISTRAÇÃO</v>
      </c>
      <c r="I534" t="str">
        <f t="shared" si="51"/>
        <v>MAAT COMERCIO DE VESTUARIO LTDA EPP</v>
      </c>
      <c r="J534">
        <f t="shared" si="52"/>
        <v>0</v>
      </c>
      <c r="K534">
        <f t="shared" si="53"/>
        <v>1</v>
      </c>
    </row>
    <row r="535" spans="1:11" x14ac:dyDescent="0.25">
      <c r="A535" t="s">
        <v>419</v>
      </c>
      <c r="B535" t="s">
        <v>169</v>
      </c>
      <c r="C535" t="s">
        <v>50</v>
      </c>
      <c r="D535" s="3">
        <v>45594</v>
      </c>
      <c r="E535" t="str">
        <f>VLOOKUP(B535,'PROCV GERENTES BD'!A:B,2,0)</f>
        <v>NOELI SALETE</v>
      </c>
      <c r="F535" s="4" t="str">
        <f t="shared" si="48"/>
        <v>2024-10</v>
      </c>
      <c r="G535" s="18">
        <f t="shared" si="49"/>
        <v>44</v>
      </c>
      <c r="H535" t="str">
        <f t="shared" si="50"/>
        <v>NOELI SALETE</v>
      </c>
      <c r="I535" t="str">
        <f t="shared" si="51"/>
        <v>GLOBAL ACO SERVICOS E PRODUTOS SIDERURGICOS LTDA E</v>
      </c>
      <c r="J535">
        <f t="shared" si="52"/>
        <v>0</v>
      </c>
      <c r="K535">
        <f t="shared" si="53"/>
        <v>1</v>
      </c>
    </row>
    <row r="536" spans="1:11" x14ac:dyDescent="0.25">
      <c r="A536" t="s">
        <v>339</v>
      </c>
      <c r="B536" t="s">
        <v>87</v>
      </c>
      <c r="C536" t="s">
        <v>53</v>
      </c>
      <c r="D536" s="3">
        <v>45594</v>
      </c>
      <c r="E536" t="str">
        <f>VLOOKUP(B536,'PROCV GERENTES BD'!A:B,2,0)</f>
        <v>NOELI SALETE</v>
      </c>
      <c r="F536" s="4" t="str">
        <f t="shared" si="48"/>
        <v>2024-10</v>
      </c>
      <c r="G536" s="18">
        <f t="shared" si="49"/>
        <v>44</v>
      </c>
      <c r="H536" t="str">
        <f t="shared" si="50"/>
        <v>NOELI SALETE</v>
      </c>
      <c r="I536" t="str">
        <f t="shared" si="51"/>
        <v>RODOBOX TRANSPORTES E ARMAZENAGEM DE CARGAS LTDA</v>
      </c>
      <c r="J536">
        <f t="shared" si="52"/>
        <v>1</v>
      </c>
      <c r="K536">
        <f t="shared" si="53"/>
        <v>1</v>
      </c>
    </row>
    <row r="537" spans="1:11" x14ac:dyDescent="0.25">
      <c r="A537" t="s">
        <v>417</v>
      </c>
      <c r="B537" t="s">
        <v>167</v>
      </c>
      <c r="C537" t="s">
        <v>50</v>
      </c>
      <c r="D537" s="3">
        <v>45594</v>
      </c>
      <c r="E537" t="str">
        <f>VLOOKUP(B537,'PROCV GERENTES BD'!A:B,2,0)</f>
        <v>POENATELA</v>
      </c>
      <c r="F537" s="4" t="str">
        <f t="shared" si="48"/>
        <v>2024-10</v>
      </c>
      <c r="G537" s="18">
        <f t="shared" si="49"/>
        <v>44</v>
      </c>
      <c r="H537" t="str">
        <f t="shared" si="50"/>
        <v>POENATELA</v>
      </c>
      <c r="I537" t="str">
        <f t="shared" si="51"/>
        <v>DETRONIC ENERGIA E SERVICOS LTDA</v>
      </c>
      <c r="J537">
        <f t="shared" si="52"/>
        <v>0</v>
      </c>
      <c r="K537">
        <f t="shared" si="53"/>
        <v>1</v>
      </c>
    </row>
    <row r="538" spans="1:11" x14ac:dyDescent="0.25">
      <c r="A538" t="s">
        <v>346</v>
      </c>
      <c r="B538" t="s">
        <v>91</v>
      </c>
      <c r="C538" t="s">
        <v>53</v>
      </c>
      <c r="D538" s="3">
        <v>45594</v>
      </c>
      <c r="E538" t="str">
        <f>VLOOKUP(B538,'PROCV GERENTES BD'!A:B,2,0)</f>
        <v>POENATELA</v>
      </c>
      <c r="F538" s="4" t="str">
        <f t="shared" si="48"/>
        <v>2024-10</v>
      </c>
      <c r="G538" s="18">
        <f t="shared" si="49"/>
        <v>44</v>
      </c>
      <c r="H538" t="str">
        <f t="shared" si="50"/>
        <v>POENATELA</v>
      </c>
      <c r="I538" t="str">
        <f t="shared" si="51"/>
        <v>UBERTEC SERVICE USINAGEM LTDA EPP</v>
      </c>
      <c r="J538">
        <f t="shared" si="52"/>
        <v>1</v>
      </c>
      <c r="K538">
        <f t="shared" si="53"/>
        <v>1</v>
      </c>
    </row>
    <row r="539" spans="1:11" x14ac:dyDescent="0.25">
      <c r="A539" t="s">
        <v>376</v>
      </c>
      <c r="B539" t="s">
        <v>121</v>
      </c>
      <c r="C539" t="s">
        <v>50</v>
      </c>
      <c r="D539" s="3">
        <v>45594</v>
      </c>
      <c r="E539" t="str">
        <f>VLOOKUP(B539,'PROCV GERENTES BD'!A:B,2,0)</f>
        <v>PRISCILA METZ</v>
      </c>
      <c r="F539" s="4" t="str">
        <f t="shared" si="48"/>
        <v>2024-10</v>
      </c>
      <c r="G539" s="18">
        <f t="shared" si="49"/>
        <v>44</v>
      </c>
      <c r="H539" t="str">
        <f t="shared" si="50"/>
        <v>PRISCILA METZ</v>
      </c>
      <c r="I539" t="str">
        <f t="shared" si="51"/>
        <v>NOVA DISTRIBUIDORA E ATACADO DE LIMPEZA LTDA</v>
      </c>
      <c r="J539">
        <f t="shared" si="52"/>
        <v>0</v>
      </c>
      <c r="K539">
        <f t="shared" si="53"/>
        <v>1</v>
      </c>
    </row>
    <row r="540" spans="1:11" x14ac:dyDescent="0.25">
      <c r="A540" t="s">
        <v>382</v>
      </c>
      <c r="B540" t="s">
        <v>129</v>
      </c>
      <c r="C540" t="s">
        <v>50</v>
      </c>
      <c r="D540" s="3">
        <v>45595</v>
      </c>
      <c r="E540" t="str">
        <f>VLOOKUP(B540,'PROCV GERENTES BD'!A:B,2,0)</f>
        <v>ADMINISTRAÇÃO</v>
      </c>
      <c r="F540" s="4" t="str">
        <f t="shared" si="48"/>
        <v>2024-10</v>
      </c>
      <c r="G540" s="18">
        <f t="shared" si="49"/>
        <v>44</v>
      </c>
      <c r="H540" t="str">
        <f t="shared" si="50"/>
        <v>ADMINISTRAÇÃO</v>
      </c>
      <c r="I540" t="str">
        <f t="shared" si="51"/>
        <v>XEQUE MATE BEBIDAS LTDA ME</v>
      </c>
      <c r="J540">
        <f t="shared" si="52"/>
        <v>0</v>
      </c>
      <c r="K540">
        <f t="shared" si="53"/>
        <v>1</v>
      </c>
    </row>
    <row r="541" spans="1:11" x14ac:dyDescent="0.25">
      <c r="A541" t="s">
        <v>319</v>
      </c>
      <c r="B541" t="s">
        <v>80</v>
      </c>
      <c r="C541" t="s">
        <v>50</v>
      </c>
      <c r="D541" s="3">
        <v>45595</v>
      </c>
      <c r="E541" t="str">
        <f>VLOOKUP(B541,'PROCV GERENTES BD'!A:B,2,0)</f>
        <v>CELIO PIMENTA</v>
      </c>
      <c r="F541" s="4" t="str">
        <f t="shared" si="48"/>
        <v>2024-10</v>
      </c>
      <c r="G541" s="18">
        <f t="shared" si="49"/>
        <v>44</v>
      </c>
      <c r="H541" t="str">
        <f t="shared" si="50"/>
        <v>CELIO PIMENTA</v>
      </c>
      <c r="I541" t="str">
        <f t="shared" si="51"/>
        <v>IMPORTEXTIL COMERCIO DE TECIDOS LTDA</v>
      </c>
      <c r="J541">
        <f t="shared" si="52"/>
        <v>0</v>
      </c>
      <c r="K541">
        <f t="shared" si="53"/>
        <v>1</v>
      </c>
    </row>
    <row r="542" spans="1:11" x14ac:dyDescent="0.25">
      <c r="A542" t="s">
        <v>430</v>
      </c>
      <c r="B542" t="s">
        <v>181</v>
      </c>
      <c r="C542" t="s">
        <v>71</v>
      </c>
      <c r="D542" s="3">
        <v>45595</v>
      </c>
      <c r="E542" t="str">
        <f>VLOOKUP(B542,'PROCV GERENTES BD'!A:B,2,0)</f>
        <v>PROSPECTAR</v>
      </c>
      <c r="F542" s="4" t="str">
        <f t="shared" si="48"/>
        <v>2024-10</v>
      </c>
      <c r="G542" s="18">
        <f t="shared" si="49"/>
        <v>44</v>
      </c>
      <c r="H542" t="str">
        <f t="shared" si="50"/>
        <v>PROSPECTAR</v>
      </c>
      <c r="I542" t="str">
        <f t="shared" si="51"/>
        <v>SIQUEIRA E GAIPO INDUSTRIA E MATERIAIS ESPORTIVOS</v>
      </c>
      <c r="J542">
        <f t="shared" si="52"/>
        <v>0</v>
      </c>
      <c r="K542">
        <f t="shared" si="53"/>
        <v>0</v>
      </c>
    </row>
    <row r="543" spans="1:11" x14ac:dyDescent="0.25">
      <c r="A543" t="s">
        <v>323</v>
      </c>
      <c r="B543" t="s">
        <v>109</v>
      </c>
      <c r="C543" t="s">
        <v>66</v>
      </c>
      <c r="D543" s="3">
        <v>45595</v>
      </c>
      <c r="E543" t="str">
        <f>VLOOKUP(B543,'PROCV GERENTES BD'!A:B,2,0)</f>
        <v>PROSPECTAR</v>
      </c>
      <c r="F543" s="4" t="str">
        <f t="shared" si="48"/>
        <v>2024-10</v>
      </c>
      <c r="G543" s="18">
        <f t="shared" si="49"/>
        <v>44</v>
      </c>
      <c r="H543" t="str">
        <f t="shared" si="50"/>
        <v>PROSPECTAR</v>
      </c>
      <c r="I543" t="str">
        <f t="shared" si="51"/>
        <v>SIAP COMERCIO DE PRODUTOS AGROPECUARIOS LTDA</v>
      </c>
      <c r="J543">
        <f t="shared" si="52"/>
        <v>1</v>
      </c>
      <c r="K543">
        <f t="shared" si="53"/>
        <v>0</v>
      </c>
    </row>
    <row r="544" spans="1:11" x14ac:dyDescent="0.25">
      <c r="A544" t="s">
        <v>350</v>
      </c>
      <c r="B544" t="s">
        <v>95</v>
      </c>
      <c r="C544" t="s">
        <v>50</v>
      </c>
      <c r="D544" s="3">
        <v>45595</v>
      </c>
      <c r="E544" t="str">
        <f>VLOOKUP(B544,'PROCV GERENTES BD'!A:B,2,0)</f>
        <v>GRUPO OTTO</v>
      </c>
      <c r="F544" s="4" t="str">
        <f t="shared" si="48"/>
        <v>2024-10</v>
      </c>
      <c r="G544" s="18">
        <f t="shared" si="49"/>
        <v>44</v>
      </c>
      <c r="H544" t="str">
        <f t="shared" si="50"/>
        <v>GRUPO OTTO</v>
      </c>
      <c r="I544" t="str">
        <f t="shared" si="51"/>
        <v>PLURIFORME INDUSTRIA E COMERCIO DE UNIFORMES LTDA</v>
      </c>
      <c r="J544">
        <f t="shared" si="52"/>
        <v>0</v>
      </c>
      <c r="K544">
        <f t="shared" si="53"/>
        <v>1</v>
      </c>
    </row>
    <row r="545" spans="1:11" x14ac:dyDescent="0.25">
      <c r="A545" t="s">
        <v>428</v>
      </c>
      <c r="B545" t="s">
        <v>179</v>
      </c>
      <c r="C545" t="s">
        <v>66</v>
      </c>
      <c r="D545" s="3">
        <v>45595</v>
      </c>
      <c r="E545" t="str">
        <f>VLOOKUP(B545,'PROCV GERENTES BD'!A:B,2,0)</f>
        <v xml:space="preserve">MARCUS VINICIUS </v>
      </c>
      <c r="F545" s="4" t="str">
        <f t="shared" si="48"/>
        <v>2024-10</v>
      </c>
      <c r="G545" s="18">
        <f t="shared" si="49"/>
        <v>44</v>
      </c>
      <c r="H545" t="str">
        <f t="shared" si="50"/>
        <v xml:space="preserve">MARCUS VINICIUS </v>
      </c>
      <c r="I545" t="str">
        <f t="shared" si="51"/>
        <v>LABOR ELETRIC INDUSTRIA E COMERCIO UNIPESSOAL LTDA</v>
      </c>
      <c r="J545">
        <f t="shared" si="52"/>
        <v>1</v>
      </c>
      <c r="K545">
        <f t="shared" si="53"/>
        <v>0</v>
      </c>
    </row>
    <row r="546" spans="1:11" x14ac:dyDescent="0.25">
      <c r="A546" t="s">
        <v>384</v>
      </c>
      <c r="B546" t="s">
        <v>131</v>
      </c>
      <c r="C546" t="s">
        <v>71</v>
      </c>
      <c r="D546" s="3">
        <v>45595</v>
      </c>
      <c r="E546" t="str">
        <f>VLOOKUP(B546,'PROCV GERENTES BD'!A:B,2,0)</f>
        <v xml:space="preserve">MARCUS VINICIUS </v>
      </c>
      <c r="F546" s="4" t="str">
        <f t="shared" si="48"/>
        <v>2024-10</v>
      </c>
      <c r="G546" s="18">
        <f t="shared" si="49"/>
        <v>44</v>
      </c>
      <c r="H546" t="str">
        <f t="shared" si="50"/>
        <v xml:space="preserve">MARCUS VINICIUS </v>
      </c>
      <c r="I546" t="str">
        <f t="shared" si="51"/>
        <v>PALMILHADO INDUSTRIA E COMERCIO LTDA</v>
      </c>
      <c r="J546">
        <f t="shared" si="52"/>
        <v>0</v>
      </c>
      <c r="K546">
        <f t="shared" si="53"/>
        <v>0</v>
      </c>
    </row>
    <row r="547" spans="1:11" x14ac:dyDescent="0.25">
      <c r="A547" t="s">
        <v>384</v>
      </c>
      <c r="B547" t="s">
        <v>131</v>
      </c>
      <c r="C547" t="s">
        <v>50</v>
      </c>
      <c r="D547" s="3">
        <v>45595</v>
      </c>
      <c r="E547" t="str">
        <f>VLOOKUP(B547,'PROCV GERENTES BD'!A:B,2,0)</f>
        <v xml:space="preserve">MARCUS VINICIUS </v>
      </c>
      <c r="F547" s="4" t="str">
        <f t="shared" si="48"/>
        <v>2024-10</v>
      </c>
      <c r="G547" s="18">
        <f t="shared" si="49"/>
        <v>44</v>
      </c>
      <c r="H547" t="str">
        <f t="shared" si="50"/>
        <v xml:space="preserve">MARCUS VINICIUS </v>
      </c>
      <c r="I547" t="str">
        <f t="shared" si="51"/>
        <v>PALMILHADO INDUSTRIA E COMERCIO LTDA</v>
      </c>
      <c r="J547">
        <f t="shared" si="52"/>
        <v>0</v>
      </c>
      <c r="K547">
        <f t="shared" si="53"/>
        <v>1</v>
      </c>
    </row>
    <row r="548" spans="1:11" x14ac:dyDescent="0.25">
      <c r="A548" t="s">
        <v>419</v>
      </c>
      <c r="B548" t="s">
        <v>169</v>
      </c>
      <c r="C548" t="s">
        <v>50</v>
      </c>
      <c r="D548" s="3">
        <v>45595</v>
      </c>
      <c r="E548" t="str">
        <f>VLOOKUP(B548,'PROCV GERENTES BD'!A:B,2,0)</f>
        <v>NOELI SALETE</v>
      </c>
      <c r="F548" s="4" t="str">
        <f t="shared" si="48"/>
        <v>2024-10</v>
      </c>
      <c r="G548" s="18">
        <f t="shared" si="49"/>
        <v>44</v>
      </c>
      <c r="H548" t="str">
        <f t="shared" si="50"/>
        <v>NOELI SALETE</v>
      </c>
      <c r="I548" t="str">
        <f t="shared" si="51"/>
        <v>GLOBAL ACO SERVICOS E PRODUTOS SIDERURGICOS LTDA E</v>
      </c>
      <c r="J548">
        <f t="shared" si="52"/>
        <v>0</v>
      </c>
      <c r="K548">
        <f t="shared" si="53"/>
        <v>1</v>
      </c>
    </row>
    <row r="549" spans="1:11" x14ac:dyDescent="0.25">
      <c r="A549" t="s">
        <v>339</v>
      </c>
      <c r="B549" t="s">
        <v>87</v>
      </c>
      <c r="C549" t="s">
        <v>50</v>
      </c>
      <c r="D549" s="3">
        <v>45595</v>
      </c>
      <c r="E549" t="str">
        <f>VLOOKUP(B549,'PROCV GERENTES BD'!A:B,2,0)</f>
        <v>NOELI SALETE</v>
      </c>
      <c r="F549" s="4" t="str">
        <f t="shared" si="48"/>
        <v>2024-10</v>
      </c>
      <c r="G549" s="18">
        <f t="shared" si="49"/>
        <v>44</v>
      </c>
      <c r="H549" t="str">
        <f t="shared" si="50"/>
        <v>NOELI SALETE</v>
      </c>
      <c r="I549" t="str">
        <f t="shared" si="51"/>
        <v>RODOBOX TRANSPORTES E ARMAZENAGEM DE CARGAS LTDA</v>
      </c>
      <c r="J549">
        <f t="shared" si="52"/>
        <v>0</v>
      </c>
      <c r="K549">
        <f t="shared" si="53"/>
        <v>1</v>
      </c>
    </row>
    <row r="550" spans="1:11" x14ac:dyDescent="0.25">
      <c r="A550" t="s">
        <v>407</v>
      </c>
      <c r="B550" t="s">
        <v>157</v>
      </c>
      <c r="C550" t="s">
        <v>66</v>
      </c>
      <c r="D550" s="3">
        <v>45595</v>
      </c>
      <c r="E550" t="str">
        <f>VLOOKUP(B550,'PROCV GERENTES BD'!A:B,2,0)</f>
        <v>NOELI SALETE</v>
      </c>
      <c r="F550" s="4" t="str">
        <f t="shared" si="48"/>
        <v>2024-10</v>
      </c>
      <c r="G550" s="18">
        <f t="shared" si="49"/>
        <v>44</v>
      </c>
      <c r="H550" t="str">
        <f t="shared" si="50"/>
        <v>NOELI SALETE</v>
      </c>
      <c r="I550" t="str">
        <f t="shared" si="51"/>
        <v>SGAMAQ INOVACAO AGROINDUSTRIAL LTDA</v>
      </c>
      <c r="J550">
        <f t="shared" si="52"/>
        <v>1</v>
      </c>
      <c r="K550">
        <f t="shared" si="53"/>
        <v>0</v>
      </c>
    </row>
    <row r="551" spans="1:11" x14ac:dyDescent="0.25">
      <c r="A551" t="s">
        <v>386</v>
      </c>
      <c r="B551" t="s">
        <v>133</v>
      </c>
      <c r="C551" t="s">
        <v>50</v>
      </c>
      <c r="D551" s="3">
        <v>45595</v>
      </c>
      <c r="E551" t="str">
        <f>VLOOKUP(B551,'PROCV GERENTES BD'!A:B,2,0)</f>
        <v>POENATELA</v>
      </c>
      <c r="F551" s="4" t="str">
        <f t="shared" si="48"/>
        <v>2024-10</v>
      </c>
      <c r="G551" s="18">
        <f t="shared" si="49"/>
        <v>44</v>
      </c>
      <c r="H551" t="str">
        <f t="shared" si="50"/>
        <v>POENATELA</v>
      </c>
      <c r="I551" t="str">
        <f t="shared" si="51"/>
        <v>HT SERVICOS DE TRANSPORTE E LOCACAO LTDA</v>
      </c>
      <c r="J551">
        <f t="shared" si="52"/>
        <v>0</v>
      </c>
      <c r="K551">
        <f t="shared" si="53"/>
        <v>1</v>
      </c>
    </row>
    <row r="552" spans="1:11" x14ac:dyDescent="0.25">
      <c r="A552" t="s">
        <v>346</v>
      </c>
      <c r="B552" t="s">
        <v>91</v>
      </c>
      <c r="C552" t="s">
        <v>66</v>
      </c>
      <c r="D552" s="3">
        <v>45595</v>
      </c>
      <c r="E552" t="str">
        <f>VLOOKUP(B552,'PROCV GERENTES BD'!A:B,2,0)</f>
        <v>POENATELA</v>
      </c>
      <c r="F552" s="4" t="str">
        <f t="shared" si="48"/>
        <v>2024-10</v>
      </c>
      <c r="G552" s="18">
        <f t="shared" si="49"/>
        <v>44</v>
      </c>
      <c r="H552" t="str">
        <f t="shared" si="50"/>
        <v>POENATELA</v>
      </c>
      <c r="I552" t="str">
        <f t="shared" si="51"/>
        <v>UBERTEC SERVICE USINAGEM LTDA EPP</v>
      </c>
      <c r="J552">
        <f t="shared" si="52"/>
        <v>1</v>
      </c>
      <c r="K552">
        <f t="shared" si="53"/>
        <v>0</v>
      </c>
    </row>
    <row r="553" spans="1:11" x14ac:dyDescent="0.25">
      <c r="A553" t="s">
        <v>403</v>
      </c>
      <c r="B553" t="s">
        <v>153</v>
      </c>
      <c r="C553" t="s">
        <v>71</v>
      </c>
      <c r="D553" s="3">
        <v>45595</v>
      </c>
      <c r="E553" t="str">
        <f>VLOOKUP(B553,'PROCV GERENTES BD'!A:B,2,0)</f>
        <v>PRISCILA METZ</v>
      </c>
      <c r="F553" s="4" t="str">
        <f t="shared" si="48"/>
        <v>2024-10</v>
      </c>
      <c r="G553" s="18">
        <f t="shared" si="49"/>
        <v>44</v>
      </c>
      <c r="H553" t="str">
        <f t="shared" si="50"/>
        <v>PRISCILA METZ</v>
      </c>
      <c r="I553" t="str">
        <f t="shared" si="51"/>
        <v>REI DO MILHO ATACADISTA E VAREJISTA LTDA ME</v>
      </c>
      <c r="J553">
        <f t="shared" si="52"/>
        <v>0</v>
      </c>
      <c r="K553">
        <f t="shared" si="53"/>
        <v>0</v>
      </c>
    </row>
    <row r="554" spans="1:11" x14ac:dyDescent="0.25">
      <c r="A554" t="s">
        <v>76</v>
      </c>
      <c r="B554" t="s">
        <v>77</v>
      </c>
      <c r="C554" t="s">
        <v>71</v>
      </c>
      <c r="D554" s="3">
        <v>45595</v>
      </c>
      <c r="E554" t="str">
        <f>VLOOKUP(B554,'PROCV GERENTES BD'!A:B,2,0)</f>
        <v>RAFAEL PARISE</v>
      </c>
      <c r="F554" s="4" t="str">
        <f t="shared" si="48"/>
        <v>2024-10</v>
      </c>
      <c r="G554" s="18">
        <f t="shared" si="49"/>
        <v>44</v>
      </c>
      <c r="H554" t="str">
        <f t="shared" si="50"/>
        <v>RAFAEL PARISE</v>
      </c>
      <c r="I554" t="str">
        <f t="shared" si="51"/>
        <v>UNITA AUTO PECAS LTDA EPP</v>
      </c>
      <c r="J554">
        <f t="shared" si="52"/>
        <v>0</v>
      </c>
      <c r="K554">
        <f t="shared" si="53"/>
        <v>0</v>
      </c>
    </row>
    <row r="555" spans="1:11" x14ac:dyDescent="0.25">
      <c r="A555" t="s">
        <v>325</v>
      </c>
      <c r="B555" t="s">
        <v>138</v>
      </c>
      <c r="C555" t="s">
        <v>66</v>
      </c>
      <c r="D555" s="3">
        <v>45595</v>
      </c>
      <c r="E555" t="str">
        <f>VLOOKUP(B555,'PROCV GERENTES BD'!A:B,2,0)</f>
        <v>SACADO</v>
      </c>
      <c r="F555" s="4" t="str">
        <f t="shared" si="48"/>
        <v>2024-10</v>
      </c>
      <c r="G555" s="18">
        <f t="shared" si="49"/>
        <v>44</v>
      </c>
      <c r="H555" t="str">
        <f t="shared" si="50"/>
        <v>SACADO</v>
      </c>
      <c r="I555" t="str">
        <f t="shared" si="51"/>
        <v>ALLIAGE S A INDUSTRIAS MEDICO ODONTOLOGICA</v>
      </c>
      <c r="J555">
        <f t="shared" si="52"/>
        <v>1</v>
      </c>
      <c r="K555">
        <f t="shared" si="53"/>
        <v>0</v>
      </c>
    </row>
    <row r="556" spans="1:11" x14ac:dyDescent="0.25">
      <c r="A556" t="s">
        <v>314</v>
      </c>
      <c r="B556" t="s">
        <v>98</v>
      </c>
      <c r="C556" t="s">
        <v>327</v>
      </c>
      <c r="D556" s="3">
        <v>45595</v>
      </c>
      <c r="E556" t="str">
        <f>VLOOKUP(B556,'PROCV GERENTES BD'!A:B,2,0)</f>
        <v xml:space="preserve">ROGERIO </v>
      </c>
      <c r="F556" s="4" t="str">
        <f t="shared" si="48"/>
        <v>2024-10</v>
      </c>
      <c r="G556" s="18">
        <f t="shared" si="49"/>
        <v>44</v>
      </c>
      <c r="H556" t="str">
        <f t="shared" si="50"/>
        <v xml:space="preserve">ROGERIO </v>
      </c>
      <c r="I556" t="str">
        <f t="shared" si="51"/>
        <v>MUTCD CENTRO DISTRIBUICAO IND FABRICANTE COSMETICO</v>
      </c>
      <c r="J556">
        <f t="shared" si="52"/>
        <v>0</v>
      </c>
      <c r="K556">
        <f t="shared" si="53"/>
        <v>0</v>
      </c>
    </row>
    <row r="557" spans="1:11" x14ac:dyDescent="0.25">
      <c r="A557" t="s">
        <v>314</v>
      </c>
      <c r="B557" t="s">
        <v>98</v>
      </c>
      <c r="C557" t="s">
        <v>329</v>
      </c>
      <c r="D557" s="3">
        <v>45595</v>
      </c>
      <c r="E557" t="str">
        <f>VLOOKUP(B557,'PROCV GERENTES BD'!A:B,2,0)</f>
        <v xml:space="preserve">ROGERIO </v>
      </c>
      <c r="F557" s="4" t="str">
        <f t="shared" si="48"/>
        <v>2024-10</v>
      </c>
      <c r="G557" s="18">
        <f t="shared" si="49"/>
        <v>44</v>
      </c>
      <c r="H557" t="str">
        <f t="shared" si="50"/>
        <v xml:space="preserve">ROGERIO </v>
      </c>
      <c r="I557" t="str">
        <f t="shared" si="51"/>
        <v>MUTCD CENTRO DISTRIBUICAO IND FABRICANTE COSMETICO</v>
      </c>
      <c r="J557">
        <f t="shared" si="52"/>
        <v>0</v>
      </c>
      <c r="K557">
        <f t="shared" si="53"/>
        <v>0</v>
      </c>
    </row>
    <row r="558" spans="1:11" x14ac:dyDescent="0.25">
      <c r="A558" t="s">
        <v>54</v>
      </c>
      <c r="B558" t="s">
        <v>55</v>
      </c>
      <c r="C558" t="s">
        <v>50</v>
      </c>
      <c r="D558" s="3">
        <v>45596</v>
      </c>
      <c r="E558" t="str">
        <f>VLOOKUP(B558,'PROCV GERENTES BD'!A:B,2,0)</f>
        <v>CELIO PIMENTA</v>
      </c>
      <c r="F558" s="4" t="str">
        <f t="shared" si="48"/>
        <v>2024-10</v>
      </c>
      <c r="G558" s="18">
        <f t="shared" si="49"/>
        <v>44</v>
      </c>
      <c r="H558" t="str">
        <f t="shared" si="50"/>
        <v>CELIO PIMENTA</v>
      </c>
      <c r="I558" t="str">
        <f t="shared" si="51"/>
        <v>WJ CALDEIRARIA INDUSTRIA E COMERCIO LTDA ME</v>
      </c>
      <c r="J558">
        <f t="shared" si="52"/>
        <v>0</v>
      </c>
      <c r="K558">
        <f t="shared" si="53"/>
        <v>1</v>
      </c>
    </row>
    <row r="559" spans="1:11" x14ac:dyDescent="0.25">
      <c r="A559" t="s">
        <v>428</v>
      </c>
      <c r="B559" t="s">
        <v>179</v>
      </c>
      <c r="C559" t="s">
        <v>66</v>
      </c>
      <c r="D559" s="3">
        <v>45596</v>
      </c>
      <c r="E559" t="str">
        <f>VLOOKUP(B559,'PROCV GERENTES BD'!A:B,2,0)</f>
        <v xml:space="preserve">MARCUS VINICIUS </v>
      </c>
      <c r="F559" s="4" t="str">
        <f t="shared" si="48"/>
        <v>2024-10</v>
      </c>
      <c r="G559" s="18">
        <f t="shared" si="49"/>
        <v>44</v>
      </c>
      <c r="H559" t="str">
        <f t="shared" si="50"/>
        <v xml:space="preserve">MARCUS VINICIUS </v>
      </c>
      <c r="I559" t="str">
        <f t="shared" si="51"/>
        <v>LABOR ELETRIC INDUSTRIA E COMERCIO UNIPESSOAL LTDA</v>
      </c>
      <c r="J559">
        <f t="shared" si="52"/>
        <v>1</v>
      </c>
      <c r="K559">
        <f t="shared" si="53"/>
        <v>0</v>
      </c>
    </row>
    <row r="560" spans="1:11" x14ac:dyDescent="0.25">
      <c r="A560" t="s">
        <v>384</v>
      </c>
      <c r="B560" t="s">
        <v>131</v>
      </c>
      <c r="C560" t="s">
        <v>50</v>
      </c>
      <c r="D560" s="3">
        <v>45596</v>
      </c>
      <c r="E560" t="str">
        <f>VLOOKUP(B560,'PROCV GERENTES BD'!A:B,2,0)</f>
        <v xml:space="preserve">MARCUS VINICIUS </v>
      </c>
      <c r="F560" s="4" t="str">
        <f t="shared" si="48"/>
        <v>2024-10</v>
      </c>
      <c r="G560" s="18">
        <f t="shared" si="49"/>
        <v>44</v>
      </c>
      <c r="H560" t="str">
        <f t="shared" si="50"/>
        <v xml:space="preserve">MARCUS VINICIUS </v>
      </c>
      <c r="I560" t="str">
        <f t="shared" si="51"/>
        <v>PALMILHADO INDUSTRIA E COMERCIO LTDA</v>
      </c>
      <c r="J560">
        <f t="shared" si="52"/>
        <v>0</v>
      </c>
      <c r="K560">
        <f t="shared" si="53"/>
        <v>1</v>
      </c>
    </row>
    <row r="561" spans="1:11" x14ac:dyDescent="0.25">
      <c r="A561" t="s">
        <v>375</v>
      </c>
      <c r="B561" t="s">
        <v>120</v>
      </c>
      <c r="C561" t="s">
        <v>66</v>
      </c>
      <c r="D561" s="3">
        <v>45596</v>
      </c>
      <c r="E561" t="str">
        <f>VLOOKUP(B561,'PROCV GERENTES BD'!A:B,2,0)</f>
        <v>ADMINISTRAÇÃO</v>
      </c>
      <c r="F561" s="4" t="str">
        <f t="shared" si="48"/>
        <v>2024-10</v>
      </c>
      <c r="G561" s="18">
        <f t="shared" si="49"/>
        <v>44</v>
      </c>
      <c r="H561" t="str">
        <f t="shared" si="50"/>
        <v>ADMINISTRAÇÃO</v>
      </c>
      <c r="I561" t="str">
        <f t="shared" si="51"/>
        <v>FARINELLI NUTRIMENTOS LTDA</v>
      </c>
      <c r="J561">
        <f t="shared" si="52"/>
        <v>1</v>
      </c>
      <c r="K561">
        <f t="shared" si="53"/>
        <v>0</v>
      </c>
    </row>
    <row r="562" spans="1:11" x14ac:dyDescent="0.25">
      <c r="A562" t="s">
        <v>418</v>
      </c>
      <c r="B562" t="s">
        <v>168</v>
      </c>
      <c r="C562" t="s">
        <v>50</v>
      </c>
      <c r="D562" s="3">
        <v>45596</v>
      </c>
      <c r="E562" t="str">
        <f>VLOOKUP(B562,'PROCV GERENTES BD'!A:B,2,0)</f>
        <v>ADMINISTRAÇÃO</v>
      </c>
      <c r="F562" s="4" t="str">
        <f t="shared" si="48"/>
        <v>2024-10</v>
      </c>
      <c r="G562" s="18">
        <f t="shared" si="49"/>
        <v>44</v>
      </c>
      <c r="H562" t="str">
        <f t="shared" si="50"/>
        <v>ADMINISTRAÇÃO</v>
      </c>
      <c r="I562" t="str">
        <f t="shared" si="51"/>
        <v>MAAT COMERCIO DE VESTUARIO LTDA EPP</v>
      </c>
      <c r="J562">
        <f t="shared" si="52"/>
        <v>0</v>
      </c>
      <c r="K562">
        <f t="shared" si="53"/>
        <v>1</v>
      </c>
    </row>
    <row r="563" spans="1:11" x14ac:dyDescent="0.25">
      <c r="A563" t="s">
        <v>422</v>
      </c>
      <c r="B563" t="s">
        <v>173</v>
      </c>
      <c r="C563" t="s">
        <v>50</v>
      </c>
      <c r="D563" s="3">
        <v>45596</v>
      </c>
      <c r="E563" t="str">
        <f>VLOOKUP(B563,'PROCV GERENTES BD'!A:B,2,0)</f>
        <v>NOELI SALETE</v>
      </c>
      <c r="F563" s="4" t="str">
        <f t="shared" si="48"/>
        <v>2024-10</v>
      </c>
      <c r="G563" s="18">
        <f t="shared" si="49"/>
        <v>44</v>
      </c>
      <c r="H563" t="str">
        <f t="shared" si="50"/>
        <v>NOELI SALETE</v>
      </c>
      <c r="I563" t="str">
        <f t="shared" si="51"/>
        <v>COMGROUP AGROINDUSTRIAL LTDA</v>
      </c>
      <c r="J563">
        <f t="shared" si="52"/>
        <v>0</v>
      </c>
      <c r="K563">
        <f t="shared" si="53"/>
        <v>1</v>
      </c>
    </row>
    <row r="564" spans="1:11" x14ac:dyDescent="0.25">
      <c r="A564" t="s">
        <v>407</v>
      </c>
      <c r="B564" t="s">
        <v>157</v>
      </c>
      <c r="C564" t="s">
        <v>50</v>
      </c>
      <c r="D564" s="3">
        <v>45596</v>
      </c>
      <c r="E564" t="str">
        <f>VLOOKUP(B564,'PROCV GERENTES BD'!A:B,2,0)</f>
        <v>NOELI SALETE</v>
      </c>
      <c r="F564" s="4" t="str">
        <f t="shared" si="48"/>
        <v>2024-10</v>
      </c>
      <c r="G564" s="18">
        <f t="shared" si="49"/>
        <v>44</v>
      </c>
      <c r="H564" t="str">
        <f t="shared" si="50"/>
        <v>NOELI SALETE</v>
      </c>
      <c r="I564" t="str">
        <f t="shared" si="51"/>
        <v>SGAMAQ INOVACAO AGROINDUSTRIAL LTDA</v>
      </c>
      <c r="J564">
        <f t="shared" si="52"/>
        <v>0</v>
      </c>
      <c r="K564">
        <f t="shared" si="53"/>
        <v>1</v>
      </c>
    </row>
    <row r="565" spans="1:11" x14ac:dyDescent="0.25">
      <c r="A565" t="s">
        <v>370</v>
      </c>
      <c r="B565" t="s">
        <v>114</v>
      </c>
      <c r="C565" t="s">
        <v>66</v>
      </c>
      <c r="D565" s="3">
        <v>45596</v>
      </c>
      <c r="E565" t="str">
        <f>VLOOKUP(B565,'PROCV GERENTES BD'!A:B,2,0)</f>
        <v>POENATELA</v>
      </c>
      <c r="F565" s="4" t="str">
        <f t="shared" si="48"/>
        <v>2024-10</v>
      </c>
      <c r="G565" s="18">
        <f t="shared" si="49"/>
        <v>44</v>
      </c>
      <c r="H565" t="str">
        <f t="shared" si="50"/>
        <v>POENATELA</v>
      </c>
      <c r="I565" t="str">
        <f t="shared" si="51"/>
        <v>COOPERATIVA TRANSP AUTON CARGAS PASSAG SERVICOS LO</v>
      </c>
      <c r="J565">
        <f t="shared" si="52"/>
        <v>1</v>
      </c>
      <c r="K565">
        <f t="shared" si="53"/>
        <v>0</v>
      </c>
    </row>
    <row r="566" spans="1:11" x14ac:dyDescent="0.25">
      <c r="A566" t="s">
        <v>386</v>
      </c>
      <c r="B566" t="s">
        <v>133</v>
      </c>
      <c r="C566" t="s">
        <v>327</v>
      </c>
      <c r="D566" s="3">
        <v>45596</v>
      </c>
      <c r="E566" t="str">
        <f>VLOOKUP(B566,'PROCV GERENTES BD'!A:B,2,0)</f>
        <v>POENATELA</v>
      </c>
      <c r="F566" s="4" t="str">
        <f t="shared" si="48"/>
        <v>2024-10</v>
      </c>
      <c r="G566" s="18">
        <f t="shared" si="49"/>
        <v>44</v>
      </c>
      <c r="H566" t="str">
        <f t="shared" si="50"/>
        <v>POENATELA</v>
      </c>
      <c r="I566" t="str">
        <f t="shared" si="51"/>
        <v>HT SERVICOS DE TRANSPORTE E LOCACAO LTDA</v>
      </c>
      <c r="J566">
        <f t="shared" si="52"/>
        <v>0</v>
      </c>
      <c r="K566">
        <f t="shared" si="53"/>
        <v>0</v>
      </c>
    </row>
    <row r="567" spans="1:11" x14ac:dyDescent="0.25">
      <c r="A567" t="s">
        <v>386</v>
      </c>
      <c r="B567" t="s">
        <v>133</v>
      </c>
      <c r="C567" t="s">
        <v>329</v>
      </c>
      <c r="D567" s="3">
        <v>45596</v>
      </c>
      <c r="E567" t="str">
        <f>VLOOKUP(B567,'PROCV GERENTES BD'!A:B,2,0)</f>
        <v>POENATELA</v>
      </c>
      <c r="F567" s="4" t="str">
        <f t="shared" si="48"/>
        <v>2024-10</v>
      </c>
      <c r="G567" s="18">
        <f t="shared" si="49"/>
        <v>44</v>
      </c>
      <c r="H567" t="str">
        <f t="shared" si="50"/>
        <v>POENATELA</v>
      </c>
      <c r="I567" t="str">
        <f t="shared" si="51"/>
        <v>HT SERVICOS DE TRANSPORTE E LOCACAO LTDA</v>
      </c>
      <c r="J567">
        <f t="shared" si="52"/>
        <v>0</v>
      </c>
      <c r="K567">
        <f t="shared" si="53"/>
        <v>0</v>
      </c>
    </row>
    <row r="568" spans="1:11" x14ac:dyDescent="0.25">
      <c r="A568" t="s">
        <v>346</v>
      </c>
      <c r="B568" t="s">
        <v>91</v>
      </c>
      <c r="C568" t="s">
        <v>50</v>
      </c>
      <c r="D568" s="3">
        <v>45596</v>
      </c>
      <c r="E568" t="str">
        <f>VLOOKUP(B568,'PROCV GERENTES BD'!A:B,2,0)</f>
        <v>POENATELA</v>
      </c>
      <c r="F568" s="4" t="str">
        <f t="shared" si="48"/>
        <v>2024-10</v>
      </c>
      <c r="G568" s="18">
        <f t="shared" si="49"/>
        <v>44</v>
      </c>
      <c r="H568" t="str">
        <f t="shared" si="50"/>
        <v>POENATELA</v>
      </c>
      <c r="I568" t="str">
        <f t="shared" si="51"/>
        <v>UBERTEC SERVICE USINAGEM LTDA EPP</v>
      </c>
      <c r="J568">
        <f t="shared" si="52"/>
        <v>0</v>
      </c>
      <c r="K568">
        <f t="shared" si="53"/>
        <v>1</v>
      </c>
    </row>
    <row r="569" spans="1:11" x14ac:dyDescent="0.25">
      <c r="A569" t="s">
        <v>353</v>
      </c>
      <c r="B569" t="s">
        <v>97</v>
      </c>
      <c r="C569" t="s">
        <v>50</v>
      </c>
      <c r="D569" s="3">
        <v>45596</v>
      </c>
      <c r="E569" t="str">
        <f>VLOOKUP(B569,'PROCV GERENTES BD'!A:B,2,0)</f>
        <v>PRISCILA METZ</v>
      </c>
      <c r="F569" s="4" t="str">
        <f t="shared" si="48"/>
        <v>2024-10</v>
      </c>
      <c r="G569" s="18">
        <f t="shared" si="49"/>
        <v>44</v>
      </c>
      <c r="H569" t="str">
        <f t="shared" si="50"/>
        <v>PRISCILA METZ</v>
      </c>
      <c r="I569" t="str">
        <f t="shared" si="51"/>
        <v>ESSENZA INDUSTRIA QUIMICA LTDA</v>
      </c>
      <c r="J569">
        <f t="shared" si="52"/>
        <v>0</v>
      </c>
      <c r="K569">
        <f t="shared" si="53"/>
        <v>1</v>
      </c>
    </row>
    <row r="570" spans="1:11" x14ac:dyDescent="0.25">
      <c r="A570" t="s">
        <v>424</v>
      </c>
      <c r="B570" t="s">
        <v>175</v>
      </c>
      <c r="C570" t="s">
        <v>327</v>
      </c>
      <c r="D570" s="3">
        <v>45596</v>
      </c>
      <c r="E570" t="str">
        <f>VLOOKUP(B570,'PROCV GERENTES BD'!A:B,2,0)</f>
        <v>RAFAEL PARISE</v>
      </c>
      <c r="F570" s="4" t="str">
        <f t="shared" si="48"/>
        <v>2024-10</v>
      </c>
      <c r="G570" s="18">
        <f t="shared" si="49"/>
        <v>44</v>
      </c>
      <c r="H570" t="str">
        <f t="shared" si="50"/>
        <v>RAFAEL PARISE</v>
      </c>
      <c r="I570" t="str">
        <f t="shared" si="51"/>
        <v>AGROINDUSTRIA FRUTAS JARDINS LTDA</v>
      </c>
      <c r="J570">
        <f t="shared" si="52"/>
        <v>0</v>
      </c>
      <c r="K570">
        <f t="shared" si="53"/>
        <v>0</v>
      </c>
    </row>
    <row r="571" spans="1:11" x14ac:dyDescent="0.25">
      <c r="A571" t="s">
        <v>331</v>
      </c>
      <c r="B571" t="s">
        <v>144</v>
      </c>
      <c r="C571" t="s">
        <v>66</v>
      </c>
      <c r="D571" s="3">
        <v>45597</v>
      </c>
      <c r="E571" t="str">
        <f>VLOOKUP(B571,'PROCV GERENTES BD'!A:B,2,0)</f>
        <v>ADMINISTRAÇÃO</v>
      </c>
      <c r="F571" s="4" t="str">
        <f t="shared" si="48"/>
        <v>2024-11</v>
      </c>
      <c r="G571" s="18">
        <f t="shared" si="49"/>
        <v>44</v>
      </c>
      <c r="H571" t="str">
        <f t="shared" si="50"/>
        <v>ADMINISTRAÇÃO</v>
      </c>
      <c r="I571" t="str">
        <f t="shared" si="51"/>
        <v>BOM PASTOR PAPEIS LTDA EM RECUPERACAO JUDICIAL</v>
      </c>
      <c r="J571">
        <f t="shared" si="52"/>
        <v>1</v>
      </c>
      <c r="K571">
        <f t="shared" si="53"/>
        <v>0</v>
      </c>
    </row>
    <row r="572" spans="1:11" x14ac:dyDescent="0.25">
      <c r="A572" t="s">
        <v>380</v>
      </c>
      <c r="B572" t="s">
        <v>127</v>
      </c>
      <c r="C572" t="s">
        <v>66</v>
      </c>
      <c r="D572" s="3">
        <v>45597</v>
      </c>
      <c r="E572" t="str">
        <f>VLOOKUP(B572,'PROCV GERENTES BD'!A:B,2,0)</f>
        <v>ADMINISTRAÇÃO</v>
      </c>
      <c r="F572" s="4" t="str">
        <f t="shared" si="48"/>
        <v>2024-11</v>
      </c>
      <c r="G572" s="18">
        <f t="shared" si="49"/>
        <v>44</v>
      </c>
      <c r="H572" t="str">
        <f t="shared" si="50"/>
        <v>ADMINISTRAÇÃO</v>
      </c>
      <c r="I572" t="str">
        <f t="shared" si="51"/>
        <v>MG CONSULT DIST LTDA EPP</v>
      </c>
      <c r="J572">
        <f t="shared" si="52"/>
        <v>1</v>
      </c>
      <c r="K572">
        <f t="shared" si="53"/>
        <v>0</v>
      </c>
    </row>
    <row r="573" spans="1:11" x14ac:dyDescent="0.25">
      <c r="A573" t="s">
        <v>311</v>
      </c>
      <c r="B573" t="s">
        <v>81</v>
      </c>
      <c r="C573" t="s">
        <v>66</v>
      </c>
      <c r="D573" s="3">
        <v>45597</v>
      </c>
      <c r="E573" t="str">
        <f>VLOOKUP(B573,'PROCV GERENTES BD'!A:B,2,0)</f>
        <v>CELIO PIMENTA</v>
      </c>
      <c r="F573" s="4" t="str">
        <f t="shared" si="48"/>
        <v>2024-11</v>
      </c>
      <c r="G573" s="18">
        <f t="shared" si="49"/>
        <v>44</v>
      </c>
      <c r="H573" t="str">
        <f t="shared" si="50"/>
        <v>CELIO PIMENTA</v>
      </c>
      <c r="I573" t="str">
        <f t="shared" si="51"/>
        <v>MBIOLOG DIAGNOSTICOS LTDA</v>
      </c>
      <c r="J573">
        <f t="shared" si="52"/>
        <v>1</v>
      </c>
      <c r="K573">
        <f t="shared" si="53"/>
        <v>0</v>
      </c>
    </row>
    <row r="574" spans="1:11" x14ac:dyDescent="0.25">
      <c r="A574" t="s">
        <v>54</v>
      </c>
      <c r="B574" t="s">
        <v>55</v>
      </c>
      <c r="C574" t="s">
        <v>50</v>
      </c>
      <c r="D574" s="3">
        <v>45597</v>
      </c>
      <c r="E574" t="str">
        <f>VLOOKUP(B574,'PROCV GERENTES BD'!A:B,2,0)</f>
        <v>CELIO PIMENTA</v>
      </c>
      <c r="F574" s="4" t="str">
        <f t="shared" si="48"/>
        <v>2024-11</v>
      </c>
      <c r="G574" s="18">
        <f t="shared" si="49"/>
        <v>44</v>
      </c>
      <c r="H574" t="str">
        <f t="shared" si="50"/>
        <v>CELIO PIMENTA</v>
      </c>
      <c r="I574" t="str">
        <f t="shared" si="51"/>
        <v>WJ CALDEIRARIA INDUSTRIA E COMERCIO LTDA ME</v>
      </c>
      <c r="J574">
        <f t="shared" si="52"/>
        <v>0</v>
      </c>
      <c r="K574">
        <f t="shared" si="53"/>
        <v>1</v>
      </c>
    </row>
    <row r="575" spans="1:11" x14ac:dyDescent="0.25">
      <c r="A575" t="s">
        <v>359</v>
      </c>
      <c r="B575" t="s">
        <v>105</v>
      </c>
      <c r="C575" t="s">
        <v>66</v>
      </c>
      <c r="D575" s="3">
        <v>45597</v>
      </c>
      <c r="E575" t="str">
        <f>VLOOKUP(B575,'PROCV GERENTES BD'!A:B,2,0)</f>
        <v>PROSPECTAR</v>
      </c>
      <c r="F575" s="4" t="str">
        <f t="shared" si="48"/>
        <v>2024-11</v>
      </c>
      <c r="G575" s="18">
        <f t="shared" si="49"/>
        <v>44</v>
      </c>
      <c r="H575" t="str">
        <f t="shared" si="50"/>
        <v>PROSPECTAR</v>
      </c>
      <c r="I575" t="str">
        <f t="shared" si="51"/>
        <v>ALEXANDRE ROSA VICENTE E SERVICOS LTDA ME</v>
      </c>
      <c r="J575">
        <f t="shared" si="52"/>
        <v>1</v>
      </c>
      <c r="K575">
        <f t="shared" si="53"/>
        <v>0</v>
      </c>
    </row>
    <row r="576" spans="1:11" x14ac:dyDescent="0.25">
      <c r="A576" t="s">
        <v>418</v>
      </c>
      <c r="B576" t="s">
        <v>168</v>
      </c>
      <c r="C576" t="s">
        <v>50</v>
      </c>
      <c r="D576" s="3">
        <v>45597</v>
      </c>
      <c r="E576" t="str">
        <f>VLOOKUP(B576,'PROCV GERENTES BD'!A:B,2,0)</f>
        <v>ADMINISTRAÇÃO</v>
      </c>
      <c r="F576" s="4" t="str">
        <f t="shared" si="48"/>
        <v>2024-11</v>
      </c>
      <c r="G576" s="18">
        <f t="shared" si="49"/>
        <v>44</v>
      </c>
      <c r="H576" t="str">
        <f t="shared" si="50"/>
        <v>ADMINISTRAÇÃO</v>
      </c>
      <c r="I576" t="str">
        <f t="shared" si="51"/>
        <v>MAAT COMERCIO DE VESTUARIO LTDA EPP</v>
      </c>
      <c r="J576">
        <f t="shared" si="52"/>
        <v>0</v>
      </c>
      <c r="K576">
        <f t="shared" si="53"/>
        <v>1</v>
      </c>
    </row>
    <row r="577" spans="1:11" x14ac:dyDescent="0.25">
      <c r="A577" t="s">
        <v>339</v>
      </c>
      <c r="B577" t="s">
        <v>87</v>
      </c>
      <c r="C577" t="s">
        <v>50</v>
      </c>
      <c r="D577" s="3">
        <v>45597</v>
      </c>
      <c r="E577" t="str">
        <f>VLOOKUP(B577,'PROCV GERENTES BD'!A:B,2,0)</f>
        <v>NOELI SALETE</v>
      </c>
      <c r="F577" s="4" t="str">
        <f t="shared" si="48"/>
        <v>2024-11</v>
      </c>
      <c r="G577" s="18">
        <f t="shared" si="49"/>
        <v>44</v>
      </c>
      <c r="H577" t="str">
        <f t="shared" si="50"/>
        <v>NOELI SALETE</v>
      </c>
      <c r="I577" t="str">
        <f t="shared" si="51"/>
        <v>RODOBOX TRANSPORTES E ARMAZENAGEM DE CARGAS LTDA</v>
      </c>
      <c r="J577">
        <f t="shared" si="52"/>
        <v>0</v>
      </c>
      <c r="K577">
        <f t="shared" si="53"/>
        <v>1</v>
      </c>
    </row>
    <row r="578" spans="1:11" x14ac:dyDescent="0.25">
      <c r="A578" t="s">
        <v>340</v>
      </c>
      <c r="B578" t="s">
        <v>86</v>
      </c>
      <c r="C578" t="s">
        <v>66</v>
      </c>
      <c r="D578" s="3">
        <v>45597</v>
      </c>
      <c r="E578" t="str">
        <f>VLOOKUP(B578,'PROCV GERENTES BD'!A:B,2,0)</f>
        <v>NOELI SALETE</v>
      </c>
      <c r="F578" s="4" t="str">
        <f t="shared" ref="F578:F641" si="54">YEAR(D578)&amp;"-"&amp;TEXT(MONTH(D578),"00")</f>
        <v>2024-11</v>
      </c>
      <c r="G578" s="18">
        <f t="shared" ref="G578:G641" si="55">WEEKNUM(D578)</f>
        <v>44</v>
      </c>
      <c r="H578" t="str">
        <f t="shared" ref="H578:H641" si="56">E578</f>
        <v>NOELI SALETE</v>
      </c>
      <c r="I578" t="str">
        <f t="shared" ref="I578:I641" si="57">B578</f>
        <v>MEIO OESTE PAPEIS LTDA ME</v>
      </c>
      <c r="J578">
        <f t="shared" ref="J578:J641" si="58">IF(OR(C578="EXCLUSAO  ANOT.INADIMPLENCIA",C578="INCL/EXCL ANOT.INADIMPLENCIA"),1,0)</f>
        <v>1</v>
      </c>
      <c r="K578">
        <f t="shared" ref="K578:K641" si="59">IF(OR(C578="INCLUSAO  ANOT.INADIMPLENCIA",C578="INCL/EXCL ANOT.INADIMPLENCIA"),1,0)</f>
        <v>0</v>
      </c>
    </row>
    <row r="579" spans="1:11" x14ac:dyDescent="0.25">
      <c r="A579" t="s">
        <v>400</v>
      </c>
      <c r="B579" t="s">
        <v>150</v>
      </c>
      <c r="C579" t="s">
        <v>50</v>
      </c>
      <c r="D579" s="3">
        <v>45597</v>
      </c>
      <c r="E579" t="str">
        <f>VLOOKUP(B579,'PROCV GERENTES BD'!A:B,2,0)</f>
        <v>NOELI SALETE</v>
      </c>
      <c r="F579" s="4" t="str">
        <f t="shared" si="54"/>
        <v>2024-11</v>
      </c>
      <c r="G579" s="18">
        <f t="shared" si="55"/>
        <v>44</v>
      </c>
      <c r="H579" t="str">
        <f t="shared" si="56"/>
        <v>NOELI SALETE</v>
      </c>
      <c r="I579" t="str">
        <f t="shared" si="57"/>
        <v>POOLMAK SISTEMAS ESTRUTURAIS LTDA</v>
      </c>
      <c r="J579">
        <f t="shared" si="58"/>
        <v>0</v>
      </c>
      <c r="K579">
        <f t="shared" si="59"/>
        <v>1</v>
      </c>
    </row>
    <row r="580" spans="1:11" x14ac:dyDescent="0.25">
      <c r="A580" t="s">
        <v>407</v>
      </c>
      <c r="B580" t="s">
        <v>157</v>
      </c>
      <c r="C580" t="s">
        <v>50</v>
      </c>
      <c r="D580" s="3">
        <v>45597</v>
      </c>
      <c r="E580" t="str">
        <f>VLOOKUP(B580,'PROCV GERENTES BD'!A:B,2,0)</f>
        <v>NOELI SALETE</v>
      </c>
      <c r="F580" s="4" t="str">
        <f t="shared" si="54"/>
        <v>2024-11</v>
      </c>
      <c r="G580" s="18">
        <f t="shared" si="55"/>
        <v>44</v>
      </c>
      <c r="H580" t="str">
        <f t="shared" si="56"/>
        <v>NOELI SALETE</v>
      </c>
      <c r="I580" t="str">
        <f t="shared" si="57"/>
        <v>SGAMAQ INOVACAO AGROINDUSTRIAL LTDA</v>
      </c>
      <c r="J580">
        <f t="shared" si="58"/>
        <v>0</v>
      </c>
      <c r="K580">
        <f t="shared" si="59"/>
        <v>1</v>
      </c>
    </row>
    <row r="581" spans="1:11" x14ac:dyDescent="0.25">
      <c r="A581" t="s">
        <v>346</v>
      </c>
      <c r="B581" t="s">
        <v>91</v>
      </c>
      <c r="C581" t="s">
        <v>50</v>
      </c>
      <c r="D581" s="3">
        <v>45597</v>
      </c>
      <c r="E581" t="str">
        <f>VLOOKUP(B581,'PROCV GERENTES BD'!A:B,2,0)</f>
        <v>POENATELA</v>
      </c>
      <c r="F581" s="4" t="str">
        <f t="shared" si="54"/>
        <v>2024-11</v>
      </c>
      <c r="G581" s="18">
        <f t="shared" si="55"/>
        <v>44</v>
      </c>
      <c r="H581" t="str">
        <f t="shared" si="56"/>
        <v>POENATELA</v>
      </c>
      <c r="I581" t="str">
        <f t="shared" si="57"/>
        <v>UBERTEC SERVICE USINAGEM LTDA EPP</v>
      </c>
      <c r="J581">
        <f t="shared" si="58"/>
        <v>0</v>
      </c>
      <c r="K581">
        <f t="shared" si="59"/>
        <v>1</v>
      </c>
    </row>
    <row r="582" spans="1:11" x14ac:dyDescent="0.25">
      <c r="A582" t="s">
        <v>353</v>
      </c>
      <c r="B582" t="s">
        <v>97</v>
      </c>
      <c r="C582" t="s">
        <v>66</v>
      </c>
      <c r="D582" s="3">
        <v>45597</v>
      </c>
      <c r="E582" t="str">
        <f>VLOOKUP(B582,'PROCV GERENTES BD'!A:B,2,0)</f>
        <v>PRISCILA METZ</v>
      </c>
      <c r="F582" s="4" t="str">
        <f t="shared" si="54"/>
        <v>2024-11</v>
      </c>
      <c r="G582" s="18">
        <f t="shared" si="55"/>
        <v>44</v>
      </c>
      <c r="H582" t="str">
        <f t="shared" si="56"/>
        <v>PRISCILA METZ</v>
      </c>
      <c r="I582" t="str">
        <f t="shared" si="57"/>
        <v>ESSENZA INDUSTRIA QUIMICA LTDA</v>
      </c>
      <c r="J582">
        <f t="shared" si="58"/>
        <v>1</v>
      </c>
      <c r="K582">
        <f t="shared" si="59"/>
        <v>0</v>
      </c>
    </row>
    <row r="583" spans="1:11" x14ac:dyDescent="0.25">
      <c r="A583" t="s">
        <v>326</v>
      </c>
      <c r="B583" t="s">
        <v>122</v>
      </c>
      <c r="C583" t="s">
        <v>66</v>
      </c>
      <c r="D583" s="3">
        <v>45597</v>
      </c>
      <c r="E583" t="s">
        <v>21</v>
      </c>
      <c r="F583" s="4" t="str">
        <f t="shared" si="54"/>
        <v>2024-11</v>
      </c>
      <c r="G583" s="18">
        <f t="shared" si="55"/>
        <v>44</v>
      </c>
      <c r="H583" t="str">
        <f t="shared" si="56"/>
        <v xml:space="preserve">ROGERIO </v>
      </c>
      <c r="I583" t="str">
        <f t="shared" si="57"/>
        <v>BIBE PRODUTOS INFANTIS LTDA</v>
      </c>
      <c r="J583">
        <f t="shared" si="58"/>
        <v>1</v>
      </c>
      <c r="K583">
        <f t="shared" si="59"/>
        <v>0</v>
      </c>
    </row>
    <row r="584" spans="1:11" x14ac:dyDescent="0.25">
      <c r="A584" t="s">
        <v>431</v>
      </c>
      <c r="B584" t="s">
        <v>182</v>
      </c>
      <c r="C584" t="s">
        <v>50</v>
      </c>
      <c r="D584" s="3">
        <v>45597</v>
      </c>
      <c r="E584" t="s">
        <v>21</v>
      </c>
      <c r="F584" s="4" t="str">
        <f t="shared" si="54"/>
        <v>2024-11</v>
      </c>
      <c r="G584" s="18">
        <f t="shared" si="55"/>
        <v>44</v>
      </c>
      <c r="H584" t="str">
        <f t="shared" si="56"/>
        <v xml:space="preserve">ROGERIO </v>
      </c>
      <c r="I584" t="str">
        <f t="shared" si="57"/>
        <v>GRF JEANS WEAR LTDA ME</v>
      </c>
      <c r="J584">
        <f t="shared" si="58"/>
        <v>0</v>
      </c>
      <c r="K584">
        <f t="shared" si="59"/>
        <v>1</v>
      </c>
    </row>
    <row r="585" spans="1:11" x14ac:dyDescent="0.25">
      <c r="A585" t="s">
        <v>432</v>
      </c>
      <c r="B585" t="s">
        <v>183</v>
      </c>
      <c r="C585" t="s">
        <v>327</v>
      </c>
      <c r="D585" s="3">
        <v>45597</v>
      </c>
      <c r="E585" t="str">
        <f>VLOOKUP(B585,'PROCV GERENTES BD'!A:B,2,0)</f>
        <v>SEM GERENTE</v>
      </c>
      <c r="F585" s="4" t="str">
        <f t="shared" si="54"/>
        <v>2024-11</v>
      </c>
      <c r="G585" s="18">
        <f t="shared" si="55"/>
        <v>44</v>
      </c>
      <c r="H585" t="str">
        <f t="shared" si="56"/>
        <v>SEM GERENTE</v>
      </c>
      <c r="I585" t="str">
        <f t="shared" si="57"/>
        <v>REAL ESTRUTURAS E CONSTRUCOES LTDA</v>
      </c>
      <c r="J585">
        <f t="shared" si="58"/>
        <v>0</v>
      </c>
      <c r="K585">
        <f t="shared" si="59"/>
        <v>0</v>
      </c>
    </row>
    <row r="586" spans="1:11" x14ac:dyDescent="0.25">
      <c r="A586" t="s">
        <v>432</v>
      </c>
      <c r="B586" t="s">
        <v>183</v>
      </c>
      <c r="C586" t="s">
        <v>329</v>
      </c>
      <c r="D586" s="3">
        <v>45597</v>
      </c>
      <c r="E586" t="str">
        <f>VLOOKUP(B586,'PROCV GERENTES BD'!A:B,2,0)</f>
        <v>SEM GERENTE</v>
      </c>
      <c r="F586" s="4" t="str">
        <f t="shared" si="54"/>
        <v>2024-11</v>
      </c>
      <c r="G586" s="18">
        <f t="shared" si="55"/>
        <v>44</v>
      </c>
      <c r="H586" t="str">
        <f t="shared" si="56"/>
        <v>SEM GERENTE</v>
      </c>
      <c r="I586" t="str">
        <f t="shared" si="57"/>
        <v>REAL ESTRUTURAS E CONSTRUCOES LTDA</v>
      </c>
      <c r="J586">
        <f t="shared" si="58"/>
        <v>0</v>
      </c>
      <c r="K586">
        <f t="shared" si="59"/>
        <v>0</v>
      </c>
    </row>
    <row r="587" spans="1:11" x14ac:dyDescent="0.25">
      <c r="A587" t="s">
        <v>319</v>
      </c>
      <c r="B587" t="s">
        <v>80</v>
      </c>
      <c r="C587" t="s">
        <v>50</v>
      </c>
      <c r="D587" s="3">
        <v>45598</v>
      </c>
      <c r="E587" t="str">
        <f>VLOOKUP(B587,'PROCV GERENTES BD'!A:B,2,0)</f>
        <v>CELIO PIMENTA</v>
      </c>
      <c r="F587" s="4" t="str">
        <f t="shared" si="54"/>
        <v>2024-11</v>
      </c>
      <c r="G587" s="18">
        <f t="shared" si="55"/>
        <v>44</v>
      </c>
      <c r="H587" t="str">
        <f t="shared" si="56"/>
        <v>CELIO PIMENTA</v>
      </c>
      <c r="I587" t="str">
        <f t="shared" si="57"/>
        <v>IMPORTEXTIL COMERCIO DE TECIDOS LTDA</v>
      </c>
      <c r="J587">
        <f t="shared" si="58"/>
        <v>0</v>
      </c>
      <c r="K587">
        <f t="shared" si="59"/>
        <v>1</v>
      </c>
    </row>
    <row r="588" spans="1:11" x14ac:dyDescent="0.25">
      <c r="A588" t="s">
        <v>358</v>
      </c>
      <c r="B588" t="s">
        <v>104</v>
      </c>
      <c r="C588" t="s">
        <v>66</v>
      </c>
      <c r="D588" s="3">
        <v>45598</v>
      </c>
      <c r="E588" t="str">
        <f>VLOOKUP(B588,'PROCV GERENTES BD'!A:B,2,0)</f>
        <v>DIOGO AZEVEDO</v>
      </c>
      <c r="F588" s="4" t="str">
        <f t="shared" si="54"/>
        <v>2024-11</v>
      </c>
      <c r="G588" s="18">
        <f t="shared" si="55"/>
        <v>44</v>
      </c>
      <c r="H588" t="str">
        <f t="shared" si="56"/>
        <v>DIOGO AZEVEDO</v>
      </c>
      <c r="I588" t="str">
        <f t="shared" si="57"/>
        <v>INDUSTRIA E CERVEJARIA ARTESANAL DE MINAS GERAIS L</v>
      </c>
      <c r="J588">
        <f t="shared" si="58"/>
        <v>1</v>
      </c>
      <c r="K588">
        <f t="shared" si="59"/>
        <v>0</v>
      </c>
    </row>
    <row r="589" spans="1:11" x14ac:dyDescent="0.25">
      <c r="A589" t="s">
        <v>385</v>
      </c>
      <c r="B589" t="s">
        <v>132</v>
      </c>
      <c r="C589" t="s">
        <v>50</v>
      </c>
      <c r="D589" s="3">
        <v>45598</v>
      </c>
      <c r="E589" t="str">
        <f>VLOOKUP(B589,'PROCV GERENTES BD'!A:B,2,0)</f>
        <v xml:space="preserve">MARCUS VINICIUS </v>
      </c>
      <c r="F589" s="4" t="str">
        <f t="shared" si="54"/>
        <v>2024-11</v>
      </c>
      <c r="G589" s="18">
        <f t="shared" si="55"/>
        <v>44</v>
      </c>
      <c r="H589" t="str">
        <f t="shared" si="56"/>
        <v xml:space="preserve">MARCUS VINICIUS </v>
      </c>
      <c r="I589" t="str">
        <f t="shared" si="57"/>
        <v>RODOANEL REFORMADORA DE IMPLEMENTOS RODOVIARIOS LT</v>
      </c>
      <c r="J589">
        <f t="shared" si="58"/>
        <v>0</v>
      </c>
      <c r="K589">
        <f t="shared" si="59"/>
        <v>1</v>
      </c>
    </row>
    <row r="590" spans="1:11" x14ac:dyDescent="0.25">
      <c r="A590" t="s">
        <v>422</v>
      </c>
      <c r="B590" t="s">
        <v>173</v>
      </c>
      <c r="C590" t="s">
        <v>50</v>
      </c>
      <c r="D590" s="3">
        <v>45598</v>
      </c>
      <c r="E590" t="str">
        <f>VLOOKUP(B590,'PROCV GERENTES BD'!A:B,2,0)</f>
        <v>NOELI SALETE</v>
      </c>
      <c r="F590" s="4" t="str">
        <f t="shared" si="54"/>
        <v>2024-11</v>
      </c>
      <c r="G590" s="18">
        <f t="shared" si="55"/>
        <v>44</v>
      </c>
      <c r="H590" t="str">
        <f t="shared" si="56"/>
        <v>NOELI SALETE</v>
      </c>
      <c r="I590" t="str">
        <f t="shared" si="57"/>
        <v>COMGROUP AGROINDUSTRIAL LTDA</v>
      </c>
      <c r="J590">
        <f t="shared" si="58"/>
        <v>0</v>
      </c>
      <c r="K590">
        <f t="shared" si="59"/>
        <v>1</v>
      </c>
    </row>
    <row r="591" spans="1:11" x14ac:dyDescent="0.25">
      <c r="A591" t="s">
        <v>419</v>
      </c>
      <c r="B591" t="s">
        <v>169</v>
      </c>
      <c r="C591" t="s">
        <v>50</v>
      </c>
      <c r="D591" s="3">
        <v>45598</v>
      </c>
      <c r="E591" t="str">
        <f>VLOOKUP(B591,'PROCV GERENTES BD'!A:B,2,0)</f>
        <v>NOELI SALETE</v>
      </c>
      <c r="F591" s="4" t="str">
        <f t="shared" si="54"/>
        <v>2024-11</v>
      </c>
      <c r="G591" s="18">
        <f t="shared" si="55"/>
        <v>44</v>
      </c>
      <c r="H591" t="str">
        <f t="shared" si="56"/>
        <v>NOELI SALETE</v>
      </c>
      <c r="I591" t="str">
        <f t="shared" si="57"/>
        <v>GLOBAL ACO SERVICOS E PRODUTOS SIDERURGICOS LTDA E</v>
      </c>
      <c r="J591">
        <f t="shared" si="58"/>
        <v>0</v>
      </c>
      <c r="K591">
        <f t="shared" si="59"/>
        <v>1</v>
      </c>
    </row>
    <row r="592" spans="1:11" x14ac:dyDescent="0.25">
      <c r="A592" t="s">
        <v>339</v>
      </c>
      <c r="B592" t="s">
        <v>87</v>
      </c>
      <c r="C592" t="s">
        <v>53</v>
      </c>
      <c r="D592" s="3">
        <v>45598</v>
      </c>
      <c r="E592" t="str">
        <f>VLOOKUP(B592,'PROCV GERENTES BD'!A:B,2,0)</f>
        <v>NOELI SALETE</v>
      </c>
      <c r="F592" s="4" t="str">
        <f t="shared" si="54"/>
        <v>2024-11</v>
      </c>
      <c r="G592" s="18">
        <f t="shared" si="55"/>
        <v>44</v>
      </c>
      <c r="H592" t="str">
        <f t="shared" si="56"/>
        <v>NOELI SALETE</v>
      </c>
      <c r="I592" t="str">
        <f t="shared" si="57"/>
        <v>RODOBOX TRANSPORTES E ARMAZENAGEM DE CARGAS LTDA</v>
      </c>
      <c r="J592">
        <f t="shared" si="58"/>
        <v>1</v>
      </c>
      <c r="K592">
        <f t="shared" si="59"/>
        <v>1</v>
      </c>
    </row>
    <row r="593" spans="1:11" x14ac:dyDescent="0.25">
      <c r="A593" t="s">
        <v>346</v>
      </c>
      <c r="B593" t="s">
        <v>91</v>
      </c>
      <c r="C593" t="s">
        <v>53</v>
      </c>
      <c r="D593" s="3">
        <v>45598</v>
      </c>
      <c r="E593" t="str">
        <f>VLOOKUP(B593,'PROCV GERENTES BD'!A:B,2,0)</f>
        <v>POENATELA</v>
      </c>
      <c r="F593" s="4" t="str">
        <f t="shared" si="54"/>
        <v>2024-11</v>
      </c>
      <c r="G593" s="18">
        <f t="shared" si="55"/>
        <v>44</v>
      </c>
      <c r="H593" t="str">
        <f t="shared" si="56"/>
        <v>POENATELA</v>
      </c>
      <c r="I593" t="str">
        <f t="shared" si="57"/>
        <v>UBERTEC SERVICE USINAGEM LTDA EPP</v>
      </c>
      <c r="J593">
        <f t="shared" si="58"/>
        <v>1</v>
      </c>
      <c r="K593">
        <f t="shared" si="59"/>
        <v>1</v>
      </c>
    </row>
    <row r="594" spans="1:11" x14ac:dyDescent="0.25">
      <c r="A594" t="s">
        <v>376</v>
      </c>
      <c r="B594" t="s">
        <v>121</v>
      </c>
      <c r="C594" t="s">
        <v>50</v>
      </c>
      <c r="D594" s="3">
        <v>45598</v>
      </c>
      <c r="E594" t="str">
        <f>VLOOKUP(B594,'PROCV GERENTES BD'!A:B,2,0)</f>
        <v>PRISCILA METZ</v>
      </c>
      <c r="F594" s="4" t="str">
        <f t="shared" si="54"/>
        <v>2024-11</v>
      </c>
      <c r="G594" s="18">
        <f t="shared" si="55"/>
        <v>44</v>
      </c>
      <c r="H594" t="str">
        <f t="shared" si="56"/>
        <v>PRISCILA METZ</v>
      </c>
      <c r="I594" t="str">
        <f t="shared" si="57"/>
        <v>NOVA DISTRIBUIDORA E ATACADO DE LIMPEZA LTDA</v>
      </c>
      <c r="J594">
        <f t="shared" si="58"/>
        <v>0</v>
      </c>
      <c r="K594">
        <f t="shared" si="59"/>
        <v>1</v>
      </c>
    </row>
    <row r="595" spans="1:11" x14ac:dyDescent="0.25">
      <c r="A595" t="s">
        <v>348</v>
      </c>
      <c r="B595" t="s">
        <v>93</v>
      </c>
      <c r="C595" t="s">
        <v>53</v>
      </c>
      <c r="D595" s="3">
        <v>45598</v>
      </c>
      <c r="E595" t="str">
        <f>VLOOKUP(B595,'PROCV GERENTES BD'!A:B,2,0)</f>
        <v>WHELKYA IRIS</v>
      </c>
      <c r="F595" s="4" t="str">
        <f t="shared" si="54"/>
        <v>2024-11</v>
      </c>
      <c r="G595" s="18">
        <f t="shared" si="55"/>
        <v>44</v>
      </c>
      <c r="H595" t="str">
        <f t="shared" si="56"/>
        <v>WHELKYA IRIS</v>
      </c>
      <c r="I595" t="str">
        <f t="shared" si="57"/>
        <v>DIVINA INDUSTRIA DE COURO LTDA</v>
      </c>
      <c r="J595">
        <f t="shared" si="58"/>
        <v>1</v>
      </c>
      <c r="K595">
        <f t="shared" si="59"/>
        <v>1</v>
      </c>
    </row>
    <row r="596" spans="1:11" x14ac:dyDescent="0.25">
      <c r="A596" t="s">
        <v>372</v>
      </c>
      <c r="B596" t="s">
        <v>116</v>
      </c>
      <c r="C596" t="s">
        <v>50</v>
      </c>
      <c r="D596" s="3">
        <v>45601</v>
      </c>
      <c r="E596" t="str">
        <f>VLOOKUP(B596,'PROCV GERENTES BD'!A:B,2,0)</f>
        <v>ADMINISTRAÇÃO</v>
      </c>
      <c r="F596" s="4" t="str">
        <f t="shared" si="54"/>
        <v>2024-11</v>
      </c>
      <c r="G596" s="18">
        <f t="shared" si="55"/>
        <v>45</v>
      </c>
      <c r="H596" t="str">
        <f t="shared" si="56"/>
        <v>ADMINISTRAÇÃO</v>
      </c>
      <c r="I596" t="str">
        <f t="shared" si="57"/>
        <v>PREMOLDADOS MATOSINHOS LTDA EPP</v>
      </c>
      <c r="J596">
        <f t="shared" si="58"/>
        <v>0</v>
      </c>
      <c r="K596">
        <f t="shared" si="59"/>
        <v>1</v>
      </c>
    </row>
    <row r="597" spans="1:11" x14ac:dyDescent="0.25">
      <c r="A597" t="s">
        <v>304</v>
      </c>
      <c r="B597" t="s">
        <v>123</v>
      </c>
      <c r="C597" t="s">
        <v>66</v>
      </c>
      <c r="D597" s="3">
        <v>45601</v>
      </c>
      <c r="E597" t="str">
        <f>VLOOKUP(B597,'PROCV GERENTES BD'!A:B,2,0)</f>
        <v>ADMINISTRAÇÃO</v>
      </c>
      <c r="F597" s="4" t="str">
        <f t="shared" si="54"/>
        <v>2024-11</v>
      </c>
      <c r="G597" s="18">
        <f t="shared" si="55"/>
        <v>45</v>
      </c>
      <c r="H597" t="str">
        <f t="shared" si="56"/>
        <v>ADMINISTRAÇÃO</v>
      </c>
      <c r="I597" t="str">
        <f t="shared" si="57"/>
        <v>VIC LOGISTICA LTDA EM RECUPERACAO JUDICIAL</v>
      </c>
      <c r="J597">
        <f t="shared" si="58"/>
        <v>1</v>
      </c>
      <c r="K597">
        <f t="shared" si="59"/>
        <v>0</v>
      </c>
    </row>
    <row r="598" spans="1:11" x14ac:dyDescent="0.25">
      <c r="A598" t="s">
        <v>319</v>
      </c>
      <c r="B598" t="s">
        <v>80</v>
      </c>
      <c r="C598" t="s">
        <v>50</v>
      </c>
      <c r="D598" s="3">
        <v>45601</v>
      </c>
      <c r="E598" t="str">
        <f>VLOOKUP(B598,'PROCV GERENTES BD'!A:B,2,0)</f>
        <v>CELIO PIMENTA</v>
      </c>
      <c r="F598" s="4" t="str">
        <f t="shared" si="54"/>
        <v>2024-11</v>
      </c>
      <c r="G598" s="18">
        <f t="shared" si="55"/>
        <v>45</v>
      </c>
      <c r="H598" t="str">
        <f t="shared" si="56"/>
        <v>CELIO PIMENTA</v>
      </c>
      <c r="I598" t="str">
        <f t="shared" si="57"/>
        <v>IMPORTEXTIL COMERCIO DE TECIDOS LTDA</v>
      </c>
      <c r="J598">
        <f t="shared" si="58"/>
        <v>0</v>
      </c>
      <c r="K598">
        <f t="shared" si="59"/>
        <v>1</v>
      </c>
    </row>
    <row r="599" spans="1:11" x14ac:dyDescent="0.25">
      <c r="A599" t="s">
        <v>428</v>
      </c>
      <c r="B599" t="s">
        <v>179</v>
      </c>
      <c r="C599" t="s">
        <v>50</v>
      </c>
      <c r="D599" s="3">
        <v>45601</v>
      </c>
      <c r="E599" t="str">
        <f>VLOOKUP(B599,'PROCV GERENTES BD'!A:B,2,0)</f>
        <v xml:space="preserve">MARCUS VINICIUS </v>
      </c>
      <c r="F599" s="4" t="str">
        <f t="shared" si="54"/>
        <v>2024-11</v>
      </c>
      <c r="G599" s="18">
        <f t="shared" si="55"/>
        <v>45</v>
      </c>
      <c r="H599" t="str">
        <f t="shared" si="56"/>
        <v xml:space="preserve">MARCUS VINICIUS </v>
      </c>
      <c r="I599" t="str">
        <f t="shared" si="57"/>
        <v>LABOR ELETRIC INDUSTRIA E COMERCIO UNIPESSOAL LTDA</v>
      </c>
      <c r="J599">
        <f t="shared" si="58"/>
        <v>0</v>
      </c>
      <c r="K599">
        <f t="shared" si="59"/>
        <v>1</v>
      </c>
    </row>
    <row r="600" spans="1:11" x14ac:dyDescent="0.25">
      <c r="A600" t="s">
        <v>419</v>
      </c>
      <c r="B600" t="s">
        <v>169</v>
      </c>
      <c r="C600" t="s">
        <v>50</v>
      </c>
      <c r="D600" s="3">
        <v>45601</v>
      </c>
      <c r="E600" t="str">
        <f>VLOOKUP(B600,'PROCV GERENTES BD'!A:B,2,0)</f>
        <v>NOELI SALETE</v>
      </c>
      <c r="F600" s="4" t="str">
        <f t="shared" si="54"/>
        <v>2024-11</v>
      </c>
      <c r="G600" s="18">
        <f t="shared" si="55"/>
        <v>45</v>
      </c>
      <c r="H600" t="str">
        <f t="shared" si="56"/>
        <v>NOELI SALETE</v>
      </c>
      <c r="I600" t="str">
        <f t="shared" si="57"/>
        <v>GLOBAL ACO SERVICOS E PRODUTOS SIDERURGICOS LTDA E</v>
      </c>
      <c r="J600">
        <f t="shared" si="58"/>
        <v>0</v>
      </c>
      <c r="K600">
        <f t="shared" si="59"/>
        <v>1</v>
      </c>
    </row>
    <row r="601" spans="1:11" x14ac:dyDescent="0.25">
      <c r="A601" t="s">
        <v>339</v>
      </c>
      <c r="B601" t="s">
        <v>87</v>
      </c>
      <c r="C601" t="s">
        <v>50</v>
      </c>
      <c r="D601" s="3">
        <v>45601</v>
      </c>
      <c r="E601" t="str">
        <f>VLOOKUP(B601,'PROCV GERENTES BD'!A:B,2,0)</f>
        <v>NOELI SALETE</v>
      </c>
      <c r="F601" s="4" t="str">
        <f t="shared" si="54"/>
        <v>2024-11</v>
      </c>
      <c r="G601" s="18">
        <f t="shared" si="55"/>
        <v>45</v>
      </c>
      <c r="H601" t="str">
        <f t="shared" si="56"/>
        <v>NOELI SALETE</v>
      </c>
      <c r="I601" t="str">
        <f t="shared" si="57"/>
        <v>RODOBOX TRANSPORTES E ARMAZENAGEM DE CARGAS LTDA</v>
      </c>
      <c r="J601">
        <f t="shared" si="58"/>
        <v>0</v>
      </c>
      <c r="K601">
        <f t="shared" si="59"/>
        <v>1</v>
      </c>
    </row>
    <row r="602" spans="1:11" x14ac:dyDescent="0.25">
      <c r="A602" t="s">
        <v>407</v>
      </c>
      <c r="B602" t="s">
        <v>157</v>
      </c>
      <c r="C602" t="s">
        <v>66</v>
      </c>
      <c r="D602" s="3">
        <v>45601</v>
      </c>
      <c r="E602" t="str">
        <f>VLOOKUP(B602,'PROCV GERENTES BD'!A:B,2,0)</f>
        <v>NOELI SALETE</v>
      </c>
      <c r="F602" s="4" t="str">
        <f t="shared" si="54"/>
        <v>2024-11</v>
      </c>
      <c r="G602" s="18">
        <f t="shared" si="55"/>
        <v>45</v>
      </c>
      <c r="H602" t="str">
        <f t="shared" si="56"/>
        <v>NOELI SALETE</v>
      </c>
      <c r="I602" t="str">
        <f t="shared" si="57"/>
        <v>SGAMAQ INOVACAO AGROINDUSTRIAL LTDA</v>
      </c>
      <c r="J602">
        <f t="shared" si="58"/>
        <v>1</v>
      </c>
      <c r="K602">
        <f t="shared" si="59"/>
        <v>0</v>
      </c>
    </row>
    <row r="603" spans="1:11" x14ac:dyDescent="0.25">
      <c r="A603" t="s">
        <v>346</v>
      </c>
      <c r="B603" t="s">
        <v>91</v>
      </c>
      <c r="C603" t="s">
        <v>50</v>
      </c>
      <c r="D603" s="3">
        <v>45601</v>
      </c>
      <c r="E603" t="str">
        <f>VLOOKUP(B603,'PROCV GERENTES BD'!A:B,2,0)</f>
        <v>POENATELA</v>
      </c>
      <c r="F603" s="4" t="str">
        <f t="shared" si="54"/>
        <v>2024-11</v>
      </c>
      <c r="G603" s="18">
        <f t="shared" si="55"/>
        <v>45</v>
      </c>
      <c r="H603" t="str">
        <f t="shared" si="56"/>
        <v>POENATELA</v>
      </c>
      <c r="I603" t="str">
        <f t="shared" si="57"/>
        <v>UBERTEC SERVICE USINAGEM LTDA EPP</v>
      </c>
      <c r="J603">
        <f t="shared" si="58"/>
        <v>0</v>
      </c>
      <c r="K603">
        <f t="shared" si="59"/>
        <v>1</v>
      </c>
    </row>
    <row r="604" spans="1:11" x14ac:dyDescent="0.25">
      <c r="A604" t="s">
        <v>353</v>
      </c>
      <c r="B604" t="s">
        <v>97</v>
      </c>
      <c r="C604" t="s">
        <v>50</v>
      </c>
      <c r="D604" s="3">
        <v>45601</v>
      </c>
      <c r="E604" t="str">
        <f>VLOOKUP(B604,'PROCV GERENTES BD'!A:B,2,0)</f>
        <v>PRISCILA METZ</v>
      </c>
      <c r="F604" s="4" t="str">
        <f t="shared" si="54"/>
        <v>2024-11</v>
      </c>
      <c r="G604" s="18">
        <f t="shared" si="55"/>
        <v>45</v>
      </c>
      <c r="H604" t="str">
        <f t="shared" si="56"/>
        <v>PRISCILA METZ</v>
      </c>
      <c r="I604" t="str">
        <f t="shared" si="57"/>
        <v>ESSENZA INDUSTRIA QUIMICA LTDA</v>
      </c>
      <c r="J604">
        <f t="shared" si="58"/>
        <v>0</v>
      </c>
      <c r="K604">
        <f t="shared" si="59"/>
        <v>1</v>
      </c>
    </row>
    <row r="605" spans="1:11" x14ac:dyDescent="0.25">
      <c r="A605" t="s">
        <v>433</v>
      </c>
      <c r="B605" t="s">
        <v>184</v>
      </c>
      <c r="C605" t="s">
        <v>50</v>
      </c>
      <c r="D605" s="3">
        <v>45601</v>
      </c>
      <c r="E605" t="str">
        <f>VLOOKUP(B605,'PROCV GERENTES BD'!A:B,2,0)</f>
        <v>PRISCILA METZ</v>
      </c>
      <c r="F605" s="4" t="str">
        <f t="shared" si="54"/>
        <v>2024-11</v>
      </c>
      <c r="G605" s="18">
        <f t="shared" si="55"/>
        <v>45</v>
      </c>
      <c r="H605" t="str">
        <f t="shared" si="56"/>
        <v>PRISCILA METZ</v>
      </c>
      <c r="I605" t="str">
        <f t="shared" si="57"/>
        <v>FRANZAO COLCHOES LTDA EPP</v>
      </c>
      <c r="J605">
        <f t="shared" si="58"/>
        <v>0</v>
      </c>
      <c r="K605">
        <f t="shared" si="59"/>
        <v>1</v>
      </c>
    </row>
    <row r="606" spans="1:11" x14ac:dyDescent="0.25">
      <c r="A606" t="s">
        <v>376</v>
      </c>
      <c r="B606" t="s">
        <v>121</v>
      </c>
      <c r="C606" t="s">
        <v>50</v>
      </c>
      <c r="D606" s="3">
        <v>45601</v>
      </c>
      <c r="E606" t="str">
        <f>VLOOKUP(B606,'PROCV GERENTES BD'!A:B,2,0)</f>
        <v>PRISCILA METZ</v>
      </c>
      <c r="F606" s="4" t="str">
        <f t="shared" si="54"/>
        <v>2024-11</v>
      </c>
      <c r="G606" s="18">
        <f t="shared" si="55"/>
        <v>45</v>
      </c>
      <c r="H606" t="str">
        <f t="shared" si="56"/>
        <v>PRISCILA METZ</v>
      </c>
      <c r="I606" t="str">
        <f t="shared" si="57"/>
        <v>NOVA DISTRIBUIDORA E ATACADO DE LIMPEZA LTDA</v>
      </c>
      <c r="J606">
        <f t="shared" si="58"/>
        <v>0</v>
      </c>
      <c r="K606">
        <f t="shared" si="59"/>
        <v>1</v>
      </c>
    </row>
    <row r="607" spans="1:11" x14ac:dyDescent="0.25">
      <c r="A607" t="s">
        <v>434</v>
      </c>
      <c r="B607" t="s">
        <v>185</v>
      </c>
      <c r="C607" t="s">
        <v>50</v>
      </c>
      <c r="D607" s="3">
        <v>45601</v>
      </c>
      <c r="E607" t="str">
        <f>VLOOKUP(B607,'PROCV GERENTES BD'!A:B,2,0)</f>
        <v>RAFAEL PARISE</v>
      </c>
      <c r="F607" s="4" t="str">
        <f t="shared" si="54"/>
        <v>2024-11</v>
      </c>
      <c r="G607" s="18">
        <f t="shared" si="55"/>
        <v>45</v>
      </c>
      <c r="H607" t="str">
        <f t="shared" si="56"/>
        <v>RAFAEL PARISE</v>
      </c>
      <c r="I607" t="str">
        <f t="shared" si="57"/>
        <v>MARCAS COMERCIO LTDA ME</v>
      </c>
      <c r="J607">
        <f t="shared" si="58"/>
        <v>0</v>
      </c>
      <c r="K607">
        <f t="shared" si="59"/>
        <v>1</v>
      </c>
    </row>
    <row r="608" spans="1:11" x14ac:dyDescent="0.25">
      <c r="A608" t="s">
        <v>409</v>
      </c>
      <c r="B608" t="s">
        <v>159</v>
      </c>
      <c r="C608" t="s">
        <v>66</v>
      </c>
      <c r="D608" s="3">
        <v>45601</v>
      </c>
      <c r="E608" t="str">
        <f>VLOOKUP(B608,'PROCV GERENTES BD'!A:B,2,0)</f>
        <v>RAFAEL PARISE</v>
      </c>
      <c r="F608" s="4" t="str">
        <f t="shared" si="54"/>
        <v>2024-11</v>
      </c>
      <c r="G608" s="18">
        <f t="shared" si="55"/>
        <v>45</v>
      </c>
      <c r="H608" t="str">
        <f t="shared" si="56"/>
        <v>RAFAEL PARISE</v>
      </c>
      <c r="I608" t="str">
        <f t="shared" si="57"/>
        <v>OXIGAS RESIDUOS ESPECIAIS LTDA EPP</v>
      </c>
      <c r="J608">
        <f t="shared" si="58"/>
        <v>1</v>
      </c>
      <c r="K608">
        <f t="shared" si="59"/>
        <v>0</v>
      </c>
    </row>
    <row r="609" spans="1:11" x14ac:dyDescent="0.25">
      <c r="A609" t="s">
        <v>76</v>
      </c>
      <c r="B609" t="s">
        <v>77</v>
      </c>
      <c r="C609" t="s">
        <v>50</v>
      </c>
      <c r="D609" s="3">
        <v>45601</v>
      </c>
      <c r="E609" t="str">
        <f>VLOOKUP(B609,'PROCV GERENTES BD'!A:B,2,0)</f>
        <v>RAFAEL PARISE</v>
      </c>
      <c r="F609" s="4" t="str">
        <f t="shared" si="54"/>
        <v>2024-11</v>
      </c>
      <c r="G609" s="18">
        <f t="shared" si="55"/>
        <v>45</v>
      </c>
      <c r="H609" t="str">
        <f t="shared" si="56"/>
        <v>RAFAEL PARISE</v>
      </c>
      <c r="I609" t="str">
        <f t="shared" si="57"/>
        <v>UNITA AUTO PECAS LTDA EPP</v>
      </c>
      <c r="J609">
        <f t="shared" si="58"/>
        <v>0</v>
      </c>
      <c r="K609">
        <f t="shared" si="59"/>
        <v>1</v>
      </c>
    </row>
    <row r="610" spans="1:11" x14ac:dyDescent="0.25">
      <c r="A610" t="s">
        <v>319</v>
      </c>
      <c r="B610" t="s">
        <v>80</v>
      </c>
      <c r="C610" t="s">
        <v>53</v>
      </c>
      <c r="D610" s="3">
        <v>45602</v>
      </c>
      <c r="E610" t="str">
        <f>VLOOKUP(B610,'PROCV GERENTES BD'!A:B,2,0)</f>
        <v>CELIO PIMENTA</v>
      </c>
      <c r="F610" s="4" t="str">
        <f t="shared" si="54"/>
        <v>2024-11</v>
      </c>
      <c r="G610" s="18">
        <f t="shared" si="55"/>
        <v>45</v>
      </c>
      <c r="H610" t="str">
        <f t="shared" si="56"/>
        <v>CELIO PIMENTA</v>
      </c>
      <c r="I610" t="str">
        <f t="shared" si="57"/>
        <v>IMPORTEXTIL COMERCIO DE TECIDOS LTDA</v>
      </c>
      <c r="J610">
        <f t="shared" si="58"/>
        <v>1</v>
      </c>
      <c r="K610">
        <f t="shared" si="59"/>
        <v>1</v>
      </c>
    </row>
    <row r="611" spans="1:11" x14ac:dyDescent="0.25">
      <c r="A611" t="s">
        <v>323</v>
      </c>
      <c r="B611" t="s">
        <v>109</v>
      </c>
      <c r="C611" t="s">
        <v>50</v>
      </c>
      <c r="D611" s="3">
        <v>45602</v>
      </c>
      <c r="E611" t="str">
        <f>VLOOKUP(B611,'PROCV GERENTES BD'!A:B,2,0)</f>
        <v>PROSPECTAR</v>
      </c>
      <c r="F611" s="4" t="str">
        <f t="shared" si="54"/>
        <v>2024-11</v>
      </c>
      <c r="G611" s="18">
        <f t="shared" si="55"/>
        <v>45</v>
      </c>
      <c r="H611" t="str">
        <f t="shared" si="56"/>
        <v>PROSPECTAR</v>
      </c>
      <c r="I611" t="str">
        <f t="shared" si="57"/>
        <v>SIAP COMERCIO DE PRODUTOS AGROPECUARIOS LTDA</v>
      </c>
      <c r="J611">
        <f t="shared" si="58"/>
        <v>0</v>
      </c>
      <c r="K611">
        <f t="shared" si="59"/>
        <v>1</v>
      </c>
    </row>
    <row r="612" spans="1:11" x14ac:dyDescent="0.25">
      <c r="A612" t="s">
        <v>428</v>
      </c>
      <c r="B612" t="s">
        <v>179</v>
      </c>
      <c r="C612" t="s">
        <v>53</v>
      </c>
      <c r="D612" s="3">
        <v>45602</v>
      </c>
      <c r="E612" t="str">
        <f>VLOOKUP(B612,'PROCV GERENTES BD'!A:B,2,0)</f>
        <v xml:space="preserve">MARCUS VINICIUS </v>
      </c>
      <c r="F612" s="4" t="str">
        <f t="shared" si="54"/>
        <v>2024-11</v>
      </c>
      <c r="G612" s="18">
        <f t="shared" si="55"/>
        <v>45</v>
      </c>
      <c r="H612" t="str">
        <f t="shared" si="56"/>
        <v xml:space="preserve">MARCUS VINICIUS </v>
      </c>
      <c r="I612" t="str">
        <f t="shared" si="57"/>
        <v>LABOR ELETRIC INDUSTRIA E COMERCIO UNIPESSOAL LTDA</v>
      </c>
      <c r="J612">
        <f t="shared" si="58"/>
        <v>1</v>
      </c>
      <c r="K612">
        <f t="shared" si="59"/>
        <v>1</v>
      </c>
    </row>
    <row r="613" spans="1:11" x14ac:dyDescent="0.25">
      <c r="A613" t="s">
        <v>339</v>
      </c>
      <c r="B613" t="s">
        <v>87</v>
      </c>
      <c r="C613" t="s">
        <v>50</v>
      </c>
      <c r="D613" s="3">
        <v>45602</v>
      </c>
      <c r="E613" t="str">
        <f>VLOOKUP(B613,'PROCV GERENTES BD'!A:B,2,0)</f>
        <v>NOELI SALETE</v>
      </c>
      <c r="F613" s="4" t="str">
        <f t="shared" si="54"/>
        <v>2024-11</v>
      </c>
      <c r="G613" s="18">
        <f t="shared" si="55"/>
        <v>45</v>
      </c>
      <c r="H613" t="str">
        <f t="shared" si="56"/>
        <v>NOELI SALETE</v>
      </c>
      <c r="I613" t="str">
        <f t="shared" si="57"/>
        <v>RODOBOX TRANSPORTES E ARMAZENAGEM DE CARGAS LTDA</v>
      </c>
      <c r="J613">
        <f t="shared" si="58"/>
        <v>0</v>
      </c>
      <c r="K613">
        <f t="shared" si="59"/>
        <v>1</v>
      </c>
    </row>
    <row r="614" spans="1:11" x14ac:dyDescent="0.25">
      <c r="A614" t="s">
        <v>407</v>
      </c>
      <c r="B614" t="s">
        <v>157</v>
      </c>
      <c r="C614" t="s">
        <v>66</v>
      </c>
      <c r="D614" s="3">
        <v>45602</v>
      </c>
      <c r="E614" t="str">
        <f>VLOOKUP(B614,'PROCV GERENTES BD'!A:B,2,0)</f>
        <v>NOELI SALETE</v>
      </c>
      <c r="F614" s="4" t="str">
        <f t="shared" si="54"/>
        <v>2024-11</v>
      </c>
      <c r="G614" s="18">
        <f t="shared" si="55"/>
        <v>45</v>
      </c>
      <c r="H614" t="str">
        <f t="shared" si="56"/>
        <v>NOELI SALETE</v>
      </c>
      <c r="I614" t="str">
        <f t="shared" si="57"/>
        <v>SGAMAQ INOVACAO AGROINDUSTRIAL LTDA</v>
      </c>
      <c r="J614">
        <f t="shared" si="58"/>
        <v>1</v>
      </c>
      <c r="K614">
        <f t="shared" si="59"/>
        <v>0</v>
      </c>
    </row>
    <row r="615" spans="1:11" x14ac:dyDescent="0.25">
      <c r="A615" t="s">
        <v>346</v>
      </c>
      <c r="B615" t="s">
        <v>91</v>
      </c>
      <c r="C615" t="s">
        <v>50</v>
      </c>
      <c r="D615" s="3">
        <v>45602</v>
      </c>
      <c r="E615" t="str">
        <f>VLOOKUP(B615,'PROCV GERENTES BD'!A:B,2,0)</f>
        <v>POENATELA</v>
      </c>
      <c r="F615" s="4" t="str">
        <f t="shared" si="54"/>
        <v>2024-11</v>
      </c>
      <c r="G615" s="18">
        <f t="shared" si="55"/>
        <v>45</v>
      </c>
      <c r="H615" t="str">
        <f t="shared" si="56"/>
        <v>POENATELA</v>
      </c>
      <c r="I615" t="str">
        <f t="shared" si="57"/>
        <v>UBERTEC SERVICE USINAGEM LTDA EPP</v>
      </c>
      <c r="J615">
        <f t="shared" si="58"/>
        <v>0</v>
      </c>
      <c r="K615">
        <f t="shared" si="59"/>
        <v>1</v>
      </c>
    </row>
    <row r="616" spans="1:11" x14ac:dyDescent="0.25">
      <c r="A616" t="s">
        <v>376</v>
      </c>
      <c r="B616" t="s">
        <v>121</v>
      </c>
      <c r="C616" t="s">
        <v>50</v>
      </c>
      <c r="D616" s="3">
        <v>45602</v>
      </c>
      <c r="E616" t="str">
        <f>VLOOKUP(B616,'PROCV GERENTES BD'!A:B,2,0)</f>
        <v>PRISCILA METZ</v>
      </c>
      <c r="F616" s="4" t="str">
        <f t="shared" si="54"/>
        <v>2024-11</v>
      </c>
      <c r="G616" s="18">
        <f t="shared" si="55"/>
        <v>45</v>
      </c>
      <c r="H616" t="str">
        <f t="shared" si="56"/>
        <v>PRISCILA METZ</v>
      </c>
      <c r="I616" t="str">
        <f t="shared" si="57"/>
        <v>NOVA DISTRIBUIDORA E ATACADO DE LIMPEZA LTDA</v>
      </c>
      <c r="J616">
        <f t="shared" si="58"/>
        <v>0</v>
      </c>
      <c r="K616">
        <f t="shared" si="59"/>
        <v>1</v>
      </c>
    </row>
    <row r="617" spans="1:11" x14ac:dyDescent="0.25">
      <c r="A617" t="s">
        <v>372</v>
      </c>
      <c r="B617" t="s">
        <v>116</v>
      </c>
      <c r="C617" t="s">
        <v>66</v>
      </c>
      <c r="D617" s="3">
        <v>45603</v>
      </c>
      <c r="E617" t="str">
        <f>VLOOKUP(B617,'PROCV GERENTES BD'!A:B,2,0)</f>
        <v>ADMINISTRAÇÃO</v>
      </c>
      <c r="F617" s="4" t="str">
        <f t="shared" si="54"/>
        <v>2024-11</v>
      </c>
      <c r="G617" s="18">
        <f t="shared" si="55"/>
        <v>45</v>
      </c>
      <c r="H617" t="str">
        <f t="shared" si="56"/>
        <v>ADMINISTRAÇÃO</v>
      </c>
      <c r="I617" t="str">
        <f t="shared" si="57"/>
        <v>PREMOLDADOS MATOSINHOS LTDA EPP</v>
      </c>
      <c r="J617">
        <f t="shared" si="58"/>
        <v>1</v>
      </c>
      <c r="K617">
        <f t="shared" si="59"/>
        <v>0</v>
      </c>
    </row>
    <row r="618" spans="1:11" x14ac:dyDescent="0.25">
      <c r="A618" t="s">
        <v>319</v>
      </c>
      <c r="B618" t="s">
        <v>80</v>
      </c>
      <c r="C618" t="s">
        <v>50</v>
      </c>
      <c r="D618" s="3">
        <v>45603</v>
      </c>
      <c r="E618" t="str">
        <f>VLOOKUP(B618,'PROCV GERENTES BD'!A:B,2,0)</f>
        <v>CELIO PIMENTA</v>
      </c>
      <c r="F618" s="4" t="str">
        <f t="shared" si="54"/>
        <v>2024-11</v>
      </c>
      <c r="G618" s="18">
        <f t="shared" si="55"/>
        <v>45</v>
      </c>
      <c r="H618" t="str">
        <f t="shared" si="56"/>
        <v>CELIO PIMENTA</v>
      </c>
      <c r="I618" t="str">
        <f t="shared" si="57"/>
        <v>IMPORTEXTIL COMERCIO DE TECIDOS LTDA</v>
      </c>
      <c r="J618">
        <f t="shared" si="58"/>
        <v>0</v>
      </c>
      <c r="K618">
        <f t="shared" si="59"/>
        <v>1</v>
      </c>
    </row>
    <row r="619" spans="1:11" x14ac:dyDescent="0.25">
      <c r="A619" t="s">
        <v>54</v>
      </c>
      <c r="B619" t="s">
        <v>55</v>
      </c>
      <c r="C619" t="s">
        <v>66</v>
      </c>
      <c r="D619" s="3">
        <v>45603</v>
      </c>
      <c r="E619" t="str">
        <f>VLOOKUP(B619,'PROCV GERENTES BD'!A:B,2,0)</f>
        <v>CELIO PIMENTA</v>
      </c>
      <c r="F619" s="4" t="str">
        <f t="shared" si="54"/>
        <v>2024-11</v>
      </c>
      <c r="G619" s="18">
        <f t="shared" si="55"/>
        <v>45</v>
      </c>
      <c r="H619" t="str">
        <f t="shared" si="56"/>
        <v>CELIO PIMENTA</v>
      </c>
      <c r="I619" t="str">
        <f t="shared" si="57"/>
        <v>WJ CALDEIRARIA INDUSTRIA E COMERCIO LTDA ME</v>
      </c>
      <c r="J619">
        <f t="shared" si="58"/>
        <v>1</v>
      </c>
      <c r="K619">
        <f t="shared" si="59"/>
        <v>0</v>
      </c>
    </row>
    <row r="620" spans="1:11" x14ac:dyDescent="0.25">
      <c r="A620" t="s">
        <v>428</v>
      </c>
      <c r="B620" t="s">
        <v>179</v>
      </c>
      <c r="C620" t="s">
        <v>50</v>
      </c>
      <c r="D620" s="3">
        <v>45603</v>
      </c>
      <c r="E620" t="str">
        <f>VLOOKUP(B620,'PROCV GERENTES BD'!A:B,2,0)</f>
        <v xml:space="preserve">MARCUS VINICIUS </v>
      </c>
      <c r="F620" s="4" t="str">
        <f t="shared" si="54"/>
        <v>2024-11</v>
      </c>
      <c r="G620" s="18">
        <f t="shared" si="55"/>
        <v>45</v>
      </c>
      <c r="H620" t="str">
        <f t="shared" si="56"/>
        <v xml:space="preserve">MARCUS VINICIUS </v>
      </c>
      <c r="I620" t="str">
        <f t="shared" si="57"/>
        <v>LABOR ELETRIC INDUSTRIA E COMERCIO UNIPESSOAL LTDA</v>
      </c>
      <c r="J620">
        <f t="shared" si="58"/>
        <v>0</v>
      </c>
      <c r="K620">
        <f t="shared" si="59"/>
        <v>1</v>
      </c>
    </row>
    <row r="621" spans="1:11" x14ac:dyDescent="0.25">
      <c r="A621" t="s">
        <v>346</v>
      </c>
      <c r="B621" t="s">
        <v>91</v>
      </c>
      <c r="C621" t="s">
        <v>53</v>
      </c>
      <c r="D621" s="3">
        <v>45603</v>
      </c>
      <c r="E621" t="str">
        <f>VLOOKUP(B621,'PROCV GERENTES BD'!A:B,2,0)</f>
        <v>POENATELA</v>
      </c>
      <c r="F621" s="4" t="str">
        <f t="shared" si="54"/>
        <v>2024-11</v>
      </c>
      <c r="G621" s="18">
        <f t="shared" si="55"/>
        <v>45</v>
      </c>
      <c r="H621" t="str">
        <f t="shared" si="56"/>
        <v>POENATELA</v>
      </c>
      <c r="I621" t="str">
        <f t="shared" si="57"/>
        <v>UBERTEC SERVICE USINAGEM LTDA EPP</v>
      </c>
      <c r="J621">
        <f t="shared" si="58"/>
        <v>1</v>
      </c>
      <c r="K621">
        <f t="shared" si="59"/>
        <v>1</v>
      </c>
    </row>
    <row r="622" spans="1:11" x14ac:dyDescent="0.25">
      <c r="A622" t="s">
        <v>353</v>
      </c>
      <c r="B622" t="s">
        <v>97</v>
      </c>
      <c r="C622" t="s">
        <v>50</v>
      </c>
      <c r="D622" s="3">
        <v>45603</v>
      </c>
      <c r="E622" t="str">
        <f>VLOOKUP(B622,'PROCV GERENTES BD'!A:B,2,0)</f>
        <v>PRISCILA METZ</v>
      </c>
      <c r="F622" s="4" t="str">
        <f t="shared" si="54"/>
        <v>2024-11</v>
      </c>
      <c r="G622" s="18">
        <f t="shared" si="55"/>
        <v>45</v>
      </c>
      <c r="H622" t="str">
        <f t="shared" si="56"/>
        <v>PRISCILA METZ</v>
      </c>
      <c r="I622" t="str">
        <f t="shared" si="57"/>
        <v>ESSENZA INDUSTRIA QUIMICA LTDA</v>
      </c>
      <c r="J622">
        <f t="shared" si="58"/>
        <v>0</v>
      </c>
      <c r="K622">
        <f t="shared" si="59"/>
        <v>1</v>
      </c>
    </row>
    <row r="623" spans="1:11" x14ac:dyDescent="0.25">
      <c r="A623" t="s">
        <v>435</v>
      </c>
      <c r="B623" t="s">
        <v>186</v>
      </c>
      <c r="C623" t="s">
        <v>327</v>
      </c>
      <c r="D623" s="3">
        <v>45604</v>
      </c>
      <c r="E623" t="str">
        <f>VLOOKUP(B623,'PROCV GERENTES BD'!A:B,2,0)</f>
        <v>ADMINISTRAÇÃO</v>
      </c>
      <c r="F623" s="4" t="str">
        <f t="shared" si="54"/>
        <v>2024-11</v>
      </c>
      <c r="G623" s="18">
        <f t="shared" si="55"/>
        <v>45</v>
      </c>
      <c r="H623" t="str">
        <f t="shared" si="56"/>
        <v>ADMINISTRAÇÃO</v>
      </c>
      <c r="I623" t="str">
        <f t="shared" si="57"/>
        <v>CALDEM CONSTRUCOES MECANICAS LTDA EPP</v>
      </c>
      <c r="J623">
        <f t="shared" si="58"/>
        <v>0</v>
      </c>
      <c r="K623">
        <f t="shared" si="59"/>
        <v>0</v>
      </c>
    </row>
    <row r="624" spans="1:11" x14ac:dyDescent="0.25">
      <c r="A624" t="s">
        <v>435</v>
      </c>
      <c r="B624" t="s">
        <v>186</v>
      </c>
      <c r="C624" t="s">
        <v>329</v>
      </c>
      <c r="D624" s="3">
        <v>45604</v>
      </c>
      <c r="E624" t="str">
        <f>VLOOKUP(B624,'PROCV GERENTES BD'!A:B,2,0)</f>
        <v>ADMINISTRAÇÃO</v>
      </c>
      <c r="F624" s="4" t="str">
        <f t="shared" si="54"/>
        <v>2024-11</v>
      </c>
      <c r="G624" s="18">
        <f t="shared" si="55"/>
        <v>45</v>
      </c>
      <c r="H624" t="str">
        <f t="shared" si="56"/>
        <v>ADMINISTRAÇÃO</v>
      </c>
      <c r="I624" t="str">
        <f t="shared" si="57"/>
        <v>CALDEM CONSTRUCOES MECANICAS LTDA EPP</v>
      </c>
      <c r="J624">
        <f t="shared" si="58"/>
        <v>0</v>
      </c>
      <c r="K624">
        <f t="shared" si="59"/>
        <v>0</v>
      </c>
    </row>
    <row r="625" spans="1:11" x14ac:dyDescent="0.25">
      <c r="A625" t="s">
        <v>372</v>
      </c>
      <c r="B625" t="s">
        <v>116</v>
      </c>
      <c r="C625" t="s">
        <v>66</v>
      </c>
      <c r="D625" s="3">
        <v>45604</v>
      </c>
      <c r="E625" t="str">
        <f>VLOOKUP(B625,'PROCV GERENTES BD'!A:B,2,0)</f>
        <v>ADMINISTRAÇÃO</v>
      </c>
      <c r="F625" s="4" t="str">
        <f t="shared" si="54"/>
        <v>2024-11</v>
      </c>
      <c r="G625" s="18">
        <f t="shared" si="55"/>
        <v>45</v>
      </c>
      <c r="H625" t="str">
        <f t="shared" si="56"/>
        <v>ADMINISTRAÇÃO</v>
      </c>
      <c r="I625" t="str">
        <f t="shared" si="57"/>
        <v>PREMOLDADOS MATOSINHOS LTDA EPP</v>
      </c>
      <c r="J625">
        <f t="shared" si="58"/>
        <v>1</v>
      </c>
      <c r="K625">
        <f t="shared" si="59"/>
        <v>0</v>
      </c>
    </row>
    <row r="626" spans="1:11" x14ac:dyDescent="0.25">
      <c r="A626" t="s">
        <v>304</v>
      </c>
      <c r="B626" t="s">
        <v>123</v>
      </c>
      <c r="C626" t="s">
        <v>66</v>
      </c>
      <c r="D626" s="3">
        <v>45604</v>
      </c>
      <c r="E626" t="str">
        <f>VLOOKUP(B626,'PROCV GERENTES BD'!A:B,2,0)</f>
        <v>ADMINISTRAÇÃO</v>
      </c>
      <c r="F626" s="4" t="str">
        <f t="shared" si="54"/>
        <v>2024-11</v>
      </c>
      <c r="G626" s="18">
        <f t="shared" si="55"/>
        <v>45</v>
      </c>
      <c r="H626" t="str">
        <f t="shared" si="56"/>
        <v>ADMINISTRAÇÃO</v>
      </c>
      <c r="I626" t="str">
        <f t="shared" si="57"/>
        <v>VIC LOGISTICA LTDA EM RECUPERACAO JUDICIAL</v>
      </c>
      <c r="J626">
        <f t="shared" si="58"/>
        <v>1</v>
      </c>
      <c r="K626">
        <f t="shared" si="59"/>
        <v>0</v>
      </c>
    </row>
    <row r="627" spans="1:11" x14ac:dyDescent="0.25">
      <c r="A627" t="s">
        <v>319</v>
      </c>
      <c r="B627" t="s">
        <v>80</v>
      </c>
      <c r="C627" t="s">
        <v>50</v>
      </c>
      <c r="D627" s="3">
        <v>45604</v>
      </c>
      <c r="E627" t="str">
        <f>VLOOKUP(B627,'PROCV GERENTES BD'!A:B,2,0)</f>
        <v>CELIO PIMENTA</v>
      </c>
      <c r="F627" s="4" t="str">
        <f t="shared" si="54"/>
        <v>2024-11</v>
      </c>
      <c r="G627" s="18">
        <f t="shared" si="55"/>
        <v>45</v>
      </c>
      <c r="H627" t="str">
        <f t="shared" si="56"/>
        <v>CELIO PIMENTA</v>
      </c>
      <c r="I627" t="str">
        <f t="shared" si="57"/>
        <v>IMPORTEXTIL COMERCIO DE TECIDOS LTDA</v>
      </c>
      <c r="J627">
        <f t="shared" si="58"/>
        <v>0</v>
      </c>
      <c r="K627">
        <f t="shared" si="59"/>
        <v>1</v>
      </c>
    </row>
    <row r="628" spans="1:11" x14ac:dyDescent="0.25">
      <c r="A628" t="s">
        <v>54</v>
      </c>
      <c r="B628" t="s">
        <v>55</v>
      </c>
      <c r="C628" t="s">
        <v>66</v>
      </c>
      <c r="D628" s="3">
        <v>45604</v>
      </c>
      <c r="E628" t="str">
        <f>VLOOKUP(B628,'PROCV GERENTES BD'!A:B,2,0)</f>
        <v>CELIO PIMENTA</v>
      </c>
      <c r="F628" s="4" t="str">
        <f t="shared" si="54"/>
        <v>2024-11</v>
      </c>
      <c r="G628" s="18">
        <f t="shared" si="55"/>
        <v>45</v>
      </c>
      <c r="H628" t="str">
        <f t="shared" si="56"/>
        <v>CELIO PIMENTA</v>
      </c>
      <c r="I628" t="str">
        <f t="shared" si="57"/>
        <v>WJ CALDEIRARIA INDUSTRIA E COMERCIO LTDA ME</v>
      </c>
      <c r="J628">
        <f t="shared" si="58"/>
        <v>1</v>
      </c>
      <c r="K628">
        <f t="shared" si="59"/>
        <v>0</v>
      </c>
    </row>
    <row r="629" spans="1:11" x14ac:dyDescent="0.25">
      <c r="A629" t="s">
        <v>358</v>
      </c>
      <c r="B629" t="s">
        <v>104</v>
      </c>
      <c r="C629" t="s">
        <v>66</v>
      </c>
      <c r="D629" s="3">
        <v>45604</v>
      </c>
      <c r="E629" t="str">
        <f>VLOOKUP(B629,'PROCV GERENTES BD'!A:B,2,0)</f>
        <v>DIOGO AZEVEDO</v>
      </c>
      <c r="F629" s="4" t="str">
        <f t="shared" si="54"/>
        <v>2024-11</v>
      </c>
      <c r="G629" s="18">
        <f t="shared" si="55"/>
        <v>45</v>
      </c>
      <c r="H629" t="str">
        <f t="shared" si="56"/>
        <v>DIOGO AZEVEDO</v>
      </c>
      <c r="I629" t="str">
        <f t="shared" si="57"/>
        <v>INDUSTRIA E CERVEJARIA ARTESANAL DE MINAS GERAIS L</v>
      </c>
      <c r="J629">
        <f t="shared" si="58"/>
        <v>1</v>
      </c>
      <c r="K629">
        <f t="shared" si="59"/>
        <v>0</v>
      </c>
    </row>
    <row r="630" spans="1:11" x14ac:dyDescent="0.25">
      <c r="A630" t="s">
        <v>428</v>
      </c>
      <c r="B630" t="s">
        <v>179</v>
      </c>
      <c r="C630" t="s">
        <v>50</v>
      </c>
      <c r="D630" s="3">
        <v>45604</v>
      </c>
      <c r="E630" t="str">
        <f>VLOOKUP(B630,'PROCV GERENTES BD'!A:B,2,0)</f>
        <v xml:space="preserve">MARCUS VINICIUS </v>
      </c>
      <c r="F630" s="4" t="str">
        <f t="shared" si="54"/>
        <v>2024-11</v>
      </c>
      <c r="G630" s="18">
        <f t="shared" si="55"/>
        <v>45</v>
      </c>
      <c r="H630" t="str">
        <f t="shared" si="56"/>
        <v xml:space="preserve">MARCUS VINICIUS </v>
      </c>
      <c r="I630" t="str">
        <f t="shared" si="57"/>
        <v>LABOR ELETRIC INDUSTRIA E COMERCIO UNIPESSOAL LTDA</v>
      </c>
      <c r="J630">
        <f t="shared" si="58"/>
        <v>0</v>
      </c>
      <c r="K630">
        <f t="shared" si="59"/>
        <v>1</v>
      </c>
    </row>
    <row r="631" spans="1:11" x14ac:dyDescent="0.25">
      <c r="A631" t="s">
        <v>339</v>
      </c>
      <c r="B631" t="s">
        <v>87</v>
      </c>
      <c r="C631" t="s">
        <v>50</v>
      </c>
      <c r="D631" s="3">
        <v>45604</v>
      </c>
      <c r="E631" t="str">
        <f>VLOOKUP(B631,'PROCV GERENTES BD'!A:B,2,0)</f>
        <v>NOELI SALETE</v>
      </c>
      <c r="F631" s="4" t="str">
        <f t="shared" si="54"/>
        <v>2024-11</v>
      </c>
      <c r="G631" s="18">
        <f t="shared" si="55"/>
        <v>45</v>
      </c>
      <c r="H631" t="str">
        <f t="shared" si="56"/>
        <v>NOELI SALETE</v>
      </c>
      <c r="I631" t="str">
        <f t="shared" si="57"/>
        <v>RODOBOX TRANSPORTES E ARMAZENAGEM DE CARGAS LTDA</v>
      </c>
      <c r="J631">
        <f t="shared" si="58"/>
        <v>0</v>
      </c>
      <c r="K631">
        <f t="shared" si="59"/>
        <v>1</v>
      </c>
    </row>
    <row r="632" spans="1:11" x14ac:dyDescent="0.25">
      <c r="A632" t="s">
        <v>417</v>
      </c>
      <c r="B632" t="s">
        <v>167</v>
      </c>
      <c r="C632" t="s">
        <v>66</v>
      </c>
      <c r="D632" s="3">
        <v>45604</v>
      </c>
      <c r="E632" t="str">
        <f>VLOOKUP(B632,'PROCV GERENTES BD'!A:B,2,0)</f>
        <v>POENATELA</v>
      </c>
      <c r="F632" s="4" t="str">
        <f t="shared" si="54"/>
        <v>2024-11</v>
      </c>
      <c r="G632" s="18">
        <f t="shared" si="55"/>
        <v>45</v>
      </c>
      <c r="H632" t="str">
        <f t="shared" si="56"/>
        <v>POENATELA</v>
      </c>
      <c r="I632" t="str">
        <f t="shared" si="57"/>
        <v>DETRONIC ENERGIA E SERVICOS LTDA</v>
      </c>
      <c r="J632">
        <f t="shared" si="58"/>
        <v>1</v>
      </c>
      <c r="K632">
        <f t="shared" si="59"/>
        <v>0</v>
      </c>
    </row>
    <row r="633" spans="1:11" x14ac:dyDescent="0.25">
      <c r="A633" t="s">
        <v>346</v>
      </c>
      <c r="B633" t="s">
        <v>91</v>
      </c>
      <c r="C633" t="s">
        <v>50</v>
      </c>
      <c r="D633" s="3">
        <v>45604</v>
      </c>
      <c r="E633" t="str">
        <f>VLOOKUP(B633,'PROCV GERENTES BD'!A:B,2,0)</f>
        <v>POENATELA</v>
      </c>
      <c r="F633" s="4" t="str">
        <f t="shared" si="54"/>
        <v>2024-11</v>
      </c>
      <c r="G633" s="18">
        <f t="shared" si="55"/>
        <v>45</v>
      </c>
      <c r="H633" t="str">
        <f t="shared" si="56"/>
        <v>POENATELA</v>
      </c>
      <c r="I633" t="str">
        <f t="shared" si="57"/>
        <v>UBERTEC SERVICE USINAGEM LTDA EPP</v>
      </c>
      <c r="J633">
        <f t="shared" si="58"/>
        <v>0</v>
      </c>
      <c r="K633">
        <f t="shared" si="59"/>
        <v>1</v>
      </c>
    </row>
    <row r="634" spans="1:11" x14ac:dyDescent="0.25">
      <c r="A634" t="s">
        <v>433</v>
      </c>
      <c r="B634" t="s">
        <v>184</v>
      </c>
      <c r="C634" t="s">
        <v>66</v>
      </c>
      <c r="D634" s="3">
        <v>45604</v>
      </c>
      <c r="E634" t="str">
        <f>VLOOKUP(B634,'PROCV GERENTES BD'!A:B,2,0)</f>
        <v>PRISCILA METZ</v>
      </c>
      <c r="F634" s="4" t="str">
        <f t="shared" si="54"/>
        <v>2024-11</v>
      </c>
      <c r="G634" s="18">
        <f t="shared" si="55"/>
        <v>45</v>
      </c>
      <c r="H634" t="str">
        <f t="shared" si="56"/>
        <v>PRISCILA METZ</v>
      </c>
      <c r="I634" t="str">
        <f t="shared" si="57"/>
        <v>FRANZAO COLCHOES LTDA EPP</v>
      </c>
      <c r="J634">
        <f t="shared" si="58"/>
        <v>1</v>
      </c>
      <c r="K634">
        <f t="shared" si="59"/>
        <v>0</v>
      </c>
    </row>
    <row r="635" spans="1:11" x14ac:dyDescent="0.25">
      <c r="A635" t="s">
        <v>314</v>
      </c>
      <c r="B635" t="s">
        <v>98</v>
      </c>
      <c r="C635" t="s">
        <v>50</v>
      </c>
      <c r="D635" s="3">
        <v>45604</v>
      </c>
      <c r="E635" t="str">
        <f>VLOOKUP(B635,'PROCV GERENTES BD'!A:B,2,0)</f>
        <v xml:space="preserve">ROGERIO </v>
      </c>
      <c r="F635" s="4" t="str">
        <f t="shared" si="54"/>
        <v>2024-11</v>
      </c>
      <c r="G635" s="18">
        <f t="shared" si="55"/>
        <v>45</v>
      </c>
      <c r="H635" t="str">
        <f t="shared" si="56"/>
        <v xml:space="preserve">ROGERIO </v>
      </c>
      <c r="I635" t="str">
        <f t="shared" si="57"/>
        <v>MUTCD CENTRO DISTRIBUICAO IND FABRICANTE COSMETICO</v>
      </c>
      <c r="J635">
        <f t="shared" si="58"/>
        <v>0</v>
      </c>
      <c r="K635">
        <f t="shared" si="59"/>
        <v>1</v>
      </c>
    </row>
    <row r="636" spans="1:11" x14ac:dyDescent="0.25">
      <c r="A636" t="s">
        <v>319</v>
      </c>
      <c r="B636" t="s">
        <v>80</v>
      </c>
      <c r="C636" t="s">
        <v>50</v>
      </c>
      <c r="D636" s="3">
        <v>45605</v>
      </c>
      <c r="E636" t="str">
        <f>VLOOKUP(B636,'PROCV GERENTES BD'!A:B,2,0)</f>
        <v>CELIO PIMENTA</v>
      </c>
      <c r="F636" s="4" t="str">
        <f t="shared" si="54"/>
        <v>2024-11</v>
      </c>
      <c r="G636" s="18">
        <f t="shared" si="55"/>
        <v>45</v>
      </c>
      <c r="H636" t="str">
        <f t="shared" si="56"/>
        <v>CELIO PIMENTA</v>
      </c>
      <c r="I636" t="str">
        <f t="shared" si="57"/>
        <v>IMPORTEXTIL COMERCIO DE TECIDOS LTDA</v>
      </c>
      <c r="J636">
        <f t="shared" si="58"/>
        <v>0</v>
      </c>
      <c r="K636">
        <f t="shared" si="59"/>
        <v>1</v>
      </c>
    </row>
    <row r="637" spans="1:11" x14ac:dyDescent="0.25">
      <c r="A637" t="s">
        <v>54</v>
      </c>
      <c r="B637" t="s">
        <v>55</v>
      </c>
      <c r="C637" t="s">
        <v>66</v>
      </c>
      <c r="D637" s="3">
        <v>45605</v>
      </c>
      <c r="E637" t="str">
        <f>VLOOKUP(B637,'PROCV GERENTES BD'!A:B,2,0)</f>
        <v>CELIO PIMENTA</v>
      </c>
      <c r="F637" s="4" t="str">
        <f t="shared" si="54"/>
        <v>2024-11</v>
      </c>
      <c r="G637" s="18">
        <f t="shared" si="55"/>
        <v>45</v>
      </c>
      <c r="H637" t="str">
        <f t="shared" si="56"/>
        <v>CELIO PIMENTA</v>
      </c>
      <c r="I637" t="str">
        <f t="shared" si="57"/>
        <v>WJ CALDEIRARIA INDUSTRIA E COMERCIO LTDA ME</v>
      </c>
      <c r="J637">
        <f t="shared" si="58"/>
        <v>1</v>
      </c>
      <c r="K637">
        <f t="shared" si="59"/>
        <v>0</v>
      </c>
    </row>
    <row r="638" spans="1:11" x14ac:dyDescent="0.25">
      <c r="A638" t="s">
        <v>323</v>
      </c>
      <c r="B638" t="s">
        <v>109</v>
      </c>
      <c r="C638" t="s">
        <v>50</v>
      </c>
      <c r="D638" s="3">
        <v>45605</v>
      </c>
      <c r="E638" t="str">
        <f>VLOOKUP(B638,'PROCV GERENTES BD'!A:B,2,0)</f>
        <v>PROSPECTAR</v>
      </c>
      <c r="F638" s="4" t="str">
        <f t="shared" si="54"/>
        <v>2024-11</v>
      </c>
      <c r="G638" s="18">
        <f t="shared" si="55"/>
        <v>45</v>
      </c>
      <c r="H638" t="str">
        <f t="shared" si="56"/>
        <v>PROSPECTAR</v>
      </c>
      <c r="I638" t="str">
        <f t="shared" si="57"/>
        <v>SIAP COMERCIO DE PRODUTOS AGROPECUARIOS LTDA</v>
      </c>
      <c r="J638">
        <f t="shared" si="58"/>
        <v>0</v>
      </c>
      <c r="K638">
        <f t="shared" si="59"/>
        <v>1</v>
      </c>
    </row>
    <row r="639" spans="1:11" x14ac:dyDescent="0.25">
      <c r="A639" t="s">
        <v>428</v>
      </c>
      <c r="B639" t="s">
        <v>179</v>
      </c>
      <c r="C639" t="s">
        <v>50</v>
      </c>
      <c r="D639" s="3">
        <v>45605</v>
      </c>
      <c r="E639" t="str">
        <f>VLOOKUP(B639,'PROCV GERENTES BD'!A:B,2,0)</f>
        <v xml:space="preserve">MARCUS VINICIUS </v>
      </c>
      <c r="F639" s="4" t="str">
        <f t="shared" si="54"/>
        <v>2024-11</v>
      </c>
      <c r="G639" s="18">
        <f t="shared" si="55"/>
        <v>45</v>
      </c>
      <c r="H639" t="str">
        <f t="shared" si="56"/>
        <v xml:space="preserve">MARCUS VINICIUS </v>
      </c>
      <c r="I639" t="str">
        <f t="shared" si="57"/>
        <v>LABOR ELETRIC INDUSTRIA E COMERCIO UNIPESSOAL LTDA</v>
      </c>
      <c r="J639">
        <f t="shared" si="58"/>
        <v>0</v>
      </c>
      <c r="K639">
        <f t="shared" si="59"/>
        <v>1</v>
      </c>
    </row>
    <row r="640" spans="1:11" x14ac:dyDescent="0.25">
      <c r="A640" t="s">
        <v>419</v>
      </c>
      <c r="B640" t="s">
        <v>169</v>
      </c>
      <c r="C640" t="s">
        <v>50</v>
      </c>
      <c r="D640" s="3">
        <v>45605</v>
      </c>
      <c r="E640" t="str">
        <f>VLOOKUP(B640,'PROCV GERENTES BD'!A:B,2,0)</f>
        <v>NOELI SALETE</v>
      </c>
      <c r="F640" s="4" t="str">
        <f t="shared" si="54"/>
        <v>2024-11</v>
      </c>
      <c r="G640" s="18">
        <f t="shared" si="55"/>
        <v>45</v>
      </c>
      <c r="H640" t="str">
        <f t="shared" si="56"/>
        <v>NOELI SALETE</v>
      </c>
      <c r="I640" t="str">
        <f t="shared" si="57"/>
        <v>GLOBAL ACO SERVICOS E PRODUTOS SIDERURGICOS LTDA E</v>
      </c>
      <c r="J640">
        <f t="shared" si="58"/>
        <v>0</v>
      </c>
      <c r="K640">
        <f t="shared" si="59"/>
        <v>1</v>
      </c>
    </row>
    <row r="641" spans="1:11" x14ac:dyDescent="0.25">
      <c r="A641" t="s">
        <v>339</v>
      </c>
      <c r="B641" t="s">
        <v>87</v>
      </c>
      <c r="C641" t="s">
        <v>50</v>
      </c>
      <c r="D641" s="3">
        <v>45605</v>
      </c>
      <c r="E641" t="str">
        <f>VLOOKUP(B641,'PROCV GERENTES BD'!A:B,2,0)</f>
        <v>NOELI SALETE</v>
      </c>
      <c r="F641" s="4" t="str">
        <f t="shared" si="54"/>
        <v>2024-11</v>
      </c>
      <c r="G641" s="18">
        <f t="shared" si="55"/>
        <v>45</v>
      </c>
      <c r="H641" t="str">
        <f t="shared" si="56"/>
        <v>NOELI SALETE</v>
      </c>
      <c r="I641" t="str">
        <f t="shared" si="57"/>
        <v>RODOBOX TRANSPORTES E ARMAZENAGEM DE CARGAS LTDA</v>
      </c>
      <c r="J641">
        <f t="shared" si="58"/>
        <v>0</v>
      </c>
      <c r="K641">
        <f t="shared" si="59"/>
        <v>1</v>
      </c>
    </row>
    <row r="642" spans="1:11" x14ac:dyDescent="0.25">
      <c r="A642" t="s">
        <v>407</v>
      </c>
      <c r="B642" t="s">
        <v>157</v>
      </c>
      <c r="C642" t="s">
        <v>66</v>
      </c>
      <c r="D642" s="3">
        <v>45605</v>
      </c>
      <c r="E642" t="str">
        <f>VLOOKUP(B642,'PROCV GERENTES BD'!A:B,2,0)</f>
        <v>NOELI SALETE</v>
      </c>
      <c r="F642" s="4" t="str">
        <f t="shared" ref="F642:F705" si="60">YEAR(D642)&amp;"-"&amp;TEXT(MONTH(D642),"00")</f>
        <v>2024-11</v>
      </c>
      <c r="G642" s="18">
        <f t="shared" ref="G642:G705" si="61">WEEKNUM(D642)</f>
        <v>45</v>
      </c>
      <c r="H642" t="str">
        <f t="shared" ref="H642:H705" si="62">E642</f>
        <v>NOELI SALETE</v>
      </c>
      <c r="I642" t="str">
        <f t="shared" ref="I642:I705" si="63">B642</f>
        <v>SGAMAQ INOVACAO AGROINDUSTRIAL LTDA</v>
      </c>
      <c r="J642">
        <f t="shared" ref="J642:J705" si="64">IF(OR(C642="EXCLUSAO  ANOT.INADIMPLENCIA",C642="INCL/EXCL ANOT.INADIMPLENCIA"),1,0)</f>
        <v>1</v>
      </c>
      <c r="K642">
        <f t="shared" ref="K642:K705" si="65">IF(OR(C642="INCLUSAO  ANOT.INADIMPLENCIA",C642="INCL/EXCL ANOT.INADIMPLENCIA"),1,0)</f>
        <v>0</v>
      </c>
    </row>
    <row r="643" spans="1:11" x14ac:dyDescent="0.25">
      <c r="A643" t="s">
        <v>346</v>
      </c>
      <c r="B643" t="s">
        <v>91</v>
      </c>
      <c r="C643" t="s">
        <v>50</v>
      </c>
      <c r="D643" s="3">
        <v>45605</v>
      </c>
      <c r="E643" t="str">
        <f>VLOOKUP(B643,'PROCV GERENTES BD'!A:B,2,0)</f>
        <v>POENATELA</v>
      </c>
      <c r="F643" s="4" t="str">
        <f t="shared" si="60"/>
        <v>2024-11</v>
      </c>
      <c r="G643" s="18">
        <f t="shared" si="61"/>
        <v>45</v>
      </c>
      <c r="H643" t="str">
        <f t="shared" si="62"/>
        <v>POENATELA</v>
      </c>
      <c r="I643" t="str">
        <f t="shared" si="63"/>
        <v>UBERTEC SERVICE USINAGEM LTDA EPP</v>
      </c>
      <c r="J643">
        <f t="shared" si="64"/>
        <v>0</v>
      </c>
      <c r="K643">
        <f t="shared" si="65"/>
        <v>1</v>
      </c>
    </row>
    <row r="644" spans="1:11" x14ac:dyDescent="0.25">
      <c r="A644" t="s">
        <v>376</v>
      </c>
      <c r="B644" t="s">
        <v>121</v>
      </c>
      <c r="C644" t="s">
        <v>50</v>
      </c>
      <c r="D644" s="3">
        <v>45605</v>
      </c>
      <c r="E644" t="str">
        <f>VLOOKUP(B644,'PROCV GERENTES BD'!A:B,2,0)</f>
        <v>PRISCILA METZ</v>
      </c>
      <c r="F644" s="4" t="str">
        <f t="shared" si="60"/>
        <v>2024-11</v>
      </c>
      <c r="G644" s="18">
        <f t="shared" si="61"/>
        <v>45</v>
      </c>
      <c r="H644" t="str">
        <f t="shared" si="62"/>
        <v>PRISCILA METZ</v>
      </c>
      <c r="I644" t="str">
        <f t="shared" si="63"/>
        <v>NOVA DISTRIBUIDORA E ATACADO DE LIMPEZA LTDA</v>
      </c>
      <c r="J644">
        <f t="shared" si="64"/>
        <v>0</v>
      </c>
      <c r="K644">
        <f t="shared" si="65"/>
        <v>1</v>
      </c>
    </row>
    <row r="645" spans="1:11" x14ac:dyDescent="0.25">
      <c r="A645" t="s">
        <v>326</v>
      </c>
      <c r="B645" t="s">
        <v>122</v>
      </c>
      <c r="C645" t="s">
        <v>50</v>
      </c>
      <c r="D645" s="3">
        <v>45605</v>
      </c>
      <c r="E645" t="s">
        <v>21</v>
      </c>
      <c r="F645" s="4" t="str">
        <f t="shared" si="60"/>
        <v>2024-11</v>
      </c>
      <c r="G645" s="18">
        <f t="shared" si="61"/>
        <v>45</v>
      </c>
      <c r="H645" t="str">
        <f t="shared" si="62"/>
        <v xml:space="preserve">ROGERIO </v>
      </c>
      <c r="I645" t="str">
        <f t="shared" si="63"/>
        <v>BIBE PRODUTOS INFANTIS LTDA</v>
      </c>
      <c r="J645">
        <f t="shared" si="64"/>
        <v>0</v>
      </c>
      <c r="K645">
        <f t="shared" si="65"/>
        <v>1</v>
      </c>
    </row>
    <row r="646" spans="1:11" x14ac:dyDescent="0.25">
      <c r="A646" t="s">
        <v>429</v>
      </c>
      <c r="B646" t="s">
        <v>180</v>
      </c>
      <c r="C646" t="s">
        <v>50</v>
      </c>
      <c r="D646" s="3">
        <v>45605</v>
      </c>
      <c r="E646" t="s">
        <v>21</v>
      </c>
      <c r="F646" s="4" t="str">
        <f t="shared" si="60"/>
        <v>2024-11</v>
      </c>
      <c r="G646" s="18">
        <f t="shared" si="61"/>
        <v>45</v>
      </c>
      <c r="H646" t="str">
        <f t="shared" si="62"/>
        <v xml:space="preserve">ROGERIO </v>
      </c>
      <c r="I646" t="str">
        <f t="shared" si="63"/>
        <v>ENCADESP LTDA ME</v>
      </c>
      <c r="J646">
        <f t="shared" si="64"/>
        <v>0</v>
      </c>
      <c r="K646">
        <f t="shared" si="65"/>
        <v>1</v>
      </c>
    </row>
    <row r="647" spans="1:11" x14ac:dyDescent="0.25">
      <c r="A647" t="s">
        <v>382</v>
      </c>
      <c r="B647" t="s">
        <v>129</v>
      </c>
      <c r="C647" t="s">
        <v>50</v>
      </c>
      <c r="D647" s="3">
        <v>45608</v>
      </c>
      <c r="E647" t="str">
        <f>VLOOKUP(B647,'PROCV GERENTES BD'!A:B,2,0)</f>
        <v>ADMINISTRAÇÃO</v>
      </c>
      <c r="F647" s="4" t="str">
        <f t="shared" si="60"/>
        <v>2024-11</v>
      </c>
      <c r="G647" s="18">
        <f t="shared" si="61"/>
        <v>46</v>
      </c>
      <c r="H647" t="str">
        <f t="shared" si="62"/>
        <v>ADMINISTRAÇÃO</v>
      </c>
      <c r="I647" t="str">
        <f t="shared" si="63"/>
        <v>XEQUE MATE BEBIDAS LTDA ME</v>
      </c>
      <c r="J647">
        <f t="shared" si="64"/>
        <v>0</v>
      </c>
      <c r="K647">
        <f t="shared" si="65"/>
        <v>1</v>
      </c>
    </row>
    <row r="648" spans="1:11" x14ac:dyDescent="0.25">
      <c r="A648" t="s">
        <v>319</v>
      </c>
      <c r="B648" t="s">
        <v>80</v>
      </c>
      <c r="C648" t="s">
        <v>50</v>
      </c>
      <c r="D648" s="3">
        <v>45608</v>
      </c>
      <c r="E648" t="str">
        <f>VLOOKUP(B648,'PROCV GERENTES BD'!A:B,2,0)</f>
        <v>CELIO PIMENTA</v>
      </c>
      <c r="F648" s="4" t="str">
        <f t="shared" si="60"/>
        <v>2024-11</v>
      </c>
      <c r="G648" s="18">
        <f t="shared" si="61"/>
        <v>46</v>
      </c>
      <c r="H648" t="str">
        <f t="shared" si="62"/>
        <v>CELIO PIMENTA</v>
      </c>
      <c r="I648" t="str">
        <f t="shared" si="63"/>
        <v>IMPORTEXTIL COMERCIO DE TECIDOS LTDA</v>
      </c>
      <c r="J648">
        <f t="shared" si="64"/>
        <v>0</v>
      </c>
      <c r="K648">
        <f t="shared" si="65"/>
        <v>1</v>
      </c>
    </row>
    <row r="649" spans="1:11" x14ac:dyDescent="0.25">
      <c r="A649" t="s">
        <v>323</v>
      </c>
      <c r="B649" t="s">
        <v>109</v>
      </c>
      <c r="C649" t="s">
        <v>66</v>
      </c>
      <c r="D649" s="3">
        <v>45608</v>
      </c>
      <c r="E649" t="str">
        <f>VLOOKUP(B649,'PROCV GERENTES BD'!A:B,2,0)</f>
        <v>PROSPECTAR</v>
      </c>
      <c r="F649" s="4" t="str">
        <f t="shared" si="60"/>
        <v>2024-11</v>
      </c>
      <c r="G649" s="18">
        <f t="shared" si="61"/>
        <v>46</v>
      </c>
      <c r="H649" t="str">
        <f t="shared" si="62"/>
        <v>PROSPECTAR</v>
      </c>
      <c r="I649" t="str">
        <f t="shared" si="63"/>
        <v>SIAP COMERCIO DE PRODUTOS AGROPECUARIOS LTDA</v>
      </c>
      <c r="J649">
        <f t="shared" si="64"/>
        <v>1</v>
      </c>
      <c r="K649">
        <f t="shared" si="65"/>
        <v>0</v>
      </c>
    </row>
    <row r="650" spans="1:11" x14ac:dyDescent="0.25">
      <c r="A650" t="s">
        <v>339</v>
      </c>
      <c r="B650" t="s">
        <v>87</v>
      </c>
      <c r="C650" t="s">
        <v>53</v>
      </c>
      <c r="D650" s="3">
        <v>45608</v>
      </c>
      <c r="E650" t="str">
        <f>VLOOKUP(B650,'PROCV GERENTES BD'!A:B,2,0)</f>
        <v>NOELI SALETE</v>
      </c>
      <c r="F650" s="4" t="str">
        <f t="shared" si="60"/>
        <v>2024-11</v>
      </c>
      <c r="G650" s="18">
        <f t="shared" si="61"/>
        <v>46</v>
      </c>
      <c r="H650" t="str">
        <f t="shared" si="62"/>
        <v>NOELI SALETE</v>
      </c>
      <c r="I650" t="str">
        <f t="shared" si="63"/>
        <v>RODOBOX TRANSPORTES E ARMAZENAGEM DE CARGAS LTDA</v>
      </c>
      <c r="J650">
        <f t="shared" si="64"/>
        <v>1</v>
      </c>
      <c r="K650">
        <f t="shared" si="65"/>
        <v>1</v>
      </c>
    </row>
    <row r="651" spans="1:11" x14ac:dyDescent="0.25">
      <c r="A651" t="s">
        <v>353</v>
      </c>
      <c r="B651" t="s">
        <v>97</v>
      </c>
      <c r="C651" t="s">
        <v>66</v>
      </c>
      <c r="D651" s="3">
        <v>45608</v>
      </c>
      <c r="E651" t="str">
        <f>VLOOKUP(B651,'PROCV GERENTES BD'!A:B,2,0)</f>
        <v>PRISCILA METZ</v>
      </c>
      <c r="F651" s="4" t="str">
        <f t="shared" si="60"/>
        <v>2024-11</v>
      </c>
      <c r="G651" s="18">
        <f t="shared" si="61"/>
        <v>46</v>
      </c>
      <c r="H651" t="str">
        <f t="shared" si="62"/>
        <v>PRISCILA METZ</v>
      </c>
      <c r="I651" t="str">
        <f t="shared" si="63"/>
        <v>ESSENZA INDUSTRIA QUIMICA LTDA</v>
      </c>
      <c r="J651">
        <f t="shared" si="64"/>
        <v>1</v>
      </c>
      <c r="K651">
        <f t="shared" si="65"/>
        <v>0</v>
      </c>
    </row>
    <row r="652" spans="1:11" x14ac:dyDescent="0.25">
      <c r="A652" t="s">
        <v>376</v>
      </c>
      <c r="B652" t="s">
        <v>121</v>
      </c>
      <c r="C652" t="s">
        <v>50</v>
      </c>
      <c r="D652" s="3">
        <v>45608</v>
      </c>
      <c r="E652" t="str">
        <f>VLOOKUP(B652,'PROCV GERENTES BD'!A:B,2,0)</f>
        <v>PRISCILA METZ</v>
      </c>
      <c r="F652" s="4" t="str">
        <f t="shared" si="60"/>
        <v>2024-11</v>
      </c>
      <c r="G652" s="18">
        <f t="shared" si="61"/>
        <v>46</v>
      </c>
      <c r="H652" t="str">
        <f t="shared" si="62"/>
        <v>PRISCILA METZ</v>
      </c>
      <c r="I652" t="str">
        <f t="shared" si="63"/>
        <v>NOVA DISTRIBUIDORA E ATACADO DE LIMPEZA LTDA</v>
      </c>
      <c r="J652">
        <f t="shared" si="64"/>
        <v>0</v>
      </c>
      <c r="K652">
        <f t="shared" si="65"/>
        <v>1</v>
      </c>
    </row>
    <row r="653" spans="1:11" x14ac:dyDescent="0.25">
      <c r="A653" t="s">
        <v>326</v>
      </c>
      <c r="B653" t="s">
        <v>122</v>
      </c>
      <c r="C653" t="s">
        <v>50</v>
      </c>
      <c r="D653" s="3">
        <v>45608</v>
      </c>
      <c r="E653" t="s">
        <v>21</v>
      </c>
      <c r="F653" s="4" t="str">
        <f t="shared" si="60"/>
        <v>2024-11</v>
      </c>
      <c r="G653" s="18">
        <f t="shared" si="61"/>
        <v>46</v>
      </c>
      <c r="H653" t="str">
        <f t="shared" si="62"/>
        <v xml:space="preserve">ROGERIO </v>
      </c>
      <c r="I653" t="str">
        <f t="shared" si="63"/>
        <v>BIBE PRODUTOS INFANTIS LTDA</v>
      </c>
      <c r="J653">
        <f t="shared" si="64"/>
        <v>0</v>
      </c>
      <c r="K653">
        <f t="shared" si="65"/>
        <v>1</v>
      </c>
    </row>
    <row r="654" spans="1:11" x14ac:dyDescent="0.25">
      <c r="A654" t="s">
        <v>431</v>
      </c>
      <c r="B654" t="s">
        <v>182</v>
      </c>
      <c r="C654" t="s">
        <v>66</v>
      </c>
      <c r="D654" s="3">
        <v>45608</v>
      </c>
      <c r="E654" t="s">
        <v>21</v>
      </c>
      <c r="F654" s="4" t="str">
        <f t="shared" si="60"/>
        <v>2024-11</v>
      </c>
      <c r="G654" s="18">
        <f t="shared" si="61"/>
        <v>46</v>
      </c>
      <c r="H654" t="str">
        <f t="shared" si="62"/>
        <v xml:space="preserve">ROGERIO </v>
      </c>
      <c r="I654" t="str">
        <f t="shared" si="63"/>
        <v>GRF JEANS WEAR LTDA ME</v>
      </c>
      <c r="J654">
        <f t="shared" si="64"/>
        <v>1</v>
      </c>
      <c r="K654">
        <f t="shared" si="65"/>
        <v>0</v>
      </c>
    </row>
    <row r="655" spans="1:11" x14ac:dyDescent="0.25">
      <c r="A655" t="s">
        <v>314</v>
      </c>
      <c r="B655" t="s">
        <v>98</v>
      </c>
      <c r="C655" t="s">
        <v>50</v>
      </c>
      <c r="D655" s="3">
        <v>45608</v>
      </c>
      <c r="E655" t="str">
        <f>VLOOKUP(B655,'PROCV GERENTES BD'!A:B,2,0)</f>
        <v xml:space="preserve">ROGERIO </v>
      </c>
      <c r="F655" s="4" t="str">
        <f t="shared" si="60"/>
        <v>2024-11</v>
      </c>
      <c r="G655" s="18">
        <f t="shared" si="61"/>
        <v>46</v>
      </c>
      <c r="H655" t="str">
        <f t="shared" si="62"/>
        <v xml:space="preserve">ROGERIO </v>
      </c>
      <c r="I655" t="str">
        <f t="shared" si="63"/>
        <v>MUTCD CENTRO DISTRIBUICAO IND FABRICANTE COSMETICO</v>
      </c>
      <c r="J655">
        <f t="shared" si="64"/>
        <v>0</v>
      </c>
      <c r="K655">
        <f t="shared" si="65"/>
        <v>1</v>
      </c>
    </row>
    <row r="656" spans="1:11" x14ac:dyDescent="0.25">
      <c r="A656" t="s">
        <v>382</v>
      </c>
      <c r="B656" t="s">
        <v>129</v>
      </c>
      <c r="C656" t="s">
        <v>66</v>
      </c>
      <c r="D656" s="3">
        <v>45609</v>
      </c>
      <c r="E656" t="str">
        <f>VLOOKUP(B656,'PROCV GERENTES BD'!A:B,2,0)</f>
        <v>ADMINISTRAÇÃO</v>
      </c>
      <c r="F656" s="4" t="str">
        <f t="shared" si="60"/>
        <v>2024-11</v>
      </c>
      <c r="G656" s="18">
        <f t="shared" si="61"/>
        <v>46</v>
      </c>
      <c r="H656" t="str">
        <f t="shared" si="62"/>
        <v>ADMINISTRAÇÃO</v>
      </c>
      <c r="I656" t="str">
        <f t="shared" si="63"/>
        <v>XEQUE MATE BEBIDAS LTDA ME</v>
      </c>
      <c r="J656">
        <f t="shared" si="64"/>
        <v>1</v>
      </c>
      <c r="K656">
        <f t="shared" si="65"/>
        <v>0</v>
      </c>
    </row>
    <row r="657" spans="1:11" x14ac:dyDescent="0.25">
      <c r="A657" t="s">
        <v>372</v>
      </c>
      <c r="B657" t="s">
        <v>116</v>
      </c>
      <c r="C657" t="s">
        <v>66</v>
      </c>
      <c r="D657" s="3">
        <v>45609</v>
      </c>
      <c r="E657" t="str">
        <f>VLOOKUP(B657,'PROCV GERENTES BD'!A:B,2,0)</f>
        <v>ADMINISTRAÇÃO</v>
      </c>
      <c r="F657" s="4" t="str">
        <f t="shared" si="60"/>
        <v>2024-11</v>
      </c>
      <c r="G657" s="18">
        <f t="shared" si="61"/>
        <v>46</v>
      </c>
      <c r="H657" t="str">
        <f t="shared" si="62"/>
        <v>ADMINISTRAÇÃO</v>
      </c>
      <c r="I657" t="str">
        <f t="shared" si="63"/>
        <v>PREMOLDADOS MATOSINHOS LTDA EPP</v>
      </c>
      <c r="J657">
        <f t="shared" si="64"/>
        <v>1</v>
      </c>
      <c r="K657">
        <f t="shared" si="65"/>
        <v>0</v>
      </c>
    </row>
    <row r="658" spans="1:11" x14ac:dyDescent="0.25">
      <c r="A658" t="s">
        <v>304</v>
      </c>
      <c r="B658" t="s">
        <v>123</v>
      </c>
      <c r="C658" t="s">
        <v>66</v>
      </c>
      <c r="D658" s="3">
        <v>45609</v>
      </c>
      <c r="E658" t="str">
        <f>VLOOKUP(B658,'PROCV GERENTES BD'!A:B,2,0)</f>
        <v>ADMINISTRAÇÃO</v>
      </c>
      <c r="F658" s="4" t="str">
        <f t="shared" si="60"/>
        <v>2024-11</v>
      </c>
      <c r="G658" s="18">
        <f t="shared" si="61"/>
        <v>46</v>
      </c>
      <c r="H658" t="str">
        <f t="shared" si="62"/>
        <v>ADMINISTRAÇÃO</v>
      </c>
      <c r="I658" t="str">
        <f t="shared" si="63"/>
        <v>VIC LOGISTICA LTDA EM RECUPERACAO JUDICIAL</v>
      </c>
      <c r="J658">
        <f t="shared" si="64"/>
        <v>1</v>
      </c>
      <c r="K658">
        <f t="shared" si="65"/>
        <v>0</v>
      </c>
    </row>
    <row r="659" spans="1:11" x14ac:dyDescent="0.25">
      <c r="A659" t="s">
        <v>319</v>
      </c>
      <c r="B659" t="s">
        <v>80</v>
      </c>
      <c r="C659" t="s">
        <v>50</v>
      </c>
      <c r="D659" s="3">
        <v>45609</v>
      </c>
      <c r="E659" t="str">
        <f>VLOOKUP(B659,'PROCV GERENTES BD'!A:B,2,0)</f>
        <v>CELIO PIMENTA</v>
      </c>
      <c r="F659" s="4" t="str">
        <f t="shared" si="60"/>
        <v>2024-11</v>
      </c>
      <c r="G659" s="18">
        <f t="shared" si="61"/>
        <v>46</v>
      </c>
      <c r="H659" t="str">
        <f t="shared" si="62"/>
        <v>CELIO PIMENTA</v>
      </c>
      <c r="I659" t="str">
        <f t="shared" si="63"/>
        <v>IMPORTEXTIL COMERCIO DE TECIDOS LTDA</v>
      </c>
      <c r="J659">
        <f t="shared" si="64"/>
        <v>0</v>
      </c>
      <c r="K659">
        <f t="shared" si="65"/>
        <v>1</v>
      </c>
    </row>
    <row r="660" spans="1:11" x14ac:dyDescent="0.25">
      <c r="A660" t="s">
        <v>358</v>
      </c>
      <c r="B660" t="s">
        <v>104</v>
      </c>
      <c r="C660" t="s">
        <v>53</v>
      </c>
      <c r="D660" s="3">
        <v>45609</v>
      </c>
      <c r="E660" t="str">
        <f>VLOOKUP(B660,'PROCV GERENTES BD'!A:B,2,0)</f>
        <v>DIOGO AZEVEDO</v>
      </c>
      <c r="F660" s="4" t="str">
        <f t="shared" si="60"/>
        <v>2024-11</v>
      </c>
      <c r="G660" s="18">
        <f t="shared" si="61"/>
        <v>46</v>
      </c>
      <c r="H660" t="str">
        <f t="shared" si="62"/>
        <v>DIOGO AZEVEDO</v>
      </c>
      <c r="I660" t="str">
        <f t="shared" si="63"/>
        <v>INDUSTRIA E CERVEJARIA ARTESANAL DE MINAS GERAIS L</v>
      </c>
      <c r="J660">
        <f t="shared" si="64"/>
        <v>1</v>
      </c>
      <c r="K660">
        <f t="shared" si="65"/>
        <v>1</v>
      </c>
    </row>
    <row r="661" spans="1:11" x14ac:dyDescent="0.25">
      <c r="A661" t="s">
        <v>410</v>
      </c>
      <c r="B661" t="s">
        <v>160</v>
      </c>
      <c r="C661" t="s">
        <v>66</v>
      </c>
      <c r="D661" s="3">
        <v>45609</v>
      </c>
      <c r="E661" t="str">
        <f>VLOOKUP(B661,'PROCV GERENTES BD'!A:B,2,0)</f>
        <v>PROSPECTAR</v>
      </c>
      <c r="F661" s="4" t="str">
        <f t="shared" si="60"/>
        <v>2024-11</v>
      </c>
      <c r="G661" s="18">
        <f t="shared" si="61"/>
        <v>46</v>
      </c>
      <c r="H661" t="str">
        <f t="shared" si="62"/>
        <v>PROSPECTAR</v>
      </c>
      <c r="I661" t="str">
        <f t="shared" si="63"/>
        <v>ESCUDO ADMINISTRACAO E SERVICOS LTDA EM RECUPERACA</v>
      </c>
      <c r="J661">
        <f t="shared" si="64"/>
        <v>1</v>
      </c>
      <c r="K661">
        <f t="shared" si="65"/>
        <v>0</v>
      </c>
    </row>
    <row r="662" spans="1:11" x14ac:dyDescent="0.25">
      <c r="A662" t="s">
        <v>411</v>
      </c>
      <c r="B662" t="s">
        <v>161</v>
      </c>
      <c r="C662" t="s">
        <v>66</v>
      </c>
      <c r="D662" s="3">
        <v>45609</v>
      </c>
      <c r="E662" t="str">
        <f>VLOOKUP(B662,'PROCV GERENTES BD'!A:B,2,0)</f>
        <v>PROSPECTAR</v>
      </c>
      <c r="F662" s="4" t="str">
        <f t="shared" si="60"/>
        <v>2024-11</v>
      </c>
      <c r="G662" s="18">
        <f t="shared" si="61"/>
        <v>46</v>
      </c>
      <c r="H662" t="str">
        <f t="shared" si="62"/>
        <v>PROSPECTAR</v>
      </c>
      <c r="I662" t="str">
        <f t="shared" si="63"/>
        <v>ESCUDO VIGILANCIA E SEGURANCA LTDA EM RECUPERACAO</v>
      </c>
      <c r="J662">
        <f t="shared" si="64"/>
        <v>1</v>
      </c>
      <c r="K662">
        <f t="shared" si="65"/>
        <v>0</v>
      </c>
    </row>
    <row r="663" spans="1:11" x14ac:dyDescent="0.25">
      <c r="A663" t="s">
        <v>412</v>
      </c>
      <c r="B663" t="s">
        <v>162</v>
      </c>
      <c r="C663" t="s">
        <v>66</v>
      </c>
      <c r="D663" s="3">
        <v>45609</v>
      </c>
      <c r="E663" t="str">
        <f>VLOOKUP(B663,'PROCV GERENTES BD'!A:B,2,0)</f>
        <v>PROSPECTAR</v>
      </c>
      <c r="F663" s="4" t="str">
        <f t="shared" si="60"/>
        <v>2024-11</v>
      </c>
      <c r="G663" s="18">
        <f t="shared" si="61"/>
        <v>46</v>
      </c>
      <c r="H663" t="str">
        <f t="shared" si="62"/>
        <v>PROSPECTAR</v>
      </c>
      <c r="I663" t="str">
        <f t="shared" si="63"/>
        <v>MORIA PRESTACAO DE SERVICOS LTDA ME</v>
      </c>
      <c r="J663">
        <f t="shared" si="64"/>
        <v>1</v>
      </c>
      <c r="K663">
        <f t="shared" si="65"/>
        <v>0</v>
      </c>
    </row>
    <row r="664" spans="1:11" x14ac:dyDescent="0.25">
      <c r="A664" t="s">
        <v>324</v>
      </c>
      <c r="B664" t="s">
        <v>119</v>
      </c>
      <c r="C664" t="s">
        <v>50</v>
      </c>
      <c r="D664" s="3">
        <v>45609</v>
      </c>
      <c r="E664" t="str">
        <f>VLOOKUP(B664,'PROCV GERENTES BD'!A:B,2,0)</f>
        <v>PROSPECTAR</v>
      </c>
      <c r="F664" s="4" t="str">
        <f t="shared" si="60"/>
        <v>2024-11</v>
      </c>
      <c r="G664" s="18">
        <f t="shared" si="61"/>
        <v>46</v>
      </c>
      <c r="H664" t="str">
        <f t="shared" si="62"/>
        <v>PROSPECTAR</v>
      </c>
      <c r="I664" t="str">
        <f t="shared" si="63"/>
        <v>TRANSHENRY TRANSPORTES LTDA</v>
      </c>
      <c r="J664">
        <f t="shared" si="64"/>
        <v>0</v>
      </c>
      <c r="K664">
        <f t="shared" si="65"/>
        <v>1</v>
      </c>
    </row>
    <row r="665" spans="1:11" x14ac:dyDescent="0.25">
      <c r="A665" t="s">
        <v>323</v>
      </c>
      <c r="B665" t="s">
        <v>109</v>
      </c>
      <c r="C665" t="s">
        <v>50</v>
      </c>
      <c r="D665" s="3">
        <v>45609</v>
      </c>
      <c r="E665" t="str">
        <f>VLOOKUP(B665,'PROCV GERENTES BD'!A:B,2,0)</f>
        <v>PROSPECTAR</v>
      </c>
      <c r="F665" s="4" t="str">
        <f t="shared" si="60"/>
        <v>2024-11</v>
      </c>
      <c r="G665" s="18">
        <f t="shared" si="61"/>
        <v>46</v>
      </c>
      <c r="H665" t="str">
        <f t="shared" si="62"/>
        <v>PROSPECTAR</v>
      </c>
      <c r="I665" t="str">
        <f t="shared" si="63"/>
        <v>SIAP COMERCIO DE PRODUTOS AGROPECUARIOS LTDA</v>
      </c>
      <c r="J665">
        <f t="shared" si="64"/>
        <v>0</v>
      </c>
      <c r="K665">
        <f t="shared" si="65"/>
        <v>1</v>
      </c>
    </row>
    <row r="666" spans="1:11" x14ac:dyDescent="0.25">
      <c r="A666" t="s">
        <v>428</v>
      </c>
      <c r="B666" t="s">
        <v>179</v>
      </c>
      <c r="C666" t="s">
        <v>50</v>
      </c>
      <c r="D666" s="3">
        <v>45609</v>
      </c>
      <c r="E666" t="str">
        <f>VLOOKUP(B666,'PROCV GERENTES BD'!A:B,2,0)</f>
        <v xml:space="preserve">MARCUS VINICIUS </v>
      </c>
      <c r="F666" s="4" t="str">
        <f t="shared" si="60"/>
        <v>2024-11</v>
      </c>
      <c r="G666" s="18">
        <f t="shared" si="61"/>
        <v>46</v>
      </c>
      <c r="H666" t="str">
        <f t="shared" si="62"/>
        <v xml:space="preserve">MARCUS VINICIUS </v>
      </c>
      <c r="I666" t="str">
        <f t="shared" si="63"/>
        <v>LABOR ELETRIC INDUSTRIA E COMERCIO UNIPESSOAL LTDA</v>
      </c>
      <c r="J666">
        <f t="shared" si="64"/>
        <v>0</v>
      </c>
      <c r="K666">
        <f t="shared" si="65"/>
        <v>1</v>
      </c>
    </row>
    <row r="667" spans="1:11" x14ac:dyDescent="0.25">
      <c r="A667" t="s">
        <v>394</v>
      </c>
      <c r="B667" t="s">
        <v>143</v>
      </c>
      <c r="C667" t="s">
        <v>50</v>
      </c>
      <c r="D667" s="3">
        <v>45609</v>
      </c>
      <c r="E667" t="str">
        <f>VLOOKUP(B667,'PROCV GERENTES BD'!A:B,2,0)</f>
        <v>NOELI SALETE</v>
      </c>
      <c r="F667" s="4" t="str">
        <f t="shared" si="60"/>
        <v>2024-11</v>
      </c>
      <c r="G667" s="18">
        <f t="shared" si="61"/>
        <v>46</v>
      </c>
      <c r="H667" t="str">
        <f t="shared" si="62"/>
        <v>NOELI SALETE</v>
      </c>
      <c r="I667" t="str">
        <f t="shared" si="63"/>
        <v>ALBERTO H DA SILVA ME</v>
      </c>
      <c r="J667">
        <f t="shared" si="64"/>
        <v>0</v>
      </c>
      <c r="K667">
        <f t="shared" si="65"/>
        <v>1</v>
      </c>
    </row>
    <row r="668" spans="1:11" x14ac:dyDescent="0.25">
      <c r="A668" t="s">
        <v>407</v>
      </c>
      <c r="B668" t="s">
        <v>157</v>
      </c>
      <c r="C668" t="s">
        <v>66</v>
      </c>
      <c r="D668" s="3">
        <v>45609</v>
      </c>
      <c r="E668" t="str">
        <f>VLOOKUP(B668,'PROCV GERENTES BD'!A:B,2,0)</f>
        <v>NOELI SALETE</v>
      </c>
      <c r="F668" s="4" t="str">
        <f t="shared" si="60"/>
        <v>2024-11</v>
      </c>
      <c r="G668" s="18">
        <f t="shared" si="61"/>
        <v>46</v>
      </c>
      <c r="H668" t="str">
        <f t="shared" si="62"/>
        <v>NOELI SALETE</v>
      </c>
      <c r="I668" t="str">
        <f t="shared" si="63"/>
        <v>SGAMAQ INOVACAO AGROINDUSTRIAL LTDA</v>
      </c>
      <c r="J668">
        <f t="shared" si="64"/>
        <v>1</v>
      </c>
      <c r="K668">
        <f t="shared" si="65"/>
        <v>0</v>
      </c>
    </row>
    <row r="669" spans="1:11" x14ac:dyDescent="0.25">
      <c r="A669" t="s">
        <v>346</v>
      </c>
      <c r="B669" t="s">
        <v>91</v>
      </c>
      <c r="C669" t="s">
        <v>50</v>
      </c>
      <c r="D669" s="3">
        <v>45609</v>
      </c>
      <c r="E669" t="str">
        <f>VLOOKUP(B669,'PROCV GERENTES BD'!A:B,2,0)</f>
        <v>POENATELA</v>
      </c>
      <c r="F669" s="4" t="str">
        <f t="shared" si="60"/>
        <v>2024-11</v>
      </c>
      <c r="G669" s="18">
        <f t="shared" si="61"/>
        <v>46</v>
      </c>
      <c r="H669" t="str">
        <f t="shared" si="62"/>
        <v>POENATELA</v>
      </c>
      <c r="I669" t="str">
        <f t="shared" si="63"/>
        <v>UBERTEC SERVICE USINAGEM LTDA EPP</v>
      </c>
      <c r="J669">
        <f t="shared" si="64"/>
        <v>0</v>
      </c>
      <c r="K669">
        <f t="shared" si="65"/>
        <v>1</v>
      </c>
    </row>
    <row r="670" spans="1:11" x14ac:dyDescent="0.25">
      <c r="A670" t="s">
        <v>436</v>
      </c>
      <c r="B670" t="s">
        <v>187</v>
      </c>
      <c r="C670" t="s">
        <v>50</v>
      </c>
      <c r="D670" s="3">
        <v>45609</v>
      </c>
      <c r="E670" t="str">
        <f>VLOOKUP(B670,'PROCV GERENTES BD'!A:B,2,0)</f>
        <v>PRISCILA METZ</v>
      </c>
      <c r="F670" s="4" t="str">
        <f t="shared" si="60"/>
        <v>2024-11</v>
      </c>
      <c r="G670" s="18">
        <f t="shared" si="61"/>
        <v>46</v>
      </c>
      <c r="H670" t="str">
        <f t="shared" si="62"/>
        <v>PRISCILA METZ</v>
      </c>
      <c r="I670" t="str">
        <f t="shared" si="63"/>
        <v>BIO HEALTH COLCHOES LTDA EPP</v>
      </c>
      <c r="J670">
        <f t="shared" si="64"/>
        <v>0</v>
      </c>
      <c r="K670">
        <f t="shared" si="65"/>
        <v>1</v>
      </c>
    </row>
    <row r="671" spans="1:11" x14ac:dyDescent="0.25">
      <c r="A671" t="s">
        <v>376</v>
      </c>
      <c r="B671" t="s">
        <v>121</v>
      </c>
      <c r="C671" t="s">
        <v>50</v>
      </c>
      <c r="D671" s="3">
        <v>45609</v>
      </c>
      <c r="E671" t="str">
        <f>VLOOKUP(B671,'PROCV GERENTES BD'!A:B,2,0)</f>
        <v>PRISCILA METZ</v>
      </c>
      <c r="F671" s="4" t="str">
        <f t="shared" si="60"/>
        <v>2024-11</v>
      </c>
      <c r="G671" s="18">
        <f t="shared" si="61"/>
        <v>46</v>
      </c>
      <c r="H671" t="str">
        <f t="shared" si="62"/>
        <v>PRISCILA METZ</v>
      </c>
      <c r="I671" t="str">
        <f t="shared" si="63"/>
        <v>NOVA DISTRIBUIDORA E ATACADO DE LIMPEZA LTDA</v>
      </c>
      <c r="J671">
        <f t="shared" si="64"/>
        <v>0</v>
      </c>
      <c r="K671">
        <f t="shared" si="65"/>
        <v>1</v>
      </c>
    </row>
    <row r="672" spans="1:11" x14ac:dyDescent="0.25">
      <c r="A672" t="s">
        <v>331</v>
      </c>
      <c r="B672" t="s">
        <v>144</v>
      </c>
      <c r="C672" t="s">
        <v>66</v>
      </c>
      <c r="D672" s="3">
        <v>45610</v>
      </c>
      <c r="E672" t="str">
        <f>VLOOKUP(B672,'PROCV GERENTES BD'!A:B,2,0)</f>
        <v>ADMINISTRAÇÃO</v>
      </c>
      <c r="F672" s="4" t="str">
        <f t="shared" si="60"/>
        <v>2024-11</v>
      </c>
      <c r="G672" s="18">
        <f t="shared" si="61"/>
        <v>46</v>
      </c>
      <c r="H672" t="str">
        <f t="shared" si="62"/>
        <v>ADMINISTRAÇÃO</v>
      </c>
      <c r="I672" t="str">
        <f t="shared" si="63"/>
        <v>BOM PASTOR PAPEIS LTDA EM RECUPERACAO JUDICIAL</v>
      </c>
      <c r="J672">
        <f t="shared" si="64"/>
        <v>1</v>
      </c>
      <c r="K672">
        <f t="shared" si="65"/>
        <v>0</v>
      </c>
    </row>
    <row r="673" spans="1:11" x14ac:dyDescent="0.25">
      <c r="A673" t="s">
        <v>373</v>
      </c>
      <c r="B673" t="s">
        <v>117</v>
      </c>
      <c r="C673" t="s">
        <v>50</v>
      </c>
      <c r="D673" s="3">
        <v>45610</v>
      </c>
      <c r="E673" t="str">
        <f>VLOOKUP(B673,'PROCV GERENTES BD'!A:B,2,0)</f>
        <v>ADMINISTRAÇÃO</v>
      </c>
      <c r="F673" s="4" t="str">
        <f t="shared" si="60"/>
        <v>2024-11</v>
      </c>
      <c r="G673" s="18">
        <f t="shared" si="61"/>
        <v>46</v>
      </c>
      <c r="H673" t="str">
        <f t="shared" si="62"/>
        <v>ADMINISTRAÇÃO</v>
      </c>
      <c r="I673" t="str">
        <f t="shared" si="63"/>
        <v>VIVAN TRANSPORTES LTDA</v>
      </c>
      <c r="J673">
        <f t="shared" si="64"/>
        <v>0</v>
      </c>
      <c r="K673">
        <f t="shared" si="65"/>
        <v>1</v>
      </c>
    </row>
    <row r="674" spans="1:11" x14ac:dyDescent="0.25">
      <c r="A674" t="s">
        <v>319</v>
      </c>
      <c r="B674" t="s">
        <v>80</v>
      </c>
      <c r="C674" t="s">
        <v>50</v>
      </c>
      <c r="D674" s="3">
        <v>45610</v>
      </c>
      <c r="E674" t="str">
        <f>VLOOKUP(B674,'PROCV GERENTES BD'!A:B,2,0)</f>
        <v>CELIO PIMENTA</v>
      </c>
      <c r="F674" s="4" t="str">
        <f t="shared" si="60"/>
        <v>2024-11</v>
      </c>
      <c r="G674" s="18">
        <f t="shared" si="61"/>
        <v>46</v>
      </c>
      <c r="H674" t="str">
        <f t="shared" si="62"/>
        <v>CELIO PIMENTA</v>
      </c>
      <c r="I674" t="str">
        <f t="shared" si="63"/>
        <v>IMPORTEXTIL COMERCIO DE TECIDOS LTDA</v>
      </c>
      <c r="J674">
        <f t="shared" si="64"/>
        <v>0</v>
      </c>
      <c r="K674">
        <f t="shared" si="65"/>
        <v>1</v>
      </c>
    </row>
    <row r="675" spans="1:11" x14ac:dyDescent="0.25">
      <c r="A675" t="s">
        <v>311</v>
      </c>
      <c r="B675" t="s">
        <v>81</v>
      </c>
      <c r="C675" t="s">
        <v>66</v>
      </c>
      <c r="D675" s="3">
        <v>45610</v>
      </c>
      <c r="E675" t="str">
        <f>VLOOKUP(B675,'PROCV GERENTES BD'!A:B,2,0)</f>
        <v>CELIO PIMENTA</v>
      </c>
      <c r="F675" s="4" t="str">
        <f t="shared" si="60"/>
        <v>2024-11</v>
      </c>
      <c r="G675" s="18">
        <f t="shared" si="61"/>
        <v>46</v>
      </c>
      <c r="H675" t="str">
        <f t="shared" si="62"/>
        <v>CELIO PIMENTA</v>
      </c>
      <c r="I675" t="str">
        <f t="shared" si="63"/>
        <v>MBIOLOG DIAGNOSTICOS LTDA</v>
      </c>
      <c r="J675">
        <f t="shared" si="64"/>
        <v>1</v>
      </c>
      <c r="K675">
        <f t="shared" si="65"/>
        <v>0</v>
      </c>
    </row>
    <row r="676" spans="1:11" x14ac:dyDescent="0.25">
      <c r="A676" t="s">
        <v>54</v>
      </c>
      <c r="B676" t="s">
        <v>55</v>
      </c>
      <c r="C676" t="s">
        <v>50</v>
      </c>
      <c r="D676" s="3">
        <v>45610</v>
      </c>
      <c r="E676" t="str">
        <f>VLOOKUP(B676,'PROCV GERENTES BD'!A:B,2,0)</f>
        <v>CELIO PIMENTA</v>
      </c>
      <c r="F676" s="4" t="str">
        <f t="shared" si="60"/>
        <v>2024-11</v>
      </c>
      <c r="G676" s="18">
        <f t="shared" si="61"/>
        <v>46</v>
      </c>
      <c r="H676" t="str">
        <f t="shared" si="62"/>
        <v>CELIO PIMENTA</v>
      </c>
      <c r="I676" t="str">
        <f t="shared" si="63"/>
        <v>WJ CALDEIRARIA INDUSTRIA E COMERCIO LTDA ME</v>
      </c>
      <c r="J676">
        <f t="shared" si="64"/>
        <v>0</v>
      </c>
      <c r="K676">
        <f t="shared" si="65"/>
        <v>1</v>
      </c>
    </row>
    <row r="677" spans="1:11" x14ac:dyDescent="0.25">
      <c r="A677" t="s">
        <v>323</v>
      </c>
      <c r="B677" t="s">
        <v>109</v>
      </c>
      <c r="C677" t="s">
        <v>66</v>
      </c>
      <c r="D677" s="3">
        <v>45610</v>
      </c>
      <c r="E677" t="str">
        <f>VLOOKUP(B677,'PROCV GERENTES BD'!A:B,2,0)</f>
        <v>PROSPECTAR</v>
      </c>
      <c r="F677" s="4" t="str">
        <f t="shared" si="60"/>
        <v>2024-11</v>
      </c>
      <c r="G677" s="18">
        <f t="shared" si="61"/>
        <v>46</v>
      </c>
      <c r="H677" t="str">
        <f t="shared" si="62"/>
        <v>PROSPECTAR</v>
      </c>
      <c r="I677" t="str">
        <f t="shared" si="63"/>
        <v>SIAP COMERCIO DE PRODUTOS AGROPECUARIOS LTDA</v>
      </c>
      <c r="J677">
        <f t="shared" si="64"/>
        <v>1</v>
      </c>
      <c r="K677">
        <f t="shared" si="65"/>
        <v>0</v>
      </c>
    </row>
    <row r="678" spans="1:11" x14ac:dyDescent="0.25">
      <c r="A678" t="s">
        <v>428</v>
      </c>
      <c r="B678" t="s">
        <v>179</v>
      </c>
      <c r="C678" t="s">
        <v>50</v>
      </c>
      <c r="D678" s="3">
        <v>45610</v>
      </c>
      <c r="E678" t="str">
        <f>VLOOKUP(B678,'PROCV GERENTES BD'!A:B,2,0)</f>
        <v xml:space="preserve">MARCUS VINICIUS </v>
      </c>
      <c r="F678" s="4" t="str">
        <f t="shared" si="60"/>
        <v>2024-11</v>
      </c>
      <c r="G678" s="18">
        <f t="shared" si="61"/>
        <v>46</v>
      </c>
      <c r="H678" t="str">
        <f t="shared" si="62"/>
        <v xml:space="preserve">MARCUS VINICIUS </v>
      </c>
      <c r="I678" t="str">
        <f t="shared" si="63"/>
        <v>LABOR ELETRIC INDUSTRIA E COMERCIO UNIPESSOAL LTDA</v>
      </c>
      <c r="J678">
        <f t="shared" si="64"/>
        <v>0</v>
      </c>
      <c r="K678">
        <f t="shared" si="65"/>
        <v>1</v>
      </c>
    </row>
    <row r="679" spans="1:11" x14ac:dyDescent="0.25">
      <c r="A679" t="s">
        <v>339</v>
      </c>
      <c r="B679" t="s">
        <v>87</v>
      </c>
      <c r="C679" t="s">
        <v>66</v>
      </c>
      <c r="D679" s="3">
        <v>45610</v>
      </c>
      <c r="E679" t="str">
        <f>VLOOKUP(B679,'PROCV GERENTES BD'!A:B,2,0)</f>
        <v>NOELI SALETE</v>
      </c>
      <c r="F679" s="4" t="str">
        <f t="shared" si="60"/>
        <v>2024-11</v>
      </c>
      <c r="G679" s="18">
        <f t="shared" si="61"/>
        <v>46</v>
      </c>
      <c r="H679" t="str">
        <f t="shared" si="62"/>
        <v>NOELI SALETE</v>
      </c>
      <c r="I679" t="str">
        <f t="shared" si="63"/>
        <v>RODOBOX TRANSPORTES E ARMAZENAGEM DE CARGAS LTDA</v>
      </c>
      <c r="J679">
        <f t="shared" si="64"/>
        <v>1</v>
      </c>
      <c r="K679">
        <f t="shared" si="65"/>
        <v>0</v>
      </c>
    </row>
    <row r="680" spans="1:11" x14ac:dyDescent="0.25">
      <c r="A680" t="s">
        <v>389</v>
      </c>
      <c r="B680" t="s">
        <v>136</v>
      </c>
      <c r="C680" t="s">
        <v>66</v>
      </c>
      <c r="D680" s="3">
        <v>45610</v>
      </c>
      <c r="E680" t="str">
        <f>VLOOKUP(B680,'PROCV GERENTES BD'!A:B,2,0)</f>
        <v>POENATELA</v>
      </c>
      <c r="F680" s="4" t="str">
        <f t="shared" si="60"/>
        <v>2024-11</v>
      </c>
      <c r="G680" s="18">
        <f t="shared" si="61"/>
        <v>46</v>
      </c>
      <c r="H680" t="str">
        <f t="shared" si="62"/>
        <v>POENATELA</v>
      </c>
      <c r="I680" t="str">
        <f t="shared" si="63"/>
        <v>CONQUISTA INDUSTRIA DE MOVEIS S/A</v>
      </c>
      <c r="J680">
        <f t="shared" si="64"/>
        <v>1</v>
      </c>
      <c r="K680">
        <f t="shared" si="65"/>
        <v>0</v>
      </c>
    </row>
    <row r="681" spans="1:11" x14ac:dyDescent="0.25">
      <c r="A681" t="s">
        <v>423</v>
      </c>
      <c r="B681" t="s">
        <v>174</v>
      </c>
      <c r="C681" t="s">
        <v>50</v>
      </c>
      <c r="D681" s="3">
        <v>45610</v>
      </c>
      <c r="E681" t="str">
        <f>VLOOKUP(B681,'PROCV GERENTES BD'!A:B,2,0)</f>
        <v>POENATELA</v>
      </c>
      <c r="F681" s="4" t="str">
        <f t="shared" si="60"/>
        <v>2024-11</v>
      </c>
      <c r="G681" s="18">
        <f t="shared" si="61"/>
        <v>46</v>
      </c>
      <c r="H681" t="str">
        <f t="shared" si="62"/>
        <v>POENATELA</v>
      </c>
      <c r="I681" t="str">
        <f t="shared" si="63"/>
        <v>EXPRESSO PAV CONSTRUCOES E SERVICOS LTDA ME</v>
      </c>
      <c r="J681">
        <f t="shared" si="64"/>
        <v>0</v>
      </c>
      <c r="K681">
        <f t="shared" si="65"/>
        <v>1</v>
      </c>
    </row>
    <row r="682" spans="1:11" x14ac:dyDescent="0.25">
      <c r="A682" t="s">
        <v>346</v>
      </c>
      <c r="B682" t="s">
        <v>91</v>
      </c>
      <c r="C682" t="s">
        <v>53</v>
      </c>
      <c r="D682" s="3">
        <v>45610</v>
      </c>
      <c r="E682" t="str">
        <f>VLOOKUP(B682,'PROCV GERENTES BD'!A:B,2,0)</f>
        <v>POENATELA</v>
      </c>
      <c r="F682" s="4" t="str">
        <f t="shared" si="60"/>
        <v>2024-11</v>
      </c>
      <c r="G682" s="18">
        <f t="shared" si="61"/>
        <v>46</v>
      </c>
      <c r="H682" t="str">
        <f t="shared" si="62"/>
        <v>POENATELA</v>
      </c>
      <c r="I682" t="str">
        <f t="shared" si="63"/>
        <v>UBERTEC SERVICE USINAGEM LTDA EPP</v>
      </c>
      <c r="J682">
        <f t="shared" si="64"/>
        <v>1</v>
      </c>
      <c r="K682">
        <f t="shared" si="65"/>
        <v>1</v>
      </c>
    </row>
    <row r="683" spans="1:11" x14ac:dyDescent="0.25">
      <c r="A683" t="s">
        <v>353</v>
      </c>
      <c r="B683" t="s">
        <v>97</v>
      </c>
      <c r="C683" t="s">
        <v>50</v>
      </c>
      <c r="D683" s="3">
        <v>45610</v>
      </c>
      <c r="E683" t="str">
        <f>VLOOKUP(B683,'PROCV GERENTES BD'!A:B,2,0)</f>
        <v>PRISCILA METZ</v>
      </c>
      <c r="F683" s="4" t="str">
        <f t="shared" si="60"/>
        <v>2024-11</v>
      </c>
      <c r="G683" s="18">
        <f t="shared" si="61"/>
        <v>46</v>
      </c>
      <c r="H683" t="str">
        <f t="shared" si="62"/>
        <v>PRISCILA METZ</v>
      </c>
      <c r="I683" t="str">
        <f t="shared" si="63"/>
        <v>ESSENZA INDUSTRIA QUIMICA LTDA</v>
      </c>
      <c r="J683">
        <f t="shared" si="64"/>
        <v>0</v>
      </c>
      <c r="K683">
        <f t="shared" si="65"/>
        <v>1</v>
      </c>
    </row>
    <row r="684" spans="1:11" x14ac:dyDescent="0.25">
      <c r="A684" t="s">
        <v>409</v>
      </c>
      <c r="B684" t="s">
        <v>159</v>
      </c>
      <c r="C684" t="s">
        <v>50</v>
      </c>
      <c r="D684" s="3">
        <v>45610</v>
      </c>
      <c r="E684" t="str">
        <f>VLOOKUP(B684,'PROCV GERENTES BD'!A:B,2,0)</f>
        <v>RAFAEL PARISE</v>
      </c>
      <c r="F684" s="4" t="str">
        <f t="shared" si="60"/>
        <v>2024-11</v>
      </c>
      <c r="G684" s="18">
        <f t="shared" si="61"/>
        <v>46</v>
      </c>
      <c r="H684" t="str">
        <f t="shared" si="62"/>
        <v>RAFAEL PARISE</v>
      </c>
      <c r="I684" t="str">
        <f t="shared" si="63"/>
        <v>OXIGAS RESIDUOS ESPECIAIS LTDA EPP</v>
      </c>
      <c r="J684">
        <f t="shared" si="64"/>
        <v>0</v>
      </c>
      <c r="K684">
        <f t="shared" si="65"/>
        <v>1</v>
      </c>
    </row>
    <row r="685" spans="1:11" x14ac:dyDescent="0.25">
      <c r="A685" t="s">
        <v>421</v>
      </c>
      <c r="B685" t="s">
        <v>171</v>
      </c>
      <c r="C685" t="s">
        <v>66</v>
      </c>
      <c r="D685" s="3">
        <v>45610</v>
      </c>
      <c r="E685" t="str">
        <f>VLOOKUP(B685,'PROCV GERENTES BD'!A:B,2,0)</f>
        <v>WHELKYA IRIS</v>
      </c>
      <c r="F685" s="4" t="str">
        <f t="shared" si="60"/>
        <v>2024-11</v>
      </c>
      <c r="G685" s="18">
        <f t="shared" si="61"/>
        <v>46</v>
      </c>
      <c r="H685" t="str">
        <f t="shared" si="62"/>
        <v>WHELKYA IRIS</v>
      </c>
      <c r="I685" t="str">
        <f t="shared" si="63"/>
        <v>EDUARDO LUIZ SILVA DA LUZ ME</v>
      </c>
      <c r="J685">
        <f t="shared" si="64"/>
        <v>1</v>
      </c>
      <c r="K685">
        <f t="shared" si="65"/>
        <v>0</v>
      </c>
    </row>
    <row r="686" spans="1:11" x14ac:dyDescent="0.25">
      <c r="A686" t="s">
        <v>319</v>
      </c>
      <c r="B686" t="s">
        <v>80</v>
      </c>
      <c r="C686" t="s">
        <v>50</v>
      </c>
      <c r="D686" s="3">
        <v>45611</v>
      </c>
      <c r="E686" t="str">
        <f>VLOOKUP(B686,'PROCV GERENTES BD'!A:B,2,0)</f>
        <v>CELIO PIMENTA</v>
      </c>
      <c r="F686" s="4" t="str">
        <f t="shared" si="60"/>
        <v>2024-11</v>
      </c>
      <c r="G686" s="18">
        <f t="shared" si="61"/>
        <v>46</v>
      </c>
      <c r="H686" t="str">
        <f t="shared" si="62"/>
        <v>CELIO PIMENTA</v>
      </c>
      <c r="I686" t="str">
        <f t="shared" si="63"/>
        <v>IMPORTEXTIL COMERCIO DE TECIDOS LTDA</v>
      </c>
      <c r="J686">
        <f t="shared" si="64"/>
        <v>0</v>
      </c>
      <c r="K686">
        <f t="shared" si="65"/>
        <v>1</v>
      </c>
    </row>
    <row r="687" spans="1:11" x14ac:dyDescent="0.25">
      <c r="A687" t="s">
        <v>54</v>
      </c>
      <c r="B687" t="s">
        <v>55</v>
      </c>
      <c r="C687" t="s">
        <v>50</v>
      </c>
      <c r="D687" s="3">
        <v>45611</v>
      </c>
      <c r="E687" t="str">
        <f>VLOOKUP(B687,'PROCV GERENTES BD'!A:B,2,0)</f>
        <v>CELIO PIMENTA</v>
      </c>
      <c r="F687" s="4" t="str">
        <f t="shared" si="60"/>
        <v>2024-11</v>
      </c>
      <c r="G687" s="18">
        <f t="shared" si="61"/>
        <v>46</v>
      </c>
      <c r="H687" t="str">
        <f t="shared" si="62"/>
        <v>CELIO PIMENTA</v>
      </c>
      <c r="I687" t="str">
        <f t="shared" si="63"/>
        <v>WJ CALDEIRARIA INDUSTRIA E COMERCIO LTDA ME</v>
      </c>
      <c r="J687">
        <f t="shared" si="64"/>
        <v>0</v>
      </c>
      <c r="K687">
        <f t="shared" si="65"/>
        <v>1</v>
      </c>
    </row>
    <row r="688" spans="1:11" x14ac:dyDescent="0.25">
      <c r="A688" t="s">
        <v>324</v>
      </c>
      <c r="B688" t="s">
        <v>119</v>
      </c>
      <c r="C688" t="s">
        <v>50</v>
      </c>
      <c r="D688" s="3">
        <v>45611</v>
      </c>
      <c r="E688" t="str">
        <f>VLOOKUP(B688,'PROCV GERENTES BD'!A:B,2,0)</f>
        <v>PROSPECTAR</v>
      </c>
      <c r="F688" s="4" t="str">
        <f t="shared" si="60"/>
        <v>2024-11</v>
      </c>
      <c r="G688" s="18">
        <f t="shared" si="61"/>
        <v>46</v>
      </c>
      <c r="H688" t="str">
        <f t="shared" si="62"/>
        <v>PROSPECTAR</v>
      </c>
      <c r="I688" t="str">
        <f t="shared" si="63"/>
        <v>TRANSHENRY TRANSPORTES LTDA</v>
      </c>
      <c r="J688">
        <f t="shared" si="64"/>
        <v>0</v>
      </c>
      <c r="K688">
        <f t="shared" si="65"/>
        <v>1</v>
      </c>
    </row>
    <row r="689" spans="1:11" x14ac:dyDescent="0.25">
      <c r="A689" t="s">
        <v>428</v>
      </c>
      <c r="B689" t="s">
        <v>179</v>
      </c>
      <c r="C689" t="s">
        <v>50</v>
      </c>
      <c r="D689" s="3">
        <v>45611</v>
      </c>
      <c r="E689" t="str">
        <f>VLOOKUP(B689,'PROCV GERENTES BD'!A:B,2,0)</f>
        <v xml:space="preserve">MARCUS VINICIUS </v>
      </c>
      <c r="F689" s="4" t="str">
        <f t="shared" si="60"/>
        <v>2024-11</v>
      </c>
      <c r="G689" s="18">
        <f t="shared" si="61"/>
        <v>46</v>
      </c>
      <c r="H689" t="str">
        <f t="shared" si="62"/>
        <v xml:space="preserve">MARCUS VINICIUS </v>
      </c>
      <c r="I689" t="str">
        <f t="shared" si="63"/>
        <v>LABOR ELETRIC INDUSTRIA E COMERCIO UNIPESSOAL LTDA</v>
      </c>
      <c r="J689">
        <f t="shared" si="64"/>
        <v>0</v>
      </c>
      <c r="K689">
        <f t="shared" si="65"/>
        <v>1</v>
      </c>
    </row>
    <row r="690" spans="1:11" x14ac:dyDescent="0.25">
      <c r="A690" t="s">
        <v>385</v>
      </c>
      <c r="B690" t="s">
        <v>132</v>
      </c>
      <c r="C690" t="s">
        <v>50</v>
      </c>
      <c r="D690" s="3">
        <v>45611</v>
      </c>
      <c r="E690" t="str">
        <f>VLOOKUP(B690,'PROCV GERENTES BD'!A:B,2,0)</f>
        <v xml:space="preserve">MARCUS VINICIUS </v>
      </c>
      <c r="F690" s="4" t="str">
        <f t="shared" si="60"/>
        <v>2024-11</v>
      </c>
      <c r="G690" s="18">
        <f t="shared" si="61"/>
        <v>46</v>
      </c>
      <c r="H690" t="str">
        <f t="shared" si="62"/>
        <v xml:space="preserve">MARCUS VINICIUS </v>
      </c>
      <c r="I690" t="str">
        <f t="shared" si="63"/>
        <v>RODOANEL REFORMADORA DE IMPLEMENTOS RODOVIARIOS LT</v>
      </c>
      <c r="J690">
        <f t="shared" si="64"/>
        <v>0</v>
      </c>
      <c r="K690">
        <f t="shared" si="65"/>
        <v>1</v>
      </c>
    </row>
    <row r="691" spans="1:11" x14ac:dyDescent="0.25">
      <c r="A691" t="s">
        <v>422</v>
      </c>
      <c r="B691" t="s">
        <v>173</v>
      </c>
      <c r="C691" t="s">
        <v>50</v>
      </c>
      <c r="D691" s="3">
        <v>45611</v>
      </c>
      <c r="E691" t="str">
        <f>VLOOKUP(B691,'PROCV GERENTES BD'!A:B,2,0)</f>
        <v>NOELI SALETE</v>
      </c>
      <c r="F691" s="4" t="str">
        <f t="shared" si="60"/>
        <v>2024-11</v>
      </c>
      <c r="G691" s="18">
        <f t="shared" si="61"/>
        <v>46</v>
      </c>
      <c r="H691" t="str">
        <f t="shared" si="62"/>
        <v>NOELI SALETE</v>
      </c>
      <c r="I691" t="str">
        <f t="shared" si="63"/>
        <v>COMGROUP AGROINDUSTRIAL LTDA</v>
      </c>
      <c r="J691">
        <f t="shared" si="64"/>
        <v>0</v>
      </c>
      <c r="K691">
        <f t="shared" si="65"/>
        <v>1</v>
      </c>
    </row>
    <row r="692" spans="1:11" x14ac:dyDescent="0.25">
      <c r="A692" t="s">
        <v>339</v>
      </c>
      <c r="B692" t="s">
        <v>87</v>
      </c>
      <c r="C692" t="s">
        <v>50</v>
      </c>
      <c r="D692" s="3">
        <v>45611</v>
      </c>
      <c r="E692" t="str">
        <f>VLOOKUP(B692,'PROCV GERENTES BD'!A:B,2,0)</f>
        <v>NOELI SALETE</v>
      </c>
      <c r="F692" s="4" t="str">
        <f t="shared" si="60"/>
        <v>2024-11</v>
      </c>
      <c r="G692" s="18">
        <f t="shared" si="61"/>
        <v>46</v>
      </c>
      <c r="H692" t="str">
        <f t="shared" si="62"/>
        <v>NOELI SALETE</v>
      </c>
      <c r="I692" t="str">
        <f t="shared" si="63"/>
        <v>RODOBOX TRANSPORTES E ARMAZENAGEM DE CARGAS LTDA</v>
      </c>
      <c r="J692">
        <f t="shared" si="64"/>
        <v>0</v>
      </c>
      <c r="K692">
        <f t="shared" si="65"/>
        <v>1</v>
      </c>
    </row>
    <row r="693" spans="1:11" x14ac:dyDescent="0.25">
      <c r="A693" t="s">
        <v>407</v>
      </c>
      <c r="B693" t="s">
        <v>157</v>
      </c>
      <c r="C693" t="s">
        <v>66</v>
      </c>
      <c r="D693" s="3">
        <v>45611</v>
      </c>
      <c r="E693" t="str">
        <f>VLOOKUP(B693,'PROCV GERENTES BD'!A:B,2,0)</f>
        <v>NOELI SALETE</v>
      </c>
      <c r="F693" s="4" t="str">
        <f t="shared" si="60"/>
        <v>2024-11</v>
      </c>
      <c r="G693" s="18">
        <f t="shared" si="61"/>
        <v>46</v>
      </c>
      <c r="H693" t="str">
        <f t="shared" si="62"/>
        <v>NOELI SALETE</v>
      </c>
      <c r="I693" t="str">
        <f t="shared" si="63"/>
        <v>SGAMAQ INOVACAO AGROINDUSTRIAL LTDA</v>
      </c>
      <c r="J693">
        <f t="shared" si="64"/>
        <v>1</v>
      </c>
      <c r="K693">
        <f t="shared" si="65"/>
        <v>0</v>
      </c>
    </row>
    <row r="694" spans="1:11" x14ac:dyDescent="0.25">
      <c r="A694" t="s">
        <v>346</v>
      </c>
      <c r="B694" t="s">
        <v>91</v>
      </c>
      <c r="C694" t="s">
        <v>50</v>
      </c>
      <c r="D694" s="3">
        <v>45611</v>
      </c>
      <c r="E694" t="str">
        <f>VLOOKUP(B694,'PROCV GERENTES BD'!A:B,2,0)</f>
        <v>POENATELA</v>
      </c>
      <c r="F694" s="4" t="str">
        <f t="shared" si="60"/>
        <v>2024-11</v>
      </c>
      <c r="G694" s="18">
        <f t="shared" si="61"/>
        <v>46</v>
      </c>
      <c r="H694" t="str">
        <f t="shared" si="62"/>
        <v>POENATELA</v>
      </c>
      <c r="I694" t="str">
        <f t="shared" si="63"/>
        <v>UBERTEC SERVICE USINAGEM LTDA EPP</v>
      </c>
      <c r="J694">
        <f t="shared" si="64"/>
        <v>0</v>
      </c>
      <c r="K694">
        <f t="shared" si="65"/>
        <v>1</v>
      </c>
    </row>
    <row r="695" spans="1:11" x14ac:dyDescent="0.25">
      <c r="A695" t="s">
        <v>436</v>
      </c>
      <c r="B695" t="s">
        <v>187</v>
      </c>
      <c r="C695" t="s">
        <v>66</v>
      </c>
      <c r="D695" s="3">
        <v>45611</v>
      </c>
      <c r="E695" t="str">
        <f>VLOOKUP(B695,'PROCV GERENTES BD'!A:B,2,0)</f>
        <v>PRISCILA METZ</v>
      </c>
      <c r="F695" s="4" t="str">
        <f t="shared" si="60"/>
        <v>2024-11</v>
      </c>
      <c r="G695" s="18">
        <f t="shared" si="61"/>
        <v>46</v>
      </c>
      <c r="H695" t="str">
        <f t="shared" si="62"/>
        <v>PRISCILA METZ</v>
      </c>
      <c r="I695" t="str">
        <f t="shared" si="63"/>
        <v>BIO HEALTH COLCHOES LTDA EPP</v>
      </c>
      <c r="J695">
        <f t="shared" si="64"/>
        <v>1</v>
      </c>
      <c r="K695">
        <f t="shared" si="65"/>
        <v>0</v>
      </c>
    </row>
    <row r="696" spans="1:11" x14ac:dyDescent="0.25">
      <c r="A696" t="s">
        <v>361</v>
      </c>
      <c r="B696" t="s">
        <v>106</v>
      </c>
      <c r="C696" t="s">
        <v>71</v>
      </c>
      <c r="D696" s="3">
        <v>45611</v>
      </c>
      <c r="E696" t="str">
        <f>VLOOKUP(B696,'PROCV GERENTES BD'!A:B,2,0)</f>
        <v>PRISCILA METZ</v>
      </c>
      <c r="F696" s="4" t="str">
        <f t="shared" si="60"/>
        <v>2024-11</v>
      </c>
      <c r="G696" s="18">
        <f t="shared" si="61"/>
        <v>46</v>
      </c>
      <c r="H696" t="str">
        <f t="shared" si="62"/>
        <v>PRISCILA METZ</v>
      </c>
      <c r="I696" t="str">
        <f t="shared" si="63"/>
        <v>HERBAMED LABORATORIO NUTRACEUTICO LTDA</v>
      </c>
      <c r="J696">
        <f t="shared" si="64"/>
        <v>0</v>
      </c>
      <c r="K696">
        <f t="shared" si="65"/>
        <v>0</v>
      </c>
    </row>
    <row r="697" spans="1:11" x14ac:dyDescent="0.25">
      <c r="A697" t="s">
        <v>434</v>
      </c>
      <c r="B697" t="s">
        <v>185</v>
      </c>
      <c r="C697" t="s">
        <v>50</v>
      </c>
      <c r="D697" s="3">
        <v>45611</v>
      </c>
      <c r="E697" t="str">
        <f>VLOOKUP(B697,'PROCV GERENTES BD'!A:B,2,0)</f>
        <v>RAFAEL PARISE</v>
      </c>
      <c r="F697" s="4" t="str">
        <f t="shared" si="60"/>
        <v>2024-11</v>
      </c>
      <c r="G697" s="18">
        <f t="shared" si="61"/>
        <v>46</v>
      </c>
      <c r="H697" t="str">
        <f t="shared" si="62"/>
        <v>RAFAEL PARISE</v>
      </c>
      <c r="I697" t="str">
        <f t="shared" si="63"/>
        <v>MARCAS COMERCIO LTDA ME</v>
      </c>
      <c r="J697">
        <f t="shared" si="64"/>
        <v>0</v>
      </c>
      <c r="K697">
        <f t="shared" si="65"/>
        <v>1</v>
      </c>
    </row>
    <row r="698" spans="1:11" x14ac:dyDescent="0.25">
      <c r="A698" t="s">
        <v>76</v>
      </c>
      <c r="B698" t="s">
        <v>77</v>
      </c>
      <c r="C698" t="s">
        <v>66</v>
      </c>
      <c r="D698" s="3">
        <v>45611</v>
      </c>
      <c r="E698" t="str">
        <f>VLOOKUP(B698,'PROCV GERENTES BD'!A:B,2,0)</f>
        <v>RAFAEL PARISE</v>
      </c>
      <c r="F698" s="4" t="str">
        <f t="shared" si="60"/>
        <v>2024-11</v>
      </c>
      <c r="G698" s="18">
        <f t="shared" si="61"/>
        <v>46</v>
      </c>
      <c r="H698" t="str">
        <f t="shared" si="62"/>
        <v>RAFAEL PARISE</v>
      </c>
      <c r="I698" t="str">
        <f t="shared" si="63"/>
        <v>UNITA AUTO PECAS LTDA EPP</v>
      </c>
      <c r="J698">
        <f t="shared" si="64"/>
        <v>1</v>
      </c>
      <c r="K698">
        <f t="shared" si="65"/>
        <v>0</v>
      </c>
    </row>
    <row r="699" spans="1:11" x14ac:dyDescent="0.25">
      <c r="A699" t="s">
        <v>331</v>
      </c>
      <c r="B699" t="s">
        <v>144</v>
      </c>
      <c r="C699" t="s">
        <v>50</v>
      </c>
      <c r="D699" s="3">
        <v>45612</v>
      </c>
      <c r="E699" t="str">
        <f>VLOOKUP(B699,'PROCV GERENTES BD'!A:B,2,0)</f>
        <v>ADMINISTRAÇÃO</v>
      </c>
      <c r="F699" s="4" t="str">
        <f t="shared" si="60"/>
        <v>2024-11</v>
      </c>
      <c r="G699" s="18">
        <f t="shared" si="61"/>
        <v>46</v>
      </c>
      <c r="H699" t="str">
        <f t="shared" si="62"/>
        <v>ADMINISTRAÇÃO</v>
      </c>
      <c r="I699" t="str">
        <f t="shared" si="63"/>
        <v>BOM PASTOR PAPEIS LTDA EM RECUPERACAO JUDICIAL</v>
      </c>
      <c r="J699">
        <f t="shared" si="64"/>
        <v>0</v>
      </c>
      <c r="K699">
        <f t="shared" si="65"/>
        <v>1</v>
      </c>
    </row>
    <row r="700" spans="1:11" x14ac:dyDescent="0.25">
      <c r="A700" t="s">
        <v>372</v>
      </c>
      <c r="B700" t="s">
        <v>116</v>
      </c>
      <c r="C700" t="s">
        <v>50</v>
      </c>
      <c r="D700" s="3">
        <v>45612</v>
      </c>
      <c r="E700" t="str">
        <f>VLOOKUP(B700,'PROCV GERENTES BD'!A:B,2,0)</f>
        <v>ADMINISTRAÇÃO</v>
      </c>
      <c r="F700" s="4" t="str">
        <f t="shared" si="60"/>
        <v>2024-11</v>
      </c>
      <c r="G700" s="18">
        <f t="shared" si="61"/>
        <v>46</v>
      </c>
      <c r="H700" t="str">
        <f t="shared" si="62"/>
        <v>ADMINISTRAÇÃO</v>
      </c>
      <c r="I700" t="str">
        <f t="shared" si="63"/>
        <v>PREMOLDADOS MATOSINHOS LTDA EPP</v>
      </c>
      <c r="J700">
        <f t="shared" si="64"/>
        <v>0</v>
      </c>
      <c r="K700">
        <f t="shared" si="65"/>
        <v>1</v>
      </c>
    </row>
    <row r="701" spans="1:11" x14ac:dyDescent="0.25">
      <c r="A701" t="s">
        <v>304</v>
      </c>
      <c r="B701" t="s">
        <v>123</v>
      </c>
      <c r="C701" t="s">
        <v>66</v>
      </c>
      <c r="D701" s="3">
        <v>45612</v>
      </c>
      <c r="E701" t="str">
        <f>VLOOKUP(B701,'PROCV GERENTES BD'!A:B,2,0)</f>
        <v>ADMINISTRAÇÃO</v>
      </c>
      <c r="F701" s="4" t="str">
        <f t="shared" si="60"/>
        <v>2024-11</v>
      </c>
      <c r="G701" s="18">
        <f t="shared" si="61"/>
        <v>46</v>
      </c>
      <c r="H701" t="str">
        <f t="shared" si="62"/>
        <v>ADMINISTRAÇÃO</v>
      </c>
      <c r="I701" t="str">
        <f t="shared" si="63"/>
        <v>VIC LOGISTICA LTDA EM RECUPERACAO JUDICIAL</v>
      </c>
      <c r="J701">
        <f t="shared" si="64"/>
        <v>1</v>
      </c>
      <c r="K701">
        <f t="shared" si="65"/>
        <v>0</v>
      </c>
    </row>
    <row r="702" spans="1:11" x14ac:dyDescent="0.25">
      <c r="A702" t="s">
        <v>319</v>
      </c>
      <c r="B702" t="s">
        <v>80</v>
      </c>
      <c r="C702" t="s">
        <v>50</v>
      </c>
      <c r="D702" s="3">
        <v>45612</v>
      </c>
      <c r="E702" t="str">
        <f>VLOOKUP(B702,'PROCV GERENTES BD'!A:B,2,0)</f>
        <v>CELIO PIMENTA</v>
      </c>
      <c r="F702" s="4" t="str">
        <f t="shared" si="60"/>
        <v>2024-11</v>
      </c>
      <c r="G702" s="18">
        <f t="shared" si="61"/>
        <v>46</v>
      </c>
      <c r="H702" t="str">
        <f t="shared" si="62"/>
        <v>CELIO PIMENTA</v>
      </c>
      <c r="I702" t="str">
        <f t="shared" si="63"/>
        <v>IMPORTEXTIL COMERCIO DE TECIDOS LTDA</v>
      </c>
      <c r="J702">
        <f t="shared" si="64"/>
        <v>0</v>
      </c>
      <c r="K702">
        <f t="shared" si="65"/>
        <v>1</v>
      </c>
    </row>
    <row r="703" spans="1:11" x14ac:dyDescent="0.25">
      <c r="A703" t="s">
        <v>358</v>
      </c>
      <c r="B703" t="s">
        <v>104</v>
      </c>
      <c r="C703" t="s">
        <v>66</v>
      </c>
      <c r="D703" s="3">
        <v>45612</v>
      </c>
      <c r="E703" t="str">
        <f>VLOOKUP(B703,'PROCV GERENTES BD'!A:B,2,0)</f>
        <v>DIOGO AZEVEDO</v>
      </c>
      <c r="F703" s="4" t="str">
        <f t="shared" si="60"/>
        <v>2024-11</v>
      </c>
      <c r="G703" s="18">
        <f t="shared" si="61"/>
        <v>46</v>
      </c>
      <c r="H703" t="str">
        <f t="shared" si="62"/>
        <v>DIOGO AZEVEDO</v>
      </c>
      <c r="I703" t="str">
        <f t="shared" si="63"/>
        <v>INDUSTRIA E CERVEJARIA ARTESANAL DE MINAS GERAIS L</v>
      </c>
      <c r="J703">
        <f t="shared" si="64"/>
        <v>1</v>
      </c>
      <c r="K703">
        <f t="shared" si="65"/>
        <v>0</v>
      </c>
    </row>
    <row r="704" spans="1:11" x14ac:dyDescent="0.25">
      <c r="A704" t="s">
        <v>377</v>
      </c>
      <c r="B704" t="s">
        <v>124</v>
      </c>
      <c r="C704" t="s">
        <v>50</v>
      </c>
      <c r="D704" s="3">
        <v>45612</v>
      </c>
      <c r="E704" t="str">
        <f>VLOOKUP(B704,'PROCV GERENTES BD'!A:B,2,0)</f>
        <v>EDUARDO MATOSO</v>
      </c>
      <c r="F704" s="4" t="str">
        <f t="shared" si="60"/>
        <v>2024-11</v>
      </c>
      <c r="G704" s="18">
        <f t="shared" si="61"/>
        <v>46</v>
      </c>
      <c r="H704" t="str">
        <f t="shared" si="62"/>
        <v>EDUARDO MATOSO</v>
      </c>
      <c r="I704" t="str">
        <f t="shared" si="63"/>
        <v>STONE ENGENHARIA E MONTAGENS INDUSTRIAIS LTDA</v>
      </c>
      <c r="J704">
        <f t="shared" si="64"/>
        <v>0</v>
      </c>
      <c r="K704">
        <f t="shared" si="65"/>
        <v>1</v>
      </c>
    </row>
    <row r="705" spans="1:11" x14ac:dyDescent="0.25">
      <c r="A705" t="s">
        <v>324</v>
      </c>
      <c r="B705" t="s">
        <v>119</v>
      </c>
      <c r="C705" t="s">
        <v>50</v>
      </c>
      <c r="D705" s="3">
        <v>45612</v>
      </c>
      <c r="E705" t="str">
        <f>VLOOKUP(B705,'PROCV GERENTES BD'!A:B,2,0)</f>
        <v>PROSPECTAR</v>
      </c>
      <c r="F705" s="4" t="str">
        <f t="shared" si="60"/>
        <v>2024-11</v>
      </c>
      <c r="G705" s="18">
        <f t="shared" si="61"/>
        <v>46</v>
      </c>
      <c r="H705" t="str">
        <f t="shared" si="62"/>
        <v>PROSPECTAR</v>
      </c>
      <c r="I705" t="str">
        <f t="shared" si="63"/>
        <v>TRANSHENRY TRANSPORTES LTDA</v>
      </c>
      <c r="J705">
        <f t="shared" si="64"/>
        <v>0</v>
      </c>
      <c r="K705">
        <f t="shared" si="65"/>
        <v>1</v>
      </c>
    </row>
    <row r="706" spans="1:11" x14ac:dyDescent="0.25">
      <c r="A706" t="s">
        <v>369</v>
      </c>
      <c r="B706" t="s">
        <v>113</v>
      </c>
      <c r="C706" t="s">
        <v>50</v>
      </c>
      <c r="D706" s="3">
        <v>45612</v>
      </c>
      <c r="E706" t="str">
        <f>VLOOKUP(B706,'PROCV GERENTES BD'!A:B,2,0)</f>
        <v xml:space="preserve">MARCUS VINICIUS </v>
      </c>
      <c r="F706" s="4" t="str">
        <f t="shared" ref="F706:F769" si="66">YEAR(D706)&amp;"-"&amp;TEXT(MONTH(D706),"00")</f>
        <v>2024-11</v>
      </c>
      <c r="G706" s="18">
        <f t="shared" ref="G706:G769" si="67">WEEKNUM(D706)</f>
        <v>46</v>
      </c>
      <c r="H706" t="str">
        <f t="shared" ref="H706:H769" si="68">E706</f>
        <v xml:space="preserve">MARCUS VINICIUS </v>
      </c>
      <c r="I706" t="str">
        <f t="shared" ref="I706:I769" si="69">B706</f>
        <v>ISOBASE POLIESTIRENO LTDA EPP</v>
      </c>
      <c r="J706">
        <f t="shared" ref="J706:J769" si="70">IF(OR(C706="EXCLUSAO  ANOT.INADIMPLENCIA",C706="INCL/EXCL ANOT.INADIMPLENCIA"),1,0)</f>
        <v>0</v>
      </c>
      <c r="K706">
        <f t="shared" ref="K706:K769" si="71">IF(OR(C706="INCLUSAO  ANOT.INADIMPLENCIA",C706="INCL/EXCL ANOT.INADIMPLENCIA"),1,0)</f>
        <v>1</v>
      </c>
    </row>
    <row r="707" spans="1:11" x14ac:dyDescent="0.25">
      <c r="A707" t="s">
        <v>428</v>
      </c>
      <c r="B707" t="s">
        <v>179</v>
      </c>
      <c r="C707" t="s">
        <v>50</v>
      </c>
      <c r="D707" s="3">
        <v>45612</v>
      </c>
      <c r="E707" t="str">
        <f>VLOOKUP(B707,'PROCV GERENTES BD'!A:B,2,0)</f>
        <v xml:space="preserve">MARCUS VINICIUS </v>
      </c>
      <c r="F707" s="4" t="str">
        <f t="shared" si="66"/>
        <v>2024-11</v>
      </c>
      <c r="G707" s="18">
        <f t="shared" si="67"/>
        <v>46</v>
      </c>
      <c r="H707" t="str">
        <f t="shared" si="68"/>
        <v xml:space="preserve">MARCUS VINICIUS </v>
      </c>
      <c r="I707" t="str">
        <f t="shared" si="69"/>
        <v>LABOR ELETRIC INDUSTRIA E COMERCIO UNIPESSOAL LTDA</v>
      </c>
      <c r="J707">
        <f t="shared" si="70"/>
        <v>0</v>
      </c>
      <c r="K707">
        <f t="shared" si="71"/>
        <v>1</v>
      </c>
    </row>
    <row r="708" spans="1:11" x14ac:dyDescent="0.25">
      <c r="A708" t="s">
        <v>422</v>
      </c>
      <c r="B708" t="s">
        <v>173</v>
      </c>
      <c r="C708" t="s">
        <v>50</v>
      </c>
      <c r="D708" s="3">
        <v>45612</v>
      </c>
      <c r="E708" t="str">
        <f>VLOOKUP(B708,'PROCV GERENTES BD'!A:B,2,0)</f>
        <v>NOELI SALETE</v>
      </c>
      <c r="F708" s="4" t="str">
        <f t="shared" si="66"/>
        <v>2024-11</v>
      </c>
      <c r="G708" s="18">
        <f t="shared" si="67"/>
        <v>46</v>
      </c>
      <c r="H708" t="str">
        <f t="shared" si="68"/>
        <v>NOELI SALETE</v>
      </c>
      <c r="I708" t="str">
        <f t="shared" si="69"/>
        <v>COMGROUP AGROINDUSTRIAL LTDA</v>
      </c>
      <c r="J708">
        <f t="shared" si="70"/>
        <v>0</v>
      </c>
      <c r="K708">
        <f t="shared" si="71"/>
        <v>1</v>
      </c>
    </row>
    <row r="709" spans="1:11" x14ac:dyDescent="0.25">
      <c r="A709" t="s">
        <v>419</v>
      </c>
      <c r="B709" t="s">
        <v>169</v>
      </c>
      <c r="C709" t="s">
        <v>50</v>
      </c>
      <c r="D709" s="3">
        <v>45612</v>
      </c>
      <c r="E709" t="str">
        <f>VLOOKUP(B709,'PROCV GERENTES BD'!A:B,2,0)</f>
        <v>NOELI SALETE</v>
      </c>
      <c r="F709" s="4" t="str">
        <f t="shared" si="66"/>
        <v>2024-11</v>
      </c>
      <c r="G709" s="18">
        <f t="shared" si="67"/>
        <v>46</v>
      </c>
      <c r="H709" t="str">
        <f t="shared" si="68"/>
        <v>NOELI SALETE</v>
      </c>
      <c r="I709" t="str">
        <f t="shared" si="69"/>
        <v>GLOBAL ACO SERVICOS E PRODUTOS SIDERURGICOS LTDA E</v>
      </c>
      <c r="J709">
        <f t="shared" si="70"/>
        <v>0</v>
      </c>
      <c r="K709">
        <f t="shared" si="71"/>
        <v>1</v>
      </c>
    </row>
    <row r="710" spans="1:11" x14ac:dyDescent="0.25">
      <c r="A710" t="s">
        <v>339</v>
      </c>
      <c r="B710" t="s">
        <v>87</v>
      </c>
      <c r="C710" t="s">
        <v>50</v>
      </c>
      <c r="D710" s="3">
        <v>45612</v>
      </c>
      <c r="E710" t="str">
        <f>VLOOKUP(B710,'PROCV GERENTES BD'!A:B,2,0)</f>
        <v>NOELI SALETE</v>
      </c>
      <c r="F710" s="4" t="str">
        <f t="shared" si="66"/>
        <v>2024-11</v>
      </c>
      <c r="G710" s="18">
        <f t="shared" si="67"/>
        <v>46</v>
      </c>
      <c r="H710" t="str">
        <f t="shared" si="68"/>
        <v>NOELI SALETE</v>
      </c>
      <c r="I710" t="str">
        <f t="shared" si="69"/>
        <v>RODOBOX TRANSPORTES E ARMAZENAGEM DE CARGAS LTDA</v>
      </c>
      <c r="J710">
        <f t="shared" si="70"/>
        <v>0</v>
      </c>
      <c r="K710">
        <f t="shared" si="71"/>
        <v>1</v>
      </c>
    </row>
    <row r="711" spans="1:11" x14ac:dyDescent="0.25">
      <c r="A711" t="s">
        <v>394</v>
      </c>
      <c r="B711" t="s">
        <v>143</v>
      </c>
      <c r="C711" t="s">
        <v>50</v>
      </c>
      <c r="D711" s="3">
        <v>45612</v>
      </c>
      <c r="E711" t="str">
        <f>VLOOKUP(B711,'PROCV GERENTES BD'!A:B,2,0)</f>
        <v>NOELI SALETE</v>
      </c>
      <c r="F711" s="4" t="str">
        <f t="shared" si="66"/>
        <v>2024-11</v>
      </c>
      <c r="G711" s="18">
        <f t="shared" si="67"/>
        <v>46</v>
      </c>
      <c r="H711" t="str">
        <f t="shared" si="68"/>
        <v>NOELI SALETE</v>
      </c>
      <c r="I711" t="str">
        <f t="shared" si="69"/>
        <v>ALBERTO H DA SILVA ME</v>
      </c>
      <c r="J711">
        <f t="shared" si="70"/>
        <v>0</v>
      </c>
      <c r="K711">
        <f t="shared" si="71"/>
        <v>1</v>
      </c>
    </row>
    <row r="712" spans="1:11" x14ac:dyDescent="0.25">
      <c r="A712" t="s">
        <v>400</v>
      </c>
      <c r="B712" t="s">
        <v>150</v>
      </c>
      <c r="C712" t="s">
        <v>50</v>
      </c>
      <c r="D712" s="3">
        <v>45612</v>
      </c>
      <c r="E712" t="str">
        <f>VLOOKUP(B712,'PROCV GERENTES BD'!A:B,2,0)</f>
        <v>NOELI SALETE</v>
      </c>
      <c r="F712" s="4" t="str">
        <f t="shared" si="66"/>
        <v>2024-11</v>
      </c>
      <c r="G712" s="18">
        <f t="shared" si="67"/>
        <v>46</v>
      </c>
      <c r="H712" t="str">
        <f t="shared" si="68"/>
        <v>NOELI SALETE</v>
      </c>
      <c r="I712" t="str">
        <f t="shared" si="69"/>
        <v>POOLMAK SISTEMAS ESTRUTURAIS LTDA</v>
      </c>
      <c r="J712">
        <f t="shared" si="70"/>
        <v>0</v>
      </c>
      <c r="K712">
        <f t="shared" si="71"/>
        <v>1</v>
      </c>
    </row>
    <row r="713" spans="1:11" x14ac:dyDescent="0.25">
      <c r="A713" t="s">
        <v>417</v>
      </c>
      <c r="B713" t="s">
        <v>167</v>
      </c>
      <c r="C713" t="s">
        <v>50</v>
      </c>
      <c r="D713" s="3">
        <v>45612</v>
      </c>
      <c r="E713" t="str">
        <f>VLOOKUP(B713,'PROCV GERENTES BD'!A:B,2,0)</f>
        <v>POENATELA</v>
      </c>
      <c r="F713" s="4" t="str">
        <f t="shared" si="66"/>
        <v>2024-11</v>
      </c>
      <c r="G713" s="18">
        <f t="shared" si="67"/>
        <v>46</v>
      </c>
      <c r="H713" t="str">
        <f t="shared" si="68"/>
        <v>POENATELA</v>
      </c>
      <c r="I713" t="str">
        <f t="shared" si="69"/>
        <v>DETRONIC ENERGIA E SERVICOS LTDA</v>
      </c>
      <c r="J713">
        <f t="shared" si="70"/>
        <v>0</v>
      </c>
      <c r="K713">
        <f t="shared" si="71"/>
        <v>1</v>
      </c>
    </row>
    <row r="714" spans="1:11" x14ac:dyDescent="0.25">
      <c r="A714" t="s">
        <v>346</v>
      </c>
      <c r="B714" t="s">
        <v>91</v>
      </c>
      <c r="C714" t="s">
        <v>50</v>
      </c>
      <c r="D714" s="3">
        <v>45612</v>
      </c>
      <c r="E714" t="str">
        <f>VLOOKUP(B714,'PROCV GERENTES BD'!A:B,2,0)</f>
        <v>POENATELA</v>
      </c>
      <c r="F714" s="4" t="str">
        <f t="shared" si="66"/>
        <v>2024-11</v>
      </c>
      <c r="G714" s="18">
        <f t="shared" si="67"/>
        <v>46</v>
      </c>
      <c r="H714" t="str">
        <f t="shared" si="68"/>
        <v>POENATELA</v>
      </c>
      <c r="I714" t="str">
        <f t="shared" si="69"/>
        <v>UBERTEC SERVICE USINAGEM LTDA EPP</v>
      </c>
      <c r="J714">
        <f t="shared" si="70"/>
        <v>0</v>
      </c>
      <c r="K714">
        <f t="shared" si="71"/>
        <v>1</v>
      </c>
    </row>
    <row r="715" spans="1:11" x14ac:dyDescent="0.25">
      <c r="A715" t="s">
        <v>436</v>
      </c>
      <c r="B715" t="s">
        <v>187</v>
      </c>
      <c r="C715" t="s">
        <v>66</v>
      </c>
      <c r="D715" s="3">
        <v>45612</v>
      </c>
      <c r="E715" t="str">
        <f>VLOOKUP(B715,'PROCV GERENTES BD'!A:B,2,0)</f>
        <v>PRISCILA METZ</v>
      </c>
      <c r="F715" s="4" t="str">
        <f t="shared" si="66"/>
        <v>2024-11</v>
      </c>
      <c r="G715" s="18">
        <f t="shared" si="67"/>
        <v>46</v>
      </c>
      <c r="H715" t="str">
        <f t="shared" si="68"/>
        <v>PRISCILA METZ</v>
      </c>
      <c r="I715" t="str">
        <f t="shared" si="69"/>
        <v>BIO HEALTH COLCHOES LTDA EPP</v>
      </c>
      <c r="J715">
        <f t="shared" si="70"/>
        <v>1</v>
      </c>
      <c r="K715">
        <f t="shared" si="71"/>
        <v>0</v>
      </c>
    </row>
    <row r="716" spans="1:11" x14ac:dyDescent="0.25">
      <c r="A716" t="s">
        <v>433</v>
      </c>
      <c r="B716" t="s">
        <v>184</v>
      </c>
      <c r="C716" t="s">
        <v>50</v>
      </c>
      <c r="D716" s="3">
        <v>45612</v>
      </c>
      <c r="E716" t="str">
        <f>VLOOKUP(B716,'PROCV GERENTES BD'!A:B,2,0)</f>
        <v>PRISCILA METZ</v>
      </c>
      <c r="F716" s="4" t="str">
        <f t="shared" si="66"/>
        <v>2024-11</v>
      </c>
      <c r="G716" s="18">
        <f t="shared" si="67"/>
        <v>46</v>
      </c>
      <c r="H716" t="str">
        <f t="shared" si="68"/>
        <v>PRISCILA METZ</v>
      </c>
      <c r="I716" t="str">
        <f t="shared" si="69"/>
        <v>FRANZAO COLCHOES LTDA EPP</v>
      </c>
      <c r="J716">
        <f t="shared" si="70"/>
        <v>0</v>
      </c>
      <c r="K716">
        <f t="shared" si="71"/>
        <v>1</v>
      </c>
    </row>
    <row r="717" spans="1:11" x14ac:dyDescent="0.25">
      <c r="A717" t="s">
        <v>376</v>
      </c>
      <c r="B717" t="s">
        <v>121</v>
      </c>
      <c r="C717" t="s">
        <v>50</v>
      </c>
      <c r="D717" s="3">
        <v>45612</v>
      </c>
      <c r="E717" t="str">
        <f>VLOOKUP(B717,'PROCV GERENTES BD'!A:B,2,0)</f>
        <v>PRISCILA METZ</v>
      </c>
      <c r="F717" s="4" t="str">
        <f t="shared" si="66"/>
        <v>2024-11</v>
      </c>
      <c r="G717" s="18">
        <f t="shared" si="67"/>
        <v>46</v>
      </c>
      <c r="H717" t="str">
        <f t="shared" si="68"/>
        <v>PRISCILA METZ</v>
      </c>
      <c r="I717" t="str">
        <f t="shared" si="69"/>
        <v>NOVA DISTRIBUIDORA E ATACADO DE LIMPEZA LTDA</v>
      </c>
      <c r="J717">
        <f t="shared" si="70"/>
        <v>0</v>
      </c>
      <c r="K717">
        <f t="shared" si="71"/>
        <v>1</v>
      </c>
    </row>
    <row r="718" spans="1:11" x14ac:dyDescent="0.25">
      <c r="A718" t="s">
        <v>326</v>
      </c>
      <c r="B718" t="s">
        <v>122</v>
      </c>
      <c r="C718" t="s">
        <v>50</v>
      </c>
      <c r="D718" s="3">
        <v>45612</v>
      </c>
      <c r="E718" t="s">
        <v>21</v>
      </c>
      <c r="F718" s="4" t="str">
        <f t="shared" si="66"/>
        <v>2024-11</v>
      </c>
      <c r="G718" s="18">
        <f t="shared" si="67"/>
        <v>46</v>
      </c>
      <c r="H718" t="str">
        <f t="shared" si="68"/>
        <v xml:space="preserve">ROGERIO </v>
      </c>
      <c r="I718" t="str">
        <f t="shared" si="69"/>
        <v>BIBE PRODUTOS INFANTIS LTDA</v>
      </c>
      <c r="J718">
        <f t="shared" si="70"/>
        <v>0</v>
      </c>
      <c r="K718">
        <f t="shared" si="71"/>
        <v>1</v>
      </c>
    </row>
    <row r="719" spans="1:11" x14ac:dyDescent="0.25">
      <c r="A719" t="s">
        <v>437</v>
      </c>
      <c r="B719" t="s">
        <v>188</v>
      </c>
      <c r="C719" t="s">
        <v>50</v>
      </c>
      <c r="D719" s="3">
        <v>45612</v>
      </c>
      <c r="E719" t="s">
        <v>21</v>
      </c>
      <c r="F719" s="4" t="str">
        <f t="shared" si="66"/>
        <v>2024-11</v>
      </c>
      <c r="G719" s="18">
        <f t="shared" si="67"/>
        <v>46</v>
      </c>
      <c r="H719" t="str">
        <f t="shared" si="68"/>
        <v xml:space="preserve">ROGERIO </v>
      </c>
      <c r="I719" t="str">
        <f t="shared" si="69"/>
        <v>OFFICER INDUSTRIA QUIMICA LTDA EPP</v>
      </c>
      <c r="J719">
        <f t="shared" si="70"/>
        <v>0</v>
      </c>
      <c r="K719">
        <f t="shared" si="71"/>
        <v>1</v>
      </c>
    </row>
    <row r="720" spans="1:11" x14ac:dyDescent="0.25">
      <c r="A720" t="s">
        <v>314</v>
      </c>
      <c r="B720" t="s">
        <v>98</v>
      </c>
      <c r="C720" t="s">
        <v>66</v>
      </c>
      <c r="D720" s="3">
        <v>45612</v>
      </c>
      <c r="E720" t="str">
        <f>VLOOKUP(B720,'PROCV GERENTES BD'!A:B,2,0)</f>
        <v xml:space="preserve">ROGERIO </v>
      </c>
      <c r="F720" s="4" t="str">
        <f t="shared" si="66"/>
        <v>2024-11</v>
      </c>
      <c r="G720" s="18">
        <f t="shared" si="67"/>
        <v>46</v>
      </c>
      <c r="H720" t="str">
        <f t="shared" si="68"/>
        <v xml:space="preserve">ROGERIO </v>
      </c>
      <c r="I720" t="str">
        <f t="shared" si="69"/>
        <v>MUTCD CENTRO DISTRIBUICAO IND FABRICANTE COSMETICO</v>
      </c>
      <c r="J720">
        <f t="shared" si="70"/>
        <v>1</v>
      </c>
      <c r="K720">
        <f t="shared" si="71"/>
        <v>0</v>
      </c>
    </row>
    <row r="721" spans="1:11" x14ac:dyDescent="0.25">
      <c r="A721" t="s">
        <v>331</v>
      </c>
      <c r="B721" t="s">
        <v>144</v>
      </c>
      <c r="C721" t="s">
        <v>66</v>
      </c>
      <c r="D721" s="3">
        <v>45616</v>
      </c>
      <c r="E721" t="str">
        <f>VLOOKUP(B721,'PROCV GERENTES BD'!A:B,2,0)</f>
        <v>ADMINISTRAÇÃO</v>
      </c>
      <c r="F721" s="4" t="str">
        <f t="shared" si="66"/>
        <v>2024-11</v>
      </c>
      <c r="G721" s="18">
        <f t="shared" si="67"/>
        <v>47</v>
      </c>
      <c r="H721" t="str">
        <f t="shared" si="68"/>
        <v>ADMINISTRAÇÃO</v>
      </c>
      <c r="I721" t="str">
        <f t="shared" si="69"/>
        <v>BOM PASTOR PAPEIS LTDA EM RECUPERACAO JUDICIAL</v>
      </c>
      <c r="J721">
        <f t="shared" si="70"/>
        <v>1</v>
      </c>
      <c r="K721">
        <f t="shared" si="71"/>
        <v>0</v>
      </c>
    </row>
    <row r="722" spans="1:11" x14ac:dyDescent="0.25">
      <c r="A722" t="s">
        <v>319</v>
      </c>
      <c r="B722" t="s">
        <v>80</v>
      </c>
      <c r="C722" t="s">
        <v>50</v>
      </c>
      <c r="D722" s="3">
        <v>45616</v>
      </c>
      <c r="E722" t="str">
        <f>VLOOKUP(B722,'PROCV GERENTES BD'!A:B,2,0)</f>
        <v>CELIO PIMENTA</v>
      </c>
      <c r="F722" s="4" t="str">
        <f t="shared" si="66"/>
        <v>2024-11</v>
      </c>
      <c r="G722" s="18">
        <f t="shared" si="67"/>
        <v>47</v>
      </c>
      <c r="H722" t="str">
        <f t="shared" si="68"/>
        <v>CELIO PIMENTA</v>
      </c>
      <c r="I722" t="str">
        <f t="shared" si="69"/>
        <v>IMPORTEXTIL COMERCIO DE TECIDOS LTDA</v>
      </c>
      <c r="J722">
        <f t="shared" si="70"/>
        <v>0</v>
      </c>
      <c r="K722">
        <f t="shared" si="71"/>
        <v>1</v>
      </c>
    </row>
    <row r="723" spans="1:11" x14ac:dyDescent="0.25">
      <c r="A723" t="s">
        <v>311</v>
      </c>
      <c r="B723" t="s">
        <v>81</v>
      </c>
      <c r="C723" t="s">
        <v>50</v>
      </c>
      <c r="D723" s="3">
        <v>45616</v>
      </c>
      <c r="E723" t="str">
        <f>VLOOKUP(B723,'PROCV GERENTES BD'!A:B,2,0)</f>
        <v>CELIO PIMENTA</v>
      </c>
      <c r="F723" s="4" t="str">
        <f t="shared" si="66"/>
        <v>2024-11</v>
      </c>
      <c r="G723" s="18">
        <f t="shared" si="67"/>
        <v>47</v>
      </c>
      <c r="H723" t="str">
        <f t="shared" si="68"/>
        <v>CELIO PIMENTA</v>
      </c>
      <c r="I723" t="str">
        <f t="shared" si="69"/>
        <v>MBIOLOG DIAGNOSTICOS LTDA</v>
      </c>
      <c r="J723">
        <f t="shared" si="70"/>
        <v>0</v>
      </c>
      <c r="K723">
        <f t="shared" si="71"/>
        <v>1</v>
      </c>
    </row>
    <row r="724" spans="1:11" x14ac:dyDescent="0.25">
      <c r="A724" t="s">
        <v>358</v>
      </c>
      <c r="B724" t="s">
        <v>104</v>
      </c>
      <c r="C724" t="s">
        <v>66</v>
      </c>
      <c r="D724" s="3">
        <v>45616</v>
      </c>
      <c r="E724" t="str">
        <f>VLOOKUP(B724,'PROCV GERENTES BD'!A:B,2,0)</f>
        <v>DIOGO AZEVEDO</v>
      </c>
      <c r="F724" s="4" t="str">
        <f t="shared" si="66"/>
        <v>2024-11</v>
      </c>
      <c r="G724" s="18">
        <f t="shared" si="67"/>
        <v>47</v>
      </c>
      <c r="H724" t="str">
        <f t="shared" si="68"/>
        <v>DIOGO AZEVEDO</v>
      </c>
      <c r="I724" t="str">
        <f t="shared" si="69"/>
        <v>INDUSTRIA E CERVEJARIA ARTESANAL DE MINAS GERAIS L</v>
      </c>
      <c r="J724">
        <f t="shared" si="70"/>
        <v>1</v>
      </c>
      <c r="K724">
        <f t="shared" si="71"/>
        <v>0</v>
      </c>
    </row>
    <row r="725" spans="1:11" x14ac:dyDescent="0.25">
      <c r="A725" t="s">
        <v>377</v>
      </c>
      <c r="B725" t="s">
        <v>124</v>
      </c>
      <c r="C725" t="s">
        <v>50</v>
      </c>
      <c r="D725" s="3">
        <v>45616</v>
      </c>
      <c r="E725" t="str">
        <f>VLOOKUP(B725,'PROCV GERENTES BD'!A:B,2,0)</f>
        <v>EDUARDO MATOSO</v>
      </c>
      <c r="F725" s="4" t="str">
        <f t="shared" si="66"/>
        <v>2024-11</v>
      </c>
      <c r="G725" s="18">
        <f t="shared" si="67"/>
        <v>47</v>
      </c>
      <c r="H725" t="str">
        <f t="shared" si="68"/>
        <v>EDUARDO MATOSO</v>
      </c>
      <c r="I725" t="str">
        <f t="shared" si="69"/>
        <v>STONE ENGENHARIA E MONTAGENS INDUSTRIAIS LTDA</v>
      </c>
      <c r="J725">
        <f t="shared" si="70"/>
        <v>0</v>
      </c>
      <c r="K725">
        <f t="shared" si="71"/>
        <v>1</v>
      </c>
    </row>
    <row r="726" spans="1:11" x14ac:dyDescent="0.25">
      <c r="A726" t="s">
        <v>369</v>
      </c>
      <c r="B726" t="s">
        <v>113</v>
      </c>
      <c r="C726" t="s">
        <v>50</v>
      </c>
      <c r="D726" s="3">
        <v>45616</v>
      </c>
      <c r="E726" t="str">
        <f>VLOOKUP(B726,'PROCV GERENTES BD'!A:B,2,0)</f>
        <v xml:space="preserve">MARCUS VINICIUS </v>
      </c>
      <c r="F726" s="4" t="str">
        <f t="shared" si="66"/>
        <v>2024-11</v>
      </c>
      <c r="G726" s="18">
        <f t="shared" si="67"/>
        <v>47</v>
      </c>
      <c r="H726" t="str">
        <f t="shared" si="68"/>
        <v xml:space="preserve">MARCUS VINICIUS </v>
      </c>
      <c r="I726" t="str">
        <f t="shared" si="69"/>
        <v>ISOBASE POLIESTIRENO LTDA EPP</v>
      </c>
      <c r="J726">
        <f t="shared" si="70"/>
        <v>0</v>
      </c>
      <c r="K726">
        <f t="shared" si="71"/>
        <v>1</v>
      </c>
    </row>
    <row r="727" spans="1:11" x14ac:dyDescent="0.25">
      <c r="A727" t="s">
        <v>428</v>
      </c>
      <c r="B727" t="s">
        <v>179</v>
      </c>
      <c r="C727" t="s">
        <v>50</v>
      </c>
      <c r="D727" s="3">
        <v>45616</v>
      </c>
      <c r="E727" t="str">
        <f>VLOOKUP(B727,'PROCV GERENTES BD'!A:B,2,0)</f>
        <v xml:space="preserve">MARCUS VINICIUS </v>
      </c>
      <c r="F727" s="4" t="str">
        <f t="shared" si="66"/>
        <v>2024-11</v>
      </c>
      <c r="G727" s="18">
        <f t="shared" si="67"/>
        <v>47</v>
      </c>
      <c r="H727" t="str">
        <f t="shared" si="68"/>
        <v xml:space="preserve">MARCUS VINICIUS </v>
      </c>
      <c r="I727" t="str">
        <f t="shared" si="69"/>
        <v>LABOR ELETRIC INDUSTRIA E COMERCIO UNIPESSOAL LTDA</v>
      </c>
      <c r="J727">
        <f t="shared" si="70"/>
        <v>0</v>
      </c>
      <c r="K727">
        <f t="shared" si="71"/>
        <v>1</v>
      </c>
    </row>
    <row r="728" spans="1:11" x14ac:dyDescent="0.25">
      <c r="A728" t="s">
        <v>422</v>
      </c>
      <c r="B728" t="s">
        <v>173</v>
      </c>
      <c r="C728" t="s">
        <v>50</v>
      </c>
      <c r="D728" s="3">
        <v>45616</v>
      </c>
      <c r="E728" t="str">
        <f>VLOOKUP(B728,'PROCV GERENTES BD'!A:B,2,0)</f>
        <v>NOELI SALETE</v>
      </c>
      <c r="F728" s="4" t="str">
        <f t="shared" si="66"/>
        <v>2024-11</v>
      </c>
      <c r="G728" s="18">
        <f t="shared" si="67"/>
        <v>47</v>
      </c>
      <c r="H728" t="str">
        <f t="shared" si="68"/>
        <v>NOELI SALETE</v>
      </c>
      <c r="I728" t="str">
        <f t="shared" si="69"/>
        <v>COMGROUP AGROINDUSTRIAL LTDA</v>
      </c>
      <c r="J728">
        <f t="shared" si="70"/>
        <v>0</v>
      </c>
      <c r="K728">
        <f t="shared" si="71"/>
        <v>1</v>
      </c>
    </row>
    <row r="729" spans="1:11" x14ac:dyDescent="0.25">
      <c r="A729" t="s">
        <v>419</v>
      </c>
      <c r="B729" t="s">
        <v>169</v>
      </c>
      <c r="C729" t="s">
        <v>50</v>
      </c>
      <c r="D729" s="3">
        <v>45616</v>
      </c>
      <c r="E729" t="str">
        <f>VLOOKUP(B729,'PROCV GERENTES BD'!A:B,2,0)</f>
        <v>NOELI SALETE</v>
      </c>
      <c r="F729" s="4" t="str">
        <f t="shared" si="66"/>
        <v>2024-11</v>
      </c>
      <c r="G729" s="18">
        <f t="shared" si="67"/>
        <v>47</v>
      </c>
      <c r="H729" t="str">
        <f t="shared" si="68"/>
        <v>NOELI SALETE</v>
      </c>
      <c r="I729" t="str">
        <f t="shared" si="69"/>
        <v>GLOBAL ACO SERVICOS E PRODUTOS SIDERURGICOS LTDA E</v>
      </c>
      <c r="J729">
        <f t="shared" si="70"/>
        <v>0</v>
      </c>
      <c r="K729">
        <f t="shared" si="71"/>
        <v>1</v>
      </c>
    </row>
    <row r="730" spans="1:11" x14ac:dyDescent="0.25">
      <c r="A730" t="s">
        <v>339</v>
      </c>
      <c r="B730" t="s">
        <v>87</v>
      </c>
      <c r="C730" t="s">
        <v>66</v>
      </c>
      <c r="D730" s="3">
        <v>45616</v>
      </c>
      <c r="E730" t="str">
        <f>VLOOKUP(B730,'PROCV GERENTES BD'!A:B,2,0)</f>
        <v>NOELI SALETE</v>
      </c>
      <c r="F730" s="4" t="str">
        <f t="shared" si="66"/>
        <v>2024-11</v>
      </c>
      <c r="G730" s="18">
        <f t="shared" si="67"/>
        <v>47</v>
      </c>
      <c r="H730" t="str">
        <f t="shared" si="68"/>
        <v>NOELI SALETE</v>
      </c>
      <c r="I730" t="str">
        <f t="shared" si="69"/>
        <v>RODOBOX TRANSPORTES E ARMAZENAGEM DE CARGAS LTDA</v>
      </c>
      <c r="J730">
        <f t="shared" si="70"/>
        <v>1</v>
      </c>
      <c r="K730">
        <f t="shared" si="71"/>
        <v>0</v>
      </c>
    </row>
    <row r="731" spans="1:11" x14ac:dyDescent="0.25">
      <c r="A731" t="s">
        <v>394</v>
      </c>
      <c r="B731" t="s">
        <v>143</v>
      </c>
      <c r="C731" t="s">
        <v>50</v>
      </c>
      <c r="D731" s="3">
        <v>45616</v>
      </c>
      <c r="E731" t="str">
        <f>VLOOKUP(B731,'PROCV GERENTES BD'!A:B,2,0)</f>
        <v>NOELI SALETE</v>
      </c>
      <c r="F731" s="4" t="str">
        <f t="shared" si="66"/>
        <v>2024-11</v>
      </c>
      <c r="G731" s="18">
        <f t="shared" si="67"/>
        <v>47</v>
      </c>
      <c r="H731" t="str">
        <f t="shared" si="68"/>
        <v>NOELI SALETE</v>
      </c>
      <c r="I731" t="str">
        <f t="shared" si="69"/>
        <v>ALBERTO H DA SILVA ME</v>
      </c>
      <c r="J731">
        <f t="shared" si="70"/>
        <v>0</v>
      </c>
      <c r="K731">
        <f t="shared" si="71"/>
        <v>1</v>
      </c>
    </row>
    <row r="732" spans="1:11" x14ac:dyDescent="0.25">
      <c r="A732" t="s">
        <v>417</v>
      </c>
      <c r="B732" t="s">
        <v>167</v>
      </c>
      <c r="C732" t="s">
        <v>66</v>
      </c>
      <c r="D732" s="3">
        <v>45616</v>
      </c>
      <c r="E732" t="str">
        <f>VLOOKUP(B732,'PROCV GERENTES BD'!A:B,2,0)</f>
        <v>POENATELA</v>
      </c>
      <c r="F732" s="4" t="str">
        <f t="shared" si="66"/>
        <v>2024-11</v>
      </c>
      <c r="G732" s="18">
        <f t="shared" si="67"/>
        <v>47</v>
      </c>
      <c r="H732" t="str">
        <f t="shared" si="68"/>
        <v>POENATELA</v>
      </c>
      <c r="I732" t="str">
        <f t="shared" si="69"/>
        <v>DETRONIC ENERGIA E SERVICOS LTDA</v>
      </c>
      <c r="J732">
        <f t="shared" si="70"/>
        <v>1</v>
      </c>
      <c r="K732">
        <f t="shared" si="71"/>
        <v>0</v>
      </c>
    </row>
    <row r="733" spans="1:11" x14ac:dyDescent="0.25">
      <c r="A733" t="s">
        <v>346</v>
      </c>
      <c r="B733" t="s">
        <v>91</v>
      </c>
      <c r="C733" t="s">
        <v>66</v>
      </c>
      <c r="D733" s="3">
        <v>45616</v>
      </c>
      <c r="E733" t="str">
        <f>VLOOKUP(B733,'PROCV GERENTES BD'!A:B,2,0)</f>
        <v>POENATELA</v>
      </c>
      <c r="F733" s="4" t="str">
        <f t="shared" si="66"/>
        <v>2024-11</v>
      </c>
      <c r="G733" s="18">
        <f t="shared" si="67"/>
        <v>47</v>
      </c>
      <c r="H733" t="str">
        <f t="shared" si="68"/>
        <v>POENATELA</v>
      </c>
      <c r="I733" t="str">
        <f t="shared" si="69"/>
        <v>UBERTEC SERVICE USINAGEM LTDA EPP</v>
      </c>
      <c r="J733">
        <f t="shared" si="70"/>
        <v>1</v>
      </c>
      <c r="K733">
        <f t="shared" si="71"/>
        <v>0</v>
      </c>
    </row>
    <row r="734" spans="1:11" x14ac:dyDescent="0.25">
      <c r="A734" t="s">
        <v>353</v>
      </c>
      <c r="B734" t="s">
        <v>97</v>
      </c>
      <c r="C734" t="s">
        <v>50</v>
      </c>
      <c r="D734" s="3">
        <v>45616</v>
      </c>
      <c r="E734" t="str">
        <f>VLOOKUP(B734,'PROCV GERENTES BD'!A:B,2,0)</f>
        <v>PRISCILA METZ</v>
      </c>
      <c r="F734" s="4" t="str">
        <f t="shared" si="66"/>
        <v>2024-11</v>
      </c>
      <c r="G734" s="18">
        <f t="shared" si="67"/>
        <v>47</v>
      </c>
      <c r="H734" t="str">
        <f t="shared" si="68"/>
        <v>PRISCILA METZ</v>
      </c>
      <c r="I734" t="str">
        <f t="shared" si="69"/>
        <v>ESSENZA INDUSTRIA QUIMICA LTDA</v>
      </c>
      <c r="J734">
        <f t="shared" si="70"/>
        <v>0</v>
      </c>
      <c r="K734">
        <f t="shared" si="71"/>
        <v>1</v>
      </c>
    </row>
    <row r="735" spans="1:11" x14ac:dyDescent="0.25">
      <c r="A735" t="s">
        <v>376</v>
      </c>
      <c r="B735" t="s">
        <v>121</v>
      </c>
      <c r="C735" t="s">
        <v>50</v>
      </c>
      <c r="D735" s="3">
        <v>45616</v>
      </c>
      <c r="E735" t="str">
        <f>VLOOKUP(B735,'PROCV GERENTES BD'!A:B,2,0)</f>
        <v>PRISCILA METZ</v>
      </c>
      <c r="F735" s="4" t="str">
        <f t="shared" si="66"/>
        <v>2024-11</v>
      </c>
      <c r="G735" s="18">
        <f t="shared" si="67"/>
        <v>47</v>
      </c>
      <c r="H735" t="str">
        <f t="shared" si="68"/>
        <v>PRISCILA METZ</v>
      </c>
      <c r="I735" t="str">
        <f t="shared" si="69"/>
        <v>NOVA DISTRIBUIDORA E ATACADO DE LIMPEZA LTDA</v>
      </c>
      <c r="J735">
        <f t="shared" si="70"/>
        <v>0</v>
      </c>
      <c r="K735">
        <f t="shared" si="71"/>
        <v>1</v>
      </c>
    </row>
    <row r="736" spans="1:11" x14ac:dyDescent="0.25">
      <c r="A736" t="s">
        <v>390</v>
      </c>
      <c r="B736" t="s">
        <v>137</v>
      </c>
      <c r="C736" t="s">
        <v>50</v>
      </c>
      <c r="D736" s="3">
        <v>45616</v>
      </c>
      <c r="E736" t="str">
        <f>VLOOKUP(B736,'PROCV GERENTES BD'!A:B,2,0)</f>
        <v>PRISCILA METZ</v>
      </c>
      <c r="F736" s="4" t="str">
        <f t="shared" si="66"/>
        <v>2024-11</v>
      </c>
      <c r="G736" s="18">
        <f t="shared" si="67"/>
        <v>47</v>
      </c>
      <c r="H736" t="str">
        <f t="shared" si="68"/>
        <v>PRISCILA METZ</v>
      </c>
      <c r="I736" t="str">
        <f t="shared" si="69"/>
        <v>VLF IMPERIAL LATICINIOS LTDA ME</v>
      </c>
      <c r="J736">
        <f t="shared" si="70"/>
        <v>0</v>
      </c>
      <c r="K736">
        <f t="shared" si="71"/>
        <v>1</v>
      </c>
    </row>
    <row r="737" spans="1:11" x14ac:dyDescent="0.25">
      <c r="A737" t="s">
        <v>326</v>
      </c>
      <c r="B737" t="s">
        <v>122</v>
      </c>
      <c r="C737" t="s">
        <v>66</v>
      </c>
      <c r="D737" s="3">
        <v>45616</v>
      </c>
      <c r="E737" t="s">
        <v>21</v>
      </c>
      <c r="F737" s="4" t="str">
        <f t="shared" si="66"/>
        <v>2024-11</v>
      </c>
      <c r="G737" s="18">
        <f t="shared" si="67"/>
        <v>47</v>
      </c>
      <c r="H737" t="str">
        <f t="shared" si="68"/>
        <v xml:space="preserve">ROGERIO </v>
      </c>
      <c r="I737" t="str">
        <f t="shared" si="69"/>
        <v>BIBE PRODUTOS INFANTIS LTDA</v>
      </c>
      <c r="J737">
        <f t="shared" si="70"/>
        <v>1</v>
      </c>
      <c r="K737">
        <f t="shared" si="71"/>
        <v>0</v>
      </c>
    </row>
    <row r="738" spans="1:11" x14ac:dyDescent="0.25">
      <c r="A738" t="s">
        <v>431</v>
      </c>
      <c r="B738" t="s">
        <v>182</v>
      </c>
      <c r="C738" t="s">
        <v>50</v>
      </c>
      <c r="D738" s="3">
        <v>45616</v>
      </c>
      <c r="E738" t="s">
        <v>21</v>
      </c>
      <c r="F738" s="4" t="str">
        <f t="shared" si="66"/>
        <v>2024-11</v>
      </c>
      <c r="G738" s="18">
        <f t="shared" si="67"/>
        <v>47</v>
      </c>
      <c r="H738" t="str">
        <f t="shared" si="68"/>
        <v xml:space="preserve">ROGERIO </v>
      </c>
      <c r="I738" t="str">
        <f t="shared" si="69"/>
        <v>GRF JEANS WEAR LTDA ME</v>
      </c>
      <c r="J738">
        <f t="shared" si="70"/>
        <v>0</v>
      </c>
      <c r="K738">
        <f t="shared" si="71"/>
        <v>1</v>
      </c>
    </row>
    <row r="739" spans="1:11" x14ac:dyDescent="0.25">
      <c r="A739" t="s">
        <v>382</v>
      </c>
      <c r="B739" t="s">
        <v>129</v>
      </c>
      <c r="C739" t="s">
        <v>50</v>
      </c>
      <c r="D739" s="3">
        <v>45617</v>
      </c>
      <c r="E739" t="str">
        <f>VLOOKUP(B739,'PROCV GERENTES BD'!A:B,2,0)</f>
        <v>ADMINISTRAÇÃO</v>
      </c>
      <c r="F739" s="4" t="str">
        <f t="shared" si="66"/>
        <v>2024-11</v>
      </c>
      <c r="G739" s="18">
        <f t="shared" si="67"/>
        <v>47</v>
      </c>
      <c r="H739" t="str">
        <f t="shared" si="68"/>
        <v>ADMINISTRAÇÃO</v>
      </c>
      <c r="I739" t="str">
        <f t="shared" si="69"/>
        <v>XEQUE MATE BEBIDAS LTDA ME</v>
      </c>
      <c r="J739">
        <f t="shared" si="70"/>
        <v>0</v>
      </c>
      <c r="K739">
        <f t="shared" si="71"/>
        <v>1</v>
      </c>
    </row>
    <row r="740" spans="1:11" x14ac:dyDescent="0.25">
      <c r="A740" t="s">
        <v>319</v>
      </c>
      <c r="B740" t="s">
        <v>80</v>
      </c>
      <c r="C740" t="s">
        <v>50</v>
      </c>
      <c r="D740" s="3">
        <v>45617</v>
      </c>
      <c r="E740" t="str">
        <f>VLOOKUP(B740,'PROCV GERENTES BD'!A:B,2,0)</f>
        <v>CELIO PIMENTA</v>
      </c>
      <c r="F740" s="4" t="str">
        <f t="shared" si="66"/>
        <v>2024-11</v>
      </c>
      <c r="G740" s="18">
        <f t="shared" si="67"/>
        <v>47</v>
      </c>
      <c r="H740" t="str">
        <f t="shared" si="68"/>
        <v>CELIO PIMENTA</v>
      </c>
      <c r="I740" t="str">
        <f t="shared" si="69"/>
        <v>IMPORTEXTIL COMERCIO DE TECIDOS LTDA</v>
      </c>
      <c r="J740">
        <f t="shared" si="70"/>
        <v>0</v>
      </c>
      <c r="K740">
        <f t="shared" si="71"/>
        <v>1</v>
      </c>
    </row>
    <row r="741" spans="1:11" x14ac:dyDescent="0.25">
      <c r="A741" t="s">
        <v>358</v>
      </c>
      <c r="B741" t="s">
        <v>104</v>
      </c>
      <c r="C741" t="s">
        <v>66</v>
      </c>
      <c r="D741" s="3">
        <v>45617</v>
      </c>
      <c r="E741" t="str">
        <f>VLOOKUP(B741,'PROCV GERENTES BD'!A:B,2,0)</f>
        <v>DIOGO AZEVEDO</v>
      </c>
      <c r="F741" s="4" t="str">
        <f t="shared" si="66"/>
        <v>2024-11</v>
      </c>
      <c r="G741" s="18">
        <f t="shared" si="67"/>
        <v>47</v>
      </c>
      <c r="H741" t="str">
        <f t="shared" si="68"/>
        <v>DIOGO AZEVEDO</v>
      </c>
      <c r="I741" t="str">
        <f t="shared" si="69"/>
        <v>INDUSTRIA E CERVEJARIA ARTESANAL DE MINAS GERAIS L</v>
      </c>
      <c r="J741">
        <f t="shared" si="70"/>
        <v>1</v>
      </c>
      <c r="K741">
        <f t="shared" si="71"/>
        <v>0</v>
      </c>
    </row>
    <row r="742" spans="1:11" x14ac:dyDescent="0.25">
      <c r="A742" t="s">
        <v>400</v>
      </c>
      <c r="B742" t="s">
        <v>150</v>
      </c>
      <c r="C742" t="s">
        <v>50</v>
      </c>
      <c r="D742" s="3">
        <v>45617</v>
      </c>
      <c r="E742" t="str">
        <f>VLOOKUP(B742,'PROCV GERENTES BD'!A:B,2,0)</f>
        <v>NOELI SALETE</v>
      </c>
      <c r="F742" s="4" t="str">
        <f t="shared" si="66"/>
        <v>2024-11</v>
      </c>
      <c r="G742" s="18">
        <f t="shared" si="67"/>
        <v>47</v>
      </c>
      <c r="H742" t="str">
        <f t="shared" si="68"/>
        <v>NOELI SALETE</v>
      </c>
      <c r="I742" t="str">
        <f t="shared" si="69"/>
        <v>POOLMAK SISTEMAS ESTRUTURAIS LTDA</v>
      </c>
      <c r="J742">
        <f t="shared" si="70"/>
        <v>0</v>
      </c>
      <c r="K742">
        <f t="shared" si="71"/>
        <v>1</v>
      </c>
    </row>
    <row r="743" spans="1:11" x14ac:dyDescent="0.25">
      <c r="A743" t="s">
        <v>346</v>
      </c>
      <c r="B743" t="s">
        <v>91</v>
      </c>
      <c r="C743" t="s">
        <v>71</v>
      </c>
      <c r="D743" s="3">
        <v>45617</v>
      </c>
      <c r="E743" t="str">
        <f>VLOOKUP(B743,'PROCV GERENTES BD'!A:B,2,0)</f>
        <v>POENATELA</v>
      </c>
      <c r="F743" s="4" t="str">
        <f t="shared" si="66"/>
        <v>2024-11</v>
      </c>
      <c r="G743" s="18">
        <f t="shared" si="67"/>
        <v>47</v>
      </c>
      <c r="H743" t="str">
        <f t="shared" si="68"/>
        <v>POENATELA</v>
      </c>
      <c r="I743" t="str">
        <f t="shared" si="69"/>
        <v>UBERTEC SERVICE USINAGEM LTDA EPP</v>
      </c>
      <c r="J743">
        <f t="shared" si="70"/>
        <v>0</v>
      </c>
      <c r="K743">
        <f t="shared" si="71"/>
        <v>0</v>
      </c>
    </row>
    <row r="744" spans="1:11" x14ac:dyDescent="0.25">
      <c r="A744" t="s">
        <v>346</v>
      </c>
      <c r="B744" t="s">
        <v>91</v>
      </c>
      <c r="C744" t="s">
        <v>50</v>
      </c>
      <c r="D744" s="3">
        <v>45617</v>
      </c>
      <c r="E744" t="str">
        <f>VLOOKUP(B744,'PROCV GERENTES BD'!A:B,2,0)</f>
        <v>POENATELA</v>
      </c>
      <c r="F744" s="4" t="str">
        <f t="shared" si="66"/>
        <v>2024-11</v>
      </c>
      <c r="G744" s="18">
        <f t="shared" si="67"/>
        <v>47</v>
      </c>
      <c r="H744" t="str">
        <f t="shared" si="68"/>
        <v>POENATELA</v>
      </c>
      <c r="I744" t="str">
        <f t="shared" si="69"/>
        <v>UBERTEC SERVICE USINAGEM LTDA EPP</v>
      </c>
      <c r="J744">
        <f t="shared" si="70"/>
        <v>0</v>
      </c>
      <c r="K744">
        <f t="shared" si="71"/>
        <v>1</v>
      </c>
    </row>
    <row r="745" spans="1:11" x14ac:dyDescent="0.25">
      <c r="A745" t="s">
        <v>353</v>
      </c>
      <c r="B745" t="s">
        <v>97</v>
      </c>
      <c r="C745" t="s">
        <v>50</v>
      </c>
      <c r="D745" s="3">
        <v>45617</v>
      </c>
      <c r="E745" t="str">
        <f>VLOOKUP(B745,'PROCV GERENTES BD'!A:B,2,0)</f>
        <v>PRISCILA METZ</v>
      </c>
      <c r="F745" s="4" t="str">
        <f t="shared" si="66"/>
        <v>2024-11</v>
      </c>
      <c r="G745" s="18">
        <f t="shared" si="67"/>
        <v>47</v>
      </c>
      <c r="H745" t="str">
        <f t="shared" si="68"/>
        <v>PRISCILA METZ</v>
      </c>
      <c r="I745" t="str">
        <f t="shared" si="69"/>
        <v>ESSENZA INDUSTRIA QUIMICA LTDA</v>
      </c>
      <c r="J745">
        <f t="shared" si="70"/>
        <v>0</v>
      </c>
      <c r="K745">
        <f t="shared" si="71"/>
        <v>1</v>
      </c>
    </row>
    <row r="746" spans="1:11" x14ac:dyDescent="0.25">
      <c r="A746" t="s">
        <v>376</v>
      </c>
      <c r="B746" t="s">
        <v>121</v>
      </c>
      <c r="C746" t="s">
        <v>50</v>
      </c>
      <c r="D746" s="3">
        <v>45617</v>
      </c>
      <c r="E746" t="str">
        <f>VLOOKUP(B746,'PROCV GERENTES BD'!A:B,2,0)</f>
        <v>PRISCILA METZ</v>
      </c>
      <c r="F746" s="4" t="str">
        <f t="shared" si="66"/>
        <v>2024-11</v>
      </c>
      <c r="G746" s="18">
        <f t="shared" si="67"/>
        <v>47</v>
      </c>
      <c r="H746" t="str">
        <f t="shared" si="68"/>
        <v>PRISCILA METZ</v>
      </c>
      <c r="I746" t="str">
        <f t="shared" si="69"/>
        <v>NOVA DISTRIBUIDORA E ATACADO DE LIMPEZA LTDA</v>
      </c>
      <c r="J746">
        <f t="shared" si="70"/>
        <v>0</v>
      </c>
      <c r="K746">
        <f t="shared" si="71"/>
        <v>1</v>
      </c>
    </row>
    <row r="747" spans="1:11" x14ac:dyDescent="0.25">
      <c r="A747" t="s">
        <v>434</v>
      </c>
      <c r="B747" t="s">
        <v>185</v>
      </c>
      <c r="C747" t="s">
        <v>50</v>
      </c>
      <c r="D747" s="3">
        <v>45617</v>
      </c>
      <c r="E747" t="str">
        <f>VLOOKUP(B747,'PROCV GERENTES BD'!A:B,2,0)</f>
        <v>RAFAEL PARISE</v>
      </c>
      <c r="F747" s="4" t="str">
        <f t="shared" si="66"/>
        <v>2024-11</v>
      </c>
      <c r="G747" s="18">
        <f t="shared" si="67"/>
        <v>47</v>
      </c>
      <c r="H747" t="str">
        <f t="shared" si="68"/>
        <v>RAFAEL PARISE</v>
      </c>
      <c r="I747" t="str">
        <f t="shared" si="69"/>
        <v>MARCAS COMERCIO LTDA ME</v>
      </c>
      <c r="J747">
        <f t="shared" si="70"/>
        <v>0</v>
      </c>
      <c r="K747">
        <f t="shared" si="71"/>
        <v>1</v>
      </c>
    </row>
    <row r="748" spans="1:11" x14ac:dyDescent="0.25">
      <c r="A748" t="s">
        <v>76</v>
      </c>
      <c r="B748" t="s">
        <v>77</v>
      </c>
      <c r="C748" t="s">
        <v>71</v>
      </c>
      <c r="D748" s="3">
        <v>45617</v>
      </c>
      <c r="E748" t="str">
        <f>VLOOKUP(B748,'PROCV GERENTES BD'!A:B,2,0)</f>
        <v>RAFAEL PARISE</v>
      </c>
      <c r="F748" s="4" t="str">
        <f t="shared" si="66"/>
        <v>2024-11</v>
      </c>
      <c r="G748" s="18">
        <f t="shared" si="67"/>
        <v>47</v>
      </c>
      <c r="H748" t="str">
        <f t="shared" si="68"/>
        <v>RAFAEL PARISE</v>
      </c>
      <c r="I748" t="str">
        <f t="shared" si="69"/>
        <v>UNITA AUTO PECAS LTDA EPP</v>
      </c>
      <c r="J748">
        <f t="shared" si="70"/>
        <v>0</v>
      </c>
      <c r="K748">
        <f t="shared" si="71"/>
        <v>0</v>
      </c>
    </row>
    <row r="749" spans="1:11" x14ac:dyDescent="0.25">
      <c r="A749" t="s">
        <v>319</v>
      </c>
      <c r="B749" t="s">
        <v>80</v>
      </c>
      <c r="C749" t="s">
        <v>50</v>
      </c>
      <c r="D749" s="3">
        <v>45619</v>
      </c>
      <c r="E749" t="str">
        <f>VLOOKUP(B749,'PROCV GERENTES BD'!A:B,2,0)</f>
        <v>CELIO PIMENTA</v>
      </c>
      <c r="F749" s="4" t="str">
        <f t="shared" si="66"/>
        <v>2024-11</v>
      </c>
      <c r="G749" s="18">
        <f t="shared" si="67"/>
        <v>47</v>
      </c>
      <c r="H749" t="str">
        <f t="shared" si="68"/>
        <v>CELIO PIMENTA</v>
      </c>
      <c r="I749" t="str">
        <f t="shared" si="69"/>
        <v>IMPORTEXTIL COMERCIO DE TECIDOS LTDA</v>
      </c>
      <c r="J749">
        <f t="shared" si="70"/>
        <v>0</v>
      </c>
      <c r="K749">
        <f t="shared" si="71"/>
        <v>1</v>
      </c>
    </row>
    <row r="750" spans="1:11" x14ac:dyDescent="0.25">
      <c r="A750" t="s">
        <v>311</v>
      </c>
      <c r="B750" t="s">
        <v>81</v>
      </c>
      <c r="C750" t="s">
        <v>66</v>
      </c>
      <c r="D750" s="3">
        <v>45619</v>
      </c>
      <c r="E750" t="str">
        <f>VLOOKUP(B750,'PROCV GERENTES BD'!A:B,2,0)</f>
        <v>CELIO PIMENTA</v>
      </c>
      <c r="F750" s="4" t="str">
        <f t="shared" si="66"/>
        <v>2024-11</v>
      </c>
      <c r="G750" s="18">
        <f t="shared" si="67"/>
        <v>47</v>
      </c>
      <c r="H750" t="str">
        <f t="shared" si="68"/>
        <v>CELIO PIMENTA</v>
      </c>
      <c r="I750" t="str">
        <f t="shared" si="69"/>
        <v>MBIOLOG DIAGNOSTICOS LTDA</v>
      </c>
      <c r="J750">
        <f t="shared" si="70"/>
        <v>1</v>
      </c>
      <c r="K750">
        <f t="shared" si="71"/>
        <v>0</v>
      </c>
    </row>
    <row r="751" spans="1:11" x14ac:dyDescent="0.25">
      <c r="A751" t="s">
        <v>430</v>
      </c>
      <c r="B751" t="s">
        <v>181</v>
      </c>
      <c r="C751" t="s">
        <v>71</v>
      </c>
      <c r="D751" s="3">
        <v>45619</v>
      </c>
      <c r="E751" t="str">
        <f>VLOOKUP(B751,'PROCV GERENTES BD'!A:B,2,0)</f>
        <v>PROSPECTAR</v>
      </c>
      <c r="F751" s="4" t="str">
        <f t="shared" si="66"/>
        <v>2024-11</v>
      </c>
      <c r="G751" s="18">
        <f t="shared" si="67"/>
        <v>47</v>
      </c>
      <c r="H751" t="str">
        <f t="shared" si="68"/>
        <v>PROSPECTAR</v>
      </c>
      <c r="I751" t="str">
        <f t="shared" si="69"/>
        <v>SIQUEIRA E GAIPO INDUSTRIA E MATERIAIS ESPORTIVOS</v>
      </c>
      <c r="J751">
        <f t="shared" si="70"/>
        <v>0</v>
      </c>
      <c r="K751">
        <f t="shared" si="71"/>
        <v>0</v>
      </c>
    </row>
    <row r="752" spans="1:11" x14ac:dyDescent="0.25">
      <c r="A752" t="s">
        <v>324</v>
      </c>
      <c r="B752" t="s">
        <v>119</v>
      </c>
      <c r="C752" t="s">
        <v>66</v>
      </c>
      <c r="D752" s="3">
        <v>45619</v>
      </c>
      <c r="E752" t="str">
        <f>VLOOKUP(B752,'PROCV GERENTES BD'!A:B,2,0)</f>
        <v>PROSPECTAR</v>
      </c>
      <c r="F752" s="4" t="str">
        <f t="shared" si="66"/>
        <v>2024-11</v>
      </c>
      <c r="G752" s="18">
        <f t="shared" si="67"/>
        <v>47</v>
      </c>
      <c r="H752" t="str">
        <f t="shared" si="68"/>
        <v>PROSPECTAR</v>
      </c>
      <c r="I752" t="str">
        <f t="shared" si="69"/>
        <v>TRANSHENRY TRANSPORTES LTDA</v>
      </c>
      <c r="J752">
        <f t="shared" si="70"/>
        <v>1</v>
      </c>
      <c r="K752">
        <f t="shared" si="71"/>
        <v>0</v>
      </c>
    </row>
    <row r="753" spans="1:11" x14ac:dyDescent="0.25">
      <c r="A753" t="s">
        <v>385</v>
      </c>
      <c r="B753" t="s">
        <v>132</v>
      </c>
      <c r="C753" t="s">
        <v>50</v>
      </c>
      <c r="D753" s="3">
        <v>45619</v>
      </c>
      <c r="E753" t="str">
        <f>VLOOKUP(B753,'PROCV GERENTES BD'!A:B,2,0)</f>
        <v xml:space="preserve">MARCUS VINICIUS </v>
      </c>
      <c r="F753" s="4" t="str">
        <f t="shared" si="66"/>
        <v>2024-11</v>
      </c>
      <c r="G753" s="18">
        <f t="shared" si="67"/>
        <v>47</v>
      </c>
      <c r="H753" t="str">
        <f t="shared" si="68"/>
        <v xml:space="preserve">MARCUS VINICIUS </v>
      </c>
      <c r="I753" t="str">
        <f t="shared" si="69"/>
        <v>RODOANEL REFORMADORA DE IMPLEMENTOS RODOVIARIOS LT</v>
      </c>
      <c r="J753">
        <f t="shared" si="70"/>
        <v>0</v>
      </c>
      <c r="K753">
        <f t="shared" si="71"/>
        <v>1</v>
      </c>
    </row>
    <row r="754" spans="1:11" x14ac:dyDescent="0.25">
      <c r="A754" t="s">
        <v>400</v>
      </c>
      <c r="B754" t="s">
        <v>150</v>
      </c>
      <c r="C754" t="s">
        <v>66</v>
      </c>
      <c r="D754" s="3">
        <v>45619</v>
      </c>
      <c r="E754" t="str">
        <f>VLOOKUP(B754,'PROCV GERENTES BD'!A:B,2,0)</f>
        <v>NOELI SALETE</v>
      </c>
      <c r="F754" s="4" t="str">
        <f t="shared" si="66"/>
        <v>2024-11</v>
      </c>
      <c r="G754" s="18">
        <f t="shared" si="67"/>
        <v>47</v>
      </c>
      <c r="H754" t="str">
        <f t="shared" si="68"/>
        <v>NOELI SALETE</v>
      </c>
      <c r="I754" t="str">
        <f t="shared" si="69"/>
        <v>POOLMAK SISTEMAS ESTRUTURAIS LTDA</v>
      </c>
      <c r="J754">
        <f t="shared" si="70"/>
        <v>1</v>
      </c>
      <c r="K754">
        <f t="shared" si="71"/>
        <v>0</v>
      </c>
    </row>
    <row r="755" spans="1:11" x14ac:dyDescent="0.25">
      <c r="A755" t="s">
        <v>389</v>
      </c>
      <c r="B755" t="s">
        <v>136</v>
      </c>
      <c r="C755" t="s">
        <v>71</v>
      </c>
      <c r="D755" s="3">
        <v>45619</v>
      </c>
      <c r="E755" t="str">
        <f>VLOOKUP(B755,'PROCV GERENTES BD'!A:B,2,0)</f>
        <v>POENATELA</v>
      </c>
      <c r="F755" s="4" t="str">
        <f t="shared" si="66"/>
        <v>2024-11</v>
      </c>
      <c r="G755" s="18">
        <f t="shared" si="67"/>
        <v>47</v>
      </c>
      <c r="H755" t="str">
        <f t="shared" si="68"/>
        <v>POENATELA</v>
      </c>
      <c r="I755" t="str">
        <f t="shared" si="69"/>
        <v>CONQUISTA INDUSTRIA DE MOVEIS S/A</v>
      </c>
      <c r="J755">
        <f t="shared" si="70"/>
        <v>0</v>
      </c>
      <c r="K755">
        <f t="shared" si="71"/>
        <v>0</v>
      </c>
    </row>
    <row r="756" spans="1:11" x14ac:dyDescent="0.25">
      <c r="A756" t="s">
        <v>417</v>
      </c>
      <c r="B756" t="s">
        <v>167</v>
      </c>
      <c r="C756" t="s">
        <v>66</v>
      </c>
      <c r="D756" s="3">
        <v>45619</v>
      </c>
      <c r="E756" t="str">
        <f>VLOOKUP(B756,'PROCV GERENTES BD'!A:B,2,0)</f>
        <v>POENATELA</v>
      </c>
      <c r="F756" s="4" t="str">
        <f t="shared" si="66"/>
        <v>2024-11</v>
      </c>
      <c r="G756" s="18">
        <f t="shared" si="67"/>
        <v>47</v>
      </c>
      <c r="H756" t="str">
        <f t="shared" si="68"/>
        <v>POENATELA</v>
      </c>
      <c r="I756" t="str">
        <f t="shared" si="69"/>
        <v>DETRONIC ENERGIA E SERVICOS LTDA</v>
      </c>
      <c r="J756">
        <f t="shared" si="70"/>
        <v>1</v>
      </c>
      <c r="K756">
        <f t="shared" si="71"/>
        <v>0</v>
      </c>
    </row>
    <row r="757" spans="1:11" x14ac:dyDescent="0.25">
      <c r="A757" t="s">
        <v>346</v>
      </c>
      <c r="B757" t="s">
        <v>91</v>
      </c>
      <c r="C757" t="s">
        <v>53</v>
      </c>
      <c r="D757" s="3">
        <v>45619</v>
      </c>
      <c r="E757" t="str">
        <f>VLOOKUP(B757,'PROCV GERENTES BD'!A:B,2,0)</f>
        <v>POENATELA</v>
      </c>
      <c r="F757" s="4" t="str">
        <f t="shared" si="66"/>
        <v>2024-11</v>
      </c>
      <c r="G757" s="18">
        <f t="shared" si="67"/>
        <v>47</v>
      </c>
      <c r="H757" t="str">
        <f t="shared" si="68"/>
        <v>POENATELA</v>
      </c>
      <c r="I757" t="str">
        <f t="shared" si="69"/>
        <v>UBERTEC SERVICE USINAGEM LTDA EPP</v>
      </c>
      <c r="J757">
        <f t="shared" si="70"/>
        <v>1</v>
      </c>
      <c r="K757">
        <f t="shared" si="71"/>
        <v>1</v>
      </c>
    </row>
    <row r="758" spans="1:11" x14ac:dyDescent="0.25">
      <c r="A758" t="s">
        <v>353</v>
      </c>
      <c r="B758" t="s">
        <v>97</v>
      </c>
      <c r="C758" t="s">
        <v>50</v>
      </c>
      <c r="D758" s="3">
        <v>45619</v>
      </c>
      <c r="E758" t="str">
        <f>VLOOKUP(B758,'PROCV GERENTES BD'!A:B,2,0)</f>
        <v>PRISCILA METZ</v>
      </c>
      <c r="F758" s="4" t="str">
        <f t="shared" si="66"/>
        <v>2024-11</v>
      </c>
      <c r="G758" s="18">
        <f t="shared" si="67"/>
        <v>47</v>
      </c>
      <c r="H758" t="str">
        <f t="shared" si="68"/>
        <v>PRISCILA METZ</v>
      </c>
      <c r="I758" t="str">
        <f t="shared" si="69"/>
        <v>ESSENZA INDUSTRIA QUIMICA LTDA</v>
      </c>
      <c r="J758">
        <f t="shared" si="70"/>
        <v>0</v>
      </c>
      <c r="K758">
        <f t="shared" si="71"/>
        <v>1</v>
      </c>
    </row>
    <row r="759" spans="1:11" x14ac:dyDescent="0.25">
      <c r="A759" t="s">
        <v>433</v>
      </c>
      <c r="B759" t="s">
        <v>184</v>
      </c>
      <c r="C759" t="s">
        <v>66</v>
      </c>
      <c r="D759" s="3">
        <v>45619</v>
      </c>
      <c r="E759" t="str">
        <f>VLOOKUP(B759,'PROCV GERENTES BD'!A:B,2,0)</f>
        <v>PRISCILA METZ</v>
      </c>
      <c r="F759" s="4" t="str">
        <f t="shared" si="66"/>
        <v>2024-11</v>
      </c>
      <c r="G759" s="18">
        <f t="shared" si="67"/>
        <v>47</v>
      </c>
      <c r="H759" t="str">
        <f t="shared" si="68"/>
        <v>PRISCILA METZ</v>
      </c>
      <c r="I759" t="str">
        <f t="shared" si="69"/>
        <v>FRANZAO COLCHOES LTDA EPP</v>
      </c>
      <c r="J759">
        <f t="shared" si="70"/>
        <v>1</v>
      </c>
      <c r="K759">
        <f t="shared" si="71"/>
        <v>0</v>
      </c>
    </row>
    <row r="760" spans="1:11" x14ac:dyDescent="0.25">
      <c r="A760" t="s">
        <v>429</v>
      </c>
      <c r="B760" t="s">
        <v>180</v>
      </c>
      <c r="C760" t="s">
        <v>66</v>
      </c>
      <c r="D760" s="3">
        <v>45619</v>
      </c>
      <c r="E760" t="s">
        <v>21</v>
      </c>
      <c r="F760" s="4" t="str">
        <f t="shared" si="66"/>
        <v>2024-11</v>
      </c>
      <c r="G760" s="18">
        <f t="shared" si="67"/>
        <v>47</v>
      </c>
      <c r="H760" t="str">
        <f t="shared" si="68"/>
        <v xml:space="preserve">ROGERIO </v>
      </c>
      <c r="I760" t="str">
        <f t="shared" si="69"/>
        <v>ENCADESP LTDA ME</v>
      </c>
      <c r="J760">
        <f t="shared" si="70"/>
        <v>1</v>
      </c>
      <c r="K760">
        <f t="shared" si="71"/>
        <v>0</v>
      </c>
    </row>
    <row r="761" spans="1:11" x14ac:dyDescent="0.25">
      <c r="A761" t="s">
        <v>314</v>
      </c>
      <c r="B761" t="s">
        <v>98</v>
      </c>
      <c r="C761" t="s">
        <v>50</v>
      </c>
      <c r="D761" s="3">
        <v>45619</v>
      </c>
      <c r="E761" t="str">
        <f>VLOOKUP(B761,'PROCV GERENTES BD'!A:B,2,0)</f>
        <v xml:space="preserve">ROGERIO </v>
      </c>
      <c r="F761" s="4" t="str">
        <f t="shared" si="66"/>
        <v>2024-11</v>
      </c>
      <c r="G761" s="18">
        <f t="shared" si="67"/>
        <v>47</v>
      </c>
      <c r="H761" t="str">
        <f t="shared" si="68"/>
        <v xml:space="preserve">ROGERIO </v>
      </c>
      <c r="I761" t="str">
        <f t="shared" si="69"/>
        <v>MUTCD CENTRO DISTRIBUICAO IND FABRICANTE COSMETICO</v>
      </c>
      <c r="J761">
        <f t="shared" si="70"/>
        <v>0</v>
      </c>
      <c r="K761">
        <f t="shared" si="71"/>
        <v>1</v>
      </c>
    </row>
    <row r="762" spans="1:11" x14ac:dyDescent="0.25">
      <c r="A762" t="s">
        <v>348</v>
      </c>
      <c r="B762" t="s">
        <v>93</v>
      </c>
      <c r="C762" t="s">
        <v>50</v>
      </c>
      <c r="D762" s="3">
        <v>45619</v>
      </c>
      <c r="E762" t="str">
        <f>VLOOKUP(B762,'PROCV GERENTES BD'!A:B,2,0)</f>
        <v>WHELKYA IRIS</v>
      </c>
      <c r="F762" s="4" t="str">
        <f t="shared" si="66"/>
        <v>2024-11</v>
      </c>
      <c r="G762" s="18">
        <f t="shared" si="67"/>
        <v>47</v>
      </c>
      <c r="H762" t="str">
        <f t="shared" si="68"/>
        <v>WHELKYA IRIS</v>
      </c>
      <c r="I762" t="str">
        <f t="shared" si="69"/>
        <v>DIVINA INDUSTRIA DE COURO LTDA</v>
      </c>
      <c r="J762">
        <f t="shared" si="70"/>
        <v>0</v>
      </c>
      <c r="K762">
        <f t="shared" si="71"/>
        <v>1</v>
      </c>
    </row>
    <row r="763" spans="1:11" x14ac:dyDescent="0.25">
      <c r="A763" t="s">
        <v>382</v>
      </c>
      <c r="B763" t="s">
        <v>129</v>
      </c>
      <c r="C763" t="s">
        <v>50</v>
      </c>
      <c r="D763" s="3">
        <v>45622</v>
      </c>
      <c r="E763" t="str">
        <f>VLOOKUP(B763,'PROCV GERENTES BD'!A:B,2,0)</f>
        <v>ADMINISTRAÇÃO</v>
      </c>
      <c r="F763" s="4" t="str">
        <f t="shared" si="66"/>
        <v>2024-11</v>
      </c>
      <c r="G763" s="18">
        <f t="shared" si="67"/>
        <v>48</v>
      </c>
      <c r="H763" t="str">
        <f t="shared" si="68"/>
        <v>ADMINISTRAÇÃO</v>
      </c>
      <c r="I763" t="str">
        <f t="shared" si="69"/>
        <v>XEQUE MATE BEBIDAS LTDA ME</v>
      </c>
      <c r="J763">
        <f t="shared" si="70"/>
        <v>0</v>
      </c>
      <c r="K763">
        <f t="shared" si="71"/>
        <v>1</v>
      </c>
    </row>
    <row r="764" spans="1:11" x14ac:dyDescent="0.25">
      <c r="A764" t="s">
        <v>372</v>
      </c>
      <c r="B764" t="s">
        <v>116</v>
      </c>
      <c r="C764" t="s">
        <v>53</v>
      </c>
      <c r="D764" s="3">
        <v>45622</v>
      </c>
      <c r="E764" t="str">
        <f>VLOOKUP(B764,'PROCV GERENTES BD'!A:B,2,0)</f>
        <v>ADMINISTRAÇÃO</v>
      </c>
      <c r="F764" s="4" t="str">
        <f t="shared" si="66"/>
        <v>2024-11</v>
      </c>
      <c r="G764" s="18">
        <f t="shared" si="67"/>
        <v>48</v>
      </c>
      <c r="H764" t="str">
        <f t="shared" si="68"/>
        <v>ADMINISTRAÇÃO</v>
      </c>
      <c r="I764" t="str">
        <f t="shared" si="69"/>
        <v>PREMOLDADOS MATOSINHOS LTDA EPP</v>
      </c>
      <c r="J764">
        <f t="shared" si="70"/>
        <v>1</v>
      </c>
      <c r="K764">
        <f t="shared" si="71"/>
        <v>1</v>
      </c>
    </row>
    <row r="765" spans="1:11" x14ac:dyDescent="0.25">
      <c r="A765" t="s">
        <v>304</v>
      </c>
      <c r="B765" t="s">
        <v>123</v>
      </c>
      <c r="C765" t="s">
        <v>50</v>
      </c>
      <c r="D765" s="3">
        <v>45622</v>
      </c>
      <c r="E765" t="str">
        <f>VLOOKUP(B765,'PROCV GERENTES BD'!A:B,2,0)</f>
        <v>ADMINISTRAÇÃO</v>
      </c>
      <c r="F765" s="4" t="str">
        <f t="shared" si="66"/>
        <v>2024-11</v>
      </c>
      <c r="G765" s="18">
        <f t="shared" si="67"/>
        <v>48</v>
      </c>
      <c r="H765" t="str">
        <f t="shared" si="68"/>
        <v>ADMINISTRAÇÃO</v>
      </c>
      <c r="I765" t="str">
        <f t="shared" si="69"/>
        <v>VIC LOGISTICA LTDA EM RECUPERACAO JUDICIAL</v>
      </c>
      <c r="J765">
        <f t="shared" si="70"/>
        <v>0</v>
      </c>
      <c r="K765">
        <f t="shared" si="71"/>
        <v>1</v>
      </c>
    </row>
    <row r="766" spans="1:11" x14ac:dyDescent="0.25">
      <c r="A766" t="s">
        <v>373</v>
      </c>
      <c r="B766" t="s">
        <v>117</v>
      </c>
      <c r="C766" t="s">
        <v>66</v>
      </c>
      <c r="D766" s="3">
        <v>45622</v>
      </c>
      <c r="E766" t="str">
        <f>VLOOKUP(B766,'PROCV GERENTES BD'!A:B,2,0)</f>
        <v>ADMINISTRAÇÃO</v>
      </c>
      <c r="F766" s="4" t="str">
        <f t="shared" si="66"/>
        <v>2024-11</v>
      </c>
      <c r="G766" s="18">
        <f t="shared" si="67"/>
        <v>48</v>
      </c>
      <c r="H766" t="str">
        <f t="shared" si="68"/>
        <v>ADMINISTRAÇÃO</v>
      </c>
      <c r="I766" t="str">
        <f t="shared" si="69"/>
        <v>VIVAN TRANSPORTES LTDA</v>
      </c>
      <c r="J766">
        <f t="shared" si="70"/>
        <v>1</v>
      </c>
      <c r="K766">
        <f t="shared" si="71"/>
        <v>0</v>
      </c>
    </row>
    <row r="767" spans="1:11" x14ac:dyDescent="0.25">
      <c r="A767" t="s">
        <v>319</v>
      </c>
      <c r="B767" t="s">
        <v>80</v>
      </c>
      <c r="C767" t="s">
        <v>50</v>
      </c>
      <c r="D767" s="3">
        <v>45622</v>
      </c>
      <c r="E767" t="str">
        <f>VLOOKUP(B767,'PROCV GERENTES BD'!A:B,2,0)</f>
        <v>CELIO PIMENTA</v>
      </c>
      <c r="F767" s="4" t="str">
        <f t="shared" si="66"/>
        <v>2024-11</v>
      </c>
      <c r="G767" s="18">
        <f t="shared" si="67"/>
        <v>48</v>
      </c>
      <c r="H767" t="str">
        <f t="shared" si="68"/>
        <v>CELIO PIMENTA</v>
      </c>
      <c r="I767" t="str">
        <f t="shared" si="69"/>
        <v>IMPORTEXTIL COMERCIO DE TECIDOS LTDA</v>
      </c>
      <c r="J767">
        <f t="shared" si="70"/>
        <v>0</v>
      </c>
      <c r="K767">
        <f t="shared" si="71"/>
        <v>1</v>
      </c>
    </row>
    <row r="768" spans="1:11" x14ac:dyDescent="0.25">
      <c r="A768" t="s">
        <v>311</v>
      </c>
      <c r="B768" t="s">
        <v>81</v>
      </c>
      <c r="C768" t="s">
        <v>50</v>
      </c>
      <c r="D768" s="3">
        <v>45622</v>
      </c>
      <c r="E768" t="str">
        <f>VLOOKUP(B768,'PROCV GERENTES BD'!A:B,2,0)</f>
        <v>CELIO PIMENTA</v>
      </c>
      <c r="F768" s="4" t="str">
        <f t="shared" si="66"/>
        <v>2024-11</v>
      </c>
      <c r="G768" s="18">
        <f t="shared" si="67"/>
        <v>48</v>
      </c>
      <c r="H768" t="str">
        <f t="shared" si="68"/>
        <v>CELIO PIMENTA</v>
      </c>
      <c r="I768" t="str">
        <f t="shared" si="69"/>
        <v>MBIOLOG DIAGNOSTICOS LTDA</v>
      </c>
      <c r="J768">
        <f t="shared" si="70"/>
        <v>0</v>
      </c>
      <c r="K768">
        <f t="shared" si="71"/>
        <v>1</v>
      </c>
    </row>
    <row r="769" spans="1:11" x14ac:dyDescent="0.25">
      <c r="A769" t="s">
        <v>54</v>
      </c>
      <c r="B769" t="s">
        <v>55</v>
      </c>
      <c r="C769" t="s">
        <v>50</v>
      </c>
      <c r="D769" s="3">
        <v>45622</v>
      </c>
      <c r="E769" t="str">
        <f>VLOOKUP(B769,'PROCV GERENTES BD'!A:B,2,0)</f>
        <v>CELIO PIMENTA</v>
      </c>
      <c r="F769" s="4" t="str">
        <f t="shared" si="66"/>
        <v>2024-11</v>
      </c>
      <c r="G769" s="18">
        <f t="shared" si="67"/>
        <v>48</v>
      </c>
      <c r="H769" t="str">
        <f t="shared" si="68"/>
        <v>CELIO PIMENTA</v>
      </c>
      <c r="I769" t="str">
        <f t="shared" si="69"/>
        <v>WJ CALDEIRARIA INDUSTRIA E COMERCIO LTDA ME</v>
      </c>
      <c r="J769">
        <f t="shared" si="70"/>
        <v>0</v>
      </c>
      <c r="K769">
        <f t="shared" si="71"/>
        <v>1</v>
      </c>
    </row>
    <row r="770" spans="1:11" x14ac:dyDescent="0.25">
      <c r="A770" t="s">
        <v>358</v>
      </c>
      <c r="B770" t="s">
        <v>104</v>
      </c>
      <c r="C770" t="s">
        <v>66</v>
      </c>
      <c r="D770" s="3">
        <v>45622</v>
      </c>
      <c r="E770" t="str">
        <f>VLOOKUP(B770,'PROCV GERENTES BD'!A:B,2,0)</f>
        <v>DIOGO AZEVEDO</v>
      </c>
      <c r="F770" s="4" t="str">
        <f t="shared" ref="F770:F833" si="72">YEAR(D770)&amp;"-"&amp;TEXT(MONTH(D770),"00")</f>
        <v>2024-11</v>
      </c>
      <c r="G770" s="18">
        <f t="shared" ref="G770:G833" si="73">WEEKNUM(D770)</f>
        <v>48</v>
      </c>
      <c r="H770" t="str">
        <f t="shared" ref="H770:H833" si="74">E770</f>
        <v>DIOGO AZEVEDO</v>
      </c>
      <c r="I770" t="str">
        <f t="shared" ref="I770:I833" si="75">B770</f>
        <v>INDUSTRIA E CERVEJARIA ARTESANAL DE MINAS GERAIS L</v>
      </c>
      <c r="J770">
        <f t="shared" ref="J770:J833" si="76">IF(OR(C770="EXCLUSAO  ANOT.INADIMPLENCIA",C770="INCL/EXCL ANOT.INADIMPLENCIA"),1,0)</f>
        <v>1</v>
      </c>
      <c r="K770">
        <f t="shared" ref="K770:K833" si="77">IF(OR(C770="INCLUSAO  ANOT.INADIMPLENCIA",C770="INCL/EXCL ANOT.INADIMPLENCIA"),1,0)</f>
        <v>0</v>
      </c>
    </row>
    <row r="771" spans="1:11" x14ac:dyDescent="0.25">
      <c r="A771" t="s">
        <v>324</v>
      </c>
      <c r="B771" t="s">
        <v>119</v>
      </c>
      <c r="C771" t="s">
        <v>66</v>
      </c>
      <c r="D771" s="3">
        <v>45622</v>
      </c>
      <c r="E771" t="str">
        <f>VLOOKUP(B771,'PROCV GERENTES BD'!A:B,2,0)</f>
        <v>PROSPECTAR</v>
      </c>
      <c r="F771" s="4" t="str">
        <f t="shared" si="72"/>
        <v>2024-11</v>
      </c>
      <c r="G771" s="18">
        <f t="shared" si="73"/>
        <v>48</v>
      </c>
      <c r="H771" t="str">
        <f t="shared" si="74"/>
        <v>PROSPECTAR</v>
      </c>
      <c r="I771" t="str">
        <f t="shared" si="75"/>
        <v>TRANSHENRY TRANSPORTES LTDA</v>
      </c>
      <c r="J771">
        <f t="shared" si="76"/>
        <v>1</v>
      </c>
      <c r="K771">
        <f t="shared" si="77"/>
        <v>0</v>
      </c>
    </row>
    <row r="772" spans="1:11" x14ac:dyDescent="0.25">
      <c r="A772" t="s">
        <v>323</v>
      </c>
      <c r="B772" t="s">
        <v>109</v>
      </c>
      <c r="C772" t="s">
        <v>50</v>
      </c>
      <c r="D772" s="3">
        <v>45622</v>
      </c>
      <c r="E772" t="str">
        <f>VLOOKUP(B772,'PROCV GERENTES BD'!A:B,2,0)</f>
        <v>PROSPECTAR</v>
      </c>
      <c r="F772" s="4" t="str">
        <f t="shared" si="72"/>
        <v>2024-11</v>
      </c>
      <c r="G772" s="18">
        <f t="shared" si="73"/>
        <v>48</v>
      </c>
      <c r="H772" t="str">
        <f t="shared" si="74"/>
        <v>PROSPECTAR</v>
      </c>
      <c r="I772" t="str">
        <f t="shared" si="75"/>
        <v>SIAP COMERCIO DE PRODUTOS AGROPECUARIOS LTDA</v>
      </c>
      <c r="J772">
        <f t="shared" si="76"/>
        <v>0</v>
      </c>
      <c r="K772">
        <f t="shared" si="77"/>
        <v>1</v>
      </c>
    </row>
    <row r="773" spans="1:11" x14ac:dyDescent="0.25">
      <c r="A773" t="s">
        <v>428</v>
      </c>
      <c r="B773" t="s">
        <v>179</v>
      </c>
      <c r="C773" t="s">
        <v>50</v>
      </c>
      <c r="D773" s="3">
        <v>45622</v>
      </c>
      <c r="E773" t="str">
        <f>VLOOKUP(B773,'PROCV GERENTES BD'!A:B,2,0)</f>
        <v xml:space="preserve">MARCUS VINICIUS </v>
      </c>
      <c r="F773" s="4" t="str">
        <f t="shared" si="72"/>
        <v>2024-11</v>
      </c>
      <c r="G773" s="18">
        <f t="shared" si="73"/>
        <v>48</v>
      </c>
      <c r="H773" t="str">
        <f t="shared" si="74"/>
        <v xml:space="preserve">MARCUS VINICIUS </v>
      </c>
      <c r="I773" t="str">
        <f t="shared" si="75"/>
        <v>LABOR ELETRIC INDUSTRIA E COMERCIO UNIPESSOAL LTDA</v>
      </c>
      <c r="J773">
        <f t="shared" si="76"/>
        <v>0</v>
      </c>
      <c r="K773">
        <f t="shared" si="77"/>
        <v>1</v>
      </c>
    </row>
    <row r="774" spans="1:11" x14ac:dyDescent="0.25">
      <c r="A774" t="s">
        <v>385</v>
      </c>
      <c r="B774" t="s">
        <v>132</v>
      </c>
      <c r="C774" t="s">
        <v>50</v>
      </c>
      <c r="D774" s="3">
        <v>45622</v>
      </c>
      <c r="E774" t="str">
        <f>VLOOKUP(B774,'PROCV GERENTES BD'!A:B,2,0)</f>
        <v xml:space="preserve">MARCUS VINICIUS </v>
      </c>
      <c r="F774" s="4" t="str">
        <f t="shared" si="72"/>
        <v>2024-11</v>
      </c>
      <c r="G774" s="18">
        <f t="shared" si="73"/>
        <v>48</v>
      </c>
      <c r="H774" t="str">
        <f t="shared" si="74"/>
        <v xml:space="preserve">MARCUS VINICIUS </v>
      </c>
      <c r="I774" t="str">
        <f t="shared" si="75"/>
        <v>RODOANEL REFORMADORA DE IMPLEMENTOS RODOVIARIOS LT</v>
      </c>
      <c r="J774">
        <f t="shared" si="76"/>
        <v>0</v>
      </c>
      <c r="K774">
        <f t="shared" si="77"/>
        <v>1</v>
      </c>
    </row>
    <row r="775" spans="1:11" x14ac:dyDescent="0.25">
      <c r="A775" t="s">
        <v>422</v>
      </c>
      <c r="B775" t="s">
        <v>173</v>
      </c>
      <c r="C775" t="s">
        <v>66</v>
      </c>
      <c r="D775" s="3">
        <v>45622</v>
      </c>
      <c r="E775" t="str">
        <f>VLOOKUP(B775,'PROCV GERENTES BD'!A:B,2,0)</f>
        <v>NOELI SALETE</v>
      </c>
      <c r="F775" s="4" t="str">
        <f t="shared" si="72"/>
        <v>2024-11</v>
      </c>
      <c r="G775" s="18">
        <f t="shared" si="73"/>
        <v>48</v>
      </c>
      <c r="H775" t="str">
        <f t="shared" si="74"/>
        <v>NOELI SALETE</v>
      </c>
      <c r="I775" t="str">
        <f t="shared" si="75"/>
        <v>COMGROUP AGROINDUSTRIAL LTDA</v>
      </c>
      <c r="J775">
        <f t="shared" si="76"/>
        <v>1</v>
      </c>
      <c r="K775">
        <f t="shared" si="77"/>
        <v>0</v>
      </c>
    </row>
    <row r="776" spans="1:11" x14ac:dyDescent="0.25">
      <c r="A776" t="s">
        <v>419</v>
      </c>
      <c r="B776" t="s">
        <v>169</v>
      </c>
      <c r="C776" t="s">
        <v>50</v>
      </c>
      <c r="D776" s="3">
        <v>45622</v>
      </c>
      <c r="E776" t="str">
        <f>VLOOKUP(B776,'PROCV GERENTES BD'!A:B,2,0)</f>
        <v>NOELI SALETE</v>
      </c>
      <c r="F776" s="4" t="str">
        <f t="shared" si="72"/>
        <v>2024-11</v>
      </c>
      <c r="G776" s="18">
        <f t="shared" si="73"/>
        <v>48</v>
      </c>
      <c r="H776" t="str">
        <f t="shared" si="74"/>
        <v>NOELI SALETE</v>
      </c>
      <c r="I776" t="str">
        <f t="shared" si="75"/>
        <v>GLOBAL ACO SERVICOS E PRODUTOS SIDERURGICOS LTDA E</v>
      </c>
      <c r="J776">
        <f t="shared" si="76"/>
        <v>0</v>
      </c>
      <c r="K776">
        <f t="shared" si="77"/>
        <v>1</v>
      </c>
    </row>
    <row r="777" spans="1:11" x14ac:dyDescent="0.25">
      <c r="A777" t="s">
        <v>394</v>
      </c>
      <c r="B777" t="s">
        <v>143</v>
      </c>
      <c r="C777" t="s">
        <v>50</v>
      </c>
      <c r="D777" s="3">
        <v>45622</v>
      </c>
      <c r="E777" t="str">
        <f>VLOOKUP(B777,'PROCV GERENTES BD'!A:B,2,0)</f>
        <v>NOELI SALETE</v>
      </c>
      <c r="F777" s="4" t="str">
        <f t="shared" si="72"/>
        <v>2024-11</v>
      </c>
      <c r="G777" s="18">
        <f t="shared" si="73"/>
        <v>48</v>
      </c>
      <c r="H777" t="str">
        <f t="shared" si="74"/>
        <v>NOELI SALETE</v>
      </c>
      <c r="I777" t="str">
        <f t="shared" si="75"/>
        <v>ALBERTO H DA SILVA ME</v>
      </c>
      <c r="J777">
        <f t="shared" si="76"/>
        <v>0</v>
      </c>
      <c r="K777">
        <f t="shared" si="77"/>
        <v>1</v>
      </c>
    </row>
    <row r="778" spans="1:11" x14ac:dyDescent="0.25">
      <c r="A778" t="s">
        <v>353</v>
      </c>
      <c r="B778" t="s">
        <v>97</v>
      </c>
      <c r="C778" t="s">
        <v>50</v>
      </c>
      <c r="D778" s="3">
        <v>45622</v>
      </c>
      <c r="E778" t="str">
        <f>VLOOKUP(B778,'PROCV GERENTES BD'!A:B,2,0)</f>
        <v>PRISCILA METZ</v>
      </c>
      <c r="F778" s="4" t="str">
        <f t="shared" si="72"/>
        <v>2024-11</v>
      </c>
      <c r="G778" s="18">
        <f t="shared" si="73"/>
        <v>48</v>
      </c>
      <c r="H778" t="str">
        <f t="shared" si="74"/>
        <v>PRISCILA METZ</v>
      </c>
      <c r="I778" t="str">
        <f t="shared" si="75"/>
        <v>ESSENZA INDUSTRIA QUIMICA LTDA</v>
      </c>
      <c r="J778">
        <f t="shared" si="76"/>
        <v>0</v>
      </c>
      <c r="K778">
        <f t="shared" si="77"/>
        <v>1</v>
      </c>
    </row>
    <row r="779" spans="1:11" x14ac:dyDescent="0.25">
      <c r="A779" t="s">
        <v>376</v>
      </c>
      <c r="B779" t="s">
        <v>121</v>
      </c>
      <c r="C779" t="s">
        <v>50</v>
      </c>
      <c r="D779" s="3">
        <v>45622</v>
      </c>
      <c r="E779" t="str">
        <f>VLOOKUP(B779,'PROCV GERENTES BD'!A:B,2,0)</f>
        <v>PRISCILA METZ</v>
      </c>
      <c r="F779" s="4" t="str">
        <f t="shared" si="72"/>
        <v>2024-11</v>
      </c>
      <c r="G779" s="18">
        <f t="shared" si="73"/>
        <v>48</v>
      </c>
      <c r="H779" t="str">
        <f t="shared" si="74"/>
        <v>PRISCILA METZ</v>
      </c>
      <c r="I779" t="str">
        <f t="shared" si="75"/>
        <v>NOVA DISTRIBUIDORA E ATACADO DE LIMPEZA LTDA</v>
      </c>
      <c r="J779">
        <f t="shared" si="76"/>
        <v>0</v>
      </c>
      <c r="K779">
        <f t="shared" si="77"/>
        <v>1</v>
      </c>
    </row>
    <row r="780" spans="1:11" x14ac:dyDescent="0.25">
      <c r="A780" t="s">
        <v>434</v>
      </c>
      <c r="B780" t="s">
        <v>185</v>
      </c>
      <c r="C780" t="s">
        <v>66</v>
      </c>
      <c r="D780" s="3">
        <v>45622</v>
      </c>
      <c r="E780" t="str">
        <f>VLOOKUP(B780,'PROCV GERENTES BD'!A:B,2,0)</f>
        <v>RAFAEL PARISE</v>
      </c>
      <c r="F780" s="4" t="str">
        <f t="shared" si="72"/>
        <v>2024-11</v>
      </c>
      <c r="G780" s="18">
        <f t="shared" si="73"/>
        <v>48</v>
      </c>
      <c r="H780" t="str">
        <f t="shared" si="74"/>
        <v>RAFAEL PARISE</v>
      </c>
      <c r="I780" t="str">
        <f t="shared" si="75"/>
        <v>MARCAS COMERCIO LTDA ME</v>
      </c>
      <c r="J780">
        <f t="shared" si="76"/>
        <v>1</v>
      </c>
      <c r="K780">
        <f t="shared" si="77"/>
        <v>0</v>
      </c>
    </row>
    <row r="781" spans="1:11" x14ac:dyDescent="0.25">
      <c r="A781" t="s">
        <v>76</v>
      </c>
      <c r="B781" t="s">
        <v>77</v>
      </c>
      <c r="C781" t="s">
        <v>50</v>
      </c>
      <c r="D781" s="3">
        <v>45622</v>
      </c>
      <c r="E781" t="str">
        <f>VLOOKUP(B781,'PROCV GERENTES BD'!A:B,2,0)</f>
        <v>RAFAEL PARISE</v>
      </c>
      <c r="F781" s="4" t="str">
        <f t="shared" si="72"/>
        <v>2024-11</v>
      </c>
      <c r="G781" s="18">
        <f t="shared" si="73"/>
        <v>48</v>
      </c>
      <c r="H781" t="str">
        <f t="shared" si="74"/>
        <v>RAFAEL PARISE</v>
      </c>
      <c r="I781" t="str">
        <f t="shared" si="75"/>
        <v>UNITA AUTO PECAS LTDA EPP</v>
      </c>
      <c r="J781">
        <f t="shared" si="76"/>
        <v>0</v>
      </c>
      <c r="K781">
        <f t="shared" si="77"/>
        <v>1</v>
      </c>
    </row>
    <row r="782" spans="1:11" x14ac:dyDescent="0.25">
      <c r="A782" t="s">
        <v>358</v>
      </c>
      <c r="B782" t="s">
        <v>104</v>
      </c>
      <c r="C782" t="s">
        <v>66</v>
      </c>
      <c r="D782" s="3">
        <v>45623</v>
      </c>
      <c r="E782" t="str">
        <f>VLOOKUP(B782,'PROCV GERENTES BD'!A:B,2,0)</f>
        <v>DIOGO AZEVEDO</v>
      </c>
      <c r="F782" s="4" t="str">
        <f t="shared" si="72"/>
        <v>2024-11</v>
      </c>
      <c r="G782" s="18">
        <f t="shared" si="73"/>
        <v>48</v>
      </c>
      <c r="H782" t="str">
        <f t="shared" si="74"/>
        <v>DIOGO AZEVEDO</v>
      </c>
      <c r="I782" t="str">
        <f t="shared" si="75"/>
        <v>INDUSTRIA E CERVEJARIA ARTESANAL DE MINAS GERAIS L</v>
      </c>
      <c r="J782">
        <f t="shared" si="76"/>
        <v>1</v>
      </c>
      <c r="K782">
        <f t="shared" si="77"/>
        <v>0</v>
      </c>
    </row>
    <row r="783" spans="1:11" x14ac:dyDescent="0.25">
      <c r="A783" t="s">
        <v>419</v>
      </c>
      <c r="B783" t="s">
        <v>169</v>
      </c>
      <c r="C783" t="s">
        <v>50</v>
      </c>
      <c r="D783" s="3">
        <v>45623</v>
      </c>
      <c r="E783" t="str">
        <f>VLOOKUP(B783,'PROCV GERENTES BD'!A:B,2,0)</f>
        <v>NOELI SALETE</v>
      </c>
      <c r="F783" s="4" t="str">
        <f t="shared" si="72"/>
        <v>2024-11</v>
      </c>
      <c r="G783" s="18">
        <f t="shared" si="73"/>
        <v>48</v>
      </c>
      <c r="H783" t="str">
        <f t="shared" si="74"/>
        <v>NOELI SALETE</v>
      </c>
      <c r="I783" t="str">
        <f t="shared" si="75"/>
        <v>GLOBAL ACO SERVICOS E PRODUTOS SIDERURGICOS LTDA E</v>
      </c>
      <c r="J783">
        <f t="shared" si="76"/>
        <v>0</v>
      </c>
      <c r="K783">
        <f t="shared" si="77"/>
        <v>1</v>
      </c>
    </row>
    <row r="784" spans="1:11" x14ac:dyDescent="0.25">
      <c r="A784" t="s">
        <v>339</v>
      </c>
      <c r="B784" t="s">
        <v>87</v>
      </c>
      <c r="C784" t="s">
        <v>50</v>
      </c>
      <c r="D784" s="3">
        <v>45623</v>
      </c>
      <c r="E784" t="str">
        <f>VLOOKUP(B784,'PROCV GERENTES BD'!A:B,2,0)</f>
        <v>NOELI SALETE</v>
      </c>
      <c r="F784" s="4" t="str">
        <f t="shared" si="72"/>
        <v>2024-11</v>
      </c>
      <c r="G784" s="18">
        <f t="shared" si="73"/>
        <v>48</v>
      </c>
      <c r="H784" t="str">
        <f t="shared" si="74"/>
        <v>NOELI SALETE</v>
      </c>
      <c r="I784" t="str">
        <f t="shared" si="75"/>
        <v>RODOBOX TRANSPORTES E ARMAZENAGEM DE CARGAS LTDA</v>
      </c>
      <c r="J784">
        <f t="shared" si="76"/>
        <v>0</v>
      </c>
      <c r="K784">
        <f t="shared" si="77"/>
        <v>1</v>
      </c>
    </row>
    <row r="785" spans="1:11" x14ac:dyDescent="0.25">
      <c r="A785" t="s">
        <v>394</v>
      </c>
      <c r="B785" t="s">
        <v>143</v>
      </c>
      <c r="C785" t="s">
        <v>50</v>
      </c>
      <c r="D785" s="3">
        <v>45623</v>
      </c>
      <c r="E785" t="str">
        <f>VLOOKUP(B785,'PROCV GERENTES BD'!A:B,2,0)</f>
        <v>NOELI SALETE</v>
      </c>
      <c r="F785" s="4" t="str">
        <f t="shared" si="72"/>
        <v>2024-11</v>
      </c>
      <c r="G785" s="18">
        <f t="shared" si="73"/>
        <v>48</v>
      </c>
      <c r="H785" t="str">
        <f t="shared" si="74"/>
        <v>NOELI SALETE</v>
      </c>
      <c r="I785" t="str">
        <f t="shared" si="75"/>
        <v>ALBERTO H DA SILVA ME</v>
      </c>
      <c r="J785">
        <f t="shared" si="76"/>
        <v>0</v>
      </c>
      <c r="K785">
        <f t="shared" si="77"/>
        <v>1</v>
      </c>
    </row>
    <row r="786" spans="1:11" x14ac:dyDescent="0.25">
      <c r="A786" t="s">
        <v>346</v>
      </c>
      <c r="B786" t="s">
        <v>91</v>
      </c>
      <c r="C786" t="s">
        <v>50</v>
      </c>
      <c r="D786" s="3">
        <v>45623</v>
      </c>
      <c r="E786" t="str">
        <f>VLOOKUP(B786,'PROCV GERENTES BD'!A:B,2,0)</f>
        <v>POENATELA</v>
      </c>
      <c r="F786" s="4" t="str">
        <f t="shared" si="72"/>
        <v>2024-11</v>
      </c>
      <c r="G786" s="18">
        <f t="shared" si="73"/>
        <v>48</v>
      </c>
      <c r="H786" t="str">
        <f t="shared" si="74"/>
        <v>POENATELA</v>
      </c>
      <c r="I786" t="str">
        <f t="shared" si="75"/>
        <v>UBERTEC SERVICE USINAGEM LTDA EPP</v>
      </c>
      <c r="J786">
        <f t="shared" si="76"/>
        <v>0</v>
      </c>
      <c r="K786">
        <f t="shared" si="77"/>
        <v>1</v>
      </c>
    </row>
    <row r="787" spans="1:11" x14ac:dyDescent="0.25">
      <c r="A787" t="s">
        <v>390</v>
      </c>
      <c r="B787" t="s">
        <v>137</v>
      </c>
      <c r="C787" t="s">
        <v>66</v>
      </c>
      <c r="D787" s="3">
        <v>45623</v>
      </c>
      <c r="E787" t="str">
        <f>VLOOKUP(B787,'PROCV GERENTES BD'!A:B,2,0)</f>
        <v>PRISCILA METZ</v>
      </c>
      <c r="F787" s="4" t="str">
        <f t="shared" si="72"/>
        <v>2024-11</v>
      </c>
      <c r="G787" s="18">
        <f t="shared" si="73"/>
        <v>48</v>
      </c>
      <c r="H787" t="str">
        <f t="shared" si="74"/>
        <v>PRISCILA METZ</v>
      </c>
      <c r="I787" t="str">
        <f t="shared" si="75"/>
        <v>VLF IMPERIAL LATICINIOS LTDA ME</v>
      </c>
      <c r="J787">
        <f t="shared" si="76"/>
        <v>1</v>
      </c>
      <c r="K787">
        <f t="shared" si="77"/>
        <v>0</v>
      </c>
    </row>
    <row r="788" spans="1:11" x14ac:dyDescent="0.25">
      <c r="A788" t="s">
        <v>348</v>
      </c>
      <c r="B788" t="s">
        <v>93</v>
      </c>
      <c r="C788" t="s">
        <v>50</v>
      </c>
      <c r="D788" s="3">
        <v>45623</v>
      </c>
      <c r="E788" t="str">
        <f>VLOOKUP(B788,'PROCV GERENTES BD'!A:B,2,0)</f>
        <v>WHELKYA IRIS</v>
      </c>
      <c r="F788" s="4" t="str">
        <f t="shared" si="72"/>
        <v>2024-11</v>
      </c>
      <c r="G788" s="18">
        <f t="shared" si="73"/>
        <v>48</v>
      </c>
      <c r="H788" t="str">
        <f t="shared" si="74"/>
        <v>WHELKYA IRIS</v>
      </c>
      <c r="I788" t="str">
        <f t="shared" si="75"/>
        <v>DIVINA INDUSTRIA DE COURO LTDA</v>
      </c>
      <c r="J788">
        <f t="shared" si="76"/>
        <v>0</v>
      </c>
      <c r="K788">
        <f t="shared" si="77"/>
        <v>1</v>
      </c>
    </row>
    <row r="789" spans="1:11" x14ac:dyDescent="0.25">
      <c r="A789" t="s">
        <v>304</v>
      </c>
      <c r="B789" t="s">
        <v>123</v>
      </c>
      <c r="C789" t="s">
        <v>66</v>
      </c>
      <c r="D789" s="3">
        <v>45624</v>
      </c>
      <c r="E789" t="str">
        <f>VLOOKUP(B789,'PROCV GERENTES BD'!A:B,2,0)</f>
        <v>ADMINISTRAÇÃO</v>
      </c>
      <c r="F789" s="4" t="str">
        <f t="shared" si="72"/>
        <v>2024-11</v>
      </c>
      <c r="G789" s="18">
        <f t="shared" si="73"/>
        <v>48</v>
      </c>
      <c r="H789" t="str">
        <f t="shared" si="74"/>
        <v>ADMINISTRAÇÃO</v>
      </c>
      <c r="I789" t="str">
        <f t="shared" si="75"/>
        <v>VIC LOGISTICA LTDA EM RECUPERACAO JUDICIAL</v>
      </c>
      <c r="J789">
        <f t="shared" si="76"/>
        <v>1</v>
      </c>
      <c r="K789">
        <f t="shared" si="77"/>
        <v>0</v>
      </c>
    </row>
    <row r="790" spans="1:11" x14ac:dyDescent="0.25">
      <c r="A790" t="s">
        <v>358</v>
      </c>
      <c r="B790" t="s">
        <v>104</v>
      </c>
      <c r="C790" t="s">
        <v>66</v>
      </c>
      <c r="D790" s="3">
        <v>45624</v>
      </c>
      <c r="E790" t="str">
        <f>VLOOKUP(B790,'PROCV GERENTES BD'!A:B,2,0)</f>
        <v>DIOGO AZEVEDO</v>
      </c>
      <c r="F790" s="4" t="str">
        <f t="shared" si="72"/>
        <v>2024-11</v>
      </c>
      <c r="G790" s="18">
        <f t="shared" si="73"/>
        <v>48</v>
      </c>
      <c r="H790" t="str">
        <f t="shared" si="74"/>
        <v>DIOGO AZEVEDO</v>
      </c>
      <c r="I790" t="str">
        <f t="shared" si="75"/>
        <v>INDUSTRIA E CERVEJARIA ARTESANAL DE MINAS GERAIS L</v>
      </c>
      <c r="J790">
        <f t="shared" si="76"/>
        <v>1</v>
      </c>
      <c r="K790">
        <f t="shared" si="77"/>
        <v>0</v>
      </c>
    </row>
    <row r="791" spans="1:11" x14ac:dyDescent="0.25">
      <c r="A791" t="s">
        <v>324</v>
      </c>
      <c r="B791" t="s">
        <v>119</v>
      </c>
      <c r="C791" t="s">
        <v>66</v>
      </c>
      <c r="D791" s="3">
        <v>45624</v>
      </c>
      <c r="E791" t="str">
        <f>VLOOKUP(B791,'PROCV GERENTES BD'!A:B,2,0)</f>
        <v>PROSPECTAR</v>
      </c>
      <c r="F791" s="4" t="str">
        <f t="shared" si="72"/>
        <v>2024-11</v>
      </c>
      <c r="G791" s="18">
        <f t="shared" si="73"/>
        <v>48</v>
      </c>
      <c r="H791" t="str">
        <f t="shared" si="74"/>
        <v>PROSPECTAR</v>
      </c>
      <c r="I791" t="str">
        <f t="shared" si="75"/>
        <v>TRANSHENRY TRANSPORTES LTDA</v>
      </c>
      <c r="J791">
        <f t="shared" si="76"/>
        <v>1</v>
      </c>
      <c r="K791">
        <f t="shared" si="77"/>
        <v>0</v>
      </c>
    </row>
    <row r="792" spans="1:11" x14ac:dyDescent="0.25">
      <c r="A792" t="s">
        <v>428</v>
      </c>
      <c r="B792" t="s">
        <v>179</v>
      </c>
      <c r="C792" t="s">
        <v>50</v>
      </c>
      <c r="D792" s="3">
        <v>45624</v>
      </c>
      <c r="E792" t="str">
        <f>VLOOKUP(B792,'PROCV GERENTES BD'!A:B,2,0)</f>
        <v xml:space="preserve">MARCUS VINICIUS </v>
      </c>
      <c r="F792" s="4" t="str">
        <f t="shared" si="72"/>
        <v>2024-11</v>
      </c>
      <c r="G792" s="18">
        <f t="shared" si="73"/>
        <v>48</v>
      </c>
      <c r="H792" t="str">
        <f t="shared" si="74"/>
        <v xml:space="preserve">MARCUS VINICIUS </v>
      </c>
      <c r="I792" t="str">
        <f t="shared" si="75"/>
        <v>LABOR ELETRIC INDUSTRIA E COMERCIO UNIPESSOAL LTDA</v>
      </c>
      <c r="J792">
        <f t="shared" si="76"/>
        <v>0</v>
      </c>
      <c r="K792">
        <f t="shared" si="77"/>
        <v>1</v>
      </c>
    </row>
    <row r="793" spans="1:11" x14ac:dyDescent="0.25">
      <c r="A793" t="s">
        <v>346</v>
      </c>
      <c r="B793" t="s">
        <v>91</v>
      </c>
      <c r="C793" t="s">
        <v>50</v>
      </c>
      <c r="D793" s="3">
        <v>45624</v>
      </c>
      <c r="E793" t="str">
        <f>VLOOKUP(B793,'PROCV GERENTES BD'!A:B,2,0)</f>
        <v>POENATELA</v>
      </c>
      <c r="F793" s="4" t="str">
        <f t="shared" si="72"/>
        <v>2024-11</v>
      </c>
      <c r="G793" s="18">
        <f t="shared" si="73"/>
        <v>48</v>
      </c>
      <c r="H793" t="str">
        <f t="shared" si="74"/>
        <v>POENATELA</v>
      </c>
      <c r="I793" t="str">
        <f t="shared" si="75"/>
        <v>UBERTEC SERVICE USINAGEM LTDA EPP</v>
      </c>
      <c r="J793">
        <f t="shared" si="76"/>
        <v>0</v>
      </c>
      <c r="K793">
        <f t="shared" si="77"/>
        <v>1</v>
      </c>
    </row>
    <row r="794" spans="1:11" x14ac:dyDescent="0.25">
      <c r="A794" t="s">
        <v>376</v>
      </c>
      <c r="B794" t="s">
        <v>121</v>
      </c>
      <c r="C794" t="s">
        <v>50</v>
      </c>
      <c r="D794" s="3">
        <v>45624</v>
      </c>
      <c r="E794" t="str">
        <f>VLOOKUP(B794,'PROCV GERENTES BD'!A:B,2,0)</f>
        <v>PRISCILA METZ</v>
      </c>
      <c r="F794" s="4" t="str">
        <f t="shared" si="72"/>
        <v>2024-11</v>
      </c>
      <c r="G794" s="18">
        <f t="shared" si="73"/>
        <v>48</v>
      </c>
      <c r="H794" t="str">
        <f t="shared" si="74"/>
        <v>PRISCILA METZ</v>
      </c>
      <c r="I794" t="str">
        <f t="shared" si="75"/>
        <v>NOVA DISTRIBUIDORA E ATACADO DE LIMPEZA LTDA</v>
      </c>
      <c r="J794">
        <f t="shared" si="76"/>
        <v>0</v>
      </c>
      <c r="K794">
        <f t="shared" si="77"/>
        <v>1</v>
      </c>
    </row>
    <row r="795" spans="1:11" x14ac:dyDescent="0.25">
      <c r="A795" t="s">
        <v>76</v>
      </c>
      <c r="B795" t="s">
        <v>77</v>
      </c>
      <c r="C795" t="s">
        <v>66</v>
      </c>
      <c r="D795" s="3">
        <v>45624</v>
      </c>
      <c r="E795" t="str">
        <f>VLOOKUP(B795,'PROCV GERENTES BD'!A:B,2,0)</f>
        <v>RAFAEL PARISE</v>
      </c>
      <c r="F795" s="4" t="str">
        <f t="shared" si="72"/>
        <v>2024-11</v>
      </c>
      <c r="G795" s="18">
        <f t="shared" si="73"/>
        <v>48</v>
      </c>
      <c r="H795" t="str">
        <f t="shared" si="74"/>
        <v>RAFAEL PARISE</v>
      </c>
      <c r="I795" t="str">
        <f t="shared" si="75"/>
        <v>UNITA AUTO PECAS LTDA EPP</v>
      </c>
      <c r="J795">
        <f t="shared" si="76"/>
        <v>1</v>
      </c>
      <c r="K795">
        <f t="shared" si="77"/>
        <v>0</v>
      </c>
    </row>
    <row r="796" spans="1:11" x14ac:dyDescent="0.25">
      <c r="A796" t="s">
        <v>326</v>
      </c>
      <c r="B796" t="s">
        <v>122</v>
      </c>
      <c r="C796" t="s">
        <v>66</v>
      </c>
      <c r="D796" s="3">
        <v>45624</v>
      </c>
      <c r="E796" t="s">
        <v>21</v>
      </c>
      <c r="F796" s="4" t="str">
        <f t="shared" si="72"/>
        <v>2024-11</v>
      </c>
      <c r="G796" s="18">
        <f t="shared" si="73"/>
        <v>48</v>
      </c>
      <c r="H796" t="str">
        <f t="shared" si="74"/>
        <v xml:space="preserve">ROGERIO </v>
      </c>
      <c r="I796" t="str">
        <f t="shared" si="75"/>
        <v>BIBE PRODUTOS INFANTIS LTDA</v>
      </c>
      <c r="J796">
        <f t="shared" si="76"/>
        <v>1</v>
      </c>
      <c r="K796">
        <f t="shared" si="77"/>
        <v>0</v>
      </c>
    </row>
    <row r="797" spans="1:11" x14ac:dyDescent="0.25">
      <c r="A797" t="s">
        <v>314</v>
      </c>
      <c r="B797" t="s">
        <v>98</v>
      </c>
      <c r="C797" t="s">
        <v>66</v>
      </c>
      <c r="D797" s="3">
        <v>45624</v>
      </c>
      <c r="E797" t="str">
        <f>VLOOKUP(B797,'PROCV GERENTES BD'!A:B,2,0)</f>
        <v xml:space="preserve">ROGERIO </v>
      </c>
      <c r="F797" s="4" t="str">
        <f t="shared" si="72"/>
        <v>2024-11</v>
      </c>
      <c r="G797" s="18">
        <f t="shared" si="73"/>
        <v>48</v>
      </c>
      <c r="H797" t="str">
        <f t="shared" si="74"/>
        <v xml:space="preserve">ROGERIO </v>
      </c>
      <c r="I797" t="str">
        <f t="shared" si="75"/>
        <v>MUTCD CENTRO DISTRIBUICAO IND FABRICANTE COSMETICO</v>
      </c>
      <c r="J797">
        <f t="shared" si="76"/>
        <v>1</v>
      </c>
      <c r="K797">
        <f t="shared" si="77"/>
        <v>0</v>
      </c>
    </row>
    <row r="798" spans="1:11" x14ac:dyDescent="0.25">
      <c r="A798" t="s">
        <v>319</v>
      </c>
      <c r="B798" t="s">
        <v>80</v>
      </c>
      <c r="C798" t="s">
        <v>50</v>
      </c>
      <c r="D798" s="3">
        <v>45625</v>
      </c>
      <c r="E798" t="str">
        <f>VLOOKUP(B798,'PROCV GERENTES BD'!A:B,2,0)</f>
        <v>CELIO PIMENTA</v>
      </c>
      <c r="F798" s="4" t="str">
        <f t="shared" si="72"/>
        <v>2024-11</v>
      </c>
      <c r="G798" s="18">
        <f t="shared" si="73"/>
        <v>48</v>
      </c>
      <c r="H798" t="str">
        <f t="shared" si="74"/>
        <v>CELIO PIMENTA</v>
      </c>
      <c r="I798" t="str">
        <f t="shared" si="75"/>
        <v>IMPORTEXTIL COMERCIO DE TECIDOS LTDA</v>
      </c>
      <c r="J798">
        <f t="shared" si="76"/>
        <v>0</v>
      </c>
      <c r="K798">
        <f t="shared" si="77"/>
        <v>1</v>
      </c>
    </row>
    <row r="799" spans="1:11" x14ac:dyDescent="0.25">
      <c r="A799" t="s">
        <v>346</v>
      </c>
      <c r="B799" t="s">
        <v>91</v>
      </c>
      <c r="C799" t="s">
        <v>50</v>
      </c>
      <c r="D799" s="3">
        <v>45625</v>
      </c>
      <c r="E799" t="str">
        <f>VLOOKUP(B799,'PROCV GERENTES BD'!A:B,2,0)</f>
        <v>POENATELA</v>
      </c>
      <c r="F799" s="4" t="str">
        <f t="shared" si="72"/>
        <v>2024-11</v>
      </c>
      <c r="G799" s="18">
        <f t="shared" si="73"/>
        <v>48</v>
      </c>
      <c r="H799" t="str">
        <f t="shared" si="74"/>
        <v>POENATELA</v>
      </c>
      <c r="I799" t="str">
        <f t="shared" si="75"/>
        <v>UBERTEC SERVICE USINAGEM LTDA EPP</v>
      </c>
      <c r="J799">
        <f t="shared" si="76"/>
        <v>0</v>
      </c>
      <c r="K799">
        <f t="shared" si="77"/>
        <v>1</v>
      </c>
    </row>
    <row r="800" spans="1:11" x14ac:dyDescent="0.25">
      <c r="A800" t="s">
        <v>326</v>
      </c>
      <c r="B800" t="s">
        <v>122</v>
      </c>
      <c r="C800" t="s">
        <v>66</v>
      </c>
      <c r="D800" s="3">
        <v>45625</v>
      </c>
      <c r="E800" t="s">
        <v>21</v>
      </c>
      <c r="F800" s="4" t="str">
        <f t="shared" si="72"/>
        <v>2024-11</v>
      </c>
      <c r="G800" s="18">
        <f t="shared" si="73"/>
        <v>48</v>
      </c>
      <c r="H800" t="str">
        <f t="shared" si="74"/>
        <v xml:space="preserve">ROGERIO </v>
      </c>
      <c r="I800" t="str">
        <f t="shared" si="75"/>
        <v>BIBE PRODUTOS INFANTIS LTDA</v>
      </c>
      <c r="J800">
        <f t="shared" si="76"/>
        <v>1</v>
      </c>
      <c r="K800">
        <f t="shared" si="77"/>
        <v>0</v>
      </c>
    </row>
    <row r="801" spans="1:11" x14ac:dyDescent="0.25">
      <c r="A801" t="s">
        <v>382</v>
      </c>
      <c r="B801" t="s">
        <v>129</v>
      </c>
      <c r="C801" t="s">
        <v>50</v>
      </c>
      <c r="D801" s="3">
        <v>45626</v>
      </c>
      <c r="E801" t="str">
        <f>VLOOKUP(B801,'PROCV GERENTES BD'!A:B,2,0)</f>
        <v>ADMINISTRAÇÃO</v>
      </c>
      <c r="F801" s="4" t="str">
        <f t="shared" si="72"/>
        <v>2024-11</v>
      </c>
      <c r="G801" s="18">
        <f t="shared" si="73"/>
        <v>48</v>
      </c>
      <c r="H801" t="str">
        <f t="shared" si="74"/>
        <v>ADMINISTRAÇÃO</v>
      </c>
      <c r="I801" t="str">
        <f t="shared" si="75"/>
        <v>XEQUE MATE BEBIDAS LTDA ME</v>
      </c>
      <c r="J801">
        <f t="shared" si="76"/>
        <v>0</v>
      </c>
      <c r="K801">
        <f t="shared" si="77"/>
        <v>1</v>
      </c>
    </row>
    <row r="802" spans="1:11" x14ac:dyDescent="0.25">
      <c r="A802" t="s">
        <v>372</v>
      </c>
      <c r="B802" t="s">
        <v>116</v>
      </c>
      <c r="C802" t="s">
        <v>50</v>
      </c>
      <c r="D802" s="3">
        <v>45626</v>
      </c>
      <c r="E802" t="str">
        <f>VLOOKUP(B802,'PROCV GERENTES BD'!A:B,2,0)</f>
        <v>ADMINISTRAÇÃO</v>
      </c>
      <c r="F802" s="4" t="str">
        <f t="shared" si="72"/>
        <v>2024-11</v>
      </c>
      <c r="G802" s="18">
        <f t="shared" si="73"/>
        <v>48</v>
      </c>
      <c r="H802" t="str">
        <f t="shared" si="74"/>
        <v>ADMINISTRAÇÃO</v>
      </c>
      <c r="I802" t="str">
        <f t="shared" si="75"/>
        <v>PREMOLDADOS MATOSINHOS LTDA EPP</v>
      </c>
      <c r="J802">
        <f t="shared" si="76"/>
        <v>0</v>
      </c>
      <c r="K802">
        <f t="shared" si="77"/>
        <v>1</v>
      </c>
    </row>
    <row r="803" spans="1:11" x14ac:dyDescent="0.25">
      <c r="A803" t="s">
        <v>319</v>
      </c>
      <c r="B803" t="s">
        <v>80</v>
      </c>
      <c r="C803" t="s">
        <v>50</v>
      </c>
      <c r="D803" s="3">
        <v>45626</v>
      </c>
      <c r="E803" t="str">
        <f>VLOOKUP(B803,'PROCV GERENTES BD'!A:B,2,0)</f>
        <v>CELIO PIMENTA</v>
      </c>
      <c r="F803" s="4" t="str">
        <f t="shared" si="72"/>
        <v>2024-11</v>
      </c>
      <c r="G803" s="18">
        <f t="shared" si="73"/>
        <v>48</v>
      </c>
      <c r="H803" t="str">
        <f t="shared" si="74"/>
        <v>CELIO PIMENTA</v>
      </c>
      <c r="I803" t="str">
        <f t="shared" si="75"/>
        <v>IMPORTEXTIL COMERCIO DE TECIDOS LTDA</v>
      </c>
      <c r="J803">
        <f t="shared" si="76"/>
        <v>0</v>
      </c>
      <c r="K803">
        <f t="shared" si="77"/>
        <v>1</v>
      </c>
    </row>
    <row r="804" spans="1:11" x14ac:dyDescent="0.25">
      <c r="A804" t="s">
        <v>358</v>
      </c>
      <c r="B804" t="s">
        <v>104</v>
      </c>
      <c r="C804" t="s">
        <v>50</v>
      </c>
      <c r="D804" s="3">
        <v>45626</v>
      </c>
      <c r="E804" t="str">
        <f>VLOOKUP(B804,'PROCV GERENTES BD'!A:B,2,0)</f>
        <v>DIOGO AZEVEDO</v>
      </c>
      <c r="F804" s="4" t="str">
        <f t="shared" si="72"/>
        <v>2024-11</v>
      </c>
      <c r="G804" s="18">
        <f t="shared" si="73"/>
        <v>48</v>
      </c>
      <c r="H804" t="str">
        <f t="shared" si="74"/>
        <v>DIOGO AZEVEDO</v>
      </c>
      <c r="I804" t="str">
        <f t="shared" si="75"/>
        <v>INDUSTRIA E CERVEJARIA ARTESANAL DE MINAS GERAIS L</v>
      </c>
      <c r="J804">
        <f t="shared" si="76"/>
        <v>0</v>
      </c>
      <c r="K804">
        <f t="shared" si="77"/>
        <v>1</v>
      </c>
    </row>
    <row r="805" spans="1:11" x14ac:dyDescent="0.25">
      <c r="A805" t="s">
        <v>323</v>
      </c>
      <c r="B805" t="s">
        <v>109</v>
      </c>
      <c r="C805" t="s">
        <v>53</v>
      </c>
      <c r="D805" s="3">
        <v>45626</v>
      </c>
      <c r="E805" t="str">
        <f>VLOOKUP(B805,'PROCV GERENTES BD'!A:B,2,0)</f>
        <v>PROSPECTAR</v>
      </c>
      <c r="F805" s="4" t="str">
        <f t="shared" si="72"/>
        <v>2024-11</v>
      </c>
      <c r="G805" s="18">
        <f t="shared" si="73"/>
        <v>48</v>
      </c>
      <c r="H805" t="str">
        <f t="shared" si="74"/>
        <v>PROSPECTAR</v>
      </c>
      <c r="I805" t="str">
        <f t="shared" si="75"/>
        <v>SIAP COMERCIO DE PRODUTOS AGROPECUARIOS LTDA</v>
      </c>
      <c r="J805">
        <f t="shared" si="76"/>
        <v>1</v>
      </c>
      <c r="K805">
        <f t="shared" si="77"/>
        <v>1</v>
      </c>
    </row>
    <row r="806" spans="1:11" x14ac:dyDescent="0.25">
      <c r="A806" t="s">
        <v>395</v>
      </c>
      <c r="B806" t="s">
        <v>145</v>
      </c>
      <c r="C806" t="s">
        <v>50</v>
      </c>
      <c r="D806" s="3">
        <v>45626</v>
      </c>
      <c r="E806" t="str">
        <f>VLOOKUP(B806,'PROCV GERENTES BD'!A:B,2,0)</f>
        <v>MARCIO LEONEL</v>
      </c>
      <c r="F806" s="4" t="str">
        <f t="shared" si="72"/>
        <v>2024-11</v>
      </c>
      <c r="G806" s="18">
        <f t="shared" si="73"/>
        <v>48</v>
      </c>
      <c r="H806" t="str">
        <f t="shared" si="74"/>
        <v>MARCIO LEONEL</v>
      </c>
      <c r="I806" t="str">
        <f t="shared" si="75"/>
        <v>MEDICAL PRIME IMP EXPORT DISTRIB PRODUTOS MEDICOS</v>
      </c>
      <c r="J806">
        <f t="shared" si="76"/>
        <v>0</v>
      </c>
      <c r="K806">
        <f t="shared" si="77"/>
        <v>1</v>
      </c>
    </row>
    <row r="807" spans="1:11" x14ac:dyDescent="0.25">
      <c r="A807" t="s">
        <v>428</v>
      </c>
      <c r="B807" t="s">
        <v>179</v>
      </c>
      <c r="C807" t="s">
        <v>50</v>
      </c>
      <c r="D807" s="3">
        <v>45626</v>
      </c>
      <c r="E807" t="str">
        <f>VLOOKUP(B807,'PROCV GERENTES BD'!A:B,2,0)</f>
        <v xml:space="preserve">MARCUS VINICIUS </v>
      </c>
      <c r="F807" s="4" t="str">
        <f t="shared" si="72"/>
        <v>2024-11</v>
      </c>
      <c r="G807" s="18">
        <f t="shared" si="73"/>
        <v>48</v>
      </c>
      <c r="H807" t="str">
        <f t="shared" si="74"/>
        <v xml:space="preserve">MARCUS VINICIUS </v>
      </c>
      <c r="I807" t="str">
        <f t="shared" si="75"/>
        <v>LABOR ELETRIC INDUSTRIA E COMERCIO UNIPESSOAL LTDA</v>
      </c>
      <c r="J807">
        <f t="shared" si="76"/>
        <v>0</v>
      </c>
      <c r="K807">
        <f t="shared" si="77"/>
        <v>1</v>
      </c>
    </row>
    <row r="808" spans="1:11" x14ac:dyDescent="0.25">
      <c r="A808" t="s">
        <v>422</v>
      </c>
      <c r="B808" t="s">
        <v>173</v>
      </c>
      <c r="C808" t="s">
        <v>50</v>
      </c>
      <c r="D808" s="3">
        <v>45626</v>
      </c>
      <c r="E808" t="str">
        <f>VLOOKUP(B808,'PROCV GERENTES BD'!A:B,2,0)</f>
        <v>NOELI SALETE</v>
      </c>
      <c r="F808" s="4" t="str">
        <f t="shared" si="72"/>
        <v>2024-11</v>
      </c>
      <c r="G808" s="18">
        <f t="shared" si="73"/>
        <v>48</v>
      </c>
      <c r="H808" t="str">
        <f t="shared" si="74"/>
        <v>NOELI SALETE</v>
      </c>
      <c r="I808" t="str">
        <f t="shared" si="75"/>
        <v>COMGROUP AGROINDUSTRIAL LTDA</v>
      </c>
      <c r="J808">
        <f t="shared" si="76"/>
        <v>0</v>
      </c>
      <c r="K808">
        <f t="shared" si="77"/>
        <v>1</v>
      </c>
    </row>
    <row r="809" spans="1:11" x14ac:dyDescent="0.25">
      <c r="A809" t="s">
        <v>419</v>
      </c>
      <c r="B809" t="s">
        <v>169</v>
      </c>
      <c r="C809" t="s">
        <v>50</v>
      </c>
      <c r="D809" s="3">
        <v>45626</v>
      </c>
      <c r="E809" t="str">
        <f>VLOOKUP(B809,'PROCV GERENTES BD'!A:B,2,0)</f>
        <v>NOELI SALETE</v>
      </c>
      <c r="F809" s="4" t="str">
        <f t="shared" si="72"/>
        <v>2024-11</v>
      </c>
      <c r="G809" s="18">
        <f t="shared" si="73"/>
        <v>48</v>
      </c>
      <c r="H809" t="str">
        <f t="shared" si="74"/>
        <v>NOELI SALETE</v>
      </c>
      <c r="I809" t="str">
        <f t="shared" si="75"/>
        <v>GLOBAL ACO SERVICOS E PRODUTOS SIDERURGICOS LTDA E</v>
      </c>
      <c r="J809">
        <f t="shared" si="76"/>
        <v>0</v>
      </c>
      <c r="K809">
        <f t="shared" si="77"/>
        <v>1</v>
      </c>
    </row>
    <row r="810" spans="1:11" x14ac:dyDescent="0.25">
      <c r="A810" t="s">
        <v>339</v>
      </c>
      <c r="B810" t="s">
        <v>87</v>
      </c>
      <c r="C810" t="s">
        <v>50</v>
      </c>
      <c r="D810" s="3">
        <v>45626</v>
      </c>
      <c r="E810" t="str">
        <f>VLOOKUP(B810,'PROCV GERENTES BD'!A:B,2,0)</f>
        <v>NOELI SALETE</v>
      </c>
      <c r="F810" s="4" t="str">
        <f t="shared" si="72"/>
        <v>2024-11</v>
      </c>
      <c r="G810" s="18">
        <f t="shared" si="73"/>
        <v>48</v>
      </c>
      <c r="H810" t="str">
        <f t="shared" si="74"/>
        <v>NOELI SALETE</v>
      </c>
      <c r="I810" t="str">
        <f t="shared" si="75"/>
        <v>RODOBOX TRANSPORTES E ARMAZENAGEM DE CARGAS LTDA</v>
      </c>
      <c r="J810">
        <f t="shared" si="76"/>
        <v>0</v>
      </c>
      <c r="K810">
        <f t="shared" si="77"/>
        <v>1</v>
      </c>
    </row>
    <row r="811" spans="1:11" x14ac:dyDescent="0.25">
      <c r="A811" t="s">
        <v>438</v>
      </c>
      <c r="B811" t="s">
        <v>189</v>
      </c>
      <c r="C811" t="s">
        <v>50</v>
      </c>
      <c r="D811" s="3">
        <v>45626</v>
      </c>
      <c r="E811" t="str">
        <f>VLOOKUP(B811,'PROCV GERENTES BD'!A:B,2,0)</f>
        <v>NOELI SALETE</v>
      </c>
      <c r="F811" s="4" t="str">
        <f t="shared" si="72"/>
        <v>2024-11</v>
      </c>
      <c r="G811" s="18">
        <f t="shared" si="73"/>
        <v>48</v>
      </c>
      <c r="H811" t="str">
        <f t="shared" si="74"/>
        <v>NOELI SALETE</v>
      </c>
      <c r="I811" t="str">
        <f t="shared" si="75"/>
        <v>AGRO INDUSTRIAL LAZZERI LTDA</v>
      </c>
      <c r="J811">
        <f t="shared" si="76"/>
        <v>0</v>
      </c>
      <c r="K811">
        <f t="shared" si="77"/>
        <v>1</v>
      </c>
    </row>
    <row r="812" spans="1:11" x14ac:dyDescent="0.25">
      <c r="A812" t="s">
        <v>346</v>
      </c>
      <c r="B812" t="s">
        <v>91</v>
      </c>
      <c r="C812" t="s">
        <v>66</v>
      </c>
      <c r="D812" s="3">
        <v>45626</v>
      </c>
      <c r="E812" t="str">
        <f>VLOOKUP(B812,'PROCV GERENTES BD'!A:B,2,0)</f>
        <v>POENATELA</v>
      </c>
      <c r="F812" s="4" t="str">
        <f t="shared" si="72"/>
        <v>2024-11</v>
      </c>
      <c r="G812" s="18">
        <f t="shared" si="73"/>
        <v>48</v>
      </c>
      <c r="H812" t="str">
        <f t="shared" si="74"/>
        <v>POENATELA</v>
      </c>
      <c r="I812" t="str">
        <f t="shared" si="75"/>
        <v>UBERTEC SERVICE USINAGEM LTDA EPP</v>
      </c>
      <c r="J812">
        <f t="shared" si="76"/>
        <v>1</v>
      </c>
      <c r="K812">
        <f t="shared" si="77"/>
        <v>0</v>
      </c>
    </row>
    <row r="813" spans="1:11" x14ac:dyDescent="0.25">
      <c r="A813" t="s">
        <v>353</v>
      </c>
      <c r="B813" t="s">
        <v>97</v>
      </c>
      <c r="C813" t="s">
        <v>50</v>
      </c>
      <c r="D813" s="3">
        <v>45626</v>
      </c>
      <c r="E813" t="str">
        <f>VLOOKUP(B813,'PROCV GERENTES BD'!A:B,2,0)</f>
        <v>PRISCILA METZ</v>
      </c>
      <c r="F813" s="4" t="str">
        <f t="shared" si="72"/>
        <v>2024-11</v>
      </c>
      <c r="G813" s="18">
        <f t="shared" si="73"/>
        <v>48</v>
      </c>
      <c r="H813" t="str">
        <f t="shared" si="74"/>
        <v>PRISCILA METZ</v>
      </c>
      <c r="I813" t="str">
        <f t="shared" si="75"/>
        <v>ESSENZA INDUSTRIA QUIMICA LTDA</v>
      </c>
      <c r="J813">
        <f t="shared" si="76"/>
        <v>0</v>
      </c>
      <c r="K813">
        <f t="shared" si="77"/>
        <v>1</v>
      </c>
    </row>
    <row r="814" spans="1:11" x14ac:dyDescent="0.25">
      <c r="A814" t="s">
        <v>376</v>
      </c>
      <c r="B814" t="s">
        <v>121</v>
      </c>
      <c r="C814" t="s">
        <v>50</v>
      </c>
      <c r="D814" s="3">
        <v>45626</v>
      </c>
      <c r="E814" t="str">
        <f>VLOOKUP(B814,'PROCV GERENTES BD'!A:B,2,0)</f>
        <v>PRISCILA METZ</v>
      </c>
      <c r="F814" s="4" t="str">
        <f t="shared" si="72"/>
        <v>2024-11</v>
      </c>
      <c r="G814" s="18">
        <f t="shared" si="73"/>
        <v>48</v>
      </c>
      <c r="H814" t="str">
        <f t="shared" si="74"/>
        <v>PRISCILA METZ</v>
      </c>
      <c r="I814" t="str">
        <f t="shared" si="75"/>
        <v>NOVA DISTRIBUIDORA E ATACADO DE LIMPEZA LTDA</v>
      </c>
      <c r="J814">
        <f t="shared" si="76"/>
        <v>0</v>
      </c>
      <c r="K814">
        <f t="shared" si="77"/>
        <v>1</v>
      </c>
    </row>
    <row r="815" spans="1:11" x14ac:dyDescent="0.25">
      <c r="A815" t="s">
        <v>76</v>
      </c>
      <c r="B815" t="s">
        <v>77</v>
      </c>
      <c r="C815" t="s">
        <v>50</v>
      </c>
      <c r="D815" s="3">
        <v>45626</v>
      </c>
      <c r="E815" t="str">
        <f>VLOOKUP(B815,'PROCV GERENTES BD'!A:B,2,0)</f>
        <v>RAFAEL PARISE</v>
      </c>
      <c r="F815" s="4" t="str">
        <f t="shared" si="72"/>
        <v>2024-11</v>
      </c>
      <c r="G815" s="18">
        <f t="shared" si="73"/>
        <v>48</v>
      </c>
      <c r="H815" t="str">
        <f t="shared" si="74"/>
        <v>RAFAEL PARISE</v>
      </c>
      <c r="I815" t="str">
        <f t="shared" si="75"/>
        <v>UNITA AUTO PECAS LTDA EPP</v>
      </c>
      <c r="J815">
        <f t="shared" si="76"/>
        <v>0</v>
      </c>
      <c r="K815">
        <f t="shared" si="77"/>
        <v>1</v>
      </c>
    </row>
    <row r="816" spans="1:11" x14ac:dyDescent="0.25">
      <c r="A816" t="s">
        <v>326</v>
      </c>
      <c r="B816" t="s">
        <v>122</v>
      </c>
      <c r="C816" t="s">
        <v>66</v>
      </c>
      <c r="D816" s="3">
        <v>45626</v>
      </c>
      <c r="E816" t="s">
        <v>21</v>
      </c>
      <c r="F816" s="4" t="str">
        <f t="shared" si="72"/>
        <v>2024-11</v>
      </c>
      <c r="G816" s="18">
        <f t="shared" si="73"/>
        <v>48</v>
      </c>
      <c r="H816" t="str">
        <f t="shared" si="74"/>
        <v xml:space="preserve">ROGERIO </v>
      </c>
      <c r="I816" t="str">
        <f t="shared" si="75"/>
        <v>BIBE PRODUTOS INFANTIS LTDA</v>
      </c>
      <c r="J816">
        <f t="shared" si="76"/>
        <v>1</v>
      </c>
      <c r="K816">
        <f t="shared" si="77"/>
        <v>0</v>
      </c>
    </row>
    <row r="817" spans="1:11" x14ac:dyDescent="0.25">
      <c r="A817" t="s">
        <v>331</v>
      </c>
      <c r="B817" t="s">
        <v>144</v>
      </c>
      <c r="C817" t="s">
        <v>50</v>
      </c>
      <c r="D817" s="3">
        <v>45629</v>
      </c>
      <c r="E817" t="str">
        <f>VLOOKUP(B817,'PROCV GERENTES BD'!A:B,2,0)</f>
        <v>ADMINISTRAÇÃO</v>
      </c>
      <c r="F817" s="4" t="str">
        <f t="shared" si="72"/>
        <v>2024-12</v>
      </c>
      <c r="G817" s="18">
        <f t="shared" si="73"/>
        <v>49</v>
      </c>
      <c r="H817" t="str">
        <f t="shared" si="74"/>
        <v>ADMINISTRAÇÃO</v>
      </c>
      <c r="I817" t="str">
        <f t="shared" si="75"/>
        <v>BOM PASTOR PAPEIS LTDA EM RECUPERACAO JUDICIAL</v>
      </c>
      <c r="J817">
        <f t="shared" si="76"/>
        <v>0</v>
      </c>
      <c r="K817">
        <f t="shared" si="77"/>
        <v>1</v>
      </c>
    </row>
    <row r="818" spans="1:11" x14ac:dyDescent="0.25">
      <c r="A818" t="s">
        <v>382</v>
      </c>
      <c r="B818" t="s">
        <v>129</v>
      </c>
      <c r="C818" t="s">
        <v>50</v>
      </c>
      <c r="D818" s="3">
        <v>45629</v>
      </c>
      <c r="E818" t="str">
        <f>VLOOKUP(B818,'PROCV GERENTES BD'!A:B,2,0)</f>
        <v>ADMINISTRAÇÃO</v>
      </c>
      <c r="F818" s="4" t="str">
        <f t="shared" si="72"/>
        <v>2024-12</v>
      </c>
      <c r="G818" s="18">
        <f t="shared" si="73"/>
        <v>49</v>
      </c>
      <c r="H818" t="str">
        <f t="shared" si="74"/>
        <v>ADMINISTRAÇÃO</v>
      </c>
      <c r="I818" t="str">
        <f t="shared" si="75"/>
        <v>XEQUE MATE BEBIDAS LTDA ME</v>
      </c>
      <c r="J818">
        <f t="shared" si="76"/>
        <v>0</v>
      </c>
      <c r="K818">
        <f t="shared" si="77"/>
        <v>1</v>
      </c>
    </row>
    <row r="819" spans="1:11" x14ac:dyDescent="0.25">
      <c r="A819" t="s">
        <v>304</v>
      </c>
      <c r="B819" t="s">
        <v>123</v>
      </c>
      <c r="C819" t="s">
        <v>50</v>
      </c>
      <c r="D819" s="3">
        <v>45629</v>
      </c>
      <c r="E819" t="str">
        <f>VLOOKUP(B819,'PROCV GERENTES BD'!A:B,2,0)</f>
        <v>ADMINISTRAÇÃO</v>
      </c>
      <c r="F819" s="4" t="str">
        <f t="shared" si="72"/>
        <v>2024-12</v>
      </c>
      <c r="G819" s="18">
        <f t="shared" si="73"/>
        <v>49</v>
      </c>
      <c r="H819" t="str">
        <f t="shared" si="74"/>
        <v>ADMINISTRAÇÃO</v>
      </c>
      <c r="I819" t="str">
        <f t="shared" si="75"/>
        <v>VIC LOGISTICA LTDA EM RECUPERACAO JUDICIAL</v>
      </c>
      <c r="J819">
        <f t="shared" si="76"/>
        <v>0</v>
      </c>
      <c r="K819">
        <f t="shared" si="77"/>
        <v>1</v>
      </c>
    </row>
    <row r="820" spans="1:11" x14ac:dyDescent="0.25">
      <c r="A820" t="s">
        <v>319</v>
      </c>
      <c r="B820" t="s">
        <v>80</v>
      </c>
      <c r="C820" t="s">
        <v>53</v>
      </c>
      <c r="D820" s="3">
        <v>45629</v>
      </c>
      <c r="E820" t="str">
        <f>VLOOKUP(B820,'PROCV GERENTES BD'!A:B,2,0)</f>
        <v>CELIO PIMENTA</v>
      </c>
      <c r="F820" s="4" t="str">
        <f t="shared" si="72"/>
        <v>2024-12</v>
      </c>
      <c r="G820" s="18">
        <f t="shared" si="73"/>
        <v>49</v>
      </c>
      <c r="H820" t="str">
        <f t="shared" si="74"/>
        <v>CELIO PIMENTA</v>
      </c>
      <c r="I820" t="str">
        <f t="shared" si="75"/>
        <v>IMPORTEXTIL COMERCIO DE TECIDOS LTDA</v>
      </c>
      <c r="J820">
        <f t="shared" si="76"/>
        <v>1</v>
      </c>
      <c r="K820">
        <f t="shared" si="77"/>
        <v>1</v>
      </c>
    </row>
    <row r="821" spans="1:11" x14ac:dyDescent="0.25">
      <c r="A821" t="s">
        <v>311</v>
      </c>
      <c r="B821" t="s">
        <v>81</v>
      </c>
      <c r="C821" t="s">
        <v>50</v>
      </c>
      <c r="D821" s="3">
        <v>45629</v>
      </c>
      <c r="E821" t="str">
        <f>VLOOKUP(B821,'PROCV GERENTES BD'!A:B,2,0)</f>
        <v>CELIO PIMENTA</v>
      </c>
      <c r="F821" s="4" t="str">
        <f t="shared" si="72"/>
        <v>2024-12</v>
      </c>
      <c r="G821" s="18">
        <f t="shared" si="73"/>
        <v>49</v>
      </c>
      <c r="H821" t="str">
        <f t="shared" si="74"/>
        <v>CELIO PIMENTA</v>
      </c>
      <c r="I821" t="str">
        <f t="shared" si="75"/>
        <v>MBIOLOG DIAGNOSTICOS LTDA</v>
      </c>
      <c r="J821">
        <f t="shared" si="76"/>
        <v>0</v>
      </c>
      <c r="K821">
        <f t="shared" si="77"/>
        <v>1</v>
      </c>
    </row>
    <row r="822" spans="1:11" x14ac:dyDescent="0.25">
      <c r="A822" t="s">
        <v>415</v>
      </c>
      <c r="B822" t="s">
        <v>165</v>
      </c>
      <c r="C822" t="s">
        <v>66</v>
      </c>
      <c r="D822" s="3">
        <v>45629</v>
      </c>
      <c r="E822" t="str">
        <f>VLOOKUP(B822,'PROCV GERENTES BD'!A:B,2,0)</f>
        <v>PROSPECTAR</v>
      </c>
      <c r="F822" s="4" t="str">
        <f t="shared" si="72"/>
        <v>2024-12</v>
      </c>
      <c r="G822" s="18">
        <f t="shared" si="73"/>
        <v>49</v>
      </c>
      <c r="H822" t="str">
        <f t="shared" si="74"/>
        <v>PROSPECTAR</v>
      </c>
      <c r="I822" t="str">
        <f t="shared" si="75"/>
        <v>STA SERVICOS LTDA</v>
      </c>
      <c r="J822">
        <f t="shared" si="76"/>
        <v>1</v>
      </c>
      <c r="K822">
        <f t="shared" si="77"/>
        <v>0</v>
      </c>
    </row>
    <row r="823" spans="1:11" x14ac:dyDescent="0.25">
      <c r="A823" t="s">
        <v>324</v>
      </c>
      <c r="B823" t="s">
        <v>119</v>
      </c>
      <c r="C823" t="s">
        <v>50</v>
      </c>
      <c r="D823" s="3">
        <v>45629</v>
      </c>
      <c r="E823" t="str">
        <f>VLOOKUP(B823,'PROCV GERENTES BD'!A:B,2,0)</f>
        <v>PROSPECTAR</v>
      </c>
      <c r="F823" s="4" t="str">
        <f t="shared" si="72"/>
        <v>2024-12</v>
      </c>
      <c r="G823" s="18">
        <f t="shared" si="73"/>
        <v>49</v>
      </c>
      <c r="H823" t="str">
        <f t="shared" si="74"/>
        <v>PROSPECTAR</v>
      </c>
      <c r="I823" t="str">
        <f t="shared" si="75"/>
        <v>TRANSHENRY TRANSPORTES LTDA</v>
      </c>
      <c r="J823">
        <f t="shared" si="76"/>
        <v>0</v>
      </c>
      <c r="K823">
        <f t="shared" si="77"/>
        <v>1</v>
      </c>
    </row>
    <row r="824" spans="1:11" x14ac:dyDescent="0.25">
      <c r="A824" t="s">
        <v>323</v>
      </c>
      <c r="B824" t="s">
        <v>109</v>
      </c>
      <c r="C824" t="s">
        <v>66</v>
      </c>
      <c r="D824" s="3">
        <v>45629</v>
      </c>
      <c r="E824" t="str">
        <f>VLOOKUP(B824,'PROCV GERENTES BD'!A:B,2,0)</f>
        <v>PROSPECTAR</v>
      </c>
      <c r="F824" s="4" t="str">
        <f t="shared" si="72"/>
        <v>2024-12</v>
      </c>
      <c r="G824" s="18">
        <f t="shared" si="73"/>
        <v>49</v>
      </c>
      <c r="H824" t="str">
        <f t="shared" si="74"/>
        <v>PROSPECTAR</v>
      </c>
      <c r="I824" t="str">
        <f t="shared" si="75"/>
        <v>SIAP COMERCIO DE PRODUTOS AGROPECUARIOS LTDA</v>
      </c>
      <c r="J824">
        <f t="shared" si="76"/>
        <v>1</v>
      </c>
      <c r="K824">
        <f t="shared" si="77"/>
        <v>0</v>
      </c>
    </row>
    <row r="825" spans="1:11" x14ac:dyDescent="0.25">
      <c r="A825" t="s">
        <v>395</v>
      </c>
      <c r="B825" t="s">
        <v>145</v>
      </c>
      <c r="C825" t="s">
        <v>66</v>
      </c>
      <c r="D825" s="3">
        <v>45629</v>
      </c>
      <c r="E825" t="str">
        <f>VLOOKUP(B825,'PROCV GERENTES BD'!A:B,2,0)</f>
        <v>MARCIO LEONEL</v>
      </c>
      <c r="F825" s="4" t="str">
        <f t="shared" si="72"/>
        <v>2024-12</v>
      </c>
      <c r="G825" s="18">
        <f t="shared" si="73"/>
        <v>49</v>
      </c>
      <c r="H825" t="str">
        <f t="shared" si="74"/>
        <v>MARCIO LEONEL</v>
      </c>
      <c r="I825" t="str">
        <f t="shared" si="75"/>
        <v>MEDICAL PRIME IMP EXPORT DISTRIB PRODUTOS MEDICOS</v>
      </c>
      <c r="J825">
        <f t="shared" si="76"/>
        <v>1</v>
      </c>
      <c r="K825">
        <f t="shared" si="77"/>
        <v>0</v>
      </c>
    </row>
    <row r="826" spans="1:11" x14ac:dyDescent="0.25">
      <c r="A826" t="s">
        <v>428</v>
      </c>
      <c r="B826" t="s">
        <v>179</v>
      </c>
      <c r="C826" t="s">
        <v>50</v>
      </c>
      <c r="D826" s="3">
        <v>45629</v>
      </c>
      <c r="E826" t="str">
        <f>VLOOKUP(B826,'PROCV GERENTES BD'!A:B,2,0)</f>
        <v xml:space="preserve">MARCUS VINICIUS </v>
      </c>
      <c r="F826" s="4" t="str">
        <f t="shared" si="72"/>
        <v>2024-12</v>
      </c>
      <c r="G826" s="18">
        <f t="shared" si="73"/>
        <v>49</v>
      </c>
      <c r="H826" t="str">
        <f t="shared" si="74"/>
        <v xml:space="preserve">MARCUS VINICIUS </v>
      </c>
      <c r="I826" t="str">
        <f t="shared" si="75"/>
        <v>LABOR ELETRIC INDUSTRIA E COMERCIO UNIPESSOAL LTDA</v>
      </c>
      <c r="J826">
        <f t="shared" si="76"/>
        <v>0</v>
      </c>
      <c r="K826">
        <f t="shared" si="77"/>
        <v>1</v>
      </c>
    </row>
    <row r="827" spans="1:11" x14ac:dyDescent="0.25">
      <c r="A827" t="s">
        <v>419</v>
      </c>
      <c r="B827" t="s">
        <v>169</v>
      </c>
      <c r="C827" t="s">
        <v>50</v>
      </c>
      <c r="D827" s="3">
        <v>45629</v>
      </c>
      <c r="E827" t="str">
        <f>VLOOKUP(B827,'PROCV GERENTES BD'!A:B,2,0)</f>
        <v>NOELI SALETE</v>
      </c>
      <c r="F827" s="4" t="str">
        <f t="shared" si="72"/>
        <v>2024-12</v>
      </c>
      <c r="G827" s="18">
        <f t="shared" si="73"/>
        <v>49</v>
      </c>
      <c r="H827" t="str">
        <f t="shared" si="74"/>
        <v>NOELI SALETE</v>
      </c>
      <c r="I827" t="str">
        <f t="shared" si="75"/>
        <v>GLOBAL ACO SERVICOS E PRODUTOS SIDERURGICOS LTDA E</v>
      </c>
      <c r="J827">
        <f t="shared" si="76"/>
        <v>0</v>
      </c>
      <c r="K827">
        <f t="shared" si="77"/>
        <v>1</v>
      </c>
    </row>
    <row r="828" spans="1:11" x14ac:dyDescent="0.25">
      <c r="A828" t="s">
        <v>394</v>
      </c>
      <c r="B828" t="s">
        <v>143</v>
      </c>
      <c r="C828" t="s">
        <v>50</v>
      </c>
      <c r="D828" s="3">
        <v>45629</v>
      </c>
      <c r="E828" t="str">
        <f>VLOOKUP(B828,'PROCV GERENTES BD'!A:B,2,0)</f>
        <v>NOELI SALETE</v>
      </c>
      <c r="F828" s="4" t="str">
        <f t="shared" si="72"/>
        <v>2024-12</v>
      </c>
      <c r="G828" s="18">
        <f t="shared" si="73"/>
        <v>49</v>
      </c>
      <c r="H828" t="str">
        <f t="shared" si="74"/>
        <v>NOELI SALETE</v>
      </c>
      <c r="I828" t="str">
        <f t="shared" si="75"/>
        <v>ALBERTO H DA SILVA ME</v>
      </c>
      <c r="J828">
        <f t="shared" si="76"/>
        <v>0</v>
      </c>
      <c r="K828">
        <f t="shared" si="77"/>
        <v>1</v>
      </c>
    </row>
    <row r="829" spans="1:11" x14ac:dyDescent="0.25">
      <c r="A829" t="s">
        <v>400</v>
      </c>
      <c r="B829" t="s">
        <v>150</v>
      </c>
      <c r="C829" t="s">
        <v>50</v>
      </c>
      <c r="D829" s="3">
        <v>45629</v>
      </c>
      <c r="E829" t="str">
        <f>VLOOKUP(B829,'PROCV GERENTES BD'!A:B,2,0)</f>
        <v>NOELI SALETE</v>
      </c>
      <c r="F829" s="4" t="str">
        <f t="shared" si="72"/>
        <v>2024-12</v>
      </c>
      <c r="G829" s="18">
        <f t="shared" si="73"/>
        <v>49</v>
      </c>
      <c r="H829" t="str">
        <f t="shared" si="74"/>
        <v>NOELI SALETE</v>
      </c>
      <c r="I829" t="str">
        <f t="shared" si="75"/>
        <v>POOLMAK SISTEMAS ESTRUTURAIS LTDA</v>
      </c>
      <c r="J829">
        <f t="shared" si="76"/>
        <v>0</v>
      </c>
      <c r="K829">
        <f t="shared" si="77"/>
        <v>1</v>
      </c>
    </row>
    <row r="830" spans="1:11" x14ac:dyDescent="0.25">
      <c r="A830" t="s">
        <v>389</v>
      </c>
      <c r="B830" t="s">
        <v>136</v>
      </c>
      <c r="C830" t="s">
        <v>66</v>
      </c>
      <c r="D830" s="3">
        <v>45629</v>
      </c>
      <c r="E830" t="str">
        <f>VLOOKUP(B830,'PROCV GERENTES BD'!A:B,2,0)</f>
        <v>POENATELA</v>
      </c>
      <c r="F830" s="4" t="str">
        <f t="shared" si="72"/>
        <v>2024-12</v>
      </c>
      <c r="G830" s="18">
        <f t="shared" si="73"/>
        <v>49</v>
      </c>
      <c r="H830" t="str">
        <f t="shared" si="74"/>
        <v>POENATELA</v>
      </c>
      <c r="I830" t="str">
        <f t="shared" si="75"/>
        <v>CONQUISTA INDUSTRIA DE MOVEIS S/A</v>
      </c>
      <c r="J830">
        <f t="shared" si="76"/>
        <v>1</v>
      </c>
      <c r="K830">
        <f t="shared" si="77"/>
        <v>0</v>
      </c>
    </row>
    <row r="831" spans="1:11" x14ac:dyDescent="0.25">
      <c r="A831" t="s">
        <v>346</v>
      </c>
      <c r="B831" t="s">
        <v>91</v>
      </c>
      <c r="C831" t="s">
        <v>50</v>
      </c>
      <c r="D831" s="3">
        <v>45629</v>
      </c>
      <c r="E831" t="str">
        <f>VLOOKUP(B831,'PROCV GERENTES BD'!A:B,2,0)</f>
        <v>POENATELA</v>
      </c>
      <c r="F831" s="4" t="str">
        <f t="shared" si="72"/>
        <v>2024-12</v>
      </c>
      <c r="G831" s="18">
        <f t="shared" si="73"/>
        <v>49</v>
      </c>
      <c r="H831" t="str">
        <f t="shared" si="74"/>
        <v>POENATELA</v>
      </c>
      <c r="I831" t="str">
        <f t="shared" si="75"/>
        <v>UBERTEC SERVICE USINAGEM LTDA EPP</v>
      </c>
      <c r="J831">
        <f t="shared" si="76"/>
        <v>0</v>
      </c>
      <c r="K831">
        <f t="shared" si="77"/>
        <v>1</v>
      </c>
    </row>
    <row r="832" spans="1:11" x14ac:dyDescent="0.25">
      <c r="A832" t="s">
        <v>398</v>
      </c>
      <c r="B832" t="s">
        <v>148</v>
      </c>
      <c r="C832" t="s">
        <v>50</v>
      </c>
      <c r="D832" s="3">
        <v>45629</v>
      </c>
      <c r="E832" t="str">
        <f>VLOOKUP(B832,'PROCV GERENTES BD'!A:B,2,0)</f>
        <v>PRISCILA METZ</v>
      </c>
      <c r="F832" s="4" t="str">
        <f t="shared" si="72"/>
        <v>2024-12</v>
      </c>
      <c r="G832" s="18">
        <f t="shared" si="73"/>
        <v>49</v>
      </c>
      <c r="H832" t="str">
        <f t="shared" si="74"/>
        <v>PRISCILA METZ</v>
      </c>
      <c r="I832" t="str">
        <f t="shared" si="75"/>
        <v>JF GOLD DISTRIBUIDORA LTDA EPP</v>
      </c>
      <c r="J832">
        <f t="shared" si="76"/>
        <v>0</v>
      </c>
      <c r="K832">
        <f t="shared" si="77"/>
        <v>1</v>
      </c>
    </row>
    <row r="833" spans="1:11" x14ac:dyDescent="0.25">
      <c r="A833" t="s">
        <v>376</v>
      </c>
      <c r="B833" t="s">
        <v>121</v>
      </c>
      <c r="C833" t="s">
        <v>50</v>
      </c>
      <c r="D833" s="3">
        <v>45629</v>
      </c>
      <c r="E833" t="str">
        <f>VLOOKUP(B833,'PROCV GERENTES BD'!A:B,2,0)</f>
        <v>PRISCILA METZ</v>
      </c>
      <c r="F833" s="4" t="str">
        <f t="shared" si="72"/>
        <v>2024-12</v>
      </c>
      <c r="G833" s="18">
        <f t="shared" si="73"/>
        <v>49</v>
      </c>
      <c r="H833" t="str">
        <f t="shared" si="74"/>
        <v>PRISCILA METZ</v>
      </c>
      <c r="I833" t="str">
        <f t="shared" si="75"/>
        <v>NOVA DISTRIBUIDORA E ATACADO DE LIMPEZA LTDA</v>
      </c>
      <c r="J833">
        <f t="shared" si="76"/>
        <v>0</v>
      </c>
      <c r="K833">
        <f t="shared" si="77"/>
        <v>1</v>
      </c>
    </row>
    <row r="834" spans="1:11" x14ac:dyDescent="0.25">
      <c r="A834" t="s">
        <v>429</v>
      </c>
      <c r="B834" t="s">
        <v>180</v>
      </c>
      <c r="C834" t="s">
        <v>50</v>
      </c>
      <c r="D834" s="3">
        <v>45629</v>
      </c>
      <c r="E834" t="s">
        <v>21</v>
      </c>
      <c r="F834" s="4" t="str">
        <f t="shared" ref="F834:F897" si="78">YEAR(D834)&amp;"-"&amp;TEXT(MONTH(D834),"00")</f>
        <v>2024-12</v>
      </c>
      <c r="G834" s="18">
        <f t="shared" ref="G834:G897" si="79">WEEKNUM(D834)</f>
        <v>49</v>
      </c>
      <c r="H834" t="str">
        <f t="shared" ref="H834:H897" si="80">E834</f>
        <v xml:space="preserve">ROGERIO </v>
      </c>
      <c r="I834" t="str">
        <f t="shared" ref="I834:I897" si="81">B834</f>
        <v>ENCADESP LTDA ME</v>
      </c>
      <c r="J834">
        <f t="shared" ref="J834:J897" si="82">IF(OR(C834="EXCLUSAO  ANOT.INADIMPLENCIA",C834="INCL/EXCL ANOT.INADIMPLENCIA"),1,0)</f>
        <v>0</v>
      </c>
      <c r="K834">
        <f t="shared" ref="K834:K897" si="83">IF(OR(C834="INCLUSAO  ANOT.INADIMPLENCIA",C834="INCL/EXCL ANOT.INADIMPLENCIA"),1,0)</f>
        <v>1</v>
      </c>
    </row>
    <row r="835" spans="1:11" x14ac:dyDescent="0.25">
      <c r="A835" t="s">
        <v>331</v>
      </c>
      <c r="B835" t="s">
        <v>144</v>
      </c>
      <c r="C835" t="s">
        <v>50</v>
      </c>
      <c r="D835" s="3">
        <v>45630</v>
      </c>
      <c r="E835" t="str">
        <f>VLOOKUP(B835,'PROCV GERENTES BD'!A:B,2,0)</f>
        <v>ADMINISTRAÇÃO</v>
      </c>
      <c r="F835" s="4" t="str">
        <f t="shared" si="78"/>
        <v>2024-12</v>
      </c>
      <c r="G835" s="18">
        <f t="shared" si="79"/>
        <v>49</v>
      </c>
      <c r="H835" t="str">
        <f t="shared" si="80"/>
        <v>ADMINISTRAÇÃO</v>
      </c>
      <c r="I835" t="str">
        <f t="shared" si="81"/>
        <v>BOM PASTOR PAPEIS LTDA EM RECUPERACAO JUDICIAL</v>
      </c>
      <c r="J835">
        <f t="shared" si="82"/>
        <v>0</v>
      </c>
      <c r="K835">
        <f t="shared" si="83"/>
        <v>1</v>
      </c>
    </row>
    <row r="836" spans="1:11" x14ac:dyDescent="0.25">
      <c r="A836" t="s">
        <v>382</v>
      </c>
      <c r="B836" t="s">
        <v>129</v>
      </c>
      <c r="C836" t="s">
        <v>50</v>
      </c>
      <c r="D836" s="3">
        <v>45630</v>
      </c>
      <c r="E836" t="str">
        <f>VLOOKUP(B836,'PROCV GERENTES BD'!A:B,2,0)</f>
        <v>ADMINISTRAÇÃO</v>
      </c>
      <c r="F836" s="4" t="str">
        <f t="shared" si="78"/>
        <v>2024-12</v>
      </c>
      <c r="G836" s="18">
        <f t="shared" si="79"/>
        <v>49</v>
      </c>
      <c r="H836" t="str">
        <f t="shared" si="80"/>
        <v>ADMINISTRAÇÃO</v>
      </c>
      <c r="I836" t="str">
        <f t="shared" si="81"/>
        <v>XEQUE MATE BEBIDAS LTDA ME</v>
      </c>
      <c r="J836">
        <f t="shared" si="82"/>
        <v>0</v>
      </c>
      <c r="K836">
        <f t="shared" si="83"/>
        <v>1</v>
      </c>
    </row>
    <row r="837" spans="1:11" x14ac:dyDescent="0.25">
      <c r="A837" t="s">
        <v>372</v>
      </c>
      <c r="B837" t="s">
        <v>116</v>
      </c>
      <c r="C837" t="s">
        <v>50</v>
      </c>
      <c r="D837" s="3">
        <v>45630</v>
      </c>
      <c r="E837" t="str">
        <f>VLOOKUP(B837,'PROCV GERENTES BD'!A:B,2,0)</f>
        <v>ADMINISTRAÇÃO</v>
      </c>
      <c r="F837" s="4" t="str">
        <f t="shared" si="78"/>
        <v>2024-12</v>
      </c>
      <c r="G837" s="18">
        <f t="shared" si="79"/>
        <v>49</v>
      </c>
      <c r="H837" t="str">
        <f t="shared" si="80"/>
        <v>ADMINISTRAÇÃO</v>
      </c>
      <c r="I837" t="str">
        <f t="shared" si="81"/>
        <v>PREMOLDADOS MATOSINHOS LTDA EPP</v>
      </c>
      <c r="J837">
        <f t="shared" si="82"/>
        <v>0</v>
      </c>
      <c r="K837">
        <f t="shared" si="83"/>
        <v>1</v>
      </c>
    </row>
    <row r="838" spans="1:11" x14ac:dyDescent="0.25">
      <c r="A838" t="s">
        <v>304</v>
      </c>
      <c r="B838" t="s">
        <v>123</v>
      </c>
      <c r="C838" t="s">
        <v>50</v>
      </c>
      <c r="D838" s="3">
        <v>45630</v>
      </c>
      <c r="E838" t="str">
        <f>VLOOKUP(B838,'PROCV GERENTES BD'!A:B,2,0)</f>
        <v>ADMINISTRAÇÃO</v>
      </c>
      <c r="F838" s="4" t="str">
        <f t="shared" si="78"/>
        <v>2024-12</v>
      </c>
      <c r="G838" s="18">
        <f t="shared" si="79"/>
        <v>49</v>
      </c>
      <c r="H838" t="str">
        <f t="shared" si="80"/>
        <v>ADMINISTRAÇÃO</v>
      </c>
      <c r="I838" t="str">
        <f t="shared" si="81"/>
        <v>VIC LOGISTICA LTDA EM RECUPERACAO JUDICIAL</v>
      </c>
      <c r="J838">
        <f t="shared" si="82"/>
        <v>0</v>
      </c>
      <c r="K838">
        <f t="shared" si="83"/>
        <v>1</v>
      </c>
    </row>
    <row r="839" spans="1:11" x14ac:dyDescent="0.25">
      <c r="A839" t="s">
        <v>319</v>
      </c>
      <c r="B839" t="s">
        <v>80</v>
      </c>
      <c r="C839" t="s">
        <v>53</v>
      </c>
      <c r="D839" s="3">
        <v>45630</v>
      </c>
      <c r="E839" t="str">
        <f>VLOOKUP(B839,'PROCV GERENTES BD'!A:B,2,0)</f>
        <v>CELIO PIMENTA</v>
      </c>
      <c r="F839" s="4" t="str">
        <f t="shared" si="78"/>
        <v>2024-12</v>
      </c>
      <c r="G839" s="18">
        <f t="shared" si="79"/>
        <v>49</v>
      </c>
      <c r="H839" t="str">
        <f t="shared" si="80"/>
        <v>CELIO PIMENTA</v>
      </c>
      <c r="I839" t="str">
        <f t="shared" si="81"/>
        <v>IMPORTEXTIL COMERCIO DE TECIDOS LTDA</v>
      </c>
      <c r="J839">
        <f t="shared" si="82"/>
        <v>1</v>
      </c>
      <c r="K839">
        <f t="shared" si="83"/>
        <v>1</v>
      </c>
    </row>
    <row r="840" spans="1:11" x14ac:dyDescent="0.25">
      <c r="A840" t="s">
        <v>324</v>
      </c>
      <c r="B840" t="s">
        <v>119</v>
      </c>
      <c r="C840" t="s">
        <v>66</v>
      </c>
      <c r="D840" s="3">
        <v>45630</v>
      </c>
      <c r="E840" t="str">
        <f>VLOOKUP(B840,'PROCV GERENTES BD'!A:B,2,0)</f>
        <v>PROSPECTAR</v>
      </c>
      <c r="F840" s="4" t="str">
        <f t="shared" si="78"/>
        <v>2024-12</v>
      </c>
      <c r="G840" s="18">
        <f t="shared" si="79"/>
        <v>49</v>
      </c>
      <c r="H840" t="str">
        <f t="shared" si="80"/>
        <v>PROSPECTAR</v>
      </c>
      <c r="I840" t="str">
        <f t="shared" si="81"/>
        <v>TRANSHENRY TRANSPORTES LTDA</v>
      </c>
      <c r="J840">
        <f t="shared" si="82"/>
        <v>1</v>
      </c>
      <c r="K840">
        <f t="shared" si="83"/>
        <v>0</v>
      </c>
    </row>
    <row r="841" spans="1:11" x14ac:dyDescent="0.25">
      <c r="A841" t="s">
        <v>428</v>
      </c>
      <c r="B841" t="s">
        <v>179</v>
      </c>
      <c r="C841" t="s">
        <v>53</v>
      </c>
      <c r="D841" s="3">
        <v>45630</v>
      </c>
      <c r="E841" t="str">
        <f>VLOOKUP(B841,'PROCV GERENTES BD'!A:B,2,0)</f>
        <v xml:space="preserve">MARCUS VINICIUS </v>
      </c>
      <c r="F841" s="4" t="str">
        <f t="shared" si="78"/>
        <v>2024-12</v>
      </c>
      <c r="G841" s="18">
        <f t="shared" si="79"/>
        <v>49</v>
      </c>
      <c r="H841" t="str">
        <f t="shared" si="80"/>
        <v xml:space="preserve">MARCUS VINICIUS </v>
      </c>
      <c r="I841" t="str">
        <f t="shared" si="81"/>
        <v>LABOR ELETRIC INDUSTRIA E COMERCIO UNIPESSOAL LTDA</v>
      </c>
      <c r="J841">
        <f t="shared" si="82"/>
        <v>1</v>
      </c>
      <c r="K841">
        <f t="shared" si="83"/>
        <v>1</v>
      </c>
    </row>
    <row r="842" spans="1:11" x14ac:dyDescent="0.25">
      <c r="A842" t="s">
        <v>422</v>
      </c>
      <c r="B842" t="s">
        <v>173</v>
      </c>
      <c r="C842" t="s">
        <v>50</v>
      </c>
      <c r="D842" s="3">
        <v>45630</v>
      </c>
      <c r="E842" t="str">
        <f>VLOOKUP(B842,'PROCV GERENTES BD'!A:B,2,0)</f>
        <v>NOELI SALETE</v>
      </c>
      <c r="F842" s="4" t="str">
        <f t="shared" si="78"/>
        <v>2024-12</v>
      </c>
      <c r="G842" s="18">
        <f t="shared" si="79"/>
        <v>49</v>
      </c>
      <c r="H842" t="str">
        <f t="shared" si="80"/>
        <v>NOELI SALETE</v>
      </c>
      <c r="I842" t="str">
        <f t="shared" si="81"/>
        <v>COMGROUP AGROINDUSTRIAL LTDA</v>
      </c>
      <c r="J842">
        <f t="shared" si="82"/>
        <v>0</v>
      </c>
      <c r="K842">
        <f t="shared" si="83"/>
        <v>1</v>
      </c>
    </row>
    <row r="843" spans="1:11" x14ac:dyDescent="0.25">
      <c r="A843" t="s">
        <v>419</v>
      </c>
      <c r="B843" t="s">
        <v>169</v>
      </c>
      <c r="C843" t="s">
        <v>50</v>
      </c>
      <c r="D843" s="3">
        <v>45630</v>
      </c>
      <c r="E843" t="str">
        <f>VLOOKUP(B843,'PROCV GERENTES BD'!A:B,2,0)</f>
        <v>NOELI SALETE</v>
      </c>
      <c r="F843" s="4" t="str">
        <f t="shared" si="78"/>
        <v>2024-12</v>
      </c>
      <c r="G843" s="18">
        <f t="shared" si="79"/>
        <v>49</v>
      </c>
      <c r="H843" t="str">
        <f t="shared" si="80"/>
        <v>NOELI SALETE</v>
      </c>
      <c r="I843" t="str">
        <f t="shared" si="81"/>
        <v>GLOBAL ACO SERVICOS E PRODUTOS SIDERURGICOS LTDA E</v>
      </c>
      <c r="J843">
        <f t="shared" si="82"/>
        <v>0</v>
      </c>
      <c r="K843">
        <f t="shared" si="83"/>
        <v>1</v>
      </c>
    </row>
    <row r="844" spans="1:11" x14ac:dyDescent="0.25">
      <c r="A844" t="s">
        <v>339</v>
      </c>
      <c r="B844" t="s">
        <v>87</v>
      </c>
      <c r="C844" t="s">
        <v>50</v>
      </c>
      <c r="D844" s="3">
        <v>45630</v>
      </c>
      <c r="E844" t="str">
        <f>VLOOKUP(B844,'PROCV GERENTES BD'!A:B,2,0)</f>
        <v>NOELI SALETE</v>
      </c>
      <c r="F844" s="4" t="str">
        <f t="shared" si="78"/>
        <v>2024-12</v>
      </c>
      <c r="G844" s="18">
        <f t="shared" si="79"/>
        <v>49</v>
      </c>
      <c r="H844" t="str">
        <f t="shared" si="80"/>
        <v>NOELI SALETE</v>
      </c>
      <c r="I844" t="str">
        <f t="shared" si="81"/>
        <v>RODOBOX TRANSPORTES E ARMAZENAGEM DE CARGAS LTDA</v>
      </c>
      <c r="J844">
        <f t="shared" si="82"/>
        <v>0</v>
      </c>
      <c r="K844">
        <f t="shared" si="83"/>
        <v>1</v>
      </c>
    </row>
    <row r="845" spans="1:11" x14ac:dyDescent="0.25">
      <c r="A845" t="s">
        <v>394</v>
      </c>
      <c r="B845" t="s">
        <v>143</v>
      </c>
      <c r="C845" t="s">
        <v>50</v>
      </c>
      <c r="D845" s="3">
        <v>45630</v>
      </c>
      <c r="E845" t="str">
        <f>VLOOKUP(B845,'PROCV GERENTES BD'!A:B,2,0)</f>
        <v>NOELI SALETE</v>
      </c>
      <c r="F845" s="4" t="str">
        <f t="shared" si="78"/>
        <v>2024-12</v>
      </c>
      <c r="G845" s="18">
        <f t="shared" si="79"/>
        <v>49</v>
      </c>
      <c r="H845" t="str">
        <f t="shared" si="80"/>
        <v>NOELI SALETE</v>
      </c>
      <c r="I845" t="str">
        <f t="shared" si="81"/>
        <v>ALBERTO H DA SILVA ME</v>
      </c>
      <c r="J845">
        <f t="shared" si="82"/>
        <v>0</v>
      </c>
      <c r="K845">
        <f t="shared" si="83"/>
        <v>1</v>
      </c>
    </row>
    <row r="846" spans="1:11" x14ac:dyDescent="0.25">
      <c r="A846" t="s">
        <v>389</v>
      </c>
      <c r="B846" t="s">
        <v>136</v>
      </c>
      <c r="C846" t="s">
        <v>53</v>
      </c>
      <c r="D846" s="3">
        <v>45630</v>
      </c>
      <c r="E846" t="str">
        <f>VLOOKUP(B846,'PROCV GERENTES BD'!A:B,2,0)</f>
        <v>POENATELA</v>
      </c>
      <c r="F846" s="4" t="str">
        <f t="shared" si="78"/>
        <v>2024-12</v>
      </c>
      <c r="G846" s="18">
        <f t="shared" si="79"/>
        <v>49</v>
      </c>
      <c r="H846" t="str">
        <f t="shared" si="80"/>
        <v>POENATELA</v>
      </c>
      <c r="I846" t="str">
        <f t="shared" si="81"/>
        <v>CONQUISTA INDUSTRIA DE MOVEIS S/A</v>
      </c>
      <c r="J846">
        <f t="shared" si="82"/>
        <v>1</v>
      </c>
      <c r="K846">
        <f t="shared" si="83"/>
        <v>1</v>
      </c>
    </row>
    <row r="847" spans="1:11" x14ac:dyDescent="0.25">
      <c r="A847" t="s">
        <v>417</v>
      </c>
      <c r="B847" t="s">
        <v>167</v>
      </c>
      <c r="C847" t="s">
        <v>50</v>
      </c>
      <c r="D847" s="3">
        <v>45630</v>
      </c>
      <c r="E847" t="str">
        <f>VLOOKUP(B847,'PROCV GERENTES BD'!A:B,2,0)</f>
        <v>POENATELA</v>
      </c>
      <c r="F847" s="4" t="str">
        <f t="shared" si="78"/>
        <v>2024-12</v>
      </c>
      <c r="G847" s="18">
        <f t="shared" si="79"/>
        <v>49</v>
      </c>
      <c r="H847" t="str">
        <f t="shared" si="80"/>
        <v>POENATELA</v>
      </c>
      <c r="I847" t="str">
        <f t="shared" si="81"/>
        <v>DETRONIC ENERGIA E SERVICOS LTDA</v>
      </c>
      <c r="J847">
        <f t="shared" si="82"/>
        <v>0</v>
      </c>
      <c r="K847">
        <f t="shared" si="83"/>
        <v>1</v>
      </c>
    </row>
    <row r="848" spans="1:11" x14ac:dyDescent="0.25">
      <c r="A848" t="s">
        <v>346</v>
      </c>
      <c r="B848" t="s">
        <v>91</v>
      </c>
      <c r="C848" t="s">
        <v>50</v>
      </c>
      <c r="D848" s="3">
        <v>45630</v>
      </c>
      <c r="E848" t="str">
        <f>VLOOKUP(B848,'PROCV GERENTES BD'!A:B,2,0)</f>
        <v>POENATELA</v>
      </c>
      <c r="F848" s="4" t="str">
        <f t="shared" si="78"/>
        <v>2024-12</v>
      </c>
      <c r="G848" s="18">
        <f t="shared" si="79"/>
        <v>49</v>
      </c>
      <c r="H848" t="str">
        <f t="shared" si="80"/>
        <v>POENATELA</v>
      </c>
      <c r="I848" t="str">
        <f t="shared" si="81"/>
        <v>UBERTEC SERVICE USINAGEM LTDA EPP</v>
      </c>
      <c r="J848">
        <f t="shared" si="82"/>
        <v>0</v>
      </c>
      <c r="K848">
        <f t="shared" si="83"/>
        <v>1</v>
      </c>
    </row>
    <row r="849" spans="1:11" x14ac:dyDescent="0.25">
      <c r="A849" t="s">
        <v>353</v>
      </c>
      <c r="B849" t="s">
        <v>97</v>
      </c>
      <c r="C849" t="s">
        <v>66</v>
      </c>
      <c r="D849" s="3">
        <v>45630</v>
      </c>
      <c r="E849" t="str">
        <f>VLOOKUP(B849,'PROCV GERENTES BD'!A:B,2,0)</f>
        <v>PRISCILA METZ</v>
      </c>
      <c r="F849" s="4" t="str">
        <f t="shared" si="78"/>
        <v>2024-12</v>
      </c>
      <c r="G849" s="18">
        <f t="shared" si="79"/>
        <v>49</v>
      </c>
      <c r="H849" t="str">
        <f t="shared" si="80"/>
        <v>PRISCILA METZ</v>
      </c>
      <c r="I849" t="str">
        <f t="shared" si="81"/>
        <v>ESSENZA INDUSTRIA QUIMICA LTDA</v>
      </c>
      <c r="J849">
        <f t="shared" si="82"/>
        <v>1</v>
      </c>
      <c r="K849">
        <f t="shared" si="83"/>
        <v>0</v>
      </c>
    </row>
    <row r="850" spans="1:11" x14ac:dyDescent="0.25">
      <c r="A850" t="s">
        <v>433</v>
      </c>
      <c r="B850" t="s">
        <v>184</v>
      </c>
      <c r="C850" t="s">
        <v>50</v>
      </c>
      <c r="D850" s="3">
        <v>45630</v>
      </c>
      <c r="E850" t="str">
        <f>VLOOKUP(B850,'PROCV GERENTES BD'!A:B,2,0)</f>
        <v>PRISCILA METZ</v>
      </c>
      <c r="F850" s="4" t="str">
        <f t="shared" si="78"/>
        <v>2024-12</v>
      </c>
      <c r="G850" s="18">
        <f t="shared" si="79"/>
        <v>49</v>
      </c>
      <c r="H850" t="str">
        <f t="shared" si="80"/>
        <v>PRISCILA METZ</v>
      </c>
      <c r="I850" t="str">
        <f t="shared" si="81"/>
        <v>FRANZAO COLCHOES LTDA EPP</v>
      </c>
      <c r="J850">
        <f t="shared" si="82"/>
        <v>0</v>
      </c>
      <c r="K850">
        <f t="shared" si="83"/>
        <v>1</v>
      </c>
    </row>
    <row r="851" spans="1:11" x14ac:dyDescent="0.25">
      <c r="A851" t="s">
        <v>376</v>
      </c>
      <c r="B851" t="s">
        <v>121</v>
      </c>
      <c r="C851" t="s">
        <v>50</v>
      </c>
      <c r="D851" s="3">
        <v>45630</v>
      </c>
      <c r="E851" t="str">
        <f>VLOOKUP(B851,'PROCV GERENTES BD'!A:B,2,0)</f>
        <v>PRISCILA METZ</v>
      </c>
      <c r="F851" s="4" t="str">
        <f t="shared" si="78"/>
        <v>2024-12</v>
      </c>
      <c r="G851" s="18">
        <f t="shared" si="79"/>
        <v>49</v>
      </c>
      <c r="H851" t="str">
        <f t="shared" si="80"/>
        <v>PRISCILA METZ</v>
      </c>
      <c r="I851" t="str">
        <f t="shared" si="81"/>
        <v>NOVA DISTRIBUIDORA E ATACADO DE LIMPEZA LTDA</v>
      </c>
      <c r="J851">
        <f t="shared" si="82"/>
        <v>0</v>
      </c>
      <c r="K851">
        <f t="shared" si="83"/>
        <v>1</v>
      </c>
    </row>
    <row r="852" spans="1:11" x14ac:dyDescent="0.25">
      <c r="A852" t="s">
        <v>431</v>
      </c>
      <c r="B852" t="s">
        <v>182</v>
      </c>
      <c r="C852" t="s">
        <v>66</v>
      </c>
      <c r="D852" s="3">
        <v>45630</v>
      </c>
      <c r="E852" t="s">
        <v>21</v>
      </c>
      <c r="F852" s="4" t="str">
        <f t="shared" si="78"/>
        <v>2024-12</v>
      </c>
      <c r="G852" s="18">
        <f t="shared" si="79"/>
        <v>49</v>
      </c>
      <c r="H852" t="str">
        <f t="shared" si="80"/>
        <v xml:space="preserve">ROGERIO </v>
      </c>
      <c r="I852" t="str">
        <f t="shared" si="81"/>
        <v>GRF JEANS WEAR LTDA ME</v>
      </c>
      <c r="J852">
        <f t="shared" si="82"/>
        <v>1</v>
      </c>
      <c r="K852">
        <f t="shared" si="83"/>
        <v>0</v>
      </c>
    </row>
    <row r="853" spans="1:11" x14ac:dyDescent="0.25">
      <c r="A853" t="s">
        <v>382</v>
      </c>
      <c r="B853" t="s">
        <v>129</v>
      </c>
      <c r="C853" t="s">
        <v>66</v>
      </c>
      <c r="D853" s="3">
        <v>45631</v>
      </c>
      <c r="E853" t="str">
        <f>VLOOKUP(B853,'PROCV GERENTES BD'!A:B,2,0)</f>
        <v>ADMINISTRAÇÃO</v>
      </c>
      <c r="F853" s="4" t="str">
        <f t="shared" si="78"/>
        <v>2024-12</v>
      </c>
      <c r="G853" s="18">
        <f t="shared" si="79"/>
        <v>49</v>
      </c>
      <c r="H853" t="str">
        <f t="shared" si="80"/>
        <v>ADMINISTRAÇÃO</v>
      </c>
      <c r="I853" t="str">
        <f t="shared" si="81"/>
        <v>XEQUE MATE BEBIDAS LTDA ME</v>
      </c>
      <c r="J853">
        <f t="shared" si="82"/>
        <v>1</v>
      </c>
      <c r="K853">
        <f t="shared" si="83"/>
        <v>0</v>
      </c>
    </row>
    <row r="854" spans="1:11" x14ac:dyDescent="0.25">
      <c r="A854" t="s">
        <v>304</v>
      </c>
      <c r="B854" t="s">
        <v>123</v>
      </c>
      <c r="C854" t="s">
        <v>66</v>
      </c>
      <c r="D854" s="3">
        <v>45631</v>
      </c>
      <c r="E854" t="str">
        <f>VLOOKUP(B854,'PROCV GERENTES BD'!A:B,2,0)</f>
        <v>ADMINISTRAÇÃO</v>
      </c>
      <c r="F854" s="4" t="str">
        <f t="shared" si="78"/>
        <v>2024-12</v>
      </c>
      <c r="G854" s="18">
        <f t="shared" si="79"/>
        <v>49</v>
      </c>
      <c r="H854" t="str">
        <f t="shared" si="80"/>
        <v>ADMINISTRAÇÃO</v>
      </c>
      <c r="I854" t="str">
        <f t="shared" si="81"/>
        <v>VIC LOGISTICA LTDA EM RECUPERACAO JUDICIAL</v>
      </c>
      <c r="J854">
        <f t="shared" si="82"/>
        <v>1</v>
      </c>
      <c r="K854">
        <f t="shared" si="83"/>
        <v>0</v>
      </c>
    </row>
    <row r="855" spans="1:11" x14ac:dyDescent="0.25">
      <c r="A855" t="s">
        <v>319</v>
      </c>
      <c r="B855" t="s">
        <v>80</v>
      </c>
      <c r="C855" t="s">
        <v>53</v>
      </c>
      <c r="D855" s="3">
        <v>45631</v>
      </c>
      <c r="E855" t="str">
        <f>VLOOKUP(B855,'PROCV GERENTES BD'!A:B,2,0)</f>
        <v>CELIO PIMENTA</v>
      </c>
      <c r="F855" s="4" t="str">
        <f t="shared" si="78"/>
        <v>2024-12</v>
      </c>
      <c r="G855" s="18">
        <f t="shared" si="79"/>
        <v>49</v>
      </c>
      <c r="H855" t="str">
        <f t="shared" si="80"/>
        <v>CELIO PIMENTA</v>
      </c>
      <c r="I855" t="str">
        <f t="shared" si="81"/>
        <v>IMPORTEXTIL COMERCIO DE TECIDOS LTDA</v>
      </c>
      <c r="J855">
        <f t="shared" si="82"/>
        <v>1</v>
      </c>
      <c r="K855">
        <f t="shared" si="83"/>
        <v>1</v>
      </c>
    </row>
    <row r="856" spans="1:11" x14ac:dyDescent="0.25">
      <c r="A856" t="s">
        <v>311</v>
      </c>
      <c r="B856" t="s">
        <v>81</v>
      </c>
      <c r="C856" t="s">
        <v>66</v>
      </c>
      <c r="D856" s="3">
        <v>45631</v>
      </c>
      <c r="E856" t="str">
        <f>VLOOKUP(B856,'PROCV GERENTES BD'!A:B,2,0)</f>
        <v>CELIO PIMENTA</v>
      </c>
      <c r="F856" s="4" t="str">
        <f t="shared" si="78"/>
        <v>2024-12</v>
      </c>
      <c r="G856" s="18">
        <f t="shared" si="79"/>
        <v>49</v>
      </c>
      <c r="H856" t="str">
        <f t="shared" si="80"/>
        <v>CELIO PIMENTA</v>
      </c>
      <c r="I856" t="str">
        <f t="shared" si="81"/>
        <v>MBIOLOG DIAGNOSTICOS LTDA</v>
      </c>
      <c r="J856">
        <f t="shared" si="82"/>
        <v>1</v>
      </c>
      <c r="K856">
        <f t="shared" si="83"/>
        <v>0</v>
      </c>
    </row>
    <row r="857" spans="1:11" x14ac:dyDescent="0.25">
      <c r="A857" t="s">
        <v>324</v>
      </c>
      <c r="B857" t="s">
        <v>119</v>
      </c>
      <c r="C857" t="s">
        <v>50</v>
      </c>
      <c r="D857" s="3">
        <v>45631</v>
      </c>
      <c r="E857" t="str">
        <f>VLOOKUP(B857,'PROCV GERENTES BD'!A:B,2,0)</f>
        <v>PROSPECTAR</v>
      </c>
      <c r="F857" s="4" t="str">
        <f t="shared" si="78"/>
        <v>2024-12</v>
      </c>
      <c r="G857" s="18">
        <f t="shared" si="79"/>
        <v>49</v>
      </c>
      <c r="H857" t="str">
        <f t="shared" si="80"/>
        <v>PROSPECTAR</v>
      </c>
      <c r="I857" t="str">
        <f t="shared" si="81"/>
        <v>TRANSHENRY TRANSPORTES LTDA</v>
      </c>
      <c r="J857">
        <f t="shared" si="82"/>
        <v>0</v>
      </c>
      <c r="K857">
        <f t="shared" si="83"/>
        <v>1</v>
      </c>
    </row>
    <row r="858" spans="1:11" x14ac:dyDescent="0.25">
      <c r="A858" t="s">
        <v>323</v>
      </c>
      <c r="B858" t="s">
        <v>109</v>
      </c>
      <c r="C858" t="s">
        <v>66</v>
      </c>
      <c r="D858" s="3">
        <v>45631</v>
      </c>
      <c r="E858" t="str">
        <f>VLOOKUP(B858,'PROCV GERENTES BD'!A:B,2,0)</f>
        <v>PROSPECTAR</v>
      </c>
      <c r="F858" s="4" t="str">
        <f t="shared" si="78"/>
        <v>2024-12</v>
      </c>
      <c r="G858" s="18">
        <f t="shared" si="79"/>
        <v>49</v>
      </c>
      <c r="H858" t="str">
        <f t="shared" si="80"/>
        <v>PROSPECTAR</v>
      </c>
      <c r="I858" t="str">
        <f t="shared" si="81"/>
        <v>SIAP COMERCIO DE PRODUTOS AGROPECUARIOS LTDA</v>
      </c>
      <c r="J858">
        <f t="shared" si="82"/>
        <v>1</v>
      </c>
      <c r="K858">
        <f t="shared" si="83"/>
        <v>0</v>
      </c>
    </row>
    <row r="859" spans="1:11" x14ac:dyDescent="0.25">
      <c r="A859" t="s">
        <v>60</v>
      </c>
      <c r="B859" t="s">
        <v>61</v>
      </c>
      <c r="C859" t="s">
        <v>50</v>
      </c>
      <c r="D859" s="3">
        <v>45631</v>
      </c>
      <c r="E859" t="str">
        <f>VLOOKUP(B859,'PROCV GERENTES BD'!A:B,2,0)</f>
        <v xml:space="preserve">MARCUS VINICIUS </v>
      </c>
      <c r="F859" s="4" t="str">
        <f t="shared" si="78"/>
        <v>2024-12</v>
      </c>
      <c r="G859" s="18">
        <f t="shared" si="79"/>
        <v>49</v>
      </c>
      <c r="H859" t="str">
        <f t="shared" si="80"/>
        <v xml:space="preserve">MARCUS VINICIUS </v>
      </c>
      <c r="I859" t="str">
        <f t="shared" si="81"/>
        <v>COM IND DE CEREAIS E TRANSPORTES MACIEL LTDA</v>
      </c>
      <c r="J859">
        <f t="shared" si="82"/>
        <v>0</v>
      </c>
      <c r="K859">
        <f t="shared" si="83"/>
        <v>1</v>
      </c>
    </row>
    <row r="860" spans="1:11" x14ac:dyDescent="0.25">
      <c r="A860" t="s">
        <v>428</v>
      </c>
      <c r="B860" t="s">
        <v>179</v>
      </c>
      <c r="C860" t="s">
        <v>50</v>
      </c>
      <c r="D860" s="3">
        <v>45631</v>
      </c>
      <c r="E860" t="str">
        <f>VLOOKUP(B860,'PROCV GERENTES BD'!A:B,2,0)</f>
        <v xml:space="preserve">MARCUS VINICIUS </v>
      </c>
      <c r="F860" s="4" t="str">
        <f t="shared" si="78"/>
        <v>2024-12</v>
      </c>
      <c r="G860" s="18">
        <f t="shared" si="79"/>
        <v>49</v>
      </c>
      <c r="H860" t="str">
        <f t="shared" si="80"/>
        <v xml:space="preserve">MARCUS VINICIUS </v>
      </c>
      <c r="I860" t="str">
        <f t="shared" si="81"/>
        <v>LABOR ELETRIC INDUSTRIA E COMERCIO UNIPESSOAL LTDA</v>
      </c>
      <c r="J860">
        <f t="shared" si="82"/>
        <v>0</v>
      </c>
      <c r="K860">
        <f t="shared" si="83"/>
        <v>1</v>
      </c>
    </row>
    <row r="861" spans="1:11" x14ac:dyDescent="0.25">
      <c r="A861" t="s">
        <v>339</v>
      </c>
      <c r="B861" t="s">
        <v>87</v>
      </c>
      <c r="C861" t="s">
        <v>50</v>
      </c>
      <c r="D861" s="3">
        <v>45631</v>
      </c>
      <c r="E861" t="str">
        <f>VLOOKUP(B861,'PROCV GERENTES BD'!A:B,2,0)</f>
        <v>NOELI SALETE</v>
      </c>
      <c r="F861" s="4" t="str">
        <f t="shared" si="78"/>
        <v>2024-12</v>
      </c>
      <c r="G861" s="18">
        <f t="shared" si="79"/>
        <v>49</v>
      </c>
      <c r="H861" t="str">
        <f t="shared" si="80"/>
        <v>NOELI SALETE</v>
      </c>
      <c r="I861" t="str">
        <f t="shared" si="81"/>
        <v>RODOBOX TRANSPORTES E ARMAZENAGEM DE CARGAS LTDA</v>
      </c>
      <c r="J861">
        <f t="shared" si="82"/>
        <v>0</v>
      </c>
      <c r="K861">
        <f t="shared" si="83"/>
        <v>1</v>
      </c>
    </row>
    <row r="862" spans="1:11" x14ac:dyDescent="0.25">
      <c r="A862" t="s">
        <v>389</v>
      </c>
      <c r="B862" t="s">
        <v>136</v>
      </c>
      <c r="C862" t="s">
        <v>66</v>
      </c>
      <c r="D862" s="3">
        <v>45631</v>
      </c>
      <c r="E862" t="str">
        <f>VLOOKUP(B862,'PROCV GERENTES BD'!A:B,2,0)</f>
        <v>POENATELA</v>
      </c>
      <c r="F862" s="4" t="str">
        <f t="shared" si="78"/>
        <v>2024-12</v>
      </c>
      <c r="G862" s="18">
        <f t="shared" si="79"/>
        <v>49</v>
      </c>
      <c r="H862" t="str">
        <f t="shared" si="80"/>
        <v>POENATELA</v>
      </c>
      <c r="I862" t="str">
        <f t="shared" si="81"/>
        <v>CONQUISTA INDUSTRIA DE MOVEIS S/A</v>
      </c>
      <c r="J862">
        <f t="shared" si="82"/>
        <v>1</v>
      </c>
      <c r="K862">
        <f t="shared" si="83"/>
        <v>0</v>
      </c>
    </row>
    <row r="863" spans="1:11" x14ac:dyDescent="0.25">
      <c r="A863" t="s">
        <v>346</v>
      </c>
      <c r="B863" t="s">
        <v>91</v>
      </c>
      <c r="C863" t="s">
        <v>66</v>
      </c>
      <c r="D863" s="3">
        <v>45631</v>
      </c>
      <c r="E863" t="str">
        <f>VLOOKUP(B863,'PROCV GERENTES BD'!A:B,2,0)</f>
        <v>POENATELA</v>
      </c>
      <c r="F863" s="4" t="str">
        <f t="shared" si="78"/>
        <v>2024-12</v>
      </c>
      <c r="G863" s="18">
        <f t="shared" si="79"/>
        <v>49</v>
      </c>
      <c r="H863" t="str">
        <f t="shared" si="80"/>
        <v>POENATELA</v>
      </c>
      <c r="I863" t="str">
        <f t="shared" si="81"/>
        <v>UBERTEC SERVICE USINAGEM LTDA EPP</v>
      </c>
      <c r="J863">
        <f t="shared" si="82"/>
        <v>1</v>
      </c>
      <c r="K863">
        <f t="shared" si="83"/>
        <v>0</v>
      </c>
    </row>
    <row r="864" spans="1:11" x14ac:dyDescent="0.25">
      <c r="A864" t="s">
        <v>353</v>
      </c>
      <c r="B864" t="s">
        <v>97</v>
      </c>
      <c r="C864" t="s">
        <v>50</v>
      </c>
      <c r="D864" s="3">
        <v>45631</v>
      </c>
      <c r="E864" t="str">
        <f>VLOOKUP(B864,'PROCV GERENTES BD'!A:B,2,0)</f>
        <v>PRISCILA METZ</v>
      </c>
      <c r="F864" s="4" t="str">
        <f t="shared" si="78"/>
        <v>2024-12</v>
      </c>
      <c r="G864" s="18">
        <f t="shared" si="79"/>
        <v>49</v>
      </c>
      <c r="H864" t="str">
        <f t="shared" si="80"/>
        <v>PRISCILA METZ</v>
      </c>
      <c r="I864" t="str">
        <f t="shared" si="81"/>
        <v>ESSENZA INDUSTRIA QUIMICA LTDA</v>
      </c>
      <c r="J864">
        <f t="shared" si="82"/>
        <v>0</v>
      </c>
      <c r="K864">
        <f t="shared" si="83"/>
        <v>1</v>
      </c>
    </row>
    <row r="865" spans="1:11" x14ac:dyDescent="0.25">
      <c r="A865" t="s">
        <v>376</v>
      </c>
      <c r="B865" t="s">
        <v>121</v>
      </c>
      <c r="C865" t="s">
        <v>66</v>
      </c>
      <c r="D865" s="3">
        <v>45631</v>
      </c>
      <c r="E865" t="str">
        <f>VLOOKUP(B865,'PROCV GERENTES BD'!A:B,2,0)</f>
        <v>PRISCILA METZ</v>
      </c>
      <c r="F865" s="4" t="str">
        <f t="shared" si="78"/>
        <v>2024-12</v>
      </c>
      <c r="G865" s="18">
        <f t="shared" si="79"/>
        <v>49</v>
      </c>
      <c r="H865" t="str">
        <f t="shared" si="80"/>
        <v>PRISCILA METZ</v>
      </c>
      <c r="I865" t="str">
        <f t="shared" si="81"/>
        <v>NOVA DISTRIBUIDORA E ATACADO DE LIMPEZA LTDA</v>
      </c>
      <c r="J865">
        <f t="shared" si="82"/>
        <v>1</v>
      </c>
      <c r="K865">
        <f t="shared" si="83"/>
        <v>0</v>
      </c>
    </row>
    <row r="866" spans="1:11" x14ac:dyDescent="0.25">
      <c r="A866" t="s">
        <v>319</v>
      </c>
      <c r="B866" t="s">
        <v>80</v>
      </c>
      <c r="C866" t="s">
        <v>50</v>
      </c>
      <c r="D866" s="3">
        <v>45632</v>
      </c>
      <c r="E866" t="str">
        <f>VLOOKUP(B866,'PROCV GERENTES BD'!A:B,2,0)</f>
        <v>CELIO PIMENTA</v>
      </c>
      <c r="F866" s="4" t="str">
        <f t="shared" si="78"/>
        <v>2024-12</v>
      </c>
      <c r="G866" s="18">
        <f t="shared" si="79"/>
        <v>49</v>
      </c>
      <c r="H866" t="str">
        <f t="shared" si="80"/>
        <v>CELIO PIMENTA</v>
      </c>
      <c r="I866" t="str">
        <f t="shared" si="81"/>
        <v>IMPORTEXTIL COMERCIO DE TECIDOS LTDA</v>
      </c>
      <c r="J866">
        <f t="shared" si="82"/>
        <v>0</v>
      </c>
      <c r="K866">
        <f t="shared" si="83"/>
        <v>1</v>
      </c>
    </row>
    <row r="867" spans="1:11" x14ac:dyDescent="0.25">
      <c r="A867" t="s">
        <v>358</v>
      </c>
      <c r="B867" t="s">
        <v>104</v>
      </c>
      <c r="C867" t="s">
        <v>66</v>
      </c>
      <c r="D867" s="3">
        <v>45632</v>
      </c>
      <c r="E867" t="str">
        <f>VLOOKUP(B867,'PROCV GERENTES BD'!A:B,2,0)</f>
        <v>DIOGO AZEVEDO</v>
      </c>
      <c r="F867" s="4" t="str">
        <f t="shared" si="78"/>
        <v>2024-12</v>
      </c>
      <c r="G867" s="18">
        <f t="shared" si="79"/>
        <v>49</v>
      </c>
      <c r="H867" t="str">
        <f t="shared" si="80"/>
        <v>DIOGO AZEVEDO</v>
      </c>
      <c r="I867" t="str">
        <f t="shared" si="81"/>
        <v>INDUSTRIA E CERVEJARIA ARTESANAL DE MINAS GERAIS L</v>
      </c>
      <c r="J867">
        <f t="shared" si="82"/>
        <v>1</v>
      </c>
      <c r="K867">
        <f t="shared" si="83"/>
        <v>0</v>
      </c>
    </row>
    <row r="868" spans="1:11" x14ac:dyDescent="0.25">
      <c r="A868" t="s">
        <v>415</v>
      </c>
      <c r="B868" t="s">
        <v>165</v>
      </c>
      <c r="C868" t="s">
        <v>50</v>
      </c>
      <c r="D868" s="3">
        <v>45632</v>
      </c>
      <c r="E868" t="str">
        <f>VLOOKUP(B868,'PROCV GERENTES BD'!A:B,2,0)</f>
        <v>PROSPECTAR</v>
      </c>
      <c r="F868" s="4" t="str">
        <f t="shared" si="78"/>
        <v>2024-12</v>
      </c>
      <c r="G868" s="18">
        <f t="shared" si="79"/>
        <v>49</v>
      </c>
      <c r="H868" t="str">
        <f t="shared" si="80"/>
        <v>PROSPECTAR</v>
      </c>
      <c r="I868" t="str">
        <f t="shared" si="81"/>
        <v>STA SERVICOS LTDA</v>
      </c>
      <c r="J868">
        <f t="shared" si="82"/>
        <v>0</v>
      </c>
      <c r="K868">
        <f t="shared" si="83"/>
        <v>1</v>
      </c>
    </row>
    <row r="869" spans="1:11" x14ac:dyDescent="0.25">
      <c r="A869" t="s">
        <v>323</v>
      </c>
      <c r="B869" t="s">
        <v>109</v>
      </c>
      <c r="C869" t="s">
        <v>66</v>
      </c>
      <c r="D869" s="3">
        <v>45632</v>
      </c>
      <c r="E869" t="str">
        <f>VLOOKUP(B869,'PROCV GERENTES BD'!A:B,2,0)</f>
        <v>PROSPECTAR</v>
      </c>
      <c r="F869" s="4" t="str">
        <f t="shared" si="78"/>
        <v>2024-12</v>
      </c>
      <c r="G869" s="18">
        <f t="shared" si="79"/>
        <v>49</v>
      </c>
      <c r="H869" t="str">
        <f t="shared" si="80"/>
        <v>PROSPECTAR</v>
      </c>
      <c r="I869" t="str">
        <f t="shared" si="81"/>
        <v>SIAP COMERCIO DE PRODUTOS AGROPECUARIOS LTDA</v>
      </c>
      <c r="J869">
        <f t="shared" si="82"/>
        <v>1</v>
      </c>
      <c r="K869">
        <f t="shared" si="83"/>
        <v>0</v>
      </c>
    </row>
    <row r="870" spans="1:11" x14ac:dyDescent="0.25">
      <c r="A870" t="s">
        <v>60</v>
      </c>
      <c r="B870" t="s">
        <v>61</v>
      </c>
      <c r="C870" t="s">
        <v>66</v>
      </c>
      <c r="D870" s="3">
        <v>45632</v>
      </c>
      <c r="E870" t="str">
        <f>VLOOKUP(B870,'PROCV GERENTES BD'!A:B,2,0)</f>
        <v xml:space="preserve">MARCUS VINICIUS </v>
      </c>
      <c r="F870" s="4" t="str">
        <f t="shared" si="78"/>
        <v>2024-12</v>
      </c>
      <c r="G870" s="18">
        <f t="shared" si="79"/>
        <v>49</v>
      </c>
      <c r="H870" t="str">
        <f t="shared" si="80"/>
        <v xml:space="preserve">MARCUS VINICIUS </v>
      </c>
      <c r="I870" t="str">
        <f t="shared" si="81"/>
        <v>COM IND DE CEREAIS E TRANSPORTES MACIEL LTDA</v>
      </c>
      <c r="J870">
        <f t="shared" si="82"/>
        <v>1</v>
      </c>
      <c r="K870">
        <f t="shared" si="83"/>
        <v>0</v>
      </c>
    </row>
    <row r="871" spans="1:11" x14ac:dyDescent="0.25">
      <c r="A871" t="s">
        <v>428</v>
      </c>
      <c r="B871" t="s">
        <v>179</v>
      </c>
      <c r="C871" t="s">
        <v>50</v>
      </c>
      <c r="D871" s="3">
        <v>45632</v>
      </c>
      <c r="E871" t="str">
        <f>VLOOKUP(B871,'PROCV GERENTES BD'!A:B,2,0)</f>
        <v xml:space="preserve">MARCUS VINICIUS </v>
      </c>
      <c r="F871" s="4" t="str">
        <f t="shared" si="78"/>
        <v>2024-12</v>
      </c>
      <c r="G871" s="18">
        <f t="shared" si="79"/>
        <v>49</v>
      </c>
      <c r="H871" t="str">
        <f t="shared" si="80"/>
        <v xml:space="preserve">MARCUS VINICIUS </v>
      </c>
      <c r="I871" t="str">
        <f t="shared" si="81"/>
        <v>LABOR ELETRIC INDUSTRIA E COMERCIO UNIPESSOAL LTDA</v>
      </c>
      <c r="J871">
        <f t="shared" si="82"/>
        <v>0</v>
      </c>
      <c r="K871">
        <f t="shared" si="83"/>
        <v>1</v>
      </c>
    </row>
    <row r="872" spans="1:11" x14ac:dyDescent="0.25">
      <c r="A872" t="s">
        <v>339</v>
      </c>
      <c r="B872" t="s">
        <v>87</v>
      </c>
      <c r="C872" t="s">
        <v>50</v>
      </c>
      <c r="D872" s="3">
        <v>45632</v>
      </c>
      <c r="E872" t="str">
        <f>VLOOKUP(B872,'PROCV GERENTES BD'!A:B,2,0)</f>
        <v>NOELI SALETE</v>
      </c>
      <c r="F872" s="4" t="str">
        <f t="shared" si="78"/>
        <v>2024-12</v>
      </c>
      <c r="G872" s="18">
        <f t="shared" si="79"/>
        <v>49</v>
      </c>
      <c r="H872" t="str">
        <f t="shared" si="80"/>
        <v>NOELI SALETE</v>
      </c>
      <c r="I872" t="str">
        <f t="shared" si="81"/>
        <v>RODOBOX TRANSPORTES E ARMAZENAGEM DE CARGAS LTDA</v>
      </c>
      <c r="J872">
        <f t="shared" si="82"/>
        <v>0</v>
      </c>
      <c r="K872">
        <f t="shared" si="83"/>
        <v>1</v>
      </c>
    </row>
    <row r="873" spans="1:11" x14ac:dyDescent="0.25">
      <c r="A873" t="s">
        <v>400</v>
      </c>
      <c r="B873" t="s">
        <v>150</v>
      </c>
      <c r="C873" t="s">
        <v>50</v>
      </c>
      <c r="D873" s="3">
        <v>45632</v>
      </c>
      <c r="E873" t="str">
        <f>VLOOKUP(B873,'PROCV GERENTES BD'!A:B,2,0)</f>
        <v>NOELI SALETE</v>
      </c>
      <c r="F873" s="4" t="str">
        <f t="shared" si="78"/>
        <v>2024-12</v>
      </c>
      <c r="G873" s="18">
        <f t="shared" si="79"/>
        <v>49</v>
      </c>
      <c r="H873" t="str">
        <f t="shared" si="80"/>
        <v>NOELI SALETE</v>
      </c>
      <c r="I873" t="str">
        <f t="shared" si="81"/>
        <v>POOLMAK SISTEMAS ESTRUTURAIS LTDA</v>
      </c>
      <c r="J873">
        <f t="shared" si="82"/>
        <v>0</v>
      </c>
      <c r="K873">
        <f t="shared" si="83"/>
        <v>1</v>
      </c>
    </row>
    <row r="874" spans="1:11" x14ac:dyDescent="0.25">
      <c r="A874" t="s">
        <v>389</v>
      </c>
      <c r="B874" t="s">
        <v>136</v>
      </c>
      <c r="C874" t="s">
        <v>66</v>
      </c>
      <c r="D874" s="3">
        <v>45632</v>
      </c>
      <c r="E874" t="str">
        <f>VLOOKUP(B874,'PROCV GERENTES BD'!A:B,2,0)</f>
        <v>POENATELA</v>
      </c>
      <c r="F874" s="4" t="str">
        <f t="shared" si="78"/>
        <v>2024-12</v>
      </c>
      <c r="G874" s="18">
        <f t="shared" si="79"/>
        <v>49</v>
      </c>
      <c r="H874" t="str">
        <f t="shared" si="80"/>
        <v>POENATELA</v>
      </c>
      <c r="I874" t="str">
        <f t="shared" si="81"/>
        <v>CONQUISTA INDUSTRIA DE MOVEIS S/A</v>
      </c>
      <c r="J874">
        <f t="shared" si="82"/>
        <v>1</v>
      </c>
      <c r="K874">
        <f t="shared" si="83"/>
        <v>0</v>
      </c>
    </row>
    <row r="875" spans="1:11" x14ac:dyDescent="0.25">
      <c r="A875" t="s">
        <v>346</v>
      </c>
      <c r="B875" t="s">
        <v>91</v>
      </c>
      <c r="C875" t="s">
        <v>50</v>
      </c>
      <c r="D875" s="3">
        <v>45632</v>
      </c>
      <c r="E875" t="str">
        <f>VLOOKUP(B875,'PROCV GERENTES BD'!A:B,2,0)</f>
        <v>POENATELA</v>
      </c>
      <c r="F875" s="4" t="str">
        <f t="shared" si="78"/>
        <v>2024-12</v>
      </c>
      <c r="G875" s="18">
        <f t="shared" si="79"/>
        <v>49</v>
      </c>
      <c r="H875" t="str">
        <f t="shared" si="80"/>
        <v>POENATELA</v>
      </c>
      <c r="I875" t="str">
        <f t="shared" si="81"/>
        <v>UBERTEC SERVICE USINAGEM LTDA EPP</v>
      </c>
      <c r="J875">
        <f t="shared" si="82"/>
        <v>0</v>
      </c>
      <c r="K875">
        <f t="shared" si="83"/>
        <v>1</v>
      </c>
    </row>
    <row r="876" spans="1:11" x14ac:dyDescent="0.25">
      <c r="A876" t="s">
        <v>429</v>
      </c>
      <c r="B876" t="s">
        <v>180</v>
      </c>
      <c r="C876" t="s">
        <v>50</v>
      </c>
      <c r="D876" s="3">
        <v>45632</v>
      </c>
      <c r="E876" t="s">
        <v>21</v>
      </c>
      <c r="F876" s="4" t="str">
        <f t="shared" si="78"/>
        <v>2024-12</v>
      </c>
      <c r="G876" s="18">
        <f t="shared" si="79"/>
        <v>49</v>
      </c>
      <c r="H876" t="str">
        <f t="shared" si="80"/>
        <v xml:space="preserve">ROGERIO </v>
      </c>
      <c r="I876" t="str">
        <f t="shared" si="81"/>
        <v>ENCADESP LTDA ME</v>
      </c>
      <c r="J876">
        <f t="shared" si="82"/>
        <v>0</v>
      </c>
      <c r="K876">
        <f t="shared" si="83"/>
        <v>1</v>
      </c>
    </row>
    <row r="877" spans="1:11" x14ac:dyDescent="0.25">
      <c r="A877" t="s">
        <v>439</v>
      </c>
      <c r="B877" t="s">
        <v>190</v>
      </c>
      <c r="C877" t="s">
        <v>50</v>
      </c>
      <c r="D877" s="3">
        <v>45633</v>
      </c>
      <c r="E877" t="str">
        <f>VLOOKUP(B877,'PROCV GERENTES BD'!A:B,2,0)</f>
        <v>ADMINISTRAÇÃO</v>
      </c>
      <c r="F877" s="4" t="str">
        <f t="shared" si="78"/>
        <v>2024-12</v>
      </c>
      <c r="G877" s="18">
        <f t="shared" si="79"/>
        <v>49</v>
      </c>
      <c r="H877" t="str">
        <f t="shared" si="80"/>
        <v>ADMINISTRAÇÃO</v>
      </c>
      <c r="I877" t="str">
        <f t="shared" si="81"/>
        <v>ELFRIG FRIGORIFICO ELDORADO LTDA ME</v>
      </c>
      <c r="J877">
        <f t="shared" si="82"/>
        <v>0</v>
      </c>
      <c r="K877">
        <f t="shared" si="83"/>
        <v>1</v>
      </c>
    </row>
    <row r="878" spans="1:11" x14ac:dyDescent="0.25">
      <c r="A878" t="s">
        <v>382</v>
      </c>
      <c r="B878" t="s">
        <v>129</v>
      </c>
      <c r="C878" t="s">
        <v>66</v>
      </c>
      <c r="D878" s="3">
        <v>45633</v>
      </c>
      <c r="E878" t="str">
        <f>VLOOKUP(B878,'PROCV GERENTES BD'!A:B,2,0)</f>
        <v>ADMINISTRAÇÃO</v>
      </c>
      <c r="F878" s="4" t="str">
        <f t="shared" si="78"/>
        <v>2024-12</v>
      </c>
      <c r="G878" s="18">
        <f t="shared" si="79"/>
        <v>49</v>
      </c>
      <c r="H878" t="str">
        <f t="shared" si="80"/>
        <v>ADMINISTRAÇÃO</v>
      </c>
      <c r="I878" t="str">
        <f t="shared" si="81"/>
        <v>XEQUE MATE BEBIDAS LTDA ME</v>
      </c>
      <c r="J878">
        <f t="shared" si="82"/>
        <v>1</v>
      </c>
      <c r="K878">
        <f t="shared" si="83"/>
        <v>0</v>
      </c>
    </row>
    <row r="879" spans="1:11" x14ac:dyDescent="0.25">
      <c r="A879" t="s">
        <v>319</v>
      </c>
      <c r="B879" t="s">
        <v>80</v>
      </c>
      <c r="C879" t="s">
        <v>53</v>
      </c>
      <c r="D879" s="3">
        <v>45633</v>
      </c>
      <c r="E879" t="str">
        <f>VLOOKUP(B879,'PROCV GERENTES BD'!A:B,2,0)</f>
        <v>CELIO PIMENTA</v>
      </c>
      <c r="F879" s="4" t="str">
        <f t="shared" si="78"/>
        <v>2024-12</v>
      </c>
      <c r="G879" s="18">
        <f t="shared" si="79"/>
        <v>49</v>
      </c>
      <c r="H879" t="str">
        <f t="shared" si="80"/>
        <v>CELIO PIMENTA</v>
      </c>
      <c r="I879" t="str">
        <f t="shared" si="81"/>
        <v>IMPORTEXTIL COMERCIO DE TECIDOS LTDA</v>
      </c>
      <c r="J879">
        <f t="shared" si="82"/>
        <v>1</v>
      </c>
      <c r="K879">
        <f t="shared" si="83"/>
        <v>1</v>
      </c>
    </row>
    <row r="880" spans="1:11" x14ac:dyDescent="0.25">
      <c r="A880" t="s">
        <v>324</v>
      </c>
      <c r="B880" t="s">
        <v>119</v>
      </c>
      <c r="C880" t="s">
        <v>66</v>
      </c>
      <c r="D880" s="3">
        <v>45633</v>
      </c>
      <c r="E880" t="str">
        <f>VLOOKUP(B880,'PROCV GERENTES BD'!A:B,2,0)</f>
        <v>PROSPECTAR</v>
      </c>
      <c r="F880" s="4" t="str">
        <f t="shared" si="78"/>
        <v>2024-12</v>
      </c>
      <c r="G880" s="18">
        <f t="shared" si="79"/>
        <v>49</v>
      </c>
      <c r="H880" t="str">
        <f t="shared" si="80"/>
        <v>PROSPECTAR</v>
      </c>
      <c r="I880" t="str">
        <f t="shared" si="81"/>
        <v>TRANSHENRY TRANSPORTES LTDA</v>
      </c>
      <c r="J880">
        <f t="shared" si="82"/>
        <v>1</v>
      </c>
      <c r="K880">
        <f t="shared" si="83"/>
        <v>0</v>
      </c>
    </row>
    <row r="881" spans="1:11" x14ac:dyDescent="0.25">
      <c r="A881" t="s">
        <v>428</v>
      </c>
      <c r="B881" t="s">
        <v>179</v>
      </c>
      <c r="C881" t="s">
        <v>50</v>
      </c>
      <c r="D881" s="3">
        <v>45633</v>
      </c>
      <c r="E881" t="str">
        <f>VLOOKUP(B881,'PROCV GERENTES BD'!A:B,2,0)</f>
        <v xml:space="preserve">MARCUS VINICIUS </v>
      </c>
      <c r="F881" s="4" t="str">
        <f t="shared" si="78"/>
        <v>2024-12</v>
      </c>
      <c r="G881" s="18">
        <f t="shared" si="79"/>
        <v>49</v>
      </c>
      <c r="H881" t="str">
        <f t="shared" si="80"/>
        <v xml:space="preserve">MARCUS VINICIUS </v>
      </c>
      <c r="I881" t="str">
        <f t="shared" si="81"/>
        <v>LABOR ELETRIC INDUSTRIA E COMERCIO UNIPESSOAL LTDA</v>
      </c>
      <c r="J881">
        <f t="shared" si="82"/>
        <v>0</v>
      </c>
      <c r="K881">
        <f t="shared" si="83"/>
        <v>1</v>
      </c>
    </row>
    <row r="882" spans="1:11" x14ac:dyDescent="0.25">
      <c r="A882" t="s">
        <v>419</v>
      </c>
      <c r="B882" t="s">
        <v>169</v>
      </c>
      <c r="C882" t="s">
        <v>50</v>
      </c>
      <c r="D882" s="3">
        <v>45633</v>
      </c>
      <c r="E882" t="str">
        <f>VLOOKUP(B882,'PROCV GERENTES BD'!A:B,2,0)</f>
        <v>NOELI SALETE</v>
      </c>
      <c r="F882" s="4" t="str">
        <f t="shared" si="78"/>
        <v>2024-12</v>
      </c>
      <c r="G882" s="18">
        <f t="shared" si="79"/>
        <v>49</v>
      </c>
      <c r="H882" t="str">
        <f t="shared" si="80"/>
        <v>NOELI SALETE</v>
      </c>
      <c r="I882" t="str">
        <f t="shared" si="81"/>
        <v>GLOBAL ACO SERVICOS E PRODUTOS SIDERURGICOS LTDA E</v>
      </c>
      <c r="J882">
        <f t="shared" si="82"/>
        <v>0</v>
      </c>
      <c r="K882">
        <f t="shared" si="83"/>
        <v>1</v>
      </c>
    </row>
    <row r="883" spans="1:11" x14ac:dyDescent="0.25">
      <c r="A883" t="s">
        <v>339</v>
      </c>
      <c r="B883" t="s">
        <v>87</v>
      </c>
      <c r="C883" t="s">
        <v>50</v>
      </c>
      <c r="D883" s="3">
        <v>45633</v>
      </c>
      <c r="E883" t="str">
        <f>VLOOKUP(B883,'PROCV GERENTES BD'!A:B,2,0)</f>
        <v>NOELI SALETE</v>
      </c>
      <c r="F883" s="4" t="str">
        <f t="shared" si="78"/>
        <v>2024-12</v>
      </c>
      <c r="G883" s="18">
        <f t="shared" si="79"/>
        <v>49</v>
      </c>
      <c r="H883" t="str">
        <f t="shared" si="80"/>
        <v>NOELI SALETE</v>
      </c>
      <c r="I883" t="str">
        <f t="shared" si="81"/>
        <v>RODOBOX TRANSPORTES E ARMAZENAGEM DE CARGAS LTDA</v>
      </c>
      <c r="J883">
        <f t="shared" si="82"/>
        <v>0</v>
      </c>
      <c r="K883">
        <f t="shared" si="83"/>
        <v>1</v>
      </c>
    </row>
    <row r="884" spans="1:11" x14ac:dyDescent="0.25">
      <c r="A884" t="s">
        <v>394</v>
      </c>
      <c r="B884" t="s">
        <v>143</v>
      </c>
      <c r="C884" t="s">
        <v>50</v>
      </c>
      <c r="D884" s="3">
        <v>45633</v>
      </c>
      <c r="E884" t="str">
        <f>VLOOKUP(B884,'PROCV GERENTES BD'!A:B,2,0)</f>
        <v>NOELI SALETE</v>
      </c>
      <c r="F884" s="4" t="str">
        <f t="shared" si="78"/>
        <v>2024-12</v>
      </c>
      <c r="G884" s="18">
        <f t="shared" si="79"/>
        <v>49</v>
      </c>
      <c r="H884" t="str">
        <f t="shared" si="80"/>
        <v>NOELI SALETE</v>
      </c>
      <c r="I884" t="str">
        <f t="shared" si="81"/>
        <v>ALBERTO H DA SILVA ME</v>
      </c>
      <c r="J884">
        <f t="shared" si="82"/>
        <v>0</v>
      </c>
      <c r="K884">
        <f t="shared" si="83"/>
        <v>1</v>
      </c>
    </row>
    <row r="885" spans="1:11" x14ac:dyDescent="0.25">
      <c r="A885" t="s">
        <v>389</v>
      </c>
      <c r="B885" t="s">
        <v>136</v>
      </c>
      <c r="C885" t="s">
        <v>66</v>
      </c>
      <c r="D885" s="3">
        <v>45633</v>
      </c>
      <c r="E885" t="str">
        <f>VLOOKUP(B885,'PROCV GERENTES BD'!A:B,2,0)</f>
        <v>POENATELA</v>
      </c>
      <c r="F885" s="4" t="str">
        <f t="shared" si="78"/>
        <v>2024-12</v>
      </c>
      <c r="G885" s="18">
        <f t="shared" si="79"/>
        <v>49</v>
      </c>
      <c r="H885" t="str">
        <f t="shared" si="80"/>
        <v>POENATELA</v>
      </c>
      <c r="I885" t="str">
        <f t="shared" si="81"/>
        <v>CONQUISTA INDUSTRIA DE MOVEIS S/A</v>
      </c>
      <c r="J885">
        <f t="shared" si="82"/>
        <v>1</v>
      </c>
      <c r="K885">
        <f t="shared" si="83"/>
        <v>0</v>
      </c>
    </row>
    <row r="886" spans="1:11" x14ac:dyDescent="0.25">
      <c r="A886" t="s">
        <v>346</v>
      </c>
      <c r="B886" t="s">
        <v>91</v>
      </c>
      <c r="C886" t="s">
        <v>50</v>
      </c>
      <c r="D886" s="3">
        <v>45633</v>
      </c>
      <c r="E886" t="str">
        <f>VLOOKUP(B886,'PROCV GERENTES BD'!A:B,2,0)</f>
        <v>POENATELA</v>
      </c>
      <c r="F886" s="4" t="str">
        <f t="shared" si="78"/>
        <v>2024-12</v>
      </c>
      <c r="G886" s="18">
        <f t="shared" si="79"/>
        <v>49</v>
      </c>
      <c r="H886" t="str">
        <f t="shared" si="80"/>
        <v>POENATELA</v>
      </c>
      <c r="I886" t="str">
        <f t="shared" si="81"/>
        <v>UBERTEC SERVICE USINAGEM LTDA EPP</v>
      </c>
      <c r="J886">
        <f t="shared" si="82"/>
        <v>0</v>
      </c>
      <c r="K886">
        <f t="shared" si="83"/>
        <v>1</v>
      </c>
    </row>
    <row r="887" spans="1:11" x14ac:dyDescent="0.25">
      <c r="A887" t="s">
        <v>433</v>
      </c>
      <c r="B887" t="s">
        <v>184</v>
      </c>
      <c r="C887" t="s">
        <v>66</v>
      </c>
      <c r="D887" s="3">
        <v>45633</v>
      </c>
      <c r="E887" t="str">
        <f>VLOOKUP(B887,'PROCV GERENTES BD'!A:B,2,0)</f>
        <v>PRISCILA METZ</v>
      </c>
      <c r="F887" s="4" t="str">
        <f t="shared" si="78"/>
        <v>2024-12</v>
      </c>
      <c r="G887" s="18">
        <f t="shared" si="79"/>
        <v>49</v>
      </c>
      <c r="H887" t="str">
        <f t="shared" si="80"/>
        <v>PRISCILA METZ</v>
      </c>
      <c r="I887" t="str">
        <f t="shared" si="81"/>
        <v>FRANZAO COLCHOES LTDA EPP</v>
      </c>
      <c r="J887">
        <f t="shared" si="82"/>
        <v>1</v>
      </c>
      <c r="K887">
        <f t="shared" si="83"/>
        <v>0</v>
      </c>
    </row>
    <row r="888" spans="1:11" x14ac:dyDescent="0.25">
      <c r="A888" t="s">
        <v>326</v>
      </c>
      <c r="B888" t="s">
        <v>122</v>
      </c>
      <c r="C888" t="s">
        <v>50</v>
      </c>
      <c r="D888" s="3">
        <v>45633</v>
      </c>
      <c r="E888" t="s">
        <v>21</v>
      </c>
      <c r="F888" s="4" t="str">
        <f t="shared" si="78"/>
        <v>2024-12</v>
      </c>
      <c r="G888" s="18">
        <f t="shared" si="79"/>
        <v>49</v>
      </c>
      <c r="H888" t="str">
        <f t="shared" si="80"/>
        <v xml:space="preserve">ROGERIO </v>
      </c>
      <c r="I888" t="str">
        <f t="shared" si="81"/>
        <v>BIBE PRODUTOS INFANTIS LTDA</v>
      </c>
      <c r="J888">
        <f t="shared" si="82"/>
        <v>0</v>
      </c>
      <c r="K888">
        <f t="shared" si="83"/>
        <v>1</v>
      </c>
    </row>
    <row r="889" spans="1:11" x14ac:dyDescent="0.25">
      <c r="A889" t="s">
        <v>331</v>
      </c>
      <c r="B889" t="s">
        <v>144</v>
      </c>
      <c r="C889" t="s">
        <v>50</v>
      </c>
      <c r="D889" s="3">
        <v>45636</v>
      </c>
      <c r="E889" t="str">
        <f>VLOOKUP(B889,'PROCV GERENTES BD'!A:B,2,0)</f>
        <v>ADMINISTRAÇÃO</v>
      </c>
      <c r="F889" s="4" t="str">
        <f t="shared" si="78"/>
        <v>2024-12</v>
      </c>
      <c r="G889" s="18">
        <f t="shared" si="79"/>
        <v>50</v>
      </c>
      <c r="H889" t="str">
        <f t="shared" si="80"/>
        <v>ADMINISTRAÇÃO</v>
      </c>
      <c r="I889" t="str">
        <f t="shared" si="81"/>
        <v>BOM PASTOR PAPEIS LTDA EM RECUPERACAO JUDICIAL</v>
      </c>
      <c r="J889">
        <f t="shared" si="82"/>
        <v>0</v>
      </c>
      <c r="K889">
        <f t="shared" si="83"/>
        <v>1</v>
      </c>
    </row>
    <row r="890" spans="1:11" x14ac:dyDescent="0.25">
      <c r="A890" t="s">
        <v>382</v>
      </c>
      <c r="B890" t="s">
        <v>129</v>
      </c>
      <c r="C890" t="s">
        <v>53</v>
      </c>
      <c r="D890" s="3">
        <v>45636</v>
      </c>
      <c r="E890" t="str">
        <f>VLOOKUP(B890,'PROCV GERENTES BD'!A:B,2,0)</f>
        <v>ADMINISTRAÇÃO</v>
      </c>
      <c r="F890" s="4" t="str">
        <f t="shared" si="78"/>
        <v>2024-12</v>
      </c>
      <c r="G890" s="18">
        <f t="shared" si="79"/>
        <v>50</v>
      </c>
      <c r="H890" t="str">
        <f t="shared" si="80"/>
        <v>ADMINISTRAÇÃO</v>
      </c>
      <c r="I890" t="str">
        <f t="shared" si="81"/>
        <v>XEQUE MATE BEBIDAS LTDA ME</v>
      </c>
      <c r="J890">
        <f t="shared" si="82"/>
        <v>1</v>
      </c>
      <c r="K890">
        <f t="shared" si="83"/>
        <v>1</v>
      </c>
    </row>
    <row r="891" spans="1:11" x14ac:dyDescent="0.25">
      <c r="A891" t="s">
        <v>372</v>
      </c>
      <c r="B891" t="s">
        <v>116</v>
      </c>
      <c r="C891" t="s">
        <v>66</v>
      </c>
      <c r="D891" s="3">
        <v>45636</v>
      </c>
      <c r="E891" t="str">
        <f>VLOOKUP(B891,'PROCV GERENTES BD'!A:B,2,0)</f>
        <v>ADMINISTRAÇÃO</v>
      </c>
      <c r="F891" s="4" t="str">
        <f t="shared" si="78"/>
        <v>2024-12</v>
      </c>
      <c r="G891" s="18">
        <f t="shared" si="79"/>
        <v>50</v>
      </c>
      <c r="H891" t="str">
        <f t="shared" si="80"/>
        <v>ADMINISTRAÇÃO</v>
      </c>
      <c r="I891" t="str">
        <f t="shared" si="81"/>
        <v>PREMOLDADOS MATOSINHOS LTDA EPP</v>
      </c>
      <c r="J891">
        <f t="shared" si="82"/>
        <v>1</v>
      </c>
      <c r="K891">
        <f t="shared" si="83"/>
        <v>0</v>
      </c>
    </row>
    <row r="892" spans="1:11" x14ac:dyDescent="0.25">
      <c r="A892" t="s">
        <v>304</v>
      </c>
      <c r="B892" t="s">
        <v>123</v>
      </c>
      <c r="C892" t="s">
        <v>50</v>
      </c>
      <c r="D892" s="3">
        <v>45636</v>
      </c>
      <c r="E892" t="str">
        <f>VLOOKUP(B892,'PROCV GERENTES BD'!A:B,2,0)</f>
        <v>ADMINISTRAÇÃO</v>
      </c>
      <c r="F892" s="4" t="str">
        <f t="shared" si="78"/>
        <v>2024-12</v>
      </c>
      <c r="G892" s="18">
        <f t="shared" si="79"/>
        <v>50</v>
      </c>
      <c r="H892" t="str">
        <f t="shared" si="80"/>
        <v>ADMINISTRAÇÃO</v>
      </c>
      <c r="I892" t="str">
        <f t="shared" si="81"/>
        <v>VIC LOGISTICA LTDA EM RECUPERACAO JUDICIAL</v>
      </c>
      <c r="J892">
        <f t="shared" si="82"/>
        <v>0</v>
      </c>
      <c r="K892">
        <f t="shared" si="83"/>
        <v>1</v>
      </c>
    </row>
    <row r="893" spans="1:11" x14ac:dyDescent="0.25">
      <c r="A893" t="s">
        <v>319</v>
      </c>
      <c r="B893" t="s">
        <v>80</v>
      </c>
      <c r="C893" t="s">
        <v>50</v>
      </c>
      <c r="D893" s="3">
        <v>45636</v>
      </c>
      <c r="E893" t="str">
        <f>VLOOKUP(B893,'PROCV GERENTES BD'!A:B,2,0)</f>
        <v>CELIO PIMENTA</v>
      </c>
      <c r="F893" s="4" t="str">
        <f t="shared" si="78"/>
        <v>2024-12</v>
      </c>
      <c r="G893" s="18">
        <f t="shared" si="79"/>
        <v>50</v>
      </c>
      <c r="H893" t="str">
        <f t="shared" si="80"/>
        <v>CELIO PIMENTA</v>
      </c>
      <c r="I893" t="str">
        <f t="shared" si="81"/>
        <v>IMPORTEXTIL COMERCIO DE TECIDOS LTDA</v>
      </c>
      <c r="J893">
        <f t="shared" si="82"/>
        <v>0</v>
      </c>
      <c r="K893">
        <f t="shared" si="83"/>
        <v>1</v>
      </c>
    </row>
    <row r="894" spans="1:11" x14ac:dyDescent="0.25">
      <c r="A894" t="s">
        <v>383</v>
      </c>
      <c r="B894" t="s">
        <v>130</v>
      </c>
      <c r="C894" t="s">
        <v>50</v>
      </c>
      <c r="D894" s="3">
        <v>45636</v>
      </c>
      <c r="E894" t="str">
        <f>VLOOKUP(B894,'PROCV GERENTES BD'!A:B,2,0)</f>
        <v>CELIO PIMENTA</v>
      </c>
      <c r="F894" s="4" t="str">
        <f t="shared" si="78"/>
        <v>2024-12</v>
      </c>
      <c r="G894" s="18">
        <f t="shared" si="79"/>
        <v>50</v>
      </c>
      <c r="H894" t="str">
        <f t="shared" si="80"/>
        <v>CELIO PIMENTA</v>
      </c>
      <c r="I894" t="str">
        <f t="shared" si="81"/>
        <v>JR X IMPORT LTDA EPP</v>
      </c>
      <c r="J894">
        <f t="shared" si="82"/>
        <v>0</v>
      </c>
      <c r="K894">
        <f t="shared" si="83"/>
        <v>1</v>
      </c>
    </row>
    <row r="895" spans="1:11" x14ac:dyDescent="0.25">
      <c r="A895" t="s">
        <v>311</v>
      </c>
      <c r="B895" t="s">
        <v>81</v>
      </c>
      <c r="C895" t="s">
        <v>50</v>
      </c>
      <c r="D895" s="3">
        <v>45636</v>
      </c>
      <c r="E895" t="str">
        <f>VLOOKUP(B895,'PROCV GERENTES BD'!A:B,2,0)</f>
        <v>CELIO PIMENTA</v>
      </c>
      <c r="F895" s="4" t="str">
        <f t="shared" si="78"/>
        <v>2024-12</v>
      </c>
      <c r="G895" s="18">
        <f t="shared" si="79"/>
        <v>50</v>
      </c>
      <c r="H895" t="str">
        <f t="shared" si="80"/>
        <v>CELIO PIMENTA</v>
      </c>
      <c r="I895" t="str">
        <f t="shared" si="81"/>
        <v>MBIOLOG DIAGNOSTICOS LTDA</v>
      </c>
      <c r="J895">
        <f t="shared" si="82"/>
        <v>0</v>
      </c>
      <c r="K895">
        <f t="shared" si="83"/>
        <v>1</v>
      </c>
    </row>
    <row r="896" spans="1:11" x14ac:dyDescent="0.25">
      <c r="A896" t="s">
        <v>358</v>
      </c>
      <c r="B896" t="s">
        <v>104</v>
      </c>
      <c r="C896" t="s">
        <v>50</v>
      </c>
      <c r="D896" s="3">
        <v>45636</v>
      </c>
      <c r="E896" t="str">
        <f>VLOOKUP(B896,'PROCV GERENTES BD'!A:B,2,0)</f>
        <v>DIOGO AZEVEDO</v>
      </c>
      <c r="F896" s="4" t="str">
        <f t="shared" si="78"/>
        <v>2024-12</v>
      </c>
      <c r="G896" s="18">
        <f t="shared" si="79"/>
        <v>50</v>
      </c>
      <c r="H896" t="str">
        <f t="shared" si="80"/>
        <v>DIOGO AZEVEDO</v>
      </c>
      <c r="I896" t="str">
        <f t="shared" si="81"/>
        <v>INDUSTRIA E CERVEJARIA ARTESANAL DE MINAS GERAIS L</v>
      </c>
      <c r="J896">
        <f t="shared" si="82"/>
        <v>0</v>
      </c>
      <c r="K896">
        <f t="shared" si="83"/>
        <v>1</v>
      </c>
    </row>
    <row r="897" spans="1:11" x14ac:dyDescent="0.25">
      <c r="A897" t="s">
        <v>377</v>
      </c>
      <c r="B897" t="s">
        <v>124</v>
      </c>
      <c r="C897" t="s">
        <v>50</v>
      </c>
      <c r="D897" s="3">
        <v>45636</v>
      </c>
      <c r="E897" t="str">
        <f>VLOOKUP(B897,'PROCV GERENTES BD'!A:B,2,0)</f>
        <v>EDUARDO MATOSO</v>
      </c>
      <c r="F897" s="4" t="str">
        <f t="shared" si="78"/>
        <v>2024-12</v>
      </c>
      <c r="G897" s="18">
        <f t="shared" si="79"/>
        <v>50</v>
      </c>
      <c r="H897" t="str">
        <f t="shared" si="80"/>
        <v>EDUARDO MATOSO</v>
      </c>
      <c r="I897" t="str">
        <f t="shared" si="81"/>
        <v>STONE ENGENHARIA E MONTAGENS INDUSTRIAIS LTDA</v>
      </c>
      <c r="J897">
        <f t="shared" si="82"/>
        <v>0</v>
      </c>
      <c r="K897">
        <f t="shared" si="83"/>
        <v>1</v>
      </c>
    </row>
    <row r="898" spans="1:11" x14ac:dyDescent="0.25">
      <c r="A898" t="s">
        <v>440</v>
      </c>
      <c r="B898" t="s">
        <v>191</v>
      </c>
      <c r="C898" t="s">
        <v>50</v>
      </c>
      <c r="D898" s="3">
        <v>45636</v>
      </c>
      <c r="E898" t="str">
        <f>VLOOKUP(B898,'PROCV GERENTES BD'!A:B,2,0)</f>
        <v>PROSPECTAR</v>
      </c>
      <c r="F898" s="4" t="str">
        <f t="shared" ref="F898:F961" si="84">YEAR(D898)&amp;"-"&amp;TEXT(MONTH(D898),"00")</f>
        <v>2024-12</v>
      </c>
      <c r="G898" s="18">
        <f t="shared" ref="G898:G961" si="85">WEEKNUM(D898)</f>
        <v>50</v>
      </c>
      <c r="H898" t="str">
        <f t="shared" ref="H898:H961" si="86">E898</f>
        <v>PROSPECTAR</v>
      </c>
      <c r="I898" t="str">
        <f t="shared" ref="I898:I961" si="87">B898</f>
        <v>SAFRA OURO AGRONEGOCIOS LTDA EPP</v>
      </c>
      <c r="J898">
        <f t="shared" ref="J898:J961" si="88">IF(OR(C898="EXCLUSAO  ANOT.INADIMPLENCIA",C898="INCL/EXCL ANOT.INADIMPLENCIA"),1,0)</f>
        <v>0</v>
      </c>
      <c r="K898">
        <f t="shared" ref="K898:K961" si="89">IF(OR(C898="INCLUSAO  ANOT.INADIMPLENCIA",C898="INCL/EXCL ANOT.INADIMPLENCIA"),1,0)</f>
        <v>1</v>
      </c>
    </row>
    <row r="899" spans="1:11" x14ac:dyDescent="0.25">
      <c r="A899" t="s">
        <v>369</v>
      </c>
      <c r="B899" t="s">
        <v>113</v>
      </c>
      <c r="C899" t="s">
        <v>66</v>
      </c>
      <c r="D899" s="3">
        <v>45636</v>
      </c>
      <c r="E899" t="str">
        <f>VLOOKUP(B899,'PROCV GERENTES BD'!A:B,2,0)</f>
        <v xml:space="preserve">MARCUS VINICIUS </v>
      </c>
      <c r="F899" s="4" t="str">
        <f t="shared" si="84"/>
        <v>2024-12</v>
      </c>
      <c r="G899" s="18">
        <f t="shared" si="85"/>
        <v>50</v>
      </c>
      <c r="H899" t="str">
        <f t="shared" si="86"/>
        <v xml:space="preserve">MARCUS VINICIUS </v>
      </c>
      <c r="I899" t="str">
        <f t="shared" si="87"/>
        <v>ISOBASE POLIESTIRENO LTDA EPP</v>
      </c>
      <c r="J899">
        <f t="shared" si="88"/>
        <v>1</v>
      </c>
      <c r="K899">
        <f t="shared" si="89"/>
        <v>0</v>
      </c>
    </row>
    <row r="900" spans="1:11" x14ac:dyDescent="0.25">
      <c r="A900" t="s">
        <v>428</v>
      </c>
      <c r="B900" t="s">
        <v>179</v>
      </c>
      <c r="C900" t="s">
        <v>50</v>
      </c>
      <c r="D900" s="3">
        <v>45636</v>
      </c>
      <c r="E900" t="str">
        <f>VLOOKUP(B900,'PROCV GERENTES BD'!A:B,2,0)</f>
        <v xml:space="preserve">MARCUS VINICIUS </v>
      </c>
      <c r="F900" s="4" t="str">
        <f t="shared" si="84"/>
        <v>2024-12</v>
      </c>
      <c r="G900" s="18">
        <f t="shared" si="85"/>
        <v>50</v>
      </c>
      <c r="H900" t="str">
        <f t="shared" si="86"/>
        <v xml:space="preserve">MARCUS VINICIUS </v>
      </c>
      <c r="I900" t="str">
        <f t="shared" si="87"/>
        <v>LABOR ELETRIC INDUSTRIA E COMERCIO UNIPESSOAL LTDA</v>
      </c>
      <c r="J900">
        <f t="shared" si="88"/>
        <v>0</v>
      </c>
      <c r="K900">
        <f t="shared" si="89"/>
        <v>1</v>
      </c>
    </row>
    <row r="901" spans="1:11" x14ac:dyDescent="0.25">
      <c r="A901" t="s">
        <v>419</v>
      </c>
      <c r="B901" t="s">
        <v>169</v>
      </c>
      <c r="C901" t="s">
        <v>50</v>
      </c>
      <c r="D901" s="3">
        <v>45636</v>
      </c>
      <c r="E901" t="str">
        <f>VLOOKUP(B901,'PROCV GERENTES BD'!A:B,2,0)</f>
        <v>NOELI SALETE</v>
      </c>
      <c r="F901" s="4" t="str">
        <f t="shared" si="84"/>
        <v>2024-12</v>
      </c>
      <c r="G901" s="18">
        <f t="shared" si="85"/>
        <v>50</v>
      </c>
      <c r="H901" t="str">
        <f t="shared" si="86"/>
        <v>NOELI SALETE</v>
      </c>
      <c r="I901" t="str">
        <f t="shared" si="87"/>
        <v>GLOBAL ACO SERVICOS E PRODUTOS SIDERURGICOS LTDA E</v>
      </c>
      <c r="J901">
        <f t="shared" si="88"/>
        <v>0</v>
      </c>
      <c r="K901">
        <f t="shared" si="89"/>
        <v>1</v>
      </c>
    </row>
    <row r="902" spans="1:11" x14ac:dyDescent="0.25">
      <c r="A902" t="s">
        <v>339</v>
      </c>
      <c r="B902" t="s">
        <v>87</v>
      </c>
      <c r="C902" t="s">
        <v>50</v>
      </c>
      <c r="D902" s="3">
        <v>45636</v>
      </c>
      <c r="E902" t="str">
        <f>VLOOKUP(B902,'PROCV GERENTES BD'!A:B,2,0)</f>
        <v>NOELI SALETE</v>
      </c>
      <c r="F902" s="4" t="str">
        <f t="shared" si="84"/>
        <v>2024-12</v>
      </c>
      <c r="G902" s="18">
        <f t="shared" si="85"/>
        <v>50</v>
      </c>
      <c r="H902" t="str">
        <f t="shared" si="86"/>
        <v>NOELI SALETE</v>
      </c>
      <c r="I902" t="str">
        <f t="shared" si="87"/>
        <v>RODOBOX TRANSPORTES E ARMAZENAGEM DE CARGAS LTDA</v>
      </c>
      <c r="J902">
        <f t="shared" si="88"/>
        <v>0</v>
      </c>
      <c r="K902">
        <f t="shared" si="89"/>
        <v>1</v>
      </c>
    </row>
    <row r="903" spans="1:11" x14ac:dyDescent="0.25">
      <c r="A903" t="s">
        <v>400</v>
      </c>
      <c r="B903" t="s">
        <v>150</v>
      </c>
      <c r="C903" t="s">
        <v>50</v>
      </c>
      <c r="D903" s="3">
        <v>45636</v>
      </c>
      <c r="E903" t="str">
        <f>VLOOKUP(B903,'PROCV GERENTES BD'!A:B,2,0)</f>
        <v>NOELI SALETE</v>
      </c>
      <c r="F903" s="4" t="str">
        <f t="shared" si="84"/>
        <v>2024-12</v>
      </c>
      <c r="G903" s="18">
        <f t="shared" si="85"/>
        <v>50</v>
      </c>
      <c r="H903" t="str">
        <f t="shared" si="86"/>
        <v>NOELI SALETE</v>
      </c>
      <c r="I903" t="str">
        <f t="shared" si="87"/>
        <v>POOLMAK SISTEMAS ESTRUTURAIS LTDA</v>
      </c>
      <c r="J903">
        <f t="shared" si="88"/>
        <v>0</v>
      </c>
      <c r="K903">
        <f t="shared" si="89"/>
        <v>1</v>
      </c>
    </row>
    <row r="904" spans="1:11" x14ac:dyDescent="0.25">
      <c r="A904" t="s">
        <v>389</v>
      </c>
      <c r="B904" t="s">
        <v>136</v>
      </c>
      <c r="C904" t="s">
        <v>66</v>
      </c>
      <c r="D904" s="3">
        <v>45636</v>
      </c>
      <c r="E904" t="str">
        <f>VLOOKUP(B904,'PROCV GERENTES BD'!A:B,2,0)</f>
        <v>POENATELA</v>
      </c>
      <c r="F904" s="4" t="str">
        <f t="shared" si="84"/>
        <v>2024-12</v>
      </c>
      <c r="G904" s="18">
        <f t="shared" si="85"/>
        <v>50</v>
      </c>
      <c r="H904" t="str">
        <f t="shared" si="86"/>
        <v>POENATELA</v>
      </c>
      <c r="I904" t="str">
        <f t="shared" si="87"/>
        <v>CONQUISTA INDUSTRIA DE MOVEIS S/A</v>
      </c>
      <c r="J904">
        <f t="shared" si="88"/>
        <v>1</v>
      </c>
      <c r="K904">
        <f t="shared" si="89"/>
        <v>0</v>
      </c>
    </row>
    <row r="905" spans="1:11" x14ac:dyDescent="0.25">
      <c r="A905" t="s">
        <v>346</v>
      </c>
      <c r="B905" t="s">
        <v>91</v>
      </c>
      <c r="C905" t="s">
        <v>50</v>
      </c>
      <c r="D905" s="3">
        <v>45636</v>
      </c>
      <c r="E905" t="str">
        <f>VLOOKUP(B905,'PROCV GERENTES BD'!A:B,2,0)</f>
        <v>POENATELA</v>
      </c>
      <c r="F905" s="4" t="str">
        <f t="shared" si="84"/>
        <v>2024-12</v>
      </c>
      <c r="G905" s="18">
        <f t="shared" si="85"/>
        <v>50</v>
      </c>
      <c r="H905" t="str">
        <f t="shared" si="86"/>
        <v>POENATELA</v>
      </c>
      <c r="I905" t="str">
        <f t="shared" si="87"/>
        <v>UBERTEC SERVICE USINAGEM LTDA EPP</v>
      </c>
      <c r="J905">
        <f t="shared" si="88"/>
        <v>0</v>
      </c>
      <c r="K905">
        <f t="shared" si="89"/>
        <v>1</v>
      </c>
    </row>
    <row r="906" spans="1:11" x14ac:dyDescent="0.25">
      <c r="A906" t="s">
        <v>353</v>
      </c>
      <c r="B906" t="s">
        <v>97</v>
      </c>
      <c r="C906" t="s">
        <v>50</v>
      </c>
      <c r="D906" s="3">
        <v>45636</v>
      </c>
      <c r="E906" t="str">
        <f>VLOOKUP(B906,'PROCV GERENTES BD'!A:B,2,0)</f>
        <v>PRISCILA METZ</v>
      </c>
      <c r="F906" s="4" t="str">
        <f t="shared" si="84"/>
        <v>2024-12</v>
      </c>
      <c r="G906" s="18">
        <f t="shared" si="85"/>
        <v>50</v>
      </c>
      <c r="H906" t="str">
        <f t="shared" si="86"/>
        <v>PRISCILA METZ</v>
      </c>
      <c r="I906" t="str">
        <f t="shared" si="87"/>
        <v>ESSENZA INDUSTRIA QUIMICA LTDA</v>
      </c>
      <c r="J906">
        <f t="shared" si="88"/>
        <v>0</v>
      </c>
      <c r="K906">
        <f t="shared" si="89"/>
        <v>1</v>
      </c>
    </row>
    <row r="907" spans="1:11" x14ac:dyDescent="0.25">
      <c r="A907" t="s">
        <v>433</v>
      </c>
      <c r="B907" t="s">
        <v>184</v>
      </c>
      <c r="C907" t="s">
        <v>50</v>
      </c>
      <c r="D907" s="3">
        <v>45636</v>
      </c>
      <c r="E907" t="str">
        <f>VLOOKUP(B907,'PROCV GERENTES BD'!A:B,2,0)</f>
        <v>PRISCILA METZ</v>
      </c>
      <c r="F907" s="4" t="str">
        <f t="shared" si="84"/>
        <v>2024-12</v>
      </c>
      <c r="G907" s="18">
        <f t="shared" si="85"/>
        <v>50</v>
      </c>
      <c r="H907" t="str">
        <f t="shared" si="86"/>
        <v>PRISCILA METZ</v>
      </c>
      <c r="I907" t="str">
        <f t="shared" si="87"/>
        <v>FRANZAO COLCHOES LTDA EPP</v>
      </c>
      <c r="J907">
        <f t="shared" si="88"/>
        <v>0</v>
      </c>
      <c r="K907">
        <f t="shared" si="89"/>
        <v>1</v>
      </c>
    </row>
    <row r="908" spans="1:11" x14ac:dyDescent="0.25">
      <c r="A908" t="s">
        <v>376</v>
      </c>
      <c r="B908" t="s">
        <v>121</v>
      </c>
      <c r="C908" t="s">
        <v>50</v>
      </c>
      <c r="D908" s="3">
        <v>45636</v>
      </c>
      <c r="E908" t="str">
        <f>VLOOKUP(B908,'PROCV GERENTES BD'!A:B,2,0)</f>
        <v>PRISCILA METZ</v>
      </c>
      <c r="F908" s="4" t="str">
        <f t="shared" si="84"/>
        <v>2024-12</v>
      </c>
      <c r="G908" s="18">
        <f t="shared" si="85"/>
        <v>50</v>
      </c>
      <c r="H908" t="str">
        <f t="shared" si="86"/>
        <v>PRISCILA METZ</v>
      </c>
      <c r="I908" t="str">
        <f t="shared" si="87"/>
        <v>NOVA DISTRIBUIDORA E ATACADO DE LIMPEZA LTDA</v>
      </c>
      <c r="J908">
        <f t="shared" si="88"/>
        <v>0</v>
      </c>
      <c r="K908">
        <f t="shared" si="89"/>
        <v>1</v>
      </c>
    </row>
    <row r="909" spans="1:11" x14ac:dyDescent="0.25">
      <c r="A909" t="s">
        <v>404</v>
      </c>
      <c r="B909" t="s">
        <v>154</v>
      </c>
      <c r="C909" t="s">
        <v>50</v>
      </c>
      <c r="D909" s="3">
        <v>45637</v>
      </c>
      <c r="E909" t="str">
        <f>VLOOKUP(B909,'PROCV GERENTES BD'!A:B,2,0)</f>
        <v>ADMINISTRAÇÃO</v>
      </c>
      <c r="F909" s="4" t="str">
        <f t="shared" si="84"/>
        <v>2024-12</v>
      </c>
      <c r="G909" s="18">
        <f t="shared" si="85"/>
        <v>50</v>
      </c>
      <c r="H909" t="str">
        <f t="shared" si="86"/>
        <v>ADMINISTRAÇÃO</v>
      </c>
      <c r="I909" t="str">
        <f t="shared" si="87"/>
        <v>PRIVILEGIO CONFECCOES CAMA MESA E BANHO LTDA EPP</v>
      </c>
      <c r="J909">
        <f t="shared" si="88"/>
        <v>0</v>
      </c>
      <c r="K909">
        <f t="shared" si="89"/>
        <v>1</v>
      </c>
    </row>
    <row r="910" spans="1:11" x14ac:dyDescent="0.25">
      <c r="A910" t="s">
        <v>311</v>
      </c>
      <c r="B910" t="s">
        <v>81</v>
      </c>
      <c r="C910" t="s">
        <v>66</v>
      </c>
      <c r="D910" s="3">
        <v>45637</v>
      </c>
      <c r="E910" t="str">
        <f>VLOOKUP(B910,'PROCV GERENTES BD'!A:B,2,0)</f>
        <v>CELIO PIMENTA</v>
      </c>
      <c r="F910" s="4" t="str">
        <f t="shared" si="84"/>
        <v>2024-12</v>
      </c>
      <c r="G910" s="18">
        <f t="shared" si="85"/>
        <v>50</v>
      </c>
      <c r="H910" t="str">
        <f t="shared" si="86"/>
        <v>CELIO PIMENTA</v>
      </c>
      <c r="I910" t="str">
        <f t="shared" si="87"/>
        <v>MBIOLOG DIAGNOSTICOS LTDA</v>
      </c>
      <c r="J910">
        <f t="shared" si="88"/>
        <v>1</v>
      </c>
      <c r="K910">
        <f t="shared" si="89"/>
        <v>0</v>
      </c>
    </row>
    <row r="911" spans="1:11" x14ac:dyDescent="0.25">
      <c r="A911" t="s">
        <v>324</v>
      </c>
      <c r="B911" t="s">
        <v>119</v>
      </c>
      <c r="C911" t="s">
        <v>66</v>
      </c>
      <c r="D911" s="3">
        <v>45637</v>
      </c>
      <c r="E911" t="str">
        <f>VLOOKUP(B911,'PROCV GERENTES BD'!A:B,2,0)</f>
        <v>PROSPECTAR</v>
      </c>
      <c r="F911" s="4" t="str">
        <f t="shared" si="84"/>
        <v>2024-12</v>
      </c>
      <c r="G911" s="18">
        <f t="shared" si="85"/>
        <v>50</v>
      </c>
      <c r="H911" t="str">
        <f t="shared" si="86"/>
        <v>PROSPECTAR</v>
      </c>
      <c r="I911" t="str">
        <f t="shared" si="87"/>
        <v>TRANSHENRY TRANSPORTES LTDA</v>
      </c>
      <c r="J911">
        <f t="shared" si="88"/>
        <v>1</v>
      </c>
      <c r="K911">
        <f t="shared" si="89"/>
        <v>0</v>
      </c>
    </row>
    <row r="912" spans="1:11" x14ac:dyDescent="0.25">
      <c r="A912" t="s">
        <v>395</v>
      </c>
      <c r="B912" t="s">
        <v>145</v>
      </c>
      <c r="C912" t="s">
        <v>50</v>
      </c>
      <c r="D912" s="3">
        <v>45637</v>
      </c>
      <c r="E912" t="str">
        <f>VLOOKUP(B912,'PROCV GERENTES BD'!A:B,2,0)</f>
        <v>MARCIO LEONEL</v>
      </c>
      <c r="F912" s="4" t="str">
        <f t="shared" si="84"/>
        <v>2024-12</v>
      </c>
      <c r="G912" s="18">
        <f t="shared" si="85"/>
        <v>50</v>
      </c>
      <c r="H912" t="str">
        <f t="shared" si="86"/>
        <v>MARCIO LEONEL</v>
      </c>
      <c r="I912" t="str">
        <f t="shared" si="87"/>
        <v>MEDICAL PRIME IMP EXPORT DISTRIB PRODUTOS MEDICOS</v>
      </c>
      <c r="J912">
        <f t="shared" si="88"/>
        <v>0</v>
      </c>
      <c r="K912">
        <f t="shared" si="89"/>
        <v>1</v>
      </c>
    </row>
    <row r="913" spans="1:11" x14ac:dyDescent="0.25">
      <c r="A913" t="s">
        <v>369</v>
      </c>
      <c r="B913" t="s">
        <v>113</v>
      </c>
      <c r="C913" t="s">
        <v>50</v>
      </c>
      <c r="D913" s="3">
        <v>45637</v>
      </c>
      <c r="E913" t="str">
        <f>VLOOKUP(B913,'PROCV GERENTES BD'!A:B,2,0)</f>
        <v xml:space="preserve">MARCUS VINICIUS </v>
      </c>
      <c r="F913" s="4" t="str">
        <f t="shared" si="84"/>
        <v>2024-12</v>
      </c>
      <c r="G913" s="18">
        <f t="shared" si="85"/>
        <v>50</v>
      </c>
      <c r="H913" t="str">
        <f t="shared" si="86"/>
        <v xml:space="preserve">MARCUS VINICIUS </v>
      </c>
      <c r="I913" t="str">
        <f t="shared" si="87"/>
        <v>ISOBASE POLIESTIRENO LTDA EPP</v>
      </c>
      <c r="J913">
        <f t="shared" si="88"/>
        <v>0</v>
      </c>
      <c r="K913">
        <f t="shared" si="89"/>
        <v>1</v>
      </c>
    </row>
    <row r="914" spans="1:11" x14ac:dyDescent="0.25">
      <c r="A914" t="s">
        <v>428</v>
      </c>
      <c r="B914" t="s">
        <v>179</v>
      </c>
      <c r="C914" t="s">
        <v>50</v>
      </c>
      <c r="D914" s="3">
        <v>45637</v>
      </c>
      <c r="E914" t="str">
        <f>VLOOKUP(B914,'PROCV GERENTES BD'!A:B,2,0)</f>
        <v xml:space="preserve">MARCUS VINICIUS </v>
      </c>
      <c r="F914" s="4" t="str">
        <f t="shared" si="84"/>
        <v>2024-12</v>
      </c>
      <c r="G914" s="18">
        <f t="shared" si="85"/>
        <v>50</v>
      </c>
      <c r="H914" t="str">
        <f t="shared" si="86"/>
        <v xml:space="preserve">MARCUS VINICIUS </v>
      </c>
      <c r="I914" t="str">
        <f t="shared" si="87"/>
        <v>LABOR ELETRIC INDUSTRIA E COMERCIO UNIPESSOAL LTDA</v>
      </c>
      <c r="J914">
        <f t="shared" si="88"/>
        <v>0</v>
      </c>
      <c r="K914">
        <f t="shared" si="89"/>
        <v>1</v>
      </c>
    </row>
    <row r="915" spans="1:11" x14ac:dyDescent="0.25">
      <c r="A915" t="s">
        <v>438</v>
      </c>
      <c r="B915" t="s">
        <v>189</v>
      </c>
      <c r="C915" t="s">
        <v>50</v>
      </c>
      <c r="D915" s="3">
        <v>45637</v>
      </c>
      <c r="E915" t="str">
        <f>VLOOKUP(B915,'PROCV GERENTES BD'!A:B,2,0)</f>
        <v>NOELI SALETE</v>
      </c>
      <c r="F915" s="4" t="str">
        <f t="shared" si="84"/>
        <v>2024-12</v>
      </c>
      <c r="G915" s="18">
        <f t="shared" si="85"/>
        <v>50</v>
      </c>
      <c r="H915" t="str">
        <f t="shared" si="86"/>
        <v>NOELI SALETE</v>
      </c>
      <c r="I915" t="str">
        <f t="shared" si="87"/>
        <v>AGRO INDUSTRIAL LAZZERI LTDA</v>
      </c>
      <c r="J915">
        <f t="shared" si="88"/>
        <v>0</v>
      </c>
      <c r="K915">
        <f t="shared" si="89"/>
        <v>1</v>
      </c>
    </row>
    <row r="916" spans="1:11" x14ac:dyDescent="0.25">
      <c r="A916" t="s">
        <v>394</v>
      </c>
      <c r="B916" t="s">
        <v>143</v>
      </c>
      <c r="C916" t="s">
        <v>50</v>
      </c>
      <c r="D916" s="3">
        <v>45637</v>
      </c>
      <c r="E916" t="str">
        <f>VLOOKUP(B916,'PROCV GERENTES BD'!A:B,2,0)</f>
        <v>NOELI SALETE</v>
      </c>
      <c r="F916" s="4" t="str">
        <f t="shared" si="84"/>
        <v>2024-12</v>
      </c>
      <c r="G916" s="18">
        <f t="shared" si="85"/>
        <v>50</v>
      </c>
      <c r="H916" t="str">
        <f t="shared" si="86"/>
        <v>NOELI SALETE</v>
      </c>
      <c r="I916" t="str">
        <f t="shared" si="87"/>
        <v>ALBERTO H DA SILVA ME</v>
      </c>
      <c r="J916">
        <f t="shared" si="88"/>
        <v>0</v>
      </c>
      <c r="K916">
        <f t="shared" si="89"/>
        <v>1</v>
      </c>
    </row>
    <row r="917" spans="1:11" x14ac:dyDescent="0.25">
      <c r="A917" t="s">
        <v>389</v>
      </c>
      <c r="B917" t="s">
        <v>136</v>
      </c>
      <c r="C917" t="s">
        <v>66</v>
      </c>
      <c r="D917" s="3">
        <v>45637</v>
      </c>
      <c r="E917" t="str">
        <f>VLOOKUP(B917,'PROCV GERENTES BD'!A:B,2,0)</f>
        <v>POENATELA</v>
      </c>
      <c r="F917" s="4" t="str">
        <f t="shared" si="84"/>
        <v>2024-12</v>
      </c>
      <c r="G917" s="18">
        <f t="shared" si="85"/>
        <v>50</v>
      </c>
      <c r="H917" t="str">
        <f t="shared" si="86"/>
        <v>POENATELA</v>
      </c>
      <c r="I917" t="str">
        <f t="shared" si="87"/>
        <v>CONQUISTA INDUSTRIA DE MOVEIS S/A</v>
      </c>
      <c r="J917">
        <f t="shared" si="88"/>
        <v>1</v>
      </c>
      <c r="K917">
        <f t="shared" si="89"/>
        <v>0</v>
      </c>
    </row>
    <row r="918" spans="1:11" x14ac:dyDescent="0.25">
      <c r="A918" t="s">
        <v>346</v>
      </c>
      <c r="B918" t="s">
        <v>91</v>
      </c>
      <c r="C918" t="s">
        <v>53</v>
      </c>
      <c r="D918" s="3">
        <v>45637</v>
      </c>
      <c r="E918" t="str">
        <f>VLOOKUP(B918,'PROCV GERENTES BD'!A:B,2,0)</f>
        <v>POENATELA</v>
      </c>
      <c r="F918" s="4" t="str">
        <f t="shared" si="84"/>
        <v>2024-12</v>
      </c>
      <c r="G918" s="18">
        <f t="shared" si="85"/>
        <v>50</v>
      </c>
      <c r="H918" t="str">
        <f t="shared" si="86"/>
        <v>POENATELA</v>
      </c>
      <c r="I918" t="str">
        <f t="shared" si="87"/>
        <v>UBERTEC SERVICE USINAGEM LTDA EPP</v>
      </c>
      <c r="J918">
        <f t="shared" si="88"/>
        <v>1</v>
      </c>
      <c r="K918">
        <f t="shared" si="89"/>
        <v>1</v>
      </c>
    </row>
    <row r="919" spans="1:11" x14ac:dyDescent="0.25">
      <c r="A919" t="s">
        <v>436</v>
      </c>
      <c r="B919" t="s">
        <v>187</v>
      </c>
      <c r="C919" t="s">
        <v>50</v>
      </c>
      <c r="D919" s="3">
        <v>45637</v>
      </c>
      <c r="E919" t="str">
        <f>VLOOKUP(B919,'PROCV GERENTES BD'!A:B,2,0)</f>
        <v>PRISCILA METZ</v>
      </c>
      <c r="F919" s="4" t="str">
        <f t="shared" si="84"/>
        <v>2024-12</v>
      </c>
      <c r="G919" s="18">
        <f t="shared" si="85"/>
        <v>50</v>
      </c>
      <c r="H919" t="str">
        <f t="shared" si="86"/>
        <v>PRISCILA METZ</v>
      </c>
      <c r="I919" t="str">
        <f t="shared" si="87"/>
        <v>BIO HEALTH COLCHOES LTDA EPP</v>
      </c>
      <c r="J919">
        <f t="shared" si="88"/>
        <v>0</v>
      </c>
      <c r="K919">
        <f t="shared" si="89"/>
        <v>1</v>
      </c>
    </row>
    <row r="920" spans="1:11" x14ac:dyDescent="0.25">
      <c r="A920" t="s">
        <v>353</v>
      </c>
      <c r="B920" t="s">
        <v>97</v>
      </c>
      <c r="C920" t="s">
        <v>50</v>
      </c>
      <c r="D920" s="3">
        <v>45637</v>
      </c>
      <c r="E920" t="str">
        <f>VLOOKUP(B920,'PROCV GERENTES BD'!A:B,2,0)</f>
        <v>PRISCILA METZ</v>
      </c>
      <c r="F920" s="4" t="str">
        <f t="shared" si="84"/>
        <v>2024-12</v>
      </c>
      <c r="G920" s="18">
        <f t="shared" si="85"/>
        <v>50</v>
      </c>
      <c r="H920" t="str">
        <f t="shared" si="86"/>
        <v>PRISCILA METZ</v>
      </c>
      <c r="I920" t="str">
        <f t="shared" si="87"/>
        <v>ESSENZA INDUSTRIA QUIMICA LTDA</v>
      </c>
      <c r="J920">
        <f t="shared" si="88"/>
        <v>0</v>
      </c>
      <c r="K920">
        <f t="shared" si="89"/>
        <v>1</v>
      </c>
    </row>
    <row r="921" spans="1:11" x14ac:dyDescent="0.25">
      <c r="A921" t="s">
        <v>433</v>
      </c>
      <c r="B921" t="s">
        <v>184</v>
      </c>
      <c r="C921" t="s">
        <v>53</v>
      </c>
      <c r="D921" s="3">
        <v>45637</v>
      </c>
      <c r="E921" t="str">
        <f>VLOOKUP(B921,'PROCV GERENTES BD'!A:B,2,0)</f>
        <v>PRISCILA METZ</v>
      </c>
      <c r="F921" s="4" t="str">
        <f t="shared" si="84"/>
        <v>2024-12</v>
      </c>
      <c r="G921" s="18">
        <f t="shared" si="85"/>
        <v>50</v>
      </c>
      <c r="H921" t="str">
        <f t="shared" si="86"/>
        <v>PRISCILA METZ</v>
      </c>
      <c r="I921" t="str">
        <f t="shared" si="87"/>
        <v>FRANZAO COLCHOES LTDA EPP</v>
      </c>
      <c r="J921">
        <f t="shared" si="88"/>
        <v>1</v>
      </c>
      <c r="K921">
        <f t="shared" si="89"/>
        <v>1</v>
      </c>
    </row>
    <row r="922" spans="1:11" x14ac:dyDescent="0.25">
      <c r="A922" t="s">
        <v>326</v>
      </c>
      <c r="B922" t="s">
        <v>122</v>
      </c>
      <c r="C922" t="s">
        <v>50</v>
      </c>
      <c r="D922" s="3">
        <v>45637</v>
      </c>
      <c r="E922" t="s">
        <v>21</v>
      </c>
      <c r="F922" s="4" t="str">
        <f t="shared" si="84"/>
        <v>2024-12</v>
      </c>
      <c r="G922" s="18">
        <f t="shared" si="85"/>
        <v>50</v>
      </c>
      <c r="H922" t="str">
        <f t="shared" si="86"/>
        <v xml:space="preserve">ROGERIO </v>
      </c>
      <c r="I922" t="str">
        <f t="shared" si="87"/>
        <v>BIBE PRODUTOS INFANTIS LTDA</v>
      </c>
      <c r="J922">
        <f t="shared" si="88"/>
        <v>0</v>
      </c>
      <c r="K922">
        <f t="shared" si="89"/>
        <v>1</v>
      </c>
    </row>
    <row r="923" spans="1:11" x14ac:dyDescent="0.25">
      <c r="A923" t="s">
        <v>431</v>
      </c>
      <c r="B923" t="s">
        <v>182</v>
      </c>
      <c r="C923" t="s">
        <v>50</v>
      </c>
      <c r="D923" s="3">
        <v>45637</v>
      </c>
      <c r="E923" t="s">
        <v>21</v>
      </c>
      <c r="F923" s="4" t="str">
        <f t="shared" si="84"/>
        <v>2024-12</v>
      </c>
      <c r="G923" s="18">
        <f t="shared" si="85"/>
        <v>50</v>
      </c>
      <c r="H923" t="str">
        <f t="shared" si="86"/>
        <v xml:space="preserve">ROGERIO </v>
      </c>
      <c r="I923" t="str">
        <f t="shared" si="87"/>
        <v>GRF JEANS WEAR LTDA ME</v>
      </c>
      <c r="J923">
        <f t="shared" si="88"/>
        <v>0</v>
      </c>
      <c r="K923">
        <f t="shared" si="89"/>
        <v>1</v>
      </c>
    </row>
    <row r="924" spans="1:11" x14ac:dyDescent="0.25">
      <c r="A924" t="s">
        <v>416</v>
      </c>
      <c r="B924" t="s">
        <v>166</v>
      </c>
      <c r="C924" t="s">
        <v>66</v>
      </c>
      <c r="D924" s="3">
        <v>45637</v>
      </c>
      <c r="E924" t="s">
        <v>21</v>
      </c>
      <c r="F924" s="4" t="str">
        <f t="shared" si="84"/>
        <v>2024-12</v>
      </c>
      <c r="G924" s="18">
        <f t="shared" si="85"/>
        <v>50</v>
      </c>
      <c r="H924" t="str">
        <f t="shared" si="86"/>
        <v xml:space="preserve">ROGERIO </v>
      </c>
      <c r="I924" t="str">
        <f t="shared" si="87"/>
        <v>LUCCI ILUMINACAO LTDA EPP</v>
      </c>
      <c r="J924">
        <f t="shared" si="88"/>
        <v>1</v>
      </c>
      <c r="K924">
        <f t="shared" si="89"/>
        <v>0</v>
      </c>
    </row>
    <row r="925" spans="1:11" x14ac:dyDescent="0.25">
      <c r="A925" t="s">
        <v>348</v>
      </c>
      <c r="B925" t="s">
        <v>93</v>
      </c>
      <c r="C925" t="s">
        <v>50</v>
      </c>
      <c r="D925" s="3">
        <v>45637</v>
      </c>
      <c r="E925" t="str">
        <f>VLOOKUP(B925,'PROCV GERENTES BD'!A:B,2,0)</f>
        <v>WHELKYA IRIS</v>
      </c>
      <c r="F925" s="4" t="str">
        <f t="shared" si="84"/>
        <v>2024-12</v>
      </c>
      <c r="G925" s="18">
        <f t="shared" si="85"/>
        <v>50</v>
      </c>
      <c r="H925" t="str">
        <f t="shared" si="86"/>
        <v>WHELKYA IRIS</v>
      </c>
      <c r="I925" t="str">
        <f t="shared" si="87"/>
        <v>DIVINA INDUSTRIA DE COURO LTDA</v>
      </c>
      <c r="J925">
        <f t="shared" si="88"/>
        <v>0</v>
      </c>
      <c r="K925">
        <f t="shared" si="89"/>
        <v>1</v>
      </c>
    </row>
    <row r="926" spans="1:11" x14ac:dyDescent="0.25">
      <c r="A926" t="s">
        <v>319</v>
      </c>
      <c r="B926" t="s">
        <v>80</v>
      </c>
      <c r="C926" t="s">
        <v>50</v>
      </c>
      <c r="D926" s="3">
        <v>45638</v>
      </c>
      <c r="E926" t="str">
        <f>VLOOKUP(B926,'PROCV GERENTES BD'!A:B,2,0)</f>
        <v>CELIO PIMENTA</v>
      </c>
      <c r="F926" s="4" t="str">
        <f t="shared" si="84"/>
        <v>2024-12</v>
      </c>
      <c r="G926" s="18">
        <f t="shared" si="85"/>
        <v>50</v>
      </c>
      <c r="H926" t="str">
        <f t="shared" si="86"/>
        <v>CELIO PIMENTA</v>
      </c>
      <c r="I926" t="str">
        <f t="shared" si="87"/>
        <v>IMPORTEXTIL COMERCIO DE TECIDOS LTDA</v>
      </c>
      <c r="J926">
        <f t="shared" si="88"/>
        <v>0</v>
      </c>
      <c r="K926">
        <f t="shared" si="89"/>
        <v>1</v>
      </c>
    </row>
    <row r="927" spans="1:11" x14ac:dyDescent="0.25">
      <c r="A927" t="s">
        <v>358</v>
      </c>
      <c r="B927" t="s">
        <v>104</v>
      </c>
      <c r="C927" t="s">
        <v>66</v>
      </c>
      <c r="D927" s="3">
        <v>45638</v>
      </c>
      <c r="E927" t="str">
        <f>VLOOKUP(B927,'PROCV GERENTES BD'!A:B,2,0)</f>
        <v>DIOGO AZEVEDO</v>
      </c>
      <c r="F927" s="4" t="str">
        <f t="shared" si="84"/>
        <v>2024-12</v>
      </c>
      <c r="G927" s="18">
        <f t="shared" si="85"/>
        <v>50</v>
      </c>
      <c r="H927" t="str">
        <f t="shared" si="86"/>
        <v>DIOGO AZEVEDO</v>
      </c>
      <c r="I927" t="str">
        <f t="shared" si="87"/>
        <v>INDUSTRIA E CERVEJARIA ARTESANAL DE MINAS GERAIS L</v>
      </c>
      <c r="J927">
        <f t="shared" si="88"/>
        <v>1</v>
      </c>
      <c r="K927">
        <f t="shared" si="89"/>
        <v>0</v>
      </c>
    </row>
    <row r="928" spans="1:11" x14ac:dyDescent="0.25">
      <c r="A928" t="s">
        <v>395</v>
      </c>
      <c r="B928" t="s">
        <v>145</v>
      </c>
      <c r="C928" t="s">
        <v>50</v>
      </c>
      <c r="D928" s="3">
        <v>45638</v>
      </c>
      <c r="E928" t="str">
        <f>VLOOKUP(B928,'PROCV GERENTES BD'!A:B,2,0)</f>
        <v>MARCIO LEONEL</v>
      </c>
      <c r="F928" s="4" t="str">
        <f t="shared" si="84"/>
        <v>2024-12</v>
      </c>
      <c r="G928" s="18">
        <f t="shared" si="85"/>
        <v>50</v>
      </c>
      <c r="H928" t="str">
        <f t="shared" si="86"/>
        <v>MARCIO LEONEL</v>
      </c>
      <c r="I928" t="str">
        <f t="shared" si="87"/>
        <v>MEDICAL PRIME IMP EXPORT DISTRIB PRODUTOS MEDICOS</v>
      </c>
      <c r="J928">
        <f t="shared" si="88"/>
        <v>0</v>
      </c>
      <c r="K928">
        <f t="shared" si="89"/>
        <v>1</v>
      </c>
    </row>
    <row r="929" spans="1:11" x14ac:dyDescent="0.25">
      <c r="A929" t="s">
        <v>428</v>
      </c>
      <c r="B929" t="s">
        <v>179</v>
      </c>
      <c r="C929" t="s">
        <v>50</v>
      </c>
      <c r="D929" s="3">
        <v>45638</v>
      </c>
      <c r="E929" t="str">
        <f>VLOOKUP(B929,'PROCV GERENTES BD'!A:B,2,0)</f>
        <v xml:space="preserve">MARCUS VINICIUS </v>
      </c>
      <c r="F929" s="4" t="str">
        <f t="shared" si="84"/>
        <v>2024-12</v>
      </c>
      <c r="G929" s="18">
        <f t="shared" si="85"/>
        <v>50</v>
      </c>
      <c r="H929" t="str">
        <f t="shared" si="86"/>
        <v xml:space="preserve">MARCUS VINICIUS </v>
      </c>
      <c r="I929" t="str">
        <f t="shared" si="87"/>
        <v>LABOR ELETRIC INDUSTRIA E COMERCIO UNIPESSOAL LTDA</v>
      </c>
      <c r="J929">
        <f t="shared" si="88"/>
        <v>0</v>
      </c>
      <c r="K929">
        <f t="shared" si="89"/>
        <v>1</v>
      </c>
    </row>
    <row r="930" spans="1:11" x14ac:dyDescent="0.25">
      <c r="A930" t="s">
        <v>339</v>
      </c>
      <c r="B930" t="s">
        <v>87</v>
      </c>
      <c r="C930" t="s">
        <v>50</v>
      </c>
      <c r="D930" s="3">
        <v>45638</v>
      </c>
      <c r="E930" t="str">
        <f>VLOOKUP(B930,'PROCV GERENTES BD'!A:B,2,0)</f>
        <v>NOELI SALETE</v>
      </c>
      <c r="F930" s="4" t="str">
        <f t="shared" si="84"/>
        <v>2024-12</v>
      </c>
      <c r="G930" s="18">
        <f t="shared" si="85"/>
        <v>50</v>
      </c>
      <c r="H930" t="str">
        <f t="shared" si="86"/>
        <v>NOELI SALETE</v>
      </c>
      <c r="I930" t="str">
        <f t="shared" si="87"/>
        <v>RODOBOX TRANSPORTES E ARMAZENAGEM DE CARGAS LTDA</v>
      </c>
      <c r="J930">
        <f t="shared" si="88"/>
        <v>0</v>
      </c>
      <c r="K930">
        <f t="shared" si="89"/>
        <v>1</v>
      </c>
    </row>
    <row r="931" spans="1:11" x14ac:dyDescent="0.25">
      <c r="A931" t="s">
        <v>389</v>
      </c>
      <c r="B931" t="s">
        <v>136</v>
      </c>
      <c r="C931" t="s">
        <v>66</v>
      </c>
      <c r="D931" s="3">
        <v>45638</v>
      </c>
      <c r="E931" t="str">
        <f>VLOOKUP(B931,'PROCV GERENTES BD'!A:B,2,0)</f>
        <v>POENATELA</v>
      </c>
      <c r="F931" s="4" t="str">
        <f t="shared" si="84"/>
        <v>2024-12</v>
      </c>
      <c r="G931" s="18">
        <f t="shared" si="85"/>
        <v>50</v>
      </c>
      <c r="H931" t="str">
        <f t="shared" si="86"/>
        <v>POENATELA</v>
      </c>
      <c r="I931" t="str">
        <f t="shared" si="87"/>
        <v>CONQUISTA INDUSTRIA DE MOVEIS S/A</v>
      </c>
      <c r="J931">
        <f t="shared" si="88"/>
        <v>1</v>
      </c>
      <c r="K931">
        <f t="shared" si="89"/>
        <v>0</v>
      </c>
    </row>
    <row r="932" spans="1:11" x14ac:dyDescent="0.25">
      <c r="A932" t="s">
        <v>346</v>
      </c>
      <c r="B932" t="s">
        <v>91</v>
      </c>
      <c r="C932" t="s">
        <v>50</v>
      </c>
      <c r="D932" s="3">
        <v>45638</v>
      </c>
      <c r="E932" t="str">
        <f>VLOOKUP(B932,'PROCV GERENTES BD'!A:B,2,0)</f>
        <v>POENATELA</v>
      </c>
      <c r="F932" s="4" t="str">
        <f t="shared" si="84"/>
        <v>2024-12</v>
      </c>
      <c r="G932" s="18">
        <f t="shared" si="85"/>
        <v>50</v>
      </c>
      <c r="H932" t="str">
        <f t="shared" si="86"/>
        <v>POENATELA</v>
      </c>
      <c r="I932" t="str">
        <f t="shared" si="87"/>
        <v>UBERTEC SERVICE USINAGEM LTDA EPP</v>
      </c>
      <c r="J932">
        <f t="shared" si="88"/>
        <v>0</v>
      </c>
      <c r="K932">
        <f t="shared" si="89"/>
        <v>1</v>
      </c>
    </row>
    <row r="933" spans="1:11" x14ac:dyDescent="0.25">
      <c r="A933" t="s">
        <v>441</v>
      </c>
      <c r="B933" t="s">
        <v>192</v>
      </c>
      <c r="C933" t="s">
        <v>50</v>
      </c>
      <c r="D933" s="3">
        <v>45638</v>
      </c>
      <c r="E933" t="s">
        <v>21</v>
      </c>
      <c r="F933" s="4" t="str">
        <f t="shared" si="84"/>
        <v>2024-12</v>
      </c>
      <c r="G933" s="18">
        <f t="shared" si="85"/>
        <v>50</v>
      </c>
      <c r="H933" t="str">
        <f t="shared" si="86"/>
        <v xml:space="preserve">ROGERIO </v>
      </c>
      <c r="I933" t="str">
        <f t="shared" si="87"/>
        <v>FRUIT INDUSTRIA E COMERCIO LTDA ME</v>
      </c>
      <c r="J933">
        <f t="shared" si="88"/>
        <v>0</v>
      </c>
      <c r="K933">
        <f t="shared" si="89"/>
        <v>1</v>
      </c>
    </row>
    <row r="934" spans="1:11" x14ac:dyDescent="0.25">
      <c r="A934" t="s">
        <v>314</v>
      </c>
      <c r="B934" t="s">
        <v>98</v>
      </c>
      <c r="C934" t="s">
        <v>50</v>
      </c>
      <c r="D934" s="3">
        <v>45638</v>
      </c>
      <c r="E934" t="str">
        <f>VLOOKUP(B934,'PROCV GERENTES BD'!A:B,2,0)</f>
        <v xml:space="preserve">ROGERIO </v>
      </c>
      <c r="F934" s="4" t="str">
        <f t="shared" si="84"/>
        <v>2024-12</v>
      </c>
      <c r="G934" s="18">
        <f t="shared" si="85"/>
        <v>50</v>
      </c>
      <c r="H934" t="str">
        <f t="shared" si="86"/>
        <v xml:space="preserve">ROGERIO </v>
      </c>
      <c r="I934" t="str">
        <f t="shared" si="87"/>
        <v>MUTCD CENTRO DISTRIBUICAO IND FABRICANTE COSMETICO</v>
      </c>
      <c r="J934">
        <f t="shared" si="88"/>
        <v>0</v>
      </c>
      <c r="K934">
        <f t="shared" si="89"/>
        <v>1</v>
      </c>
    </row>
    <row r="935" spans="1:11" x14ac:dyDescent="0.25">
      <c r="A935" t="s">
        <v>319</v>
      </c>
      <c r="B935" t="s">
        <v>80</v>
      </c>
      <c r="C935" t="s">
        <v>50</v>
      </c>
      <c r="D935" s="3">
        <v>45639</v>
      </c>
      <c r="E935" t="str">
        <f>VLOOKUP(B935,'PROCV GERENTES BD'!A:B,2,0)</f>
        <v>CELIO PIMENTA</v>
      </c>
      <c r="F935" s="4" t="str">
        <f t="shared" si="84"/>
        <v>2024-12</v>
      </c>
      <c r="G935" s="18">
        <f t="shared" si="85"/>
        <v>50</v>
      </c>
      <c r="H935" t="str">
        <f t="shared" si="86"/>
        <v>CELIO PIMENTA</v>
      </c>
      <c r="I935" t="str">
        <f t="shared" si="87"/>
        <v>IMPORTEXTIL COMERCIO DE TECIDOS LTDA</v>
      </c>
      <c r="J935">
        <f t="shared" si="88"/>
        <v>0</v>
      </c>
      <c r="K935">
        <f t="shared" si="89"/>
        <v>1</v>
      </c>
    </row>
    <row r="936" spans="1:11" x14ac:dyDescent="0.25">
      <c r="A936" t="s">
        <v>428</v>
      </c>
      <c r="B936" t="s">
        <v>179</v>
      </c>
      <c r="C936" t="s">
        <v>50</v>
      </c>
      <c r="D936" s="3">
        <v>45639</v>
      </c>
      <c r="E936" t="str">
        <f>VLOOKUP(B936,'PROCV GERENTES BD'!A:B,2,0)</f>
        <v xml:space="preserve">MARCUS VINICIUS </v>
      </c>
      <c r="F936" s="4" t="str">
        <f t="shared" si="84"/>
        <v>2024-12</v>
      </c>
      <c r="G936" s="18">
        <f t="shared" si="85"/>
        <v>50</v>
      </c>
      <c r="H936" t="str">
        <f t="shared" si="86"/>
        <v xml:space="preserve">MARCUS VINICIUS </v>
      </c>
      <c r="I936" t="str">
        <f t="shared" si="87"/>
        <v>LABOR ELETRIC INDUSTRIA E COMERCIO UNIPESSOAL LTDA</v>
      </c>
      <c r="J936">
        <f t="shared" si="88"/>
        <v>0</v>
      </c>
      <c r="K936">
        <f t="shared" si="89"/>
        <v>1</v>
      </c>
    </row>
    <row r="937" spans="1:11" x14ac:dyDescent="0.25">
      <c r="A937" t="s">
        <v>339</v>
      </c>
      <c r="B937" t="s">
        <v>87</v>
      </c>
      <c r="C937" t="s">
        <v>50</v>
      </c>
      <c r="D937" s="3">
        <v>45639</v>
      </c>
      <c r="E937" t="str">
        <f>VLOOKUP(B937,'PROCV GERENTES BD'!A:B,2,0)</f>
        <v>NOELI SALETE</v>
      </c>
      <c r="F937" s="4" t="str">
        <f t="shared" si="84"/>
        <v>2024-12</v>
      </c>
      <c r="G937" s="18">
        <f t="shared" si="85"/>
        <v>50</v>
      </c>
      <c r="H937" t="str">
        <f t="shared" si="86"/>
        <v>NOELI SALETE</v>
      </c>
      <c r="I937" t="str">
        <f t="shared" si="87"/>
        <v>RODOBOX TRANSPORTES E ARMAZENAGEM DE CARGAS LTDA</v>
      </c>
      <c r="J937">
        <f t="shared" si="88"/>
        <v>0</v>
      </c>
      <c r="K937">
        <f t="shared" si="89"/>
        <v>1</v>
      </c>
    </row>
    <row r="938" spans="1:11" x14ac:dyDescent="0.25">
      <c r="A938" t="s">
        <v>394</v>
      </c>
      <c r="B938" t="s">
        <v>143</v>
      </c>
      <c r="C938" t="s">
        <v>50</v>
      </c>
      <c r="D938" s="3">
        <v>45639</v>
      </c>
      <c r="E938" t="str">
        <f>VLOOKUP(B938,'PROCV GERENTES BD'!A:B,2,0)</f>
        <v>NOELI SALETE</v>
      </c>
      <c r="F938" s="4" t="str">
        <f t="shared" si="84"/>
        <v>2024-12</v>
      </c>
      <c r="G938" s="18">
        <f t="shared" si="85"/>
        <v>50</v>
      </c>
      <c r="H938" t="str">
        <f t="shared" si="86"/>
        <v>NOELI SALETE</v>
      </c>
      <c r="I938" t="str">
        <f t="shared" si="87"/>
        <v>ALBERTO H DA SILVA ME</v>
      </c>
      <c r="J938">
        <f t="shared" si="88"/>
        <v>0</v>
      </c>
      <c r="K938">
        <f t="shared" si="89"/>
        <v>1</v>
      </c>
    </row>
    <row r="939" spans="1:11" x14ac:dyDescent="0.25">
      <c r="A939" t="s">
        <v>389</v>
      </c>
      <c r="B939" t="s">
        <v>136</v>
      </c>
      <c r="C939" t="s">
        <v>66</v>
      </c>
      <c r="D939" s="3">
        <v>45639</v>
      </c>
      <c r="E939" t="str">
        <f>VLOOKUP(B939,'PROCV GERENTES BD'!A:B,2,0)</f>
        <v>POENATELA</v>
      </c>
      <c r="F939" s="4" t="str">
        <f t="shared" si="84"/>
        <v>2024-12</v>
      </c>
      <c r="G939" s="18">
        <f t="shared" si="85"/>
        <v>50</v>
      </c>
      <c r="H939" t="str">
        <f t="shared" si="86"/>
        <v>POENATELA</v>
      </c>
      <c r="I939" t="str">
        <f t="shared" si="87"/>
        <v>CONQUISTA INDUSTRIA DE MOVEIS S/A</v>
      </c>
      <c r="J939">
        <f t="shared" si="88"/>
        <v>1</v>
      </c>
      <c r="K939">
        <f t="shared" si="89"/>
        <v>0</v>
      </c>
    </row>
    <row r="940" spans="1:11" x14ac:dyDescent="0.25">
      <c r="A940" t="s">
        <v>346</v>
      </c>
      <c r="B940" t="s">
        <v>91</v>
      </c>
      <c r="C940" t="s">
        <v>50</v>
      </c>
      <c r="D940" s="3">
        <v>45639</v>
      </c>
      <c r="E940" t="str">
        <f>VLOOKUP(B940,'PROCV GERENTES BD'!A:B,2,0)</f>
        <v>POENATELA</v>
      </c>
      <c r="F940" s="4" t="str">
        <f t="shared" si="84"/>
        <v>2024-12</v>
      </c>
      <c r="G940" s="18">
        <f t="shared" si="85"/>
        <v>50</v>
      </c>
      <c r="H940" t="str">
        <f t="shared" si="86"/>
        <v>POENATELA</v>
      </c>
      <c r="I940" t="str">
        <f t="shared" si="87"/>
        <v>UBERTEC SERVICE USINAGEM LTDA EPP</v>
      </c>
      <c r="J940">
        <f t="shared" si="88"/>
        <v>0</v>
      </c>
      <c r="K940">
        <f t="shared" si="89"/>
        <v>1</v>
      </c>
    </row>
    <row r="941" spans="1:11" x14ac:dyDescent="0.25">
      <c r="A941" t="s">
        <v>436</v>
      </c>
      <c r="B941" t="s">
        <v>187</v>
      </c>
      <c r="C941" t="s">
        <v>66</v>
      </c>
      <c r="D941" s="3">
        <v>45639</v>
      </c>
      <c r="E941" t="str">
        <f>VLOOKUP(B941,'PROCV GERENTES BD'!A:B,2,0)</f>
        <v>PRISCILA METZ</v>
      </c>
      <c r="F941" s="4" t="str">
        <f t="shared" si="84"/>
        <v>2024-12</v>
      </c>
      <c r="G941" s="18">
        <f t="shared" si="85"/>
        <v>50</v>
      </c>
      <c r="H941" t="str">
        <f t="shared" si="86"/>
        <v>PRISCILA METZ</v>
      </c>
      <c r="I941" t="str">
        <f t="shared" si="87"/>
        <v>BIO HEALTH COLCHOES LTDA EPP</v>
      </c>
      <c r="J941">
        <f t="shared" si="88"/>
        <v>1</v>
      </c>
      <c r="K941">
        <f t="shared" si="89"/>
        <v>0</v>
      </c>
    </row>
    <row r="942" spans="1:11" x14ac:dyDescent="0.25">
      <c r="A942" t="s">
        <v>433</v>
      </c>
      <c r="B942" t="s">
        <v>184</v>
      </c>
      <c r="C942" t="s">
        <v>66</v>
      </c>
      <c r="D942" s="3">
        <v>45639</v>
      </c>
      <c r="E942" t="str">
        <f>VLOOKUP(B942,'PROCV GERENTES BD'!A:B,2,0)</f>
        <v>PRISCILA METZ</v>
      </c>
      <c r="F942" s="4" t="str">
        <f t="shared" si="84"/>
        <v>2024-12</v>
      </c>
      <c r="G942" s="18">
        <f t="shared" si="85"/>
        <v>50</v>
      </c>
      <c r="H942" t="str">
        <f t="shared" si="86"/>
        <v>PRISCILA METZ</v>
      </c>
      <c r="I942" t="str">
        <f t="shared" si="87"/>
        <v>FRANZAO COLCHOES LTDA EPP</v>
      </c>
      <c r="J942">
        <f t="shared" si="88"/>
        <v>1</v>
      </c>
      <c r="K942">
        <f t="shared" si="89"/>
        <v>0</v>
      </c>
    </row>
    <row r="943" spans="1:11" x14ac:dyDescent="0.25">
      <c r="A943" t="s">
        <v>326</v>
      </c>
      <c r="B943" t="s">
        <v>122</v>
      </c>
      <c r="C943" t="s">
        <v>53</v>
      </c>
      <c r="D943" s="3">
        <v>45639</v>
      </c>
      <c r="E943" t="s">
        <v>21</v>
      </c>
      <c r="F943" s="4" t="str">
        <f t="shared" si="84"/>
        <v>2024-12</v>
      </c>
      <c r="G943" s="18">
        <f t="shared" si="85"/>
        <v>50</v>
      </c>
      <c r="H943" t="str">
        <f t="shared" si="86"/>
        <v xml:space="preserve">ROGERIO </v>
      </c>
      <c r="I943" t="str">
        <f t="shared" si="87"/>
        <v>BIBE PRODUTOS INFANTIS LTDA</v>
      </c>
      <c r="J943">
        <f t="shared" si="88"/>
        <v>1</v>
      </c>
      <c r="K943">
        <f t="shared" si="89"/>
        <v>1</v>
      </c>
    </row>
    <row r="944" spans="1:11" x14ac:dyDescent="0.25">
      <c r="A944" t="s">
        <v>429</v>
      </c>
      <c r="B944" t="s">
        <v>180</v>
      </c>
      <c r="C944" t="s">
        <v>66</v>
      </c>
      <c r="D944" s="3">
        <v>45639</v>
      </c>
      <c r="E944" t="s">
        <v>21</v>
      </c>
      <c r="F944" s="4" t="str">
        <f t="shared" si="84"/>
        <v>2024-12</v>
      </c>
      <c r="G944" s="18">
        <f t="shared" si="85"/>
        <v>50</v>
      </c>
      <c r="H944" t="str">
        <f t="shared" si="86"/>
        <v xml:space="preserve">ROGERIO </v>
      </c>
      <c r="I944" t="str">
        <f t="shared" si="87"/>
        <v>ENCADESP LTDA ME</v>
      </c>
      <c r="J944">
        <f t="shared" si="88"/>
        <v>1</v>
      </c>
      <c r="K944">
        <f t="shared" si="89"/>
        <v>0</v>
      </c>
    </row>
    <row r="945" spans="1:11" x14ac:dyDescent="0.25">
      <c r="A945" t="s">
        <v>426</v>
      </c>
      <c r="B945" t="s">
        <v>177</v>
      </c>
      <c r="C945" t="s">
        <v>50</v>
      </c>
      <c r="D945" s="3">
        <v>45639</v>
      </c>
      <c r="E945" t="str">
        <f>VLOOKUP(B945,'PROCV GERENTES BD'!A:B,2,0)</f>
        <v>WHELKYA IRIS</v>
      </c>
      <c r="F945" s="4" t="str">
        <f t="shared" si="84"/>
        <v>2024-12</v>
      </c>
      <c r="G945" s="18">
        <f t="shared" si="85"/>
        <v>50</v>
      </c>
      <c r="H945" t="str">
        <f t="shared" si="86"/>
        <v>WHELKYA IRIS</v>
      </c>
      <c r="I945" t="str">
        <f t="shared" si="87"/>
        <v>JFIX INDUSTRIA QUIMICA LTDA ME</v>
      </c>
      <c r="J945">
        <f t="shared" si="88"/>
        <v>0</v>
      </c>
      <c r="K945">
        <f t="shared" si="89"/>
        <v>1</v>
      </c>
    </row>
    <row r="946" spans="1:11" x14ac:dyDescent="0.25">
      <c r="A946" t="s">
        <v>319</v>
      </c>
      <c r="B946" t="s">
        <v>80</v>
      </c>
      <c r="C946" t="s">
        <v>50</v>
      </c>
      <c r="D946" s="3">
        <v>45640</v>
      </c>
      <c r="E946" t="str">
        <f>VLOOKUP(B946,'PROCV GERENTES BD'!A:B,2,0)</f>
        <v>CELIO PIMENTA</v>
      </c>
      <c r="F946" s="4" t="str">
        <f t="shared" si="84"/>
        <v>2024-12</v>
      </c>
      <c r="G946" s="18">
        <f t="shared" si="85"/>
        <v>50</v>
      </c>
      <c r="H946" t="str">
        <f t="shared" si="86"/>
        <v>CELIO PIMENTA</v>
      </c>
      <c r="I946" t="str">
        <f t="shared" si="87"/>
        <v>IMPORTEXTIL COMERCIO DE TECIDOS LTDA</v>
      </c>
      <c r="J946">
        <f t="shared" si="88"/>
        <v>0</v>
      </c>
      <c r="K946">
        <f t="shared" si="89"/>
        <v>1</v>
      </c>
    </row>
    <row r="947" spans="1:11" x14ac:dyDescent="0.25">
      <c r="A947" t="s">
        <v>358</v>
      </c>
      <c r="B947" t="s">
        <v>104</v>
      </c>
      <c r="C947" t="s">
        <v>66</v>
      </c>
      <c r="D947" s="3">
        <v>45640</v>
      </c>
      <c r="E947" t="str">
        <f>VLOOKUP(B947,'PROCV GERENTES BD'!A:B,2,0)</f>
        <v>DIOGO AZEVEDO</v>
      </c>
      <c r="F947" s="4" t="str">
        <f t="shared" si="84"/>
        <v>2024-12</v>
      </c>
      <c r="G947" s="18">
        <f t="shared" si="85"/>
        <v>50</v>
      </c>
      <c r="H947" t="str">
        <f t="shared" si="86"/>
        <v>DIOGO AZEVEDO</v>
      </c>
      <c r="I947" t="str">
        <f t="shared" si="87"/>
        <v>INDUSTRIA E CERVEJARIA ARTESANAL DE MINAS GERAIS L</v>
      </c>
      <c r="J947">
        <f t="shared" si="88"/>
        <v>1</v>
      </c>
      <c r="K947">
        <f t="shared" si="89"/>
        <v>0</v>
      </c>
    </row>
    <row r="948" spans="1:11" x14ac:dyDescent="0.25">
      <c r="A948" t="s">
        <v>440</v>
      </c>
      <c r="B948" t="s">
        <v>191</v>
      </c>
      <c r="C948" t="s">
        <v>50</v>
      </c>
      <c r="D948" s="3">
        <v>45640</v>
      </c>
      <c r="E948" t="str">
        <f>VLOOKUP(B948,'PROCV GERENTES BD'!A:B,2,0)</f>
        <v>PROSPECTAR</v>
      </c>
      <c r="F948" s="4" t="str">
        <f t="shared" si="84"/>
        <v>2024-12</v>
      </c>
      <c r="G948" s="18">
        <f t="shared" si="85"/>
        <v>50</v>
      </c>
      <c r="H948" t="str">
        <f t="shared" si="86"/>
        <v>PROSPECTAR</v>
      </c>
      <c r="I948" t="str">
        <f t="shared" si="87"/>
        <v>SAFRA OURO AGRONEGOCIOS LTDA EPP</v>
      </c>
      <c r="J948">
        <f t="shared" si="88"/>
        <v>0</v>
      </c>
      <c r="K948">
        <f t="shared" si="89"/>
        <v>1</v>
      </c>
    </row>
    <row r="949" spans="1:11" x14ac:dyDescent="0.25">
      <c r="A949" t="s">
        <v>428</v>
      </c>
      <c r="B949" t="s">
        <v>179</v>
      </c>
      <c r="C949" t="s">
        <v>53</v>
      </c>
      <c r="D949" s="3">
        <v>45640</v>
      </c>
      <c r="E949" t="str">
        <f>VLOOKUP(B949,'PROCV GERENTES BD'!A:B,2,0)</f>
        <v xml:space="preserve">MARCUS VINICIUS </v>
      </c>
      <c r="F949" s="4" t="str">
        <f t="shared" si="84"/>
        <v>2024-12</v>
      </c>
      <c r="G949" s="18">
        <f t="shared" si="85"/>
        <v>50</v>
      </c>
      <c r="H949" t="str">
        <f t="shared" si="86"/>
        <v xml:space="preserve">MARCUS VINICIUS </v>
      </c>
      <c r="I949" t="str">
        <f t="shared" si="87"/>
        <v>LABOR ELETRIC INDUSTRIA E COMERCIO UNIPESSOAL LTDA</v>
      </c>
      <c r="J949">
        <f t="shared" si="88"/>
        <v>1</v>
      </c>
      <c r="K949">
        <f t="shared" si="89"/>
        <v>1</v>
      </c>
    </row>
    <row r="950" spans="1:11" x14ac:dyDescent="0.25">
      <c r="A950" t="s">
        <v>419</v>
      </c>
      <c r="B950" t="s">
        <v>169</v>
      </c>
      <c r="C950" t="s">
        <v>50</v>
      </c>
      <c r="D950" s="3">
        <v>45640</v>
      </c>
      <c r="E950" t="str">
        <f>VLOOKUP(B950,'PROCV GERENTES BD'!A:B,2,0)</f>
        <v>NOELI SALETE</v>
      </c>
      <c r="F950" s="4" t="str">
        <f t="shared" si="84"/>
        <v>2024-12</v>
      </c>
      <c r="G950" s="18">
        <f t="shared" si="85"/>
        <v>50</v>
      </c>
      <c r="H950" t="str">
        <f t="shared" si="86"/>
        <v>NOELI SALETE</v>
      </c>
      <c r="I950" t="str">
        <f t="shared" si="87"/>
        <v>GLOBAL ACO SERVICOS E PRODUTOS SIDERURGICOS LTDA E</v>
      </c>
      <c r="J950">
        <f t="shared" si="88"/>
        <v>0</v>
      </c>
      <c r="K950">
        <f t="shared" si="89"/>
        <v>1</v>
      </c>
    </row>
    <row r="951" spans="1:11" x14ac:dyDescent="0.25">
      <c r="A951" t="s">
        <v>339</v>
      </c>
      <c r="B951" t="s">
        <v>87</v>
      </c>
      <c r="C951" t="s">
        <v>66</v>
      </c>
      <c r="D951" s="3">
        <v>45640</v>
      </c>
      <c r="E951" t="str">
        <f>VLOOKUP(B951,'PROCV GERENTES BD'!A:B,2,0)</f>
        <v>NOELI SALETE</v>
      </c>
      <c r="F951" s="4" t="str">
        <f t="shared" si="84"/>
        <v>2024-12</v>
      </c>
      <c r="G951" s="18">
        <f t="shared" si="85"/>
        <v>50</v>
      </c>
      <c r="H951" t="str">
        <f t="shared" si="86"/>
        <v>NOELI SALETE</v>
      </c>
      <c r="I951" t="str">
        <f t="shared" si="87"/>
        <v>RODOBOX TRANSPORTES E ARMAZENAGEM DE CARGAS LTDA</v>
      </c>
      <c r="J951">
        <f t="shared" si="88"/>
        <v>1</v>
      </c>
      <c r="K951">
        <f t="shared" si="89"/>
        <v>0</v>
      </c>
    </row>
    <row r="952" spans="1:11" x14ac:dyDescent="0.25">
      <c r="A952" t="s">
        <v>394</v>
      </c>
      <c r="B952" t="s">
        <v>143</v>
      </c>
      <c r="C952" t="s">
        <v>50</v>
      </c>
      <c r="D952" s="3">
        <v>45640</v>
      </c>
      <c r="E952" t="str">
        <f>VLOOKUP(B952,'PROCV GERENTES BD'!A:B,2,0)</f>
        <v>NOELI SALETE</v>
      </c>
      <c r="F952" s="4" t="str">
        <f t="shared" si="84"/>
        <v>2024-12</v>
      </c>
      <c r="G952" s="18">
        <f t="shared" si="85"/>
        <v>50</v>
      </c>
      <c r="H952" t="str">
        <f t="shared" si="86"/>
        <v>NOELI SALETE</v>
      </c>
      <c r="I952" t="str">
        <f t="shared" si="87"/>
        <v>ALBERTO H DA SILVA ME</v>
      </c>
      <c r="J952">
        <f t="shared" si="88"/>
        <v>0</v>
      </c>
      <c r="K952">
        <f t="shared" si="89"/>
        <v>1</v>
      </c>
    </row>
    <row r="953" spans="1:11" x14ac:dyDescent="0.25">
      <c r="A953" t="s">
        <v>400</v>
      </c>
      <c r="B953" t="s">
        <v>150</v>
      </c>
      <c r="C953" t="s">
        <v>50</v>
      </c>
      <c r="D953" s="3">
        <v>45640</v>
      </c>
      <c r="E953" t="str">
        <f>VLOOKUP(B953,'PROCV GERENTES BD'!A:B,2,0)</f>
        <v>NOELI SALETE</v>
      </c>
      <c r="F953" s="4" t="str">
        <f t="shared" si="84"/>
        <v>2024-12</v>
      </c>
      <c r="G953" s="18">
        <f t="shared" si="85"/>
        <v>50</v>
      </c>
      <c r="H953" t="str">
        <f t="shared" si="86"/>
        <v>NOELI SALETE</v>
      </c>
      <c r="I953" t="str">
        <f t="shared" si="87"/>
        <v>POOLMAK SISTEMAS ESTRUTURAIS LTDA</v>
      </c>
      <c r="J953">
        <f t="shared" si="88"/>
        <v>0</v>
      </c>
      <c r="K953">
        <f t="shared" si="89"/>
        <v>1</v>
      </c>
    </row>
    <row r="954" spans="1:11" x14ac:dyDescent="0.25">
      <c r="A954" t="s">
        <v>389</v>
      </c>
      <c r="B954" t="s">
        <v>136</v>
      </c>
      <c r="C954" t="s">
        <v>66</v>
      </c>
      <c r="D954" s="3">
        <v>45640</v>
      </c>
      <c r="E954" t="str">
        <f>VLOOKUP(B954,'PROCV GERENTES BD'!A:B,2,0)</f>
        <v>POENATELA</v>
      </c>
      <c r="F954" s="4" t="str">
        <f t="shared" si="84"/>
        <v>2024-12</v>
      </c>
      <c r="G954" s="18">
        <f t="shared" si="85"/>
        <v>50</v>
      </c>
      <c r="H954" t="str">
        <f t="shared" si="86"/>
        <v>POENATELA</v>
      </c>
      <c r="I954" t="str">
        <f t="shared" si="87"/>
        <v>CONQUISTA INDUSTRIA DE MOVEIS S/A</v>
      </c>
      <c r="J954">
        <f t="shared" si="88"/>
        <v>1</v>
      </c>
      <c r="K954">
        <f t="shared" si="89"/>
        <v>0</v>
      </c>
    </row>
    <row r="955" spans="1:11" x14ac:dyDescent="0.25">
      <c r="A955" t="s">
        <v>346</v>
      </c>
      <c r="B955" t="s">
        <v>91</v>
      </c>
      <c r="C955" t="s">
        <v>50</v>
      </c>
      <c r="D955" s="3">
        <v>45640</v>
      </c>
      <c r="E955" t="str">
        <f>VLOOKUP(B955,'PROCV GERENTES BD'!A:B,2,0)</f>
        <v>POENATELA</v>
      </c>
      <c r="F955" s="4" t="str">
        <f t="shared" si="84"/>
        <v>2024-12</v>
      </c>
      <c r="G955" s="18">
        <f t="shared" si="85"/>
        <v>50</v>
      </c>
      <c r="H955" t="str">
        <f t="shared" si="86"/>
        <v>POENATELA</v>
      </c>
      <c r="I955" t="str">
        <f t="shared" si="87"/>
        <v>UBERTEC SERVICE USINAGEM LTDA EPP</v>
      </c>
      <c r="J955">
        <f t="shared" si="88"/>
        <v>0</v>
      </c>
      <c r="K955">
        <f t="shared" si="89"/>
        <v>1</v>
      </c>
    </row>
    <row r="956" spans="1:11" x14ac:dyDescent="0.25">
      <c r="A956" t="s">
        <v>376</v>
      </c>
      <c r="B956" t="s">
        <v>121</v>
      </c>
      <c r="C956" t="s">
        <v>50</v>
      </c>
      <c r="D956" s="3">
        <v>45640</v>
      </c>
      <c r="E956" t="str">
        <f>VLOOKUP(B956,'PROCV GERENTES BD'!A:B,2,0)</f>
        <v>PRISCILA METZ</v>
      </c>
      <c r="F956" s="4" t="str">
        <f t="shared" si="84"/>
        <v>2024-12</v>
      </c>
      <c r="G956" s="18">
        <f t="shared" si="85"/>
        <v>50</v>
      </c>
      <c r="H956" t="str">
        <f t="shared" si="86"/>
        <v>PRISCILA METZ</v>
      </c>
      <c r="I956" t="str">
        <f t="shared" si="87"/>
        <v>NOVA DISTRIBUIDORA E ATACADO DE LIMPEZA LTDA</v>
      </c>
      <c r="J956">
        <f t="shared" si="88"/>
        <v>0</v>
      </c>
      <c r="K956">
        <f t="shared" si="89"/>
        <v>1</v>
      </c>
    </row>
    <row r="957" spans="1:11" x14ac:dyDescent="0.25">
      <c r="A957" t="s">
        <v>325</v>
      </c>
      <c r="B957" t="s">
        <v>138</v>
      </c>
      <c r="C957" t="s">
        <v>66</v>
      </c>
      <c r="D957" s="3">
        <v>45640</v>
      </c>
      <c r="E957" t="str">
        <f>VLOOKUP(B957,'PROCV GERENTES BD'!A:B,2,0)</f>
        <v>SACADO</v>
      </c>
      <c r="F957" s="4" t="str">
        <f t="shared" si="84"/>
        <v>2024-12</v>
      </c>
      <c r="G957" s="18">
        <f t="shared" si="85"/>
        <v>50</v>
      </c>
      <c r="H957" t="str">
        <f t="shared" si="86"/>
        <v>SACADO</v>
      </c>
      <c r="I957" t="str">
        <f t="shared" si="87"/>
        <v>ALLIAGE S A INDUSTRIAS MEDICO ODONTOLOGICA</v>
      </c>
      <c r="J957">
        <f t="shared" si="88"/>
        <v>1</v>
      </c>
      <c r="K957">
        <f t="shared" si="89"/>
        <v>0</v>
      </c>
    </row>
    <row r="958" spans="1:11" x14ac:dyDescent="0.25">
      <c r="A958" t="s">
        <v>382</v>
      </c>
      <c r="B958" t="s">
        <v>129</v>
      </c>
      <c r="C958" t="s">
        <v>53</v>
      </c>
      <c r="D958" s="3">
        <v>45643</v>
      </c>
      <c r="E958" t="str">
        <f>VLOOKUP(B958,'PROCV GERENTES BD'!A:B,2,0)</f>
        <v>ADMINISTRAÇÃO</v>
      </c>
      <c r="F958" s="4" t="str">
        <f t="shared" si="84"/>
        <v>2024-12</v>
      </c>
      <c r="G958" s="18">
        <f t="shared" si="85"/>
        <v>51</v>
      </c>
      <c r="H958" t="str">
        <f t="shared" si="86"/>
        <v>ADMINISTRAÇÃO</v>
      </c>
      <c r="I958" t="str">
        <f t="shared" si="87"/>
        <v>XEQUE MATE BEBIDAS LTDA ME</v>
      </c>
      <c r="J958">
        <f t="shared" si="88"/>
        <v>1</v>
      </c>
      <c r="K958">
        <f t="shared" si="89"/>
        <v>1</v>
      </c>
    </row>
    <row r="959" spans="1:11" x14ac:dyDescent="0.25">
      <c r="A959" t="s">
        <v>372</v>
      </c>
      <c r="B959" t="s">
        <v>116</v>
      </c>
      <c r="C959" t="s">
        <v>50</v>
      </c>
      <c r="D959" s="3">
        <v>45643</v>
      </c>
      <c r="E959" t="str">
        <f>VLOOKUP(B959,'PROCV GERENTES BD'!A:B,2,0)</f>
        <v>ADMINISTRAÇÃO</v>
      </c>
      <c r="F959" s="4" t="str">
        <f t="shared" si="84"/>
        <v>2024-12</v>
      </c>
      <c r="G959" s="18">
        <f t="shared" si="85"/>
        <v>51</v>
      </c>
      <c r="H959" t="str">
        <f t="shared" si="86"/>
        <v>ADMINISTRAÇÃO</v>
      </c>
      <c r="I959" t="str">
        <f t="shared" si="87"/>
        <v>PREMOLDADOS MATOSINHOS LTDA EPP</v>
      </c>
      <c r="J959">
        <f t="shared" si="88"/>
        <v>0</v>
      </c>
      <c r="K959">
        <f t="shared" si="89"/>
        <v>1</v>
      </c>
    </row>
    <row r="960" spans="1:11" x14ac:dyDescent="0.25">
      <c r="A960" t="s">
        <v>304</v>
      </c>
      <c r="B960" t="s">
        <v>123</v>
      </c>
      <c r="C960" t="s">
        <v>53</v>
      </c>
      <c r="D960" s="3">
        <v>45643</v>
      </c>
      <c r="E960" t="str">
        <f>VLOOKUP(B960,'PROCV GERENTES BD'!A:B,2,0)</f>
        <v>ADMINISTRAÇÃO</v>
      </c>
      <c r="F960" s="4" t="str">
        <f t="shared" si="84"/>
        <v>2024-12</v>
      </c>
      <c r="G960" s="18">
        <f t="shared" si="85"/>
        <v>51</v>
      </c>
      <c r="H960" t="str">
        <f t="shared" si="86"/>
        <v>ADMINISTRAÇÃO</v>
      </c>
      <c r="I960" t="str">
        <f t="shared" si="87"/>
        <v>VIC LOGISTICA LTDA EM RECUPERACAO JUDICIAL</v>
      </c>
      <c r="J960">
        <f t="shared" si="88"/>
        <v>1</v>
      </c>
      <c r="K960">
        <f t="shared" si="89"/>
        <v>1</v>
      </c>
    </row>
    <row r="961" spans="1:11" x14ac:dyDescent="0.25">
      <c r="A961" t="s">
        <v>319</v>
      </c>
      <c r="B961" t="s">
        <v>80</v>
      </c>
      <c r="C961" t="s">
        <v>50</v>
      </c>
      <c r="D961" s="3">
        <v>45643</v>
      </c>
      <c r="E961" t="str">
        <f>VLOOKUP(B961,'PROCV GERENTES BD'!A:B,2,0)</f>
        <v>CELIO PIMENTA</v>
      </c>
      <c r="F961" s="4" t="str">
        <f t="shared" si="84"/>
        <v>2024-12</v>
      </c>
      <c r="G961" s="18">
        <f t="shared" si="85"/>
        <v>51</v>
      </c>
      <c r="H961" t="str">
        <f t="shared" si="86"/>
        <v>CELIO PIMENTA</v>
      </c>
      <c r="I961" t="str">
        <f t="shared" si="87"/>
        <v>IMPORTEXTIL COMERCIO DE TECIDOS LTDA</v>
      </c>
      <c r="J961">
        <f t="shared" si="88"/>
        <v>0</v>
      </c>
      <c r="K961">
        <f t="shared" si="89"/>
        <v>1</v>
      </c>
    </row>
    <row r="962" spans="1:11" x14ac:dyDescent="0.25">
      <c r="A962" t="s">
        <v>54</v>
      </c>
      <c r="B962" t="s">
        <v>55</v>
      </c>
      <c r="C962" t="s">
        <v>50</v>
      </c>
      <c r="D962" s="3">
        <v>45643</v>
      </c>
      <c r="E962" t="str">
        <f>VLOOKUP(B962,'PROCV GERENTES BD'!A:B,2,0)</f>
        <v>CELIO PIMENTA</v>
      </c>
      <c r="F962" s="4" t="str">
        <f t="shared" ref="F962:F1025" si="90">YEAR(D962)&amp;"-"&amp;TEXT(MONTH(D962),"00")</f>
        <v>2024-12</v>
      </c>
      <c r="G962" s="18">
        <f t="shared" ref="G962:G1025" si="91">WEEKNUM(D962)</f>
        <v>51</v>
      </c>
      <c r="H962" t="str">
        <f t="shared" ref="H962:H1025" si="92">E962</f>
        <v>CELIO PIMENTA</v>
      </c>
      <c r="I962" t="str">
        <f t="shared" ref="I962:I1025" si="93">B962</f>
        <v>WJ CALDEIRARIA INDUSTRIA E COMERCIO LTDA ME</v>
      </c>
      <c r="J962">
        <f t="shared" ref="J962:J1025" si="94">IF(OR(C962="EXCLUSAO  ANOT.INADIMPLENCIA",C962="INCL/EXCL ANOT.INADIMPLENCIA"),1,0)</f>
        <v>0</v>
      </c>
      <c r="K962">
        <f t="shared" ref="K962:K1025" si="95">IF(OR(C962="INCLUSAO  ANOT.INADIMPLENCIA",C962="INCL/EXCL ANOT.INADIMPLENCIA"),1,0)</f>
        <v>1</v>
      </c>
    </row>
    <row r="963" spans="1:11" x14ac:dyDescent="0.25">
      <c r="A963" t="s">
        <v>358</v>
      </c>
      <c r="B963" t="s">
        <v>104</v>
      </c>
      <c r="C963" t="s">
        <v>50</v>
      </c>
      <c r="D963" s="3">
        <v>45643</v>
      </c>
      <c r="E963" t="str">
        <f>VLOOKUP(B963,'PROCV GERENTES BD'!A:B,2,0)</f>
        <v>DIOGO AZEVEDO</v>
      </c>
      <c r="F963" s="4" t="str">
        <f t="shared" si="90"/>
        <v>2024-12</v>
      </c>
      <c r="G963" s="18">
        <f t="shared" si="91"/>
        <v>51</v>
      </c>
      <c r="H963" t="str">
        <f t="shared" si="92"/>
        <v>DIOGO AZEVEDO</v>
      </c>
      <c r="I963" t="str">
        <f t="shared" si="93"/>
        <v>INDUSTRIA E CERVEJARIA ARTESANAL DE MINAS GERAIS L</v>
      </c>
      <c r="J963">
        <f t="shared" si="94"/>
        <v>0</v>
      </c>
      <c r="K963">
        <f t="shared" si="95"/>
        <v>1</v>
      </c>
    </row>
    <row r="964" spans="1:11" x14ac:dyDescent="0.25">
      <c r="A964" t="s">
        <v>430</v>
      </c>
      <c r="B964" t="s">
        <v>181</v>
      </c>
      <c r="C964" t="s">
        <v>50</v>
      </c>
      <c r="D964" s="3">
        <v>45643</v>
      </c>
      <c r="E964" t="str">
        <f>VLOOKUP(B964,'PROCV GERENTES BD'!A:B,2,0)</f>
        <v>PROSPECTAR</v>
      </c>
      <c r="F964" s="4" t="str">
        <f t="shared" si="90"/>
        <v>2024-12</v>
      </c>
      <c r="G964" s="18">
        <f t="shared" si="91"/>
        <v>51</v>
      </c>
      <c r="H964" t="str">
        <f t="shared" si="92"/>
        <v>PROSPECTAR</v>
      </c>
      <c r="I964" t="str">
        <f t="shared" si="93"/>
        <v>SIQUEIRA E GAIPO INDUSTRIA E MATERIAIS ESPORTIVOS</v>
      </c>
      <c r="J964">
        <f t="shared" si="94"/>
        <v>0</v>
      </c>
      <c r="K964">
        <f t="shared" si="95"/>
        <v>1</v>
      </c>
    </row>
    <row r="965" spans="1:11" x14ac:dyDescent="0.25">
      <c r="A965" t="s">
        <v>369</v>
      </c>
      <c r="B965" t="s">
        <v>113</v>
      </c>
      <c r="C965" t="s">
        <v>50</v>
      </c>
      <c r="D965" s="3">
        <v>45643</v>
      </c>
      <c r="E965" t="str">
        <f>VLOOKUP(B965,'PROCV GERENTES BD'!A:B,2,0)</f>
        <v xml:space="preserve">MARCUS VINICIUS </v>
      </c>
      <c r="F965" s="4" t="str">
        <f t="shared" si="90"/>
        <v>2024-12</v>
      </c>
      <c r="G965" s="18">
        <f t="shared" si="91"/>
        <v>51</v>
      </c>
      <c r="H965" t="str">
        <f t="shared" si="92"/>
        <v xml:space="preserve">MARCUS VINICIUS </v>
      </c>
      <c r="I965" t="str">
        <f t="shared" si="93"/>
        <v>ISOBASE POLIESTIRENO LTDA EPP</v>
      </c>
      <c r="J965">
        <f t="shared" si="94"/>
        <v>0</v>
      </c>
      <c r="K965">
        <f t="shared" si="95"/>
        <v>1</v>
      </c>
    </row>
    <row r="966" spans="1:11" x14ac:dyDescent="0.25">
      <c r="A966" t="s">
        <v>428</v>
      </c>
      <c r="B966" t="s">
        <v>179</v>
      </c>
      <c r="C966" t="s">
        <v>50</v>
      </c>
      <c r="D966" s="3">
        <v>45643</v>
      </c>
      <c r="E966" t="str">
        <f>VLOOKUP(B966,'PROCV GERENTES BD'!A:B,2,0)</f>
        <v xml:space="preserve">MARCUS VINICIUS </v>
      </c>
      <c r="F966" s="4" t="str">
        <f t="shared" si="90"/>
        <v>2024-12</v>
      </c>
      <c r="G966" s="18">
        <f t="shared" si="91"/>
        <v>51</v>
      </c>
      <c r="H966" t="str">
        <f t="shared" si="92"/>
        <v xml:space="preserve">MARCUS VINICIUS </v>
      </c>
      <c r="I966" t="str">
        <f t="shared" si="93"/>
        <v>LABOR ELETRIC INDUSTRIA E COMERCIO UNIPESSOAL LTDA</v>
      </c>
      <c r="J966">
        <f t="shared" si="94"/>
        <v>0</v>
      </c>
      <c r="K966">
        <f t="shared" si="95"/>
        <v>1</v>
      </c>
    </row>
    <row r="967" spans="1:11" x14ac:dyDescent="0.25">
      <c r="A967" t="s">
        <v>385</v>
      </c>
      <c r="B967" t="s">
        <v>132</v>
      </c>
      <c r="C967" t="s">
        <v>66</v>
      </c>
      <c r="D967" s="3">
        <v>45643</v>
      </c>
      <c r="E967" t="str">
        <f>VLOOKUP(B967,'PROCV GERENTES BD'!A:B,2,0)</f>
        <v xml:space="preserve">MARCUS VINICIUS </v>
      </c>
      <c r="F967" s="4" t="str">
        <f t="shared" si="90"/>
        <v>2024-12</v>
      </c>
      <c r="G967" s="18">
        <f t="shared" si="91"/>
        <v>51</v>
      </c>
      <c r="H967" t="str">
        <f t="shared" si="92"/>
        <v xml:space="preserve">MARCUS VINICIUS </v>
      </c>
      <c r="I967" t="str">
        <f t="shared" si="93"/>
        <v>RODOANEL REFORMADORA DE IMPLEMENTOS RODOVIARIOS LT</v>
      </c>
      <c r="J967">
        <f t="shared" si="94"/>
        <v>1</v>
      </c>
      <c r="K967">
        <f t="shared" si="95"/>
        <v>0</v>
      </c>
    </row>
    <row r="968" spans="1:11" x14ac:dyDescent="0.25">
      <c r="A968" t="s">
        <v>339</v>
      </c>
      <c r="B968" t="s">
        <v>87</v>
      </c>
      <c r="C968" t="s">
        <v>50</v>
      </c>
      <c r="D968" s="3">
        <v>45643</v>
      </c>
      <c r="E968" t="str">
        <f>VLOOKUP(B968,'PROCV GERENTES BD'!A:B,2,0)</f>
        <v>NOELI SALETE</v>
      </c>
      <c r="F968" s="4" t="str">
        <f t="shared" si="90"/>
        <v>2024-12</v>
      </c>
      <c r="G968" s="18">
        <f t="shared" si="91"/>
        <v>51</v>
      </c>
      <c r="H968" t="str">
        <f t="shared" si="92"/>
        <v>NOELI SALETE</v>
      </c>
      <c r="I968" t="str">
        <f t="shared" si="93"/>
        <v>RODOBOX TRANSPORTES E ARMAZENAGEM DE CARGAS LTDA</v>
      </c>
      <c r="J968">
        <f t="shared" si="94"/>
        <v>0</v>
      </c>
      <c r="K968">
        <f t="shared" si="95"/>
        <v>1</v>
      </c>
    </row>
    <row r="969" spans="1:11" x14ac:dyDescent="0.25">
      <c r="A969" t="s">
        <v>394</v>
      </c>
      <c r="B969" t="s">
        <v>143</v>
      </c>
      <c r="C969" t="s">
        <v>50</v>
      </c>
      <c r="D969" s="3">
        <v>45643</v>
      </c>
      <c r="E969" t="str">
        <f>VLOOKUP(B969,'PROCV GERENTES BD'!A:B,2,0)</f>
        <v>NOELI SALETE</v>
      </c>
      <c r="F969" s="4" t="str">
        <f t="shared" si="90"/>
        <v>2024-12</v>
      </c>
      <c r="G969" s="18">
        <f t="shared" si="91"/>
        <v>51</v>
      </c>
      <c r="H969" t="str">
        <f t="shared" si="92"/>
        <v>NOELI SALETE</v>
      </c>
      <c r="I969" t="str">
        <f t="shared" si="93"/>
        <v>ALBERTO H DA SILVA ME</v>
      </c>
      <c r="J969">
        <f t="shared" si="94"/>
        <v>0</v>
      </c>
      <c r="K969">
        <f t="shared" si="95"/>
        <v>1</v>
      </c>
    </row>
    <row r="970" spans="1:11" x14ac:dyDescent="0.25">
      <c r="A970" t="s">
        <v>389</v>
      </c>
      <c r="B970" t="s">
        <v>136</v>
      </c>
      <c r="C970" t="s">
        <v>66</v>
      </c>
      <c r="D970" s="3">
        <v>45643</v>
      </c>
      <c r="E970" t="str">
        <f>VLOOKUP(B970,'PROCV GERENTES BD'!A:B,2,0)</f>
        <v>POENATELA</v>
      </c>
      <c r="F970" s="4" t="str">
        <f t="shared" si="90"/>
        <v>2024-12</v>
      </c>
      <c r="G970" s="18">
        <f t="shared" si="91"/>
        <v>51</v>
      </c>
      <c r="H970" t="str">
        <f t="shared" si="92"/>
        <v>POENATELA</v>
      </c>
      <c r="I970" t="str">
        <f t="shared" si="93"/>
        <v>CONQUISTA INDUSTRIA DE MOVEIS S/A</v>
      </c>
      <c r="J970">
        <f t="shared" si="94"/>
        <v>1</v>
      </c>
      <c r="K970">
        <f t="shared" si="95"/>
        <v>0</v>
      </c>
    </row>
    <row r="971" spans="1:11" x14ac:dyDescent="0.25">
      <c r="A971" t="s">
        <v>420</v>
      </c>
      <c r="B971" t="s">
        <v>170</v>
      </c>
      <c r="C971" t="s">
        <v>50</v>
      </c>
      <c r="D971" s="3">
        <v>45643</v>
      </c>
      <c r="E971" t="str">
        <f>VLOOKUP(B971,'PROCV GERENTES BD'!A:B,2,0)</f>
        <v>POENATELA</v>
      </c>
      <c r="F971" s="4" t="str">
        <f t="shared" si="90"/>
        <v>2024-12</v>
      </c>
      <c r="G971" s="18">
        <f t="shared" si="91"/>
        <v>51</v>
      </c>
      <c r="H971" t="str">
        <f t="shared" si="92"/>
        <v>POENATELA</v>
      </c>
      <c r="I971" t="str">
        <f t="shared" si="93"/>
        <v>SAVIXX COMERCIO INTERNACIONAL S/A</v>
      </c>
      <c r="J971">
        <f t="shared" si="94"/>
        <v>0</v>
      </c>
      <c r="K971">
        <f t="shared" si="95"/>
        <v>1</v>
      </c>
    </row>
    <row r="972" spans="1:11" x14ac:dyDescent="0.25">
      <c r="A972" t="s">
        <v>346</v>
      </c>
      <c r="B972" t="s">
        <v>91</v>
      </c>
      <c r="C972" t="s">
        <v>50</v>
      </c>
      <c r="D972" s="3">
        <v>45643</v>
      </c>
      <c r="E972" t="str">
        <f>VLOOKUP(B972,'PROCV GERENTES BD'!A:B,2,0)</f>
        <v>POENATELA</v>
      </c>
      <c r="F972" s="4" t="str">
        <f t="shared" si="90"/>
        <v>2024-12</v>
      </c>
      <c r="G972" s="18">
        <f t="shared" si="91"/>
        <v>51</v>
      </c>
      <c r="H972" t="str">
        <f t="shared" si="92"/>
        <v>POENATELA</v>
      </c>
      <c r="I972" t="str">
        <f t="shared" si="93"/>
        <v>UBERTEC SERVICE USINAGEM LTDA EPP</v>
      </c>
      <c r="J972">
        <f t="shared" si="94"/>
        <v>0</v>
      </c>
      <c r="K972">
        <f t="shared" si="95"/>
        <v>1</v>
      </c>
    </row>
    <row r="973" spans="1:11" x14ac:dyDescent="0.25">
      <c r="A973" t="s">
        <v>353</v>
      </c>
      <c r="B973" t="s">
        <v>97</v>
      </c>
      <c r="C973" t="s">
        <v>50</v>
      </c>
      <c r="D973" s="3">
        <v>45643</v>
      </c>
      <c r="E973" t="str">
        <f>VLOOKUP(B973,'PROCV GERENTES BD'!A:B,2,0)</f>
        <v>PRISCILA METZ</v>
      </c>
      <c r="F973" s="4" t="str">
        <f t="shared" si="90"/>
        <v>2024-12</v>
      </c>
      <c r="G973" s="18">
        <f t="shared" si="91"/>
        <v>51</v>
      </c>
      <c r="H973" t="str">
        <f t="shared" si="92"/>
        <v>PRISCILA METZ</v>
      </c>
      <c r="I973" t="str">
        <f t="shared" si="93"/>
        <v>ESSENZA INDUSTRIA QUIMICA LTDA</v>
      </c>
      <c r="J973">
        <f t="shared" si="94"/>
        <v>0</v>
      </c>
      <c r="K973">
        <f t="shared" si="95"/>
        <v>1</v>
      </c>
    </row>
    <row r="974" spans="1:11" x14ac:dyDescent="0.25">
      <c r="A974" t="s">
        <v>376</v>
      </c>
      <c r="B974" t="s">
        <v>121</v>
      </c>
      <c r="C974" t="s">
        <v>50</v>
      </c>
      <c r="D974" s="3">
        <v>45643</v>
      </c>
      <c r="E974" t="str">
        <f>VLOOKUP(B974,'PROCV GERENTES BD'!A:B,2,0)</f>
        <v>PRISCILA METZ</v>
      </c>
      <c r="F974" s="4" t="str">
        <f t="shared" si="90"/>
        <v>2024-12</v>
      </c>
      <c r="G974" s="18">
        <f t="shared" si="91"/>
        <v>51</v>
      </c>
      <c r="H974" t="str">
        <f t="shared" si="92"/>
        <v>PRISCILA METZ</v>
      </c>
      <c r="I974" t="str">
        <f t="shared" si="93"/>
        <v>NOVA DISTRIBUIDORA E ATACADO DE LIMPEZA LTDA</v>
      </c>
      <c r="J974">
        <f t="shared" si="94"/>
        <v>0</v>
      </c>
      <c r="K974">
        <f t="shared" si="95"/>
        <v>1</v>
      </c>
    </row>
    <row r="975" spans="1:11" x14ac:dyDescent="0.25">
      <c r="A975" t="s">
        <v>434</v>
      </c>
      <c r="B975" t="s">
        <v>185</v>
      </c>
      <c r="C975" t="s">
        <v>50</v>
      </c>
      <c r="D975" s="3">
        <v>45643</v>
      </c>
      <c r="E975" t="str">
        <f>VLOOKUP(B975,'PROCV GERENTES BD'!A:B,2,0)</f>
        <v>RAFAEL PARISE</v>
      </c>
      <c r="F975" s="4" t="str">
        <f t="shared" si="90"/>
        <v>2024-12</v>
      </c>
      <c r="G975" s="18">
        <f t="shared" si="91"/>
        <v>51</v>
      </c>
      <c r="H975" t="str">
        <f t="shared" si="92"/>
        <v>RAFAEL PARISE</v>
      </c>
      <c r="I975" t="str">
        <f t="shared" si="93"/>
        <v>MARCAS COMERCIO LTDA ME</v>
      </c>
      <c r="J975">
        <f t="shared" si="94"/>
        <v>0</v>
      </c>
      <c r="K975">
        <f t="shared" si="95"/>
        <v>1</v>
      </c>
    </row>
    <row r="976" spans="1:11" x14ac:dyDescent="0.25">
      <c r="A976" t="s">
        <v>76</v>
      </c>
      <c r="B976" t="s">
        <v>77</v>
      </c>
      <c r="C976" t="s">
        <v>66</v>
      </c>
      <c r="D976" s="3">
        <v>45643</v>
      </c>
      <c r="E976" t="str">
        <f>VLOOKUP(B976,'PROCV GERENTES BD'!A:B,2,0)</f>
        <v>RAFAEL PARISE</v>
      </c>
      <c r="F976" s="4" t="str">
        <f t="shared" si="90"/>
        <v>2024-12</v>
      </c>
      <c r="G976" s="18">
        <f t="shared" si="91"/>
        <v>51</v>
      </c>
      <c r="H976" t="str">
        <f t="shared" si="92"/>
        <v>RAFAEL PARISE</v>
      </c>
      <c r="I976" t="str">
        <f t="shared" si="93"/>
        <v>UNITA AUTO PECAS LTDA EPP</v>
      </c>
      <c r="J976">
        <f t="shared" si="94"/>
        <v>1</v>
      </c>
      <c r="K976">
        <f t="shared" si="95"/>
        <v>0</v>
      </c>
    </row>
    <row r="977" spans="1:11" x14ac:dyDescent="0.25">
      <c r="A977" t="s">
        <v>326</v>
      </c>
      <c r="B977" t="s">
        <v>122</v>
      </c>
      <c r="C977" t="s">
        <v>66</v>
      </c>
      <c r="D977" s="3">
        <v>45643</v>
      </c>
      <c r="E977" t="s">
        <v>21</v>
      </c>
      <c r="F977" s="4" t="str">
        <f t="shared" si="90"/>
        <v>2024-12</v>
      </c>
      <c r="G977" s="18">
        <f t="shared" si="91"/>
        <v>51</v>
      </c>
      <c r="H977" t="str">
        <f t="shared" si="92"/>
        <v xml:space="preserve">ROGERIO </v>
      </c>
      <c r="I977" t="str">
        <f t="shared" si="93"/>
        <v>BIBE PRODUTOS INFANTIS LTDA</v>
      </c>
      <c r="J977">
        <f t="shared" si="94"/>
        <v>1</v>
      </c>
      <c r="K977">
        <f t="shared" si="95"/>
        <v>0</v>
      </c>
    </row>
    <row r="978" spans="1:11" x14ac:dyDescent="0.25">
      <c r="A978" t="s">
        <v>319</v>
      </c>
      <c r="B978" t="s">
        <v>80</v>
      </c>
      <c r="C978" t="s">
        <v>53</v>
      </c>
      <c r="D978" s="3">
        <v>45644</v>
      </c>
      <c r="E978" t="str">
        <f>VLOOKUP(B978,'PROCV GERENTES BD'!A:B,2,0)</f>
        <v>CELIO PIMENTA</v>
      </c>
      <c r="F978" s="4" t="str">
        <f t="shared" si="90"/>
        <v>2024-12</v>
      </c>
      <c r="G978" s="18">
        <f t="shared" si="91"/>
        <v>51</v>
      </c>
      <c r="H978" t="str">
        <f t="shared" si="92"/>
        <v>CELIO PIMENTA</v>
      </c>
      <c r="I978" t="str">
        <f t="shared" si="93"/>
        <v>IMPORTEXTIL COMERCIO DE TECIDOS LTDA</v>
      </c>
      <c r="J978">
        <f t="shared" si="94"/>
        <v>1</v>
      </c>
      <c r="K978">
        <f t="shared" si="95"/>
        <v>1</v>
      </c>
    </row>
    <row r="979" spans="1:11" x14ac:dyDescent="0.25">
      <c r="A979" t="s">
        <v>54</v>
      </c>
      <c r="B979" t="s">
        <v>55</v>
      </c>
      <c r="C979" t="s">
        <v>66</v>
      </c>
      <c r="D979" s="3">
        <v>45644</v>
      </c>
      <c r="E979" t="str">
        <f>VLOOKUP(B979,'PROCV GERENTES BD'!A:B,2,0)</f>
        <v>CELIO PIMENTA</v>
      </c>
      <c r="F979" s="4" t="str">
        <f t="shared" si="90"/>
        <v>2024-12</v>
      </c>
      <c r="G979" s="18">
        <f t="shared" si="91"/>
        <v>51</v>
      </c>
      <c r="H979" t="str">
        <f t="shared" si="92"/>
        <v>CELIO PIMENTA</v>
      </c>
      <c r="I979" t="str">
        <f t="shared" si="93"/>
        <v>WJ CALDEIRARIA INDUSTRIA E COMERCIO LTDA ME</v>
      </c>
      <c r="J979">
        <f t="shared" si="94"/>
        <v>1</v>
      </c>
      <c r="K979">
        <f t="shared" si="95"/>
        <v>0</v>
      </c>
    </row>
    <row r="980" spans="1:11" x14ac:dyDescent="0.25">
      <c r="A980" t="s">
        <v>415</v>
      </c>
      <c r="B980" t="s">
        <v>165</v>
      </c>
      <c r="C980" t="s">
        <v>66</v>
      </c>
      <c r="D980" s="3">
        <v>45644</v>
      </c>
      <c r="E980" t="str">
        <f>VLOOKUP(B980,'PROCV GERENTES BD'!A:B,2,0)</f>
        <v>PROSPECTAR</v>
      </c>
      <c r="F980" s="4" t="str">
        <f t="shared" si="90"/>
        <v>2024-12</v>
      </c>
      <c r="G980" s="18">
        <f t="shared" si="91"/>
        <v>51</v>
      </c>
      <c r="H980" t="str">
        <f t="shared" si="92"/>
        <v>PROSPECTAR</v>
      </c>
      <c r="I980" t="str">
        <f t="shared" si="93"/>
        <v>STA SERVICOS LTDA</v>
      </c>
      <c r="J980">
        <f t="shared" si="94"/>
        <v>1</v>
      </c>
      <c r="K980">
        <f t="shared" si="95"/>
        <v>0</v>
      </c>
    </row>
    <row r="981" spans="1:11" x14ac:dyDescent="0.25">
      <c r="A981" t="s">
        <v>324</v>
      </c>
      <c r="B981" t="s">
        <v>119</v>
      </c>
      <c r="C981" t="s">
        <v>66</v>
      </c>
      <c r="D981" s="3">
        <v>45644</v>
      </c>
      <c r="E981" t="str">
        <f>VLOOKUP(B981,'PROCV GERENTES BD'!A:B,2,0)</f>
        <v>PROSPECTAR</v>
      </c>
      <c r="F981" s="4" t="str">
        <f t="shared" si="90"/>
        <v>2024-12</v>
      </c>
      <c r="G981" s="18">
        <f t="shared" si="91"/>
        <v>51</v>
      </c>
      <c r="H981" t="str">
        <f t="shared" si="92"/>
        <v>PROSPECTAR</v>
      </c>
      <c r="I981" t="str">
        <f t="shared" si="93"/>
        <v>TRANSHENRY TRANSPORTES LTDA</v>
      </c>
      <c r="J981">
        <f t="shared" si="94"/>
        <v>1</v>
      </c>
      <c r="K981">
        <f t="shared" si="95"/>
        <v>0</v>
      </c>
    </row>
    <row r="982" spans="1:11" x14ac:dyDescent="0.25">
      <c r="A982" t="s">
        <v>428</v>
      </c>
      <c r="B982" t="s">
        <v>179</v>
      </c>
      <c r="C982" t="s">
        <v>50</v>
      </c>
      <c r="D982" s="3">
        <v>45644</v>
      </c>
      <c r="E982" t="str">
        <f>VLOOKUP(B982,'PROCV GERENTES BD'!A:B,2,0)</f>
        <v xml:space="preserve">MARCUS VINICIUS </v>
      </c>
      <c r="F982" s="4" t="str">
        <f t="shared" si="90"/>
        <v>2024-12</v>
      </c>
      <c r="G982" s="18">
        <f t="shared" si="91"/>
        <v>51</v>
      </c>
      <c r="H982" t="str">
        <f t="shared" si="92"/>
        <v xml:space="preserve">MARCUS VINICIUS </v>
      </c>
      <c r="I982" t="str">
        <f t="shared" si="93"/>
        <v>LABOR ELETRIC INDUSTRIA E COMERCIO UNIPESSOAL LTDA</v>
      </c>
      <c r="J982">
        <f t="shared" si="94"/>
        <v>0</v>
      </c>
      <c r="K982">
        <f t="shared" si="95"/>
        <v>1</v>
      </c>
    </row>
    <row r="983" spans="1:11" x14ac:dyDescent="0.25">
      <c r="A983" t="s">
        <v>339</v>
      </c>
      <c r="B983" t="s">
        <v>87</v>
      </c>
      <c r="C983" t="s">
        <v>327</v>
      </c>
      <c r="D983" s="3">
        <v>45644</v>
      </c>
      <c r="E983" t="str">
        <f>VLOOKUP(B983,'PROCV GERENTES BD'!A:B,2,0)</f>
        <v>NOELI SALETE</v>
      </c>
      <c r="F983" s="4" t="str">
        <f t="shared" si="90"/>
        <v>2024-12</v>
      </c>
      <c r="G983" s="18">
        <f t="shared" si="91"/>
        <v>51</v>
      </c>
      <c r="H983" t="str">
        <f t="shared" si="92"/>
        <v>NOELI SALETE</v>
      </c>
      <c r="I983" t="str">
        <f t="shared" si="93"/>
        <v>RODOBOX TRANSPORTES E ARMAZENAGEM DE CARGAS LTDA</v>
      </c>
      <c r="J983">
        <f t="shared" si="94"/>
        <v>0</v>
      </c>
      <c r="K983">
        <f t="shared" si="95"/>
        <v>0</v>
      </c>
    </row>
    <row r="984" spans="1:11" x14ac:dyDescent="0.25">
      <c r="A984" t="s">
        <v>339</v>
      </c>
      <c r="B984" t="s">
        <v>87</v>
      </c>
      <c r="C984" t="s">
        <v>329</v>
      </c>
      <c r="D984" s="3">
        <v>45644</v>
      </c>
      <c r="E984" t="str">
        <f>VLOOKUP(B984,'PROCV GERENTES BD'!A:B,2,0)</f>
        <v>NOELI SALETE</v>
      </c>
      <c r="F984" s="4" t="str">
        <f t="shared" si="90"/>
        <v>2024-12</v>
      </c>
      <c r="G984" s="18">
        <f t="shared" si="91"/>
        <v>51</v>
      </c>
      <c r="H984" t="str">
        <f t="shared" si="92"/>
        <v>NOELI SALETE</v>
      </c>
      <c r="I984" t="str">
        <f t="shared" si="93"/>
        <v>RODOBOX TRANSPORTES E ARMAZENAGEM DE CARGAS LTDA</v>
      </c>
      <c r="J984">
        <f t="shared" si="94"/>
        <v>0</v>
      </c>
      <c r="K984">
        <f t="shared" si="95"/>
        <v>0</v>
      </c>
    </row>
    <row r="985" spans="1:11" x14ac:dyDescent="0.25">
      <c r="A985" t="s">
        <v>438</v>
      </c>
      <c r="B985" t="s">
        <v>189</v>
      </c>
      <c r="C985" t="s">
        <v>53</v>
      </c>
      <c r="D985" s="3">
        <v>45644</v>
      </c>
      <c r="E985" t="str">
        <f>VLOOKUP(B985,'PROCV GERENTES BD'!A:B,2,0)</f>
        <v>NOELI SALETE</v>
      </c>
      <c r="F985" s="4" t="str">
        <f t="shared" si="90"/>
        <v>2024-12</v>
      </c>
      <c r="G985" s="18">
        <f t="shared" si="91"/>
        <v>51</v>
      </c>
      <c r="H985" t="str">
        <f t="shared" si="92"/>
        <v>NOELI SALETE</v>
      </c>
      <c r="I985" t="str">
        <f t="shared" si="93"/>
        <v>AGRO INDUSTRIAL LAZZERI LTDA</v>
      </c>
      <c r="J985">
        <f t="shared" si="94"/>
        <v>1</v>
      </c>
      <c r="K985">
        <f t="shared" si="95"/>
        <v>1</v>
      </c>
    </row>
    <row r="986" spans="1:11" x14ac:dyDescent="0.25">
      <c r="A986" t="s">
        <v>394</v>
      </c>
      <c r="B986" t="s">
        <v>143</v>
      </c>
      <c r="C986" t="s">
        <v>50</v>
      </c>
      <c r="D986" s="3">
        <v>45644</v>
      </c>
      <c r="E986" t="str">
        <f>VLOOKUP(B986,'PROCV GERENTES BD'!A:B,2,0)</f>
        <v>NOELI SALETE</v>
      </c>
      <c r="F986" s="4" t="str">
        <f t="shared" si="90"/>
        <v>2024-12</v>
      </c>
      <c r="G986" s="18">
        <f t="shared" si="91"/>
        <v>51</v>
      </c>
      <c r="H986" t="str">
        <f t="shared" si="92"/>
        <v>NOELI SALETE</v>
      </c>
      <c r="I986" t="str">
        <f t="shared" si="93"/>
        <v>ALBERTO H DA SILVA ME</v>
      </c>
      <c r="J986">
        <f t="shared" si="94"/>
        <v>0</v>
      </c>
      <c r="K986">
        <f t="shared" si="95"/>
        <v>1</v>
      </c>
    </row>
    <row r="987" spans="1:11" x14ac:dyDescent="0.25">
      <c r="A987" t="s">
        <v>389</v>
      </c>
      <c r="B987" t="s">
        <v>136</v>
      </c>
      <c r="C987" t="s">
        <v>66</v>
      </c>
      <c r="D987" s="3">
        <v>45644</v>
      </c>
      <c r="E987" t="str">
        <f>VLOOKUP(B987,'PROCV GERENTES BD'!A:B,2,0)</f>
        <v>POENATELA</v>
      </c>
      <c r="F987" s="4" t="str">
        <f t="shared" si="90"/>
        <v>2024-12</v>
      </c>
      <c r="G987" s="18">
        <f t="shared" si="91"/>
        <v>51</v>
      </c>
      <c r="H987" t="str">
        <f t="shared" si="92"/>
        <v>POENATELA</v>
      </c>
      <c r="I987" t="str">
        <f t="shared" si="93"/>
        <v>CONQUISTA INDUSTRIA DE MOVEIS S/A</v>
      </c>
      <c r="J987">
        <f t="shared" si="94"/>
        <v>1</v>
      </c>
      <c r="K987">
        <f t="shared" si="95"/>
        <v>0</v>
      </c>
    </row>
    <row r="988" spans="1:11" x14ac:dyDescent="0.25">
      <c r="A988" t="s">
        <v>353</v>
      </c>
      <c r="B988" t="s">
        <v>97</v>
      </c>
      <c r="C988" t="s">
        <v>50</v>
      </c>
      <c r="D988" s="3">
        <v>45644</v>
      </c>
      <c r="E988" t="str">
        <f>VLOOKUP(B988,'PROCV GERENTES BD'!A:B,2,0)</f>
        <v>PRISCILA METZ</v>
      </c>
      <c r="F988" s="4" t="str">
        <f t="shared" si="90"/>
        <v>2024-12</v>
      </c>
      <c r="G988" s="18">
        <f t="shared" si="91"/>
        <v>51</v>
      </c>
      <c r="H988" t="str">
        <f t="shared" si="92"/>
        <v>PRISCILA METZ</v>
      </c>
      <c r="I988" t="str">
        <f t="shared" si="93"/>
        <v>ESSENZA INDUSTRIA QUIMICA LTDA</v>
      </c>
      <c r="J988">
        <f t="shared" si="94"/>
        <v>0</v>
      </c>
      <c r="K988">
        <f t="shared" si="95"/>
        <v>1</v>
      </c>
    </row>
    <row r="989" spans="1:11" x14ac:dyDescent="0.25">
      <c r="A989" t="s">
        <v>434</v>
      </c>
      <c r="B989" t="s">
        <v>185</v>
      </c>
      <c r="C989" t="s">
        <v>50</v>
      </c>
      <c r="D989" s="3">
        <v>45644</v>
      </c>
      <c r="E989" t="str">
        <f>VLOOKUP(B989,'PROCV GERENTES BD'!A:B,2,0)</f>
        <v>RAFAEL PARISE</v>
      </c>
      <c r="F989" s="4" t="str">
        <f t="shared" si="90"/>
        <v>2024-12</v>
      </c>
      <c r="G989" s="18">
        <f t="shared" si="91"/>
        <v>51</v>
      </c>
      <c r="H989" t="str">
        <f t="shared" si="92"/>
        <v>RAFAEL PARISE</v>
      </c>
      <c r="I989" t="str">
        <f t="shared" si="93"/>
        <v>MARCAS COMERCIO LTDA ME</v>
      </c>
      <c r="J989">
        <f t="shared" si="94"/>
        <v>0</v>
      </c>
      <c r="K989">
        <f t="shared" si="95"/>
        <v>1</v>
      </c>
    </row>
    <row r="990" spans="1:11" x14ac:dyDescent="0.25">
      <c r="A990" t="s">
        <v>431</v>
      </c>
      <c r="B990" t="s">
        <v>182</v>
      </c>
      <c r="C990" t="s">
        <v>50</v>
      </c>
      <c r="D990" s="3">
        <v>45644</v>
      </c>
      <c r="E990" t="s">
        <v>21</v>
      </c>
      <c r="F990" s="4" t="str">
        <f t="shared" si="90"/>
        <v>2024-12</v>
      </c>
      <c r="G990" s="18">
        <f t="shared" si="91"/>
        <v>51</v>
      </c>
      <c r="H990" t="str">
        <f t="shared" si="92"/>
        <v xml:space="preserve">ROGERIO </v>
      </c>
      <c r="I990" t="str">
        <f t="shared" si="93"/>
        <v>GRF JEANS WEAR LTDA ME</v>
      </c>
      <c r="J990">
        <f t="shared" si="94"/>
        <v>0</v>
      </c>
      <c r="K990">
        <f t="shared" si="95"/>
        <v>1</v>
      </c>
    </row>
    <row r="991" spans="1:11" x14ac:dyDescent="0.25">
      <c r="A991" t="s">
        <v>404</v>
      </c>
      <c r="B991" t="s">
        <v>154</v>
      </c>
      <c r="C991" t="s">
        <v>66</v>
      </c>
      <c r="D991" s="3">
        <v>45645</v>
      </c>
      <c r="E991" t="str">
        <f>VLOOKUP(B991,'PROCV GERENTES BD'!A:B,2,0)</f>
        <v>ADMINISTRAÇÃO</v>
      </c>
      <c r="F991" s="4" t="str">
        <f t="shared" si="90"/>
        <v>2024-12</v>
      </c>
      <c r="G991" s="18">
        <f t="shared" si="91"/>
        <v>51</v>
      </c>
      <c r="H991" t="str">
        <f t="shared" si="92"/>
        <v>ADMINISTRAÇÃO</v>
      </c>
      <c r="I991" t="str">
        <f t="shared" si="93"/>
        <v>PRIVILEGIO CONFECCOES CAMA MESA E BANHO LTDA EPP</v>
      </c>
      <c r="J991">
        <f t="shared" si="94"/>
        <v>1</v>
      </c>
      <c r="K991">
        <f t="shared" si="95"/>
        <v>0</v>
      </c>
    </row>
    <row r="992" spans="1:11" x14ac:dyDescent="0.25">
      <c r="A992" t="s">
        <v>383</v>
      </c>
      <c r="B992" t="s">
        <v>130</v>
      </c>
      <c r="C992" t="s">
        <v>66</v>
      </c>
      <c r="D992" s="3">
        <v>45645</v>
      </c>
      <c r="E992" t="str">
        <f>VLOOKUP(B992,'PROCV GERENTES BD'!A:B,2,0)</f>
        <v>CELIO PIMENTA</v>
      </c>
      <c r="F992" s="4" t="str">
        <f t="shared" si="90"/>
        <v>2024-12</v>
      </c>
      <c r="G992" s="18">
        <f t="shared" si="91"/>
        <v>51</v>
      </c>
      <c r="H992" t="str">
        <f t="shared" si="92"/>
        <v>CELIO PIMENTA</v>
      </c>
      <c r="I992" t="str">
        <f t="shared" si="93"/>
        <v>JR X IMPORT LTDA EPP</v>
      </c>
      <c r="J992">
        <f t="shared" si="94"/>
        <v>1</v>
      </c>
      <c r="K992">
        <f t="shared" si="95"/>
        <v>0</v>
      </c>
    </row>
    <row r="993" spans="1:11" x14ac:dyDescent="0.25">
      <c r="A993" t="s">
        <v>54</v>
      </c>
      <c r="B993" t="s">
        <v>55</v>
      </c>
      <c r="C993" t="s">
        <v>66</v>
      </c>
      <c r="D993" s="3">
        <v>45645</v>
      </c>
      <c r="E993" t="str">
        <f>VLOOKUP(B993,'PROCV GERENTES BD'!A:B,2,0)</f>
        <v>CELIO PIMENTA</v>
      </c>
      <c r="F993" s="4" t="str">
        <f t="shared" si="90"/>
        <v>2024-12</v>
      </c>
      <c r="G993" s="18">
        <f t="shared" si="91"/>
        <v>51</v>
      </c>
      <c r="H993" t="str">
        <f t="shared" si="92"/>
        <v>CELIO PIMENTA</v>
      </c>
      <c r="I993" t="str">
        <f t="shared" si="93"/>
        <v>WJ CALDEIRARIA INDUSTRIA E COMERCIO LTDA ME</v>
      </c>
      <c r="J993">
        <f t="shared" si="94"/>
        <v>1</v>
      </c>
      <c r="K993">
        <f t="shared" si="95"/>
        <v>0</v>
      </c>
    </row>
    <row r="994" spans="1:11" x14ac:dyDescent="0.25">
      <c r="A994" t="s">
        <v>358</v>
      </c>
      <c r="B994" t="s">
        <v>104</v>
      </c>
      <c r="C994" t="s">
        <v>66</v>
      </c>
      <c r="D994" s="3">
        <v>45645</v>
      </c>
      <c r="E994" t="str">
        <f>VLOOKUP(B994,'PROCV GERENTES BD'!A:B,2,0)</f>
        <v>DIOGO AZEVEDO</v>
      </c>
      <c r="F994" s="4" t="str">
        <f t="shared" si="90"/>
        <v>2024-12</v>
      </c>
      <c r="G994" s="18">
        <f t="shared" si="91"/>
        <v>51</v>
      </c>
      <c r="H994" t="str">
        <f t="shared" si="92"/>
        <v>DIOGO AZEVEDO</v>
      </c>
      <c r="I994" t="str">
        <f t="shared" si="93"/>
        <v>INDUSTRIA E CERVEJARIA ARTESANAL DE MINAS GERAIS L</v>
      </c>
      <c r="J994">
        <f t="shared" si="94"/>
        <v>1</v>
      </c>
      <c r="K994">
        <f t="shared" si="95"/>
        <v>0</v>
      </c>
    </row>
    <row r="995" spans="1:11" x14ac:dyDescent="0.25">
      <c r="A995" t="s">
        <v>440</v>
      </c>
      <c r="B995" t="s">
        <v>191</v>
      </c>
      <c r="C995" t="s">
        <v>66</v>
      </c>
      <c r="D995" s="3">
        <v>45645</v>
      </c>
      <c r="E995" t="str">
        <f>VLOOKUP(B995,'PROCV GERENTES BD'!A:B,2,0)</f>
        <v>PROSPECTAR</v>
      </c>
      <c r="F995" s="4" t="str">
        <f t="shared" si="90"/>
        <v>2024-12</v>
      </c>
      <c r="G995" s="18">
        <f t="shared" si="91"/>
        <v>51</v>
      </c>
      <c r="H995" t="str">
        <f t="shared" si="92"/>
        <v>PROSPECTAR</v>
      </c>
      <c r="I995" t="str">
        <f t="shared" si="93"/>
        <v>SAFRA OURO AGRONEGOCIOS LTDA EPP</v>
      </c>
      <c r="J995">
        <f t="shared" si="94"/>
        <v>1</v>
      </c>
      <c r="K995">
        <f t="shared" si="95"/>
        <v>0</v>
      </c>
    </row>
    <row r="996" spans="1:11" x14ac:dyDescent="0.25">
      <c r="A996" t="s">
        <v>323</v>
      </c>
      <c r="B996" t="s">
        <v>109</v>
      </c>
      <c r="C996" t="s">
        <v>50</v>
      </c>
      <c r="D996" s="3">
        <v>45645</v>
      </c>
      <c r="E996" t="str">
        <f>VLOOKUP(B996,'PROCV GERENTES BD'!A:B,2,0)</f>
        <v>PROSPECTAR</v>
      </c>
      <c r="F996" s="4" t="str">
        <f t="shared" si="90"/>
        <v>2024-12</v>
      </c>
      <c r="G996" s="18">
        <f t="shared" si="91"/>
        <v>51</v>
      </c>
      <c r="H996" t="str">
        <f t="shared" si="92"/>
        <v>PROSPECTAR</v>
      </c>
      <c r="I996" t="str">
        <f t="shared" si="93"/>
        <v>SIAP COMERCIO DE PRODUTOS AGROPECUARIOS LTDA</v>
      </c>
      <c r="J996">
        <f t="shared" si="94"/>
        <v>0</v>
      </c>
      <c r="K996">
        <f t="shared" si="95"/>
        <v>1</v>
      </c>
    </row>
    <row r="997" spans="1:11" x14ac:dyDescent="0.25">
      <c r="A997" t="s">
        <v>428</v>
      </c>
      <c r="B997" t="s">
        <v>179</v>
      </c>
      <c r="C997" t="s">
        <v>50</v>
      </c>
      <c r="D997" s="3">
        <v>45645</v>
      </c>
      <c r="E997" t="str">
        <f>VLOOKUP(B997,'PROCV GERENTES BD'!A:B,2,0)</f>
        <v xml:space="preserve">MARCUS VINICIUS </v>
      </c>
      <c r="F997" s="4" t="str">
        <f t="shared" si="90"/>
        <v>2024-12</v>
      </c>
      <c r="G997" s="18">
        <f t="shared" si="91"/>
        <v>51</v>
      </c>
      <c r="H997" t="str">
        <f t="shared" si="92"/>
        <v xml:space="preserve">MARCUS VINICIUS </v>
      </c>
      <c r="I997" t="str">
        <f t="shared" si="93"/>
        <v>LABOR ELETRIC INDUSTRIA E COMERCIO UNIPESSOAL LTDA</v>
      </c>
      <c r="J997">
        <f t="shared" si="94"/>
        <v>0</v>
      </c>
      <c r="K997">
        <f t="shared" si="95"/>
        <v>1</v>
      </c>
    </row>
    <row r="998" spans="1:11" x14ac:dyDescent="0.25">
      <c r="A998" t="s">
        <v>438</v>
      </c>
      <c r="B998" t="s">
        <v>189</v>
      </c>
      <c r="C998" t="s">
        <v>66</v>
      </c>
      <c r="D998" s="3">
        <v>45645</v>
      </c>
      <c r="E998" t="str">
        <f>VLOOKUP(B998,'PROCV GERENTES BD'!A:B,2,0)</f>
        <v>NOELI SALETE</v>
      </c>
      <c r="F998" s="4" t="str">
        <f t="shared" si="90"/>
        <v>2024-12</v>
      </c>
      <c r="G998" s="18">
        <f t="shared" si="91"/>
        <v>51</v>
      </c>
      <c r="H998" t="str">
        <f t="shared" si="92"/>
        <v>NOELI SALETE</v>
      </c>
      <c r="I998" t="str">
        <f t="shared" si="93"/>
        <v>AGRO INDUSTRIAL LAZZERI LTDA</v>
      </c>
      <c r="J998">
        <f t="shared" si="94"/>
        <v>1</v>
      </c>
      <c r="K998">
        <f t="shared" si="95"/>
        <v>0</v>
      </c>
    </row>
    <row r="999" spans="1:11" x14ac:dyDescent="0.25">
      <c r="A999" t="s">
        <v>389</v>
      </c>
      <c r="B999" t="s">
        <v>136</v>
      </c>
      <c r="C999" t="s">
        <v>66</v>
      </c>
      <c r="D999" s="3">
        <v>45645</v>
      </c>
      <c r="E999" t="str">
        <f>VLOOKUP(B999,'PROCV GERENTES BD'!A:B,2,0)</f>
        <v>POENATELA</v>
      </c>
      <c r="F999" s="4" t="str">
        <f t="shared" si="90"/>
        <v>2024-12</v>
      </c>
      <c r="G999" s="18">
        <f t="shared" si="91"/>
        <v>51</v>
      </c>
      <c r="H999" t="str">
        <f t="shared" si="92"/>
        <v>POENATELA</v>
      </c>
      <c r="I999" t="str">
        <f t="shared" si="93"/>
        <v>CONQUISTA INDUSTRIA DE MOVEIS S/A</v>
      </c>
      <c r="J999">
        <f t="shared" si="94"/>
        <v>1</v>
      </c>
      <c r="K999">
        <f t="shared" si="95"/>
        <v>0</v>
      </c>
    </row>
    <row r="1000" spans="1:11" x14ac:dyDescent="0.25">
      <c r="A1000" t="s">
        <v>346</v>
      </c>
      <c r="B1000" t="s">
        <v>91</v>
      </c>
      <c r="C1000" t="s">
        <v>50</v>
      </c>
      <c r="D1000" s="3">
        <v>45645</v>
      </c>
      <c r="E1000" t="str">
        <f>VLOOKUP(B1000,'PROCV GERENTES BD'!A:B,2,0)</f>
        <v>POENATELA</v>
      </c>
      <c r="F1000" s="4" t="str">
        <f t="shared" si="90"/>
        <v>2024-12</v>
      </c>
      <c r="G1000" s="18">
        <f t="shared" si="91"/>
        <v>51</v>
      </c>
      <c r="H1000" t="str">
        <f t="shared" si="92"/>
        <v>POENATELA</v>
      </c>
      <c r="I1000" t="str">
        <f t="shared" si="93"/>
        <v>UBERTEC SERVICE USINAGEM LTDA EPP</v>
      </c>
      <c r="J1000">
        <f t="shared" si="94"/>
        <v>0</v>
      </c>
      <c r="K1000">
        <f t="shared" si="95"/>
        <v>1</v>
      </c>
    </row>
    <row r="1001" spans="1:11" x14ac:dyDescent="0.25">
      <c r="A1001" t="s">
        <v>326</v>
      </c>
      <c r="B1001" t="s">
        <v>122</v>
      </c>
      <c r="C1001" t="s">
        <v>66</v>
      </c>
      <c r="D1001" s="3">
        <v>45645</v>
      </c>
      <c r="E1001" t="s">
        <v>21</v>
      </c>
      <c r="F1001" s="4" t="str">
        <f t="shared" si="90"/>
        <v>2024-12</v>
      </c>
      <c r="G1001" s="18">
        <f t="shared" si="91"/>
        <v>51</v>
      </c>
      <c r="H1001" t="str">
        <f t="shared" si="92"/>
        <v xml:space="preserve">ROGERIO </v>
      </c>
      <c r="I1001" t="str">
        <f t="shared" si="93"/>
        <v>BIBE PRODUTOS INFANTIS LTDA</v>
      </c>
      <c r="J1001">
        <f t="shared" si="94"/>
        <v>1</v>
      </c>
      <c r="K1001">
        <f t="shared" si="95"/>
        <v>0</v>
      </c>
    </row>
    <row r="1002" spans="1:11" x14ac:dyDescent="0.25">
      <c r="A1002" t="s">
        <v>331</v>
      </c>
      <c r="B1002" t="s">
        <v>144</v>
      </c>
      <c r="C1002" t="s">
        <v>50</v>
      </c>
      <c r="D1002" s="3">
        <v>45646</v>
      </c>
      <c r="E1002" t="str">
        <f>VLOOKUP(B1002,'PROCV GERENTES BD'!A:B,2,0)</f>
        <v>ADMINISTRAÇÃO</v>
      </c>
      <c r="F1002" s="4" t="str">
        <f t="shared" si="90"/>
        <v>2024-12</v>
      </c>
      <c r="G1002" s="18">
        <f t="shared" si="91"/>
        <v>51</v>
      </c>
      <c r="H1002" t="str">
        <f t="shared" si="92"/>
        <v>ADMINISTRAÇÃO</v>
      </c>
      <c r="I1002" t="str">
        <f t="shared" si="93"/>
        <v>BOM PASTOR PAPEIS LTDA EM RECUPERACAO JUDICIAL</v>
      </c>
      <c r="J1002">
        <f t="shared" si="94"/>
        <v>0</v>
      </c>
      <c r="K1002">
        <f t="shared" si="95"/>
        <v>1</v>
      </c>
    </row>
    <row r="1003" spans="1:11" x14ac:dyDescent="0.25">
      <c r="A1003" t="s">
        <v>382</v>
      </c>
      <c r="B1003" t="s">
        <v>129</v>
      </c>
      <c r="C1003" t="s">
        <v>53</v>
      </c>
      <c r="D1003" s="3">
        <v>45646</v>
      </c>
      <c r="E1003" t="str">
        <f>VLOOKUP(B1003,'PROCV GERENTES BD'!A:B,2,0)</f>
        <v>ADMINISTRAÇÃO</v>
      </c>
      <c r="F1003" s="4" t="str">
        <f t="shared" si="90"/>
        <v>2024-12</v>
      </c>
      <c r="G1003" s="18">
        <f t="shared" si="91"/>
        <v>51</v>
      </c>
      <c r="H1003" t="str">
        <f t="shared" si="92"/>
        <v>ADMINISTRAÇÃO</v>
      </c>
      <c r="I1003" t="str">
        <f t="shared" si="93"/>
        <v>XEQUE MATE BEBIDAS LTDA ME</v>
      </c>
      <c r="J1003">
        <f t="shared" si="94"/>
        <v>1</v>
      </c>
      <c r="K1003">
        <f t="shared" si="95"/>
        <v>1</v>
      </c>
    </row>
    <row r="1004" spans="1:11" x14ac:dyDescent="0.25">
      <c r="A1004" t="s">
        <v>372</v>
      </c>
      <c r="B1004" t="s">
        <v>116</v>
      </c>
      <c r="C1004" t="s">
        <v>66</v>
      </c>
      <c r="D1004" s="3">
        <v>45646</v>
      </c>
      <c r="E1004" t="str">
        <f>VLOOKUP(B1004,'PROCV GERENTES BD'!A:B,2,0)</f>
        <v>ADMINISTRAÇÃO</v>
      </c>
      <c r="F1004" s="4" t="str">
        <f t="shared" si="90"/>
        <v>2024-12</v>
      </c>
      <c r="G1004" s="18">
        <f t="shared" si="91"/>
        <v>51</v>
      </c>
      <c r="H1004" t="str">
        <f t="shared" si="92"/>
        <v>ADMINISTRAÇÃO</v>
      </c>
      <c r="I1004" t="str">
        <f t="shared" si="93"/>
        <v>PREMOLDADOS MATOSINHOS LTDA EPP</v>
      </c>
      <c r="J1004">
        <f t="shared" si="94"/>
        <v>1</v>
      </c>
      <c r="K1004">
        <f t="shared" si="95"/>
        <v>0</v>
      </c>
    </row>
    <row r="1005" spans="1:11" x14ac:dyDescent="0.25">
      <c r="A1005" t="s">
        <v>319</v>
      </c>
      <c r="B1005" t="s">
        <v>80</v>
      </c>
      <c r="C1005" t="s">
        <v>50</v>
      </c>
      <c r="D1005" s="3">
        <v>45646</v>
      </c>
      <c r="E1005" t="str">
        <f>VLOOKUP(B1005,'PROCV GERENTES BD'!A:B,2,0)</f>
        <v>CELIO PIMENTA</v>
      </c>
      <c r="F1005" s="4" t="str">
        <f t="shared" si="90"/>
        <v>2024-12</v>
      </c>
      <c r="G1005" s="18">
        <f t="shared" si="91"/>
        <v>51</v>
      </c>
      <c r="H1005" t="str">
        <f t="shared" si="92"/>
        <v>CELIO PIMENTA</v>
      </c>
      <c r="I1005" t="str">
        <f t="shared" si="93"/>
        <v>IMPORTEXTIL COMERCIO DE TECIDOS LTDA</v>
      </c>
      <c r="J1005">
        <f t="shared" si="94"/>
        <v>0</v>
      </c>
      <c r="K1005">
        <f t="shared" si="95"/>
        <v>1</v>
      </c>
    </row>
    <row r="1006" spans="1:11" x14ac:dyDescent="0.25">
      <c r="A1006" t="s">
        <v>311</v>
      </c>
      <c r="B1006" t="s">
        <v>81</v>
      </c>
      <c r="C1006" t="s">
        <v>66</v>
      </c>
      <c r="D1006" s="3">
        <v>45646</v>
      </c>
      <c r="E1006" t="str">
        <f>VLOOKUP(B1006,'PROCV GERENTES BD'!A:B,2,0)</f>
        <v>CELIO PIMENTA</v>
      </c>
      <c r="F1006" s="4" t="str">
        <f t="shared" si="90"/>
        <v>2024-12</v>
      </c>
      <c r="G1006" s="18">
        <f t="shared" si="91"/>
        <v>51</v>
      </c>
      <c r="H1006" t="str">
        <f t="shared" si="92"/>
        <v>CELIO PIMENTA</v>
      </c>
      <c r="I1006" t="str">
        <f t="shared" si="93"/>
        <v>MBIOLOG DIAGNOSTICOS LTDA</v>
      </c>
      <c r="J1006">
        <f t="shared" si="94"/>
        <v>1</v>
      </c>
      <c r="K1006">
        <f t="shared" si="95"/>
        <v>0</v>
      </c>
    </row>
    <row r="1007" spans="1:11" x14ac:dyDescent="0.25">
      <c r="A1007" t="s">
        <v>358</v>
      </c>
      <c r="B1007" t="s">
        <v>104</v>
      </c>
      <c r="C1007" t="s">
        <v>66</v>
      </c>
      <c r="D1007" s="3">
        <v>45646</v>
      </c>
      <c r="E1007" t="str">
        <f>VLOOKUP(B1007,'PROCV GERENTES BD'!A:B,2,0)</f>
        <v>DIOGO AZEVEDO</v>
      </c>
      <c r="F1007" s="4" t="str">
        <f t="shared" si="90"/>
        <v>2024-12</v>
      </c>
      <c r="G1007" s="18">
        <f t="shared" si="91"/>
        <v>51</v>
      </c>
      <c r="H1007" t="str">
        <f t="shared" si="92"/>
        <v>DIOGO AZEVEDO</v>
      </c>
      <c r="I1007" t="str">
        <f t="shared" si="93"/>
        <v>INDUSTRIA E CERVEJARIA ARTESANAL DE MINAS GERAIS L</v>
      </c>
      <c r="J1007">
        <f t="shared" si="94"/>
        <v>1</v>
      </c>
      <c r="K1007">
        <f t="shared" si="95"/>
        <v>0</v>
      </c>
    </row>
    <row r="1008" spans="1:11" x14ac:dyDescent="0.25">
      <c r="A1008" t="s">
        <v>428</v>
      </c>
      <c r="B1008" t="s">
        <v>179</v>
      </c>
      <c r="C1008" t="s">
        <v>50</v>
      </c>
      <c r="D1008" s="3">
        <v>45646</v>
      </c>
      <c r="E1008" t="str">
        <f>VLOOKUP(B1008,'PROCV GERENTES BD'!A:B,2,0)</f>
        <v xml:space="preserve">MARCUS VINICIUS </v>
      </c>
      <c r="F1008" s="4" t="str">
        <f t="shared" si="90"/>
        <v>2024-12</v>
      </c>
      <c r="G1008" s="18">
        <f t="shared" si="91"/>
        <v>51</v>
      </c>
      <c r="H1008" t="str">
        <f t="shared" si="92"/>
        <v xml:space="preserve">MARCUS VINICIUS </v>
      </c>
      <c r="I1008" t="str">
        <f t="shared" si="93"/>
        <v>LABOR ELETRIC INDUSTRIA E COMERCIO UNIPESSOAL LTDA</v>
      </c>
      <c r="J1008">
        <f t="shared" si="94"/>
        <v>0</v>
      </c>
      <c r="K1008">
        <f t="shared" si="95"/>
        <v>1</v>
      </c>
    </row>
    <row r="1009" spans="1:11" x14ac:dyDescent="0.25">
      <c r="A1009" t="s">
        <v>394</v>
      </c>
      <c r="B1009" t="s">
        <v>143</v>
      </c>
      <c r="C1009" t="s">
        <v>50</v>
      </c>
      <c r="D1009" s="3">
        <v>45646</v>
      </c>
      <c r="E1009" t="str">
        <f>VLOOKUP(B1009,'PROCV GERENTES BD'!A:B,2,0)</f>
        <v>NOELI SALETE</v>
      </c>
      <c r="F1009" s="4" t="str">
        <f t="shared" si="90"/>
        <v>2024-12</v>
      </c>
      <c r="G1009" s="18">
        <f t="shared" si="91"/>
        <v>51</v>
      </c>
      <c r="H1009" t="str">
        <f t="shared" si="92"/>
        <v>NOELI SALETE</v>
      </c>
      <c r="I1009" t="str">
        <f t="shared" si="93"/>
        <v>ALBERTO H DA SILVA ME</v>
      </c>
      <c r="J1009">
        <f t="shared" si="94"/>
        <v>0</v>
      </c>
      <c r="K1009">
        <f t="shared" si="95"/>
        <v>1</v>
      </c>
    </row>
    <row r="1010" spans="1:11" x14ac:dyDescent="0.25">
      <c r="A1010" t="s">
        <v>389</v>
      </c>
      <c r="B1010" t="s">
        <v>136</v>
      </c>
      <c r="C1010" t="s">
        <v>66</v>
      </c>
      <c r="D1010" s="3">
        <v>45646</v>
      </c>
      <c r="E1010" t="str">
        <f>VLOOKUP(B1010,'PROCV GERENTES BD'!A:B,2,0)</f>
        <v>POENATELA</v>
      </c>
      <c r="F1010" s="4" t="str">
        <f t="shared" si="90"/>
        <v>2024-12</v>
      </c>
      <c r="G1010" s="18">
        <f t="shared" si="91"/>
        <v>51</v>
      </c>
      <c r="H1010" t="str">
        <f t="shared" si="92"/>
        <v>POENATELA</v>
      </c>
      <c r="I1010" t="str">
        <f t="shared" si="93"/>
        <v>CONQUISTA INDUSTRIA DE MOVEIS S/A</v>
      </c>
      <c r="J1010">
        <f t="shared" si="94"/>
        <v>1</v>
      </c>
      <c r="K1010">
        <f t="shared" si="95"/>
        <v>0</v>
      </c>
    </row>
    <row r="1011" spans="1:11" x14ac:dyDescent="0.25">
      <c r="A1011" t="s">
        <v>423</v>
      </c>
      <c r="B1011" t="s">
        <v>174</v>
      </c>
      <c r="C1011" t="s">
        <v>66</v>
      </c>
      <c r="D1011" s="3">
        <v>45646</v>
      </c>
      <c r="E1011" t="str">
        <f>VLOOKUP(B1011,'PROCV GERENTES BD'!A:B,2,0)</f>
        <v>POENATELA</v>
      </c>
      <c r="F1011" s="4" t="str">
        <f t="shared" si="90"/>
        <v>2024-12</v>
      </c>
      <c r="G1011" s="18">
        <f t="shared" si="91"/>
        <v>51</v>
      </c>
      <c r="H1011" t="str">
        <f t="shared" si="92"/>
        <v>POENATELA</v>
      </c>
      <c r="I1011" t="str">
        <f t="shared" si="93"/>
        <v>EXPRESSO PAV CONSTRUCOES E SERVICOS LTDA ME</v>
      </c>
      <c r="J1011">
        <f t="shared" si="94"/>
        <v>1</v>
      </c>
      <c r="K1011">
        <f t="shared" si="95"/>
        <v>0</v>
      </c>
    </row>
    <row r="1012" spans="1:11" x14ac:dyDescent="0.25">
      <c r="A1012" t="s">
        <v>346</v>
      </c>
      <c r="B1012" t="s">
        <v>91</v>
      </c>
      <c r="C1012" t="s">
        <v>50</v>
      </c>
      <c r="D1012" s="3">
        <v>45646</v>
      </c>
      <c r="E1012" t="str">
        <f>VLOOKUP(B1012,'PROCV GERENTES BD'!A:B,2,0)</f>
        <v>POENATELA</v>
      </c>
      <c r="F1012" s="4" t="str">
        <f t="shared" si="90"/>
        <v>2024-12</v>
      </c>
      <c r="G1012" s="18">
        <f t="shared" si="91"/>
        <v>51</v>
      </c>
      <c r="H1012" t="str">
        <f t="shared" si="92"/>
        <v>POENATELA</v>
      </c>
      <c r="I1012" t="str">
        <f t="shared" si="93"/>
        <v>UBERTEC SERVICE USINAGEM LTDA EPP</v>
      </c>
      <c r="J1012">
        <f t="shared" si="94"/>
        <v>0</v>
      </c>
      <c r="K1012">
        <f t="shared" si="95"/>
        <v>1</v>
      </c>
    </row>
    <row r="1013" spans="1:11" x14ac:dyDescent="0.25">
      <c r="A1013" t="s">
        <v>434</v>
      </c>
      <c r="B1013" t="s">
        <v>185</v>
      </c>
      <c r="C1013" t="s">
        <v>66</v>
      </c>
      <c r="D1013" s="3">
        <v>45646</v>
      </c>
      <c r="E1013" t="str">
        <f>VLOOKUP(B1013,'PROCV GERENTES BD'!A:B,2,0)</f>
        <v>RAFAEL PARISE</v>
      </c>
      <c r="F1013" s="4" t="str">
        <f t="shared" si="90"/>
        <v>2024-12</v>
      </c>
      <c r="G1013" s="18">
        <f t="shared" si="91"/>
        <v>51</v>
      </c>
      <c r="H1013" t="str">
        <f t="shared" si="92"/>
        <v>RAFAEL PARISE</v>
      </c>
      <c r="I1013" t="str">
        <f t="shared" si="93"/>
        <v>MARCAS COMERCIO LTDA ME</v>
      </c>
      <c r="J1013">
        <f t="shared" si="94"/>
        <v>1</v>
      </c>
      <c r="K1013">
        <f t="shared" si="95"/>
        <v>0</v>
      </c>
    </row>
    <row r="1014" spans="1:11" x14ac:dyDescent="0.25">
      <c r="A1014" t="s">
        <v>326</v>
      </c>
      <c r="B1014" t="s">
        <v>122</v>
      </c>
      <c r="C1014" t="s">
        <v>50</v>
      </c>
      <c r="D1014" s="3">
        <v>45646</v>
      </c>
      <c r="E1014" t="s">
        <v>21</v>
      </c>
      <c r="F1014" s="4" t="str">
        <f t="shared" si="90"/>
        <v>2024-12</v>
      </c>
      <c r="G1014" s="18">
        <f t="shared" si="91"/>
        <v>51</v>
      </c>
      <c r="H1014" t="str">
        <f t="shared" si="92"/>
        <v xml:space="preserve">ROGERIO </v>
      </c>
      <c r="I1014" t="str">
        <f t="shared" si="93"/>
        <v>BIBE PRODUTOS INFANTIS LTDA</v>
      </c>
      <c r="J1014">
        <f t="shared" si="94"/>
        <v>0</v>
      </c>
      <c r="K1014">
        <f t="shared" si="95"/>
        <v>1</v>
      </c>
    </row>
    <row r="1015" spans="1:11" x14ac:dyDescent="0.25">
      <c r="A1015" t="s">
        <v>331</v>
      </c>
      <c r="B1015" t="s">
        <v>144</v>
      </c>
      <c r="C1015" t="s">
        <v>53</v>
      </c>
      <c r="D1015" s="3">
        <v>45647</v>
      </c>
      <c r="E1015" t="str">
        <f>VLOOKUP(B1015,'PROCV GERENTES BD'!A:B,2,0)</f>
        <v>ADMINISTRAÇÃO</v>
      </c>
      <c r="F1015" s="4" t="str">
        <f t="shared" si="90"/>
        <v>2024-12</v>
      </c>
      <c r="G1015" s="18">
        <f t="shared" si="91"/>
        <v>51</v>
      </c>
      <c r="H1015" t="str">
        <f t="shared" si="92"/>
        <v>ADMINISTRAÇÃO</v>
      </c>
      <c r="I1015" t="str">
        <f t="shared" si="93"/>
        <v>BOM PASTOR PAPEIS LTDA EM RECUPERACAO JUDICIAL</v>
      </c>
      <c r="J1015">
        <f t="shared" si="94"/>
        <v>1</v>
      </c>
      <c r="K1015">
        <f t="shared" si="95"/>
        <v>1</v>
      </c>
    </row>
    <row r="1016" spans="1:11" x14ac:dyDescent="0.25">
      <c r="A1016" t="s">
        <v>382</v>
      </c>
      <c r="B1016" t="s">
        <v>129</v>
      </c>
      <c r="C1016" t="s">
        <v>50</v>
      </c>
      <c r="D1016" s="3">
        <v>45647</v>
      </c>
      <c r="E1016" t="str">
        <f>VLOOKUP(B1016,'PROCV GERENTES BD'!A:B,2,0)</f>
        <v>ADMINISTRAÇÃO</v>
      </c>
      <c r="F1016" s="4" t="str">
        <f t="shared" si="90"/>
        <v>2024-12</v>
      </c>
      <c r="G1016" s="18">
        <f t="shared" si="91"/>
        <v>51</v>
      </c>
      <c r="H1016" t="str">
        <f t="shared" si="92"/>
        <v>ADMINISTRAÇÃO</v>
      </c>
      <c r="I1016" t="str">
        <f t="shared" si="93"/>
        <v>XEQUE MATE BEBIDAS LTDA ME</v>
      </c>
      <c r="J1016">
        <f t="shared" si="94"/>
        <v>0</v>
      </c>
      <c r="K1016">
        <f t="shared" si="95"/>
        <v>1</v>
      </c>
    </row>
    <row r="1017" spans="1:11" x14ac:dyDescent="0.25">
      <c r="A1017" t="s">
        <v>442</v>
      </c>
      <c r="B1017" t="s">
        <v>193</v>
      </c>
      <c r="C1017" t="s">
        <v>50</v>
      </c>
      <c r="D1017" s="3">
        <v>45647</v>
      </c>
      <c r="E1017" t="str">
        <f>VLOOKUP(B1017,'PROCV GERENTES BD'!A:B,2,0)</f>
        <v>CELIO PIMENTA</v>
      </c>
      <c r="F1017" s="4" t="str">
        <f t="shared" si="90"/>
        <v>2024-12</v>
      </c>
      <c r="G1017" s="18">
        <f t="shared" si="91"/>
        <v>51</v>
      </c>
      <c r="H1017" t="str">
        <f t="shared" si="92"/>
        <v>CELIO PIMENTA</v>
      </c>
      <c r="I1017" t="str">
        <f t="shared" si="93"/>
        <v>CIA TEXTIL LTDA ME</v>
      </c>
      <c r="J1017">
        <f t="shared" si="94"/>
        <v>0</v>
      </c>
      <c r="K1017">
        <f t="shared" si="95"/>
        <v>1</v>
      </c>
    </row>
    <row r="1018" spans="1:11" x14ac:dyDescent="0.25">
      <c r="A1018" t="s">
        <v>54</v>
      </c>
      <c r="B1018" t="s">
        <v>55</v>
      </c>
      <c r="C1018" t="s">
        <v>50</v>
      </c>
      <c r="D1018" s="3">
        <v>45647</v>
      </c>
      <c r="E1018" t="str">
        <f>VLOOKUP(B1018,'PROCV GERENTES BD'!A:B,2,0)</f>
        <v>CELIO PIMENTA</v>
      </c>
      <c r="F1018" s="4" t="str">
        <f t="shared" si="90"/>
        <v>2024-12</v>
      </c>
      <c r="G1018" s="18">
        <f t="shared" si="91"/>
        <v>51</v>
      </c>
      <c r="H1018" t="str">
        <f t="shared" si="92"/>
        <v>CELIO PIMENTA</v>
      </c>
      <c r="I1018" t="str">
        <f t="shared" si="93"/>
        <v>WJ CALDEIRARIA INDUSTRIA E COMERCIO LTDA ME</v>
      </c>
      <c r="J1018">
        <f t="shared" si="94"/>
        <v>0</v>
      </c>
      <c r="K1018">
        <f t="shared" si="95"/>
        <v>1</v>
      </c>
    </row>
    <row r="1019" spans="1:11" x14ac:dyDescent="0.25">
      <c r="A1019" t="s">
        <v>358</v>
      </c>
      <c r="B1019" t="s">
        <v>104</v>
      </c>
      <c r="C1019" t="s">
        <v>66</v>
      </c>
      <c r="D1019" s="3">
        <v>45647</v>
      </c>
      <c r="E1019" t="str">
        <f>VLOOKUP(B1019,'PROCV GERENTES BD'!A:B,2,0)</f>
        <v>DIOGO AZEVEDO</v>
      </c>
      <c r="F1019" s="4" t="str">
        <f t="shared" si="90"/>
        <v>2024-12</v>
      </c>
      <c r="G1019" s="18">
        <f t="shared" si="91"/>
        <v>51</v>
      </c>
      <c r="H1019" t="str">
        <f t="shared" si="92"/>
        <v>DIOGO AZEVEDO</v>
      </c>
      <c r="I1019" t="str">
        <f t="shared" si="93"/>
        <v>INDUSTRIA E CERVEJARIA ARTESANAL DE MINAS GERAIS L</v>
      </c>
      <c r="J1019">
        <f t="shared" si="94"/>
        <v>1</v>
      </c>
      <c r="K1019">
        <f t="shared" si="95"/>
        <v>0</v>
      </c>
    </row>
    <row r="1020" spans="1:11" x14ac:dyDescent="0.25">
      <c r="A1020" t="s">
        <v>443</v>
      </c>
      <c r="B1020" t="s">
        <v>194</v>
      </c>
      <c r="C1020" t="s">
        <v>50</v>
      </c>
      <c r="D1020" s="3">
        <v>45647</v>
      </c>
      <c r="E1020" t="str">
        <f>VLOOKUP(B1020,'PROCV GERENTES BD'!A:B,2,0)</f>
        <v>PROSPECTAR</v>
      </c>
      <c r="F1020" s="4" t="str">
        <f t="shared" si="90"/>
        <v>2024-12</v>
      </c>
      <c r="G1020" s="18">
        <f t="shared" si="91"/>
        <v>51</v>
      </c>
      <c r="H1020" t="str">
        <f t="shared" si="92"/>
        <v>PROSPECTAR</v>
      </c>
      <c r="I1020" t="str">
        <f t="shared" si="93"/>
        <v>ALPLAST ATACADISTA E APOIO ADMINISTRATIVO LTDA EPP</v>
      </c>
      <c r="J1020">
        <f t="shared" si="94"/>
        <v>0</v>
      </c>
      <c r="K1020">
        <f t="shared" si="95"/>
        <v>1</v>
      </c>
    </row>
    <row r="1021" spans="1:11" x14ac:dyDescent="0.25">
      <c r="A1021" t="s">
        <v>428</v>
      </c>
      <c r="B1021" t="s">
        <v>179</v>
      </c>
      <c r="C1021" t="s">
        <v>50</v>
      </c>
      <c r="D1021" s="3">
        <v>45647</v>
      </c>
      <c r="E1021" t="str">
        <f>VLOOKUP(B1021,'PROCV GERENTES BD'!A:B,2,0)</f>
        <v xml:space="preserve">MARCUS VINICIUS </v>
      </c>
      <c r="F1021" s="4" t="str">
        <f t="shared" si="90"/>
        <v>2024-12</v>
      </c>
      <c r="G1021" s="18">
        <f t="shared" si="91"/>
        <v>51</v>
      </c>
      <c r="H1021" t="str">
        <f t="shared" si="92"/>
        <v xml:space="preserve">MARCUS VINICIUS </v>
      </c>
      <c r="I1021" t="str">
        <f t="shared" si="93"/>
        <v>LABOR ELETRIC INDUSTRIA E COMERCIO UNIPESSOAL LTDA</v>
      </c>
      <c r="J1021">
        <f t="shared" si="94"/>
        <v>0</v>
      </c>
      <c r="K1021">
        <f t="shared" si="95"/>
        <v>1</v>
      </c>
    </row>
    <row r="1022" spans="1:11" x14ac:dyDescent="0.25">
      <c r="A1022" t="s">
        <v>422</v>
      </c>
      <c r="B1022" t="s">
        <v>173</v>
      </c>
      <c r="C1022" t="s">
        <v>50</v>
      </c>
      <c r="D1022" s="3">
        <v>45647</v>
      </c>
      <c r="E1022" t="str">
        <f>VLOOKUP(B1022,'PROCV GERENTES BD'!A:B,2,0)</f>
        <v>NOELI SALETE</v>
      </c>
      <c r="F1022" s="4" t="str">
        <f t="shared" si="90"/>
        <v>2024-12</v>
      </c>
      <c r="G1022" s="18">
        <f t="shared" si="91"/>
        <v>51</v>
      </c>
      <c r="H1022" t="str">
        <f t="shared" si="92"/>
        <v>NOELI SALETE</v>
      </c>
      <c r="I1022" t="str">
        <f t="shared" si="93"/>
        <v>COMGROUP AGROINDUSTRIAL LTDA</v>
      </c>
      <c r="J1022">
        <f t="shared" si="94"/>
        <v>0</v>
      </c>
      <c r="K1022">
        <f t="shared" si="95"/>
        <v>1</v>
      </c>
    </row>
    <row r="1023" spans="1:11" x14ac:dyDescent="0.25">
      <c r="A1023" t="s">
        <v>394</v>
      </c>
      <c r="B1023" t="s">
        <v>143</v>
      </c>
      <c r="C1023" t="s">
        <v>50</v>
      </c>
      <c r="D1023" s="3">
        <v>45647</v>
      </c>
      <c r="E1023" t="str">
        <f>VLOOKUP(B1023,'PROCV GERENTES BD'!A:B,2,0)</f>
        <v>NOELI SALETE</v>
      </c>
      <c r="F1023" s="4" t="str">
        <f t="shared" si="90"/>
        <v>2024-12</v>
      </c>
      <c r="G1023" s="18">
        <f t="shared" si="91"/>
        <v>51</v>
      </c>
      <c r="H1023" t="str">
        <f t="shared" si="92"/>
        <v>NOELI SALETE</v>
      </c>
      <c r="I1023" t="str">
        <f t="shared" si="93"/>
        <v>ALBERTO H DA SILVA ME</v>
      </c>
      <c r="J1023">
        <f t="shared" si="94"/>
        <v>0</v>
      </c>
      <c r="K1023">
        <f t="shared" si="95"/>
        <v>1</v>
      </c>
    </row>
    <row r="1024" spans="1:11" x14ac:dyDescent="0.25">
      <c r="A1024" t="s">
        <v>400</v>
      </c>
      <c r="B1024" t="s">
        <v>150</v>
      </c>
      <c r="C1024" t="s">
        <v>50</v>
      </c>
      <c r="D1024" s="3">
        <v>45647</v>
      </c>
      <c r="E1024" t="str">
        <f>VLOOKUP(B1024,'PROCV GERENTES BD'!A:B,2,0)</f>
        <v>NOELI SALETE</v>
      </c>
      <c r="F1024" s="4" t="str">
        <f t="shared" si="90"/>
        <v>2024-12</v>
      </c>
      <c r="G1024" s="18">
        <f t="shared" si="91"/>
        <v>51</v>
      </c>
      <c r="H1024" t="str">
        <f t="shared" si="92"/>
        <v>NOELI SALETE</v>
      </c>
      <c r="I1024" t="str">
        <f t="shared" si="93"/>
        <v>POOLMAK SISTEMAS ESTRUTURAIS LTDA</v>
      </c>
      <c r="J1024">
        <f t="shared" si="94"/>
        <v>0</v>
      </c>
      <c r="K1024">
        <f t="shared" si="95"/>
        <v>1</v>
      </c>
    </row>
    <row r="1025" spans="1:11" x14ac:dyDescent="0.25">
      <c r="A1025" t="s">
        <v>389</v>
      </c>
      <c r="B1025" t="s">
        <v>136</v>
      </c>
      <c r="C1025" t="s">
        <v>66</v>
      </c>
      <c r="D1025" s="3">
        <v>45647</v>
      </c>
      <c r="E1025" t="str">
        <f>VLOOKUP(B1025,'PROCV GERENTES BD'!A:B,2,0)</f>
        <v>POENATELA</v>
      </c>
      <c r="F1025" s="4" t="str">
        <f t="shared" si="90"/>
        <v>2024-12</v>
      </c>
      <c r="G1025" s="18">
        <f t="shared" si="91"/>
        <v>51</v>
      </c>
      <c r="H1025" t="str">
        <f t="shared" si="92"/>
        <v>POENATELA</v>
      </c>
      <c r="I1025" t="str">
        <f t="shared" si="93"/>
        <v>CONQUISTA INDUSTRIA DE MOVEIS S/A</v>
      </c>
      <c r="J1025">
        <f t="shared" si="94"/>
        <v>1</v>
      </c>
      <c r="K1025">
        <f t="shared" si="95"/>
        <v>0</v>
      </c>
    </row>
    <row r="1026" spans="1:11" x14ac:dyDescent="0.25">
      <c r="A1026" t="s">
        <v>346</v>
      </c>
      <c r="B1026" t="s">
        <v>91</v>
      </c>
      <c r="C1026" t="s">
        <v>50</v>
      </c>
      <c r="D1026" s="3">
        <v>45647</v>
      </c>
      <c r="E1026" t="str">
        <f>VLOOKUP(B1026,'PROCV GERENTES BD'!A:B,2,0)</f>
        <v>POENATELA</v>
      </c>
      <c r="F1026" s="4" t="str">
        <f t="shared" ref="F1026:F1089" si="96">YEAR(D1026)&amp;"-"&amp;TEXT(MONTH(D1026),"00")</f>
        <v>2024-12</v>
      </c>
      <c r="G1026" s="18">
        <f t="shared" ref="G1026:G1089" si="97">WEEKNUM(D1026)</f>
        <v>51</v>
      </c>
      <c r="H1026" t="str">
        <f t="shared" ref="H1026:H1089" si="98">E1026</f>
        <v>POENATELA</v>
      </c>
      <c r="I1026" t="str">
        <f t="shared" ref="I1026:I1089" si="99">B1026</f>
        <v>UBERTEC SERVICE USINAGEM LTDA EPP</v>
      </c>
      <c r="J1026">
        <f t="shared" ref="J1026:J1089" si="100">IF(OR(C1026="EXCLUSAO  ANOT.INADIMPLENCIA",C1026="INCL/EXCL ANOT.INADIMPLENCIA"),1,0)</f>
        <v>0</v>
      </c>
      <c r="K1026">
        <f t="shared" ref="K1026:K1089" si="101">IF(OR(C1026="INCLUSAO  ANOT.INADIMPLENCIA",C1026="INCL/EXCL ANOT.INADIMPLENCIA"),1,0)</f>
        <v>1</v>
      </c>
    </row>
    <row r="1027" spans="1:11" x14ac:dyDescent="0.25">
      <c r="A1027" t="s">
        <v>331</v>
      </c>
      <c r="B1027" t="s">
        <v>144</v>
      </c>
      <c r="C1027" t="s">
        <v>50</v>
      </c>
      <c r="D1027" s="3">
        <v>45650</v>
      </c>
      <c r="E1027" t="str">
        <f>VLOOKUP(B1027,'PROCV GERENTES BD'!A:B,2,0)</f>
        <v>ADMINISTRAÇÃO</v>
      </c>
      <c r="F1027" s="4" t="str">
        <f t="shared" si="96"/>
        <v>2024-12</v>
      </c>
      <c r="G1027" s="18">
        <f t="shared" si="97"/>
        <v>52</v>
      </c>
      <c r="H1027" t="str">
        <f t="shared" si="98"/>
        <v>ADMINISTRAÇÃO</v>
      </c>
      <c r="I1027" t="str">
        <f t="shared" si="99"/>
        <v>BOM PASTOR PAPEIS LTDA EM RECUPERACAO JUDICIAL</v>
      </c>
      <c r="J1027">
        <f t="shared" si="100"/>
        <v>0</v>
      </c>
      <c r="K1027">
        <f t="shared" si="101"/>
        <v>1</v>
      </c>
    </row>
    <row r="1028" spans="1:11" x14ac:dyDescent="0.25">
      <c r="A1028" t="s">
        <v>382</v>
      </c>
      <c r="B1028" t="s">
        <v>129</v>
      </c>
      <c r="C1028" t="s">
        <v>50</v>
      </c>
      <c r="D1028" s="3">
        <v>45650</v>
      </c>
      <c r="E1028" t="str">
        <f>VLOOKUP(B1028,'PROCV GERENTES BD'!A:B,2,0)</f>
        <v>ADMINISTRAÇÃO</v>
      </c>
      <c r="F1028" s="4" t="str">
        <f t="shared" si="96"/>
        <v>2024-12</v>
      </c>
      <c r="G1028" s="18">
        <f t="shared" si="97"/>
        <v>52</v>
      </c>
      <c r="H1028" t="str">
        <f t="shared" si="98"/>
        <v>ADMINISTRAÇÃO</v>
      </c>
      <c r="I1028" t="str">
        <f t="shared" si="99"/>
        <v>XEQUE MATE BEBIDAS LTDA ME</v>
      </c>
      <c r="J1028">
        <f t="shared" si="100"/>
        <v>0</v>
      </c>
      <c r="K1028">
        <f t="shared" si="101"/>
        <v>1</v>
      </c>
    </row>
    <row r="1029" spans="1:11" x14ac:dyDescent="0.25">
      <c r="A1029" t="s">
        <v>319</v>
      </c>
      <c r="B1029" t="s">
        <v>80</v>
      </c>
      <c r="C1029" t="s">
        <v>66</v>
      </c>
      <c r="D1029" s="3">
        <v>45650</v>
      </c>
      <c r="E1029" t="str">
        <f>VLOOKUP(B1029,'PROCV GERENTES BD'!A:B,2,0)</f>
        <v>CELIO PIMENTA</v>
      </c>
      <c r="F1029" s="4" t="str">
        <f t="shared" si="96"/>
        <v>2024-12</v>
      </c>
      <c r="G1029" s="18">
        <f t="shared" si="97"/>
        <v>52</v>
      </c>
      <c r="H1029" t="str">
        <f t="shared" si="98"/>
        <v>CELIO PIMENTA</v>
      </c>
      <c r="I1029" t="str">
        <f t="shared" si="99"/>
        <v>IMPORTEXTIL COMERCIO DE TECIDOS LTDA</v>
      </c>
      <c r="J1029">
        <f t="shared" si="100"/>
        <v>1</v>
      </c>
      <c r="K1029">
        <f t="shared" si="101"/>
        <v>0</v>
      </c>
    </row>
    <row r="1030" spans="1:11" x14ac:dyDescent="0.25">
      <c r="A1030" t="s">
        <v>311</v>
      </c>
      <c r="B1030" t="s">
        <v>81</v>
      </c>
      <c r="C1030" t="s">
        <v>53</v>
      </c>
      <c r="D1030" s="3">
        <v>45650</v>
      </c>
      <c r="E1030" t="str">
        <f>VLOOKUP(B1030,'PROCV GERENTES BD'!A:B,2,0)</f>
        <v>CELIO PIMENTA</v>
      </c>
      <c r="F1030" s="4" t="str">
        <f t="shared" si="96"/>
        <v>2024-12</v>
      </c>
      <c r="G1030" s="18">
        <f t="shared" si="97"/>
        <v>52</v>
      </c>
      <c r="H1030" t="str">
        <f t="shared" si="98"/>
        <v>CELIO PIMENTA</v>
      </c>
      <c r="I1030" t="str">
        <f t="shared" si="99"/>
        <v>MBIOLOG DIAGNOSTICOS LTDA</v>
      </c>
      <c r="J1030">
        <f t="shared" si="100"/>
        <v>1</v>
      </c>
      <c r="K1030">
        <f t="shared" si="101"/>
        <v>1</v>
      </c>
    </row>
    <row r="1031" spans="1:11" x14ac:dyDescent="0.25">
      <c r="A1031" t="s">
        <v>358</v>
      </c>
      <c r="B1031" t="s">
        <v>104</v>
      </c>
      <c r="C1031" t="s">
        <v>66</v>
      </c>
      <c r="D1031" s="3">
        <v>45650</v>
      </c>
      <c r="E1031" t="str">
        <f>VLOOKUP(B1031,'PROCV GERENTES BD'!A:B,2,0)</f>
        <v>DIOGO AZEVEDO</v>
      </c>
      <c r="F1031" s="4" t="str">
        <f t="shared" si="96"/>
        <v>2024-12</v>
      </c>
      <c r="G1031" s="18">
        <f t="shared" si="97"/>
        <v>52</v>
      </c>
      <c r="H1031" t="str">
        <f t="shared" si="98"/>
        <v>DIOGO AZEVEDO</v>
      </c>
      <c r="I1031" t="str">
        <f t="shared" si="99"/>
        <v>INDUSTRIA E CERVEJARIA ARTESANAL DE MINAS GERAIS L</v>
      </c>
      <c r="J1031">
        <f t="shared" si="100"/>
        <v>1</v>
      </c>
      <c r="K1031">
        <f t="shared" si="101"/>
        <v>0</v>
      </c>
    </row>
    <row r="1032" spans="1:11" x14ac:dyDescent="0.25">
      <c r="A1032" t="s">
        <v>324</v>
      </c>
      <c r="B1032" t="s">
        <v>119</v>
      </c>
      <c r="C1032" t="s">
        <v>50</v>
      </c>
      <c r="D1032" s="3">
        <v>45650</v>
      </c>
      <c r="E1032" t="str">
        <f>VLOOKUP(B1032,'PROCV GERENTES BD'!A:B,2,0)</f>
        <v>PROSPECTAR</v>
      </c>
      <c r="F1032" s="4" t="str">
        <f t="shared" si="96"/>
        <v>2024-12</v>
      </c>
      <c r="G1032" s="18">
        <f t="shared" si="97"/>
        <v>52</v>
      </c>
      <c r="H1032" t="str">
        <f t="shared" si="98"/>
        <v>PROSPECTAR</v>
      </c>
      <c r="I1032" t="str">
        <f t="shared" si="99"/>
        <v>TRANSHENRY TRANSPORTES LTDA</v>
      </c>
      <c r="J1032">
        <f t="shared" si="100"/>
        <v>0</v>
      </c>
      <c r="K1032">
        <f t="shared" si="101"/>
        <v>1</v>
      </c>
    </row>
    <row r="1033" spans="1:11" x14ac:dyDescent="0.25">
      <c r="A1033" t="s">
        <v>323</v>
      </c>
      <c r="B1033" t="s">
        <v>109</v>
      </c>
      <c r="C1033" t="s">
        <v>50</v>
      </c>
      <c r="D1033" s="3">
        <v>45650</v>
      </c>
      <c r="E1033" t="str">
        <f>VLOOKUP(B1033,'PROCV GERENTES BD'!A:B,2,0)</f>
        <v>PROSPECTAR</v>
      </c>
      <c r="F1033" s="4" t="str">
        <f t="shared" si="96"/>
        <v>2024-12</v>
      </c>
      <c r="G1033" s="18">
        <f t="shared" si="97"/>
        <v>52</v>
      </c>
      <c r="H1033" t="str">
        <f t="shared" si="98"/>
        <v>PROSPECTAR</v>
      </c>
      <c r="I1033" t="str">
        <f t="shared" si="99"/>
        <v>SIAP COMERCIO DE PRODUTOS AGROPECUARIOS LTDA</v>
      </c>
      <c r="J1033">
        <f t="shared" si="100"/>
        <v>0</v>
      </c>
      <c r="K1033">
        <f t="shared" si="101"/>
        <v>1</v>
      </c>
    </row>
    <row r="1034" spans="1:11" x14ac:dyDescent="0.25">
      <c r="A1034" t="s">
        <v>395</v>
      </c>
      <c r="B1034" t="s">
        <v>145</v>
      </c>
      <c r="C1034" t="s">
        <v>50</v>
      </c>
      <c r="D1034" s="3">
        <v>45650</v>
      </c>
      <c r="E1034" t="str">
        <f>VLOOKUP(B1034,'PROCV GERENTES BD'!A:B,2,0)</f>
        <v>MARCIO LEONEL</v>
      </c>
      <c r="F1034" s="4" t="str">
        <f t="shared" si="96"/>
        <v>2024-12</v>
      </c>
      <c r="G1034" s="18">
        <f t="shared" si="97"/>
        <v>52</v>
      </c>
      <c r="H1034" t="str">
        <f t="shared" si="98"/>
        <v>MARCIO LEONEL</v>
      </c>
      <c r="I1034" t="str">
        <f t="shared" si="99"/>
        <v>MEDICAL PRIME IMP EXPORT DISTRIB PRODUTOS MEDICOS</v>
      </c>
      <c r="J1034">
        <f t="shared" si="100"/>
        <v>0</v>
      </c>
      <c r="K1034">
        <f t="shared" si="101"/>
        <v>1</v>
      </c>
    </row>
    <row r="1035" spans="1:11" x14ac:dyDescent="0.25">
      <c r="A1035" t="s">
        <v>428</v>
      </c>
      <c r="B1035" t="s">
        <v>179</v>
      </c>
      <c r="C1035" t="s">
        <v>50</v>
      </c>
      <c r="D1035" s="3">
        <v>45650</v>
      </c>
      <c r="E1035" t="str">
        <f>VLOOKUP(B1035,'PROCV GERENTES BD'!A:B,2,0)</f>
        <v xml:space="preserve">MARCUS VINICIUS </v>
      </c>
      <c r="F1035" s="4" t="str">
        <f t="shared" si="96"/>
        <v>2024-12</v>
      </c>
      <c r="G1035" s="18">
        <f t="shared" si="97"/>
        <v>52</v>
      </c>
      <c r="H1035" t="str">
        <f t="shared" si="98"/>
        <v xml:space="preserve">MARCUS VINICIUS </v>
      </c>
      <c r="I1035" t="str">
        <f t="shared" si="99"/>
        <v>LABOR ELETRIC INDUSTRIA E COMERCIO UNIPESSOAL LTDA</v>
      </c>
      <c r="J1035">
        <f t="shared" si="100"/>
        <v>0</v>
      </c>
      <c r="K1035">
        <f t="shared" si="101"/>
        <v>1</v>
      </c>
    </row>
    <row r="1036" spans="1:11" x14ac:dyDescent="0.25">
      <c r="A1036" t="s">
        <v>394</v>
      </c>
      <c r="B1036" t="s">
        <v>143</v>
      </c>
      <c r="C1036" t="s">
        <v>50</v>
      </c>
      <c r="D1036" s="3">
        <v>45650</v>
      </c>
      <c r="E1036" t="str">
        <f>VLOOKUP(B1036,'PROCV GERENTES BD'!A:B,2,0)</f>
        <v>NOELI SALETE</v>
      </c>
      <c r="F1036" s="4" t="str">
        <f t="shared" si="96"/>
        <v>2024-12</v>
      </c>
      <c r="G1036" s="18">
        <f t="shared" si="97"/>
        <v>52</v>
      </c>
      <c r="H1036" t="str">
        <f t="shared" si="98"/>
        <v>NOELI SALETE</v>
      </c>
      <c r="I1036" t="str">
        <f t="shared" si="99"/>
        <v>ALBERTO H DA SILVA ME</v>
      </c>
      <c r="J1036">
        <f t="shared" si="100"/>
        <v>0</v>
      </c>
      <c r="K1036">
        <f t="shared" si="101"/>
        <v>1</v>
      </c>
    </row>
    <row r="1037" spans="1:11" x14ac:dyDescent="0.25">
      <c r="A1037" t="s">
        <v>389</v>
      </c>
      <c r="B1037" t="s">
        <v>136</v>
      </c>
      <c r="C1037" t="s">
        <v>66</v>
      </c>
      <c r="D1037" s="3">
        <v>45650</v>
      </c>
      <c r="E1037" t="str">
        <f>VLOOKUP(B1037,'PROCV GERENTES BD'!A:B,2,0)</f>
        <v>POENATELA</v>
      </c>
      <c r="F1037" s="4" t="str">
        <f t="shared" si="96"/>
        <v>2024-12</v>
      </c>
      <c r="G1037" s="18">
        <f t="shared" si="97"/>
        <v>52</v>
      </c>
      <c r="H1037" t="str">
        <f t="shared" si="98"/>
        <v>POENATELA</v>
      </c>
      <c r="I1037" t="str">
        <f t="shared" si="99"/>
        <v>CONQUISTA INDUSTRIA DE MOVEIS S/A</v>
      </c>
      <c r="J1037">
        <f t="shared" si="100"/>
        <v>1</v>
      </c>
      <c r="K1037">
        <f t="shared" si="101"/>
        <v>0</v>
      </c>
    </row>
    <row r="1038" spans="1:11" x14ac:dyDescent="0.25">
      <c r="A1038" t="s">
        <v>370</v>
      </c>
      <c r="B1038" t="s">
        <v>114</v>
      </c>
      <c r="C1038" t="s">
        <v>602</v>
      </c>
      <c r="D1038" s="3">
        <v>45650</v>
      </c>
      <c r="E1038" t="str">
        <f>VLOOKUP(B1038,'PROCV GERENTES BD'!A:B,2,0)</f>
        <v>POENATELA</v>
      </c>
      <c r="F1038" s="4" t="str">
        <f t="shared" si="96"/>
        <v>2024-12</v>
      </c>
      <c r="G1038" s="18">
        <f t="shared" si="97"/>
        <v>52</v>
      </c>
      <c r="H1038" t="str">
        <f t="shared" si="98"/>
        <v>POENATELA</v>
      </c>
      <c r="I1038" t="str">
        <f t="shared" si="99"/>
        <v>COOPERATIVA TRANSP AUTON CARGAS PASSAG SERVICOS LO</v>
      </c>
      <c r="J1038">
        <f t="shared" si="100"/>
        <v>0</v>
      </c>
      <c r="K1038">
        <f t="shared" si="101"/>
        <v>0</v>
      </c>
    </row>
    <row r="1039" spans="1:11" x14ac:dyDescent="0.25">
      <c r="A1039" t="s">
        <v>420</v>
      </c>
      <c r="B1039" t="s">
        <v>170</v>
      </c>
      <c r="C1039" t="s">
        <v>66</v>
      </c>
      <c r="D1039" s="3">
        <v>45650</v>
      </c>
      <c r="E1039" t="str">
        <f>VLOOKUP(B1039,'PROCV GERENTES BD'!A:B,2,0)</f>
        <v>POENATELA</v>
      </c>
      <c r="F1039" s="4" t="str">
        <f t="shared" si="96"/>
        <v>2024-12</v>
      </c>
      <c r="G1039" s="18">
        <f t="shared" si="97"/>
        <v>52</v>
      </c>
      <c r="H1039" t="str">
        <f t="shared" si="98"/>
        <v>POENATELA</v>
      </c>
      <c r="I1039" t="str">
        <f t="shared" si="99"/>
        <v>SAVIXX COMERCIO INTERNACIONAL S/A</v>
      </c>
      <c r="J1039">
        <f t="shared" si="100"/>
        <v>1</v>
      </c>
      <c r="K1039">
        <f t="shared" si="101"/>
        <v>0</v>
      </c>
    </row>
    <row r="1040" spans="1:11" x14ac:dyDescent="0.25">
      <c r="A1040" t="s">
        <v>346</v>
      </c>
      <c r="B1040" t="s">
        <v>91</v>
      </c>
      <c r="C1040" t="s">
        <v>50</v>
      </c>
      <c r="D1040" s="3">
        <v>45650</v>
      </c>
      <c r="E1040" t="str">
        <f>VLOOKUP(B1040,'PROCV GERENTES BD'!A:B,2,0)</f>
        <v>POENATELA</v>
      </c>
      <c r="F1040" s="4" t="str">
        <f t="shared" si="96"/>
        <v>2024-12</v>
      </c>
      <c r="G1040" s="18">
        <f t="shared" si="97"/>
        <v>52</v>
      </c>
      <c r="H1040" t="str">
        <f t="shared" si="98"/>
        <v>POENATELA</v>
      </c>
      <c r="I1040" t="str">
        <f t="shared" si="99"/>
        <v>UBERTEC SERVICE USINAGEM LTDA EPP</v>
      </c>
      <c r="J1040">
        <f t="shared" si="100"/>
        <v>0</v>
      </c>
      <c r="K1040">
        <f t="shared" si="101"/>
        <v>1</v>
      </c>
    </row>
    <row r="1041" spans="1:11" x14ac:dyDescent="0.25">
      <c r="A1041" t="s">
        <v>353</v>
      </c>
      <c r="B1041" t="s">
        <v>97</v>
      </c>
      <c r="C1041" t="s">
        <v>50</v>
      </c>
      <c r="D1041" s="3">
        <v>45650</v>
      </c>
      <c r="E1041" t="str">
        <f>VLOOKUP(B1041,'PROCV GERENTES BD'!A:B,2,0)</f>
        <v>PRISCILA METZ</v>
      </c>
      <c r="F1041" s="4" t="str">
        <f t="shared" si="96"/>
        <v>2024-12</v>
      </c>
      <c r="G1041" s="18">
        <f t="shared" si="97"/>
        <v>52</v>
      </c>
      <c r="H1041" t="str">
        <f t="shared" si="98"/>
        <v>PRISCILA METZ</v>
      </c>
      <c r="I1041" t="str">
        <f t="shared" si="99"/>
        <v>ESSENZA INDUSTRIA QUIMICA LTDA</v>
      </c>
      <c r="J1041">
        <f t="shared" si="100"/>
        <v>0</v>
      </c>
      <c r="K1041">
        <f t="shared" si="101"/>
        <v>1</v>
      </c>
    </row>
    <row r="1042" spans="1:11" x14ac:dyDescent="0.25">
      <c r="A1042" t="s">
        <v>376</v>
      </c>
      <c r="B1042" t="s">
        <v>121</v>
      </c>
      <c r="C1042" t="s">
        <v>66</v>
      </c>
      <c r="D1042" s="3">
        <v>45650</v>
      </c>
      <c r="E1042" t="str">
        <f>VLOOKUP(B1042,'PROCV GERENTES BD'!A:B,2,0)</f>
        <v>PRISCILA METZ</v>
      </c>
      <c r="F1042" s="4" t="str">
        <f t="shared" si="96"/>
        <v>2024-12</v>
      </c>
      <c r="G1042" s="18">
        <f t="shared" si="97"/>
        <v>52</v>
      </c>
      <c r="H1042" t="str">
        <f t="shared" si="98"/>
        <v>PRISCILA METZ</v>
      </c>
      <c r="I1042" t="str">
        <f t="shared" si="99"/>
        <v>NOVA DISTRIBUIDORA E ATACADO DE LIMPEZA LTDA</v>
      </c>
      <c r="J1042">
        <f t="shared" si="100"/>
        <v>1</v>
      </c>
      <c r="K1042">
        <f t="shared" si="101"/>
        <v>0</v>
      </c>
    </row>
    <row r="1043" spans="1:11" x14ac:dyDescent="0.25">
      <c r="A1043" t="s">
        <v>444</v>
      </c>
      <c r="B1043" t="s">
        <v>195</v>
      </c>
      <c r="C1043" t="s">
        <v>66</v>
      </c>
      <c r="D1043" s="3">
        <v>45650</v>
      </c>
      <c r="E1043" t="str">
        <f>VLOOKUP(B1043,'PROCV GERENTES BD'!A:B,2,0)</f>
        <v>RAFAEL PARISE</v>
      </c>
      <c r="F1043" s="4" t="str">
        <f t="shared" si="96"/>
        <v>2024-12</v>
      </c>
      <c r="G1043" s="18">
        <f t="shared" si="97"/>
        <v>52</v>
      </c>
      <c r="H1043" t="str">
        <f t="shared" si="98"/>
        <v>RAFAEL PARISE</v>
      </c>
      <c r="I1043" t="str">
        <f t="shared" si="99"/>
        <v>GEDIBOR RUBBER POLYURETHANE LTDA EPP</v>
      </c>
      <c r="J1043">
        <f t="shared" si="100"/>
        <v>1</v>
      </c>
      <c r="K1043">
        <f t="shared" si="101"/>
        <v>0</v>
      </c>
    </row>
    <row r="1044" spans="1:11" x14ac:dyDescent="0.25">
      <c r="A1044" t="s">
        <v>434</v>
      </c>
      <c r="B1044" t="s">
        <v>185</v>
      </c>
      <c r="C1044" t="s">
        <v>66</v>
      </c>
      <c r="D1044" s="3">
        <v>45650</v>
      </c>
      <c r="E1044" t="str">
        <f>VLOOKUP(B1044,'PROCV GERENTES BD'!A:B,2,0)</f>
        <v>RAFAEL PARISE</v>
      </c>
      <c r="F1044" s="4" t="str">
        <f t="shared" si="96"/>
        <v>2024-12</v>
      </c>
      <c r="G1044" s="18">
        <f t="shared" si="97"/>
        <v>52</v>
      </c>
      <c r="H1044" t="str">
        <f t="shared" si="98"/>
        <v>RAFAEL PARISE</v>
      </c>
      <c r="I1044" t="str">
        <f t="shared" si="99"/>
        <v>MARCAS COMERCIO LTDA ME</v>
      </c>
      <c r="J1044">
        <f t="shared" si="100"/>
        <v>1</v>
      </c>
      <c r="K1044">
        <f t="shared" si="101"/>
        <v>0</v>
      </c>
    </row>
    <row r="1045" spans="1:11" x14ac:dyDescent="0.25">
      <c r="A1045" t="s">
        <v>51</v>
      </c>
      <c r="B1045" t="s">
        <v>52</v>
      </c>
      <c r="C1045" t="s">
        <v>50</v>
      </c>
      <c r="D1045" s="3">
        <v>45650</v>
      </c>
      <c r="E1045" t="str">
        <f>VLOOKUP(B1045,'PROCV GERENTES BD'!A:B,2,0)</f>
        <v>RAFAEL PARISE</v>
      </c>
      <c r="F1045" s="4" t="str">
        <f t="shared" si="96"/>
        <v>2024-12</v>
      </c>
      <c r="G1045" s="18">
        <f t="shared" si="97"/>
        <v>52</v>
      </c>
      <c r="H1045" t="str">
        <f t="shared" si="98"/>
        <v>RAFAEL PARISE</v>
      </c>
      <c r="I1045" t="str">
        <f t="shared" si="99"/>
        <v>TDR TRANSPORTES LOGISTICA LTDA</v>
      </c>
      <c r="J1045">
        <f t="shared" si="100"/>
        <v>0</v>
      </c>
      <c r="K1045">
        <f t="shared" si="101"/>
        <v>1</v>
      </c>
    </row>
    <row r="1046" spans="1:11" x14ac:dyDescent="0.25">
      <c r="A1046" t="s">
        <v>431</v>
      </c>
      <c r="B1046" t="s">
        <v>196</v>
      </c>
      <c r="C1046" t="s">
        <v>50</v>
      </c>
      <c r="D1046" s="3">
        <v>45650</v>
      </c>
      <c r="E1046" t="s">
        <v>21</v>
      </c>
      <c r="F1046" s="4" t="str">
        <f t="shared" si="96"/>
        <v>2024-12</v>
      </c>
      <c r="G1046" s="18">
        <f t="shared" si="97"/>
        <v>52</v>
      </c>
      <c r="H1046" t="str">
        <f t="shared" si="98"/>
        <v xml:space="preserve">ROGERIO </v>
      </c>
      <c r="I1046" t="str">
        <f t="shared" si="99"/>
        <v>GRF JEANS WEAR LTDA EPP</v>
      </c>
      <c r="J1046">
        <f t="shared" si="100"/>
        <v>0</v>
      </c>
      <c r="K1046">
        <f t="shared" si="101"/>
        <v>1</v>
      </c>
    </row>
    <row r="1047" spans="1:11" x14ac:dyDescent="0.25">
      <c r="A1047" t="s">
        <v>445</v>
      </c>
      <c r="B1047" t="s">
        <v>197</v>
      </c>
      <c r="C1047" t="s">
        <v>327</v>
      </c>
      <c r="D1047" s="3">
        <v>45651</v>
      </c>
      <c r="E1047" t="str">
        <f>VLOOKUP(B1047,'PROCV GERENTES BD'!A:B,2,0)</f>
        <v>ADMINISTRAÇÃO</v>
      </c>
      <c r="F1047" s="4" t="str">
        <f t="shared" si="96"/>
        <v>2024-12</v>
      </c>
      <c r="G1047" s="18">
        <f t="shared" si="97"/>
        <v>52</v>
      </c>
      <c r="H1047" t="str">
        <f t="shared" si="98"/>
        <v>ADMINISTRAÇÃO</v>
      </c>
      <c r="I1047" t="str">
        <f t="shared" si="99"/>
        <v>FARBIA CHEMICALS COMERCIO IMPORTACAO E EXPORTACAO</v>
      </c>
      <c r="J1047">
        <f t="shared" si="100"/>
        <v>0</v>
      </c>
      <c r="K1047">
        <f t="shared" si="101"/>
        <v>0</v>
      </c>
    </row>
    <row r="1048" spans="1:11" x14ac:dyDescent="0.25">
      <c r="A1048" t="s">
        <v>445</v>
      </c>
      <c r="B1048" t="s">
        <v>197</v>
      </c>
      <c r="C1048" t="s">
        <v>329</v>
      </c>
      <c r="D1048" s="3">
        <v>45651</v>
      </c>
      <c r="E1048" t="str">
        <f>VLOOKUP(B1048,'PROCV GERENTES BD'!A:B,2,0)</f>
        <v>ADMINISTRAÇÃO</v>
      </c>
      <c r="F1048" s="4" t="str">
        <f t="shared" si="96"/>
        <v>2024-12</v>
      </c>
      <c r="G1048" s="18">
        <f t="shared" si="97"/>
        <v>52</v>
      </c>
      <c r="H1048" t="str">
        <f t="shared" si="98"/>
        <v>ADMINISTRAÇÃO</v>
      </c>
      <c r="I1048" t="str">
        <f t="shared" si="99"/>
        <v>FARBIA CHEMICALS COMERCIO IMPORTACAO E EXPORTACAO</v>
      </c>
      <c r="J1048">
        <f t="shared" si="100"/>
        <v>0</v>
      </c>
      <c r="K1048">
        <f t="shared" si="101"/>
        <v>0</v>
      </c>
    </row>
    <row r="1049" spans="1:11" x14ac:dyDescent="0.25">
      <c r="A1049" t="s">
        <v>446</v>
      </c>
      <c r="B1049" t="s">
        <v>198</v>
      </c>
      <c r="C1049" t="s">
        <v>329</v>
      </c>
      <c r="D1049" s="3">
        <v>45651</v>
      </c>
      <c r="E1049" t="str">
        <f>VLOOKUP(B1049,'PROCV GERENTES BD'!A:B,2,0)</f>
        <v>ADMINISTRAÇÃO</v>
      </c>
      <c r="F1049" s="4" t="str">
        <f t="shared" si="96"/>
        <v>2024-12</v>
      </c>
      <c r="G1049" s="18">
        <f t="shared" si="97"/>
        <v>52</v>
      </c>
      <c r="H1049" t="str">
        <f t="shared" si="98"/>
        <v>ADMINISTRAÇÃO</v>
      </c>
      <c r="I1049" t="str">
        <f t="shared" si="99"/>
        <v>PARTNER SOLUCOES EMPRESARIAIS LTDA ME</v>
      </c>
      <c r="J1049">
        <f t="shared" si="100"/>
        <v>0</v>
      </c>
      <c r="K1049">
        <f t="shared" si="101"/>
        <v>0</v>
      </c>
    </row>
    <row r="1050" spans="1:11" x14ac:dyDescent="0.25">
      <c r="A1050" t="s">
        <v>382</v>
      </c>
      <c r="B1050" t="s">
        <v>129</v>
      </c>
      <c r="C1050" t="s">
        <v>50</v>
      </c>
      <c r="D1050" s="3">
        <v>45651</v>
      </c>
      <c r="E1050" t="str">
        <f>VLOOKUP(B1050,'PROCV GERENTES BD'!A:B,2,0)</f>
        <v>ADMINISTRAÇÃO</v>
      </c>
      <c r="F1050" s="4" t="str">
        <f t="shared" si="96"/>
        <v>2024-12</v>
      </c>
      <c r="G1050" s="18">
        <f t="shared" si="97"/>
        <v>52</v>
      </c>
      <c r="H1050" t="str">
        <f t="shared" si="98"/>
        <v>ADMINISTRAÇÃO</v>
      </c>
      <c r="I1050" t="str">
        <f t="shared" si="99"/>
        <v>XEQUE MATE BEBIDAS LTDA ME</v>
      </c>
      <c r="J1050">
        <f t="shared" si="100"/>
        <v>0</v>
      </c>
      <c r="K1050">
        <f t="shared" si="101"/>
        <v>1</v>
      </c>
    </row>
    <row r="1051" spans="1:11" x14ac:dyDescent="0.25">
      <c r="A1051" t="s">
        <v>372</v>
      </c>
      <c r="B1051" t="s">
        <v>116</v>
      </c>
      <c r="C1051" t="s">
        <v>66</v>
      </c>
      <c r="D1051" s="3">
        <v>45651</v>
      </c>
      <c r="E1051" t="str">
        <f>VLOOKUP(B1051,'PROCV GERENTES BD'!A:B,2,0)</f>
        <v>ADMINISTRAÇÃO</v>
      </c>
      <c r="F1051" s="4" t="str">
        <f t="shared" si="96"/>
        <v>2024-12</v>
      </c>
      <c r="G1051" s="18">
        <f t="shared" si="97"/>
        <v>52</v>
      </c>
      <c r="H1051" t="str">
        <f t="shared" si="98"/>
        <v>ADMINISTRAÇÃO</v>
      </c>
      <c r="I1051" t="str">
        <f t="shared" si="99"/>
        <v>PREMOLDADOS MATOSINHOS LTDA EPP</v>
      </c>
      <c r="J1051">
        <f t="shared" si="100"/>
        <v>1</v>
      </c>
      <c r="K1051">
        <f t="shared" si="101"/>
        <v>0</v>
      </c>
    </row>
    <row r="1052" spans="1:11" x14ac:dyDescent="0.25">
      <c r="A1052" t="s">
        <v>319</v>
      </c>
      <c r="B1052" t="s">
        <v>80</v>
      </c>
      <c r="C1052" t="s">
        <v>53</v>
      </c>
      <c r="D1052" s="3">
        <v>45651</v>
      </c>
      <c r="E1052" t="str">
        <f>VLOOKUP(B1052,'PROCV GERENTES BD'!A:B,2,0)</f>
        <v>CELIO PIMENTA</v>
      </c>
      <c r="F1052" s="4" t="str">
        <f t="shared" si="96"/>
        <v>2024-12</v>
      </c>
      <c r="G1052" s="18">
        <f t="shared" si="97"/>
        <v>52</v>
      </c>
      <c r="H1052" t="str">
        <f t="shared" si="98"/>
        <v>CELIO PIMENTA</v>
      </c>
      <c r="I1052" t="str">
        <f t="shared" si="99"/>
        <v>IMPORTEXTIL COMERCIO DE TECIDOS LTDA</v>
      </c>
      <c r="J1052">
        <f t="shared" si="100"/>
        <v>1</v>
      </c>
      <c r="K1052">
        <f t="shared" si="101"/>
        <v>1</v>
      </c>
    </row>
    <row r="1053" spans="1:11" x14ac:dyDescent="0.25">
      <c r="A1053" t="s">
        <v>54</v>
      </c>
      <c r="B1053" t="s">
        <v>55</v>
      </c>
      <c r="C1053" t="s">
        <v>50</v>
      </c>
      <c r="D1053" s="3">
        <v>45651</v>
      </c>
      <c r="E1053" t="str">
        <f>VLOOKUP(B1053,'PROCV GERENTES BD'!A:B,2,0)</f>
        <v>CELIO PIMENTA</v>
      </c>
      <c r="F1053" s="4" t="str">
        <f t="shared" si="96"/>
        <v>2024-12</v>
      </c>
      <c r="G1053" s="18">
        <f t="shared" si="97"/>
        <v>52</v>
      </c>
      <c r="H1053" t="str">
        <f t="shared" si="98"/>
        <v>CELIO PIMENTA</v>
      </c>
      <c r="I1053" t="str">
        <f t="shared" si="99"/>
        <v>WJ CALDEIRARIA INDUSTRIA E COMERCIO LTDA ME</v>
      </c>
      <c r="J1053">
        <f t="shared" si="100"/>
        <v>0</v>
      </c>
      <c r="K1053">
        <f t="shared" si="101"/>
        <v>1</v>
      </c>
    </row>
    <row r="1054" spans="1:11" x14ac:dyDescent="0.25">
      <c r="A1054" t="s">
        <v>323</v>
      </c>
      <c r="B1054" t="s">
        <v>109</v>
      </c>
      <c r="C1054" t="s">
        <v>50</v>
      </c>
      <c r="D1054" s="3">
        <v>45651</v>
      </c>
      <c r="E1054" t="str">
        <f>VLOOKUP(B1054,'PROCV GERENTES BD'!A:B,2,0)</f>
        <v>PROSPECTAR</v>
      </c>
      <c r="F1054" s="4" t="str">
        <f t="shared" si="96"/>
        <v>2024-12</v>
      </c>
      <c r="G1054" s="18">
        <f t="shared" si="97"/>
        <v>52</v>
      </c>
      <c r="H1054" t="str">
        <f t="shared" si="98"/>
        <v>PROSPECTAR</v>
      </c>
      <c r="I1054" t="str">
        <f t="shared" si="99"/>
        <v>SIAP COMERCIO DE PRODUTOS AGROPECUARIOS LTDA</v>
      </c>
      <c r="J1054">
        <f t="shared" si="100"/>
        <v>0</v>
      </c>
      <c r="K1054">
        <f t="shared" si="101"/>
        <v>1</v>
      </c>
    </row>
    <row r="1055" spans="1:11" x14ac:dyDescent="0.25">
      <c r="A1055" t="s">
        <v>428</v>
      </c>
      <c r="B1055" t="s">
        <v>179</v>
      </c>
      <c r="C1055" t="s">
        <v>50</v>
      </c>
      <c r="D1055" s="3">
        <v>45651</v>
      </c>
      <c r="E1055" t="str">
        <f>VLOOKUP(B1055,'PROCV GERENTES BD'!A:B,2,0)</f>
        <v xml:space="preserve">MARCUS VINICIUS </v>
      </c>
      <c r="F1055" s="4" t="str">
        <f t="shared" si="96"/>
        <v>2024-12</v>
      </c>
      <c r="G1055" s="18">
        <f t="shared" si="97"/>
        <v>52</v>
      </c>
      <c r="H1055" t="str">
        <f t="shared" si="98"/>
        <v xml:space="preserve">MARCUS VINICIUS </v>
      </c>
      <c r="I1055" t="str">
        <f t="shared" si="99"/>
        <v>LABOR ELETRIC INDUSTRIA E COMERCIO UNIPESSOAL LTDA</v>
      </c>
      <c r="J1055">
        <f t="shared" si="100"/>
        <v>0</v>
      </c>
      <c r="K1055">
        <f t="shared" si="101"/>
        <v>1</v>
      </c>
    </row>
    <row r="1056" spans="1:11" x14ac:dyDescent="0.25">
      <c r="A1056" t="s">
        <v>422</v>
      </c>
      <c r="B1056" t="s">
        <v>173</v>
      </c>
      <c r="C1056" t="s">
        <v>50</v>
      </c>
      <c r="D1056" s="3">
        <v>45651</v>
      </c>
      <c r="E1056" t="str">
        <f>VLOOKUP(B1056,'PROCV GERENTES BD'!A:B,2,0)</f>
        <v>NOELI SALETE</v>
      </c>
      <c r="F1056" s="4" t="str">
        <f t="shared" si="96"/>
        <v>2024-12</v>
      </c>
      <c r="G1056" s="18">
        <f t="shared" si="97"/>
        <v>52</v>
      </c>
      <c r="H1056" t="str">
        <f t="shared" si="98"/>
        <v>NOELI SALETE</v>
      </c>
      <c r="I1056" t="str">
        <f t="shared" si="99"/>
        <v>COMGROUP AGROINDUSTRIAL LTDA</v>
      </c>
      <c r="J1056">
        <f t="shared" si="100"/>
        <v>0</v>
      </c>
      <c r="K1056">
        <f t="shared" si="101"/>
        <v>1</v>
      </c>
    </row>
    <row r="1057" spans="1:11" x14ac:dyDescent="0.25">
      <c r="A1057" t="s">
        <v>438</v>
      </c>
      <c r="B1057" t="s">
        <v>189</v>
      </c>
      <c r="C1057" t="s">
        <v>66</v>
      </c>
      <c r="D1057" s="3">
        <v>45651</v>
      </c>
      <c r="E1057" t="str">
        <f>VLOOKUP(B1057,'PROCV GERENTES BD'!A:B,2,0)</f>
        <v>NOELI SALETE</v>
      </c>
      <c r="F1057" s="4" t="str">
        <f t="shared" si="96"/>
        <v>2024-12</v>
      </c>
      <c r="G1057" s="18">
        <f t="shared" si="97"/>
        <v>52</v>
      </c>
      <c r="H1057" t="str">
        <f t="shared" si="98"/>
        <v>NOELI SALETE</v>
      </c>
      <c r="I1057" t="str">
        <f t="shared" si="99"/>
        <v>AGRO INDUSTRIAL LAZZERI LTDA</v>
      </c>
      <c r="J1057">
        <f t="shared" si="100"/>
        <v>1</v>
      </c>
      <c r="K1057">
        <f t="shared" si="101"/>
        <v>0</v>
      </c>
    </row>
    <row r="1058" spans="1:11" x14ac:dyDescent="0.25">
      <c r="A1058" t="s">
        <v>389</v>
      </c>
      <c r="B1058" t="s">
        <v>136</v>
      </c>
      <c r="C1058" t="s">
        <v>66</v>
      </c>
      <c r="D1058" s="3">
        <v>45651</v>
      </c>
      <c r="E1058" t="str">
        <f>VLOOKUP(B1058,'PROCV GERENTES BD'!A:B,2,0)</f>
        <v>POENATELA</v>
      </c>
      <c r="F1058" s="4" t="str">
        <f t="shared" si="96"/>
        <v>2024-12</v>
      </c>
      <c r="G1058" s="18">
        <f t="shared" si="97"/>
        <v>52</v>
      </c>
      <c r="H1058" t="str">
        <f t="shared" si="98"/>
        <v>POENATELA</v>
      </c>
      <c r="I1058" t="str">
        <f t="shared" si="99"/>
        <v>CONQUISTA INDUSTRIA DE MOVEIS S/A</v>
      </c>
      <c r="J1058">
        <f t="shared" si="100"/>
        <v>1</v>
      </c>
      <c r="K1058">
        <f t="shared" si="101"/>
        <v>0</v>
      </c>
    </row>
    <row r="1059" spans="1:11" x14ac:dyDescent="0.25">
      <c r="A1059" t="s">
        <v>417</v>
      </c>
      <c r="B1059" t="s">
        <v>167</v>
      </c>
      <c r="C1059" t="s">
        <v>50</v>
      </c>
      <c r="D1059" s="3">
        <v>45651</v>
      </c>
      <c r="E1059" t="str">
        <f>VLOOKUP(B1059,'PROCV GERENTES BD'!A:B,2,0)</f>
        <v>POENATELA</v>
      </c>
      <c r="F1059" s="4" t="str">
        <f t="shared" si="96"/>
        <v>2024-12</v>
      </c>
      <c r="G1059" s="18">
        <f t="shared" si="97"/>
        <v>52</v>
      </c>
      <c r="H1059" t="str">
        <f t="shared" si="98"/>
        <v>POENATELA</v>
      </c>
      <c r="I1059" t="str">
        <f t="shared" si="99"/>
        <v>DETRONIC ENERGIA E SERVICOS LTDA</v>
      </c>
      <c r="J1059">
        <f t="shared" si="100"/>
        <v>0</v>
      </c>
      <c r="K1059">
        <f t="shared" si="101"/>
        <v>1</v>
      </c>
    </row>
    <row r="1060" spans="1:11" x14ac:dyDescent="0.25">
      <c r="A1060" t="s">
        <v>346</v>
      </c>
      <c r="B1060" t="s">
        <v>91</v>
      </c>
      <c r="C1060" t="s">
        <v>50</v>
      </c>
      <c r="D1060" s="3">
        <v>45651</v>
      </c>
      <c r="E1060" t="str">
        <f>VLOOKUP(B1060,'PROCV GERENTES BD'!A:B,2,0)</f>
        <v>POENATELA</v>
      </c>
      <c r="F1060" s="4" t="str">
        <f t="shared" si="96"/>
        <v>2024-12</v>
      </c>
      <c r="G1060" s="18">
        <f t="shared" si="97"/>
        <v>52</v>
      </c>
      <c r="H1060" t="str">
        <f t="shared" si="98"/>
        <v>POENATELA</v>
      </c>
      <c r="I1060" t="str">
        <f t="shared" si="99"/>
        <v>UBERTEC SERVICE USINAGEM LTDA EPP</v>
      </c>
      <c r="J1060">
        <f t="shared" si="100"/>
        <v>0</v>
      </c>
      <c r="K1060">
        <f t="shared" si="101"/>
        <v>1</v>
      </c>
    </row>
    <row r="1061" spans="1:11" x14ac:dyDescent="0.25">
      <c r="A1061" t="s">
        <v>434</v>
      </c>
      <c r="B1061" t="s">
        <v>185</v>
      </c>
      <c r="C1061" t="s">
        <v>50</v>
      </c>
      <c r="D1061" s="3">
        <v>45651</v>
      </c>
      <c r="E1061" t="str">
        <f>VLOOKUP(B1061,'PROCV GERENTES BD'!A:B,2,0)</f>
        <v>RAFAEL PARISE</v>
      </c>
      <c r="F1061" s="4" t="str">
        <f t="shared" si="96"/>
        <v>2024-12</v>
      </c>
      <c r="G1061" s="18">
        <f t="shared" si="97"/>
        <v>52</v>
      </c>
      <c r="H1061" t="str">
        <f t="shared" si="98"/>
        <v>RAFAEL PARISE</v>
      </c>
      <c r="I1061" t="str">
        <f t="shared" si="99"/>
        <v>MARCAS COMERCIO LTDA ME</v>
      </c>
      <c r="J1061">
        <f t="shared" si="100"/>
        <v>0</v>
      </c>
      <c r="K1061">
        <f t="shared" si="101"/>
        <v>1</v>
      </c>
    </row>
    <row r="1062" spans="1:11" x14ac:dyDescent="0.25">
      <c r="A1062" t="s">
        <v>431</v>
      </c>
      <c r="B1062" t="s">
        <v>196</v>
      </c>
      <c r="C1062" t="s">
        <v>327</v>
      </c>
      <c r="D1062" s="3">
        <v>45651</v>
      </c>
      <c r="E1062" t="s">
        <v>21</v>
      </c>
      <c r="F1062" s="4" t="str">
        <f t="shared" si="96"/>
        <v>2024-12</v>
      </c>
      <c r="G1062" s="18">
        <f t="shared" si="97"/>
        <v>52</v>
      </c>
      <c r="H1062" t="str">
        <f t="shared" si="98"/>
        <v xml:space="preserve">ROGERIO </v>
      </c>
      <c r="I1062" t="str">
        <f t="shared" si="99"/>
        <v>GRF JEANS WEAR LTDA EPP</v>
      </c>
      <c r="J1062">
        <f t="shared" si="100"/>
        <v>0</v>
      </c>
      <c r="K1062">
        <f t="shared" si="101"/>
        <v>0</v>
      </c>
    </row>
    <row r="1063" spans="1:11" x14ac:dyDescent="0.25">
      <c r="A1063" t="s">
        <v>431</v>
      </c>
      <c r="B1063" t="s">
        <v>196</v>
      </c>
      <c r="C1063" t="s">
        <v>329</v>
      </c>
      <c r="D1063" s="3">
        <v>45651</v>
      </c>
      <c r="E1063" t="s">
        <v>21</v>
      </c>
      <c r="F1063" s="4" t="str">
        <f t="shared" si="96"/>
        <v>2024-12</v>
      </c>
      <c r="G1063" s="18">
        <f t="shared" si="97"/>
        <v>52</v>
      </c>
      <c r="H1063" t="str">
        <f t="shared" si="98"/>
        <v xml:space="preserve">ROGERIO </v>
      </c>
      <c r="I1063" t="str">
        <f t="shared" si="99"/>
        <v>GRF JEANS WEAR LTDA EPP</v>
      </c>
      <c r="J1063">
        <f t="shared" si="100"/>
        <v>0</v>
      </c>
      <c r="K1063">
        <f t="shared" si="101"/>
        <v>0</v>
      </c>
    </row>
    <row r="1064" spans="1:11" x14ac:dyDescent="0.25">
      <c r="A1064" t="s">
        <v>348</v>
      </c>
      <c r="B1064" t="s">
        <v>93</v>
      </c>
      <c r="C1064" t="s">
        <v>50</v>
      </c>
      <c r="D1064" s="3">
        <v>45651</v>
      </c>
      <c r="E1064" t="str">
        <f>VLOOKUP(B1064,'PROCV GERENTES BD'!A:B,2,0)</f>
        <v>WHELKYA IRIS</v>
      </c>
      <c r="F1064" s="4" t="str">
        <f t="shared" si="96"/>
        <v>2024-12</v>
      </c>
      <c r="G1064" s="18">
        <f t="shared" si="97"/>
        <v>52</v>
      </c>
      <c r="H1064" t="str">
        <f t="shared" si="98"/>
        <v>WHELKYA IRIS</v>
      </c>
      <c r="I1064" t="str">
        <f t="shared" si="99"/>
        <v>DIVINA INDUSTRIA DE COURO LTDA</v>
      </c>
      <c r="J1064">
        <f t="shared" si="100"/>
        <v>0</v>
      </c>
      <c r="K1064">
        <f t="shared" si="101"/>
        <v>1</v>
      </c>
    </row>
    <row r="1065" spans="1:11" x14ac:dyDescent="0.25">
      <c r="A1065" t="s">
        <v>331</v>
      </c>
      <c r="B1065" t="s">
        <v>144</v>
      </c>
      <c r="C1065" t="s">
        <v>50</v>
      </c>
      <c r="D1065" s="3">
        <v>45653</v>
      </c>
      <c r="E1065" t="str">
        <f>VLOOKUP(B1065,'PROCV GERENTES BD'!A:B,2,0)</f>
        <v>ADMINISTRAÇÃO</v>
      </c>
      <c r="F1065" s="4" t="str">
        <f t="shared" si="96"/>
        <v>2024-12</v>
      </c>
      <c r="G1065" s="18">
        <f t="shared" si="97"/>
        <v>52</v>
      </c>
      <c r="H1065" t="str">
        <f t="shared" si="98"/>
        <v>ADMINISTRAÇÃO</v>
      </c>
      <c r="I1065" t="str">
        <f t="shared" si="99"/>
        <v>BOM PASTOR PAPEIS LTDA EM RECUPERACAO JUDICIAL</v>
      </c>
      <c r="J1065">
        <f t="shared" si="100"/>
        <v>0</v>
      </c>
      <c r="K1065">
        <f t="shared" si="101"/>
        <v>1</v>
      </c>
    </row>
    <row r="1066" spans="1:11" x14ac:dyDescent="0.25">
      <c r="A1066" t="s">
        <v>382</v>
      </c>
      <c r="B1066" t="s">
        <v>129</v>
      </c>
      <c r="C1066" t="s">
        <v>50</v>
      </c>
      <c r="D1066" s="3">
        <v>45653</v>
      </c>
      <c r="E1066" t="str">
        <f>VLOOKUP(B1066,'PROCV GERENTES BD'!A:B,2,0)</f>
        <v>ADMINISTRAÇÃO</v>
      </c>
      <c r="F1066" s="4" t="str">
        <f t="shared" si="96"/>
        <v>2024-12</v>
      </c>
      <c r="G1066" s="18">
        <f t="shared" si="97"/>
        <v>52</v>
      </c>
      <c r="H1066" t="str">
        <f t="shared" si="98"/>
        <v>ADMINISTRAÇÃO</v>
      </c>
      <c r="I1066" t="str">
        <f t="shared" si="99"/>
        <v>XEQUE MATE BEBIDAS LTDA ME</v>
      </c>
      <c r="J1066">
        <f t="shared" si="100"/>
        <v>0</v>
      </c>
      <c r="K1066">
        <f t="shared" si="101"/>
        <v>1</v>
      </c>
    </row>
    <row r="1067" spans="1:11" x14ac:dyDescent="0.25">
      <c r="A1067" t="s">
        <v>304</v>
      </c>
      <c r="B1067" t="s">
        <v>123</v>
      </c>
      <c r="C1067" t="s">
        <v>66</v>
      </c>
      <c r="D1067" s="3">
        <v>45653</v>
      </c>
      <c r="E1067" t="str">
        <f>VLOOKUP(B1067,'PROCV GERENTES BD'!A:B,2,0)</f>
        <v>ADMINISTRAÇÃO</v>
      </c>
      <c r="F1067" s="4" t="str">
        <f t="shared" si="96"/>
        <v>2024-12</v>
      </c>
      <c r="G1067" s="18">
        <f t="shared" si="97"/>
        <v>52</v>
      </c>
      <c r="H1067" t="str">
        <f t="shared" si="98"/>
        <v>ADMINISTRAÇÃO</v>
      </c>
      <c r="I1067" t="str">
        <f t="shared" si="99"/>
        <v>VIC LOGISTICA LTDA EM RECUPERACAO JUDICIAL</v>
      </c>
      <c r="J1067">
        <f t="shared" si="100"/>
        <v>1</v>
      </c>
      <c r="K1067">
        <f t="shared" si="101"/>
        <v>0</v>
      </c>
    </row>
    <row r="1068" spans="1:11" x14ac:dyDescent="0.25">
      <c r="A1068" t="s">
        <v>319</v>
      </c>
      <c r="B1068" t="s">
        <v>80</v>
      </c>
      <c r="C1068" t="s">
        <v>50</v>
      </c>
      <c r="D1068" s="3">
        <v>45653</v>
      </c>
      <c r="E1068" t="str">
        <f>VLOOKUP(B1068,'PROCV GERENTES BD'!A:B,2,0)</f>
        <v>CELIO PIMENTA</v>
      </c>
      <c r="F1068" s="4" t="str">
        <f t="shared" si="96"/>
        <v>2024-12</v>
      </c>
      <c r="G1068" s="18">
        <f t="shared" si="97"/>
        <v>52</v>
      </c>
      <c r="H1068" t="str">
        <f t="shared" si="98"/>
        <v>CELIO PIMENTA</v>
      </c>
      <c r="I1068" t="str">
        <f t="shared" si="99"/>
        <v>IMPORTEXTIL COMERCIO DE TECIDOS LTDA</v>
      </c>
      <c r="J1068">
        <f t="shared" si="100"/>
        <v>0</v>
      </c>
      <c r="K1068">
        <f t="shared" si="101"/>
        <v>1</v>
      </c>
    </row>
    <row r="1069" spans="1:11" x14ac:dyDescent="0.25">
      <c r="A1069" t="s">
        <v>324</v>
      </c>
      <c r="B1069" t="s">
        <v>119</v>
      </c>
      <c r="C1069" t="s">
        <v>66</v>
      </c>
      <c r="D1069" s="3">
        <v>45653</v>
      </c>
      <c r="E1069" t="str">
        <f>VLOOKUP(B1069,'PROCV GERENTES BD'!A:B,2,0)</f>
        <v>PROSPECTAR</v>
      </c>
      <c r="F1069" s="4" t="str">
        <f t="shared" si="96"/>
        <v>2024-12</v>
      </c>
      <c r="G1069" s="18">
        <f t="shared" si="97"/>
        <v>52</v>
      </c>
      <c r="H1069" t="str">
        <f t="shared" si="98"/>
        <v>PROSPECTAR</v>
      </c>
      <c r="I1069" t="str">
        <f t="shared" si="99"/>
        <v>TRANSHENRY TRANSPORTES LTDA</v>
      </c>
      <c r="J1069">
        <f t="shared" si="100"/>
        <v>1</v>
      </c>
      <c r="K1069">
        <f t="shared" si="101"/>
        <v>0</v>
      </c>
    </row>
    <row r="1070" spans="1:11" x14ac:dyDescent="0.25">
      <c r="A1070" t="s">
        <v>323</v>
      </c>
      <c r="B1070" t="s">
        <v>109</v>
      </c>
      <c r="C1070" t="s">
        <v>66</v>
      </c>
      <c r="D1070" s="3">
        <v>45653</v>
      </c>
      <c r="E1070" t="str">
        <f>VLOOKUP(B1070,'PROCV GERENTES BD'!A:B,2,0)</f>
        <v>PROSPECTAR</v>
      </c>
      <c r="F1070" s="4" t="str">
        <f t="shared" si="96"/>
        <v>2024-12</v>
      </c>
      <c r="G1070" s="18">
        <f t="shared" si="97"/>
        <v>52</v>
      </c>
      <c r="H1070" t="str">
        <f t="shared" si="98"/>
        <v>PROSPECTAR</v>
      </c>
      <c r="I1070" t="str">
        <f t="shared" si="99"/>
        <v>SIAP COMERCIO DE PRODUTOS AGROPECUARIOS LTDA</v>
      </c>
      <c r="J1070">
        <f t="shared" si="100"/>
        <v>1</v>
      </c>
      <c r="K1070">
        <f t="shared" si="101"/>
        <v>0</v>
      </c>
    </row>
    <row r="1071" spans="1:11" x14ac:dyDescent="0.25">
      <c r="A1071" t="s">
        <v>369</v>
      </c>
      <c r="B1071" t="s">
        <v>113</v>
      </c>
      <c r="C1071" t="s">
        <v>50</v>
      </c>
      <c r="D1071" s="3">
        <v>45653</v>
      </c>
      <c r="E1071" t="str">
        <f>VLOOKUP(B1071,'PROCV GERENTES BD'!A:B,2,0)</f>
        <v xml:space="preserve">MARCUS VINICIUS </v>
      </c>
      <c r="F1071" s="4" t="str">
        <f t="shared" si="96"/>
        <v>2024-12</v>
      </c>
      <c r="G1071" s="18">
        <f t="shared" si="97"/>
        <v>52</v>
      </c>
      <c r="H1071" t="str">
        <f t="shared" si="98"/>
        <v xml:space="preserve">MARCUS VINICIUS </v>
      </c>
      <c r="I1071" t="str">
        <f t="shared" si="99"/>
        <v>ISOBASE POLIESTIRENO LTDA EPP</v>
      </c>
      <c r="J1071">
        <f t="shared" si="100"/>
        <v>0</v>
      </c>
      <c r="K1071">
        <f t="shared" si="101"/>
        <v>1</v>
      </c>
    </row>
    <row r="1072" spans="1:11" x14ac:dyDescent="0.25">
      <c r="A1072" t="s">
        <v>428</v>
      </c>
      <c r="B1072" t="s">
        <v>179</v>
      </c>
      <c r="C1072" t="s">
        <v>50</v>
      </c>
      <c r="D1072" s="3">
        <v>45653</v>
      </c>
      <c r="E1072" t="str">
        <f>VLOOKUP(B1072,'PROCV GERENTES BD'!A:B,2,0)</f>
        <v xml:space="preserve">MARCUS VINICIUS </v>
      </c>
      <c r="F1072" s="4" t="str">
        <f t="shared" si="96"/>
        <v>2024-12</v>
      </c>
      <c r="G1072" s="18">
        <f t="shared" si="97"/>
        <v>52</v>
      </c>
      <c r="H1072" t="str">
        <f t="shared" si="98"/>
        <v xml:space="preserve">MARCUS VINICIUS </v>
      </c>
      <c r="I1072" t="str">
        <f t="shared" si="99"/>
        <v>LABOR ELETRIC INDUSTRIA E COMERCIO UNIPESSOAL LTDA</v>
      </c>
      <c r="J1072">
        <f t="shared" si="100"/>
        <v>0</v>
      </c>
      <c r="K1072">
        <f t="shared" si="101"/>
        <v>1</v>
      </c>
    </row>
    <row r="1073" spans="1:11" x14ac:dyDescent="0.25">
      <c r="A1073" t="s">
        <v>422</v>
      </c>
      <c r="B1073" t="s">
        <v>173</v>
      </c>
      <c r="C1073" t="s">
        <v>66</v>
      </c>
      <c r="D1073" s="3">
        <v>45653</v>
      </c>
      <c r="E1073" t="str">
        <f>VLOOKUP(B1073,'PROCV GERENTES BD'!A:B,2,0)</f>
        <v>NOELI SALETE</v>
      </c>
      <c r="F1073" s="4" t="str">
        <f t="shared" si="96"/>
        <v>2024-12</v>
      </c>
      <c r="G1073" s="18">
        <f t="shared" si="97"/>
        <v>52</v>
      </c>
      <c r="H1073" t="str">
        <f t="shared" si="98"/>
        <v>NOELI SALETE</v>
      </c>
      <c r="I1073" t="str">
        <f t="shared" si="99"/>
        <v>COMGROUP AGROINDUSTRIAL LTDA</v>
      </c>
      <c r="J1073">
        <f t="shared" si="100"/>
        <v>1</v>
      </c>
      <c r="K1073">
        <f t="shared" si="101"/>
        <v>0</v>
      </c>
    </row>
    <row r="1074" spans="1:11" x14ac:dyDescent="0.25">
      <c r="A1074" t="s">
        <v>339</v>
      </c>
      <c r="B1074" t="s">
        <v>87</v>
      </c>
      <c r="C1074" t="s">
        <v>50</v>
      </c>
      <c r="D1074" s="3">
        <v>45653</v>
      </c>
      <c r="E1074" t="str">
        <f>VLOOKUP(B1074,'PROCV GERENTES BD'!A:B,2,0)</f>
        <v>NOELI SALETE</v>
      </c>
      <c r="F1074" s="4" t="str">
        <f t="shared" si="96"/>
        <v>2024-12</v>
      </c>
      <c r="G1074" s="18">
        <f t="shared" si="97"/>
        <v>52</v>
      </c>
      <c r="H1074" t="str">
        <f t="shared" si="98"/>
        <v>NOELI SALETE</v>
      </c>
      <c r="I1074" t="str">
        <f t="shared" si="99"/>
        <v>RODOBOX TRANSPORTES E ARMAZENAGEM DE CARGAS LTDA</v>
      </c>
      <c r="J1074">
        <f t="shared" si="100"/>
        <v>0</v>
      </c>
      <c r="K1074">
        <f t="shared" si="101"/>
        <v>1</v>
      </c>
    </row>
    <row r="1075" spans="1:11" x14ac:dyDescent="0.25">
      <c r="A1075" t="s">
        <v>389</v>
      </c>
      <c r="B1075" t="s">
        <v>136</v>
      </c>
      <c r="C1075" t="s">
        <v>66</v>
      </c>
      <c r="D1075" s="3">
        <v>45653</v>
      </c>
      <c r="E1075" t="str">
        <f>VLOOKUP(B1075,'PROCV GERENTES BD'!A:B,2,0)</f>
        <v>POENATELA</v>
      </c>
      <c r="F1075" s="4" t="str">
        <f t="shared" si="96"/>
        <v>2024-12</v>
      </c>
      <c r="G1075" s="18">
        <f t="shared" si="97"/>
        <v>52</v>
      </c>
      <c r="H1075" t="str">
        <f t="shared" si="98"/>
        <v>POENATELA</v>
      </c>
      <c r="I1075" t="str">
        <f t="shared" si="99"/>
        <v>CONQUISTA INDUSTRIA DE MOVEIS S/A</v>
      </c>
      <c r="J1075">
        <f t="shared" si="100"/>
        <v>1</v>
      </c>
      <c r="K1075">
        <f t="shared" si="101"/>
        <v>0</v>
      </c>
    </row>
    <row r="1076" spans="1:11" x14ac:dyDescent="0.25">
      <c r="A1076" t="s">
        <v>420</v>
      </c>
      <c r="B1076" t="s">
        <v>170</v>
      </c>
      <c r="C1076" t="s">
        <v>66</v>
      </c>
      <c r="D1076" s="3">
        <v>45653</v>
      </c>
      <c r="E1076" t="str">
        <f>VLOOKUP(B1076,'PROCV GERENTES BD'!A:B,2,0)</f>
        <v>POENATELA</v>
      </c>
      <c r="F1076" s="4" t="str">
        <f t="shared" si="96"/>
        <v>2024-12</v>
      </c>
      <c r="G1076" s="18">
        <f t="shared" si="97"/>
        <v>52</v>
      </c>
      <c r="H1076" t="str">
        <f t="shared" si="98"/>
        <v>POENATELA</v>
      </c>
      <c r="I1076" t="str">
        <f t="shared" si="99"/>
        <v>SAVIXX COMERCIO INTERNACIONAL S/A</v>
      </c>
      <c r="J1076">
        <f t="shared" si="100"/>
        <v>1</v>
      </c>
      <c r="K1076">
        <f t="shared" si="101"/>
        <v>0</v>
      </c>
    </row>
    <row r="1077" spans="1:11" x14ac:dyDescent="0.25">
      <c r="A1077" t="s">
        <v>346</v>
      </c>
      <c r="B1077" t="s">
        <v>91</v>
      </c>
      <c r="C1077" t="s">
        <v>53</v>
      </c>
      <c r="D1077" s="3">
        <v>45653</v>
      </c>
      <c r="E1077" t="str">
        <f>VLOOKUP(B1077,'PROCV GERENTES BD'!A:B,2,0)</f>
        <v>POENATELA</v>
      </c>
      <c r="F1077" s="4" t="str">
        <f t="shared" si="96"/>
        <v>2024-12</v>
      </c>
      <c r="G1077" s="18">
        <f t="shared" si="97"/>
        <v>52</v>
      </c>
      <c r="H1077" t="str">
        <f t="shared" si="98"/>
        <v>POENATELA</v>
      </c>
      <c r="I1077" t="str">
        <f t="shared" si="99"/>
        <v>UBERTEC SERVICE USINAGEM LTDA EPP</v>
      </c>
      <c r="J1077">
        <f t="shared" si="100"/>
        <v>1</v>
      </c>
      <c r="K1077">
        <f t="shared" si="101"/>
        <v>1</v>
      </c>
    </row>
    <row r="1078" spans="1:11" x14ac:dyDescent="0.25">
      <c r="A1078" t="s">
        <v>353</v>
      </c>
      <c r="B1078" t="s">
        <v>97</v>
      </c>
      <c r="C1078" t="s">
        <v>50</v>
      </c>
      <c r="D1078" s="3">
        <v>45653</v>
      </c>
      <c r="E1078" t="str">
        <f>VLOOKUP(B1078,'PROCV GERENTES BD'!A:B,2,0)</f>
        <v>PRISCILA METZ</v>
      </c>
      <c r="F1078" s="4" t="str">
        <f t="shared" si="96"/>
        <v>2024-12</v>
      </c>
      <c r="G1078" s="18">
        <f t="shared" si="97"/>
        <v>52</v>
      </c>
      <c r="H1078" t="str">
        <f t="shared" si="98"/>
        <v>PRISCILA METZ</v>
      </c>
      <c r="I1078" t="str">
        <f t="shared" si="99"/>
        <v>ESSENZA INDUSTRIA QUIMICA LTDA</v>
      </c>
      <c r="J1078">
        <f t="shared" si="100"/>
        <v>0</v>
      </c>
      <c r="K1078">
        <f t="shared" si="101"/>
        <v>1</v>
      </c>
    </row>
    <row r="1079" spans="1:11" x14ac:dyDescent="0.25">
      <c r="A1079" t="s">
        <v>431</v>
      </c>
      <c r="B1079" t="s">
        <v>196</v>
      </c>
      <c r="C1079" t="s">
        <v>50</v>
      </c>
      <c r="D1079" s="3">
        <v>45653</v>
      </c>
      <c r="E1079" t="s">
        <v>21</v>
      </c>
      <c r="F1079" s="4" t="str">
        <f t="shared" si="96"/>
        <v>2024-12</v>
      </c>
      <c r="G1079" s="18">
        <f t="shared" si="97"/>
        <v>52</v>
      </c>
      <c r="H1079" t="str">
        <f t="shared" si="98"/>
        <v xml:space="preserve">ROGERIO </v>
      </c>
      <c r="I1079" t="str">
        <f t="shared" si="99"/>
        <v>GRF JEANS WEAR LTDA EPP</v>
      </c>
      <c r="J1079">
        <f t="shared" si="100"/>
        <v>0</v>
      </c>
      <c r="K1079">
        <f t="shared" si="101"/>
        <v>1</v>
      </c>
    </row>
    <row r="1080" spans="1:11" x14ac:dyDescent="0.25">
      <c r="A1080" t="s">
        <v>331</v>
      </c>
      <c r="B1080" t="s">
        <v>144</v>
      </c>
      <c r="C1080" t="s">
        <v>50</v>
      </c>
      <c r="D1080" s="3">
        <v>45654</v>
      </c>
      <c r="E1080" t="str">
        <f>VLOOKUP(B1080,'PROCV GERENTES BD'!A:B,2,0)</f>
        <v>ADMINISTRAÇÃO</v>
      </c>
      <c r="F1080" s="4" t="str">
        <f t="shared" si="96"/>
        <v>2024-12</v>
      </c>
      <c r="G1080" s="18">
        <f t="shared" si="97"/>
        <v>52</v>
      </c>
      <c r="H1080" t="str">
        <f t="shared" si="98"/>
        <v>ADMINISTRAÇÃO</v>
      </c>
      <c r="I1080" t="str">
        <f t="shared" si="99"/>
        <v>BOM PASTOR PAPEIS LTDA EM RECUPERACAO JUDICIAL</v>
      </c>
      <c r="J1080">
        <f t="shared" si="100"/>
        <v>0</v>
      </c>
      <c r="K1080">
        <f t="shared" si="101"/>
        <v>1</v>
      </c>
    </row>
    <row r="1081" spans="1:11" x14ac:dyDescent="0.25">
      <c r="A1081" t="s">
        <v>382</v>
      </c>
      <c r="B1081" t="s">
        <v>129</v>
      </c>
      <c r="C1081" t="s">
        <v>50</v>
      </c>
      <c r="D1081" s="3">
        <v>45654</v>
      </c>
      <c r="E1081" t="str">
        <f>VLOOKUP(B1081,'PROCV GERENTES BD'!A:B,2,0)</f>
        <v>ADMINISTRAÇÃO</v>
      </c>
      <c r="F1081" s="4" t="str">
        <f t="shared" si="96"/>
        <v>2024-12</v>
      </c>
      <c r="G1081" s="18">
        <f t="shared" si="97"/>
        <v>52</v>
      </c>
      <c r="H1081" t="str">
        <f t="shared" si="98"/>
        <v>ADMINISTRAÇÃO</v>
      </c>
      <c r="I1081" t="str">
        <f t="shared" si="99"/>
        <v>XEQUE MATE BEBIDAS LTDA ME</v>
      </c>
      <c r="J1081">
        <f t="shared" si="100"/>
        <v>0</v>
      </c>
      <c r="K1081">
        <f t="shared" si="101"/>
        <v>1</v>
      </c>
    </row>
    <row r="1082" spans="1:11" x14ac:dyDescent="0.25">
      <c r="A1082" t="s">
        <v>304</v>
      </c>
      <c r="B1082" t="s">
        <v>123</v>
      </c>
      <c r="C1082" t="s">
        <v>66</v>
      </c>
      <c r="D1082" s="3">
        <v>45654</v>
      </c>
      <c r="E1082" t="str">
        <f>VLOOKUP(B1082,'PROCV GERENTES BD'!A:B,2,0)</f>
        <v>ADMINISTRAÇÃO</v>
      </c>
      <c r="F1082" s="4" t="str">
        <f t="shared" si="96"/>
        <v>2024-12</v>
      </c>
      <c r="G1082" s="18">
        <f t="shared" si="97"/>
        <v>52</v>
      </c>
      <c r="H1082" t="str">
        <f t="shared" si="98"/>
        <v>ADMINISTRAÇÃO</v>
      </c>
      <c r="I1082" t="str">
        <f t="shared" si="99"/>
        <v>VIC LOGISTICA LTDA EM RECUPERACAO JUDICIAL</v>
      </c>
      <c r="J1082">
        <f t="shared" si="100"/>
        <v>1</v>
      </c>
      <c r="K1082">
        <f t="shared" si="101"/>
        <v>0</v>
      </c>
    </row>
    <row r="1083" spans="1:11" x14ac:dyDescent="0.25">
      <c r="A1083" t="s">
        <v>319</v>
      </c>
      <c r="B1083" t="s">
        <v>80</v>
      </c>
      <c r="C1083" t="s">
        <v>50</v>
      </c>
      <c r="D1083" s="3">
        <v>45654</v>
      </c>
      <c r="E1083" t="str">
        <f>VLOOKUP(B1083,'PROCV GERENTES BD'!A:B,2,0)</f>
        <v>CELIO PIMENTA</v>
      </c>
      <c r="F1083" s="4" t="str">
        <f t="shared" si="96"/>
        <v>2024-12</v>
      </c>
      <c r="G1083" s="18">
        <f t="shared" si="97"/>
        <v>52</v>
      </c>
      <c r="H1083" t="str">
        <f t="shared" si="98"/>
        <v>CELIO PIMENTA</v>
      </c>
      <c r="I1083" t="str">
        <f t="shared" si="99"/>
        <v>IMPORTEXTIL COMERCIO DE TECIDOS LTDA</v>
      </c>
      <c r="J1083">
        <f t="shared" si="100"/>
        <v>0</v>
      </c>
      <c r="K1083">
        <f t="shared" si="101"/>
        <v>1</v>
      </c>
    </row>
    <row r="1084" spans="1:11" x14ac:dyDescent="0.25">
      <c r="A1084" t="s">
        <v>324</v>
      </c>
      <c r="B1084" t="s">
        <v>119</v>
      </c>
      <c r="C1084" t="s">
        <v>66</v>
      </c>
      <c r="D1084" s="3">
        <v>45654</v>
      </c>
      <c r="E1084" t="str">
        <f>VLOOKUP(B1084,'PROCV GERENTES BD'!A:B,2,0)</f>
        <v>PROSPECTAR</v>
      </c>
      <c r="F1084" s="4" t="str">
        <f t="shared" si="96"/>
        <v>2024-12</v>
      </c>
      <c r="G1084" s="18">
        <f t="shared" si="97"/>
        <v>52</v>
      </c>
      <c r="H1084" t="str">
        <f t="shared" si="98"/>
        <v>PROSPECTAR</v>
      </c>
      <c r="I1084" t="str">
        <f t="shared" si="99"/>
        <v>TRANSHENRY TRANSPORTES LTDA</v>
      </c>
      <c r="J1084">
        <f t="shared" si="100"/>
        <v>1</v>
      </c>
      <c r="K1084">
        <f t="shared" si="101"/>
        <v>0</v>
      </c>
    </row>
    <row r="1085" spans="1:11" x14ac:dyDescent="0.25">
      <c r="A1085" t="s">
        <v>323</v>
      </c>
      <c r="B1085" t="s">
        <v>109</v>
      </c>
      <c r="C1085" t="s">
        <v>66</v>
      </c>
      <c r="D1085" s="3">
        <v>45654</v>
      </c>
      <c r="E1085" t="str">
        <f>VLOOKUP(B1085,'PROCV GERENTES BD'!A:B,2,0)</f>
        <v>PROSPECTAR</v>
      </c>
      <c r="F1085" s="4" t="str">
        <f t="shared" si="96"/>
        <v>2024-12</v>
      </c>
      <c r="G1085" s="18">
        <f t="shared" si="97"/>
        <v>52</v>
      </c>
      <c r="H1085" t="str">
        <f t="shared" si="98"/>
        <v>PROSPECTAR</v>
      </c>
      <c r="I1085" t="str">
        <f t="shared" si="99"/>
        <v>SIAP COMERCIO DE PRODUTOS AGROPECUARIOS LTDA</v>
      </c>
      <c r="J1085">
        <f t="shared" si="100"/>
        <v>1</v>
      </c>
      <c r="K1085">
        <f t="shared" si="101"/>
        <v>0</v>
      </c>
    </row>
    <row r="1086" spans="1:11" x14ac:dyDescent="0.25">
      <c r="A1086" t="s">
        <v>369</v>
      </c>
      <c r="B1086" t="s">
        <v>113</v>
      </c>
      <c r="C1086" t="s">
        <v>50</v>
      </c>
      <c r="D1086" s="3">
        <v>45654</v>
      </c>
      <c r="E1086" t="str">
        <f>VLOOKUP(B1086,'PROCV GERENTES BD'!A:B,2,0)</f>
        <v xml:space="preserve">MARCUS VINICIUS </v>
      </c>
      <c r="F1086" s="4" t="str">
        <f t="shared" si="96"/>
        <v>2024-12</v>
      </c>
      <c r="G1086" s="18">
        <f t="shared" si="97"/>
        <v>52</v>
      </c>
      <c r="H1086" t="str">
        <f t="shared" si="98"/>
        <v xml:space="preserve">MARCUS VINICIUS </v>
      </c>
      <c r="I1086" t="str">
        <f t="shared" si="99"/>
        <v>ISOBASE POLIESTIRENO LTDA EPP</v>
      </c>
      <c r="J1086">
        <f t="shared" si="100"/>
        <v>0</v>
      </c>
      <c r="K1086">
        <f t="shared" si="101"/>
        <v>1</v>
      </c>
    </row>
    <row r="1087" spans="1:11" x14ac:dyDescent="0.25">
      <c r="A1087" t="s">
        <v>428</v>
      </c>
      <c r="B1087" t="s">
        <v>179</v>
      </c>
      <c r="C1087" t="s">
        <v>50</v>
      </c>
      <c r="D1087" s="3">
        <v>45654</v>
      </c>
      <c r="E1087" t="str">
        <f>VLOOKUP(B1087,'PROCV GERENTES BD'!A:B,2,0)</f>
        <v xml:space="preserve">MARCUS VINICIUS </v>
      </c>
      <c r="F1087" s="4" t="str">
        <f t="shared" si="96"/>
        <v>2024-12</v>
      </c>
      <c r="G1087" s="18">
        <f t="shared" si="97"/>
        <v>52</v>
      </c>
      <c r="H1087" t="str">
        <f t="shared" si="98"/>
        <v xml:space="preserve">MARCUS VINICIUS </v>
      </c>
      <c r="I1087" t="str">
        <f t="shared" si="99"/>
        <v>LABOR ELETRIC INDUSTRIA E COMERCIO UNIPESSOAL LTDA</v>
      </c>
      <c r="J1087">
        <f t="shared" si="100"/>
        <v>0</v>
      </c>
      <c r="K1087">
        <f t="shared" si="101"/>
        <v>1</v>
      </c>
    </row>
    <row r="1088" spans="1:11" x14ac:dyDescent="0.25">
      <c r="A1088" t="s">
        <v>422</v>
      </c>
      <c r="B1088" t="s">
        <v>173</v>
      </c>
      <c r="C1088" t="s">
        <v>66</v>
      </c>
      <c r="D1088" s="3">
        <v>45654</v>
      </c>
      <c r="E1088" t="str">
        <f>VLOOKUP(B1088,'PROCV GERENTES BD'!A:B,2,0)</f>
        <v>NOELI SALETE</v>
      </c>
      <c r="F1088" s="4" t="str">
        <f t="shared" si="96"/>
        <v>2024-12</v>
      </c>
      <c r="G1088" s="18">
        <f t="shared" si="97"/>
        <v>52</v>
      </c>
      <c r="H1088" t="str">
        <f t="shared" si="98"/>
        <v>NOELI SALETE</v>
      </c>
      <c r="I1088" t="str">
        <f t="shared" si="99"/>
        <v>COMGROUP AGROINDUSTRIAL LTDA</v>
      </c>
      <c r="J1088">
        <f t="shared" si="100"/>
        <v>1</v>
      </c>
      <c r="K1088">
        <f t="shared" si="101"/>
        <v>0</v>
      </c>
    </row>
    <row r="1089" spans="1:11" x14ac:dyDescent="0.25">
      <c r="A1089" t="s">
        <v>339</v>
      </c>
      <c r="B1089" t="s">
        <v>87</v>
      </c>
      <c r="C1089" t="s">
        <v>50</v>
      </c>
      <c r="D1089" s="3">
        <v>45654</v>
      </c>
      <c r="E1089" t="str">
        <f>VLOOKUP(B1089,'PROCV GERENTES BD'!A:B,2,0)</f>
        <v>NOELI SALETE</v>
      </c>
      <c r="F1089" s="4" t="str">
        <f t="shared" si="96"/>
        <v>2024-12</v>
      </c>
      <c r="G1089" s="18">
        <f t="shared" si="97"/>
        <v>52</v>
      </c>
      <c r="H1089" t="str">
        <f t="shared" si="98"/>
        <v>NOELI SALETE</v>
      </c>
      <c r="I1089" t="str">
        <f t="shared" si="99"/>
        <v>RODOBOX TRANSPORTES E ARMAZENAGEM DE CARGAS LTDA</v>
      </c>
      <c r="J1089">
        <f t="shared" si="100"/>
        <v>0</v>
      </c>
      <c r="K1089">
        <f t="shared" si="101"/>
        <v>1</v>
      </c>
    </row>
    <row r="1090" spans="1:11" x14ac:dyDescent="0.25">
      <c r="A1090" t="s">
        <v>389</v>
      </c>
      <c r="B1090" t="s">
        <v>136</v>
      </c>
      <c r="C1090" t="s">
        <v>66</v>
      </c>
      <c r="D1090" s="3">
        <v>45654</v>
      </c>
      <c r="E1090" t="str">
        <f>VLOOKUP(B1090,'PROCV GERENTES BD'!A:B,2,0)</f>
        <v>POENATELA</v>
      </c>
      <c r="F1090" s="4" t="str">
        <f t="shared" ref="F1090:F1153" si="102">YEAR(D1090)&amp;"-"&amp;TEXT(MONTH(D1090),"00")</f>
        <v>2024-12</v>
      </c>
      <c r="G1090" s="18">
        <f t="shared" ref="G1090:G1153" si="103">WEEKNUM(D1090)</f>
        <v>52</v>
      </c>
      <c r="H1090" t="str">
        <f t="shared" ref="H1090:H1153" si="104">E1090</f>
        <v>POENATELA</v>
      </c>
      <c r="I1090" t="str">
        <f t="shared" ref="I1090:I1153" si="105">B1090</f>
        <v>CONQUISTA INDUSTRIA DE MOVEIS S/A</v>
      </c>
      <c r="J1090">
        <f t="shared" ref="J1090:J1153" si="106">IF(OR(C1090="EXCLUSAO  ANOT.INADIMPLENCIA",C1090="INCL/EXCL ANOT.INADIMPLENCIA"),1,0)</f>
        <v>1</v>
      </c>
      <c r="K1090">
        <f t="shared" ref="K1090:K1153" si="107">IF(OR(C1090="INCLUSAO  ANOT.INADIMPLENCIA",C1090="INCL/EXCL ANOT.INADIMPLENCIA"),1,0)</f>
        <v>0</v>
      </c>
    </row>
    <row r="1091" spans="1:11" x14ac:dyDescent="0.25">
      <c r="A1091" t="s">
        <v>420</v>
      </c>
      <c r="B1091" t="s">
        <v>170</v>
      </c>
      <c r="C1091" t="s">
        <v>66</v>
      </c>
      <c r="D1091" s="3">
        <v>45654</v>
      </c>
      <c r="E1091" t="str">
        <f>VLOOKUP(B1091,'PROCV GERENTES BD'!A:B,2,0)</f>
        <v>POENATELA</v>
      </c>
      <c r="F1091" s="4" t="str">
        <f t="shared" si="102"/>
        <v>2024-12</v>
      </c>
      <c r="G1091" s="18">
        <f t="shared" si="103"/>
        <v>52</v>
      </c>
      <c r="H1091" t="str">
        <f t="shared" si="104"/>
        <v>POENATELA</v>
      </c>
      <c r="I1091" t="str">
        <f t="shared" si="105"/>
        <v>SAVIXX COMERCIO INTERNACIONAL S/A</v>
      </c>
      <c r="J1091">
        <f t="shared" si="106"/>
        <v>1</v>
      </c>
      <c r="K1091">
        <f t="shared" si="107"/>
        <v>0</v>
      </c>
    </row>
    <row r="1092" spans="1:11" x14ac:dyDescent="0.25">
      <c r="A1092" t="s">
        <v>346</v>
      </c>
      <c r="B1092" t="s">
        <v>91</v>
      </c>
      <c r="C1092" t="s">
        <v>53</v>
      </c>
      <c r="D1092" s="3">
        <v>45654</v>
      </c>
      <c r="E1092" t="str">
        <f>VLOOKUP(B1092,'PROCV GERENTES BD'!A:B,2,0)</f>
        <v>POENATELA</v>
      </c>
      <c r="F1092" s="4" t="str">
        <f t="shared" si="102"/>
        <v>2024-12</v>
      </c>
      <c r="G1092" s="18">
        <f t="shared" si="103"/>
        <v>52</v>
      </c>
      <c r="H1092" t="str">
        <f t="shared" si="104"/>
        <v>POENATELA</v>
      </c>
      <c r="I1092" t="str">
        <f t="shared" si="105"/>
        <v>UBERTEC SERVICE USINAGEM LTDA EPP</v>
      </c>
      <c r="J1092">
        <f t="shared" si="106"/>
        <v>1</v>
      </c>
      <c r="K1092">
        <f t="shared" si="107"/>
        <v>1</v>
      </c>
    </row>
    <row r="1093" spans="1:11" x14ac:dyDescent="0.25">
      <c r="A1093" t="s">
        <v>353</v>
      </c>
      <c r="B1093" t="s">
        <v>97</v>
      </c>
      <c r="C1093" t="s">
        <v>50</v>
      </c>
      <c r="D1093" s="3">
        <v>45654</v>
      </c>
      <c r="E1093" t="str">
        <f>VLOOKUP(B1093,'PROCV GERENTES BD'!A:B,2,0)</f>
        <v>PRISCILA METZ</v>
      </c>
      <c r="F1093" s="4" t="str">
        <f t="shared" si="102"/>
        <v>2024-12</v>
      </c>
      <c r="G1093" s="18">
        <f t="shared" si="103"/>
        <v>52</v>
      </c>
      <c r="H1093" t="str">
        <f t="shared" si="104"/>
        <v>PRISCILA METZ</v>
      </c>
      <c r="I1093" t="str">
        <f t="shared" si="105"/>
        <v>ESSENZA INDUSTRIA QUIMICA LTDA</v>
      </c>
      <c r="J1093">
        <f t="shared" si="106"/>
        <v>0</v>
      </c>
      <c r="K1093">
        <f t="shared" si="107"/>
        <v>1</v>
      </c>
    </row>
    <row r="1094" spans="1:11" x14ac:dyDescent="0.25">
      <c r="A1094" t="s">
        <v>331</v>
      </c>
      <c r="B1094" t="s">
        <v>144</v>
      </c>
      <c r="C1094" t="s">
        <v>50</v>
      </c>
      <c r="D1094" s="3">
        <v>45657</v>
      </c>
      <c r="E1094" t="str">
        <f>VLOOKUP(B1094,'PROCV GERENTES BD'!A:B,2,0)</f>
        <v>ADMINISTRAÇÃO</v>
      </c>
      <c r="F1094" s="4" t="str">
        <f t="shared" si="102"/>
        <v>2024-12</v>
      </c>
      <c r="G1094" s="18">
        <f t="shared" si="103"/>
        <v>53</v>
      </c>
      <c r="H1094" t="str">
        <f t="shared" si="104"/>
        <v>ADMINISTRAÇÃO</v>
      </c>
      <c r="I1094" t="str">
        <f t="shared" si="105"/>
        <v>BOM PASTOR PAPEIS LTDA EM RECUPERACAO JUDICIAL</v>
      </c>
      <c r="J1094">
        <f t="shared" si="106"/>
        <v>0</v>
      </c>
      <c r="K1094">
        <f t="shared" si="107"/>
        <v>1</v>
      </c>
    </row>
    <row r="1095" spans="1:11" x14ac:dyDescent="0.25">
      <c r="A1095" t="s">
        <v>382</v>
      </c>
      <c r="B1095" t="s">
        <v>129</v>
      </c>
      <c r="C1095" t="s">
        <v>50</v>
      </c>
      <c r="D1095" s="3">
        <v>45657</v>
      </c>
      <c r="E1095" t="str">
        <f>VLOOKUP(B1095,'PROCV GERENTES BD'!A:B,2,0)</f>
        <v>ADMINISTRAÇÃO</v>
      </c>
      <c r="F1095" s="4" t="str">
        <f t="shared" si="102"/>
        <v>2024-12</v>
      </c>
      <c r="G1095" s="18">
        <f t="shared" si="103"/>
        <v>53</v>
      </c>
      <c r="H1095" t="str">
        <f t="shared" si="104"/>
        <v>ADMINISTRAÇÃO</v>
      </c>
      <c r="I1095" t="str">
        <f t="shared" si="105"/>
        <v>XEQUE MATE BEBIDAS LTDA ME</v>
      </c>
      <c r="J1095">
        <f t="shared" si="106"/>
        <v>0</v>
      </c>
      <c r="K1095">
        <f t="shared" si="107"/>
        <v>1</v>
      </c>
    </row>
    <row r="1096" spans="1:11" x14ac:dyDescent="0.25">
      <c r="A1096" t="s">
        <v>319</v>
      </c>
      <c r="B1096" t="s">
        <v>80</v>
      </c>
      <c r="C1096" t="s">
        <v>50</v>
      </c>
      <c r="D1096" s="3">
        <v>45657</v>
      </c>
      <c r="E1096" t="str">
        <f>VLOOKUP(B1096,'PROCV GERENTES BD'!A:B,2,0)</f>
        <v>CELIO PIMENTA</v>
      </c>
      <c r="F1096" s="4" t="str">
        <f t="shared" si="102"/>
        <v>2024-12</v>
      </c>
      <c r="G1096" s="18">
        <f t="shared" si="103"/>
        <v>53</v>
      </c>
      <c r="H1096" t="str">
        <f t="shared" si="104"/>
        <v>CELIO PIMENTA</v>
      </c>
      <c r="I1096" t="str">
        <f t="shared" si="105"/>
        <v>IMPORTEXTIL COMERCIO DE TECIDOS LTDA</v>
      </c>
      <c r="J1096">
        <f t="shared" si="106"/>
        <v>0</v>
      </c>
      <c r="K1096">
        <f t="shared" si="107"/>
        <v>1</v>
      </c>
    </row>
    <row r="1097" spans="1:11" x14ac:dyDescent="0.25">
      <c r="A1097" t="s">
        <v>311</v>
      </c>
      <c r="B1097" t="s">
        <v>81</v>
      </c>
      <c r="C1097" t="s">
        <v>66</v>
      </c>
      <c r="D1097" s="3">
        <v>45657</v>
      </c>
      <c r="E1097" t="str">
        <f>VLOOKUP(B1097,'PROCV GERENTES BD'!A:B,2,0)</f>
        <v>CELIO PIMENTA</v>
      </c>
      <c r="F1097" s="4" t="str">
        <f t="shared" si="102"/>
        <v>2024-12</v>
      </c>
      <c r="G1097" s="18">
        <f t="shared" si="103"/>
        <v>53</v>
      </c>
      <c r="H1097" t="str">
        <f t="shared" si="104"/>
        <v>CELIO PIMENTA</v>
      </c>
      <c r="I1097" t="str">
        <f t="shared" si="105"/>
        <v>MBIOLOG DIAGNOSTICOS LTDA</v>
      </c>
      <c r="J1097">
        <f t="shared" si="106"/>
        <v>1</v>
      </c>
      <c r="K1097">
        <f t="shared" si="107"/>
        <v>0</v>
      </c>
    </row>
    <row r="1098" spans="1:11" x14ac:dyDescent="0.25">
      <c r="A1098" t="s">
        <v>54</v>
      </c>
      <c r="B1098" t="s">
        <v>55</v>
      </c>
      <c r="C1098" t="s">
        <v>50</v>
      </c>
      <c r="D1098" s="3">
        <v>45657</v>
      </c>
      <c r="E1098" t="str">
        <f>VLOOKUP(B1098,'PROCV GERENTES BD'!A:B,2,0)</f>
        <v>CELIO PIMENTA</v>
      </c>
      <c r="F1098" s="4" t="str">
        <f t="shared" si="102"/>
        <v>2024-12</v>
      </c>
      <c r="G1098" s="18">
        <f t="shared" si="103"/>
        <v>53</v>
      </c>
      <c r="H1098" t="str">
        <f t="shared" si="104"/>
        <v>CELIO PIMENTA</v>
      </c>
      <c r="I1098" t="str">
        <f t="shared" si="105"/>
        <v>WJ CALDEIRARIA INDUSTRIA E COMERCIO LTDA ME</v>
      </c>
      <c r="J1098">
        <f t="shared" si="106"/>
        <v>0</v>
      </c>
      <c r="K1098">
        <f t="shared" si="107"/>
        <v>1</v>
      </c>
    </row>
    <row r="1099" spans="1:11" x14ac:dyDescent="0.25">
      <c r="A1099" t="s">
        <v>323</v>
      </c>
      <c r="B1099" t="s">
        <v>109</v>
      </c>
      <c r="C1099" t="s">
        <v>53</v>
      </c>
      <c r="D1099" s="3">
        <v>45657</v>
      </c>
      <c r="E1099" t="str">
        <f>VLOOKUP(B1099,'PROCV GERENTES BD'!A:B,2,0)</f>
        <v>PROSPECTAR</v>
      </c>
      <c r="F1099" s="4" t="str">
        <f t="shared" si="102"/>
        <v>2024-12</v>
      </c>
      <c r="G1099" s="18">
        <f t="shared" si="103"/>
        <v>53</v>
      </c>
      <c r="H1099" t="str">
        <f t="shared" si="104"/>
        <v>PROSPECTAR</v>
      </c>
      <c r="I1099" t="str">
        <f t="shared" si="105"/>
        <v>SIAP COMERCIO DE PRODUTOS AGROPECUARIOS LTDA</v>
      </c>
      <c r="J1099">
        <f t="shared" si="106"/>
        <v>1</v>
      </c>
      <c r="K1099">
        <f t="shared" si="107"/>
        <v>1</v>
      </c>
    </row>
    <row r="1100" spans="1:11" x14ac:dyDescent="0.25">
      <c r="A1100" t="s">
        <v>60</v>
      </c>
      <c r="B1100" t="s">
        <v>61</v>
      </c>
      <c r="C1100" t="s">
        <v>66</v>
      </c>
      <c r="D1100" s="3">
        <v>45657</v>
      </c>
      <c r="E1100" t="str">
        <f>VLOOKUP(B1100,'PROCV GERENTES BD'!A:B,2,0)</f>
        <v xml:space="preserve">MARCUS VINICIUS </v>
      </c>
      <c r="F1100" s="4" t="str">
        <f t="shared" si="102"/>
        <v>2024-12</v>
      </c>
      <c r="G1100" s="18">
        <f t="shared" si="103"/>
        <v>53</v>
      </c>
      <c r="H1100" t="str">
        <f t="shared" si="104"/>
        <v xml:space="preserve">MARCUS VINICIUS </v>
      </c>
      <c r="I1100" t="str">
        <f t="shared" si="105"/>
        <v>COM IND DE CEREAIS E TRANSPORTES MACIEL LTDA</v>
      </c>
      <c r="J1100">
        <f t="shared" si="106"/>
        <v>1</v>
      </c>
      <c r="K1100">
        <f t="shared" si="107"/>
        <v>0</v>
      </c>
    </row>
    <row r="1101" spans="1:11" x14ac:dyDescent="0.25">
      <c r="A1101" t="s">
        <v>422</v>
      </c>
      <c r="B1101" t="s">
        <v>173</v>
      </c>
      <c r="C1101" t="s">
        <v>50</v>
      </c>
      <c r="D1101" s="3">
        <v>45657</v>
      </c>
      <c r="E1101" t="str">
        <f>VLOOKUP(B1101,'PROCV GERENTES BD'!A:B,2,0)</f>
        <v>NOELI SALETE</v>
      </c>
      <c r="F1101" s="4" t="str">
        <f t="shared" si="102"/>
        <v>2024-12</v>
      </c>
      <c r="G1101" s="18">
        <f t="shared" si="103"/>
        <v>53</v>
      </c>
      <c r="H1101" t="str">
        <f t="shared" si="104"/>
        <v>NOELI SALETE</v>
      </c>
      <c r="I1101" t="str">
        <f t="shared" si="105"/>
        <v>COMGROUP AGROINDUSTRIAL LTDA</v>
      </c>
      <c r="J1101">
        <f t="shared" si="106"/>
        <v>0</v>
      </c>
      <c r="K1101">
        <f t="shared" si="107"/>
        <v>1</v>
      </c>
    </row>
    <row r="1102" spans="1:11" x14ac:dyDescent="0.25">
      <c r="A1102" t="s">
        <v>419</v>
      </c>
      <c r="B1102" t="s">
        <v>199</v>
      </c>
      <c r="C1102" t="s">
        <v>50</v>
      </c>
      <c r="D1102" s="3">
        <v>45657</v>
      </c>
      <c r="E1102" t="str">
        <f>VLOOKUP(B1102,'PROCV GERENTES BD'!A:B,2,0)</f>
        <v>NOELI SALETE</v>
      </c>
      <c r="F1102" s="4" t="str">
        <f t="shared" si="102"/>
        <v>2024-12</v>
      </c>
      <c r="G1102" s="18">
        <f t="shared" si="103"/>
        <v>53</v>
      </c>
      <c r="H1102" t="str">
        <f t="shared" si="104"/>
        <v>NOELI SALETE</v>
      </c>
      <c r="I1102" t="str">
        <f t="shared" si="105"/>
        <v>GLOBAL ACO SERV PRODUTOS SIDERURGICOS LTDA RECUPER</v>
      </c>
      <c r="J1102">
        <f t="shared" si="106"/>
        <v>0</v>
      </c>
      <c r="K1102">
        <f t="shared" si="107"/>
        <v>1</v>
      </c>
    </row>
    <row r="1103" spans="1:11" x14ac:dyDescent="0.25">
      <c r="A1103" t="s">
        <v>339</v>
      </c>
      <c r="B1103" t="s">
        <v>87</v>
      </c>
      <c r="C1103" t="s">
        <v>50</v>
      </c>
      <c r="D1103" s="3">
        <v>45657</v>
      </c>
      <c r="E1103" t="str">
        <f>VLOOKUP(B1103,'PROCV GERENTES BD'!A:B,2,0)</f>
        <v>NOELI SALETE</v>
      </c>
      <c r="F1103" s="4" t="str">
        <f t="shared" si="102"/>
        <v>2024-12</v>
      </c>
      <c r="G1103" s="18">
        <f t="shared" si="103"/>
        <v>53</v>
      </c>
      <c r="H1103" t="str">
        <f t="shared" si="104"/>
        <v>NOELI SALETE</v>
      </c>
      <c r="I1103" t="str">
        <f t="shared" si="105"/>
        <v>RODOBOX TRANSPORTES E ARMAZENAGEM DE CARGAS LTDA</v>
      </c>
      <c r="J1103">
        <f t="shared" si="106"/>
        <v>0</v>
      </c>
      <c r="K1103">
        <f t="shared" si="107"/>
        <v>1</v>
      </c>
    </row>
    <row r="1104" spans="1:11" x14ac:dyDescent="0.25">
      <c r="A1104" t="s">
        <v>389</v>
      </c>
      <c r="B1104" t="s">
        <v>136</v>
      </c>
      <c r="C1104" t="s">
        <v>66</v>
      </c>
      <c r="D1104" s="3">
        <v>45657</v>
      </c>
      <c r="E1104" t="str">
        <f>VLOOKUP(B1104,'PROCV GERENTES BD'!A:B,2,0)</f>
        <v>POENATELA</v>
      </c>
      <c r="F1104" s="4" t="str">
        <f t="shared" si="102"/>
        <v>2024-12</v>
      </c>
      <c r="G1104" s="18">
        <f t="shared" si="103"/>
        <v>53</v>
      </c>
      <c r="H1104" t="str">
        <f t="shared" si="104"/>
        <v>POENATELA</v>
      </c>
      <c r="I1104" t="str">
        <f t="shared" si="105"/>
        <v>CONQUISTA INDUSTRIA DE MOVEIS S/A</v>
      </c>
      <c r="J1104">
        <f t="shared" si="106"/>
        <v>1</v>
      </c>
      <c r="K1104">
        <f t="shared" si="107"/>
        <v>0</v>
      </c>
    </row>
    <row r="1105" spans="1:11" x14ac:dyDescent="0.25">
      <c r="A1105" t="s">
        <v>346</v>
      </c>
      <c r="B1105" t="s">
        <v>91</v>
      </c>
      <c r="C1105" t="s">
        <v>50</v>
      </c>
      <c r="D1105" s="3">
        <v>45657</v>
      </c>
      <c r="E1105" t="str">
        <f>VLOOKUP(B1105,'PROCV GERENTES BD'!A:B,2,0)</f>
        <v>POENATELA</v>
      </c>
      <c r="F1105" s="4" t="str">
        <f t="shared" si="102"/>
        <v>2024-12</v>
      </c>
      <c r="G1105" s="18">
        <f t="shared" si="103"/>
        <v>53</v>
      </c>
      <c r="H1105" t="str">
        <f t="shared" si="104"/>
        <v>POENATELA</v>
      </c>
      <c r="I1105" t="str">
        <f t="shared" si="105"/>
        <v>UBERTEC SERVICE USINAGEM LTDA EPP</v>
      </c>
      <c r="J1105">
        <f t="shared" si="106"/>
        <v>0</v>
      </c>
      <c r="K1105">
        <f t="shared" si="107"/>
        <v>1</v>
      </c>
    </row>
    <row r="1106" spans="1:11" x14ac:dyDescent="0.25">
      <c r="A1106" t="s">
        <v>431</v>
      </c>
      <c r="B1106" t="s">
        <v>196</v>
      </c>
      <c r="C1106" t="s">
        <v>50</v>
      </c>
      <c r="D1106" s="3">
        <v>45657</v>
      </c>
      <c r="E1106" t="s">
        <v>21</v>
      </c>
      <c r="F1106" s="4" t="str">
        <f t="shared" si="102"/>
        <v>2024-12</v>
      </c>
      <c r="G1106" s="18">
        <f t="shared" si="103"/>
        <v>53</v>
      </c>
      <c r="H1106" t="str">
        <f t="shared" si="104"/>
        <v xml:space="preserve">ROGERIO </v>
      </c>
      <c r="I1106" t="str">
        <f t="shared" si="105"/>
        <v>GRF JEANS WEAR LTDA EPP</v>
      </c>
      <c r="J1106">
        <f t="shared" si="106"/>
        <v>0</v>
      </c>
      <c r="K1106">
        <f t="shared" si="107"/>
        <v>1</v>
      </c>
    </row>
    <row r="1107" spans="1:11" x14ac:dyDescent="0.25">
      <c r="A1107" t="s">
        <v>325</v>
      </c>
      <c r="B1107" t="s">
        <v>138</v>
      </c>
      <c r="C1107" t="s">
        <v>50</v>
      </c>
      <c r="D1107" s="3">
        <v>45657</v>
      </c>
      <c r="E1107" t="str">
        <f>VLOOKUP(B1107,'PROCV GERENTES BD'!A:B,2,0)</f>
        <v>SACADO</v>
      </c>
      <c r="F1107" s="4" t="str">
        <f t="shared" si="102"/>
        <v>2024-12</v>
      </c>
      <c r="G1107" s="18">
        <f t="shared" si="103"/>
        <v>53</v>
      </c>
      <c r="H1107" t="str">
        <f t="shared" si="104"/>
        <v>SACADO</v>
      </c>
      <c r="I1107" t="str">
        <f t="shared" si="105"/>
        <v>ALLIAGE S A INDUSTRIAS MEDICO ODONTOLOGICA</v>
      </c>
      <c r="J1107">
        <f t="shared" si="106"/>
        <v>0</v>
      </c>
      <c r="K1107">
        <f t="shared" si="107"/>
        <v>1</v>
      </c>
    </row>
    <row r="1108" spans="1:11" x14ac:dyDescent="0.25">
      <c r="A1108" t="s">
        <v>373</v>
      </c>
      <c r="B1108" t="s">
        <v>117</v>
      </c>
      <c r="C1108" t="s">
        <v>50</v>
      </c>
      <c r="D1108" s="3">
        <v>45658</v>
      </c>
      <c r="E1108" t="str">
        <f>VLOOKUP(B1108,'PROCV GERENTES BD'!A:B,2,0)</f>
        <v>ADMINISTRAÇÃO</v>
      </c>
      <c r="F1108" s="4" t="str">
        <f t="shared" si="102"/>
        <v>2025-01</v>
      </c>
      <c r="G1108" s="18">
        <f t="shared" si="103"/>
        <v>1</v>
      </c>
      <c r="H1108" t="str">
        <f t="shared" si="104"/>
        <v>ADMINISTRAÇÃO</v>
      </c>
      <c r="I1108" t="str">
        <f t="shared" si="105"/>
        <v>VIVAN TRANSPORTES LTDA</v>
      </c>
      <c r="J1108">
        <f t="shared" si="106"/>
        <v>0</v>
      </c>
      <c r="K1108">
        <f t="shared" si="107"/>
        <v>1</v>
      </c>
    </row>
    <row r="1109" spans="1:11" x14ac:dyDescent="0.25">
      <c r="A1109" t="s">
        <v>319</v>
      </c>
      <c r="B1109" t="s">
        <v>80</v>
      </c>
      <c r="C1109" t="s">
        <v>53</v>
      </c>
      <c r="D1109" s="3">
        <v>45658</v>
      </c>
      <c r="E1109" t="str">
        <f>VLOOKUP(B1109,'PROCV GERENTES BD'!A:B,2,0)</f>
        <v>CELIO PIMENTA</v>
      </c>
      <c r="F1109" s="4" t="str">
        <f t="shared" si="102"/>
        <v>2025-01</v>
      </c>
      <c r="G1109" s="18">
        <f t="shared" si="103"/>
        <v>1</v>
      </c>
      <c r="H1109" t="str">
        <f t="shared" si="104"/>
        <v>CELIO PIMENTA</v>
      </c>
      <c r="I1109" t="str">
        <f t="shared" si="105"/>
        <v>IMPORTEXTIL COMERCIO DE TECIDOS LTDA</v>
      </c>
      <c r="J1109">
        <f t="shared" si="106"/>
        <v>1</v>
      </c>
      <c r="K1109">
        <f t="shared" si="107"/>
        <v>1</v>
      </c>
    </row>
    <row r="1110" spans="1:11" x14ac:dyDescent="0.25">
      <c r="A1110" t="s">
        <v>311</v>
      </c>
      <c r="B1110" t="s">
        <v>81</v>
      </c>
      <c r="C1110" t="s">
        <v>66</v>
      </c>
      <c r="D1110" s="3">
        <v>45658</v>
      </c>
      <c r="E1110" t="str">
        <f>VLOOKUP(B1110,'PROCV GERENTES BD'!A:B,2,0)</f>
        <v>CELIO PIMENTA</v>
      </c>
      <c r="F1110" s="4" t="str">
        <f t="shared" si="102"/>
        <v>2025-01</v>
      </c>
      <c r="G1110" s="18">
        <f t="shared" si="103"/>
        <v>1</v>
      </c>
      <c r="H1110" t="str">
        <f t="shared" si="104"/>
        <v>CELIO PIMENTA</v>
      </c>
      <c r="I1110" t="str">
        <f t="shared" si="105"/>
        <v>MBIOLOG DIAGNOSTICOS LTDA</v>
      </c>
      <c r="J1110">
        <f t="shared" si="106"/>
        <v>1</v>
      </c>
      <c r="K1110">
        <f t="shared" si="107"/>
        <v>0</v>
      </c>
    </row>
    <row r="1111" spans="1:11" x14ac:dyDescent="0.25">
      <c r="A1111" t="s">
        <v>358</v>
      </c>
      <c r="B1111" t="s">
        <v>104</v>
      </c>
      <c r="C1111" t="s">
        <v>66</v>
      </c>
      <c r="D1111" s="3">
        <v>45658</v>
      </c>
      <c r="E1111" t="str">
        <f>VLOOKUP(B1111,'PROCV GERENTES BD'!A:B,2,0)</f>
        <v>DIOGO AZEVEDO</v>
      </c>
      <c r="F1111" s="4" t="str">
        <f t="shared" si="102"/>
        <v>2025-01</v>
      </c>
      <c r="G1111" s="18">
        <f t="shared" si="103"/>
        <v>1</v>
      </c>
      <c r="H1111" t="str">
        <f t="shared" si="104"/>
        <v>DIOGO AZEVEDO</v>
      </c>
      <c r="I1111" t="str">
        <f t="shared" si="105"/>
        <v>INDUSTRIA E CERVEJARIA ARTESANAL DE MINAS GERAIS L</v>
      </c>
      <c r="J1111">
        <f t="shared" si="106"/>
        <v>1</v>
      </c>
      <c r="K1111">
        <f t="shared" si="107"/>
        <v>0</v>
      </c>
    </row>
    <row r="1112" spans="1:11" x14ac:dyDescent="0.25">
      <c r="A1112" t="s">
        <v>377</v>
      </c>
      <c r="B1112" t="s">
        <v>124</v>
      </c>
      <c r="C1112" t="s">
        <v>50</v>
      </c>
      <c r="D1112" s="3">
        <v>45658</v>
      </c>
      <c r="E1112" t="str">
        <f>VLOOKUP(B1112,'PROCV GERENTES BD'!A:B,2,0)</f>
        <v>EDUARDO MATOSO</v>
      </c>
      <c r="F1112" s="4" t="str">
        <f t="shared" si="102"/>
        <v>2025-01</v>
      </c>
      <c r="G1112" s="18">
        <f t="shared" si="103"/>
        <v>1</v>
      </c>
      <c r="H1112" t="str">
        <f t="shared" si="104"/>
        <v>EDUARDO MATOSO</v>
      </c>
      <c r="I1112" t="str">
        <f t="shared" si="105"/>
        <v>STONE ENGENHARIA E MONTAGENS INDUSTRIAIS LTDA</v>
      </c>
      <c r="J1112">
        <f t="shared" si="106"/>
        <v>0</v>
      </c>
      <c r="K1112">
        <f t="shared" si="107"/>
        <v>1</v>
      </c>
    </row>
    <row r="1113" spans="1:11" x14ac:dyDescent="0.25">
      <c r="A1113" t="s">
        <v>324</v>
      </c>
      <c r="B1113" t="s">
        <v>119</v>
      </c>
      <c r="C1113" t="s">
        <v>66</v>
      </c>
      <c r="D1113" s="3">
        <v>45658</v>
      </c>
      <c r="E1113" t="str">
        <f>VLOOKUP(B1113,'PROCV GERENTES BD'!A:B,2,0)</f>
        <v>PROSPECTAR</v>
      </c>
      <c r="F1113" s="4" t="str">
        <f t="shared" si="102"/>
        <v>2025-01</v>
      </c>
      <c r="G1113" s="18">
        <f t="shared" si="103"/>
        <v>1</v>
      </c>
      <c r="H1113" t="str">
        <f t="shared" si="104"/>
        <v>PROSPECTAR</v>
      </c>
      <c r="I1113" t="str">
        <f t="shared" si="105"/>
        <v>TRANSHENRY TRANSPORTES LTDA</v>
      </c>
      <c r="J1113">
        <f t="shared" si="106"/>
        <v>1</v>
      </c>
      <c r="K1113">
        <f t="shared" si="107"/>
        <v>0</v>
      </c>
    </row>
    <row r="1114" spans="1:11" x14ac:dyDescent="0.25">
      <c r="A1114" t="s">
        <v>323</v>
      </c>
      <c r="B1114" t="s">
        <v>109</v>
      </c>
      <c r="C1114" t="s">
        <v>66</v>
      </c>
      <c r="D1114" s="3">
        <v>45658</v>
      </c>
      <c r="E1114" t="str">
        <f>VLOOKUP(B1114,'PROCV GERENTES BD'!A:B,2,0)</f>
        <v>PROSPECTAR</v>
      </c>
      <c r="F1114" s="4" t="str">
        <f t="shared" si="102"/>
        <v>2025-01</v>
      </c>
      <c r="G1114" s="18">
        <f t="shared" si="103"/>
        <v>1</v>
      </c>
      <c r="H1114" t="str">
        <f t="shared" si="104"/>
        <v>PROSPECTAR</v>
      </c>
      <c r="I1114" t="str">
        <f t="shared" si="105"/>
        <v>SIAP COMERCIO DE PRODUTOS AGROPECUARIOS LTDA</v>
      </c>
      <c r="J1114">
        <f t="shared" si="106"/>
        <v>1</v>
      </c>
      <c r="K1114">
        <f t="shared" si="107"/>
        <v>0</v>
      </c>
    </row>
    <row r="1115" spans="1:11" x14ac:dyDescent="0.25">
      <c r="A1115" t="s">
        <v>428</v>
      </c>
      <c r="B1115" t="s">
        <v>179</v>
      </c>
      <c r="C1115" t="s">
        <v>50</v>
      </c>
      <c r="D1115" s="3">
        <v>45658</v>
      </c>
      <c r="E1115" t="str">
        <f>VLOOKUP(B1115,'PROCV GERENTES BD'!A:B,2,0)</f>
        <v xml:space="preserve">MARCUS VINICIUS </v>
      </c>
      <c r="F1115" s="4" t="str">
        <f t="shared" si="102"/>
        <v>2025-01</v>
      </c>
      <c r="G1115" s="18">
        <f t="shared" si="103"/>
        <v>1</v>
      </c>
      <c r="H1115" t="str">
        <f t="shared" si="104"/>
        <v xml:space="preserve">MARCUS VINICIUS </v>
      </c>
      <c r="I1115" t="str">
        <f t="shared" si="105"/>
        <v>LABOR ELETRIC INDUSTRIA E COMERCIO UNIPESSOAL LTDA</v>
      </c>
      <c r="J1115">
        <f t="shared" si="106"/>
        <v>0</v>
      </c>
      <c r="K1115">
        <f t="shared" si="107"/>
        <v>1</v>
      </c>
    </row>
    <row r="1116" spans="1:11" x14ac:dyDescent="0.25">
      <c r="A1116" t="s">
        <v>422</v>
      </c>
      <c r="B1116" t="s">
        <v>173</v>
      </c>
      <c r="C1116" t="s">
        <v>50</v>
      </c>
      <c r="D1116" s="3">
        <v>45658</v>
      </c>
      <c r="E1116" t="str">
        <f>VLOOKUP(B1116,'PROCV GERENTES BD'!A:B,2,0)</f>
        <v>NOELI SALETE</v>
      </c>
      <c r="F1116" s="4" t="str">
        <f t="shared" si="102"/>
        <v>2025-01</v>
      </c>
      <c r="G1116" s="18">
        <f t="shared" si="103"/>
        <v>1</v>
      </c>
      <c r="H1116" t="str">
        <f t="shared" si="104"/>
        <v>NOELI SALETE</v>
      </c>
      <c r="I1116" t="str">
        <f t="shared" si="105"/>
        <v>COMGROUP AGROINDUSTRIAL LTDA</v>
      </c>
      <c r="J1116">
        <f t="shared" si="106"/>
        <v>0</v>
      </c>
      <c r="K1116">
        <f t="shared" si="107"/>
        <v>1</v>
      </c>
    </row>
    <row r="1117" spans="1:11" x14ac:dyDescent="0.25">
      <c r="A1117" t="s">
        <v>389</v>
      </c>
      <c r="B1117" t="s">
        <v>136</v>
      </c>
      <c r="C1117" t="s">
        <v>66</v>
      </c>
      <c r="D1117" s="3">
        <v>45658</v>
      </c>
      <c r="E1117" t="str">
        <f>VLOOKUP(B1117,'PROCV GERENTES BD'!A:B,2,0)</f>
        <v>POENATELA</v>
      </c>
      <c r="F1117" s="4" t="str">
        <f t="shared" si="102"/>
        <v>2025-01</v>
      </c>
      <c r="G1117" s="18">
        <f t="shared" si="103"/>
        <v>1</v>
      </c>
      <c r="H1117" t="str">
        <f t="shared" si="104"/>
        <v>POENATELA</v>
      </c>
      <c r="I1117" t="str">
        <f t="shared" si="105"/>
        <v>CONQUISTA INDUSTRIA DE MOVEIS S/A</v>
      </c>
      <c r="J1117">
        <f t="shared" si="106"/>
        <v>1</v>
      </c>
      <c r="K1117">
        <f t="shared" si="107"/>
        <v>0</v>
      </c>
    </row>
    <row r="1118" spans="1:11" x14ac:dyDescent="0.25">
      <c r="A1118" t="s">
        <v>346</v>
      </c>
      <c r="B1118" t="s">
        <v>91</v>
      </c>
      <c r="C1118" t="s">
        <v>50</v>
      </c>
      <c r="D1118" s="3">
        <v>45658</v>
      </c>
      <c r="E1118" t="str">
        <f>VLOOKUP(B1118,'PROCV GERENTES BD'!A:B,2,0)</f>
        <v>POENATELA</v>
      </c>
      <c r="F1118" s="4" t="str">
        <f t="shared" si="102"/>
        <v>2025-01</v>
      </c>
      <c r="G1118" s="18">
        <f t="shared" si="103"/>
        <v>1</v>
      </c>
      <c r="H1118" t="str">
        <f t="shared" si="104"/>
        <v>POENATELA</v>
      </c>
      <c r="I1118" t="str">
        <f t="shared" si="105"/>
        <v>UBERTEC SERVICE USINAGEM LTDA EPP</v>
      </c>
      <c r="J1118">
        <f t="shared" si="106"/>
        <v>0</v>
      </c>
      <c r="K1118">
        <f t="shared" si="107"/>
        <v>1</v>
      </c>
    </row>
    <row r="1119" spans="1:11" x14ac:dyDescent="0.25">
      <c r="A1119" t="s">
        <v>353</v>
      </c>
      <c r="B1119" t="s">
        <v>97</v>
      </c>
      <c r="C1119" t="s">
        <v>50</v>
      </c>
      <c r="D1119" s="3">
        <v>45658</v>
      </c>
      <c r="E1119" t="str">
        <f>VLOOKUP(B1119,'PROCV GERENTES BD'!A:B,2,0)</f>
        <v>PRISCILA METZ</v>
      </c>
      <c r="F1119" s="4" t="str">
        <f t="shared" si="102"/>
        <v>2025-01</v>
      </c>
      <c r="G1119" s="18">
        <f t="shared" si="103"/>
        <v>1</v>
      </c>
      <c r="H1119" t="str">
        <f t="shared" si="104"/>
        <v>PRISCILA METZ</v>
      </c>
      <c r="I1119" t="str">
        <f t="shared" si="105"/>
        <v>ESSENZA INDUSTRIA QUIMICA LTDA</v>
      </c>
      <c r="J1119">
        <f t="shared" si="106"/>
        <v>0</v>
      </c>
      <c r="K1119">
        <f t="shared" si="107"/>
        <v>1</v>
      </c>
    </row>
    <row r="1120" spans="1:11" x14ac:dyDescent="0.25">
      <c r="A1120" t="s">
        <v>398</v>
      </c>
      <c r="B1120" t="s">
        <v>148</v>
      </c>
      <c r="C1120" t="s">
        <v>50</v>
      </c>
      <c r="D1120" s="3">
        <v>45658</v>
      </c>
      <c r="E1120" t="str">
        <f>VLOOKUP(B1120,'PROCV GERENTES BD'!A:B,2,0)</f>
        <v>PRISCILA METZ</v>
      </c>
      <c r="F1120" s="4" t="str">
        <f t="shared" si="102"/>
        <v>2025-01</v>
      </c>
      <c r="G1120" s="18">
        <f t="shared" si="103"/>
        <v>1</v>
      </c>
      <c r="H1120" t="str">
        <f t="shared" si="104"/>
        <v>PRISCILA METZ</v>
      </c>
      <c r="I1120" t="str">
        <f t="shared" si="105"/>
        <v>JF GOLD DISTRIBUIDORA LTDA EPP</v>
      </c>
      <c r="J1120">
        <f t="shared" si="106"/>
        <v>0</v>
      </c>
      <c r="K1120">
        <f t="shared" si="107"/>
        <v>1</v>
      </c>
    </row>
    <row r="1121" spans="1:11" x14ac:dyDescent="0.25">
      <c r="A1121" t="s">
        <v>409</v>
      </c>
      <c r="B1121" t="s">
        <v>159</v>
      </c>
      <c r="C1121" t="s">
        <v>50</v>
      </c>
      <c r="D1121" s="3">
        <v>45658</v>
      </c>
      <c r="E1121" t="str">
        <f>VLOOKUP(B1121,'PROCV GERENTES BD'!A:B,2,0)</f>
        <v>RAFAEL PARISE</v>
      </c>
      <c r="F1121" s="4" t="str">
        <f t="shared" si="102"/>
        <v>2025-01</v>
      </c>
      <c r="G1121" s="18">
        <f t="shared" si="103"/>
        <v>1</v>
      </c>
      <c r="H1121" t="str">
        <f t="shared" si="104"/>
        <v>RAFAEL PARISE</v>
      </c>
      <c r="I1121" t="str">
        <f t="shared" si="105"/>
        <v>OXIGAS RESIDUOS ESPECIAIS LTDA EPP</v>
      </c>
      <c r="J1121">
        <f t="shared" si="106"/>
        <v>0</v>
      </c>
      <c r="K1121">
        <f t="shared" si="107"/>
        <v>1</v>
      </c>
    </row>
    <row r="1122" spans="1:11" x14ac:dyDescent="0.25">
      <c r="A1122" t="s">
        <v>431</v>
      </c>
      <c r="B1122" t="s">
        <v>196</v>
      </c>
      <c r="C1122" t="s">
        <v>50</v>
      </c>
      <c r="D1122" s="3">
        <v>45658</v>
      </c>
      <c r="E1122" t="s">
        <v>21</v>
      </c>
      <c r="F1122" s="4" t="str">
        <f t="shared" si="102"/>
        <v>2025-01</v>
      </c>
      <c r="G1122" s="18">
        <f t="shared" si="103"/>
        <v>1</v>
      </c>
      <c r="H1122" t="str">
        <f t="shared" si="104"/>
        <v xml:space="preserve">ROGERIO </v>
      </c>
      <c r="I1122" t="str">
        <f t="shared" si="105"/>
        <v>GRF JEANS WEAR LTDA EPP</v>
      </c>
      <c r="J1122">
        <f t="shared" si="106"/>
        <v>0</v>
      </c>
      <c r="K1122">
        <f t="shared" si="107"/>
        <v>1</v>
      </c>
    </row>
    <row r="1123" spans="1:11" x14ac:dyDescent="0.25">
      <c r="A1123" t="s">
        <v>314</v>
      </c>
      <c r="B1123" t="s">
        <v>98</v>
      </c>
      <c r="C1123" t="s">
        <v>66</v>
      </c>
      <c r="D1123" s="3">
        <v>45658</v>
      </c>
      <c r="E1123" t="str">
        <f>VLOOKUP(B1123,'PROCV GERENTES BD'!A:B,2,0)</f>
        <v xml:space="preserve">ROGERIO </v>
      </c>
      <c r="F1123" s="4" t="str">
        <f t="shared" si="102"/>
        <v>2025-01</v>
      </c>
      <c r="G1123" s="18">
        <f t="shared" si="103"/>
        <v>1</v>
      </c>
      <c r="H1123" t="str">
        <f t="shared" si="104"/>
        <v xml:space="preserve">ROGERIO </v>
      </c>
      <c r="I1123" t="str">
        <f t="shared" si="105"/>
        <v>MUTCD CENTRO DISTRIBUICAO IND FABRICANTE COSMETICO</v>
      </c>
      <c r="J1123">
        <f t="shared" si="106"/>
        <v>1</v>
      </c>
      <c r="K1123">
        <f t="shared" si="107"/>
        <v>0</v>
      </c>
    </row>
    <row r="1124" spans="1:11" x14ac:dyDescent="0.25">
      <c r="A1124" t="s">
        <v>348</v>
      </c>
      <c r="B1124" t="s">
        <v>93</v>
      </c>
      <c r="C1124" t="s">
        <v>50</v>
      </c>
      <c r="D1124" s="3">
        <v>45658</v>
      </c>
      <c r="E1124" t="str">
        <f>VLOOKUP(B1124,'PROCV GERENTES BD'!A:B,2,0)</f>
        <v>WHELKYA IRIS</v>
      </c>
      <c r="F1124" s="4" t="str">
        <f t="shared" si="102"/>
        <v>2025-01</v>
      </c>
      <c r="G1124" s="18">
        <f t="shared" si="103"/>
        <v>1</v>
      </c>
      <c r="H1124" t="str">
        <f t="shared" si="104"/>
        <v>WHELKYA IRIS</v>
      </c>
      <c r="I1124" t="str">
        <f t="shared" si="105"/>
        <v>DIVINA INDUSTRIA DE COURO LTDA</v>
      </c>
      <c r="J1124">
        <f t="shared" si="106"/>
        <v>0</v>
      </c>
      <c r="K1124">
        <f t="shared" si="107"/>
        <v>1</v>
      </c>
    </row>
    <row r="1125" spans="1:11" x14ac:dyDescent="0.25">
      <c r="A1125" t="s">
        <v>331</v>
      </c>
      <c r="B1125" t="s">
        <v>144</v>
      </c>
      <c r="C1125" t="s">
        <v>50</v>
      </c>
      <c r="D1125" s="3">
        <v>45660</v>
      </c>
      <c r="E1125" t="str">
        <f>VLOOKUP(B1125,'PROCV GERENTES BD'!A:B,2,0)</f>
        <v>ADMINISTRAÇÃO</v>
      </c>
      <c r="F1125" s="4" t="str">
        <f t="shared" si="102"/>
        <v>2025-01</v>
      </c>
      <c r="G1125" s="18">
        <f t="shared" si="103"/>
        <v>1</v>
      </c>
      <c r="H1125" t="str">
        <f t="shared" si="104"/>
        <v>ADMINISTRAÇÃO</v>
      </c>
      <c r="I1125" t="str">
        <f t="shared" si="105"/>
        <v>BOM PASTOR PAPEIS LTDA EM RECUPERACAO JUDICIAL</v>
      </c>
      <c r="J1125">
        <f t="shared" si="106"/>
        <v>0</v>
      </c>
      <c r="K1125">
        <f t="shared" si="107"/>
        <v>1</v>
      </c>
    </row>
    <row r="1126" spans="1:11" x14ac:dyDescent="0.25">
      <c r="A1126" t="s">
        <v>382</v>
      </c>
      <c r="B1126" t="s">
        <v>129</v>
      </c>
      <c r="C1126" t="s">
        <v>66</v>
      </c>
      <c r="D1126" s="3">
        <v>45660</v>
      </c>
      <c r="E1126" t="str">
        <f>VLOOKUP(B1126,'PROCV GERENTES BD'!A:B,2,0)</f>
        <v>ADMINISTRAÇÃO</v>
      </c>
      <c r="F1126" s="4" t="str">
        <f t="shared" si="102"/>
        <v>2025-01</v>
      </c>
      <c r="G1126" s="18">
        <f t="shared" si="103"/>
        <v>1</v>
      </c>
      <c r="H1126" t="str">
        <f t="shared" si="104"/>
        <v>ADMINISTRAÇÃO</v>
      </c>
      <c r="I1126" t="str">
        <f t="shared" si="105"/>
        <v>XEQUE MATE BEBIDAS LTDA ME</v>
      </c>
      <c r="J1126">
        <f t="shared" si="106"/>
        <v>1</v>
      </c>
      <c r="K1126">
        <f t="shared" si="107"/>
        <v>0</v>
      </c>
    </row>
    <row r="1127" spans="1:11" x14ac:dyDescent="0.25">
      <c r="A1127" t="s">
        <v>324</v>
      </c>
      <c r="B1127" t="s">
        <v>119</v>
      </c>
      <c r="C1127" t="s">
        <v>66</v>
      </c>
      <c r="D1127" s="3">
        <v>45660</v>
      </c>
      <c r="E1127" t="str">
        <f>VLOOKUP(B1127,'PROCV GERENTES BD'!A:B,2,0)</f>
        <v>PROSPECTAR</v>
      </c>
      <c r="F1127" s="4" t="str">
        <f t="shared" si="102"/>
        <v>2025-01</v>
      </c>
      <c r="G1127" s="18">
        <f t="shared" si="103"/>
        <v>1</v>
      </c>
      <c r="H1127" t="str">
        <f t="shared" si="104"/>
        <v>PROSPECTAR</v>
      </c>
      <c r="I1127" t="str">
        <f t="shared" si="105"/>
        <v>TRANSHENRY TRANSPORTES LTDA</v>
      </c>
      <c r="J1127">
        <f t="shared" si="106"/>
        <v>1</v>
      </c>
      <c r="K1127">
        <f t="shared" si="107"/>
        <v>0</v>
      </c>
    </row>
    <row r="1128" spans="1:11" x14ac:dyDescent="0.25">
      <c r="A1128" t="s">
        <v>323</v>
      </c>
      <c r="B1128" t="s">
        <v>109</v>
      </c>
      <c r="C1128" t="s">
        <v>50</v>
      </c>
      <c r="D1128" s="3">
        <v>45660</v>
      </c>
      <c r="E1128" t="str">
        <f>VLOOKUP(B1128,'PROCV GERENTES BD'!A:B,2,0)</f>
        <v>PROSPECTAR</v>
      </c>
      <c r="F1128" s="4" t="str">
        <f t="shared" si="102"/>
        <v>2025-01</v>
      </c>
      <c r="G1128" s="18">
        <f t="shared" si="103"/>
        <v>1</v>
      </c>
      <c r="H1128" t="str">
        <f t="shared" si="104"/>
        <v>PROSPECTAR</v>
      </c>
      <c r="I1128" t="str">
        <f t="shared" si="105"/>
        <v>SIAP COMERCIO DE PRODUTOS AGROPECUARIOS LTDA</v>
      </c>
      <c r="J1128">
        <f t="shared" si="106"/>
        <v>0</v>
      </c>
      <c r="K1128">
        <f t="shared" si="107"/>
        <v>1</v>
      </c>
    </row>
    <row r="1129" spans="1:11" x14ac:dyDescent="0.25">
      <c r="A1129" t="s">
        <v>428</v>
      </c>
      <c r="B1129" t="s">
        <v>179</v>
      </c>
      <c r="C1129" t="s">
        <v>50</v>
      </c>
      <c r="D1129" s="3">
        <v>45660</v>
      </c>
      <c r="E1129" t="str">
        <f>VLOOKUP(B1129,'PROCV GERENTES BD'!A:B,2,0)</f>
        <v xml:space="preserve">MARCUS VINICIUS </v>
      </c>
      <c r="F1129" s="4" t="str">
        <f t="shared" si="102"/>
        <v>2025-01</v>
      </c>
      <c r="G1129" s="18">
        <f t="shared" si="103"/>
        <v>1</v>
      </c>
      <c r="H1129" t="str">
        <f t="shared" si="104"/>
        <v xml:space="preserve">MARCUS VINICIUS </v>
      </c>
      <c r="I1129" t="str">
        <f t="shared" si="105"/>
        <v>LABOR ELETRIC INDUSTRIA E COMERCIO UNIPESSOAL LTDA</v>
      </c>
      <c r="J1129">
        <f t="shared" si="106"/>
        <v>0</v>
      </c>
      <c r="K1129">
        <f t="shared" si="107"/>
        <v>1</v>
      </c>
    </row>
    <row r="1130" spans="1:11" x14ac:dyDescent="0.25">
      <c r="A1130" t="s">
        <v>397</v>
      </c>
      <c r="B1130" t="s">
        <v>147</v>
      </c>
      <c r="C1130" t="s">
        <v>66</v>
      </c>
      <c r="D1130" s="3">
        <v>45660</v>
      </c>
      <c r="E1130" t="str">
        <f>VLOOKUP(B1130,'PROCV GERENTES BD'!A:B,2,0)</f>
        <v xml:space="preserve">MARCUS VINICIUS </v>
      </c>
      <c r="F1130" s="4" t="str">
        <f t="shared" si="102"/>
        <v>2025-01</v>
      </c>
      <c r="G1130" s="18">
        <f t="shared" si="103"/>
        <v>1</v>
      </c>
      <c r="H1130" t="str">
        <f t="shared" si="104"/>
        <v xml:space="preserve">MARCUS VINICIUS </v>
      </c>
      <c r="I1130" t="str">
        <f t="shared" si="105"/>
        <v>UNIVERSO INOX INDUSTRIA E COMERCIO LTDA EPP</v>
      </c>
      <c r="J1130">
        <f t="shared" si="106"/>
        <v>1</v>
      </c>
      <c r="K1130">
        <f t="shared" si="107"/>
        <v>0</v>
      </c>
    </row>
    <row r="1131" spans="1:11" x14ac:dyDescent="0.25">
      <c r="A1131" t="s">
        <v>389</v>
      </c>
      <c r="B1131" t="s">
        <v>136</v>
      </c>
      <c r="C1131" t="s">
        <v>66</v>
      </c>
      <c r="D1131" s="3">
        <v>45660</v>
      </c>
      <c r="E1131" t="str">
        <f>VLOOKUP(B1131,'PROCV GERENTES BD'!A:B,2,0)</f>
        <v>POENATELA</v>
      </c>
      <c r="F1131" s="4" t="str">
        <f t="shared" si="102"/>
        <v>2025-01</v>
      </c>
      <c r="G1131" s="18">
        <f t="shared" si="103"/>
        <v>1</v>
      </c>
      <c r="H1131" t="str">
        <f t="shared" si="104"/>
        <v>POENATELA</v>
      </c>
      <c r="I1131" t="str">
        <f t="shared" si="105"/>
        <v>CONQUISTA INDUSTRIA DE MOVEIS S/A</v>
      </c>
      <c r="J1131">
        <f t="shared" si="106"/>
        <v>1</v>
      </c>
      <c r="K1131">
        <f t="shared" si="107"/>
        <v>0</v>
      </c>
    </row>
    <row r="1132" spans="1:11" x14ac:dyDescent="0.25">
      <c r="A1132" t="s">
        <v>346</v>
      </c>
      <c r="B1132" t="s">
        <v>91</v>
      </c>
      <c r="C1132" t="s">
        <v>66</v>
      </c>
      <c r="D1132" s="3">
        <v>45660</v>
      </c>
      <c r="E1132" t="str">
        <f>VLOOKUP(B1132,'PROCV GERENTES BD'!A:B,2,0)</f>
        <v>POENATELA</v>
      </c>
      <c r="F1132" s="4" t="str">
        <f t="shared" si="102"/>
        <v>2025-01</v>
      </c>
      <c r="G1132" s="18">
        <f t="shared" si="103"/>
        <v>1</v>
      </c>
      <c r="H1132" t="str">
        <f t="shared" si="104"/>
        <v>POENATELA</v>
      </c>
      <c r="I1132" t="str">
        <f t="shared" si="105"/>
        <v>UBERTEC SERVICE USINAGEM LTDA EPP</v>
      </c>
      <c r="J1132">
        <f t="shared" si="106"/>
        <v>1</v>
      </c>
      <c r="K1132">
        <f t="shared" si="107"/>
        <v>0</v>
      </c>
    </row>
    <row r="1133" spans="1:11" x14ac:dyDescent="0.25">
      <c r="A1133" t="s">
        <v>409</v>
      </c>
      <c r="B1133" t="s">
        <v>159</v>
      </c>
      <c r="C1133" t="s">
        <v>66</v>
      </c>
      <c r="D1133" s="3">
        <v>45660</v>
      </c>
      <c r="E1133" t="str">
        <f>VLOOKUP(B1133,'PROCV GERENTES BD'!A:B,2,0)</f>
        <v>RAFAEL PARISE</v>
      </c>
      <c r="F1133" s="4" t="str">
        <f t="shared" si="102"/>
        <v>2025-01</v>
      </c>
      <c r="G1133" s="18">
        <f t="shared" si="103"/>
        <v>1</v>
      </c>
      <c r="H1133" t="str">
        <f t="shared" si="104"/>
        <v>RAFAEL PARISE</v>
      </c>
      <c r="I1133" t="str">
        <f t="shared" si="105"/>
        <v>OXIGAS RESIDUOS ESPECIAIS LTDA EPP</v>
      </c>
      <c r="J1133">
        <f t="shared" si="106"/>
        <v>1</v>
      </c>
      <c r="K1133">
        <f t="shared" si="107"/>
        <v>0</v>
      </c>
    </row>
    <row r="1134" spans="1:11" x14ac:dyDescent="0.25">
      <c r="A1134" t="s">
        <v>429</v>
      </c>
      <c r="B1134" t="s">
        <v>180</v>
      </c>
      <c r="C1134" t="s">
        <v>50</v>
      </c>
      <c r="D1134" s="3">
        <v>45660</v>
      </c>
      <c r="E1134" t="s">
        <v>21</v>
      </c>
      <c r="F1134" s="4" t="str">
        <f t="shared" si="102"/>
        <v>2025-01</v>
      </c>
      <c r="G1134" s="18">
        <f t="shared" si="103"/>
        <v>1</v>
      </c>
      <c r="H1134" t="str">
        <f t="shared" si="104"/>
        <v xml:space="preserve">ROGERIO </v>
      </c>
      <c r="I1134" t="str">
        <f t="shared" si="105"/>
        <v>ENCADESP LTDA ME</v>
      </c>
      <c r="J1134">
        <f t="shared" si="106"/>
        <v>0</v>
      </c>
      <c r="K1134">
        <f t="shared" si="107"/>
        <v>1</v>
      </c>
    </row>
    <row r="1135" spans="1:11" x14ac:dyDescent="0.25">
      <c r="A1135" t="s">
        <v>431</v>
      </c>
      <c r="B1135" t="s">
        <v>196</v>
      </c>
      <c r="C1135" t="s">
        <v>50</v>
      </c>
      <c r="D1135" s="3">
        <v>45660</v>
      </c>
      <c r="E1135" t="s">
        <v>21</v>
      </c>
      <c r="F1135" s="4" t="str">
        <f t="shared" si="102"/>
        <v>2025-01</v>
      </c>
      <c r="G1135" s="18">
        <f t="shared" si="103"/>
        <v>1</v>
      </c>
      <c r="H1135" t="str">
        <f t="shared" si="104"/>
        <v xml:space="preserve">ROGERIO </v>
      </c>
      <c r="I1135" t="str">
        <f t="shared" si="105"/>
        <v>GRF JEANS WEAR LTDA EPP</v>
      </c>
      <c r="J1135">
        <f t="shared" si="106"/>
        <v>0</v>
      </c>
      <c r="K1135">
        <f t="shared" si="107"/>
        <v>1</v>
      </c>
    </row>
    <row r="1136" spans="1:11" x14ac:dyDescent="0.25">
      <c r="A1136" t="s">
        <v>314</v>
      </c>
      <c r="B1136" t="s">
        <v>98</v>
      </c>
      <c r="C1136" t="s">
        <v>50</v>
      </c>
      <c r="D1136" s="3">
        <v>45660</v>
      </c>
      <c r="E1136" t="str">
        <f>VLOOKUP(B1136,'PROCV GERENTES BD'!A:B,2,0)</f>
        <v xml:space="preserve">ROGERIO </v>
      </c>
      <c r="F1136" s="4" t="str">
        <f t="shared" si="102"/>
        <v>2025-01</v>
      </c>
      <c r="G1136" s="18">
        <f t="shared" si="103"/>
        <v>1</v>
      </c>
      <c r="H1136" t="str">
        <f t="shared" si="104"/>
        <v xml:space="preserve">ROGERIO </v>
      </c>
      <c r="I1136" t="str">
        <f t="shared" si="105"/>
        <v>MUTCD CENTRO DISTRIBUICAO IND FABRICANTE COSMETICO</v>
      </c>
      <c r="J1136">
        <f t="shared" si="106"/>
        <v>0</v>
      </c>
      <c r="K1136">
        <f t="shared" si="107"/>
        <v>1</v>
      </c>
    </row>
    <row r="1137" spans="1:11" x14ac:dyDescent="0.25">
      <c r="A1137" t="s">
        <v>319</v>
      </c>
      <c r="B1137" t="s">
        <v>80</v>
      </c>
      <c r="C1137" t="s">
        <v>50</v>
      </c>
      <c r="D1137" s="3">
        <v>45661</v>
      </c>
      <c r="E1137" t="str">
        <f>VLOOKUP(B1137,'PROCV GERENTES BD'!A:B,2,0)</f>
        <v>CELIO PIMENTA</v>
      </c>
      <c r="F1137" s="4" t="str">
        <f t="shared" si="102"/>
        <v>2025-01</v>
      </c>
      <c r="G1137" s="18">
        <f t="shared" si="103"/>
        <v>1</v>
      </c>
      <c r="H1137" t="str">
        <f t="shared" si="104"/>
        <v>CELIO PIMENTA</v>
      </c>
      <c r="I1137" t="str">
        <f t="shared" si="105"/>
        <v>IMPORTEXTIL COMERCIO DE TECIDOS LTDA</v>
      </c>
      <c r="J1137">
        <f t="shared" si="106"/>
        <v>0</v>
      </c>
      <c r="K1137">
        <f t="shared" si="107"/>
        <v>1</v>
      </c>
    </row>
    <row r="1138" spans="1:11" x14ac:dyDescent="0.25">
      <c r="A1138" t="s">
        <v>389</v>
      </c>
      <c r="B1138" t="s">
        <v>136</v>
      </c>
      <c r="C1138" t="s">
        <v>66</v>
      </c>
      <c r="D1138" s="3">
        <v>45661</v>
      </c>
      <c r="E1138" t="str">
        <f>VLOOKUP(B1138,'PROCV GERENTES BD'!A:B,2,0)</f>
        <v>POENATELA</v>
      </c>
      <c r="F1138" s="4" t="str">
        <f t="shared" si="102"/>
        <v>2025-01</v>
      </c>
      <c r="G1138" s="18">
        <f t="shared" si="103"/>
        <v>1</v>
      </c>
      <c r="H1138" t="str">
        <f t="shared" si="104"/>
        <v>POENATELA</v>
      </c>
      <c r="I1138" t="str">
        <f t="shared" si="105"/>
        <v>CONQUISTA INDUSTRIA DE MOVEIS S/A</v>
      </c>
      <c r="J1138">
        <f t="shared" si="106"/>
        <v>1</v>
      </c>
      <c r="K1138">
        <f t="shared" si="107"/>
        <v>0</v>
      </c>
    </row>
    <row r="1139" spans="1:11" x14ac:dyDescent="0.25">
      <c r="A1139" t="s">
        <v>346</v>
      </c>
      <c r="B1139" t="s">
        <v>91</v>
      </c>
      <c r="C1139" t="s">
        <v>50</v>
      </c>
      <c r="D1139" s="3">
        <v>45661</v>
      </c>
      <c r="E1139" t="str">
        <f>VLOOKUP(B1139,'PROCV GERENTES BD'!A:B,2,0)</f>
        <v>POENATELA</v>
      </c>
      <c r="F1139" s="4" t="str">
        <f t="shared" si="102"/>
        <v>2025-01</v>
      </c>
      <c r="G1139" s="18">
        <f t="shared" si="103"/>
        <v>1</v>
      </c>
      <c r="H1139" t="str">
        <f t="shared" si="104"/>
        <v>POENATELA</v>
      </c>
      <c r="I1139" t="str">
        <f t="shared" si="105"/>
        <v>UBERTEC SERVICE USINAGEM LTDA EPP</v>
      </c>
      <c r="J1139">
        <f t="shared" si="106"/>
        <v>0</v>
      </c>
      <c r="K1139">
        <f t="shared" si="107"/>
        <v>1</v>
      </c>
    </row>
    <row r="1140" spans="1:11" x14ac:dyDescent="0.25">
      <c r="A1140" t="s">
        <v>427</v>
      </c>
      <c r="B1140" t="s">
        <v>178</v>
      </c>
      <c r="C1140" t="s">
        <v>71</v>
      </c>
      <c r="D1140" s="3">
        <v>45662</v>
      </c>
      <c r="E1140" t="str">
        <f>VLOOKUP(B1140,'PROCV GERENTES BD'!A:B,2,0)</f>
        <v>ADMINISTRAÇÃO</v>
      </c>
      <c r="F1140" s="4" t="str">
        <f t="shared" si="102"/>
        <v>2025-01</v>
      </c>
      <c r="G1140" s="18">
        <f t="shared" si="103"/>
        <v>2</v>
      </c>
      <c r="H1140" t="str">
        <f t="shared" si="104"/>
        <v>ADMINISTRAÇÃO</v>
      </c>
      <c r="I1140" t="str">
        <f t="shared" si="105"/>
        <v>LIZZENA COSMETICOS LTDA EPP</v>
      </c>
      <c r="J1140">
        <f t="shared" si="106"/>
        <v>0</v>
      </c>
      <c r="K1140">
        <f t="shared" si="107"/>
        <v>0</v>
      </c>
    </row>
    <row r="1141" spans="1:11" x14ac:dyDescent="0.25">
      <c r="A1141" t="s">
        <v>319</v>
      </c>
      <c r="B1141" t="s">
        <v>80</v>
      </c>
      <c r="C1141" t="s">
        <v>50</v>
      </c>
      <c r="D1141" s="3">
        <v>45664</v>
      </c>
      <c r="E1141" t="str">
        <f>VLOOKUP(B1141,'PROCV GERENTES BD'!A:B,2,0)</f>
        <v>CELIO PIMENTA</v>
      </c>
      <c r="F1141" s="4" t="str">
        <f t="shared" si="102"/>
        <v>2025-01</v>
      </c>
      <c r="G1141" s="18">
        <f t="shared" si="103"/>
        <v>2</v>
      </c>
      <c r="H1141" t="str">
        <f t="shared" si="104"/>
        <v>CELIO PIMENTA</v>
      </c>
      <c r="I1141" t="str">
        <f t="shared" si="105"/>
        <v>IMPORTEXTIL COMERCIO DE TECIDOS LTDA</v>
      </c>
      <c r="J1141">
        <f t="shared" si="106"/>
        <v>0</v>
      </c>
      <c r="K1141">
        <f t="shared" si="107"/>
        <v>1</v>
      </c>
    </row>
    <row r="1142" spans="1:11" x14ac:dyDescent="0.25">
      <c r="A1142" t="s">
        <v>377</v>
      </c>
      <c r="B1142" t="s">
        <v>124</v>
      </c>
      <c r="C1142" t="s">
        <v>50</v>
      </c>
      <c r="D1142" s="3">
        <v>45664</v>
      </c>
      <c r="E1142" t="str">
        <f>VLOOKUP(B1142,'PROCV GERENTES BD'!A:B,2,0)</f>
        <v>EDUARDO MATOSO</v>
      </c>
      <c r="F1142" s="4" t="str">
        <f t="shared" si="102"/>
        <v>2025-01</v>
      </c>
      <c r="G1142" s="18">
        <f t="shared" si="103"/>
        <v>2</v>
      </c>
      <c r="H1142" t="str">
        <f t="shared" si="104"/>
        <v>EDUARDO MATOSO</v>
      </c>
      <c r="I1142" t="str">
        <f t="shared" si="105"/>
        <v>STONE ENGENHARIA E MONTAGENS INDUSTRIAIS LTDA</v>
      </c>
      <c r="J1142">
        <f t="shared" si="106"/>
        <v>0</v>
      </c>
      <c r="K1142">
        <f t="shared" si="107"/>
        <v>1</v>
      </c>
    </row>
    <row r="1143" spans="1:11" x14ac:dyDescent="0.25">
      <c r="A1143" t="s">
        <v>402</v>
      </c>
      <c r="B1143" t="s">
        <v>152</v>
      </c>
      <c r="C1143" t="s">
        <v>66</v>
      </c>
      <c r="D1143" s="3">
        <v>45664</v>
      </c>
      <c r="E1143" t="str">
        <f>VLOOKUP(B1143,'PROCV GERENTES BD'!A:B,2,0)</f>
        <v>PROSPECTAR</v>
      </c>
      <c r="F1143" s="4" t="str">
        <f t="shared" si="102"/>
        <v>2025-01</v>
      </c>
      <c r="G1143" s="18">
        <f t="shared" si="103"/>
        <v>2</v>
      </c>
      <c r="H1143" t="str">
        <f t="shared" si="104"/>
        <v>PROSPECTAR</v>
      </c>
      <c r="I1143" t="str">
        <f t="shared" si="105"/>
        <v>MOINHO DE TRIGO JM LTDA</v>
      </c>
      <c r="J1143">
        <f t="shared" si="106"/>
        <v>1</v>
      </c>
      <c r="K1143">
        <f t="shared" si="107"/>
        <v>0</v>
      </c>
    </row>
    <row r="1144" spans="1:11" x14ac:dyDescent="0.25">
      <c r="A1144" t="s">
        <v>428</v>
      </c>
      <c r="B1144" t="s">
        <v>179</v>
      </c>
      <c r="C1144" t="s">
        <v>50</v>
      </c>
      <c r="D1144" s="3">
        <v>45664</v>
      </c>
      <c r="E1144" t="str">
        <f>VLOOKUP(B1144,'PROCV GERENTES BD'!A:B,2,0)</f>
        <v xml:space="preserve">MARCUS VINICIUS </v>
      </c>
      <c r="F1144" s="4" t="str">
        <f t="shared" si="102"/>
        <v>2025-01</v>
      </c>
      <c r="G1144" s="18">
        <f t="shared" si="103"/>
        <v>2</v>
      </c>
      <c r="H1144" t="str">
        <f t="shared" si="104"/>
        <v xml:space="preserve">MARCUS VINICIUS </v>
      </c>
      <c r="I1144" t="str">
        <f t="shared" si="105"/>
        <v>LABOR ELETRIC INDUSTRIA E COMERCIO UNIPESSOAL LTDA</v>
      </c>
      <c r="J1144">
        <f t="shared" si="106"/>
        <v>0</v>
      </c>
      <c r="K1144">
        <f t="shared" si="107"/>
        <v>1</v>
      </c>
    </row>
    <row r="1145" spans="1:11" x14ac:dyDescent="0.25">
      <c r="A1145" t="s">
        <v>339</v>
      </c>
      <c r="B1145" t="s">
        <v>87</v>
      </c>
      <c r="C1145" t="s">
        <v>66</v>
      </c>
      <c r="D1145" s="3">
        <v>45664</v>
      </c>
      <c r="E1145" t="str">
        <f>VLOOKUP(B1145,'PROCV GERENTES BD'!A:B,2,0)</f>
        <v>NOELI SALETE</v>
      </c>
      <c r="F1145" s="4" t="str">
        <f t="shared" si="102"/>
        <v>2025-01</v>
      </c>
      <c r="G1145" s="18">
        <f t="shared" si="103"/>
        <v>2</v>
      </c>
      <c r="H1145" t="str">
        <f t="shared" si="104"/>
        <v>NOELI SALETE</v>
      </c>
      <c r="I1145" t="str">
        <f t="shared" si="105"/>
        <v>RODOBOX TRANSPORTES E ARMAZENAGEM DE CARGAS LTDA</v>
      </c>
      <c r="J1145">
        <f t="shared" si="106"/>
        <v>1</v>
      </c>
      <c r="K1145">
        <f t="shared" si="107"/>
        <v>0</v>
      </c>
    </row>
    <row r="1146" spans="1:11" x14ac:dyDescent="0.25">
      <c r="A1146" t="s">
        <v>394</v>
      </c>
      <c r="B1146" t="s">
        <v>143</v>
      </c>
      <c r="C1146" t="s">
        <v>50</v>
      </c>
      <c r="D1146" s="3">
        <v>45664</v>
      </c>
      <c r="E1146" t="str">
        <f>VLOOKUP(B1146,'PROCV GERENTES BD'!A:B,2,0)</f>
        <v>NOELI SALETE</v>
      </c>
      <c r="F1146" s="4" t="str">
        <f t="shared" si="102"/>
        <v>2025-01</v>
      </c>
      <c r="G1146" s="18">
        <f t="shared" si="103"/>
        <v>2</v>
      </c>
      <c r="H1146" t="str">
        <f t="shared" si="104"/>
        <v>NOELI SALETE</v>
      </c>
      <c r="I1146" t="str">
        <f t="shared" si="105"/>
        <v>ALBERTO H DA SILVA ME</v>
      </c>
      <c r="J1146">
        <f t="shared" si="106"/>
        <v>0</v>
      </c>
      <c r="K1146">
        <f t="shared" si="107"/>
        <v>1</v>
      </c>
    </row>
    <row r="1147" spans="1:11" x14ac:dyDescent="0.25">
      <c r="A1147" t="s">
        <v>389</v>
      </c>
      <c r="B1147" t="s">
        <v>136</v>
      </c>
      <c r="C1147" t="s">
        <v>66</v>
      </c>
      <c r="D1147" s="3">
        <v>45664</v>
      </c>
      <c r="E1147" t="str">
        <f>VLOOKUP(B1147,'PROCV GERENTES BD'!A:B,2,0)</f>
        <v>POENATELA</v>
      </c>
      <c r="F1147" s="4" t="str">
        <f t="shared" si="102"/>
        <v>2025-01</v>
      </c>
      <c r="G1147" s="18">
        <f t="shared" si="103"/>
        <v>2</v>
      </c>
      <c r="H1147" t="str">
        <f t="shared" si="104"/>
        <v>POENATELA</v>
      </c>
      <c r="I1147" t="str">
        <f t="shared" si="105"/>
        <v>CONQUISTA INDUSTRIA DE MOVEIS S/A</v>
      </c>
      <c r="J1147">
        <f t="shared" si="106"/>
        <v>1</v>
      </c>
      <c r="K1147">
        <f t="shared" si="107"/>
        <v>0</v>
      </c>
    </row>
    <row r="1148" spans="1:11" x14ac:dyDescent="0.25">
      <c r="A1148" t="s">
        <v>417</v>
      </c>
      <c r="B1148" t="s">
        <v>167</v>
      </c>
      <c r="C1148" t="s">
        <v>50</v>
      </c>
      <c r="D1148" s="3">
        <v>45664</v>
      </c>
      <c r="E1148" t="str">
        <f>VLOOKUP(B1148,'PROCV GERENTES BD'!A:B,2,0)</f>
        <v>POENATELA</v>
      </c>
      <c r="F1148" s="4" t="str">
        <f t="shared" si="102"/>
        <v>2025-01</v>
      </c>
      <c r="G1148" s="18">
        <f t="shared" si="103"/>
        <v>2</v>
      </c>
      <c r="H1148" t="str">
        <f t="shared" si="104"/>
        <v>POENATELA</v>
      </c>
      <c r="I1148" t="str">
        <f t="shared" si="105"/>
        <v>DETRONIC ENERGIA E SERVICOS LTDA</v>
      </c>
      <c r="J1148">
        <f t="shared" si="106"/>
        <v>0</v>
      </c>
      <c r="K1148">
        <f t="shared" si="107"/>
        <v>1</v>
      </c>
    </row>
    <row r="1149" spans="1:11" x14ac:dyDescent="0.25">
      <c r="A1149" t="s">
        <v>346</v>
      </c>
      <c r="B1149" t="s">
        <v>91</v>
      </c>
      <c r="C1149" t="s">
        <v>53</v>
      </c>
      <c r="D1149" s="3">
        <v>45664</v>
      </c>
      <c r="E1149" t="str">
        <f>VLOOKUP(B1149,'PROCV GERENTES BD'!A:B,2,0)</f>
        <v>POENATELA</v>
      </c>
      <c r="F1149" s="4" t="str">
        <f t="shared" si="102"/>
        <v>2025-01</v>
      </c>
      <c r="G1149" s="18">
        <f t="shared" si="103"/>
        <v>2</v>
      </c>
      <c r="H1149" t="str">
        <f t="shared" si="104"/>
        <v>POENATELA</v>
      </c>
      <c r="I1149" t="str">
        <f t="shared" si="105"/>
        <v>UBERTEC SERVICE USINAGEM LTDA EPP</v>
      </c>
      <c r="J1149">
        <f t="shared" si="106"/>
        <v>1</v>
      </c>
      <c r="K1149">
        <f t="shared" si="107"/>
        <v>1</v>
      </c>
    </row>
    <row r="1150" spans="1:11" x14ac:dyDescent="0.25">
      <c r="A1150" t="s">
        <v>361</v>
      </c>
      <c r="B1150" t="s">
        <v>106</v>
      </c>
      <c r="C1150" t="s">
        <v>50</v>
      </c>
      <c r="D1150" s="3">
        <v>45664</v>
      </c>
      <c r="E1150" t="str">
        <f>VLOOKUP(B1150,'PROCV GERENTES BD'!A:B,2,0)</f>
        <v>PRISCILA METZ</v>
      </c>
      <c r="F1150" s="4" t="str">
        <f t="shared" si="102"/>
        <v>2025-01</v>
      </c>
      <c r="G1150" s="18">
        <f t="shared" si="103"/>
        <v>2</v>
      </c>
      <c r="H1150" t="str">
        <f t="shared" si="104"/>
        <v>PRISCILA METZ</v>
      </c>
      <c r="I1150" t="str">
        <f t="shared" si="105"/>
        <v>HERBAMED LABORATORIO NUTRACEUTICO LTDA</v>
      </c>
      <c r="J1150">
        <f t="shared" si="106"/>
        <v>0</v>
      </c>
      <c r="K1150">
        <f t="shared" si="107"/>
        <v>1</v>
      </c>
    </row>
    <row r="1151" spans="1:11" x14ac:dyDescent="0.25">
      <c r="A1151" t="s">
        <v>434</v>
      </c>
      <c r="B1151" t="s">
        <v>185</v>
      </c>
      <c r="C1151" t="s">
        <v>50</v>
      </c>
      <c r="D1151" s="3">
        <v>45664</v>
      </c>
      <c r="E1151" t="str">
        <f>VLOOKUP(B1151,'PROCV GERENTES BD'!A:B,2,0)</f>
        <v>RAFAEL PARISE</v>
      </c>
      <c r="F1151" s="4" t="str">
        <f t="shared" si="102"/>
        <v>2025-01</v>
      </c>
      <c r="G1151" s="18">
        <f t="shared" si="103"/>
        <v>2</v>
      </c>
      <c r="H1151" t="str">
        <f t="shared" si="104"/>
        <v>RAFAEL PARISE</v>
      </c>
      <c r="I1151" t="str">
        <f t="shared" si="105"/>
        <v>MARCAS COMERCIO LTDA ME</v>
      </c>
      <c r="J1151">
        <f t="shared" si="106"/>
        <v>0</v>
      </c>
      <c r="K1151">
        <f t="shared" si="107"/>
        <v>1</v>
      </c>
    </row>
    <row r="1152" spans="1:11" x14ac:dyDescent="0.25">
      <c r="A1152" t="s">
        <v>431</v>
      </c>
      <c r="B1152" t="s">
        <v>196</v>
      </c>
      <c r="C1152" t="s">
        <v>50</v>
      </c>
      <c r="D1152" s="3">
        <v>45664</v>
      </c>
      <c r="E1152" t="s">
        <v>21</v>
      </c>
      <c r="F1152" s="4" t="str">
        <f t="shared" si="102"/>
        <v>2025-01</v>
      </c>
      <c r="G1152" s="18">
        <f t="shared" si="103"/>
        <v>2</v>
      </c>
      <c r="H1152" t="str">
        <f t="shared" si="104"/>
        <v xml:space="preserve">ROGERIO </v>
      </c>
      <c r="I1152" t="str">
        <f t="shared" si="105"/>
        <v>GRF JEANS WEAR LTDA EPP</v>
      </c>
      <c r="J1152">
        <f t="shared" si="106"/>
        <v>0</v>
      </c>
      <c r="K1152">
        <f t="shared" si="107"/>
        <v>1</v>
      </c>
    </row>
    <row r="1153" spans="1:11" x14ac:dyDescent="0.25">
      <c r="A1153" t="s">
        <v>348</v>
      </c>
      <c r="B1153" t="s">
        <v>93</v>
      </c>
      <c r="C1153" t="s">
        <v>50</v>
      </c>
      <c r="D1153" s="3">
        <v>45664</v>
      </c>
      <c r="E1153" t="str">
        <f>VLOOKUP(B1153,'PROCV GERENTES BD'!A:B,2,0)</f>
        <v>WHELKYA IRIS</v>
      </c>
      <c r="F1153" s="4" t="str">
        <f t="shared" si="102"/>
        <v>2025-01</v>
      </c>
      <c r="G1153" s="18">
        <f t="shared" si="103"/>
        <v>2</v>
      </c>
      <c r="H1153" t="str">
        <f t="shared" si="104"/>
        <v>WHELKYA IRIS</v>
      </c>
      <c r="I1153" t="str">
        <f t="shared" si="105"/>
        <v>DIVINA INDUSTRIA DE COURO LTDA</v>
      </c>
      <c r="J1153">
        <f t="shared" si="106"/>
        <v>0</v>
      </c>
      <c r="K1153">
        <f t="shared" si="107"/>
        <v>1</v>
      </c>
    </row>
    <row r="1154" spans="1:11" x14ac:dyDescent="0.25">
      <c r="A1154" t="s">
        <v>382</v>
      </c>
      <c r="B1154" t="s">
        <v>129</v>
      </c>
      <c r="C1154" t="s">
        <v>66</v>
      </c>
      <c r="D1154" s="3">
        <v>45665</v>
      </c>
      <c r="E1154" t="str">
        <f>VLOOKUP(B1154,'PROCV GERENTES BD'!A:B,2,0)</f>
        <v>ADMINISTRAÇÃO</v>
      </c>
      <c r="F1154" s="4" t="str">
        <f t="shared" ref="F1154:F1217" si="108">YEAR(D1154)&amp;"-"&amp;TEXT(MONTH(D1154),"00")</f>
        <v>2025-01</v>
      </c>
      <c r="G1154" s="18">
        <f t="shared" ref="G1154:G1217" si="109">WEEKNUM(D1154)</f>
        <v>2</v>
      </c>
      <c r="H1154" t="str">
        <f t="shared" ref="H1154:H1217" si="110">E1154</f>
        <v>ADMINISTRAÇÃO</v>
      </c>
      <c r="I1154" t="str">
        <f t="shared" ref="I1154:I1217" si="111">B1154</f>
        <v>XEQUE MATE BEBIDAS LTDA ME</v>
      </c>
      <c r="J1154">
        <f t="shared" ref="J1154:J1217" si="112">IF(OR(C1154="EXCLUSAO  ANOT.INADIMPLENCIA",C1154="INCL/EXCL ANOT.INADIMPLENCIA"),1,0)</f>
        <v>1</v>
      </c>
      <c r="K1154">
        <f t="shared" ref="K1154:K1217" si="113">IF(OR(C1154="INCLUSAO  ANOT.INADIMPLENCIA",C1154="INCL/EXCL ANOT.INADIMPLENCIA"),1,0)</f>
        <v>0</v>
      </c>
    </row>
    <row r="1155" spans="1:11" x14ac:dyDescent="0.25">
      <c r="A1155" t="s">
        <v>319</v>
      </c>
      <c r="B1155" t="s">
        <v>80</v>
      </c>
      <c r="C1155" t="s">
        <v>50</v>
      </c>
      <c r="D1155" s="3">
        <v>45665</v>
      </c>
      <c r="E1155" t="str">
        <f>VLOOKUP(B1155,'PROCV GERENTES BD'!A:B,2,0)</f>
        <v>CELIO PIMENTA</v>
      </c>
      <c r="F1155" s="4" t="str">
        <f t="shared" si="108"/>
        <v>2025-01</v>
      </c>
      <c r="G1155" s="18">
        <f t="shared" si="109"/>
        <v>2</v>
      </c>
      <c r="H1155" t="str">
        <f t="shared" si="110"/>
        <v>CELIO PIMENTA</v>
      </c>
      <c r="I1155" t="str">
        <f t="shared" si="111"/>
        <v>IMPORTEXTIL COMERCIO DE TECIDOS LTDA</v>
      </c>
      <c r="J1155">
        <f t="shared" si="112"/>
        <v>0</v>
      </c>
      <c r="K1155">
        <f t="shared" si="113"/>
        <v>1</v>
      </c>
    </row>
    <row r="1156" spans="1:11" x14ac:dyDescent="0.25">
      <c r="A1156" t="s">
        <v>323</v>
      </c>
      <c r="B1156" t="s">
        <v>109</v>
      </c>
      <c r="C1156" t="s">
        <v>66</v>
      </c>
      <c r="D1156" s="3">
        <v>45665</v>
      </c>
      <c r="E1156" t="str">
        <f>VLOOKUP(B1156,'PROCV GERENTES BD'!A:B,2,0)</f>
        <v>PROSPECTAR</v>
      </c>
      <c r="F1156" s="4" t="str">
        <f t="shared" si="108"/>
        <v>2025-01</v>
      </c>
      <c r="G1156" s="18">
        <f t="shared" si="109"/>
        <v>2</v>
      </c>
      <c r="H1156" t="str">
        <f t="shared" si="110"/>
        <v>PROSPECTAR</v>
      </c>
      <c r="I1156" t="str">
        <f t="shared" si="111"/>
        <v>SIAP COMERCIO DE PRODUTOS AGROPECUARIOS LTDA</v>
      </c>
      <c r="J1156">
        <f t="shared" si="112"/>
        <v>1</v>
      </c>
      <c r="K1156">
        <f t="shared" si="113"/>
        <v>0</v>
      </c>
    </row>
    <row r="1157" spans="1:11" x14ac:dyDescent="0.25">
      <c r="A1157" t="s">
        <v>428</v>
      </c>
      <c r="B1157" t="s">
        <v>179</v>
      </c>
      <c r="C1157" t="s">
        <v>53</v>
      </c>
      <c r="D1157" s="3">
        <v>45665</v>
      </c>
      <c r="E1157" t="str">
        <f>VLOOKUP(B1157,'PROCV GERENTES BD'!A:B,2,0)</f>
        <v xml:space="preserve">MARCUS VINICIUS </v>
      </c>
      <c r="F1157" s="4" t="str">
        <f t="shared" si="108"/>
        <v>2025-01</v>
      </c>
      <c r="G1157" s="18">
        <f t="shared" si="109"/>
        <v>2</v>
      </c>
      <c r="H1157" t="str">
        <f t="shared" si="110"/>
        <v xml:space="preserve">MARCUS VINICIUS </v>
      </c>
      <c r="I1157" t="str">
        <f t="shared" si="111"/>
        <v>LABOR ELETRIC INDUSTRIA E COMERCIO UNIPESSOAL LTDA</v>
      </c>
      <c r="J1157">
        <f t="shared" si="112"/>
        <v>1</v>
      </c>
      <c r="K1157">
        <f t="shared" si="113"/>
        <v>1</v>
      </c>
    </row>
    <row r="1158" spans="1:11" x14ac:dyDescent="0.25">
      <c r="A1158" t="s">
        <v>422</v>
      </c>
      <c r="B1158" t="s">
        <v>173</v>
      </c>
      <c r="C1158" t="s">
        <v>50</v>
      </c>
      <c r="D1158" s="3">
        <v>45665</v>
      </c>
      <c r="E1158" t="str">
        <f>VLOOKUP(B1158,'PROCV GERENTES BD'!A:B,2,0)</f>
        <v>NOELI SALETE</v>
      </c>
      <c r="F1158" s="4" t="str">
        <f t="shared" si="108"/>
        <v>2025-01</v>
      </c>
      <c r="G1158" s="18">
        <f t="shared" si="109"/>
        <v>2</v>
      </c>
      <c r="H1158" t="str">
        <f t="shared" si="110"/>
        <v>NOELI SALETE</v>
      </c>
      <c r="I1158" t="str">
        <f t="shared" si="111"/>
        <v>COMGROUP AGROINDUSTRIAL LTDA</v>
      </c>
      <c r="J1158">
        <f t="shared" si="112"/>
        <v>0</v>
      </c>
      <c r="K1158">
        <f t="shared" si="113"/>
        <v>1</v>
      </c>
    </row>
    <row r="1159" spans="1:11" x14ac:dyDescent="0.25">
      <c r="A1159" t="s">
        <v>400</v>
      </c>
      <c r="B1159" t="s">
        <v>150</v>
      </c>
      <c r="C1159" t="s">
        <v>66</v>
      </c>
      <c r="D1159" s="3">
        <v>45665</v>
      </c>
      <c r="E1159" t="str">
        <f>VLOOKUP(B1159,'PROCV GERENTES BD'!A:B,2,0)</f>
        <v>NOELI SALETE</v>
      </c>
      <c r="F1159" s="4" t="str">
        <f t="shared" si="108"/>
        <v>2025-01</v>
      </c>
      <c r="G1159" s="18">
        <f t="shared" si="109"/>
        <v>2</v>
      </c>
      <c r="H1159" t="str">
        <f t="shared" si="110"/>
        <v>NOELI SALETE</v>
      </c>
      <c r="I1159" t="str">
        <f t="shared" si="111"/>
        <v>POOLMAK SISTEMAS ESTRUTURAIS LTDA</v>
      </c>
      <c r="J1159">
        <f t="shared" si="112"/>
        <v>1</v>
      </c>
      <c r="K1159">
        <f t="shared" si="113"/>
        <v>0</v>
      </c>
    </row>
    <row r="1160" spans="1:11" x14ac:dyDescent="0.25">
      <c r="A1160" t="s">
        <v>389</v>
      </c>
      <c r="B1160" t="s">
        <v>136</v>
      </c>
      <c r="C1160" t="s">
        <v>66</v>
      </c>
      <c r="D1160" s="3">
        <v>45665</v>
      </c>
      <c r="E1160" t="str">
        <f>VLOOKUP(B1160,'PROCV GERENTES BD'!A:B,2,0)</f>
        <v>POENATELA</v>
      </c>
      <c r="F1160" s="4" t="str">
        <f t="shared" si="108"/>
        <v>2025-01</v>
      </c>
      <c r="G1160" s="18">
        <f t="shared" si="109"/>
        <v>2</v>
      </c>
      <c r="H1160" t="str">
        <f t="shared" si="110"/>
        <v>POENATELA</v>
      </c>
      <c r="I1160" t="str">
        <f t="shared" si="111"/>
        <v>CONQUISTA INDUSTRIA DE MOVEIS S/A</v>
      </c>
      <c r="J1160">
        <f t="shared" si="112"/>
        <v>1</v>
      </c>
      <c r="K1160">
        <f t="shared" si="113"/>
        <v>0</v>
      </c>
    </row>
    <row r="1161" spans="1:11" x14ac:dyDescent="0.25">
      <c r="A1161" t="s">
        <v>346</v>
      </c>
      <c r="B1161" t="s">
        <v>91</v>
      </c>
      <c r="C1161" t="s">
        <v>50</v>
      </c>
      <c r="D1161" s="3">
        <v>45665</v>
      </c>
      <c r="E1161" t="str">
        <f>VLOOKUP(B1161,'PROCV GERENTES BD'!A:B,2,0)</f>
        <v>POENATELA</v>
      </c>
      <c r="F1161" s="4" t="str">
        <f t="shared" si="108"/>
        <v>2025-01</v>
      </c>
      <c r="G1161" s="18">
        <f t="shared" si="109"/>
        <v>2</v>
      </c>
      <c r="H1161" t="str">
        <f t="shared" si="110"/>
        <v>POENATELA</v>
      </c>
      <c r="I1161" t="str">
        <f t="shared" si="111"/>
        <v>UBERTEC SERVICE USINAGEM LTDA EPP</v>
      </c>
      <c r="J1161">
        <f t="shared" si="112"/>
        <v>0</v>
      </c>
      <c r="K1161">
        <f t="shared" si="113"/>
        <v>1</v>
      </c>
    </row>
    <row r="1162" spans="1:11" x14ac:dyDescent="0.25">
      <c r="A1162" t="s">
        <v>353</v>
      </c>
      <c r="B1162" t="s">
        <v>97</v>
      </c>
      <c r="C1162" t="s">
        <v>66</v>
      </c>
      <c r="D1162" s="3">
        <v>45665</v>
      </c>
      <c r="E1162" t="str">
        <f>VLOOKUP(B1162,'PROCV GERENTES BD'!A:B,2,0)</f>
        <v>PRISCILA METZ</v>
      </c>
      <c r="F1162" s="4" t="str">
        <f t="shared" si="108"/>
        <v>2025-01</v>
      </c>
      <c r="G1162" s="18">
        <f t="shared" si="109"/>
        <v>2</v>
      </c>
      <c r="H1162" t="str">
        <f t="shared" si="110"/>
        <v>PRISCILA METZ</v>
      </c>
      <c r="I1162" t="str">
        <f t="shared" si="111"/>
        <v>ESSENZA INDUSTRIA QUIMICA LTDA</v>
      </c>
      <c r="J1162">
        <f t="shared" si="112"/>
        <v>1</v>
      </c>
      <c r="K1162">
        <f t="shared" si="113"/>
        <v>0</v>
      </c>
    </row>
    <row r="1163" spans="1:11" x14ac:dyDescent="0.25">
      <c r="A1163" t="s">
        <v>51</v>
      </c>
      <c r="B1163" t="s">
        <v>52</v>
      </c>
      <c r="C1163" t="s">
        <v>66</v>
      </c>
      <c r="D1163" s="3">
        <v>45665</v>
      </c>
      <c r="E1163" t="str">
        <f>VLOOKUP(B1163,'PROCV GERENTES BD'!A:B,2,0)</f>
        <v>RAFAEL PARISE</v>
      </c>
      <c r="F1163" s="4" t="str">
        <f t="shared" si="108"/>
        <v>2025-01</v>
      </c>
      <c r="G1163" s="18">
        <f t="shared" si="109"/>
        <v>2</v>
      </c>
      <c r="H1163" t="str">
        <f t="shared" si="110"/>
        <v>RAFAEL PARISE</v>
      </c>
      <c r="I1163" t="str">
        <f t="shared" si="111"/>
        <v>TDR TRANSPORTES LOGISTICA LTDA</v>
      </c>
      <c r="J1163">
        <f t="shared" si="112"/>
        <v>1</v>
      </c>
      <c r="K1163">
        <f t="shared" si="113"/>
        <v>0</v>
      </c>
    </row>
    <row r="1164" spans="1:11" x14ac:dyDescent="0.25">
      <c r="A1164" t="s">
        <v>326</v>
      </c>
      <c r="B1164" t="s">
        <v>122</v>
      </c>
      <c r="C1164" t="s">
        <v>66</v>
      </c>
      <c r="D1164" s="3">
        <v>45665</v>
      </c>
      <c r="E1164" t="s">
        <v>21</v>
      </c>
      <c r="F1164" s="4" t="str">
        <f t="shared" si="108"/>
        <v>2025-01</v>
      </c>
      <c r="G1164" s="18">
        <f t="shared" si="109"/>
        <v>2</v>
      </c>
      <c r="H1164" t="str">
        <f t="shared" si="110"/>
        <v xml:space="preserve">ROGERIO </v>
      </c>
      <c r="I1164" t="str">
        <f t="shared" si="111"/>
        <v>BIBE PRODUTOS INFANTIS LTDA</v>
      </c>
      <c r="J1164">
        <f t="shared" si="112"/>
        <v>1</v>
      </c>
      <c r="K1164">
        <f t="shared" si="113"/>
        <v>0</v>
      </c>
    </row>
    <row r="1165" spans="1:11" x14ac:dyDescent="0.25">
      <c r="A1165" t="s">
        <v>348</v>
      </c>
      <c r="B1165" t="s">
        <v>93</v>
      </c>
      <c r="C1165" t="s">
        <v>50</v>
      </c>
      <c r="D1165" s="3">
        <v>45665</v>
      </c>
      <c r="E1165" t="str">
        <f>VLOOKUP(B1165,'PROCV GERENTES BD'!A:B,2,0)</f>
        <v>WHELKYA IRIS</v>
      </c>
      <c r="F1165" s="4" t="str">
        <f t="shared" si="108"/>
        <v>2025-01</v>
      </c>
      <c r="G1165" s="18">
        <f t="shared" si="109"/>
        <v>2</v>
      </c>
      <c r="H1165" t="str">
        <f t="shared" si="110"/>
        <v>WHELKYA IRIS</v>
      </c>
      <c r="I1165" t="str">
        <f t="shared" si="111"/>
        <v>DIVINA INDUSTRIA DE COURO LTDA</v>
      </c>
      <c r="J1165">
        <f t="shared" si="112"/>
        <v>0</v>
      </c>
      <c r="K1165">
        <f t="shared" si="113"/>
        <v>1</v>
      </c>
    </row>
    <row r="1166" spans="1:11" x14ac:dyDescent="0.25">
      <c r="A1166" t="s">
        <v>382</v>
      </c>
      <c r="B1166" t="s">
        <v>129</v>
      </c>
      <c r="C1166" t="s">
        <v>66</v>
      </c>
      <c r="D1166" s="3">
        <v>45666</v>
      </c>
      <c r="E1166" t="str">
        <f>VLOOKUP(B1166,'PROCV GERENTES BD'!A:B,2,0)</f>
        <v>ADMINISTRAÇÃO</v>
      </c>
      <c r="F1166" s="4" t="str">
        <f t="shared" si="108"/>
        <v>2025-01</v>
      </c>
      <c r="G1166" s="18">
        <f t="shared" si="109"/>
        <v>2</v>
      </c>
      <c r="H1166" t="str">
        <f t="shared" si="110"/>
        <v>ADMINISTRAÇÃO</v>
      </c>
      <c r="I1166" t="str">
        <f t="shared" si="111"/>
        <v>XEQUE MATE BEBIDAS LTDA ME</v>
      </c>
      <c r="J1166">
        <f t="shared" si="112"/>
        <v>1</v>
      </c>
      <c r="K1166">
        <f t="shared" si="113"/>
        <v>0</v>
      </c>
    </row>
    <row r="1167" spans="1:11" x14ac:dyDescent="0.25">
      <c r="A1167" t="s">
        <v>319</v>
      </c>
      <c r="B1167" t="s">
        <v>80</v>
      </c>
      <c r="C1167" t="s">
        <v>50</v>
      </c>
      <c r="D1167" s="3">
        <v>45666</v>
      </c>
      <c r="E1167" t="str">
        <f>VLOOKUP(B1167,'PROCV GERENTES BD'!A:B,2,0)</f>
        <v>CELIO PIMENTA</v>
      </c>
      <c r="F1167" s="4" t="str">
        <f t="shared" si="108"/>
        <v>2025-01</v>
      </c>
      <c r="G1167" s="18">
        <f t="shared" si="109"/>
        <v>2</v>
      </c>
      <c r="H1167" t="str">
        <f t="shared" si="110"/>
        <v>CELIO PIMENTA</v>
      </c>
      <c r="I1167" t="str">
        <f t="shared" si="111"/>
        <v>IMPORTEXTIL COMERCIO DE TECIDOS LTDA</v>
      </c>
      <c r="J1167">
        <f t="shared" si="112"/>
        <v>0</v>
      </c>
      <c r="K1167">
        <f t="shared" si="113"/>
        <v>1</v>
      </c>
    </row>
    <row r="1168" spans="1:11" x14ac:dyDescent="0.25">
      <c r="A1168" t="s">
        <v>323</v>
      </c>
      <c r="B1168" t="s">
        <v>109</v>
      </c>
      <c r="C1168" t="s">
        <v>66</v>
      </c>
      <c r="D1168" s="3">
        <v>45666</v>
      </c>
      <c r="E1168" t="str">
        <f>VLOOKUP(B1168,'PROCV GERENTES BD'!A:B,2,0)</f>
        <v>PROSPECTAR</v>
      </c>
      <c r="F1168" s="4" t="str">
        <f t="shared" si="108"/>
        <v>2025-01</v>
      </c>
      <c r="G1168" s="18">
        <f t="shared" si="109"/>
        <v>2</v>
      </c>
      <c r="H1168" t="str">
        <f t="shared" si="110"/>
        <v>PROSPECTAR</v>
      </c>
      <c r="I1168" t="str">
        <f t="shared" si="111"/>
        <v>SIAP COMERCIO DE PRODUTOS AGROPECUARIOS LTDA</v>
      </c>
      <c r="J1168">
        <f t="shared" si="112"/>
        <v>1</v>
      </c>
      <c r="K1168">
        <f t="shared" si="113"/>
        <v>0</v>
      </c>
    </row>
    <row r="1169" spans="1:11" x14ac:dyDescent="0.25">
      <c r="A1169" t="s">
        <v>428</v>
      </c>
      <c r="B1169" t="s">
        <v>179</v>
      </c>
      <c r="C1169" t="s">
        <v>53</v>
      </c>
      <c r="D1169" s="3">
        <v>45666</v>
      </c>
      <c r="E1169" t="str">
        <f>VLOOKUP(B1169,'PROCV GERENTES BD'!A:B,2,0)</f>
        <v xml:space="preserve">MARCUS VINICIUS </v>
      </c>
      <c r="F1169" s="4" t="str">
        <f t="shared" si="108"/>
        <v>2025-01</v>
      </c>
      <c r="G1169" s="18">
        <f t="shared" si="109"/>
        <v>2</v>
      </c>
      <c r="H1169" t="str">
        <f t="shared" si="110"/>
        <v xml:space="preserve">MARCUS VINICIUS </v>
      </c>
      <c r="I1169" t="str">
        <f t="shared" si="111"/>
        <v>LABOR ELETRIC INDUSTRIA E COMERCIO UNIPESSOAL LTDA</v>
      </c>
      <c r="J1169">
        <f t="shared" si="112"/>
        <v>1</v>
      </c>
      <c r="K1169">
        <f t="shared" si="113"/>
        <v>1</v>
      </c>
    </row>
    <row r="1170" spans="1:11" x14ac:dyDescent="0.25">
      <c r="A1170" t="s">
        <v>422</v>
      </c>
      <c r="B1170" t="s">
        <v>173</v>
      </c>
      <c r="C1170" t="s">
        <v>50</v>
      </c>
      <c r="D1170" s="3">
        <v>45666</v>
      </c>
      <c r="E1170" t="str">
        <f>VLOOKUP(B1170,'PROCV GERENTES BD'!A:B,2,0)</f>
        <v>NOELI SALETE</v>
      </c>
      <c r="F1170" s="4" t="str">
        <f t="shared" si="108"/>
        <v>2025-01</v>
      </c>
      <c r="G1170" s="18">
        <f t="shared" si="109"/>
        <v>2</v>
      </c>
      <c r="H1170" t="str">
        <f t="shared" si="110"/>
        <v>NOELI SALETE</v>
      </c>
      <c r="I1170" t="str">
        <f t="shared" si="111"/>
        <v>COMGROUP AGROINDUSTRIAL LTDA</v>
      </c>
      <c r="J1170">
        <f t="shared" si="112"/>
        <v>0</v>
      </c>
      <c r="K1170">
        <f t="shared" si="113"/>
        <v>1</v>
      </c>
    </row>
    <row r="1171" spans="1:11" x14ac:dyDescent="0.25">
      <c r="A1171" t="s">
        <v>400</v>
      </c>
      <c r="B1171" t="s">
        <v>150</v>
      </c>
      <c r="C1171" t="s">
        <v>66</v>
      </c>
      <c r="D1171" s="3">
        <v>45666</v>
      </c>
      <c r="E1171" t="str">
        <f>VLOOKUP(B1171,'PROCV GERENTES BD'!A:B,2,0)</f>
        <v>NOELI SALETE</v>
      </c>
      <c r="F1171" s="4" t="str">
        <f t="shared" si="108"/>
        <v>2025-01</v>
      </c>
      <c r="G1171" s="18">
        <f t="shared" si="109"/>
        <v>2</v>
      </c>
      <c r="H1171" t="str">
        <f t="shared" si="110"/>
        <v>NOELI SALETE</v>
      </c>
      <c r="I1171" t="str">
        <f t="shared" si="111"/>
        <v>POOLMAK SISTEMAS ESTRUTURAIS LTDA</v>
      </c>
      <c r="J1171">
        <f t="shared" si="112"/>
        <v>1</v>
      </c>
      <c r="K1171">
        <f t="shared" si="113"/>
        <v>0</v>
      </c>
    </row>
    <row r="1172" spans="1:11" x14ac:dyDescent="0.25">
      <c r="A1172" t="s">
        <v>389</v>
      </c>
      <c r="B1172" t="s">
        <v>136</v>
      </c>
      <c r="C1172" t="s">
        <v>66</v>
      </c>
      <c r="D1172" s="3">
        <v>45666</v>
      </c>
      <c r="E1172" t="str">
        <f>VLOOKUP(B1172,'PROCV GERENTES BD'!A:B,2,0)</f>
        <v>POENATELA</v>
      </c>
      <c r="F1172" s="4" t="str">
        <f t="shared" si="108"/>
        <v>2025-01</v>
      </c>
      <c r="G1172" s="18">
        <f t="shared" si="109"/>
        <v>2</v>
      </c>
      <c r="H1172" t="str">
        <f t="shared" si="110"/>
        <v>POENATELA</v>
      </c>
      <c r="I1172" t="str">
        <f t="shared" si="111"/>
        <v>CONQUISTA INDUSTRIA DE MOVEIS S/A</v>
      </c>
      <c r="J1172">
        <f t="shared" si="112"/>
        <v>1</v>
      </c>
      <c r="K1172">
        <f t="shared" si="113"/>
        <v>0</v>
      </c>
    </row>
    <row r="1173" spans="1:11" x14ac:dyDescent="0.25">
      <c r="A1173" t="s">
        <v>346</v>
      </c>
      <c r="B1173" t="s">
        <v>91</v>
      </c>
      <c r="C1173" t="s">
        <v>50</v>
      </c>
      <c r="D1173" s="3">
        <v>45666</v>
      </c>
      <c r="E1173" t="str">
        <f>VLOOKUP(B1173,'PROCV GERENTES BD'!A:B,2,0)</f>
        <v>POENATELA</v>
      </c>
      <c r="F1173" s="4" t="str">
        <f t="shared" si="108"/>
        <v>2025-01</v>
      </c>
      <c r="G1173" s="18">
        <f t="shared" si="109"/>
        <v>2</v>
      </c>
      <c r="H1173" t="str">
        <f t="shared" si="110"/>
        <v>POENATELA</v>
      </c>
      <c r="I1173" t="str">
        <f t="shared" si="111"/>
        <v>UBERTEC SERVICE USINAGEM LTDA EPP</v>
      </c>
      <c r="J1173">
        <f t="shared" si="112"/>
        <v>0</v>
      </c>
      <c r="K1173">
        <f t="shared" si="113"/>
        <v>1</v>
      </c>
    </row>
    <row r="1174" spans="1:11" x14ac:dyDescent="0.25">
      <c r="A1174" t="s">
        <v>353</v>
      </c>
      <c r="B1174" t="s">
        <v>97</v>
      </c>
      <c r="C1174" t="s">
        <v>66</v>
      </c>
      <c r="D1174" s="3">
        <v>45666</v>
      </c>
      <c r="E1174" t="str">
        <f>VLOOKUP(B1174,'PROCV GERENTES BD'!A:B,2,0)</f>
        <v>PRISCILA METZ</v>
      </c>
      <c r="F1174" s="4" t="str">
        <f t="shared" si="108"/>
        <v>2025-01</v>
      </c>
      <c r="G1174" s="18">
        <f t="shared" si="109"/>
        <v>2</v>
      </c>
      <c r="H1174" t="str">
        <f t="shared" si="110"/>
        <v>PRISCILA METZ</v>
      </c>
      <c r="I1174" t="str">
        <f t="shared" si="111"/>
        <v>ESSENZA INDUSTRIA QUIMICA LTDA</v>
      </c>
      <c r="J1174">
        <f t="shared" si="112"/>
        <v>1</v>
      </c>
      <c r="K1174">
        <f t="shared" si="113"/>
        <v>0</v>
      </c>
    </row>
    <row r="1175" spans="1:11" x14ac:dyDescent="0.25">
      <c r="A1175" t="s">
        <v>51</v>
      </c>
      <c r="B1175" t="s">
        <v>52</v>
      </c>
      <c r="C1175" t="s">
        <v>66</v>
      </c>
      <c r="D1175" s="3">
        <v>45666</v>
      </c>
      <c r="E1175" t="str">
        <f>VLOOKUP(B1175,'PROCV GERENTES BD'!A:B,2,0)</f>
        <v>RAFAEL PARISE</v>
      </c>
      <c r="F1175" s="4" t="str">
        <f t="shared" si="108"/>
        <v>2025-01</v>
      </c>
      <c r="G1175" s="18">
        <f t="shared" si="109"/>
        <v>2</v>
      </c>
      <c r="H1175" t="str">
        <f t="shared" si="110"/>
        <v>RAFAEL PARISE</v>
      </c>
      <c r="I1175" t="str">
        <f t="shared" si="111"/>
        <v>TDR TRANSPORTES LOGISTICA LTDA</v>
      </c>
      <c r="J1175">
        <f t="shared" si="112"/>
        <v>1</v>
      </c>
      <c r="K1175">
        <f t="shared" si="113"/>
        <v>0</v>
      </c>
    </row>
    <row r="1176" spans="1:11" x14ac:dyDescent="0.25">
      <c r="A1176" t="s">
        <v>326</v>
      </c>
      <c r="B1176" t="s">
        <v>122</v>
      </c>
      <c r="C1176" t="s">
        <v>66</v>
      </c>
      <c r="D1176" s="3">
        <v>45666</v>
      </c>
      <c r="E1176" t="s">
        <v>21</v>
      </c>
      <c r="F1176" s="4" t="str">
        <f t="shared" si="108"/>
        <v>2025-01</v>
      </c>
      <c r="G1176" s="18">
        <f t="shared" si="109"/>
        <v>2</v>
      </c>
      <c r="H1176" t="str">
        <f t="shared" si="110"/>
        <v xml:space="preserve">ROGERIO </v>
      </c>
      <c r="I1176" t="str">
        <f t="shared" si="111"/>
        <v>BIBE PRODUTOS INFANTIS LTDA</v>
      </c>
      <c r="J1176">
        <f t="shared" si="112"/>
        <v>1</v>
      </c>
      <c r="K1176">
        <f t="shared" si="113"/>
        <v>0</v>
      </c>
    </row>
    <row r="1177" spans="1:11" x14ac:dyDescent="0.25">
      <c r="A1177" t="s">
        <v>348</v>
      </c>
      <c r="B1177" t="s">
        <v>93</v>
      </c>
      <c r="C1177" t="s">
        <v>50</v>
      </c>
      <c r="D1177" s="3">
        <v>45666</v>
      </c>
      <c r="E1177" t="str">
        <f>VLOOKUP(B1177,'PROCV GERENTES BD'!A:B,2,0)</f>
        <v>WHELKYA IRIS</v>
      </c>
      <c r="F1177" s="4" t="str">
        <f t="shared" si="108"/>
        <v>2025-01</v>
      </c>
      <c r="G1177" s="18">
        <f t="shared" si="109"/>
        <v>2</v>
      </c>
      <c r="H1177" t="str">
        <f t="shared" si="110"/>
        <v>WHELKYA IRIS</v>
      </c>
      <c r="I1177" t="str">
        <f t="shared" si="111"/>
        <v>DIVINA INDUSTRIA DE COURO LTDA</v>
      </c>
      <c r="J1177">
        <f t="shared" si="112"/>
        <v>0</v>
      </c>
      <c r="K1177">
        <f t="shared" si="113"/>
        <v>1</v>
      </c>
    </row>
    <row r="1178" spans="1:11" x14ac:dyDescent="0.25">
      <c r="A1178" t="s">
        <v>319</v>
      </c>
      <c r="B1178" t="s">
        <v>80</v>
      </c>
      <c r="C1178" t="s">
        <v>50</v>
      </c>
      <c r="D1178" s="3">
        <v>45667</v>
      </c>
      <c r="E1178" t="str">
        <f>VLOOKUP(B1178,'PROCV GERENTES BD'!A:B,2,0)</f>
        <v>CELIO PIMENTA</v>
      </c>
      <c r="F1178" s="4" t="str">
        <f t="shared" si="108"/>
        <v>2025-01</v>
      </c>
      <c r="G1178" s="18">
        <f t="shared" si="109"/>
        <v>2</v>
      </c>
      <c r="H1178" t="str">
        <f t="shared" si="110"/>
        <v>CELIO PIMENTA</v>
      </c>
      <c r="I1178" t="str">
        <f t="shared" si="111"/>
        <v>IMPORTEXTIL COMERCIO DE TECIDOS LTDA</v>
      </c>
      <c r="J1178">
        <f t="shared" si="112"/>
        <v>0</v>
      </c>
      <c r="K1178">
        <f t="shared" si="113"/>
        <v>1</v>
      </c>
    </row>
    <row r="1179" spans="1:11" x14ac:dyDescent="0.25">
      <c r="A1179" t="s">
        <v>430</v>
      </c>
      <c r="B1179" t="s">
        <v>181</v>
      </c>
      <c r="C1179" t="s">
        <v>66</v>
      </c>
      <c r="D1179" s="3">
        <v>45667</v>
      </c>
      <c r="E1179" t="str">
        <f>VLOOKUP(B1179,'PROCV GERENTES BD'!A:B,2,0)</f>
        <v>PROSPECTAR</v>
      </c>
      <c r="F1179" s="4" t="str">
        <f t="shared" si="108"/>
        <v>2025-01</v>
      </c>
      <c r="G1179" s="18">
        <f t="shared" si="109"/>
        <v>2</v>
      </c>
      <c r="H1179" t="str">
        <f t="shared" si="110"/>
        <v>PROSPECTAR</v>
      </c>
      <c r="I1179" t="str">
        <f t="shared" si="111"/>
        <v>SIQUEIRA E GAIPO INDUSTRIA E MATERIAIS ESPORTIVOS</v>
      </c>
      <c r="J1179">
        <f t="shared" si="112"/>
        <v>1</v>
      </c>
      <c r="K1179">
        <f t="shared" si="113"/>
        <v>0</v>
      </c>
    </row>
    <row r="1180" spans="1:11" x14ac:dyDescent="0.25">
      <c r="A1180" t="s">
        <v>422</v>
      </c>
      <c r="B1180" t="s">
        <v>173</v>
      </c>
      <c r="C1180" t="s">
        <v>53</v>
      </c>
      <c r="D1180" s="3">
        <v>45667</v>
      </c>
      <c r="E1180" t="str">
        <f>VLOOKUP(B1180,'PROCV GERENTES BD'!A:B,2,0)</f>
        <v>NOELI SALETE</v>
      </c>
      <c r="F1180" s="4" t="str">
        <f t="shared" si="108"/>
        <v>2025-01</v>
      </c>
      <c r="G1180" s="18">
        <f t="shared" si="109"/>
        <v>2</v>
      </c>
      <c r="H1180" t="str">
        <f t="shared" si="110"/>
        <v>NOELI SALETE</v>
      </c>
      <c r="I1180" t="str">
        <f t="shared" si="111"/>
        <v>COMGROUP AGROINDUSTRIAL LTDA</v>
      </c>
      <c r="J1180">
        <f t="shared" si="112"/>
        <v>1</v>
      </c>
      <c r="K1180">
        <f t="shared" si="113"/>
        <v>1</v>
      </c>
    </row>
    <row r="1181" spans="1:11" x14ac:dyDescent="0.25">
      <c r="A1181" t="s">
        <v>400</v>
      </c>
      <c r="B1181" t="s">
        <v>150</v>
      </c>
      <c r="C1181" t="s">
        <v>66</v>
      </c>
      <c r="D1181" s="3">
        <v>45667</v>
      </c>
      <c r="E1181" t="str">
        <f>VLOOKUP(B1181,'PROCV GERENTES BD'!A:B,2,0)</f>
        <v>NOELI SALETE</v>
      </c>
      <c r="F1181" s="4" t="str">
        <f t="shared" si="108"/>
        <v>2025-01</v>
      </c>
      <c r="G1181" s="18">
        <f t="shared" si="109"/>
        <v>2</v>
      </c>
      <c r="H1181" t="str">
        <f t="shared" si="110"/>
        <v>NOELI SALETE</v>
      </c>
      <c r="I1181" t="str">
        <f t="shared" si="111"/>
        <v>POOLMAK SISTEMAS ESTRUTURAIS LTDA</v>
      </c>
      <c r="J1181">
        <f t="shared" si="112"/>
        <v>1</v>
      </c>
      <c r="K1181">
        <f t="shared" si="113"/>
        <v>0</v>
      </c>
    </row>
    <row r="1182" spans="1:11" x14ac:dyDescent="0.25">
      <c r="A1182" t="s">
        <v>389</v>
      </c>
      <c r="B1182" t="s">
        <v>136</v>
      </c>
      <c r="C1182" t="s">
        <v>66</v>
      </c>
      <c r="D1182" s="3">
        <v>45667</v>
      </c>
      <c r="E1182" t="str">
        <f>VLOOKUP(B1182,'PROCV GERENTES BD'!A:B,2,0)</f>
        <v>POENATELA</v>
      </c>
      <c r="F1182" s="4" t="str">
        <f t="shared" si="108"/>
        <v>2025-01</v>
      </c>
      <c r="G1182" s="18">
        <f t="shared" si="109"/>
        <v>2</v>
      </c>
      <c r="H1182" t="str">
        <f t="shared" si="110"/>
        <v>POENATELA</v>
      </c>
      <c r="I1182" t="str">
        <f t="shared" si="111"/>
        <v>CONQUISTA INDUSTRIA DE MOVEIS S/A</v>
      </c>
      <c r="J1182">
        <f t="shared" si="112"/>
        <v>1</v>
      </c>
      <c r="K1182">
        <f t="shared" si="113"/>
        <v>0</v>
      </c>
    </row>
    <row r="1183" spans="1:11" x14ac:dyDescent="0.25">
      <c r="A1183" t="s">
        <v>346</v>
      </c>
      <c r="B1183" t="s">
        <v>91</v>
      </c>
      <c r="C1183" t="s">
        <v>66</v>
      </c>
      <c r="D1183" s="3">
        <v>45667</v>
      </c>
      <c r="E1183" t="str">
        <f>VLOOKUP(B1183,'PROCV GERENTES BD'!A:B,2,0)</f>
        <v>POENATELA</v>
      </c>
      <c r="F1183" s="4" t="str">
        <f t="shared" si="108"/>
        <v>2025-01</v>
      </c>
      <c r="G1183" s="18">
        <f t="shared" si="109"/>
        <v>2</v>
      </c>
      <c r="H1183" t="str">
        <f t="shared" si="110"/>
        <v>POENATELA</v>
      </c>
      <c r="I1183" t="str">
        <f t="shared" si="111"/>
        <v>UBERTEC SERVICE USINAGEM LTDA EPP</v>
      </c>
      <c r="J1183">
        <f t="shared" si="112"/>
        <v>1</v>
      </c>
      <c r="K1183">
        <f t="shared" si="113"/>
        <v>0</v>
      </c>
    </row>
    <row r="1184" spans="1:11" x14ac:dyDescent="0.25">
      <c r="A1184" t="s">
        <v>439</v>
      </c>
      <c r="B1184" t="s">
        <v>190</v>
      </c>
      <c r="C1184" t="s">
        <v>66</v>
      </c>
      <c r="D1184" s="3">
        <v>45668</v>
      </c>
      <c r="E1184" t="str">
        <f>VLOOKUP(B1184,'PROCV GERENTES BD'!A:B,2,0)</f>
        <v>ADMINISTRAÇÃO</v>
      </c>
      <c r="F1184" s="4" t="str">
        <f t="shared" si="108"/>
        <v>2025-01</v>
      </c>
      <c r="G1184" s="18">
        <f t="shared" si="109"/>
        <v>2</v>
      </c>
      <c r="H1184" t="str">
        <f t="shared" si="110"/>
        <v>ADMINISTRAÇÃO</v>
      </c>
      <c r="I1184" t="str">
        <f t="shared" si="111"/>
        <v>ELFRIG FRIGORIFICO ELDORADO LTDA ME</v>
      </c>
      <c r="J1184">
        <f t="shared" si="112"/>
        <v>1</v>
      </c>
      <c r="K1184">
        <f t="shared" si="113"/>
        <v>0</v>
      </c>
    </row>
    <row r="1185" spans="1:11" x14ac:dyDescent="0.25">
      <c r="A1185" t="s">
        <v>382</v>
      </c>
      <c r="B1185" t="s">
        <v>129</v>
      </c>
      <c r="C1185" t="s">
        <v>66</v>
      </c>
      <c r="D1185" s="3">
        <v>45668</v>
      </c>
      <c r="E1185" t="str">
        <f>VLOOKUP(B1185,'PROCV GERENTES BD'!A:B,2,0)</f>
        <v>ADMINISTRAÇÃO</v>
      </c>
      <c r="F1185" s="4" t="str">
        <f t="shared" si="108"/>
        <v>2025-01</v>
      </c>
      <c r="G1185" s="18">
        <f t="shared" si="109"/>
        <v>2</v>
      </c>
      <c r="H1185" t="str">
        <f t="shared" si="110"/>
        <v>ADMINISTRAÇÃO</v>
      </c>
      <c r="I1185" t="str">
        <f t="shared" si="111"/>
        <v>XEQUE MATE BEBIDAS LTDA ME</v>
      </c>
      <c r="J1185">
        <f t="shared" si="112"/>
        <v>1</v>
      </c>
      <c r="K1185">
        <f t="shared" si="113"/>
        <v>0</v>
      </c>
    </row>
    <row r="1186" spans="1:11" x14ac:dyDescent="0.25">
      <c r="A1186" t="s">
        <v>304</v>
      </c>
      <c r="B1186" t="s">
        <v>123</v>
      </c>
      <c r="C1186" t="s">
        <v>50</v>
      </c>
      <c r="D1186" s="3">
        <v>45668</v>
      </c>
      <c r="E1186" t="str">
        <f>VLOOKUP(B1186,'PROCV GERENTES BD'!A:B,2,0)</f>
        <v>ADMINISTRAÇÃO</v>
      </c>
      <c r="F1186" s="4" t="str">
        <f t="shared" si="108"/>
        <v>2025-01</v>
      </c>
      <c r="G1186" s="18">
        <f t="shared" si="109"/>
        <v>2</v>
      </c>
      <c r="H1186" t="str">
        <f t="shared" si="110"/>
        <v>ADMINISTRAÇÃO</v>
      </c>
      <c r="I1186" t="str">
        <f t="shared" si="111"/>
        <v>VIC LOGISTICA LTDA EM RECUPERACAO JUDICIAL</v>
      </c>
      <c r="J1186">
        <f t="shared" si="112"/>
        <v>0</v>
      </c>
      <c r="K1186">
        <f t="shared" si="113"/>
        <v>1</v>
      </c>
    </row>
    <row r="1187" spans="1:11" x14ac:dyDescent="0.25">
      <c r="A1187" t="s">
        <v>319</v>
      </c>
      <c r="B1187" t="s">
        <v>80</v>
      </c>
      <c r="C1187" t="s">
        <v>50</v>
      </c>
      <c r="D1187" s="3">
        <v>45668</v>
      </c>
      <c r="E1187" t="str">
        <f>VLOOKUP(B1187,'PROCV GERENTES BD'!A:B,2,0)</f>
        <v>CELIO PIMENTA</v>
      </c>
      <c r="F1187" s="4" t="str">
        <f t="shared" si="108"/>
        <v>2025-01</v>
      </c>
      <c r="G1187" s="18">
        <f t="shared" si="109"/>
        <v>2</v>
      </c>
      <c r="H1187" t="str">
        <f t="shared" si="110"/>
        <v>CELIO PIMENTA</v>
      </c>
      <c r="I1187" t="str">
        <f t="shared" si="111"/>
        <v>IMPORTEXTIL COMERCIO DE TECIDOS LTDA</v>
      </c>
      <c r="J1187">
        <f t="shared" si="112"/>
        <v>0</v>
      </c>
      <c r="K1187">
        <f t="shared" si="113"/>
        <v>1</v>
      </c>
    </row>
    <row r="1188" spans="1:11" x14ac:dyDescent="0.25">
      <c r="A1188" t="s">
        <v>324</v>
      </c>
      <c r="B1188" t="s">
        <v>119</v>
      </c>
      <c r="C1188" t="s">
        <v>50</v>
      </c>
      <c r="D1188" s="3">
        <v>45668</v>
      </c>
      <c r="E1188" t="str">
        <f>VLOOKUP(B1188,'PROCV GERENTES BD'!A:B,2,0)</f>
        <v>PROSPECTAR</v>
      </c>
      <c r="F1188" s="4" t="str">
        <f t="shared" si="108"/>
        <v>2025-01</v>
      </c>
      <c r="G1188" s="18">
        <f t="shared" si="109"/>
        <v>2</v>
      </c>
      <c r="H1188" t="str">
        <f t="shared" si="110"/>
        <v>PROSPECTAR</v>
      </c>
      <c r="I1188" t="str">
        <f t="shared" si="111"/>
        <v>TRANSHENRY TRANSPORTES LTDA</v>
      </c>
      <c r="J1188">
        <f t="shared" si="112"/>
        <v>0</v>
      </c>
      <c r="K1188">
        <f t="shared" si="113"/>
        <v>1</v>
      </c>
    </row>
    <row r="1189" spans="1:11" x14ac:dyDescent="0.25">
      <c r="A1189" t="s">
        <v>428</v>
      </c>
      <c r="B1189" t="s">
        <v>179</v>
      </c>
      <c r="C1189" t="s">
        <v>53</v>
      </c>
      <c r="D1189" s="3">
        <v>45668</v>
      </c>
      <c r="E1189" t="str">
        <f>VLOOKUP(B1189,'PROCV GERENTES BD'!A:B,2,0)</f>
        <v xml:space="preserve">MARCUS VINICIUS </v>
      </c>
      <c r="F1189" s="4" t="str">
        <f t="shared" si="108"/>
        <v>2025-01</v>
      </c>
      <c r="G1189" s="18">
        <f t="shared" si="109"/>
        <v>2</v>
      </c>
      <c r="H1189" t="str">
        <f t="shared" si="110"/>
        <v xml:space="preserve">MARCUS VINICIUS </v>
      </c>
      <c r="I1189" t="str">
        <f t="shared" si="111"/>
        <v>LABOR ELETRIC INDUSTRIA E COMERCIO UNIPESSOAL LTDA</v>
      </c>
      <c r="J1189">
        <f t="shared" si="112"/>
        <v>1</v>
      </c>
      <c r="K1189">
        <f t="shared" si="113"/>
        <v>1</v>
      </c>
    </row>
    <row r="1190" spans="1:11" x14ac:dyDescent="0.25">
      <c r="A1190" t="s">
        <v>422</v>
      </c>
      <c r="B1190" t="s">
        <v>173</v>
      </c>
      <c r="C1190" t="s">
        <v>50</v>
      </c>
      <c r="D1190" s="3">
        <v>45668</v>
      </c>
      <c r="E1190" t="str">
        <f>VLOOKUP(B1190,'PROCV GERENTES BD'!A:B,2,0)</f>
        <v>NOELI SALETE</v>
      </c>
      <c r="F1190" s="4" t="str">
        <f t="shared" si="108"/>
        <v>2025-01</v>
      </c>
      <c r="G1190" s="18">
        <f t="shared" si="109"/>
        <v>2</v>
      </c>
      <c r="H1190" t="str">
        <f t="shared" si="110"/>
        <v>NOELI SALETE</v>
      </c>
      <c r="I1190" t="str">
        <f t="shared" si="111"/>
        <v>COMGROUP AGROINDUSTRIAL LTDA</v>
      </c>
      <c r="J1190">
        <f t="shared" si="112"/>
        <v>0</v>
      </c>
      <c r="K1190">
        <f t="shared" si="113"/>
        <v>1</v>
      </c>
    </row>
    <row r="1191" spans="1:11" x14ac:dyDescent="0.25">
      <c r="A1191" t="s">
        <v>419</v>
      </c>
      <c r="B1191" t="s">
        <v>199</v>
      </c>
      <c r="C1191" t="s">
        <v>50</v>
      </c>
      <c r="D1191" s="3">
        <v>45668</v>
      </c>
      <c r="E1191" t="str">
        <f>VLOOKUP(B1191,'PROCV GERENTES BD'!A:B,2,0)</f>
        <v>NOELI SALETE</v>
      </c>
      <c r="F1191" s="4" t="str">
        <f t="shared" si="108"/>
        <v>2025-01</v>
      </c>
      <c r="G1191" s="18">
        <f t="shared" si="109"/>
        <v>2</v>
      </c>
      <c r="H1191" t="str">
        <f t="shared" si="110"/>
        <v>NOELI SALETE</v>
      </c>
      <c r="I1191" t="str">
        <f t="shared" si="111"/>
        <v>GLOBAL ACO SERV PRODUTOS SIDERURGICOS LTDA RECUPER</v>
      </c>
      <c r="J1191">
        <f t="shared" si="112"/>
        <v>0</v>
      </c>
      <c r="K1191">
        <f t="shared" si="113"/>
        <v>1</v>
      </c>
    </row>
    <row r="1192" spans="1:11" x14ac:dyDescent="0.25">
      <c r="A1192" t="s">
        <v>339</v>
      </c>
      <c r="B1192" t="s">
        <v>87</v>
      </c>
      <c r="C1192" t="s">
        <v>50</v>
      </c>
      <c r="D1192" s="3">
        <v>45668</v>
      </c>
      <c r="E1192" t="str">
        <f>VLOOKUP(B1192,'PROCV GERENTES BD'!A:B,2,0)</f>
        <v>NOELI SALETE</v>
      </c>
      <c r="F1192" s="4" t="str">
        <f t="shared" si="108"/>
        <v>2025-01</v>
      </c>
      <c r="G1192" s="18">
        <f t="shared" si="109"/>
        <v>2</v>
      </c>
      <c r="H1192" t="str">
        <f t="shared" si="110"/>
        <v>NOELI SALETE</v>
      </c>
      <c r="I1192" t="str">
        <f t="shared" si="111"/>
        <v>RODOBOX TRANSPORTES E ARMAZENAGEM DE CARGAS LTDA</v>
      </c>
      <c r="J1192">
        <f t="shared" si="112"/>
        <v>0</v>
      </c>
      <c r="K1192">
        <f t="shared" si="113"/>
        <v>1</v>
      </c>
    </row>
    <row r="1193" spans="1:11" x14ac:dyDescent="0.25">
      <c r="A1193" t="s">
        <v>394</v>
      </c>
      <c r="B1193" t="s">
        <v>143</v>
      </c>
      <c r="C1193" t="s">
        <v>50</v>
      </c>
      <c r="D1193" s="3">
        <v>45668</v>
      </c>
      <c r="E1193" t="str">
        <f>VLOOKUP(B1193,'PROCV GERENTES BD'!A:B,2,0)</f>
        <v>NOELI SALETE</v>
      </c>
      <c r="F1193" s="4" t="str">
        <f t="shared" si="108"/>
        <v>2025-01</v>
      </c>
      <c r="G1193" s="18">
        <f t="shared" si="109"/>
        <v>2</v>
      </c>
      <c r="H1193" t="str">
        <f t="shared" si="110"/>
        <v>NOELI SALETE</v>
      </c>
      <c r="I1193" t="str">
        <f t="shared" si="111"/>
        <v>ALBERTO H DA SILVA ME</v>
      </c>
      <c r="J1193">
        <f t="shared" si="112"/>
        <v>0</v>
      </c>
      <c r="K1193">
        <f t="shared" si="113"/>
        <v>1</v>
      </c>
    </row>
    <row r="1194" spans="1:11" x14ac:dyDescent="0.25">
      <c r="A1194" t="s">
        <v>389</v>
      </c>
      <c r="B1194" t="s">
        <v>136</v>
      </c>
      <c r="C1194" t="s">
        <v>66</v>
      </c>
      <c r="D1194" s="3">
        <v>45668</v>
      </c>
      <c r="E1194" t="str">
        <f>VLOOKUP(B1194,'PROCV GERENTES BD'!A:B,2,0)</f>
        <v>POENATELA</v>
      </c>
      <c r="F1194" s="4" t="str">
        <f t="shared" si="108"/>
        <v>2025-01</v>
      </c>
      <c r="G1194" s="18">
        <f t="shared" si="109"/>
        <v>2</v>
      </c>
      <c r="H1194" t="str">
        <f t="shared" si="110"/>
        <v>POENATELA</v>
      </c>
      <c r="I1194" t="str">
        <f t="shared" si="111"/>
        <v>CONQUISTA INDUSTRIA DE MOVEIS S/A</v>
      </c>
      <c r="J1194">
        <f t="shared" si="112"/>
        <v>1</v>
      </c>
      <c r="K1194">
        <f t="shared" si="113"/>
        <v>0</v>
      </c>
    </row>
    <row r="1195" spans="1:11" x14ac:dyDescent="0.25">
      <c r="A1195" t="s">
        <v>441</v>
      </c>
      <c r="B1195" t="s">
        <v>192</v>
      </c>
      <c r="C1195" t="s">
        <v>66</v>
      </c>
      <c r="D1195" s="3">
        <v>45668</v>
      </c>
      <c r="E1195" t="s">
        <v>21</v>
      </c>
      <c r="F1195" s="4" t="str">
        <f t="shared" si="108"/>
        <v>2025-01</v>
      </c>
      <c r="G1195" s="18">
        <f t="shared" si="109"/>
        <v>2</v>
      </c>
      <c r="H1195" t="str">
        <f t="shared" si="110"/>
        <v xml:space="preserve">ROGERIO </v>
      </c>
      <c r="I1195" t="str">
        <f t="shared" si="111"/>
        <v>FRUIT INDUSTRIA E COMERCIO LTDA ME</v>
      </c>
      <c r="J1195">
        <f t="shared" si="112"/>
        <v>1</v>
      </c>
      <c r="K1195">
        <f t="shared" si="113"/>
        <v>0</v>
      </c>
    </row>
    <row r="1196" spans="1:11" x14ac:dyDescent="0.25">
      <c r="A1196" t="s">
        <v>325</v>
      </c>
      <c r="B1196" t="s">
        <v>138</v>
      </c>
      <c r="C1196" t="s">
        <v>66</v>
      </c>
      <c r="D1196" s="3">
        <v>45668</v>
      </c>
      <c r="E1196" t="str">
        <f>VLOOKUP(B1196,'PROCV GERENTES BD'!A:B,2,0)</f>
        <v>SACADO</v>
      </c>
      <c r="F1196" s="4" t="str">
        <f t="shared" si="108"/>
        <v>2025-01</v>
      </c>
      <c r="G1196" s="18">
        <f t="shared" si="109"/>
        <v>2</v>
      </c>
      <c r="H1196" t="str">
        <f t="shared" si="110"/>
        <v>SACADO</v>
      </c>
      <c r="I1196" t="str">
        <f t="shared" si="111"/>
        <v>ALLIAGE S A INDUSTRIAS MEDICO ODONTOLOGICA</v>
      </c>
      <c r="J1196">
        <f t="shared" si="112"/>
        <v>1</v>
      </c>
      <c r="K1196">
        <f t="shared" si="113"/>
        <v>0</v>
      </c>
    </row>
    <row r="1197" spans="1:11" x14ac:dyDescent="0.25">
      <c r="A1197" t="s">
        <v>331</v>
      </c>
      <c r="B1197" t="s">
        <v>144</v>
      </c>
      <c r="C1197" t="s">
        <v>50</v>
      </c>
      <c r="D1197" s="3">
        <v>45669</v>
      </c>
      <c r="E1197" t="str">
        <f>VLOOKUP(B1197,'PROCV GERENTES BD'!A:B,2,0)</f>
        <v>ADMINISTRAÇÃO</v>
      </c>
      <c r="F1197" s="4" t="str">
        <f t="shared" si="108"/>
        <v>2025-01</v>
      </c>
      <c r="G1197" s="18">
        <f t="shared" si="109"/>
        <v>3</v>
      </c>
      <c r="H1197" t="str">
        <f t="shared" si="110"/>
        <v>ADMINISTRAÇÃO</v>
      </c>
      <c r="I1197" t="str">
        <f t="shared" si="111"/>
        <v>BOM PASTOR PAPEIS LTDA EM RECUPERACAO JUDICIAL</v>
      </c>
      <c r="J1197">
        <f t="shared" si="112"/>
        <v>0</v>
      </c>
      <c r="K1197">
        <f t="shared" si="113"/>
        <v>1</v>
      </c>
    </row>
    <row r="1198" spans="1:11" x14ac:dyDescent="0.25">
      <c r="A1198" t="s">
        <v>382</v>
      </c>
      <c r="B1198" t="s">
        <v>129</v>
      </c>
      <c r="C1198" t="s">
        <v>66</v>
      </c>
      <c r="D1198" s="3">
        <v>45669</v>
      </c>
      <c r="E1198" t="str">
        <f>VLOOKUP(B1198,'PROCV GERENTES BD'!A:B,2,0)</f>
        <v>ADMINISTRAÇÃO</v>
      </c>
      <c r="F1198" s="4" t="str">
        <f t="shared" si="108"/>
        <v>2025-01</v>
      </c>
      <c r="G1198" s="18">
        <f t="shared" si="109"/>
        <v>3</v>
      </c>
      <c r="H1198" t="str">
        <f t="shared" si="110"/>
        <v>ADMINISTRAÇÃO</v>
      </c>
      <c r="I1198" t="str">
        <f t="shared" si="111"/>
        <v>XEQUE MATE BEBIDAS LTDA ME</v>
      </c>
      <c r="J1198">
        <f t="shared" si="112"/>
        <v>1</v>
      </c>
      <c r="K1198">
        <f t="shared" si="113"/>
        <v>0</v>
      </c>
    </row>
    <row r="1199" spans="1:11" x14ac:dyDescent="0.25">
      <c r="A1199" t="s">
        <v>372</v>
      </c>
      <c r="B1199" t="s">
        <v>116</v>
      </c>
      <c r="C1199" t="s">
        <v>50</v>
      </c>
      <c r="D1199" s="3">
        <v>45669</v>
      </c>
      <c r="E1199" t="str">
        <f>VLOOKUP(B1199,'PROCV GERENTES BD'!A:B,2,0)</f>
        <v>ADMINISTRAÇÃO</v>
      </c>
      <c r="F1199" s="4" t="str">
        <f t="shared" si="108"/>
        <v>2025-01</v>
      </c>
      <c r="G1199" s="18">
        <f t="shared" si="109"/>
        <v>3</v>
      </c>
      <c r="H1199" t="str">
        <f t="shared" si="110"/>
        <v>ADMINISTRAÇÃO</v>
      </c>
      <c r="I1199" t="str">
        <f t="shared" si="111"/>
        <v>PREMOLDADOS MATOSINHOS LTDA EPP</v>
      </c>
      <c r="J1199">
        <f t="shared" si="112"/>
        <v>0</v>
      </c>
      <c r="K1199">
        <f t="shared" si="113"/>
        <v>1</v>
      </c>
    </row>
    <row r="1200" spans="1:11" x14ac:dyDescent="0.25">
      <c r="A1200" t="s">
        <v>373</v>
      </c>
      <c r="B1200" t="s">
        <v>117</v>
      </c>
      <c r="C1200" t="s">
        <v>50</v>
      </c>
      <c r="D1200" s="3">
        <v>45669</v>
      </c>
      <c r="E1200" t="str">
        <f>VLOOKUP(B1200,'PROCV GERENTES BD'!A:B,2,0)</f>
        <v>ADMINISTRAÇÃO</v>
      </c>
      <c r="F1200" s="4" t="str">
        <f t="shared" si="108"/>
        <v>2025-01</v>
      </c>
      <c r="G1200" s="18">
        <f t="shared" si="109"/>
        <v>3</v>
      </c>
      <c r="H1200" t="str">
        <f t="shared" si="110"/>
        <v>ADMINISTRAÇÃO</v>
      </c>
      <c r="I1200" t="str">
        <f t="shared" si="111"/>
        <v>VIVAN TRANSPORTES LTDA</v>
      </c>
      <c r="J1200">
        <f t="shared" si="112"/>
        <v>0</v>
      </c>
      <c r="K1200">
        <f t="shared" si="113"/>
        <v>1</v>
      </c>
    </row>
    <row r="1201" spans="1:11" x14ac:dyDescent="0.25">
      <c r="A1201" t="s">
        <v>442</v>
      </c>
      <c r="B1201" t="s">
        <v>193</v>
      </c>
      <c r="C1201" t="s">
        <v>66</v>
      </c>
      <c r="D1201" s="3">
        <v>45669</v>
      </c>
      <c r="E1201" t="str">
        <f>VLOOKUP(B1201,'PROCV GERENTES BD'!A:B,2,0)</f>
        <v>CELIO PIMENTA</v>
      </c>
      <c r="F1201" s="4" t="str">
        <f t="shared" si="108"/>
        <v>2025-01</v>
      </c>
      <c r="G1201" s="18">
        <f t="shared" si="109"/>
        <v>3</v>
      </c>
      <c r="H1201" t="str">
        <f t="shared" si="110"/>
        <v>CELIO PIMENTA</v>
      </c>
      <c r="I1201" t="str">
        <f t="shared" si="111"/>
        <v>CIA TEXTIL LTDA ME</v>
      </c>
      <c r="J1201">
        <f t="shared" si="112"/>
        <v>1</v>
      </c>
      <c r="K1201">
        <f t="shared" si="113"/>
        <v>0</v>
      </c>
    </row>
    <row r="1202" spans="1:11" x14ac:dyDescent="0.25">
      <c r="A1202" t="s">
        <v>324</v>
      </c>
      <c r="B1202" t="s">
        <v>119</v>
      </c>
      <c r="C1202" t="s">
        <v>50</v>
      </c>
      <c r="D1202" s="3">
        <v>45669</v>
      </c>
      <c r="E1202" t="str">
        <f>VLOOKUP(B1202,'PROCV GERENTES BD'!A:B,2,0)</f>
        <v>PROSPECTAR</v>
      </c>
      <c r="F1202" s="4" t="str">
        <f t="shared" si="108"/>
        <v>2025-01</v>
      </c>
      <c r="G1202" s="18">
        <f t="shared" si="109"/>
        <v>3</v>
      </c>
      <c r="H1202" t="str">
        <f t="shared" si="110"/>
        <v>PROSPECTAR</v>
      </c>
      <c r="I1202" t="str">
        <f t="shared" si="111"/>
        <v>TRANSHENRY TRANSPORTES LTDA</v>
      </c>
      <c r="J1202">
        <f t="shared" si="112"/>
        <v>0</v>
      </c>
      <c r="K1202">
        <f t="shared" si="113"/>
        <v>1</v>
      </c>
    </row>
    <row r="1203" spans="1:11" x14ac:dyDescent="0.25">
      <c r="A1203" t="s">
        <v>323</v>
      </c>
      <c r="B1203" t="s">
        <v>109</v>
      </c>
      <c r="C1203" t="s">
        <v>50</v>
      </c>
      <c r="D1203" s="3">
        <v>45669</v>
      </c>
      <c r="E1203" t="str">
        <f>VLOOKUP(B1203,'PROCV GERENTES BD'!A:B,2,0)</f>
        <v>PROSPECTAR</v>
      </c>
      <c r="F1203" s="4" t="str">
        <f t="shared" si="108"/>
        <v>2025-01</v>
      </c>
      <c r="G1203" s="18">
        <f t="shared" si="109"/>
        <v>3</v>
      </c>
      <c r="H1203" t="str">
        <f t="shared" si="110"/>
        <v>PROSPECTAR</v>
      </c>
      <c r="I1203" t="str">
        <f t="shared" si="111"/>
        <v>SIAP COMERCIO DE PRODUTOS AGROPECUARIOS LTDA</v>
      </c>
      <c r="J1203">
        <f t="shared" si="112"/>
        <v>0</v>
      </c>
      <c r="K1203">
        <f t="shared" si="113"/>
        <v>1</v>
      </c>
    </row>
    <row r="1204" spans="1:11" x14ac:dyDescent="0.25">
      <c r="A1204" t="s">
        <v>395</v>
      </c>
      <c r="B1204" t="s">
        <v>145</v>
      </c>
      <c r="C1204" t="s">
        <v>50</v>
      </c>
      <c r="D1204" s="3">
        <v>45669</v>
      </c>
      <c r="E1204" t="str">
        <f>VLOOKUP(B1204,'PROCV GERENTES BD'!A:B,2,0)</f>
        <v>MARCIO LEONEL</v>
      </c>
      <c r="F1204" s="4" t="str">
        <f t="shared" si="108"/>
        <v>2025-01</v>
      </c>
      <c r="G1204" s="18">
        <f t="shared" si="109"/>
        <v>3</v>
      </c>
      <c r="H1204" t="str">
        <f t="shared" si="110"/>
        <v>MARCIO LEONEL</v>
      </c>
      <c r="I1204" t="str">
        <f t="shared" si="111"/>
        <v>MEDICAL PRIME IMP EXPORT DISTRIB PRODUTOS MEDICOS</v>
      </c>
      <c r="J1204">
        <f t="shared" si="112"/>
        <v>0</v>
      </c>
      <c r="K1204">
        <f t="shared" si="113"/>
        <v>1</v>
      </c>
    </row>
    <row r="1205" spans="1:11" x14ac:dyDescent="0.25">
      <c r="A1205" t="s">
        <v>428</v>
      </c>
      <c r="B1205" t="s">
        <v>179</v>
      </c>
      <c r="C1205" t="s">
        <v>50</v>
      </c>
      <c r="D1205" s="3">
        <v>45669</v>
      </c>
      <c r="E1205" t="str">
        <f>VLOOKUP(B1205,'PROCV GERENTES BD'!A:B,2,0)</f>
        <v xml:space="preserve">MARCUS VINICIUS </v>
      </c>
      <c r="F1205" s="4" t="str">
        <f t="shared" si="108"/>
        <v>2025-01</v>
      </c>
      <c r="G1205" s="18">
        <f t="shared" si="109"/>
        <v>3</v>
      </c>
      <c r="H1205" t="str">
        <f t="shared" si="110"/>
        <v xml:space="preserve">MARCUS VINICIUS </v>
      </c>
      <c r="I1205" t="str">
        <f t="shared" si="111"/>
        <v>LABOR ELETRIC INDUSTRIA E COMERCIO UNIPESSOAL LTDA</v>
      </c>
      <c r="J1205">
        <f t="shared" si="112"/>
        <v>0</v>
      </c>
      <c r="K1205">
        <f t="shared" si="113"/>
        <v>1</v>
      </c>
    </row>
    <row r="1206" spans="1:11" x14ac:dyDescent="0.25">
      <c r="A1206" t="s">
        <v>419</v>
      </c>
      <c r="B1206" t="s">
        <v>199</v>
      </c>
      <c r="C1206" t="s">
        <v>50</v>
      </c>
      <c r="D1206" s="3">
        <v>45669</v>
      </c>
      <c r="E1206" t="str">
        <f>VLOOKUP(B1206,'PROCV GERENTES BD'!A:B,2,0)</f>
        <v>NOELI SALETE</v>
      </c>
      <c r="F1206" s="4" t="str">
        <f t="shared" si="108"/>
        <v>2025-01</v>
      </c>
      <c r="G1206" s="18">
        <f t="shared" si="109"/>
        <v>3</v>
      </c>
      <c r="H1206" t="str">
        <f t="shared" si="110"/>
        <v>NOELI SALETE</v>
      </c>
      <c r="I1206" t="str">
        <f t="shared" si="111"/>
        <v>GLOBAL ACO SERV PRODUTOS SIDERURGICOS LTDA RECUPER</v>
      </c>
      <c r="J1206">
        <f t="shared" si="112"/>
        <v>0</v>
      </c>
      <c r="K1206">
        <f t="shared" si="113"/>
        <v>1</v>
      </c>
    </row>
    <row r="1207" spans="1:11" x14ac:dyDescent="0.25">
      <c r="A1207" t="s">
        <v>339</v>
      </c>
      <c r="B1207" t="s">
        <v>87</v>
      </c>
      <c r="C1207" t="s">
        <v>50</v>
      </c>
      <c r="D1207" s="3">
        <v>45669</v>
      </c>
      <c r="E1207" t="str">
        <f>VLOOKUP(B1207,'PROCV GERENTES BD'!A:B,2,0)</f>
        <v>NOELI SALETE</v>
      </c>
      <c r="F1207" s="4" t="str">
        <f t="shared" si="108"/>
        <v>2025-01</v>
      </c>
      <c r="G1207" s="18">
        <f t="shared" si="109"/>
        <v>3</v>
      </c>
      <c r="H1207" t="str">
        <f t="shared" si="110"/>
        <v>NOELI SALETE</v>
      </c>
      <c r="I1207" t="str">
        <f t="shared" si="111"/>
        <v>RODOBOX TRANSPORTES E ARMAZENAGEM DE CARGAS LTDA</v>
      </c>
      <c r="J1207">
        <f t="shared" si="112"/>
        <v>0</v>
      </c>
      <c r="K1207">
        <f t="shared" si="113"/>
        <v>1</v>
      </c>
    </row>
    <row r="1208" spans="1:11" x14ac:dyDescent="0.25">
      <c r="A1208" t="s">
        <v>438</v>
      </c>
      <c r="B1208" t="s">
        <v>189</v>
      </c>
      <c r="C1208" t="s">
        <v>50</v>
      </c>
      <c r="D1208" s="3">
        <v>45669</v>
      </c>
      <c r="E1208" t="str">
        <f>VLOOKUP(B1208,'PROCV GERENTES BD'!A:B,2,0)</f>
        <v>NOELI SALETE</v>
      </c>
      <c r="F1208" s="4" t="str">
        <f t="shared" si="108"/>
        <v>2025-01</v>
      </c>
      <c r="G1208" s="18">
        <f t="shared" si="109"/>
        <v>3</v>
      </c>
      <c r="H1208" t="str">
        <f t="shared" si="110"/>
        <v>NOELI SALETE</v>
      </c>
      <c r="I1208" t="str">
        <f t="shared" si="111"/>
        <v>AGRO INDUSTRIAL LAZZERI LTDA</v>
      </c>
      <c r="J1208">
        <f t="shared" si="112"/>
        <v>0</v>
      </c>
      <c r="K1208">
        <f t="shared" si="113"/>
        <v>1</v>
      </c>
    </row>
    <row r="1209" spans="1:11" x14ac:dyDescent="0.25">
      <c r="A1209" t="s">
        <v>389</v>
      </c>
      <c r="B1209" t="s">
        <v>136</v>
      </c>
      <c r="C1209" t="s">
        <v>66</v>
      </c>
      <c r="D1209" s="3">
        <v>45669</v>
      </c>
      <c r="E1209" t="str">
        <f>VLOOKUP(B1209,'PROCV GERENTES BD'!A:B,2,0)</f>
        <v>POENATELA</v>
      </c>
      <c r="F1209" s="4" t="str">
        <f t="shared" si="108"/>
        <v>2025-01</v>
      </c>
      <c r="G1209" s="18">
        <f t="shared" si="109"/>
        <v>3</v>
      </c>
      <c r="H1209" t="str">
        <f t="shared" si="110"/>
        <v>POENATELA</v>
      </c>
      <c r="I1209" t="str">
        <f t="shared" si="111"/>
        <v>CONQUISTA INDUSTRIA DE MOVEIS S/A</v>
      </c>
      <c r="J1209">
        <f t="shared" si="112"/>
        <v>1</v>
      </c>
      <c r="K1209">
        <f t="shared" si="113"/>
        <v>0</v>
      </c>
    </row>
    <row r="1210" spans="1:11" x14ac:dyDescent="0.25">
      <c r="A1210" t="s">
        <v>420</v>
      </c>
      <c r="B1210" t="s">
        <v>170</v>
      </c>
      <c r="C1210" t="s">
        <v>50</v>
      </c>
      <c r="D1210" s="3">
        <v>45669</v>
      </c>
      <c r="E1210" t="str">
        <f>VLOOKUP(B1210,'PROCV GERENTES BD'!A:B,2,0)</f>
        <v>POENATELA</v>
      </c>
      <c r="F1210" s="4" t="str">
        <f t="shared" si="108"/>
        <v>2025-01</v>
      </c>
      <c r="G1210" s="18">
        <f t="shared" si="109"/>
        <v>3</v>
      </c>
      <c r="H1210" t="str">
        <f t="shared" si="110"/>
        <v>POENATELA</v>
      </c>
      <c r="I1210" t="str">
        <f t="shared" si="111"/>
        <v>SAVIXX COMERCIO INTERNACIONAL S/A</v>
      </c>
      <c r="J1210">
        <f t="shared" si="112"/>
        <v>0</v>
      </c>
      <c r="K1210">
        <f t="shared" si="113"/>
        <v>1</v>
      </c>
    </row>
    <row r="1211" spans="1:11" x14ac:dyDescent="0.25">
      <c r="A1211" t="s">
        <v>346</v>
      </c>
      <c r="B1211" t="s">
        <v>91</v>
      </c>
      <c r="C1211" t="s">
        <v>50</v>
      </c>
      <c r="D1211" s="3">
        <v>45669</v>
      </c>
      <c r="E1211" t="str">
        <f>VLOOKUP(B1211,'PROCV GERENTES BD'!A:B,2,0)</f>
        <v>POENATELA</v>
      </c>
      <c r="F1211" s="4" t="str">
        <f t="shared" si="108"/>
        <v>2025-01</v>
      </c>
      <c r="G1211" s="18">
        <f t="shared" si="109"/>
        <v>3</v>
      </c>
      <c r="H1211" t="str">
        <f t="shared" si="110"/>
        <v>POENATELA</v>
      </c>
      <c r="I1211" t="str">
        <f t="shared" si="111"/>
        <v>UBERTEC SERVICE USINAGEM LTDA EPP</v>
      </c>
      <c r="J1211">
        <f t="shared" si="112"/>
        <v>0</v>
      </c>
      <c r="K1211">
        <f t="shared" si="113"/>
        <v>1</v>
      </c>
    </row>
    <row r="1212" spans="1:11" x14ac:dyDescent="0.25">
      <c r="A1212" t="s">
        <v>409</v>
      </c>
      <c r="B1212" t="s">
        <v>159</v>
      </c>
      <c r="C1212" t="s">
        <v>50</v>
      </c>
      <c r="D1212" s="3">
        <v>45669</v>
      </c>
      <c r="E1212" t="str">
        <f>VLOOKUP(B1212,'PROCV GERENTES BD'!A:B,2,0)</f>
        <v>RAFAEL PARISE</v>
      </c>
      <c r="F1212" s="4" t="str">
        <f t="shared" si="108"/>
        <v>2025-01</v>
      </c>
      <c r="G1212" s="18">
        <f t="shared" si="109"/>
        <v>3</v>
      </c>
      <c r="H1212" t="str">
        <f t="shared" si="110"/>
        <v>RAFAEL PARISE</v>
      </c>
      <c r="I1212" t="str">
        <f t="shared" si="111"/>
        <v>OXIGAS RESIDUOS ESPECIAIS LTDA EPP</v>
      </c>
      <c r="J1212">
        <f t="shared" si="112"/>
        <v>0</v>
      </c>
      <c r="K1212">
        <f t="shared" si="113"/>
        <v>1</v>
      </c>
    </row>
    <row r="1213" spans="1:11" x14ac:dyDescent="0.25">
      <c r="A1213" t="s">
        <v>51</v>
      </c>
      <c r="B1213" t="s">
        <v>52</v>
      </c>
      <c r="C1213" t="s">
        <v>50</v>
      </c>
      <c r="D1213" s="3">
        <v>45669</v>
      </c>
      <c r="E1213" t="str">
        <f>VLOOKUP(B1213,'PROCV GERENTES BD'!A:B,2,0)</f>
        <v>RAFAEL PARISE</v>
      </c>
      <c r="F1213" s="4" t="str">
        <f t="shared" si="108"/>
        <v>2025-01</v>
      </c>
      <c r="G1213" s="18">
        <f t="shared" si="109"/>
        <v>3</v>
      </c>
      <c r="H1213" t="str">
        <f t="shared" si="110"/>
        <v>RAFAEL PARISE</v>
      </c>
      <c r="I1213" t="str">
        <f t="shared" si="111"/>
        <v>TDR TRANSPORTES LOGISTICA LTDA</v>
      </c>
      <c r="J1213">
        <f t="shared" si="112"/>
        <v>0</v>
      </c>
      <c r="K1213">
        <f t="shared" si="113"/>
        <v>1</v>
      </c>
    </row>
    <row r="1214" spans="1:11" x14ac:dyDescent="0.25">
      <c r="A1214" t="s">
        <v>76</v>
      </c>
      <c r="B1214" t="s">
        <v>77</v>
      </c>
      <c r="C1214" t="s">
        <v>50</v>
      </c>
      <c r="D1214" s="3">
        <v>45669</v>
      </c>
      <c r="E1214" t="str">
        <f>VLOOKUP(B1214,'PROCV GERENTES BD'!A:B,2,0)</f>
        <v>RAFAEL PARISE</v>
      </c>
      <c r="F1214" s="4" t="str">
        <f t="shared" si="108"/>
        <v>2025-01</v>
      </c>
      <c r="G1214" s="18">
        <f t="shared" si="109"/>
        <v>3</v>
      </c>
      <c r="H1214" t="str">
        <f t="shared" si="110"/>
        <v>RAFAEL PARISE</v>
      </c>
      <c r="I1214" t="str">
        <f t="shared" si="111"/>
        <v>UNITA AUTO PECAS LTDA EPP</v>
      </c>
      <c r="J1214">
        <f t="shared" si="112"/>
        <v>0</v>
      </c>
      <c r="K1214">
        <f t="shared" si="113"/>
        <v>1</v>
      </c>
    </row>
    <row r="1215" spans="1:11" x14ac:dyDescent="0.25">
      <c r="A1215" t="s">
        <v>429</v>
      </c>
      <c r="B1215" t="s">
        <v>180</v>
      </c>
      <c r="C1215" t="s">
        <v>66</v>
      </c>
      <c r="D1215" s="3">
        <v>45669</v>
      </c>
      <c r="E1215" t="s">
        <v>21</v>
      </c>
      <c r="F1215" s="4" t="str">
        <f t="shared" si="108"/>
        <v>2025-01</v>
      </c>
      <c r="G1215" s="18">
        <f t="shared" si="109"/>
        <v>3</v>
      </c>
      <c r="H1215" t="str">
        <f t="shared" si="110"/>
        <v xml:space="preserve">ROGERIO </v>
      </c>
      <c r="I1215" t="str">
        <f t="shared" si="111"/>
        <v>ENCADESP LTDA ME</v>
      </c>
      <c r="J1215">
        <f t="shared" si="112"/>
        <v>1</v>
      </c>
      <c r="K1215">
        <f t="shared" si="113"/>
        <v>0</v>
      </c>
    </row>
    <row r="1216" spans="1:11" x14ac:dyDescent="0.25">
      <c r="A1216" t="s">
        <v>447</v>
      </c>
      <c r="B1216" t="s">
        <v>200</v>
      </c>
      <c r="C1216" t="s">
        <v>50</v>
      </c>
      <c r="D1216" s="3">
        <v>45669</v>
      </c>
      <c r="E1216" t="s">
        <v>21</v>
      </c>
      <c r="F1216" s="4" t="str">
        <f t="shared" si="108"/>
        <v>2025-01</v>
      </c>
      <c r="G1216" s="18">
        <f t="shared" si="109"/>
        <v>3</v>
      </c>
      <c r="H1216" t="str">
        <f t="shared" si="110"/>
        <v xml:space="preserve">ROGERIO </v>
      </c>
      <c r="I1216" t="str">
        <f t="shared" si="111"/>
        <v>ORTHOSIDE INDUSTRIA E COMERCIO LTDA EPP</v>
      </c>
      <c r="J1216">
        <f t="shared" si="112"/>
        <v>0</v>
      </c>
      <c r="K1216">
        <f t="shared" si="113"/>
        <v>1</v>
      </c>
    </row>
    <row r="1217" spans="1:11" x14ac:dyDescent="0.25">
      <c r="A1217" t="s">
        <v>379</v>
      </c>
      <c r="B1217" t="s">
        <v>126</v>
      </c>
      <c r="C1217" t="s">
        <v>50</v>
      </c>
      <c r="D1217" s="3">
        <v>45672</v>
      </c>
      <c r="E1217" t="str">
        <f>VLOOKUP(B1217,'PROCV GERENTES BD'!A:B,2,0)</f>
        <v>ADMINISTRAÇÃO</v>
      </c>
      <c r="F1217" s="4" t="str">
        <f t="shared" si="108"/>
        <v>2025-01</v>
      </c>
      <c r="G1217" s="18">
        <f t="shared" si="109"/>
        <v>3</v>
      </c>
      <c r="H1217" t="str">
        <f t="shared" si="110"/>
        <v>ADMINISTRAÇÃO</v>
      </c>
      <c r="I1217" t="str">
        <f t="shared" si="111"/>
        <v>ENXOVAIS MINAS LTDA ME</v>
      </c>
      <c r="J1217">
        <f t="shared" si="112"/>
        <v>0</v>
      </c>
      <c r="K1217">
        <f t="shared" si="113"/>
        <v>1</v>
      </c>
    </row>
    <row r="1218" spans="1:11" x14ac:dyDescent="0.25">
      <c r="A1218" t="s">
        <v>445</v>
      </c>
      <c r="B1218" t="s">
        <v>197</v>
      </c>
      <c r="C1218" t="s">
        <v>328</v>
      </c>
      <c r="D1218" s="3">
        <v>45672</v>
      </c>
      <c r="E1218" t="str">
        <f>VLOOKUP(B1218,'PROCV GERENTES BD'!A:B,2,0)</f>
        <v>ADMINISTRAÇÃO</v>
      </c>
      <c r="F1218" s="4" t="str">
        <f t="shared" ref="F1218:F1281" si="114">YEAR(D1218)&amp;"-"&amp;TEXT(MONTH(D1218),"00")</f>
        <v>2025-01</v>
      </c>
      <c r="G1218" s="18">
        <f t="shared" ref="G1218:G1281" si="115">WEEKNUM(D1218)</f>
        <v>3</v>
      </c>
      <c r="H1218" t="str">
        <f t="shared" ref="H1218:H1281" si="116">E1218</f>
        <v>ADMINISTRAÇÃO</v>
      </c>
      <c r="I1218" t="str">
        <f t="shared" ref="I1218:I1281" si="117">B1218</f>
        <v>FARBIA CHEMICALS COMERCIO IMPORTACAO E EXPORTACAO</v>
      </c>
      <c r="J1218">
        <f t="shared" ref="J1218:J1281" si="118">IF(OR(C1218="EXCLUSAO  ANOT.INADIMPLENCIA",C1218="INCL/EXCL ANOT.INADIMPLENCIA"),1,0)</f>
        <v>0</v>
      </c>
      <c r="K1218">
        <f t="shared" ref="K1218:K1281" si="119">IF(OR(C1218="INCLUSAO  ANOT.INADIMPLENCIA",C1218="INCL/EXCL ANOT.INADIMPLENCIA"),1,0)</f>
        <v>0</v>
      </c>
    </row>
    <row r="1219" spans="1:11" x14ac:dyDescent="0.25">
      <c r="A1219" t="s">
        <v>319</v>
      </c>
      <c r="B1219" t="s">
        <v>80</v>
      </c>
      <c r="C1219" t="s">
        <v>53</v>
      </c>
      <c r="D1219" s="3">
        <v>45672</v>
      </c>
      <c r="E1219" t="str">
        <f>VLOOKUP(B1219,'PROCV GERENTES BD'!A:B,2,0)</f>
        <v>CELIO PIMENTA</v>
      </c>
      <c r="F1219" s="4" t="str">
        <f t="shared" si="114"/>
        <v>2025-01</v>
      </c>
      <c r="G1219" s="18">
        <f t="shared" si="115"/>
        <v>3</v>
      </c>
      <c r="H1219" t="str">
        <f t="shared" si="116"/>
        <v>CELIO PIMENTA</v>
      </c>
      <c r="I1219" t="str">
        <f t="shared" si="117"/>
        <v>IMPORTEXTIL COMERCIO DE TECIDOS LTDA</v>
      </c>
      <c r="J1219">
        <f t="shared" si="118"/>
        <v>1</v>
      </c>
      <c r="K1219">
        <f t="shared" si="119"/>
        <v>1</v>
      </c>
    </row>
    <row r="1220" spans="1:11" x14ac:dyDescent="0.25">
      <c r="A1220" t="s">
        <v>324</v>
      </c>
      <c r="B1220" t="s">
        <v>119</v>
      </c>
      <c r="C1220" t="s">
        <v>50</v>
      </c>
      <c r="D1220" s="3">
        <v>45672</v>
      </c>
      <c r="E1220" t="str">
        <f>VLOOKUP(B1220,'PROCV GERENTES BD'!A:B,2,0)</f>
        <v>PROSPECTAR</v>
      </c>
      <c r="F1220" s="4" t="str">
        <f t="shared" si="114"/>
        <v>2025-01</v>
      </c>
      <c r="G1220" s="18">
        <f t="shared" si="115"/>
        <v>3</v>
      </c>
      <c r="H1220" t="str">
        <f t="shared" si="116"/>
        <v>PROSPECTAR</v>
      </c>
      <c r="I1220" t="str">
        <f t="shared" si="117"/>
        <v>TRANSHENRY TRANSPORTES LTDA</v>
      </c>
      <c r="J1220">
        <f t="shared" si="118"/>
        <v>0</v>
      </c>
      <c r="K1220">
        <f t="shared" si="119"/>
        <v>1</v>
      </c>
    </row>
    <row r="1221" spans="1:11" x14ac:dyDescent="0.25">
      <c r="A1221" t="s">
        <v>395</v>
      </c>
      <c r="B1221" t="s">
        <v>145</v>
      </c>
      <c r="C1221" t="s">
        <v>66</v>
      </c>
      <c r="D1221" s="3">
        <v>45672</v>
      </c>
      <c r="E1221" t="str">
        <f>VLOOKUP(B1221,'PROCV GERENTES BD'!A:B,2,0)</f>
        <v>MARCIO LEONEL</v>
      </c>
      <c r="F1221" s="4" t="str">
        <f t="shared" si="114"/>
        <v>2025-01</v>
      </c>
      <c r="G1221" s="18">
        <f t="shared" si="115"/>
        <v>3</v>
      </c>
      <c r="H1221" t="str">
        <f t="shared" si="116"/>
        <v>MARCIO LEONEL</v>
      </c>
      <c r="I1221" t="str">
        <f t="shared" si="117"/>
        <v>MEDICAL PRIME IMP EXPORT DISTRIB PRODUTOS MEDICOS</v>
      </c>
      <c r="J1221">
        <f t="shared" si="118"/>
        <v>1</v>
      </c>
      <c r="K1221">
        <f t="shared" si="119"/>
        <v>0</v>
      </c>
    </row>
    <row r="1222" spans="1:11" x14ac:dyDescent="0.25">
      <c r="A1222" t="s">
        <v>428</v>
      </c>
      <c r="B1222" t="s">
        <v>179</v>
      </c>
      <c r="C1222" t="s">
        <v>53</v>
      </c>
      <c r="D1222" s="3">
        <v>45672</v>
      </c>
      <c r="E1222" t="str">
        <f>VLOOKUP(B1222,'PROCV GERENTES BD'!A:B,2,0)</f>
        <v xml:space="preserve">MARCUS VINICIUS </v>
      </c>
      <c r="F1222" s="4" t="str">
        <f t="shared" si="114"/>
        <v>2025-01</v>
      </c>
      <c r="G1222" s="18">
        <f t="shared" si="115"/>
        <v>3</v>
      </c>
      <c r="H1222" t="str">
        <f t="shared" si="116"/>
        <v xml:space="preserve">MARCUS VINICIUS </v>
      </c>
      <c r="I1222" t="str">
        <f t="shared" si="117"/>
        <v>LABOR ELETRIC INDUSTRIA E COMERCIO UNIPESSOAL LTDA</v>
      </c>
      <c r="J1222">
        <f t="shared" si="118"/>
        <v>1</v>
      </c>
      <c r="K1222">
        <f t="shared" si="119"/>
        <v>1</v>
      </c>
    </row>
    <row r="1223" spans="1:11" x14ac:dyDescent="0.25">
      <c r="A1223" t="s">
        <v>339</v>
      </c>
      <c r="B1223" t="s">
        <v>87</v>
      </c>
      <c r="C1223" t="s">
        <v>50</v>
      </c>
      <c r="D1223" s="3">
        <v>45672</v>
      </c>
      <c r="E1223" t="str">
        <f>VLOOKUP(B1223,'PROCV GERENTES BD'!A:B,2,0)</f>
        <v>NOELI SALETE</v>
      </c>
      <c r="F1223" s="4" t="str">
        <f t="shared" si="114"/>
        <v>2025-01</v>
      </c>
      <c r="G1223" s="18">
        <f t="shared" si="115"/>
        <v>3</v>
      </c>
      <c r="H1223" t="str">
        <f t="shared" si="116"/>
        <v>NOELI SALETE</v>
      </c>
      <c r="I1223" t="str">
        <f t="shared" si="117"/>
        <v>RODOBOX TRANSPORTES E ARMAZENAGEM DE CARGAS LTDA</v>
      </c>
      <c r="J1223">
        <f t="shared" si="118"/>
        <v>0</v>
      </c>
      <c r="K1223">
        <f t="shared" si="119"/>
        <v>1</v>
      </c>
    </row>
    <row r="1224" spans="1:11" x14ac:dyDescent="0.25">
      <c r="A1224" t="s">
        <v>394</v>
      </c>
      <c r="B1224" t="s">
        <v>143</v>
      </c>
      <c r="C1224" t="s">
        <v>50</v>
      </c>
      <c r="D1224" s="3">
        <v>45672</v>
      </c>
      <c r="E1224" t="str">
        <f>VLOOKUP(B1224,'PROCV GERENTES BD'!A:B,2,0)</f>
        <v>NOELI SALETE</v>
      </c>
      <c r="F1224" s="4" t="str">
        <f t="shared" si="114"/>
        <v>2025-01</v>
      </c>
      <c r="G1224" s="18">
        <f t="shared" si="115"/>
        <v>3</v>
      </c>
      <c r="H1224" t="str">
        <f t="shared" si="116"/>
        <v>NOELI SALETE</v>
      </c>
      <c r="I1224" t="str">
        <f t="shared" si="117"/>
        <v>ALBERTO H DA SILVA ME</v>
      </c>
      <c r="J1224">
        <f t="shared" si="118"/>
        <v>0</v>
      </c>
      <c r="K1224">
        <f t="shared" si="119"/>
        <v>1</v>
      </c>
    </row>
    <row r="1225" spans="1:11" x14ac:dyDescent="0.25">
      <c r="A1225" t="s">
        <v>346</v>
      </c>
      <c r="B1225" t="s">
        <v>91</v>
      </c>
      <c r="C1225" t="s">
        <v>66</v>
      </c>
      <c r="D1225" s="3">
        <v>45672</v>
      </c>
      <c r="E1225" t="str">
        <f>VLOOKUP(B1225,'PROCV GERENTES BD'!A:B,2,0)</f>
        <v>POENATELA</v>
      </c>
      <c r="F1225" s="4" t="str">
        <f t="shared" si="114"/>
        <v>2025-01</v>
      </c>
      <c r="G1225" s="18">
        <f t="shared" si="115"/>
        <v>3</v>
      </c>
      <c r="H1225" t="str">
        <f t="shared" si="116"/>
        <v>POENATELA</v>
      </c>
      <c r="I1225" t="str">
        <f t="shared" si="117"/>
        <v>UBERTEC SERVICE USINAGEM LTDA EPP</v>
      </c>
      <c r="J1225">
        <f t="shared" si="118"/>
        <v>1</v>
      </c>
      <c r="K1225">
        <f t="shared" si="119"/>
        <v>0</v>
      </c>
    </row>
    <row r="1226" spans="1:11" x14ac:dyDescent="0.25">
      <c r="A1226" t="s">
        <v>448</v>
      </c>
      <c r="B1226" t="s">
        <v>201</v>
      </c>
      <c r="C1226" t="s">
        <v>50</v>
      </c>
      <c r="D1226" s="3">
        <v>45672</v>
      </c>
      <c r="E1226" t="str">
        <f>VLOOKUP(B1226,'PROCV GERENTES BD'!A:B,2,0)</f>
        <v>PRISCILA METZ</v>
      </c>
      <c r="F1226" s="4" t="str">
        <f t="shared" si="114"/>
        <v>2025-01</v>
      </c>
      <c r="G1226" s="18">
        <f t="shared" si="115"/>
        <v>3</v>
      </c>
      <c r="H1226" t="str">
        <f t="shared" si="116"/>
        <v>PRISCILA METZ</v>
      </c>
      <c r="I1226" t="str">
        <f t="shared" si="117"/>
        <v>M TRATORES LTDA EPP</v>
      </c>
      <c r="J1226">
        <f t="shared" si="118"/>
        <v>0</v>
      </c>
      <c r="K1226">
        <f t="shared" si="119"/>
        <v>1</v>
      </c>
    </row>
    <row r="1227" spans="1:11" x14ac:dyDescent="0.25">
      <c r="A1227" t="s">
        <v>424</v>
      </c>
      <c r="B1227" t="s">
        <v>202</v>
      </c>
      <c r="C1227" t="s">
        <v>328</v>
      </c>
      <c r="D1227" s="3">
        <v>45672</v>
      </c>
      <c r="E1227" t="str">
        <f>VLOOKUP(B1227,'PROCV GERENTES BD'!A:B,2,0)</f>
        <v>RAFAEL PARISE</v>
      </c>
      <c r="F1227" s="4" t="str">
        <f t="shared" si="114"/>
        <v>2025-01</v>
      </c>
      <c r="G1227" s="18">
        <f t="shared" si="115"/>
        <v>3</v>
      </c>
      <c r="H1227" t="str">
        <f t="shared" si="116"/>
        <v>RAFAEL PARISE</v>
      </c>
      <c r="I1227" t="str">
        <f t="shared" si="117"/>
        <v>FRUTAS JARDINS LTDA</v>
      </c>
      <c r="J1227">
        <f t="shared" si="118"/>
        <v>0</v>
      </c>
      <c r="K1227">
        <f t="shared" si="119"/>
        <v>0</v>
      </c>
    </row>
    <row r="1228" spans="1:11" x14ac:dyDescent="0.25">
      <c r="A1228" t="s">
        <v>51</v>
      </c>
      <c r="B1228" t="s">
        <v>52</v>
      </c>
      <c r="C1228" t="s">
        <v>66</v>
      </c>
      <c r="D1228" s="3">
        <v>45672</v>
      </c>
      <c r="E1228" t="str">
        <f>VLOOKUP(B1228,'PROCV GERENTES BD'!A:B,2,0)</f>
        <v>RAFAEL PARISE</v>
      </c>
      <c r="F1228" s="4" t="str">
        <f t="shared" si="114"/>
        <v>2025-01</v>
      </c>
      <c r="G1228" s="18">
        <f t="shared" si="115"/>
        <v>3</v>
      </c>
      <c r="H1228" t="str">
        <f t="shared" si="116"/>
        <v>RAFAEL PARISE</v>
      </c>
      <c r="I1228" t="str">
        <f t="shared" si="117"/>
        <v>TDR TRANSPORTES LOGISTICA LTDA</v>
      </c>
      <c r="J1228">
        <f t="shared" si="118"/>
        <v>1</v>
      </c>
      <c r="K1228">
        <f t="shared" si="119"/>
        <v>0</v>
      </c>
    </row>
    <row r="1229" spans="1:11" x14ac:dyDescent="0.25">
      <c r="A1229" t="s">
        <v>76</v>
      </c>
      <c r="B1229" t="s">
        <v>77</v>
      </c>
      <c r="C1229" t="s">
        <v>66</v>
      </c>
      <c r="D1229" s="3">
        <v>45672</v>
      </c>
      <c r="E1229" t="str">
        <f>VLOOKUP(B1229,'PROCV GERENTES BD'!A:B,2,0)</f>
        <v>RAFAEL PARISE</v>
      </c>
      <c r="F1229" s="4" t="str">
        <f t="shared" si="114"/>
        <v>2025-01</v>
      </c>
      <c r="G1229" s="18">
        <f t="shared" si="115"/>
        <v>3</v>
      </c>
      <c r="H1229" t="str">
        <f t="shared" si="116"/>
        <v>RAFAEL PARISE</v>
      </c>
      <c r="I1229" t="str">
        <f t="shared" si="117"/>
        <v>UNITA AUTO PECAS LTDA EPP</v>
      </c>
      <c r="J1229">
        <f t="shared" si="118"/>
        <v>1</v>
      </c>
      <c r="K1229">
        <f t="shared" si="119"/>
        <v>0</v>
      </c>
    </row>
    <row r="1230" spans="1:11" x14ac:dyDescent="0.25">
      <c r="A1230" t="s">
        <v>431</v>
      </c>
      <c r="B1230" t="s">
        <v>196</v>
      </c>
      <c r="C1230" t="s">
        <v>66</v>
      </c>
      <c r="D1230" s="3">
        <v>45672</v>
      </c>
      <c r="E1230" t="s">
        <v>21</v>
      </c>
      <c r="F1230" s="4" t="str">
        <f t="shared" si="114"/>
        <v>2025-01</v>
      </c>
      <c r="G1230" s="18">
        <f t="shared" si="115"/>
        <v>3</v>
      </c>
      <c r="H1230" t="str">
        <f t="shared" si="116"/>
        <v xml:space="preserve">ROGERIO </v>
      </c>
      <c r="I1230" t="str">
        <f t="shared" si="117"/>
        <v>GRF JEANS WEAR LTDA EPP</v>
      </c>
      <c r="J1230">
        <f t="shared" si="118"/>
        <v>1</v>
      </c>
      <c r="K1230">
        <f t="shared" si="119"/>
        <v>0</v>
      </c>
    </row>
    <row r="1231" spans="1:11" x14ac:dyDescent="0.25">
      <c r="A1231" t="s">
        <v>325</v>
      </c>
      <c r="B1231" t="s">
        <v>138</v>
      </c>
      <c r="C1231" t="s">
        <v>50</v>
      </c>
      <c r="D1231" s="3">
        <v>45672</v>
      </c>
      <c r="E1231" t="str">
        <f>VLOOKUP(B1231,'PROCV GERENTES BD'!A:B,2,0)</f>
        <v>SACADO</v>
      </c>
      <c r="F1231" s="4" t="str">
        <f t="shared" si="114"/>
        <v>2025-01</v>
      </c>
      <c r="G1231" s="18">
        <f t="shared" si="115"/>
        <v>3</v>
      </c>
      <c r="H1231" t="str">
        <f t="shared" si="116"/>
        <v>SACADO</v>
      </c>
      <c r="I1231" t="str">
        <f t="shared" si="117"/>
        <v>ALLIAGE S A INDUSTRIAS MEDICO ODONTOLOGICA</v>
      </c>
      <c r="J1231">
        <f t="shared" si="118"/>
        <v>0</v>
      </c>
      <c r="K1231">
        <f t="shared" si="119"/>
        <v>1</v>
      </c>
    </row>
    <row r="1232" spans="1:11" x14ac:dyDescent="0.25">
      <c r="A1232" t="s">
        <v>324</v>
      </c>
      <c r="B1232" t="s">
        <v>119</v>
      </c>
      <c r="C1232" t="s">
        <v>66</v>
      </c>
      <c r="D1232" s="3">
        <v>45673</v>
      </c>
      <c r="E1232" t="str">
        <f>VLOOKUP(B1232,'PROCV GERENTES BD'!A:B,2,0)</f>
        <v>PROSPECTAR</v>
      </c>
      <c r="F1232" s="4" t="str">
        <f t="shared" si="114"/>
        <v>2025-01</v>
      </c>
      <c r="G1232" s="18">
        <f t="shared" si="115"/>
        <v>3</v>
      </c>
      <c r="H1232" t="str">
        <f t="shared" si="116"/>
        <v>PROSPECTAR</v>
      </c>
      <c r="I1232" t="str">
        <f t="shared" si="117"/>
        <v>TRANSHENRY TRANSPORTES LTDA</v>
      </c>
      <c r="J1232">
        <f t="shared" si="118"/>
        <v>1</v>
      </c>
      <c r="K1232">
        <f t="shared" si="119"/>
        <v>0</v>
      </c>
    </row>
    <row r="1233" spans="1:11" x14ac:dyDescent="0.25">
      <c r="A1233" t="s">
        <v>422</v>
      </c>
      <c r="B1233" t="s">
        <v>173</v>
      </c>
      <c r="C1233" t="s">
        <v>66</v>
      </c>
      <c r="D1233" s="3">
        <v>45673</v>
      </c>
      <c r="E1233" t="str">
        <f>VLOOKUP(B1233,'PROCV GERENTES BD'!A:B,2,0)</f>
        <v>NOELI SALETE</v>
      </c>
      <c r="F1233" s="4" t="str">
        <f t="shared" si="114"/>
        <v>2025-01</v>
      </c>
      <c r="G1233" s="18">
        <f t="shared" si="115"/>
        <v>3</v>
      </c>
      <c r="H1233" t="str">
        <f t="shared" si="116"/>
        <v>NOELI SALETE</v>
      </c>
      <c r="I1233" t="str">
        <f t="shared" si="117"/>
        <v>COMGROUP AGROINDUSTRIAL LTDA</v>
      </c>
      <c r="J1233">
        <f t="shared" si="118"/>
        <v>1</v>
      </c>
      <c r="K1233">
        <f t="shared" si="119"/>
        <v>0</v>
      </c>
    </row>
    <row r="1234" spans="1:11" x14ac:dyDescent="0.25">
      <c r="A1234" t="s">
        <v>419</v>
      </c>
      <c r="B1234" t="s">
        <v>199</v>
      </c>
      <c r="C1234" t="s">
        <v>66</v>
      </c>
      <c r="D1234" s="3">
        <v>45673</v>
      </c>
      <c r="E1234" t="str">
        <f>VLOOKUP(B1234,'PROCV GERENTES BD'!A:B,2,0)</f>
        <v>NOELI SALETE</v>
      </c>
      <c r="F1234" s="4" t="str">
        <f t="shared" si="114"/>
        <v>2025-01</v>
      </c>
      <c r="G1234" s="18">
        <f t="shared" si="115"/>
        <v>3</v>
      </c>
      <c r="H1234" t="str">
        <f t="shared" si="116"/>
        <v>NOELI SALETE</v>
      </c>
      <c r="I1234" t="str">
        <f t="shared" si="117"/>
        <v>GLOBAL ACO SERV PRODUTOS SIDERURGICOS LTDA RECUPER</v>
      </c>
      <c r="J1234">
        <f t="shared" si="118"/>
        <v>1</v>
      </c>
      <c r="K1234">
        <f t="shared" si="119"/>
        <v>0</v>
      </c>
    </row>
    <row r="1235" spans="1:11" x14ac:dyDescent="0.25">
      <c r="A1235" t="s">
        <v>389</v>
      </c>
      <c r="B1235" t="s">
        <v>136</v>
      </c>
      <c r="C1235" t="s">
        <v>66</v>
      </c>
      <c r="D1235" s="3">
        <v>45673</v>
      </c>
      <c r="E1235" t="str">
        <f>VLOOKUP(B1235,'PROCV GERENTES BD'!A:B,2,0)</f>
        <v>POENATELA</v>
      </c>
      <c r="F1235" s="4" t="str">
        <f t="shared" si="114"/>
        <v>2025-01</v>
      </c>
      <c r="G1235" s="18">
        <f t="shared" si="115"/>
        <v>3</v>
      </c>
      <c r="H1235" t="str">
        <f t="shared" si="116"/>
        <v>POENATELA</v>
      </c>
      <c r="I1235" t="str">
        <f t="shared" si="117"/>
        <v>CONQUISTA INDUSTRIA DE MOVEIS S/A</v>
      </c>
      <c r="J1235">
        <f t="shared" si="118"/>
        <v>1</v>
      </c>
      <c r="K1235">
        <f t="shared" si="119"/>
        <v>0</v>
      </c>
    </row>
    <row r="1236" spans="1:11" x14ac:dyDescent="0.25">
      <c r="A1236" t="s">
        <v>346</v>
      </c>
      <c r="B1236" t="s">
        <v>91</v>
      </c>
      <c r="C1236" t="s">
        <v>53</v>
      </c>
      <c r="D1236" s="3">
        <v>45673</v>
      </c>
      <c r="E1236" t="str">
        <f>VLOOKUP(B1236,'PROCV GERENTES BD'!A:B,2,0)</f>
        <v>POENATELA</v>
      </c>
      <c r="F1236" s="4" t="str">
        <f t="shared" si="114"/>
        <v>2025-01</v>
      </c>
      <c r="G1236" s="18">
        <f t="shared" si="115"/>
        <v>3</v>
      </c>
      <c r="H1236" t="str">
        <f t="shared" si="116"/>
        <v>POENATELA</v>
      </c>
      <c r="I1236" t="str">
        <f t="shared" si="117"/>
        <v>UBERTEC SERVICE USINAGEM LTDA EPP</v>
      </c>
      <c r="J1236">
        <f t="shared" si="118"/>
        <v>1</v>
      </c>
      <c r="K1236">
        <f t="shared" si="119"/>
        <v>1</v>
      </c>
    </row>
    <row r="1237" spans="1:11" x14ac:dyDescent="0.25">
      <c r="A1237" t="s">
        <v>326</v>
      </c>
      <c r="B1237" t="s">
        <v>122</v>
      </c>
      <c r="C1237" t="s">
        <v>66</v>
      </c>
      <c r="D1237" s="3">
        <v>45673</v>
      </c>
      <c r="E1237" t="s">
        <v>21</v>
      </c>
      <c r="F1237" s="4" t="str">
        <f t="shared" si="114"/>
        <v>2025-01</v>
      </c>
      <c r="G1237" s="18">
        <f t="shared" si="115"/>
        <v>3</v>
      </c>
      <c r="H1237" t="str">
        <f t="shared" si="116"/>
        <v xml:space="preserve">ROGERIO </v>
      </c>
      <c r="I1237" t="str">
        <f t="shared" si="117"/>
        <v>BIBE PRODUTOS INFANTIS LTDA</v>
      </c>
      <c r="J1237">
        <f t="shared" si="118"/>
        <v>1</v>
      </c>
      <c r="K1237">
        <f t="shared" si="119"/>
        <v>0</v>
      </c>
    </row>
    <row r="1238" spans="1:11" x14ac:dyDescent="0.25">
      <c r="A1238" t="s">
        <v>428</v>
      </c>
      <c r="B1238" t="s">
        <v>179</v>
      </c>
      <c r="C1238" t="s">
        <v>50</v>
      </c>
      <c r="D1238" s="3">
        <v>45674</v>
      </c>
      <c r="E1238" t="str">
        <f>VLOOKUP(B1238,'PROCV GERENTES BD'!A:B,2,0)</f>
        <v xml:space="preserve">MARCUS VINICIUS </v>
      </c>
      <c r="F1238" s="4" t="str">
        <f t="shared" si="114"/>
        <v>2025-01</v>
      </c>
      <c r="G1238" s="18">
        <f t="shared" si="115"/>
        <v>3</v>
      </c>
      <c r="H1238" t="str">
        <f t="shared" si="116"/>
        <v xml:space="preserve">MARCUS VINICIUS </v>
      </c>
      <c r="I1238" t="str">
        <f t="shared" si="117"/>
        <v>LABOR ELETRIC INDUSTRIA E COMERCIO UNIPESSOAL LTDA</v>
      </c>
      <c r="J1238">
        <f t="shared" si="118"/>
        <v>0</v>
      </c>
      <c r="K1238">
        <f t="shared" si="119"/>
        <v>1</v>
      </c>
    </row>
    <row r="1239" spans="1:11" x14ac:dyDescent="0.25">
      <c r="A1239" t="s">
        <v>394</v>
      </c>
      <c r="B1239" t="s">
        <v>143</v>
      </c>
      <c r="C1239" t="s">
        <v>50</v>
      </c>
      <c r="D1239" s="3">
        <v>45674</v>
      </c>
      <c r="E1239" t="str">
        <f>VLOOKUP(B1239,'PROCV GERENTES BD'!A:B,2,0)</f>
        <v>NOELI SALETE</v>
      </c>
      <c r="F1239" s="4" t="str">
        <f t="shared" si="114"/>
        <v>2025-01</v>
      </c>
      <c r="G1239" s="18">
        <f t="shared" si="115"/>
        <v>3</v>
      </c>
      <c r="H1239" t="str">
        <f t="shared" si="116"/>
        <v>NOELI SALETE</v>
      </c>
      <c r="I1239" t="str">
        <f t="shared" si="117"/>
        <v>ALBERTO H DA SILVA ME</v>
      </c>
      <c r="J1239">
        <f t="shared" si="118"/>
        <v>0</v>
      </c>
      <c r="K1239">
        <f t="shared" si="119"/>
        <v>1</v>
      </c>
    </row>
    <row r="1240" spans="1:11" x14ac:dyDescent="0.25">
      <c r="A1240" t="s">
        <v>389</v>
      </c>
      <c r="B1240" t="s">
        <v>136</v>
      </c>
      <c r="C1240" t="s">
        <v>66</v>
      </c>
      <c r="D1240" s="3">
        <v>45674</v>
      </c>
      <c r="E1240" t="str">
        <f>VLOOKUP(B1240,'PROCV GERENTES BD'!A:B,2,0)</f>
        <v>POENATELA</v>
      </c>
      <c r="F1240" s="4" t="str">
        <f t="shared" si="114"/>
        <v>2025-01</v>
      </c>
      <c r="G1240" s="18">
        <f t="shared" si="115"/>
        <v>3</v>
      </c>
      <c r="H1240" t="str">
        <f t="shared" si="116"/>
        <v>POENATELA</v>
      </c>
      <c r="I1240" t="str">
        <f t="shared" si="117"/>
        <v>CONQUISTA INDUSTRIA DE MOVEIS S/A</v>
      </c>
      <c r="J1240">
        <f t="shared" si="118"/>
        <v>1</v>
      </c>
      <c r="K1240">
        <f t="shared" si="119"/>
        <v>0</v>
      </c>
    </row>
    <row r="1241" spans="1:11" x14ac:dyDescent="0.25">
      <c r="A1241" t="s">
        <v>368</v>
      </c>
      <c r="B1241" t="s">
        <v>111</v>
      </c>
      <c r="C1241" t="s">
        <v>50</v>
      </c>
      <c r="D1241" s="3">
        <v>45675</v>
      </c>
      <c r="E1241" t="str">
        <f>VLOOKUP(B1241,'PROCV GERENTES BD'!A:B,2,0)</f>
        <v>ADMINISTRAÇÃO</v>
      </c>
      <c r="F1241" s="4" t="str">
        <f t="shared" si="114"/>
        <v>2025-01</v>
      </c>
      <c r="G1241" s="18">
        <f t="shared" si="115"/>
        <v>3</v>
      </c>
      <c r="H1241" t="str">
        <f t="shared" si="116"/>
        <v>ADMINISTRAÇÃO</v>
      </c>
      <c r="I1241" t="str">
        <f t="shared" si="117"/>
        <v>ARTECAL ELETROCENTROS S/A</v>
      </c>
      <c r="J1241">
        <f t="shared" si="118"/>
        <v>0</v>
      </c>
      <c r="K1241">
        <f t="shared" si="119"/>
        <v>1</v>
      </c>
    </row>
    <row r="1242" spans="1:11" x14ac:dyDescent="0.25">
      <c r="A1242" t="s">
        <v>324</v>
      </c>
      <c r="B1242" t="s">
        <v>119</v>
      </c>
      <c r="C1242" t="s">
        <v>66</v>
      </c>
      <c r="D1242" s="3">
        <v>45675</v>
      </c>
      <c r="E1242" t="str">
        <f>VLOOKUP(B1242,'PROCV GERENTES BD'!A:B,2,0)</f>
        <v>PROSPECTAR</v>
      </c>
      <c r="F1242" s="4" t="str">
        <f t="shared" si="114"/>
        <v>2025-01</v>
      </c>
      <c r="G1242" s="18">
        <f t="shared" si="115"/>
        <v>3</v>
      </c>
      <c r="H1242" t="str">
        <f t="shared" si="116"/>
        <v>PROSPECTAR</v>
      </c>
      <c r="I1242" t="str">
        <f t="shared" si="117"/>
        <v>TRANSHENRY TRANSPORTES LTDA</v>
      </c>
      <c r="J1242">
        <f t="shared" si="118"/>
        <v>1</v>
      </c>
      <c r="K1242">
        <f t="shared" si="119"/>
        <v>0</v>
      </c>
    </row>
    <row r="1243" spans="1:11" x14ac:dyDescent="0.25">
      <c r="A1243" t="s">
        <v>318</v>
      </c>
      <c r="B1243" t="s">
        <v>203</v>
      </c>
      <c r="C1243" t="s">
        <v>53</v>
      </c>
      <c r="D1243" s="3">
        <v>45675</v>
      </c>
      <c r="E1243" t="str">
        <f>VLOOKUP(B1243,'PROCV GERENTES BD'!A:B,2,0)</f>
        <v>JOSE ROBERTO</v>
      </c>
      <c r="F1243" s="4" t="str">
        <f t="shared" si="114"/>
        <v>2025-01</v>
      </c>
      <c r="G1243" s="18">
        <f t="shared" si="115"/>
        <v>3</v>
      </c>
      <c r="H1243" t="str">
        <f t="shared" si="116"/>
        <v>JOSE ROBERTO</v>
      </c>
      <c r="I1243" t="str">
        <f t="shared" si="117"/>
        <v>FUNDACAO DE ENSINO E PESQUISA DO SUL DE MINAS FEPE</v>
      </c>
      <c r="J1243">
        <f t="shared" si="118"/>
        <v>1</v>
      </c>
      <c r="K1243">
        <f t="shared" si="119"/>
        <v>1</v>
      </c>
    </row>
    <row r="1244" spans="1:11" x14ac:dyDescent="0.25">
      <c r="A1244" t="s">
        <v>310</v>
      </c>
      <c r="B1244" t="s">
        <v>204</v>
      </c>
      <c r="C1244" t="s">
        <v>50</v>
      </c>
      <c r="D1244" s="3">
        <v>45675</v>
      </c>
      <c r="E1244" t="str">
        <f>VLOOKUP(B1244,'PROCV GERENTES BD'!A:B,2,0)</f>
        <v xml:space="preserve">MARCUS VINICIUS </v>
      </c>
      <c r="F1244" s="4" t="str">
        <f t="shared" si="114"/>
        <v>2025-01</v>
      </c>
      <c r="G1244" s="18">
        <f t="shared" si="115"/>
        <v>3</v>
      </c>
      <c r="H1244" t="str">
        <f t="shared" si="116"/>
        <v xml:space="preserve">MARCUS VINICIUS </v>
      </c>
      <c r="I1244" t="str">
        <f t="shared" si="117"/>
        <v>INDUSTRIA E COMERCIO DE CHURRASQUEIRAS BOM JESUS L</v>
      </c>
      <c r="J1244">
        <f t="shared" si="118"/>
        <v>0</v>
      </c>
      <c r="K1244">
        <f t="shared" si="119"/>
        <v>1</v>
      </c>
    </row>
    <row r="1245" spans="1:11" x14ac:dyDescent="0.25">
      <c r="A1245" t="s">
        <v>428</v>
      </c>
      <c r="B1245" t="s">
        <v>179</v>
      </c>
      <c r="C1245" t="s">
        <v>50</v>
      </c>
      <c r="D1245" s="3">
        <v>45675</v>
      </c>
      <c r="E1245" t="str">
        <f>VLOOKUP(B1245,'PROCV GERENTES BD'!A:B,2,0)</f>
        <v xml:space="preserve">MARCUS VINICIUS </v>
      </c>
      <c r="F1245" s="4" t="str">
        <f t="shared" si="114"/>
        <v>2025-01</v>
      </c>
      <c r="G1245" s="18">
        <f t="shared" si="115"/>
        <v>3</v>
      </c>
      <c r="H1245" t="str">
        <f t="shared" si="116"/>
        <v xml:space="preserve">MARCUS VINICIUS </v>
      </c>
      <c r="I1245" t="str">
        <f t="shared" si="117"/>
        <v>LABOR ELETRIC INDUSTRIA E COMERCIO UNIPESSOAL LTDA</v>
      </c>
      <c r="J1245">
        <f t="shared" si="118"/>
        <v>0</v>
      </c>
      <c r="K1245">
        <f t="shared" si="119"/>
        <v>1</v>
      </c>
    </row>
    <row r="1246" spans="1:11" x14ac:dyDescent="0.25">
      <c r="A1246" t="s">
        <v>384</v>
      </c>
      <c r="B1246" t="s">
        <v>131</v>
      </c>
      <c r="C1246" t="s">
        <v>66</v>
      </c>
      <c r="D1246" s="3">
        <v>45675</v>
      </c>
      <c r="E1246" t="str">
        <f>VLOOKUP(B1246,'PROCV GERENTES BD'!A:B,2,0)</f>
        <v xml:space="preserve">MARCUS VINICIUS </v>
      </c>
      <c r="F1246" s="4" t="str">
        <f t="shared" si="114"/>
        <v>2025-01</v>
      </c>
      <c r="G1246" s="18">
        <f t="shared" si="115"/>
        <v>3</v>
      </c>
      <c r="H1246" t="str">
        <f t="shared" si="116"/>
        <v xml:space="preserve">MARCUS VINICIUS </v>
      </c>
      <c r="I1246" t="str">
        <f t="shared" si="117"/>
        <v>PALMILHADO INDUSTRIA E COMERCIO LTDA</v>
      </c>
      <c r="J1246">
        <f t="shared" si="118"/>
        <v>1</v>
      </c>
      <c r="K1246">
        <f t="shared" si="119"/>
        <v>0</v>
      </c>
    </row>
    <row r="1247" spans="1:11" x14ac:dyDescent="0.25">
      <c r="A1247" t="s">
        <v>385</v>
      </c>
      <c r="B1247" t="s">
        <v>132</v>
      </c>
      <c r="C1247" t="s">
        <v>50</v>
      </c>
      <c r="D1247" s="3">
        <v>45675</v>
      </c>
      <c r="E1247" t="str">
        <f>VLOOKUP(B1247,'PROCV GERENTES BD'!A:B,2,0)</f>
        <v xml:space="preserve">MARCUS VINICIUS </v>
      </c>
      <c r="F1247" s="4" t="str">
        <f t="shared" si="114"/>
        <v>2025-01</v>
      </c>
      <c r="G1247" s="18">
        <f t="shared" si="115"/>
        <v>3</v>
      </c>
      <c r="H1247" t="str">
        <f t="shared" si="116"/>
        <v xml:space="preserve">MARCUS VINICIUS </v>
      </c>
      <c r="I1247" t="str">
        <f t="shared" si="117"/>
        <v>RODOANEL REFORMADORA DE IMPLEMENTOS RODOVIARIOS LT</v>
      </c>
      <c r="J1247">
        <f t="shared" si="118"/>
        <v>0</v>
      </c>
      <c r="K1247">
        <f t="shared" si="119"/>
        <v>1</v>
      </c>
    </row>
    <row r="1248" spans="1:11" x14ac:dyDescent="0.25">
      <c r="A1248" t="s">
        <v>375</v>
      </c>
      <c r="B1248" t="s">
        <v>120</v>
      </c>
      <c r="C1248" t="s">
        <v>66</v>
      </c>
      <c r="D1248" s="3">
        <v>45675</v>
      </c>
      <c r="E1248" t="str">
        <f>VLOOKUP(B1248,'PROCV GERENTES BD'!A:B,2,0)</f>
        <v>ADMINISTRAÇÃO</v>
      </c>
      <c r="F1248" s="4" t="str">
        <f t="shared" si="114"/>
        <v>2025-01</v>
      </c>
      <c r="G1248" s="18">
        <f t="shared" si="115"/>
        <v>3</v>
      </c>
      <c r="H1248" t="str">
        <f t="shared" si="116"/>
        <v>ADMINISTRAÇÃO</v>
      </c>
      <c r="I1248" t="str">
        <f t="shared" si="117"/>
        <v>FARINELLI NUTRIMENTOS LTDA</v>
      </c>
      <c r="J1248">
        <f t="shared" si="118"/>
        <v>1</v>
      </c>
      <c r="K1248">
        <f t="shared" si="119"/>
        <v>0</v>
      </c>
    </row>
    <row r="1249" spans="1:11" x14ac:dyDescent="0.25">
      <c r="A1249" t="s">
        <v>419</v>
      </c>
      <c r="B1249" t="s">
        <v>199</v>
      </c>
      <c r="C1249" t="s">
        <v>50</v>
      </c>
      <c r="D1249" s="3">
        <v>45675</v>
      </c>
      <c r="E1249" t="str">
        <f>VLOOKUP(B1249,'PROCV GERENTES BD'!A:B,2,0)</f>
        <v>NOELI SALETE</v>
      </c>
      <c r="F1249" s="4" t="str">
        <f t="shared" si="114"/>
        <v>2025-01</v>
      </c>
      <c r="G1249" s="18">
        <f t="shared" si="115"/>
        <v>3</v>
      </c>
      <c r="H1249" t="str">
        <f t="shared" si="116"/>
        <v>NOELI SALETE</v>
      </c>
      <c r="I1249" t="str">
        <f t="shared" si="117"/>
        <v>GLOBAL ACO SERV PRODUTOS SIDERURGICOS LTDA RECUPER</v>
      </c>
      <c r="J1249">
        <f t="shared" si="118"/>
        <v>0</v>
      </c>
      <c r="K1249">
        <f t="shared" si="119"/>
        <v>1</v>
      </c>
    </row>
    <row r="1250" spans="1:11" x14ac:dyDescent="0.25">
      <c r="A1250" t="s">
        <v>389</v>
      </c>
      <c r="B1250" t="s">
        <v>136</v>
      </c>
      <c r="C1250" t="s">
        <v>66</v>
      </c>
      <c r="D1250" s="3">
        <v>45675</v>
      </c>
      <c r="E1250" t="str">
        <f>VLOOKUP(B1250,'PROCV GERENTES BD'!A:B,2,0)</f>
        <v>POENATELA</v>
      </c>
      <c r="F1250" s="4" t="str">
        <f t="shared" si="114"/>
        <v>2025-01</v>
      </c>
      <c r="G1250" s="18">
        <f t="shared" si="115"/>
        <v>3</v>
      </c>
      <c r="H1250" t="str">
        <f t="shared" si="116"/>
        <v>POENATELA</v>
      </c>
      <c r="I1250" t="str">
        <f t="shared" si="117"/>
        <v>CONQUISTA INDUSTRIA DE MOVEIS S/A</v>
      </c>
      <c r="J1250">
        <f t="shared" si="118"/>
        <v>1</v>
      </c>
      <c r="K1250">
        <f t="shared" si="119"/>
        <v>0</v>
      </c>
    </row>
    <row r="1251" spans="1:11" x14ac:dyDescent="0.25">
      <c r="A1251" t="s">
        <v>346</v>
      </c>
      <c r="B1251" t="s">
        <v>91</v>
      </c>
      <c r="C1251" t="s">
        <v>53</v>
      </c>
      <c r="D1251" s="3">
        <v>45675</v>
      </c>
      <c r="E1251" t="str">
        <f>VLOOKUP(B1251,'PROCV GERENTES BD'!A:B,2,0)</f>
        <v>POENATELA</v>
      </c>
      <c r="F1251" s="4" t="str">
        <f t="shared" si="114"/>
        <v>2025-01</v>
      </c>
      <c r="G1251" s="18">
        <f t="shared" si="115"/>
        <v>3</v>
      </c>
      <c r="H1251" t="str">
        <f t="shared" si="116"/>
        <v>POENATELA</v>
      </c>
      <c r="I1251" t="str">
        <f t="shared" si="117"/>
        <v>UBERTEC SERVICE USINAGEM LTDA EPP</v>
      </c>
      <c r="J1251">
        <f t="shared" si="118"/>
        <v>1</v>
      </c>
      <c r="K1251">
        <f t="shared" si="119"/>
        <v>1</v>
      </c>
    </row>
    <row r="1252" spans="1:11" x14ac:dyDescent="0.25">
      <c r="A1252" t="s">
        <v>448</v>
      </c>
      <c r="B1252" t="s">
        <v>201</v>
      </c>
      <c r="C1252" t="s">
        <v>66</v>
      </c>
      <c r="D1252" s="3">
        <v>45675</v>
      </c>
      <c r="E1252" t="str">
        <f>VLOOKUP(B1252,'PROCV GERENTES BD'!A:B,2,0)</f>
        <v>PRISCILA METZ</v>
      </c>
      <c r="F1252" s="4" t="str">
        <f t="shared" si="114"/>
        <v>2025-01</v>
      </c>
      <c r="G1252" s="18">
        <f t="shared" si="115"/>
        <v>3</v>
      </c>
      <c r="H1252" t="str">
        <f t="shared" si="116"/>
        <v>PRISCILA METZ</v>
      </c>
      <c r="I1252" t="str">
        <f t="shared" si="117"/>
        <v>M TRATORES LTDA EPP</v>
      </c>
      <c r="J1252">
        <f t="shared" si="118"/>
        <v>1</v>
      </c>
      <c r="K1252">
        <f t="shared" si="119"/>
        <v>0</v>
      </c>
    </row>
    <row r="1253" spans="1:11" x14ac:dyDescent="0.25">
      <c r="A1253" t="s">
        <v>434</v>
      </c>
      <c r="B1253" t="s">
        <v>185</v>
      </c>
      <c r="C1253" t="s">
        <v>50</v>
      </c>
      <c r="D1253" s="3">
        <v>45675</v>
      </c>
      <c r="E1253" t="str">
        <f>VLOOKUP(B1253,'PROCV GERENTES BD'!A:B,2,0)</f>
        <v>RAFAEL PARISE</v>
      </c>
      <c r="F1253" s="4" t="str">
        <f t="shared" si="114"/>
        <v>2025-01</v>
      </c>
      <c r="G1253" s="18">
        <f t="shared" si="115"/>
        <v>3</v>
      </c>
      <c r="H1253" t="str">
        <f t="shared" si="116"/>
        <v>RAFAEL PARISE</v>
      </c>
      <c r="I1253" t="str">
        <f t="shared" si="117"/>
        <v>MARCAS COMERCIO LTDA ME</v>
      </c>
      <c r="J1253">
        <f t="shared" si="118"/>
        <v>0</v>
      </c>
      <c r="K1253">
        <f t="shared" si="119"/>
        <v>1</v>
      </c>
    </row>
    <row r="1254" spans="1:11" x14ac:dyDescent="0.25">
      <c r="A1254" t="s">
        <v>326</v>
      </c>
      <c r="B1254" t="s">
        <v>122</v>
      </c>
      <c r="C1254" t="s">
        <v>50</v>
      </c>
      <c r="D1254" s="3">
        <v>45675</v>
      </c>
      <c r="E1254" t="s">
        <v>21</v>
      </c>
      <c r="F1254" s="4" t="str">
        <f t="shared" si="114"/>
        <v>2025-01</v>
      </c>
      <c r="G1254" s="18">
        <f t="shared" si="115"/>
        <v>3</v>
      </c>
      <c r="H1254" t="str">
        <f t="shared" si="116"/>
        <v xml:space="preserve">ROGERIO </v>
      </c>
      <c r="I1254" t="str">
        <f t="shared" si="117"/>
        <v>BIBE PRODUTOS INFANTIS LTDA</v>
      </c>
      <c r="J1254">
        <f t="shared" si="118"/>
        <v>0</v>
      </c>
      <c r="K1254">
        <f t="shared" si="119"/>
        <v>1</v>
      </c>
    </row>
    <row r="1255" spans="1:11" x14ac:dyDescent="0.25">
      <c r="A1255" t="s">
        <v>348</v>
      </c>
      <c r="B1255" t="s">
        <v>93</v>
      </c>
      <c r="C1255" t="s">
        <v>66</v>
      </c>
      <c r="D1255" s="3">
        <v>45675</v>
      </c>
      <c r="E1255" t="str">
        <f>VLOOKUP(B1255,'PROCV GERENTES BD'!A:B,2,0)</f>
        <v>WHELKYA IRIS</v>
      </c>
      <c r="F1255" s="4" t="str">
        <f t="shared" si="114"/>
        <v>2025-01</v>
      </c>
      <c r="G1255" s="18">
        <f t="shared" si="115"/>
        <v>3</v>
      </c>
      <c r="H1255" t="str">
        <f t="shared" si="116"/>
        <v>WHELKYA IRIS</v>
      </c>
      <c r="I1255" t="str">
        <f t="shared" si="117"/>
        <v>DIVINA INDUSTRIA DE COURO LTDA</v>
      </c>
      <c r="J1255">
        <f t="shared" si="118"/>
        <v>1</v>
      </c>
      <c r="K1255">
        <f t="shared" si="119"/>
        <v>0</v>
      </c>
    </row>
    <row r="1256" spans="1:11" x14ac:dyDescent="0.25">
      <c r="A1256" t="s">
        <v>323</v>
      </c>
      <c r="B1256" t="s">
        <v>109</v>
      </c>
      <c r="C1256" t="s">
        <v>66</v>
      </c>
      <c r="D1256" s="3">
        <v>45676</v>
      </c>
      <c r="E1256" t="str">
        <f>VLOOKUP(B1256,'PROCV GERENTES BD'!A:B,2,0)</f>
        <v>PROSPECTAR</v>
      </c>
      <c r="F1256" s="4" t="str">
        <f t="shared" si="114"/>
        <v>2025-01</v>
      </c>
      <c r="G1256" s="18">
        <f t="shared" si="115"/>
        <v>4</v>
      </c>
      <c r="H1256" t="str">
        <f t="shared" si="116"/>
        <v>PROSPECTAR</v>
      </c>
      <c r="I1256" t="str">
        <f t="shared" si="117"/>
        <v>SIAP COMERCIO DE PRODUTOS AGROPECUARIOS LTDA</v>
      </c>
      <c r="J1256">
        <f t="shared" si="118"/>
        <v>1</v>
      </c>
      <c r="K1256">
        <f t="shared" si="119"/>
        <v>0</v>
      </c>
    </row>
    <row r="1257" spans="1:11" x14ac:dyDescent="0.25">
      <c r="A1257" t="s">
        <v>419</v>
      </c>
      <c r="B1257" t="s">
        <v>199</v>
      </c>
      <c r="C1257" t="s">
        <v>53</v>
      </c>
      <c r="D1257" s="3">
        <v>45677</v>
      </c>
      <c r="E1257" t="str">
        <f>VLOOKUP(B1257,'PROCV GERENTES BD'!A:B,2,0)</f>
        <v>NOELI SALETE</v>
      </c>
      <c r="F1257" s="4" t="str">
        <f t="shared" si="114"/>
        <v>2025-01</v>
      </c>
      <c r="G1257" s="18">
        <f t="shared" si="115"/>
        <v>4</v>
      </c>
      <c r="H1257" t="str">
        <f t="shared" si="116"/>
        <v>NOELI SALETE</v>
      </c>
      <c r="I1257" t="str">
        <f t="shared" si="117"/>
        <v>GLOBAL ACO SERV PRODUTOS SIDERURGICOS LTDA RECUPER</v>
      </c>
      <c r="J1257">
        <f t="shared" si="118"/>
        <v>1</v>
      </c>
      <c r="K1257">
        <f t="shared" si="119"/>
        <v>1</v>
      </c>
    </row>
    <row r="1258" spans="1:11" x14ac:dyDescent="0.25">
      <c r="A1258" t="s">
        <v>331</v>
      </c>
      <c r="B1258" t="s">
        <v>144</v>
      </c>
      <c r="C1258" t="s">
        <v>50</v>
      </c>
      <c r="D1258" s="3">
        <v>45678</v>
      </c>
      <c r="E1258" t="str">
        <f>VLOOKUP(B1258,'PROCV GERENTES BD'!A:B,2,0)</f>
        <v>ADMINISTRAÇÃO</v>
      </c>
      <c r="F1258" s="4" t="str">
        <f t="shared" si="114"/>
        <v>2025-01</v>
      </c>
      <c r="G1258" s="18">
        <f t="shared" si="115"/>
        <v>4</v>
      </c>
      <c r="H1258" t="str">
        <f t="shared" si="116"/>
        <v>ADMINISTRAÇÃO</v>
      </c>
      <c r="I1258" t="str">
        <f t="shared" si="117"/>
        <v>BOM PASTOR PAPEIS LTDA EM RECUPERACAO JUDICIAL</v>
      </c>
      <c r="J1258">
        <f t="shared" si="118"/>
        <v>0</v>
      </c>
      <c r="K1258">
        <f t="shared" si="119"/>
        <v>1</v>
      </c>
    </row>
    <row r="1259" spans="1:11" x14ac:dyDescent="0.25">
      <c r="A1259" t="s">
        <v>304</v>
      </c>
      <c r="B1259" t="s">
        <v>123</v>
      </c>
      <c r="C1259" t="s">
        <v>66</v>
      </c>
      <c r="D1259" s="3">
        <v>45678</v>
      </c>
      <c r="E1259" t="str">
        <f>VLOOKUP(B1259,'PROCV GERENTES BD'!A:B,2,0)</f>
        <v>ADMINISTRAÇÃO</v>
      </c>
      <c r="F1259" s="4" t="str">
        <f t="shared" si="114"/>
        <v>2025-01</v>
      </c>
      <c r="G1259" s="18">
        <f t="shared" si="115"/>
        <v>4</v>
      </c>
      <c r="H1259" t="str">
        <f t="shared" si="116"/>
        <v>ADMINISTRAÇÃO</v>
      </c>
      <c r="I1259" t="str">
        <f t="shared" si="117"/>
        <v>VIC LOGISTICA LTDA EM RECUPERACAO JUDICIAL</v>
      </c>
      <c r="J1259">
        <f t="shared" si="118"/>
        <v>1</v>
      </c>
      <c r="K1259">
        <f t="shared" si="119"/>
        <v>0</v>
      </c>
    </row>
    <row r="1260" spans="1:11" x14ac:dyDescent="0.25">
      <c r="A1260" t="s">
        <v>442</v>
      </c>
      <c r="B1260" t="s">
        <v>193</v>
      </c>
      <c r="C1260" t="s">
        <v>50</v>
      </c>
      <c r="D1260" s="3">
        <v>45678</v>
      </c>
      <c r="E1260" t="str">
        <f>VLOOKUP(B1260,'PROCV GERENTES BD'!A:B,2,0)</f>
        <v>CELIO PIMENTA</v>
      </c>
      <c r="F1260" s="4" t="str">
        <f t="shared" si="114"/>
        <v>2025-01</v>
      </c>
      <c r="G1260" s="18">
        <f t="shared" si="115"/>
        <v>4</v>
      </c>
      <c r="H1260" t="str">
        <f t="shared" si="116"/>
        <v>CELIO PIMENTA</v>
      </c>
      <c r="I1260" t="str">
        <f t="shared" si="117"/>
        <v>CIA TEXTIL LTDA ME</v>
      </c>
      <c r="J1260">
        <f t="shared" si="118"/>
        <v>0</v>
      </c>
      <c r="K1260">
        <f t="shared" si="119"/>
        <v>1</v>
      </c>
    </row>
    <row r="1261" spans="1:11" x14ac:dyDescent="0.25">
      <c r="A1261" t="s">
        <v>319</v>
      </c>
      <c r="B1261" t="s">
        <v>80</v>
      </c>
      <c r="C1261" t="s">
        <v>50</v>
      </c>
      <c r="D1261" s="3">
        <v>45678</v>
      </c>
      <c r="E1261" t="str">
        <f>VLOOKUP(B1261,'PROCV GERENTES BD'!A:B,2,0)</f>
        <v>CELIO PIMENTA</v>
      </c>
      <c r="F1261" s="4" t="str">
        <f t="shared" si="114"/>
        <v>2025-01</v>
      </c>
      <c r="G1261" s="18">
        <f t="shared" si="115"/>
        <v>4</v>
      </c>
      <c r="H1261" t="str">
        <f t="shared" si="116"/>
        <v>CELIO PIMENTA</v>
      </c>
      <c r="I1261" t="str">
        <f t="shared" si="117"/>
        <v>IMPORTEXTIL COMERCIO DE TECIDOS LTDA</v>
      </c>
      <c r="J1261">
        <f t="shared" si="118"/>
        <v>0</v>
      </c>
      <c r="K1261">
        <f t="shared" si="119"/>
        <v>1</v>
      </c>
    </row>
    <row r="1262" spans="1:11" x14ac:dyDescent="0.25">
      <c r="A1262" t="s">
        <v>54</v>
      </c>
      <c r="B1262" t="s">
        <v>55</v>
      </c>
      <c r="C1262" t="s">
        <v>50</v>
      </c>
      <c r="D1262" s="3">
        <v>45678</v>
      </c>
      <c r="E1262" t="str">
        <f>VLOOKUP(B1262,'PROCV GERENTES BD'!A:B,2,0)</f>
        <v>CELIO PIMENTA</v>
      </c>
      <c r="F1262" s="4" t="str">
        <f t="shared" si="114"/>
        <v>2025-01</v>
      </c>
      <c r="G1262" s="18">
        <f t="shared" si="115"/>
        <v>4</v>
      </c>
      <c r="H1262" t="str">
        <f t="shared" si="116"/>
        <v>CELIO PIMENTA</v>
      </c>
      <c r="I1262" t="str">
        <f t="shared" si="117"/>
        <v>WJ CALDEIRARIA INDUSTRIA E COMERCIO LTDA ME</v>
      </c>
      <c r="J1262">
        <f t="shared" si="118"/>
        <v>0</v>
      </c>
      <c r="K1262">
        <f t="shared" si="119"/>
        <v>1</v>
      </c>
    </row>
    <row r="1263" spans="1:11" x14ac:dyDescent="0.25">
      <c r="A1263" t="s">
        <v>358</v>
      </c>
      <c r="B1263" t="s">
        <v>104</v>
      </c>
      <c r="C1263" t="s">
        <v>50</v>
      </c>
      <c r="D1263" s="3">
        <v>45678</v>
      </c>
      <c r="E1263" t="str">
        <f>VLOOKUP(B1263,'PROCV GERENTES BD'!A:B,2,0)</f>
        <v>DIOGO AZEVEDO</v>
      </c>
      <c r="F1263" s="4" t="str">
        <f t="shared" si="114"/>
        <v>2025-01</v>
      </c>
      <c r="G1263" s="18">
        <f t="shared" si="115"/>
        <v>4</v>
      </c>
      <c r="H1263" t="str">
        <f t="shared" si="116"/>
        <v>DIOGO AZEVEDO</v>
      </c>
      <c r="I1263" t="str">
        <f t="shared" si="117"/>
        <v>INDUSTRIA E CERVEJARIA ARTESANAL DE MINAS GERAIS L</v>
      </c>
      <c r="J1263">
        <f t="shared" si="118"/>
        <v>0</v>
      </c>
      <c r="K1263">
        <f t="shared" si="119"/>
        <v>1</v>
      </c>
    </row>
    <row r="1264" spans="1:11" x14ac:dyDescent="0.25">
      <c r="A1264" t="s">
        <v>377</v>
      </c>
      <c r="B1264" t="s">
        <v>124</v>
      </c>
      <c r="C1264" t="s">
        <v>50</v>
      </c>
      <c r="D1264" s="3">
        <v>45678</v>
      </c>
      <c r="E1264" t="str">
        <f>VLOOKUP(B1264,'PROCV GERENTES BD'!A:B,2,0)</f>
        <v>EDUARDO MATOSO</v>
      </c>
      <c r="F1264" s="4" t="str">
        <f t="shared" si="114"/>
        <v>2025-01</v>
      </c>
      <c r="G1264" s="18">
        <f t="shared" si="115"/>
        <v>4</v>
      </c>
      <c r="H1264" t="str">
        <f t="shared" si="116"/>
        <v>EDUARDO MATOSO</v>
      </c>
      <c r="I1264" t="str">
        <f t="shared" si="117"/>
        <v>STONE ENGENHARIA E MONTAGENS INDUSTRIAIS LTDA</v>
      </c>
      <c r="J1264">
        <f t="shared" si="118"/>
        <v>0</v>
      </c>
      <c r="K1264">
        <f t="shared" si="119"/>
        <v>1</v>
      </c>
    </row>
    <row r="1265" spans="1:11" x14ac:dyDescent="0.25">
      <c r="A1265" t="s">
        <v>443</v>
      </c>
      <c r="B1265" t="s">
        <v>194</v>
      </c>
      <c r="C1265" t="s">
        <v>50</v>
      </c>
      <c r="D1265" s="3">
        <v>45678</v>
      </c>
      <c r="E1265" t="str">
        <f>VLOOKUP(B1265,'PROCV GERENTES BD'!A:B,2,0)</f>
        <v>PROSPECTAR</v>
      </c>
      <c r="F1265" s="4" t="str">
        <f t="shared" si="114"/>
        <v>2025-01</v>
      </c>
      <c r="G1265" s="18">
        <f t="shared" si="115"/>
        <v>4</v>
      </c>
      <c r="H1265" t="str">
        <f t="shared" si="116"/>
        <v>PROSPECTAR</v>
      </c>
      <c r="I1265" t="str">
        <f t="shared" si="117"/>
        <v>ALPLAST ATACADISTA E APOIO ADMINISTRATIVO LTDA EPP</v>
      </c>
      <c r="J1265">
        <f t="shared" si="118"/>
        <v>0</v>
      </c>
      <c r="K1265">
        <f t="shared" si="119"/>
        <v>1</v>
      </c>
    </row>
    <row r="1266" spans="1:11" x14ac:dyDescent="0.25">
      <c r="A1266" t="s">
        <v>324</v>
      </c>
      <c r="B1266" t="s">
        <v>119</v>
      </c>
      <c r="C1266" t="s">
        <v>66</v>
      </c>
      <c r="D1266" s="3">
        <v>45678</v>
      </c>
      <c r="E1266" t="str">
        <f>VLOOKUP(B1266,'PROCV GERENTES BD'!A:B,2,0)</f>
        <v>PROSPECTAR</v>
      </c>
      <c r="F1266" s="4" t="str">
        <f t="shared" si="114"/>
        <v>2025-01</v>
      </c>
      <c r="G1266" s="18">
        <f t="shared" si="115"/>
        <v>4</v>
      </c>
      <c r="H1266" t="str">
        <f t="shared" si="116"/>
        <v>PROSPECTAR</v>
      </c>
      <c r="I1266" t="str">
        <f t="shared" si="117"/>
        <v>TRANSHENRY TRANSPORTES LTDA</v>
      </c>
      <c r="J1266">
        <f t="shared" si="118"/>
        <v>1</v>
      </c>
      <c r="K1266">
        <f t="shared" si="119"/>
        <v>0</v>
      </c>
    </row>
    <row r="1267" spans="1:11" x14ac:dyDescent="0.25">
      <c r="A1267" t="s">
        <v>395</v>
      </c>
      <c r="B1267" t="s">
        <v>145</v>
      </c>
      <c r="C1267" t="s">
        <v>50</v>
      </c>
      <c r="D1267" s="3">
        <v>45678</v>
      </c>
      <c r="E1267" t="str">
        <f>VLOOKUP(B1267,'PROCV GERENTES BD'!A:B,2,0)</f>
        <v>MARCIO LEONEL</v>
      </c>
      <c r="F1267" s="4" t="str">
        <f t="shared" si="114"/>
        <v>2025-01</v>
      </c>
      <c r="G1267" s="18">
        <f t="shared" si="115"/>
        <v>4</v>
      </c>
      <c r="H1267" t="str">
        <f t="shared" si="116"/>
        <v>MARCIO LEONEL</v>
      </c>
      <c r="I1267" t="str">
        <f t="shared" si="117"/>
        <v>MEDICAL PRIME IMP EXPORT DISTRIB PRODUTOS MEDICOS</v>
      </c>
      <c r="J1267">
        <f t="shared" si="118"/>
        <v>0</v>
      </c>
      <c r="K1267">
        <f t="shared" si="119"/>
        <v>1</v>
      </c>
    </row>
    <row r="1268" spans="1:11" x14ac:dyDescent="0.25">
      <c r="A1268" t="s">
        <v>320</v>
      </c>
      <c r="B1268" t="s">
        <v>205</v>
      </c>
      <c r="C1268" t="s">
        <v>66</v>
      </c>
      <c r="D1268" s="3">
        <v>45678</v>
      </c>
      <c r="E1268" t="str">
        <f>VLOOKUP(B1268,'PROCV GERENTES BD'!A:B,2,0)</f>
        <v xml:space="preserve">MARCUS VINICIUS </v>
      </c>
      <c r="F1268" s="4" t="str">
        <f t="shared" si="114"/>
        <v>2025-01</v>
      </c>
      <c r="G1268" s="18">
        <f t="shared" si="115"/>
        <v>4</v>
      </c>
      <c r="H1268" t="str">
        <f t="shared" si="116"/>
        <v xml:space="preserve">MARCUS VINICIUS </v>
      </c>
      <c r="I1268" t="str">
        <f t="shared" si="117"/>
        <v>COMERCIAL GODINHO FERREIRA LTDA</v>
      </c>
      <c r="J1268">
        <f t="shared" si="118"/>
        <v>1</v>
      </c>
      <c r="K1268">
        <f t="shared" si="119"/>
        <v>0</v>
      </c>
    </row>
    <row r="1269" spans="1:11" x14ac:dyDescent="0.25">
      <c r="A1269" t="s">
        <v>369</v>
      </c>
      <c r="B1269" t="s">
        <v>113</v>
      </c>
      <c r="C1269" t="s">
        <v>50</v>
      </c>
      <c r="D1269" s="3">
        <v>45678</v>
      </c>
      <c r="E1269" t="str">
        <f>VLOOKUP(B1269,'PROCV GERENTES BD'!A:B,2,0)</f>
        <v xml:space="preserve">MARCUS VINICIUS </v>
      </c>
      <c r="F1269" s="4" t="str">
        <f t="shared" si="114"/>
        <v>2025-01</v>
      </c>
      <c r="G1269" s="18">
        <f t="shared" si="115"/>
        <v>4</v>
      </c>
      <c r="H1269" t="str">
        <f t="shared" si="116"/>
        <v xml:space="preserve">MARCUS VINICIUS </v>
      </c>
      <c r="I1269" t="str">
        <f t="shared" si="117"/>
        <v>ISOBASE POLIESTIRENO LTDA EPP</v>
      </c>
      <c r="J1269">
        <f t="shared" si="118"/>
        <v>0</v>
      </c>
      <c r="K1269">
        <f t="shared" si="119"/>
        <v>1</v>
      </c>
    </row>
    <row r="1270" spans="1:11" x14ac:dyDescent="0.25">
      <c r="A1270" t="s">
        <v>428</v>
      </c>
      <c r="B1270" t="s">
        <v>179</v>
      </c>
      <c r="C1270" t="s">
        <v>50</v>
      </c>
      <c r="D1270" s="3">
        <v>45678</v>
      </c>
      <c r="E1270" t="str">
        <f>VLOOKUP(B1270,'PROCV GERENTES BD'!A:B,2,0)</f>
        <v xml:space="preserve">MARCUS VINICIUS </v>
      </c>
      <c r="F1270" s="4" t="str">
        <f t="shared" si="114"/>
        <v>2025-01</v>
      </c>
      <c r="G1270" s="18">
        <f t="shared" si="115"/>
        <v>4</v>
      </c>
      <c r="H1270" t="str">
        <f t="shared" si="116"/>
        <v xml:space="preserve">MARCUS VINICIUS </v>
      </c>
      <c r="I1270" t="str">
        <f t="shared" si="117"/>
        <v>LABOR ELETRIC INDUSTRIA E COMERCIO UNIPESSOAL LTDA</v>
      </c>
      <c r="J1270">
        <f t="shared" si="118"/>
        <v>0</v>
      </c>
      <c r="K1270">
        <f t="shared" si="119"/>
        <v>1</v>
      </c>
    </row>
    <row r="1271" spans="1:11" x14ac:dyDescent="0.25">
      <c r="A1271" t="s">
        <v>384</v>
      </c>
      <c r="B1271" t="s">
        <v>131</v>
      </c>
      <c r="C1271" t="s">
        <v>66</v>
      </c>
      <c r="D1271" s="3">
        <v>45678</v>
      </c>
      <c r="E1271" t="str">
        <f>VLOOKUP(B1271,'PROCV GERENTES BD'!A:B,2,0)</f>
        <v xml:space="preserve">MARCUS VINICIUS </v>
      </c>
      <c r="F1271" s="4" t="str">
        <f t="shared" si="114"/>
        <v>2025-01</v>
      </c>
      <c r="G1271" s="18">
        <f t="shared" si="115"/>
        <v>4</v>
      </c>
      <c r="H1271" t="str">
        <f t="shared" si="116"/>
        <v xml:space="preserve">MARCUS VINICIUS </v>
      </c>
      <c r="I1271" t="str">
        <f t="shared" si="117"/>
        <v>PALMILHADO INDUSTRIA E COMERCIO LTDA</v>
      </c>
      <c r="J1271">
        <f t="shared" si="118"/>
        <v>1</v>
      </c>
      <c r="K1271">
        <f t="shared" si="119"/>
        <v>0</v>
      </c>
    </row>
    <row r="1272" spans="1:11" x14ac:dyDescent="0.25">
      <c r="A1272" t="s">
        <v>385</v>
      </c>
      <c r="B1272" t="s">
        <v>132</v>
      </c>
      <c r="C1272" t="s">
        <v>50</v>
      </c>
      <c r="D1272" s="3">
        <v>45678</v>
      </c>
      <c r="E1272" t="str">
        <f>VLOOKUP(B1272,'PROCV GERENTES BD'!A:B,2,0)</f>
        <v xml:space="preserve">MARCUS VINICIUS </v>
      </c>
      <c r="F1272" s="4" t="str">
        <f t="shared" si="114"/>
        <v>2025-01</v>
      </c>
      <c r="G1272" s="18">
        <f t="shared" si="115"/>
        <v>4</v>
      </c>
      <c r="H1272" t="str">
        <f t="shared" si="116"/>
        <v xml:space="preserve">MARCUS VINICIUS </v>
      </c>
      <c r="I1272" t="str">
        <f t="shared" si="117"/>
        <v>RODOANEL REFORMADORA DE IMPLEMENTOS RODOVIARIOS LT</v>
      </c>
      <c r="J1272">
        <f t="shared" si="118"/>
        <v>0</v>
      </c>
      <c r="K1272">
        <f t="shared" si="119"/>
        <v>1</v>
      </c>
    </row>
    <row r="1273" spans="1:11" x14ac:dyDescent="0.25">
      <c r="A1273" t="s">
        <v>422</v>
      </c>
      <c r="B1273" t="s">
        <v>173</v>
      </c>
      <c r="C1273" t="s">
        <v>66</v>
      </c>
      <c r="D1273" s="3">
        <v>45678</v>
      </c>
      <c r="E1273" t="str">
        <f>VLOOKUP(B1273,'PROCV GERENTES BD'!A:B,2,0)</f>
        <v>NOELI SALETE</v>
      </c>
      <c r="F1273" s="4" t="str">
        <f t="shared" si="114"/>
        <v>2025-01</v>
      </c>
      <c r="G1273" s="18">
        <f t="shared" si="115"/>
        <v>4</v>
      </c>
      <c r="H1273" t="str">
        <f t="shared" si="116"/>
        <v>NOELI SALETE</v>
      </c>
      <c r="I1273" t="str">
        <f t="shared" si="117"/>
        <v>COMGROUP AGROINDUSTRIAL LTDA</v>
      </c>
      <c r="J1273">
        <f t="shared" si="118"/>
        <v>1</v>
      </c>
      <c r="K1273">
        <f t="shared" si="119"/>
        <v>0</v>
      </c>
    </row>
    <row r="1274" spans="1:11" x14ac:dyDescent="0.25">
      <c r="A1274" t="s">
        <v>339</v>
      </c>
      <c r="B1274" t="s">
        <v>87</v>
      </c>
      <c r="C1274" t="s">
        <v>50</v>
      </c>
      <c r="D1274" s="3">
        <v>45678</v>
      </c>
      <c r="E1274" t="str">
        <f>VLOOKUP(B1274,'PROCV GERENTES BD'!A:B,2,0)</f>
        <v>NOELI SALETE</v>
      </c>
      <c r="F1274" s="4" t="str">
        <f t="shared" si="114"/>
        <v>2025-01</v>
      </c>
      <c r="G1274" s="18">
        <f t="shared" si="115"/>
        <v>4</v>
      </c>
      <c r="H1274" t="str">
        <f t="shared" si="116"/>
        <v>NOELI SALETE</v>
      </c>
      <c r="I1274" t="str">
        <f t="shared" si="117"/>
        <v>RODOBOX TRANSPORTES E ARMAZENAGEM DE CARGAS LTDA</v>
      </c>
      <c r="J1274">
        <f t="shared" si="118"/>
        <v>0</v>
      </c>
      <c r="K1274">
        <f t="shared" si="119"/>
        <v>1</v>
      </c>
    </row>
    <row r="1275" spans="1:11" x14ac:dyDescent="0.25">
      <c r="A1275" t="s">
        <v>339</v>
      </c>
      <c r="B1275" t="s">
        <v>87</v>
      </c>
      <c r="C1275" t="s">
        <v>50</v>
      </c>
      <c r="D1275" s="3">
        <v>45678</v>
      </c>
      <c r="E1275" t="str">
        <f>VLOOKUP(B1275,'PROCV GERENTES BD'!A:B,2,0)</f>
        <v>NOELI SALETE</v>
      </c>
      <c r="F1275" s="4" t="str">
        <f t="shared" si="114"/>
        <v>2025-01</v>
      </c>
      <c r="G1275" s="18">
        <f t="shared" si="115"/>
        <v>4</v>
      </c>
      <c r="H1275" t="str">
        <f t="shared" si="116"/>
        <v>NOELI SALETE</v>
      </c>
      <c r="I1275" t="str">
        <f t="shared" si="117"/>
        <v>RODOBOX TRANSPORTES E ARMAZENAGEM DE CARGAS LTDA</v>
      </c>
      <c r="J1275">
        <f t="shared" si="118"/>
        <v>0</v>
      </c>
      <c r="K1275">
        <f t="shared" si="119"/>
        <v>1</v>
      </c>
    </row>
    <row r="1276" spans="1:11" x14ac:dyDescent="0.25">
      <c r="A1276" t="s">
        <v>438</v>
      </c>
      <c r="B1276" t="s">
        <v>189</v>
      </c>
      <c r="C1276" t="s">
        <v>50</v>
      </c>
      <c r="D1276" s="3">
        <v>45678</v>
      </c>
      <c r="E1276" t="str">
        <f>VLOOKUP(B1276,'PROCV GERENTES BD'!A:B,2,0)</f>
        <v>NOELI SALETE</v>
      </c>
      <c r="F1276" s="4" t="str">
        <f t="shared" si="114"/>
        <v>2025-01</v>
      </c>
      <c r="G1276" s="18">
        <f t="shared" si="115"/>
        <v>4</v>
      </c>
      <c r="H1276" t="str">
        <f t="shared" si="116"/>
        <v>NOELI SALETE</v>
      </c>
      <c r="I1276" t="str">
        <f t="shared" si="117"/>
        <v>AGRO INDUSTRIAL LAZZERI LTDA</v>
      </c>
      <c r="J1276">
        <f t="shared" si="118"/>
        <v>0</v>
      </c>
      <c r="K1276">
        <f t="shared" si="119"/>
        <v>1</v>
      </c>
    </row>
    <row r="1277" spans="1:11" x14ac:dyDescent="0.25">
      <c r="A1277" t="s">
        <v>389</v>
      </c>
      <c r="B1277" t="s">
        <v>136</v>
      </c>
      <c r="C1277" t="s">
        <v>66</v>
      </c>
      <c r="D1277" s="3">
        <v>45678</v>
      </c>
      <c r="E1277" t="str">
        <f>VLOOKUP(B1277,'PROCV GERENTES BD'!A:B,2,0)</f>
        <v>POENATELA</v>
      </c>
      <c r="F1277" s="4" t="str">
        <f t="shared" si="114"/>
        <v>2025-01</v>
      </c>
      <c r="G1277" s="18">
        <f t="shared" si="115"/>
        <v>4</v>
      </c>
      <c r="H1277" t="str">
        <f t="shared" si="116"/>
        <v>POENATELA</v>
      </c>
      <c r="I1277" t="str">
        <f t="shared" si="117"/>
        <v>CONQUISTA INDUSTRIA DE MOVEIS S/A</v>
      </c>
      <c r="J1277">
        <f t="shared" si="118"/>
        <v>1</v>
      </c>
      <c r="K1277">
        <f t="shared" si="119"/>
        <v>0</v>
      </c>
    </row>
    <row r="1278" spans="1:11" x14ac:dyDescent="0.25">
      <c r="A1278" t="s">
        <v>417</v>
      </c>
      <c r="B1278" t="s">
        <v>167</v>
      </c>
      <c r="C1278" t="s">
        <v>50</v>
      </c>
      <c r="D1278" s="3">
        <v>45678</v>
      </c>
      <c r="E1278" t="str">
        <f>VLOOKUP(B1278,'PROCV GERENTES BD'!A:B,2,0)</f>
        <v>POENATELA</v>
      </c>
      <c r="F1278" s="4" t="str">
        <f t="shared" si="114"/>
        <v>2025-01</v>
      </c>
      <c r="G1278" s="18">
        <f t="shared" si="115"/>
        <v>4</v>
      </c>
      <c r="H1278" t="str">
        <f t="shared" si="116"/>
        <v>POENATELA</v>
      </c>
      <c r="I1278" t="str">
        <f t="shared" si="117"/>
        <v>DETRONIC ENERGIA E SERVICOS LTDA</v>
      </c>
      <c r="J1278">
        <f t="shared" si="118"/>
        <v>0</v>
      </c>
      <c r="K1278">
        <f t="shared" si="119"/>
        <v>1</v>
      </c>
    </row>
    <row r="1279" spans="1:11" x14ac:dyDescent="0.25">
      <c r="A1279" t="s">
        <v>346</v>
      </c>
      <c r="B1279" t="s">
        <v>91</v>
      </c>
      <c r="C1279" t="s">
        <v>50</v>
      </c>
      <c r="D1279" s="3">
        <v>45678</v>
      </c>
      <c r="E1279" t="str">
        <f>VLOOKUP(B1279,'PROCV GERENTES BD'!A:B,2,0)</f>
        <v>POENATELA</v>
      </c>
      <c r="F1279" s="4" t="str">
        <f t="shared" si="114"/>
        <v>2025-01</v>
      </c>
      <c r="G1279" s="18">
        <f t="shared" si="115"/>
        <v>4</v>
      </c>
      <c r="H1279" t="str">
        <f t="shared" si="116"/>
        <v>POENATELA</v>
      </c>
      <c r="I1279" t="str">
        <f t="shared" si="117"/>
        <v>UBERTEC SERVICE USINAGEM LTDA EPP</v>
      </c>
      <c r="J1279">
        <f t="shared" si="118"/>
        <v>0</v>
      </c>
      <c r="K1279">
        <f t="shared" si="119"/>
        <v>1</v>
      </c>
    </row>
    <row r="1280" spans="1:11" x14ac:dyDescent="0.25">
      <c r="A1280" t="s">
        <v>390</v>
      </c>
      <c r="B1280" t="s">
        <v>137</v>
      </c>
      <c r="C1280" t="s">
        <v>50</v>
      </c>
      <c r="D1280" s="3">
        <v>45678</v>
      </c>
      <c r="E1280" t="str">
        <f>VLOOKUP(B1280,'PROCV GERENTES BD'!A:B,2,0)</f>
        <v>PRISCILA METZ</v>
      </c>
      <c r="F1280" s="4" t="str">
        <f t="shared" si="114"/>
        <v>2025-01</v>
      </c>
      <c r="G1280" s="18">
        <f t="shared" si="115"/>
        <v>4</v>
      </c>
      <c r="H1280" t="str">
        <f t="shared" si="116"/>
        <v>PRISCILA METZ</v>
      </c>
      <c r="I1280" t="str">
        <f t="shared" si="117"/>
        <v>VLF IMPERIAL LATICINIOS LTDA ME</v>
      </c>
      <c r="J1280">
        <f t="shared" si="118"/>
        <v>0</v>
      </c>
      <c r="K1280">
        <f t="shared" si="119"/>
        <v>1</v>
      </c>
    </row>
    <row r="1281" spans="1:11" x14ac:dyDescent="0.25">
      <c r="A1281" t="s">
        <v>434</v>
      </c>
      <c r="B1281" t="s">
        <v>185</v>
      </c>
      <c r="C1281" t="s">
        <v>50</v>
      </c>
      <c r="D1281" s="3">
        <v>45678</v>
      </c>
      <c r="E1281" t="str">
        <f>VLOOKUP(B1281,'PROCV GERENTES BD'!A:B,2,0)</f>
        <v>RAFAEL PARISE</v>
      </c>
      <c r="F1281" s="4" t="str">
        <f t="shared" si="114"/>
        <v>2025-01</v>
      </c>
      <c r="G1281" s="18">
        <f t="shared" si="115"/>
        <v>4</v>
      </c>
      <c r="H1281" t="str">
        <f t="shared" si="116"/>
        <v>RAFAEL PARISE</v>
      </c>
      <c r="I1281" t="str">
        <f t="shared" si="117"/>
        <v>MARCAS COMERCIO LTDA ME</v>
      </c>
      <c r="J1281">
        <f t="shared" si="118"/>
        <v>0</v>
      </c>
      <c r="K1281">
        <f t="shared" si="119"/>
        <v>1</v>
      </c>
    </row>
    <row r="1282" spans="1:11" x14ac:dyDescent="0.25">
      <c r="A1282" t="s">
        <v>429</v>
      </c>
      <c r="B1282" t="s">
        <v>180</v>
      </c>
      <c r="C1282" t="s">
        <v>66</v>
      </c>
      <c r="D1282" s="3">
        <v>45678</v>
      </c>
      <c r="E1282" t="s">
        <v>21</v>
      </c>
      <c r="F1282" s="4" t="str">
        <f t="shared" ref="F1282:F1345" si="120">YEAR(D1282)&amp;"-"&amp;TEXT(MONTH(D1282),"00")</f>
        <v>2025-01</v>
      </c>
      <c r="G1282" s="18">
        <f t="shared" ref="G1282:G1345" si="121">WEEKNUM(D1282)</f>
        <v>4</v>
      </c>
      <c r="H1282" t="str">
        <f t="shared" ref="H1282:H1345" si="122">E1282</f>
        <v xml:space="preserve">ROGERIO </v>
      </c>
      <c r="I1282" t="str">
        <f t="shared" ref="I1282:I1345" si="123">B1282</f>
        <v>ENCADESP LTDA ME</v>
      </c>
      <c r="J1282">
        <f t="shared" ref="J1282:J1345" si="124">IF(OR(C1282="EXCLUSAO  ANOT.INADIMPLENCIA",C1282="INCL/EXCL ANOT.INADIMPLENCIA"),1,0)</f>
        <v>1</v>
      </c>
      <c r="K1282">
        <f t="shared" ref="K1282:K1345" si="125">IF(OR(C1282="INCLUSAO  ANOT.INADIMPLENCIA",C1282="INCL/EXCL ANOT.INADIMPLENCIA"),1,0)</f>
        <v>0</v>
      </c>
    </row>
    <row r="1283" spans="1:11" x14ac:dyDescent="0.25">
      <c r="A1283" t="s">
        <v>437</v>
      </c>
      <c r="B1283" t="s">
        <v>188</v>
      </c>
      <c r="C1283" t="s">
        <v>50</v>
      </c>
      <c r="D1283" s="3">
        <v>45678</v>
      </c>
      <c r="E1283" t="s">
        <v>21</v>
      </c>
      <c r="F1283" s="4" t="str">
        <f t="shared" si="120"/>
        <v>2025-01</v>
      </c>
      <c r="G1283" s="18">
        <f t="shared" si="121"/>
        <v>4</v>
      </c>
      <c r="H1283" t="str">
        <f t="shared" si="122"/>
        <v xml:space="preserve">ROGERIO </v>
      </c>
      <c r="I1283" t="str">
        <f t="shared" si="123"/>
        <v>OFFICER INDUSTRIA QUIMICA LTDA EPP</v>
      </c>
      <c r="J1283">
        <f t="shared" si="124"/>
        <v>0</v>
      </c>
      <c r="K1283">
        <f t="shared" si="125"/>
        <v>1</v>
      </c>
    </row>
    <row r="1284" spans="1:11" x14ac:dyDescent="0.25">
      <c r="A1284" t="s">
        <v>314</v>
      </c>
      <c r="B1284" t="s">
        <v>98</v>
      </c>
      <c r="C1284" t="s">
        <v>50</v>
      </c>
      <c r="D1284" s="3">
        <v>45678</v>
      </c>
      <c r="E1284" t="str">
        <f>VLOOKUP(B1284,'PROCV GERENTES BD'!A:B,2,0)</f>
        <v xml:space="preserve">ROGERIO </v>
      </c>
      <c r="F1284" s="4" t="str">
        <f t="shared" si="120"/>
        <v>2025-01</v>
      </c>
      <c r="G1284" s="18">
        <f t="shared" si="121"/>
        <v>4</v>
      </c>
      <c r="H1284" t="str">
        <f t="shared" si="122"/>
        <v xml:space="preserve">ROGERIO </v>
      </c>
      <c r="I1284" t="str">
        <f t="shared" si="123"/>
        <v>MUTCD CENTRO DISTRIBUICAO IND FABRICANTE COSMETICO</v>
      </c>
      <c r="J1284">
        <f t="shared" si="124"/>
        <v>0</v>
      </c>
      <c r="K1284">
        <f t="shared" si="125"/>
        <v>1</v>
      </c>
    </row>
    <row r="1285" spans="1:11" x14ac:dyDescent="0.25">
      <c r="A1285" t="s">
        <v>331</v>
      </c>
      <c r="B1285" t="s">
        <v>144</v>
      </c>
      <c r="C1285" t="s">
        <v>50</v>
      </c>
      <c r="D1285" s="3">
        <v>45679</v>
      </c>
      <c r="E1285" t="str">
        <f>VLOOKUP(B1285,'PROCV GERENTES BD'!A:B,2,0)</f>
        <v>ADMINISTRAÇÃO</v>
      </c>
      <c r="F1285" s="4" t="str">
        <f t="shared" si="120"/>
        <v>2025-01</v>
      </c>
      <c r="G1285" s="18">
        <f t="shared" si="121"/>
        <v>4</v>
      </c>
      <c r="H1285" t="str">
        <f t="shared" si="122"/>
        <v>ADMINISTRAÇÃO</v>
      </c>
      <c r="I1285" t="str">
        <f t="shared" si="123"/>
        <v>BOM PASTOR PAPEIS LTDA EM RECUPERACAO JUDICIAL</v>
      </c>
      <c r="J1285">
        <f t="shared" si="124"/>
        <v>0</v>
      </c>
      <c r="K1285">
        <f t="shared" si="125"/>
        <v>1</v>
      </c>
    </row>
    <row r="1286" spans="1:11" x14ac:dyDescent="0.25">
      <c r="A1286" t="s">
        <v>427</v>
      </c>
      <c r="B1286" t="s">
        <v>178</v>
      </c>
      <c r="C1286" t="s">
        <v>327</v>
      </c>
      <c r="D1286" s="3">
        <v>45679</v>
      </c>
      <c r="E1286" t="str">
        <f>VLOOKUP(B1286,'PROCV GERENTES BD'!A:B,2,0)</f>
        <v>ADMINISTRAÇÃO</v>
      </c>
      <c r="F1286" s="4" t="str">
        <f t="shared" si="120"/>
        <v>2025-01</v>
      </c>
      <c r="G1286" s="18">
        <f t="shared" si="121"/>
        <v>4</v>
      </c>
      <c r="H1286" t="str">
        <f t="shared" si="122"/>
        <v>ADMINISTRAÇÃO</v>
      </c>
      <c r="I1286" t="str">
        <f t="shared" si="123"/>
        <v>LIZZENA COSMETICOS LTDA EPP</v>
      </c>
      <c r="J1286">
        <f t="shared" si="124"/>
        <v>0</v>
      </c>
      <c r="K1286">
        <f t="shared" si="125"/>
        <v>0</v>
      </c>
    </row>
    <row r="1287" spans="1:11" x14ac:dyDescent="0.25">
      <c r="A1287" t="s">
        <v>427</v>
      </c>
      <c r="B1287" t="s">
        <v>178</v>
      </c>
      <c r="C1287" t="s">
        <v>329</v>
      </c>
      <c r="D1287" s="3">
        <v>45679</v>
      </c>
      <c r="E1287" t="str">
        <f>VLOOKUP(B1287,'PROCV GERENTES BD'!A:B,2,0)</f>
        <v>ADMINISTRAÇÃO</v>
      </c>
      <c r="F1287" s="4" t="str">
        <f t="shared" si="120"/>
        <v>2025-01</v>
      </c>
      <c r="G1287" s="18">
        <f t="shared" si="121"/>
        <v>4</v>
      </c>
      <c r="H1287" t="str">
        <f t="shared" si="122"/>
        <v>ADMINISTRAÇÃO</v>
      </c>
      <c r="I1287" t="str">
        <f t="shared" si="123"/>
        <v>LIZZENA COSMETICOS LTDA EPP</v>
      </c>
      <c r="J1287">
        <f t="shared" si="124"/>
        <v>0</v>
      </c>
      <c r="K1287">
        <f t="shared" si="125"/>
        <v>0</v>
      </c>
    </row>
    <row r="1288" spans="1:11" x14ac:dyDescent="0.25">
      <c r="A1288" t="s">
        <v>449</v>
      </c>
      <c r="B1288" t="s">
        <v>206</v>
      </c>
      <c r="C1288" t="s">
        <v>327</v>
      </c>
      <c r="D1288" s="3">
        <v>45679</v>
      </c>
      <c r="E1288" t="str">
        <f>VLOOKUP(B1288,'PROCV GERENTES BD'!A:B,2,0)</f>
        <v>ADMINISTRAÇÃO</v>
      </c>
      <c r="F1288" s="4" t="str">
        <f t="shared" si="120"/>
        <v>2025-01</v>
      </c>
      <c r="G1288" s="18">
        <f t="shared" si="121"/>
        <v>4</v>
      </c>
      <c r="H1288" t="str">
        <f t="shared" si="122"/>
        <v>ADMINISTRAÇÃO</v>
      </c>
      <c r="I1288" t="str">
        <f t="shared" si="123"/>
        <v>P P DISTRIBUIDORA LTDA</v>
      </c>
      <c r="J1288">
        <f t="shared" si="124"/>
        <v>0</v>
      </c>
      <c r="K1288">
        <f t="shared" si="125"/>
        <v>0</v>
      </c>
    </row>
    <row r="1289" spans="1:11" x14ac:dyDescent="0.25">
      <c r="A1289" t="s">
        <v>304</v>
      </c>
      <c r="B1289" t="s">
        <v>123</v>
      </c>
      <c r="C1289" t="s">
        <v>66</v>
      </c>
      <c r="D1289" s="3">
        <v>45679</v>
      </c>
      <c r="E1289" t="str">
        <f>VLOOKUP(B1289,'PROCV GERENTES BD'!A:B,2,0)</f>
        <v>ADMINISTRAÇÃO</v>
      </c>
      <c r="F1289" s="4" t="str">
        <f t="shared" si="120"/>
        <v>2025-01</v>
      </c>
      <c r="G1289" s="18">
        <f t="shared" si="121"/>
        <v>4</v>
      </c>
      <c r="H1289" t="str">
        <f t="shared" si="122"/>
        <v>ADMINISTRAÇÃO</v>
      </c>
      <c r="I1289" t="str">
        <f t="shared" si="123"/>
        <v>VIC LOGISTICA LTDA EM RECUPERACAO JUDICIAL</v>
      </c>
      <c r="J1289">
        <f t="shared" si="124"/>
        <v>1</v>
      </c>
      <c r="K1289">
        <f t="shared" si="125"/>
        <v>0</v>
      </c>
    </row>
    <row r="1290" spans="1:11" x14ac:dyDescent="0.25">
      <c r="A1290" t="s">
        <v>450</v>
      </c>
      <c r="B1290" t="s">
        <v>207</v>
      </c>
      <c r="C1290" t="s">
        <v>50</v>
      </c>
      <c r="D1290" s="3">
        <v>45679</v>
      </c>
      <c r="E1290" t="str">
        <f>VLOOKUP(B1290,'PROCV GERENTES BD'!A:B,2,0)</f>
        <v>CELIO PIMENTA</v>
      </c>
      <c r="F1290" s="4" t="str">
        <f t="shared" si="120"/>
        <v>2025-01</v>
      </c>
      <c r="G1290" s="18">
        <f t="shared" si="121"/>
        <v>4</v>
      </c>
      <c r="H1290" t="str">
        <f t="shared" si="122"/>
        <v>CELIO PIMENTA</v>
      </c>
      <c r="I1290" t="str">
        <f t="shared" si="123"/>
        <v>LIDER COMERCIO DE UNIFORMES E EPI S LTDA ME</v>
      </c>
      <c r="J1290">
        <f t="shared" si="124"/>
        <v>0</v>
      </c>
      <c r="K1290">
        <f t="shared" si="125"/>
        <v>1</v>
      </c>
    </row>
    <row r="1291" spans="1:11" x14ac:dyDescent="0.25">
      <c r="A1291" t="s">
        <v>374</v>
      </c>
      <c r="B1291" t="s">
        <v>118</v>
      </c>
      <c r="C1291" t="s">
        <v>50</v>
      </c>
      <c r="D1291" s="3">
        <v>45679</v>
      </c>
      <c r="E1291" t="str">
        <f>VLOOKUP(B1291,'PROCV GERENTES BD'!A:B,2,0)</f>
        <v>CELIO PIMENTA</v>
      </c>
      <c r="F1291" s="4" t="str">
        <f t="shared" si="120"/>
        <v>2025-01</v>
      </c>
      <c r="G1291" s="18">
        <f t="shared" si="121"/>
        <v>4</v>
      </c>
      <c r="H1291" t="str">
        <f t="shared" si="122"/>
        <v>CELIO PIMENTA</v>
      </c>
      <c r="I1291" t="str">
        <f t="shared" si="123"/>
        <v>MINAS ALIMENTOS E FRUTAS SECAS LTDA EPP</v>
      </c>
      <c r="J1291">
        <f t="shared" si="124"/>
        <v>0</v>
      </c>
      <c r="K1291">
        <f t="shared" si="125"/>
        <v>1</v>
      </c>
    </row>
    <row r="1292" spans="1:11" x14ac:dyDescent="0.25">
      <c r="A1292" t="s">
        <v>378</v>
      </c>
      <c r="B1292" t="s">
        <v>125</v>
      </c>
      <c r="C1292" t="s">
        <v>66</v>
      </c>
      <c r="D1292" s="3">
        <v>45679</v>
      </c>
      <c r="E1292" t="str">
        <f>VLOOKUP(B1292,'PROCV GERENTES BD'!A:B,2,0)</f>
        <v>CELIO PIMENTA</v>
      </c>
      <c r="F1292" s="4" t="str">
        <f t="shared" si="120"/>
        <v>2025-01</v>
      </c>
      <c r="G1292" s="18">
        <f t="shared" si="121"/>
        <v>4</v>
      </c>
      <c r="H1292" t="str">
        <f t="shared" si="122"/>
        <v>CELIO PIMENTA</v>
      </c>
      <c r="I1292" t="str">
        <f t="shared" si="123"/>
        <v>PHOENIX LOG TRANSPORTES LTDA EPP</v>
      </c>
      <c r="J1292">
        <f t="shared" si="124"/>
        <v>1</v>
      </c>
      <c r="K1292">
        <f t="shared" si="125"/>
        <v>0</v>
      </c>
    </row>
    <row r="1293" spans="1:11" x14ac:dyDescent="0.25">
      <c r="A1293" t="s">
        <v>377</v>
      </c>
      <c r="B1293" t="s">
        <v>124</v>
      </c>
      <c r="C1293" t="s">
        <v>50</v>
      </c>
      <c r="D1293" s="3">
        <v>45679</v>
      </c>
      <c r="E1293" t="str">
        <f>VLOOKUP(B1293,'PROCV GERENTES BD'!A:B,2,0)</f>
        <v>EDUARDO MATOSO</v>
      </c>
      <c r="F1293" s="4" t="str">
        <f t="shared" si="120"/>
        <v>2025-01</v>
      </c>
      <c r="G1293" s="18">
        <f t="shared" si="121"/>
        <v>4</v>
      </c>
      <c r="H1293" t="str">
        <f t="shared" si="122"/>
        <v>EDUARDO MATOSO</v>
      </c>
      <c r="I1293" t="str">
        <f t="shared" si="123"/>
        <v>STONE ENGENHARIA E MONTAGENS INDUSTRIAIS LTDA</v>
      </c>
      <c r="J1293">
        <f t="shared" si="124"/>
        <v>0</v>
      </c>
      <c r="K1293">
        <f t="shared" si="125"/>
        <v>1</v>
      </c>
    </row>
    <row r="1294" spans="1:11" x14ac:dyDescent="0.25">
      <c r="A1294" t="s">
        <v>324</v>
      </c>
      <c r="B1294" t="s">
        <v>119</v>
      </c>
      <c r="C1294" t="s">
        <v>50</v>
      </c>
      <c r="D1294" s="3">
        <v>45679</v>
      </c>
      <c r="E1294" t="str">
        <f>VLOOKUP(B1294,'PROCV GERENTES BD'!A:B,2,0)</f>
        <v>PROSPECTAR</v>
      </c>
      <c r="F1294" s="4" t="str">
        <f t="shared" si="120"/>
        <v>2025-01</v>
      </c>
      <c r="G1294" s="18">
        <f t="shared" si="121"/>
        <v>4</v>
      </c>
      <c r="H1294" t="str">
        <f t="shared" si="122"/>
        <v>PROSPECTAR</v>
      </c>
      <c r="I1294" t="str">
        <f t="shared" si="123"/>
        <v>TRANSHENRY TRANSPORTES LTDA</v>
      </c>
      <c r="J1294">
        <f t="shared" si="124"/>
        <v>0</v>
      </c>
      <c r="K1294">
        <f t="shared" si="125"/>
        <v>1</v>
      </c>
    </row>
    <row r="1295" spans="1:11" x14ac:dyDescent="0.25">
      <c r="A1295" t="s">
        <v>318</v>
      </c>
      <c r="B1295" t="s">
        <v>203</v>
      </c>
      <c r="C1295" t="s">
        <v>50</v>
      </c>
      <c r="D1295" s="3">
        <v>45679</v>
      </c>
      <c r="E1295" t="str">
        <f>VLOOKUP(B1295,'PROCV GERENTES BD'!A:B,2,0)</f>
        <v>JOSE ROBERTO</v>
      </c>
      <c r="F1295" s="4" t="str">
        <f t="shared" si="120"/>
        <v>2025-01</v>
      </c>
      <c r="G1295" s="18">
        <f t="shared" si="121"/>
        <v>4</v>
      </c>
      <c r="H1295" t="str">
        <f t="shared" si="122"/>
        <v>JOSE ROBERTO</v>
      </c>
      <c r="I1295" t="str">
        <f t="shared" si="123"/>
        <v>FUNDACAO DE ENSINO E PESQUISA DO SUL DE MINAS FEPE</v>
      </c>
      <c r="J1295">
        <f t="shared" si="124"/>
        <v>0</v>
      </c>
      <c r="K1295">
        <f t="shared" si="125"/>
        <v>1</v>
      </c>
    </row>
    <row r="1296" spans="1:11" x14ac:dyDescent="0.25">
      <c r="A1296" t="s">
        <v>395</v>
      </c>
      <c r="B1296" t="s">
        <v>145</v>
      </c>
      <c r="C1296" t="s">
        <v>50</v>
      </c>
      <c r="D1296" s="3">
        <v>45679</v>
      </c>
      <c r="E1296" t="str">
        <f>VLOOKUP(B1296,'PROCV GERENTES BD'!A:B,2,0)</f>
        <v>MARCIO LEONEL</v>
      </c>
      <c r="F1296" s="4" t="str">
        <f t="shared" si="120"/>
        <v>2025-01</v>
      </c>
      <c r="G1296" s="18">
        <f t="shared" si="121"/>
        <v>4</v>
      </c>
      <c r="H1296" t="str">
        <f t="shared" si="122"/>
        <v>MARCIO LEONEL</v>
      </c>
      <c r="I1296" t="str">
        <f t="shared" si="123"/>
        <v>MEDICAL PRIME IMP EXPORT DISTRIB PRODUTOS MEDICOS</v>
      </c>
      <c r="J1296">
        <f t="shared" si="124"/>
        <v>0</v>
      </c>
      <c r="K1296">
        <f t="shared" si="125"/>
        <v>1</v>
      </c>
    </row>
    <row r="1297" spans="1:11" x14ac:dyDescent="0.25">
      <c r="A1297" t="s">
        <v>310</v>
      </c>
      <c r="B1297" t="s">
        <v>204</v>
      </c>
      <c r="C1297" t="s">
        <v>50</v>
      </c>
      <c r="D1297" s="3">
        <v>45679</v>
      </c>
      <c r="E1297" t="str">
        <f>VLOOKUP(B1297,'PROCV GERENTES BD'!A:B,2,0)</f>
        <v xml:space="preserve">MARCUS VINICIUS </v>
      </c>
      <c r="F1297" s="4" t="str">
        <f t="shared" si="120"/>
        <v>2025-01</v>
      </c>
      <c r="G1297" s="18">
        <f t="shared" si="121"/>
        <v>4</v>
      </c>
      <c r="H1297" t="str">
        <f t="shared" si="122"/>
        <v xml:space="preserve">MARCUS VINICIUS </v>
      </c>
      <c r="I1297" t="str">
        <f t="shared" si="123"/>
        <v>INDUSTRIA E COMERCIO DE CHURRASQUEIRAS BOM JESUS L</v>
      </c>
      <c r="J1297">
        <f t="shared" si="124"/>
        <v>0</v>
      </c>
      <c r="K1297">
        <f t="shared" si="125"/>
        <v>1</v>
      </c>
    </row>
    <row r="1298" spans="1:11" x14ac:dyDescent="0.25">
      <c r="A1298" t="s">
        <v>375</v>
      </c>
      <c r="B1298" t="s">
        <v>120</v>
      </c>
      <c r="C1298" t="s">
        <v>66</v>
      </c>
      <c r="D1298" s="3">
        <v>45679</v>
      </c>
      <c r="E1298" t="str">
        <f>VLOOKUP(B1298,'PROCV GERENTES BD'!A:B,2,0)</f>
        <v>ADMINISTRAÇÃO</v>
      </c>
      <c r="F1298" s="4" t="str">
        <f t="shared" si="120"/>
        <v>2025-01</v>
      </c>
      <c r="G1298" s="18">
        <f t="shared" si="121"/>
        <v>4</v>
      </c>
      <c r="H1298" t="str">
        <f t="shared" si="122"/>
        <v>ADMINISTRAÇÃO</v>
      </c>
      <c r="I1298" t="str">
        <f t="shared" si="123"/>
        <v>FARINELLI NUTRIMENTOS LTDA</v>
      </c>
      <c r="J1298">
        <f t="shared" si="124"/>
        <v>1</v>
      </c>
      <c r="K1298">
        <f t="shared" si="125"/>
        <v>0</v>
      </c>
    </row>
    <row r="1299" spans="1:11" x14ac:dyDescent="0.25">
      <c r="A1299" t="s">
        <v>339</v>
      </c>
      <c r="B1299" t="s">
        <v>87</v>
      </c>
      <c r="C1299" t="s">
        <v>50</v>
      </c>
      <c r="D1299" s="3">
        <v>45679</v>
      </c>
      <c r="E1299" t="str">
        <f>VLOOKUP(B1299,'PROCV GERENTES BD'!A:B,2,0)</f>
        <v>NOELI SALETE</v>
      </c>
      <c r="F1299" s="4" t="str">
        <f t="shared" si="120"/>
        <v>2025-01</v>
      </c>
      <c r="G1299" s="18">
        <f t="shared" si="121"/>
        <v>4</v>
      </c>
      <c r="H1299" t="str">
        <f t="shared" si="122"/>
        <v>NOELI SALETE</v>
      </c>
      <c r="I1299" t="str">
        <f t="shared" si="123"/>
        <v>RODOBOX TRANSPORTES E ARMAZENAGEM DE CARGAS LTDA</v>
      </c>
      <c r="J1299">
        <f t="shared" si="124"/>
        <v>0</v>
      </c>
      <c r="K1299">
        <f t="shared" si="125"/>
        <v>1</v>
      </c>
    </row>
    <row r="1300" spans="1:11" x14ac:dyDescent="0.25">
      <c r="A1300" t="s">
        <v>438</v>
      </c>
      <c r="B1300" t="s">
        <v>189</v>
      </c>
      <c r="C1300" t="s">
        <v>50</v>
      </c>
      <c r="D1300" s="3">
        <v>45679</v>
      </c>
      <c r="E1300" t="str">
        <f>VLOOKUP(B1300,'PROCV GERENTES BD'!A:B,2,0)</f>
        <v>NOELI SALETE</v>
      </c>
      <c r="F1300" s="4" t="str">
        <f t="shared" si="120"/>
        <v>2025-01</v>
      </c>
      <c r="G1300" s="18">
        <f t="shared" si="121"/>
        <v>4</v>
      </c>
      <c r="H1300" t="str">
        <f t="shared" si="122"/>
        <v>NOELI SALETE</v>
      </c>
      <c r="I1300" t="str">
        <f t="shared" si="123"/>
        <v>AGRO INDUSTRIAL LAZZERI LTDA</v>
      </c>
      <c r="J1300">
        <f t="shared" si="124"/>
        <v>0</v>
      </c>
      <c r="K1300">
        <f t="shared" si="125"/>
        <v>1</v>
      </c>
    </row>
    <row r="1301" spans="1:11" x14ac:dyDescent="0.25">
      <c r="A1301" t="s">
        <v>451</v>
      </c>
      <c r="B1301" t="s">
        <v>208</v>
      </c>
      <c r="C1301" t="s">
        <v>50</v>
      </c>
      <c r="D1301" s="3">
        <v>45679</v>
      </c>
      <c r="E1301" t="str">
        <f>VLOOKUP(B1301,'PROCV GERENTES BD'!A:B,2,0)</f>
        <v>NOELI SALETE</v>
      </c>
      <c r="F1301" s="4" t="str">
        <f t="shared" si="120"/>
        <v>2025-01</v>
      </c>
      <c r="G1301" s="18">
        <f t="shared" si="121"/>
        <v>4</v>
      </c>
      <c r="H1301" t="str">
        <f t="shared" si="122"/>
        <v>NOELI SALETE</v>
      </c>
      <c r="I1301" t="str">
        <f t="shared" si="123"/>
        <v>USIPARTS COMERCIO DE PECAS PARA USINAS LTDA ME</v>
      </c>
      <c r="J1301">
        <f t="shared" si="124"/>
        <v>0</v>
      </c>
      <c r="K1301">
        <f t="shared" si="125"/>
        <v>1</v>
      </c>
    </row>
    <row r="1302" spans="1:11" x14ac:dyDescent="0.25">
      <c r="A1302" t="s">
        <v>389</v>
      </c>
      <c r="B1302" t="s">
        <v>136</v>
      </c>
      <c r="C1302" t="s">
        <v>66</v>
      </c>
      <c r="D1302" s="3">
        <v>45679</v>
      </c>
      <c r="E1302" t="str">
        <f>VLOOKUP(B1302,'PROCV GERENTES BD'!A:B,2,0)</f>
        <v>POENATELA</v>
      </c>
      <c r="F1302" s="4" t="str">
        <f t="shared" si="120"/>
        <v>2025-01</v>
      </c>
      <c r="G1302" s="18">
        <f t="shared" si="121"/>
        <v>4</v>
      </c>
      <c r="H1302" t="str">
        <f t="shared" si="122"/>
        <v>POENATELA</v>
      </c>
      <c r="I1302" t="str">
        <f t="shared" si="123"/>
        <v>CONQUISTA INDUSTRIA DE MOVEIS S/A</v>
      </c>
      <c r="J1302">
        <f t="shared" si="124"/>
        <v>1</v>
      </c>
      <c r="K1302">
        <f t="shared" si="125"/>
        <v>0</v>
      </c>
    </row>
    <row r="1303" spans="1:11" x14ac:dyDescent="0.25">
      <c r="A1303" t="s">
        <v>346</v>
      </c>
      <c r="B1303" t="s">
        <v>91</v>
      </c>
      <c r="C1303" t="s">
        <v>50</v>
      </c>
      <c r="D1303" s="3">
        <v>45679</v>
      </c>
      <c r="E1303" t="str">
        <f>VLOOKUP(B1303,'PROCV GERENTES BD'!A:B,2,0)</f>
        <v>POENATELA</v>
      </c>
      <c r="F1303" s="4" t="str">
        <f t="shared" si="120"/>
        <v>2025-01</v>
      </c>
      <c r="G1303" s="18">
        <f t="shared" si="121"/>
        <v>4</v>
      </c>
      <c r="H1303" t="str">
        <f t="shared" si="122"/>
        <v>POENATELA</v>
      </c>
      <c r="I1303" t="str">
        <f t="shared" si="123"/>
        <v>UBERTEC SERVICE USINAGEM LTDA EPP</v>
      </c>
      <c r="J1303">
        <f t="shared" si="124"/>
        <v>0</v>
      </c>
      <c r="K1303">
        <f t="shared" si="125"/>
        <v>1</v>
      </c>
    </row>
    <row r="1304" spans="1:11" x14ac:dyDescent="0.25">
      <c r="A1304" t="s">
        <v>452</v>
      </c>
      <c r="B1304" t="s">
        <v>209</v>
      </c>
      <c r="C1304" t="s">
        <v>50</v>
      </c>
      <c r="D1304" s="3">
        <v>45679</v>
      </c>
      <c r="E1304" t="str">
        <f>VLOOKUP(B1304,'PROCV GERENTES BD'!A:B,2,0)</f>
        <v>PRISCILA METZ</v>
      </c>
      <c r="F1304" s="4" t="str">
        <f t="shared" si="120"/>
        <v>2025-01</v>
      </c>
      <c r="G1304" s="18">
        <f t="shared" si="121"/>
        <v>4</v>
      </c>
      <c r="H1304" t="str">
        <f t="shared" si="122"/>
        <v>PRISCILA METZ</v>
      </c>
      <c r="I1304" t="str">
        <f t="shared" si="123"/>
        <v>D M RODRIGUES LTDA ME</v>
      </c>
      <c r="J1304">
        <f t="shared" si="124"/>
        <v>0</v>
      </c>
      <c r="K1304">
        <f t="shared" si="125"/>
        <v>1</v>
      </c>
    </row>
    <row r="1305" spans="1:11" x14ac:dyDescent="0.25">
      <c r="A1305" t="s">
        <v>361</v>
      </c>
      <c r="B1305" t="s">
        <v>106</v>
      </c>
      <c r="C1305" t="s">
        <v>66</v>
      </c>
      <c r="D1305" s="3">
        <v>45679</v>
      </c>
      <c r="E1305" t="str">
        <f>VLOOKUP(B1305,'PROCV GERENTES BD'!A:B,2,0)</f>
        <v>PRISCILA METZ</v>
      </c>
      <c r="F1305" s="4" t="str">
        <f t="shared" si="120"/>
        <v>2025-01</v>
      </c>
      <c r="G1305" s="18">
        <f t="shared" si="121"/>
        <v>4</v>
      </c>
      <c r="H1305" t="str">
        <f t="shared" si="122"/>
        <v>PRISCILA METZ</v>
      </c>
      <c r="I1305" t="str">
        <f t="shared" si="123"/>
        <v>HERBAMED LABORATORIO NUTRACEUTICO LTDA</v>
      </c>
      <c r="J1305">
        <f t="shared" si="124"/>
        <v>1</v>
      </c>
      <c r="K1305">
        <f t="shared" si="125"/>
        <v>0</v>
      </c>
    </row>
    <row r="1306" spans="1:11" x14ac:dyDescent="0.25">
      <c r="A1306" t="s">
        <v>453</v>
      </c>
      <c r="B1306" t="s">
        <v>210</v>
      </c>
      <c r="C1306" t="s">
        <v>50</v>
      </c>
      <c r="D1306" s="3">
        <v>45679</v>
      </c>
      <c r="E1306" t="str">
        <f>VLOOKUP(B1306,'PROCV GERENTES BD'!A:B,2,0)</f>
        <v>RAFAEL PARISE</v>
      </c>
      <c r="F1306" s="4" t="str">
        <f t="shared" si="120"/>
        <v>2025-01</v>
      </c>
      <c r="G1306" s="18">
        <f t="shared" si="121"/>
        <v>4</v>
      </c>
      <c r="H1306" t="str">
        <f t="shared" si="122"/>
        <v>RAFAEL PARISE</v>
      </c>
      <c r="I1306" t="str">
        <f t="shared" si="123"/>
        <v>BEIJA FLOR COMERCIO DE TINTAS LTDA</v>
      </c>
      <c r="J1306">
        <f t="shared" si="124"/>
        <v>0</v>
      </c>
      <c r="K1306">
        <f t="shared" si="125"/>
        <v>1</v>
      </c>
    </row>
    <row r="1307" spans="1:11" x14ac:dyDescent="0.25">
      <c r="A1307" t="s">
        <v>454</v>
      </c>
      <c r="B1307" t="s">
        <v>211</v>
      </c>
      <c r="C1307" t="s">
        <v>50</v>
      </c>
      <c r="D1307" s="3">
        <v>45679</v>
      </c>
      <c r="E1307" t="str">
        <f>VLOOKUP(B1307,'PROCV GERENTES BD'!A:B,2,0)</f>
        <v>RAFAEL PARISE</v>
      </c>
      <c r="F1307" s="4" t="str">
        <f t="shared" si="120"/>
        <v>2025-01</v>
      </c>
      <c r="G1307" s="18">
        <f t="shared" si="121"/>
        <v>4</v>
      </c>
      <c r="H1307" t="str">
        <f t="shared" si="122"/>
        <v>RAFAEL PARISE</v>
      </c>
      <c r="I1307" t="str">
        <f t="shared" si="123"/>
        <v>TREGA FILHOS EMPACOTAMENTO E DISTRIBUICAO LTDA ME</v>
      </c>
      <c r="J1307">
        <f t="shared" si="124"/>
        <v>0</v>
      </c>
      <c r="K1307">
        <f t="shared" si="125"/>
        <v>1</v>
      </c>
    </row>
    <row r="1308" spans="1:11" x14ac:dyDescent="0.25">
      <c r="A1308" t="s">
        <v>362</v>
      </c>
      <c r="B1308" t="s">
        <v>107</v>
      </c>
      <c r="C1308" t="s">
        <v>50</v>
      </c>
      <c r="D1308" s="3">
        <v>45679</v>
      </c>
      <c r="E1308" t="s">
        <v>21</v>
      </c>
      <c r="F1308" s="4" t="str">
        <f t="shared" si="120"/>
        <v>2025-01</v>
      </c>
      <c r="G1308" s="18">
        <f t="shared" si="121"/>
        <v>4</v>
      </c>
      <c r="H1308" t="str">
        <f t="shared" si="122"/>
        <v xml:space="preserve">ROGERIO </v>
      </c>
      <c r="I1308" t="str">
        <f t="shared" si="123"/>
        <v>EVOLUTION MACHINES LTDA ME</v>
      </c>
      <c r="J1308">
        <f t="shared" si="124"/>
        <v>0</v>
      </c>
      <c r="K1308">
        <f t="shared" si="125"/>
        <v>1</v>
      </c>
    </row>
    <row r="1309" spans="1:11" x14ac:dyDescent="0.25">
      <c r="A1309" t="s">
        <v>314</v>
      </c>
      <c r="B1309" t="s">
        <v>98</v>
      </c>
      <c r="C1309" t="s">
        <v>327</v>
      </c>
      <c r="D1309" s="3">
        <v>45679</v>
      </c>
      <c r="E1309" t="str">
        <f>VLOOKUP(B1309,'PROCV GERENTES BD'!A:B,2,0)</f>
        <v xml:space="preserve">ROGERIO </v>
      </c>
      <c r="F1309" s="4" t="str">
        <f t="shared" si="120"/>
        <v>2025-01</v>
      </c>
      <c r="G1309" s="18">
        <f t="shared" si="121"/>
        <v>4</v>
      </c>
      <c r="H1309" t="str">
        <f t="shared" si="122"/>
        <v xml:space="preserve">ROGERIO </v>
      </c>
      <c r="I1309" t="str">
        <f t="shared" si="123"/>
        <v>MUTCD CENTRO DISTRIBUICAO IND FABRICANTE COSMETICO</v>
      </c>
      <c r="J1309">
        <f t="shared" si="124"/>
        <v>0</v>
      </c>
      <c r="K1309">
        <f t="shared" si="125"/>
        <v>0</v>
      </c>
    </row>
    <row r="1310" spans="1:11" x14ac:dyDescent="0.25">
      <c r="A1310" t="s">
        <v>314</v>
      </c>
      <c r="B1310" t="s">
        <v>98</v>
      </c>
      <c r="C1310" t="s">
        <v>50</v>
      </c>
      <c r="D1310" s="3">
        <v>45679</v>
      </c>
      <c r="E1310" t="str">
        <f>VLOOKUP(B1310,'PROCV GERENTES BD'!A:B,2,0)</f>
        <v xml:space="preserve">ROGERIO </v>
      </c>
      <c r="F1310" s="4" t="str">
        <f t="shared" si="120"/>
        <v>2025-01</v>
      </c>
      <c r="G1310" s="18">
        <f t="shared" si="121"/>
        <v>4</v>
      </c>
      <c r="H1310" t="str">
        <f t="shared" si="122"/>
        <v xml:space="preserve">ROGERIO </v>
      </c>
      <c r="I1310" t="str">
        <f t="shared" si="123"/>
        <v>MUTCD CENTRO DISTRIBUICAO IND FABRICANTE COSMETICO</v>
      </c>
      <c r="J1310">
        <f t="shared" si="124"/>
        <v>0</v>
      </c>
      <c r="K1310">
        <f t="shared" si="125"/>
        <v>1</v>
      </c>
    </row>
    <row r="1311" spans="1:11" x14ac:dyDescent="0.25">
      <c r="A1311" t="s">
        <v>455</v>
      </c>
      <c r="B1311" t="s">
        <v>212</v>
      </c>
      <c r="C1311" t="s">
        <v>66</v>
      </c>
      <c r="D1311" s="3">
        <v>45680</v>
      </c>
      <c r="E1311" t="str">
        <f>VLOOKUP(B1311,'PROCV GERENTES BD'!A:B,2,0)</f>
        <v>ADMINISTRAÇÃO</v>
      </c>
      <c r="F1311" s="4" t="str">
        <f t="shared" si="120"/>
        <v>2025-01</v>
      </c>
      <c r="G1311" s="18">
        <f t="shared" si="121"/>
        <v>4</v>
      </c>
      <c r="H1311" t="str">
        <f t="shared" si="122"/>
        <v>ADMINISTRAÇÃO</v>
      </c>
      <c r="I1311" t="str">
        <f t="shared" si="123"/>
        <v>MAIS LAR ENGENHARIA LTDA</v>
      </c>
      <c r="J1311">
        <f t="shared" si="124"/>
        <v>1</v>
      </c>
      <c r="K1311">
        <f t="shared" si="125"/>
        <v>0</v>
      </c>
    </row>
    <row r="1312" spans="1:11" x14ac:dyDescent="0.25">
      <c r="A1312" t="s">
        <v>304</v>
      </c>
      <c r="B1312" t="s">
        <v>123</v>
      </c>
      <c r="C1312" t="s">
        <v>66</v>
      </c>
      <c r="D1312" s="3">
        <v>45680</v>
      </c>
      <c r="E1312" t="str">
        <f>VLOOKUP(B1312,'PROCV GERENTES BD'!A:B,2,0)</f>
        <v>ADMINISTRAÇÃO</v>
      </c>
      <c r="F1312" s="4" t="str">
        <f t="shared" si="120"/>
        <v>2025-01</v>
      </c>
      <c r="G1312" s="18">
        <f t="shared" si="121"/>
        <v>4</v>
      </c>
      <c r="H1312" t="str">
        <f t="shared" si="122"/>
        <v>ADMINISTRAÇÃO</v>
      </c>
      <c r="I1312" t="str">
        <f t="shared" si="123"/>
        <v>VIC LOGISTICA LTDA EM RECUPERACAO JUDICIAL</v>
      </c>
      <c r="J1312">
        <f t="shared" si="124"/>
        <v>1</v>
      </c>
      <c r="K1312">
        <f t="shared" si="125"/>
        <v>0</v>
      </c>
    </row>
    <row r="1313" spans="1:11" x14ac:dyDescent="0.25">
      <c r="A1313" t="s">
        <v>442</v>
      </c>
      <c r="B1313" t="s">
        <v>193</v>
      </c>
      <c r="C1313" t="s">
        <v>66</v>
      </c>
      <c r="D1313" s="3">
        <v>45680</v>
      </c>
      <c r="E1313" t="str">
        <f>VLOOKUP(B1313,'PROCV GERENTES BD'!A:B,2,0)</f>
        <v>CELIO PIMENTA</v>
      </c>
      <c r="F1313" s="4" t="str">
        <f t="shared" si="120"/>
        <v>2025-01</v>
      </c>
      <c r="G1313" s="18">
        <f t="shared" si="121"/>
        <v>4</v>
      </c>
      <c r="H1313" t="str">
        <f t="shared" si="122"/>
        <v>CELIO PIMENTA</v>
      </c>
      <c r="I1313" t="str">
        <f t="shared" si="123"/>
        <v>CIA TEXTIL LTDA ME</v>
      </c>
      <c r="J1313">
        <f t="shared" si="124"/>
        <v>1</v>
      </c>
      <c r="K1313">
        <f t="shared" si="125"/>
        <v>0</v>
      </c>
    </row>
    <row r="1314" spans="1:11" x14ac:dyDescent="0.25">
      <c r="A1314" t="s">
        <v>319</v>
      </c>
      <c r="B1314" t="s">
        <v>80</v>
      </c>
      <c r="C1314" t="s">
        <v>53</v>
      </c>
      <c r="D1314" s="3">
        <v>45680</v>
      </c>
      <c r="E1314" t="str">
        <f>VLOOKUP(B1314,'PROCV GERENTES BD'!A:B,2,0)</f>
        <v>CELIO PIMENTA</v>
      </c>
      <c r="F1314" s="4" t="str">
        <f t="shared" si="120"/>
        <v>2025-01</v>
      </c>
      <c r="G1314" s="18">
        <f t="shared" si="121"/>
        <v>4</v>
      </c>
      <c r="H1314" t="str">
        <f t="shared" si="122"/>
        <v>CELIO PIMENTA</v>
      </c>
      <c r="I1314" t="str">
        <f t="shared" si="123"/>
        <v>IMPORTEXTIL COMERCIO DE TECIDOS LTDA</v>
      </c>
      <c r="J1314">
        <f t="shared" si="124"/>
        <v>1</v>
      </c>
      <c r="K1314">
        <f t="shared" si="125"/>
        <v>1</v>
      </c>
    </row>
    <row r="1315" spans="1:11" x14ac:dyDescent="0.25">
      <c r="A1315" t="s">
        <v>324</v>
      </c>
      <c r="B1315" t="s">
        <v>119</v>
      </c>
      <c r="C1315" t="s">
        <v>66</v>
      </c>
      <c r="D1315" s="3">
        <v>45680</v>
      </c>
      <c r="E1315" t="str">
        <f>VLOOKUP(B1315,'PROCV GERENTES BD'!A:B,2,0)</f>
        <v>PROSPECTAR</v>
      </c>
      <c r="F1315" s="4" t="str">
        <f t="shared" si="120"/>
        <v>2025-01</v>
      </c>
      <c r="G1315" s="18">
        <f t="shared" si="121"/>
        <v>4</v>
      </c>
      <c r="H1315" t="str">
        <f t="shared" si="122"/>
        <v>PROSPECTAR</v>
      </c>
      <c r="I1315" t="str">
        <f t="shared" si="123"/>
        <v>TRANSHENRY TRANSPORTES LTDA</v>
      </c>
      <c r="J1315">
        <f t="shared" si="124"/>
        <v>1</v>
      </c>
      <c r="K1315">
        <f t="shared" si="125"/>
        <v>0</v>
      </c>
    </row>
    <row r="1316" spans="1:11" x14ac:dyDescent="0.25">
      <c r="A1316" t="s">
        <v>318</v>
      </c>
      <c r="B1316" t="s">
        <v>203</v>
      </c>
      <c r="C1316" t="s">
        <v>66</v>
      </c>
      <c r="D1316" s="3">
        <v>45680</v>
      </c>
      <c r="E1316" t="str">
        <f>VLOOKUP(B1316,'PROCV GERENTES BD'!A:B,2,0)</f>
        <v>JOSE ROBERTO</v>
      </c>
      <c r="F1316" s="4" t="str">
        <f t="shared" si="120"/>
        <v>2025-01</v>
      </c>
      <c r="G1316" s="18">
        <f t="shared" si="121"/>
        <v>4</v>
      </c>
      <c r="H1316" t="str">
        <f t="shared" si="122"/>
        <v>JOSE ROBERTO</v>
      </c>
      <c r="I1316" t="str">
        <f t="shared" si="123"/>
        <v>FUNDACAO DE ENSINO E PESQUISA DO SUL DE MINAS FEPE</v>
      </c>
      <c r="J1316">
        <f t="shared" si="124"/>
        <v>1</v>
      </c>
      <c r="K1316">
        <f t="shared" si="125"/>
        <v>0</v>
      </c>
    </row>
    <row r="1317" spans="1:11" x14ac:dyDescent="0.25">
      <c r="A1317" t="s">
        <v>395</v>
      </c>
      <c r="B1317" t="s">
        <v>145</v>
      </c>
      <c r="C1317" t="s">
        <v>50</v>
      </c>
      <c r="D1317" s="3">
        <v>45680</v>
      </c>
      <c r="E1317" t="str">
        <f>VLOOKUP(B1317,'PROCV GERENTES BD'!A:B,2,0)</f>
        <v>MARCIO LEONEL</v>
      </c>
      <c r="F1317" s="4" t="str">
        <f t="shared" si="120"/>
        <v>2025-01</v>
      </c>
      <c r="G1317" s="18">
        <f t="shared" si="121"/>
        <v>4</v>
      </c>
      <c r="H1317" t="str">
        <f t="shared" si="122"/>
        <v>MARCIO LEONEL</v>
      </c>
      <c r="I1317" t="str">
        <f t="shared" si="123"/>
        <v>MEDICAL PRIME IMP EXPORT DISTRIB PRODUTOS MEDICOS</v>
      </c>
      <c r="J1317">
        <f t="shared" si="124"/>
        <v>0</v>
      </c>
      <c r="K1317">
        <f t="shared" si="125"/>
        <v>1</v>
      </c>
    </row>
    <row r="1318" spans="1:11" x14ac:dyDescent="0.25">
      <c r="A1318" t="s">
        <v>60</v>
      </c>
      <c r="B1318" t="s">
        <v>61</v>
      </c>
      <c r="C1318" t="s">
        <v>50</v>
      </c>
      <c r="D1318" s="3">
        <v>45680</v>
      </c>
      <c r="E1318" t="str">
        <f>VLOOKUP(B1318,'PROCV GERENTES BD'!A:B,2,0)</f>
        <v xml:space="preserve">MARCUS VINICIUS </v>
      </c>
      <c r="F1318" s="4" t="str">
        <f t="shared" si="120"/>
        <v>2025-01</v>
      </c>
      <c r="G1318" s="18">
        <f t="shared" si="121"/>
        <v>4</v>
      </c>
      <c r="H1318" t="str">
        <f t="shared" si="122"/>
        <v xml:space="preserve">MARCUS VINICIUS </v>
      </c>
      <c r="I1318" t="str">
        <f t="shared" si="123"/>
        <v>COM IND DE CEREAIS E TRANSPORTES MACIEL LTDA</v>
      </c>
      <c r="J1318">
        <f t="shared" si="124"/>
        <v>0</v>
      </c>
      <c r="K1318">
        <f t="shared" si="125"/>
        <v>1</v>
      </c>
    </row>
    <row r="1319" spans="1:11" x14ac:dyDescent="0.25">
      <c r="A1319" t="s">
        <v>369</v>
      </c>
      <c r="B1319" t="s">
        <v>113</v>
      </c>
      <c r="C1319" t="s">
        <v>50</v>
      </c>
      <c r="D1319" s="3">
        <v>45680</v>
      </c>
      <c r="E1319" t="str">
        <f>VLOOKUP(B1319,'PROCV GERENTES BD'!A:B,2,0)</f>
        <v xml:space="preserve">MARCUS VINICIUS </v>
      </c>
      <c r="F1319" s="4" t="str">
        <f t="shared" si="120"/>
        <v>2025-01</v>
      </c>
      <c r="G1319" s="18">
        <f t="shared" si="121"/>
        <v>4</v>
      </c>
      <c r="H1319" t="str">
        <f t="shared" si="122"/>
        <v xml:space="preserve">MARCUS VINICIUS </v>
      </c>
      <c r="I1319" t="str">
        <f t="shared" si="123"/>
        <v>ISOBASE POLIESTIRENO LTDA EPP</v>
      </c>
      <c r="J1319">
        <f t="shared" si="124"/>
        <v>0</v>
      </c>
      <c r="K1319">
        <f t="shared" si="125"/>
        <v>1</v>
      </c>
    </row>
    <row r="1320" spans="1:11" x14ac:dyDescent="0.25">
      <c r="A1320" t="s">
        <v>428</v>
      </c>
      <c r="B1320" t="s">
        <v>179</v>
      </c>
      <c r="C1320" t="s">
        <v>50</v>
      </c>
      <c r="D1320" s="3">
        <v>45680</v>
      </c>
      <c r="E1320" t="str">
        <f>VLOOKUP(B1320,'PROCV GERENTES BD'!A:B,2,0)</f>
        <v xml:space="preserve">MARCUS VINICIUS </v>
      </c>
      <c r="F1320" s="4" t="str">
        <f t="shared" si="120"/>
        <v>2025-01</v>
      </c>
      <c r="G1320" s="18">
        <f t="shared" si="121"/>
        <v>4</v>
      </c>
      <c r="H1320" t="str">
        <f t="shared" si="122"/>
        <v xml:space="preserve">MARCUS VINICIUS </v>
      </c>
      <c r="I1320" t="str">
        <f t="shared" si="123"/>
        <v>LABOR ELETRIC INDUSTRIA E COMERCIO UNIPESSOAL LTDA</v>
      </c>
      <c r="J1320">
        <f t="shared" si="124"/>
        <v>0</v>
      </c>
      <c r="K1320">
        <f t="shared" si="125"/>
        <v>1</v>
      </c>
    </row>
    <row r="1321" spans="1:11" x14ac:dyDescent="0.25">
      <c r="A1321" t="s">
        <v>384</v>
      </c>
      <c r="B1321" t="s">
        <v>131</v>
      </c>
      <c r="C1321" t="s">
        <v>50</v>
      </c>
      <c r="D1321" s="3">
        <v>45680</v>
      </c>
      <c r="E1321" t="str">
        <f>VLOOKUP(B1321,'PROCV GERENTES BD'!A:B,2,0)</f>
        <v xml:space="preserve">MARCUS VINICIUS </v>
      </c>
      <c r="F1321" s="4" t="str">
        <f t="shared" si="120"/>
        <v>2025-01</v>
      </c>
      <c r="G1321" s="18">
        <f t="shared" si="121"/>
        <v>4</v>
      </c>
      <c r="H1321" t="str">
        <f t="shared" si="122"/>
        <v xml:space="preserve">MARCUS VINICIUS </v>
      </c>
      <c r="I1321" t="str">
        <f t="shared" si="123"/>
        <v>PALMILHADO INDUSTRIA E COMERCIO LTDA</v>
      </c>
      <c r="J1321">
        <f t="shared" si="124"/>
        <v>0</v>
      </c>
      <c r="K1321">
        <f t="shared" si="125"/>
        <v>1</v>
      </c>
    </row>
    <row r="1322" spans="1:11" x14ac:dyDescent="0.25">
      <c r="A1322" t="s">
        <v>385</v>
      </c>
      <c r="B1322" t="s">
        <v>132</v>
      </c>
      <c r="C1322" t="s">
        <v>53</v>
      </c>
      <c r="D1322" s="3">
        <v>45680</v>
      </c>
      <c r="E1322" t="str">
        <f>VLOOKUP(B1322,'PROCV GERENTES BD'!A:B,2,0)</f>
        <v xml:space="preserve">MARCUS VINICIUS </v>
      </c>
      <c r="F1322" s="4" t="str">
        <f t="shared" si="120"/>
        <v>2025-01</v>
      </c>
      <c r="G1322" s="18">
        <f t="shared" si="121"/>
        <v>4</v>
      </c>
      <c r="H1322" t="str">
        <f t="shared" si="122"/>
        <v xml:space="preserve">MARCUS VINICIUS </v>
      </c>
      <c r="I1322" t="str">
        <f t="shared" si="123"/>
        <v>RODOANEL REFORMADORA DE IMPLEMENTOS RODOVIARIOS LT</v>
      </c>
      <c r="J1322">
        <f t="shared" si="124"/>
        <v>1</v>
      </c>
      <c r="K1322">
        <f t="shared" si="125"/>
        <v>1</v>
      </c>
    </row>
    <row r="1323" spans="1:11" x14ac:dyDescent="0.25">
      <c r="A1323" t="s">
        <v>418</v>
      </c>
      <c r="B1323" t="s">
        <v>168</v>
      </c>
      <c r="C1323" t="s">
        <v>50</v>
      </c>
      <c r="D1323" s="3">
        <v>45680</v>
      </c>
      <c r="E1323" t="str">
        <f>VLOOKUP(B1323,'PROCV GERENTES BD'!A:B,2,0)</f>
        <v>ADMINISTRAÇÃO</v>
      </c>
      <c r="F1323" s="4" t="str">
        <f t="shared" si="120"/>
        <v>2025-01</v>
      </c>
      <c r="G1323" s="18">
        <f t="shared" si="121"/>
        <v>4</v>
      </c>
      <c r="H1323" t="str">
        <f t="shared" si="122"/>
        <v>ADMINISTRAÇÃO</v>
      </c>
      <c r="I1323" t="str">
        <f t="shared" si="123"/>
        <v>MAAT COMERCIO DE VESTUARIO LTDA EPP</v>
      </c>
      <c r="J1323">
        <f t="shared" si="124"/>
        <v>0</v>
      </c>
      <c r="K1323">
        <f t="shared" si="125"/>
        <v>1</v>
      </c>
    </row>
    <row r="1324" spans="1:11" x14ac:dyDescent="0.25">
      <c r="A1324" t="s">
        <v>438</v>
      </c>
      <c r="B1324" t="s">
        <v>189</v>
      </c>
      <c r="C1324" t="s">
        <v>53</v>
      </c>
      <c r="D1324" s="3">
        <v>45680</v>
      </c>
      <c r="E1324" t="str">
        <f>VLOOKUP(B1324,'PROCV GERENTES BD'!A:B,2,0)</f>
        <v>NOELI SALETE</v>
      </c>
      <c r="F1324" s="4" t="str">
        <f t="shared" si="120"/>
        <v>2025-01</v>
      </c>
      <c r="G1324" s="18">
        <f t="shared" si="121"/>
        <v>4</v>
      </c>
      <c r="H1324" t="str">
        <f t="shared" si="122"/>
        <v>NOELI SALETE</v>
      </c>
      <c r="I1324" t="str">
        <f t="shared" si="123"/>
        <v>AGRO INDUSTRIAL LAZZERI LTDA</v>
      </c>
      <c r="J1324">
        <f t="shared" si="124"/>
        <v>1</v>
      </c>
      <c r="K1324">
        <f t="shared" si="125"/>
        <v>1</v>
      </c>
    </row>
    <row r="1325" spans="1:11" x14ac:dyDescent="0.25">
      <c r="A1325" t="s">
        <v>400</v>
      </c>
      <c r="B1325" t="s">
        <v>150</v>
      </c>
      <c r="C1325" t="s">
        <v>66</v>
      </c>
      <c r="D1325" s="3">
        <v>45680</v>
      </c>
      <c r="E1325" t="str">
        <f>VLOOKUP(B1325,'PROCV GERENTES BD'!A:B,2,0)</f>
        <v>NOELI SALETE</v>
      </c>
      <c r="F1325" s="4" t="str">
        <f t="shared" si="120"/>
        <v>2025-01</v>
      </c>
      <c r="G1325" s="18">
        <f t="shared" si="121"/>
        <v>4</v>
      </c>
      <c r="H1325" t="str">
        <f t="shared" si="122"/>
        <v>NOELI SALETE</v>
      </c>
      <c r="I1325" t="str">
        <f t="shared" si="123"/>
        <v>POOLMAK SISTEMAS ESTRUTURAIS LTDA</v>
      </c>
      <c r="J1325">
        <f t="shared" si="124"/>
        <v>1</v>
      </c>
      <c r="K1325">
        <f t="shared" si="125"/>
        <v>0</v>
      </c>
    </row>
    <row r="1326" spans="1:11" x14ac:dyDescent="0.25">
      <c r="A1326" t="s">
        <v>389</v>
      </c>
      <c r="B1326" t="s">
        <v>136</v>
      </c>
      <c r="C1326" t="s">
        <v>66</v>
      </c>
      <c r="D1326" s="3">
        <v>45680</v>
      </c>
      <c r="E1326" t="str">
        <f>VLOOKUP(B1326,'PROCV GERENTES BD'!A:B,2,0)</f>
        <v>POENATELA</v>
      </c>
      <c r="F1326" s="4" t="str">
        <f t="shared" si="120"/>
        <v>2025-01</v>
      </c>
      <c r="G1326" s="18">
        <f t="shared" si="121"/>
        <v>4</v>
      </c>
      <c r="H1326" t="str">
        <f t="shared" si="122"/>
        <v>POENATELA</v>
      </c>
      <c r="I1326" t="str">
        <f t="shared" si="123"/>
        <v>CONQUISTA INDUSTRIA DE MOVEIS S/A</v>
      </c>
      <c r="J1326">
        <f t="shared" si="124"/>
        <v>1</v>
      </c>
      <c r="K1326">
        <f t="shared" si="125"/>
        <v>0</v>
      </c>
    </row>
    <row r="1327" spans="1:11" x14ac:dyDescent="0.25">
      <c r="A1327" t="s">
        <v>352</v>
      </c>
      <c r="B1327" t="s">
        <v>96</v>
      </c>
      <c r="C1327" t="s">
        <v>327</v>
      </c>
      <c r="D1327" s="3">
        <v>45680</v>
      </c>
      <c r="E1327" t="str">
        <f>VLOOKUP(B1327,'PROCV GERENTES BD'!A:B,2,0)</f>
        <v>POENATELA</v>
      </c>
      <c r="F1327" s="4" t="str">
        <f t="shared" si="120"/>
        <v>2025-01</v>
      </c>
      <c r="G1327" s="18">
        <f t="shared" si="121"/>
        <v>4</v>
      </c>
      <c r="H1327" t="str">
        <f t="shared" si="122"/>
        <v>POENATELA</v>
      </c>
      <c r="I1327" t="str">
        <f t="shared" si="123"/>
        <v>SUPER HARD TECNOLOGIA EM TRATAMENTO DE SUPERFICIES</v>
      </c>
      <c r="J1327">
        <f t="shared" si="124"/>
        <v>0</v>
      </c>
      <c r="K1327">
        <f t="shared" si="125"/>
        <v>0</v>
      </c>
    </row>
    <row r="1328" spans="1:11" x14ac:dyDescent="0.25">
      <c r="A1328" t="s">
        <v>352</v>
      </c>
      <c r="B1328" t="s">
        <v>96</v>
      </c>
      <c r="C1328" t="s">
        <v>329</v>
      </c>
      <c r="D1328" s="3">
        <v>45680</v>
      </c>
      <c r="E1328" t="str">
        <f>VLOOKUP(B1328,'PROCV GERENTES BD'!A:B,2,0)</f>
        <v>POENATELA</v>
      </c>
      <c r="F1328" s="4" t="str">
        <f t="shared" si="120"/>
        <v>2025-01</v>
      </c>
      <c r="G1328" s="18">
        <f t="shared" si="121"/>
        <v>4</v>
      </c>
      <c r="H1328" t="str">
        <f t="shared" si="122"/>
        <v>POENATELA</v>
      </c>
      <c r="I1328" t="str">
        <f t="shared" si="123"/>
        <v>SUPER HARD TECNOLOGIA EM TRATAMENTO DE SUPERFICIES</v>
      </c>
      <c r="J1328">
        <f t="shared" si="124"/>
        <v>0</v>
      </c>
      <c r="K1328">
        <f t="shared" si="125"/>
        <v>0</v>
      </c>
    </row>
    <row r="1329" spans="1:11" x14ac:dyDescent="0.25">
      <c r="A1329" t="s">
        <v>346</v>
      </c>
      <c r="B1329" t="s">
        <v>91</v>
      </c>
      <c r="C1329" t="s">
        <v>66</v>
      </c>
      <c r="D1329" s="3">
        <v>45680</v>
      </c>
      <c r="E1329" t="str">
        <f>VLOOKUP(B1329,'PROCV GERENTES BD'!A:B,2,0)</f>
        <v>POENATELA</v>
      </c>
      <c r="F1329" s="4" t="str">
        <f t="shared" si="120"/>
        <v>2025-01</v>
      </c>
      <c r="G1329" s="18">
        <f t="shared" si="121"/>
        <v>4</v>
      </c>
      <c r="H1329" t="str">
        <f t="shared" si="122"/>
        <v>POENATELA</v>
      </c>
      <c r="I1329" t="str">
        <f t="shared" si="123"/>
        <v>UBERTEC SERVICE USINAGEM LTDA EPP</v>
      </c>
      <c r="J1329">
        <f t="shared" si="124"/>
        <v>1</v>
      </c>
      <c r="K1329">
        <f t="shared" si="125"/>
        <v>0</v>
      </c>
    </row>
    <row r="1330" spans="1:11" x14ac:dyDescent="0.25">
      <c r="A1330" t="s">
        <v>408</v>
      </c>
      <c r="B1330" t="s">
        <v>158</v>
      </c>
      <c r="C1330" t="s">
        <v>66</v>
      </c>
      <c r="D1330" s="3">
        <v>45680</v>
      </c>
      <c r="E1330" t="str">
        <f>VLOOKUP(B1330,'PROCV GERENTES BD'!A:B,2,0)</f>
        <v>PRISCILA METZ</v>
      </c>
      <c r="F1330" s="4" t="str">
        <f t="shared" si="120"/>
        <v>2025-01</v>
      </c>
      <c r="G1330" s="18">
        <f t="shared" si="121"/>
        <v>4</v>
      </c>
      <c r="H1330" t="str">
        <f t="shared" si="122"/>
        <v>PRISCILA METZ</v>
      </c>
      <c r="I1330" t="str">
        <f t="shared" si="123"/>
        <v>37 054 821 LARISSA GONTIJO AZEVEDO ME</v>
      </c>
      <c r="J1330">
        <f t="shared" si="124"/>
        <v>1</v>
      </c>
      <c r="K1330">
        <f t="shared" si="125"/>
        <v>0</v>
      </c>
    </row>
    <row r="1331" spans="1:11" x14ac:dyDescent="0.25">
      <c r="A1331" t="s">
        <v>452</v>
      </c>
      <c r="B1331" t="s">
        <v>209</v>
      </c>
      <c r="C1331" t="s">
        <v>50</v>
      </c>
      <c r="D1331" s="3">
        <v>45680</v>
      </c>
      <c r="E1331" t="str">
        <f>VLOOKUP(B1331,'PROCV GERENTES BD'!A:B,2,0)</f>
        <v>PRISCILA METZ</v>
      </c>
      <c r="F1331" s="4" t="str">
        <f t="shared" si="120"/>
        <v>2025-01</v>
      </c>
      <c r="G1331" s="18">
        <f t="shared" si="121"/>
        <v>4</v>
      </c>
      <c r="H1331" t="str">
        <f t="shared" si="122"/>
        <v>PRISCILA METZ</v>
      </c>
      <c r="I1331" t="str">
        <f t="shared" si="123"/>
        <v>D M RODRIGUES LTDA ME</v>
      </c>
      <c r="J1331">
        <f t="shared" si="124"/>
        <v>0</v>
      </c>
      <c r="K1331">
        <f t="shared" si="125"/>
        <v>1</v>
      </c>
    </row>
    <row r="1332" spans="1:11" x14ac:dyDescent="0.25">
      <c r="A1332" t="s">
        <v>433</v>
      </c>
      <c r="B1332" t="s">
        <v>184</v>
      </c>
      <c r="C1332" t="s">
        <v>71</v>
      </c>
      <c r="D1332" s="3">
        <v>45680</v>
      </c>
      <c r="E1332" t="str">
        <f>VLOOKUP(B1332,'PROCV GERENTES BD'!A:B,2,0)</f>
        <v>PRISCILA METZ</v>
      </c>
      <c r="F1332" s="4" t="str">
        <f t="shared" si="120"/>
        <v>2025-01</v>
      </c>
      <c r="G1332" s="18">
        <f t="shared" si="121"/>
        <v>4</v>
      </c>
      <c r="H1332" t="str">
        <f t="shared" si="122"/>
        <v>PRISCILA METZ</v>
      </c>
      <c r="I1332" t="str">
        <f t="shared" si="123"/>
        <v>FRANZAO COLCHOES LTDA EPP</v>
      </c>
      <c r="J1332">
        <f t="shared" si="124"/>
        <v>0</v>
      </c>
      <c r="K1332">
        <f t="shared" si="125"/>
        <v>0</v>
      </c>
    </row>
    <row r="1333" spans="1:11" x14ac:dyDescent="0.25">
      <c r="A1333" t="s">
        <v>390</v>
      </c>
      <c r="B1333" t="s">
        <v>137</v>
      </c>
      <c r="C1333" t="s">
        <v>50</v>
      </c>
      <c r="D1333" s="3">
        <v>45680</v>
      </c>
      <c r="E1333" t="str">
        <f>VLOOKUP(B1333,'PROCV GERENTES BD'!A:B,2,0)</f>
        <v>PRISCILA METZ</v>
      </c>
      <c r="F1333" s="4" t="str">
        <f t="shared" si="120"/>
        <v>2025-01</v>
      </c>
      <c r="G1333" s="18">
        <f t="shared" si="121"/>
        <v>4</v>
      </c>
      <c r="H1333" t="str">
        <f t="shared" si="122"/>
        <v>PRISCILA METZ</v>
      </c>
      <c r="I1333" t="str">
        <f t="shared" si="123"/>
        <v>VLF IMPERIAL LATICINIOS LTDA ME</v>
      </c>
      <c r="J1333">
        <f t="shared" si="124"/>
        <v>0</v>
      </c>
      <c r="K1333">
        <f t="shared" si="125"/>
        <v>1</v>
      </c>
    </row>
    <row r="1334" spans="1:11" x14ac:dyDescent="0.25">
      <c r="A1334" t="s">
        <v>456</v>
      </c>
      <c r="B1334" t="s">
        <v>213</v>
      </c>
      <c r="C1334" t="s">
        <v>66</v>
      </c>
      <c r="D1334" s="3">
        <v>45680</v>
      </c>
      <c r="E1334" t="str">
        <f>VLOOKUP(B1334,'PROCV GERENTES BD'!A:B,2,0)</f>
        <v>RAFAEL PARISE</v>
      </c>
      <c r="F1334" s="4" t="str">
        <f t="shared" si="120"/>
        <v>2025-01</v>
      </c>
      <c r="G1334" s="18">
        <f t="shared" si="121"/>
        <v>4</v>
      </c>
      <c r="H1334" t="str">
        <f t="shared" si="122"/>
        <v>RAFAEL PARISE</v>
      </c>
      <c r="I1334" t="str">
        <f t="shared" si="123"/>
        <v>ORNELAS RESENDE TORRES TRANSPORTE E LOGISTICA LTDA</v>
      </c>
      <c r="J1334">
        <f t="shared" si="124"/>
        <v>1</v>
      </c>
      <c r="K1334">
        <f t="shared" si="125"/>
        <v>0</v>
      </c>
    </row>
    <row r="1335" spans="1:11" x14ac:dyDescent="0.25">
      <c r="A1335" t="s">
        <v>409</v>
      </c>
      <c r="B1335" t="s">
        <v>159</v>
      </c>
      <c r="C1335" t="s">
        <v>50</v>
      </c>
      <c r="D1335" s="3">
        <v>45680</v>
      </c>
      <c r="E1335" t="str">
        <f>VLOOKUP(B1335,'PROCV GERENTES BD'!A:B,2,0)</f>
        <v>RAFAEL PARISE</v>
      </c>
      <c r="F1335" s="4" t="str">
        <f t="shared" si="120"/>
        <v>2025-01</v>
      </c>
      <c r="G1335" s="18">
        <f t="shared" si="121"/>
        <v>4</v>
      </c>
      <c r="H1335" t="str">
        <f t="shared" si="122"/>
        <v>RAFAEL PARISE</v>
      </c>
      <c r="I1335" t="str">
        <f t="shared" si="123"/>
        <v>OXIGAS RESIDUOS ESPECIAIS LTDA EPP</v>
      </c>
      <c r="J1335">
        <f t="shared" si="124"/>
        <v>0</v>
      </c>
      <c r="K1335">
        <f t="shared" si="125"/>
        <v>1</v>
      </c>
    </row>
    <row r="1336" spans="1:11" x14ac:dyDescent="0.25">
      <c r="A1336" t="s">
        <v>76</v>
      </c>
      <c r="B1336" t="s">
        <v>77</v>
      </c>
      <c r="C1336" t="s">
        <v>50</v>
      </c>
      <c r="D1336" s="3">
        <v>45680</v>
      </c>
      <c r="E1336" t="str">
        <f>VLOOKUP(B1336,'PROCV GERENTES BD'!A:B,2,0)</f>
        <v>RAFAEL PARISE</v>
      </c>
      <c r="F1336" s="4" t="str">
        <f t="shared" si="120"/>
        <v>2025-01</v>
      </c>
      <c r="G1336" s="18">
        <f t="shared" si="121"/>
        <v>4</v>
      </c>
      <c r="H1336" t="str">
        <f t="shared" si="122"/>
        <v>RAFAEL PARISE</v>
      </c>
      <c r="I1336" t="str">
        <f t="shared" si="123"/>
        <v>UNITA AUTO PECAS LTDA EPP</v>
      </c>
      <c r="J1336">
        <f t="shared" si="124"/>
        <v>0</v>
      </c>
      <c r="K1336">
        <f t="shared" si="125"/>
        <v>1</v>
      </c>
    </row>
    <row r="1337" spans="1:11" x14ac:dyDescent="0.25">
      <c r="A1337" t="s">
        <v>326</v>
      </c>
      <c r="B1337" t="s">
        <v>122</v>
      </c>
      <c r="C1337" t="s">
        <v>66</v>
      </c>
      <c r="D1337" s="3">
        <v>45680</v>
      </c>
      <c r="E1337" t="s">
        <v>21</v>
      </c>
      <c r="F1337" s="4" t="str">
        <f t="shared" si="120"/>
        <v>2025-01</v>
      </c>
      <c r="G1337" s="18">
        <f t="shared" si="121"/>
        <v>4</v>
      </c>
      <c r="H1337" t="str">
        <f t="shared" si="122"/>
        <v xml:space="preserve">ROGERIO </v>
      </c>
      <c r="I1337" t="str">
        <f t="shared" si="123"/>
        <v>BIBE PRODUTOS INFANTIS LTDA</v>
      </c>
      <c r="J1337">
        <f t="shared" si="124"/>
        <v>1</v>
      </c>
      <c r="K1337">
        <f t="shared" si="125"/>
        <v>0</v>
      </c>
    </row>
    <row r="1338" spans="1:11" x14ac:dyDescent="0.25">
      <c r="A1338" t="s">
        <v>457</v>
      </c>
      <c r="B1338" t="s">
        <v>214</v>
      </c>
      <c r="C1338" t="s">
        <v>66</v>
      </c>
      <c r="D1338" s="3">
        <v>45680</v>
      </c>
      <c r="E1338" t="s">
        <v>21</v>
      </c>
      <c r="F1338" s="4" t="str">
        <f t="shared" si="120"/>
        <v>2025-01</v>
      </c>
      <c r="G1338" s="18">
        <f t="shared" si="121"/>
        <v>4</v>
      </c>
      <c r="H1338" t="str">
        <f t="shared" si="122"/>
        <v xml:space="preserve">ROGERIO </v>
      </c>
      <c r="I1338" t="str">
        <f t="shared" si="123"/>
        <v>METAL STAMP INDUSTRIA E COMERCIO LTDA</v>
      </c>
      <c r="J1338">
        <f t="shared" si="124"/>
        <v>1</v>
      </c>
      <c r="K1338">
        <f t="shared" si="125"/>
        <v>0</v>
      </c>
    </row>
    <row r="1339" spans="1:11" x14ac:dyDescent="0.25">
      <c r="A1339" t="s">
        <v>458</v>
      </c>
      <c r="B1339" t="s">
        <v>215</v>
      </c>
      <c r="C1339" t="s">
        <v>66</v>
      </c>
      <c r="D1339" s="3">
        <v>45680</v>
      </c>
      <c r="E1339" t="s">
        <v>21</v>
      </c>
      <c r="F1339" s="4" t="str">
        <f t="shared" si="120"/>
        <v>2025-01</v>
      </c>
      <c r="G1339" s="18">
        <f t="shared" si="121"/>
        <v>4</v>
      </c>
      <c r="H1339" t="str">
        <f t="shared" si="122"/>
        <v xml:space="preserve">ROGERIO </v>
      </c>
      <c r="I1339" t="str">
        <f t="shared" si="123"/>
        <v>QUALITY PACK INDUSTRIA E COMERCIO LTDA ME</v>
      </c>
      <c r="J1339">
        <f t="shared" si="124"/>
        <v>1</v>
      </c>
      <c r="K1339">
        <f t="shared" si="125"/>
        <v>0</v>
      </c>
    </row>
    <row r="1340" spans="1:11" x14ac:dyDescent="0.25">
      <c r="A1340" t="s">
        <v>331</v>
      </c>
      <c r="B1340" t="s">
        <v>144</v>
      </c>
      <c r="C1340" t="s">
        <v>50</v>
      </c>
      <c r="D1340" s="3">
        <v>45681</v>
      </c>
      <c r="E1340" t="str">
        <f>VLOOKUP(B1340,'PROCV GERENTES BD'!A:B,2,0)</f>
        <v>ADMINISTRAÇÃO</v>
      </c>
      <c r="F1340" s="4" t="str">
        <f t="shared" si="120"/>
        <v>2025-01</v>
      </c>
      <c r="G1340" s="18">
        <f t="shared" si="121"/>
        <v>4</v>
      </c>
      <c r="H1340" t="str">
        <f t="shared" si="122"/>
        <v>ADMINISTRAÇÃO</v>
      </c>
      <c r="I1340" t="str">
        <f t="shared" si="123"/>
        <v>BOM PASTOR PAPEIS LTDA EM RECUPERACAO JUDICIAL</v>
      </c>
      <c r="J1340">
        <f t="shared" si="124"/>
        <v>0</v>
      </c>
      <c r="K1340">
        <f t="shared" si="125"/>
        <v>1</v>
      </c>
    </row>
    <row r="1341" spans="1:11" x14ac:dyDescent="0.25">
      <c r="A1341" t="s">
        <v>382</v>
      </c>
      <c r="B1341" t="s">
        <v>129</v>
      </c>
      <c r="C1341" t="s">
        <v>66</v>
      </c>
      <c r="D1341" s="3">
        <v>45681</v>
      </c>
      <c r="E1341" t="str">
        <f>VLOOKUP(B1341,'PROCV GERENTES BD'!A:B,2,0)</f>
        <v>ADMINISTRAÇÃO</v>
      </c>
      <c r="F1341" s="4" t="str">
        <f t="shared" si="120"/>
        <v>2025-01</v>
      </c>
      <c r="G1341" s="18">
        <f t="shared" si="121"/>
        <v>4</v>
      </c>
      <c r="H1341" t="str">
        <f t="shared" si="122"/>
        <v>ADMINISTRAÇÃO</v>
      </c>
      <c r="I1341" t="str">
        <f t="shared" si="123"/>
        <v>XEQUE MATE BEBIDAS LTDA ME</v>
      </c>
      <c r="J1341">
        <f t="shared" si="124"/>
        <v>1</v>
      </c>
      <c r="K1341">
        <f t="shared" si="125"/>
        <v>0</v>
      </c>
    </row>
    <row r="1342" spans="1:11" x14ac:dyDescent="0.25">
      <c r="A1342" t="s">
        <v>319</v>
      </c>
      <c r="B1342" t="s">
        <v>80</v>
      </c>
      <c r="C1342" t="s">
        <v>50</v>
      </c>
      <c r="D1342" s="3">
        <v>45681</v>
      </c>
      <c r="E1342" t="str">
        <f>VLOOKUP(B1342,'PROCV GERENTES BD'!A:B,2,0)</f>
        <v>CELIO PIMENTA</v>
      </c>
      <c r="F1342" s="4" t="str">
        <f t="shared" si="120"/>
        <v>2025-01</v>
      </c>
      <c r="G1342" s="18">
        <f t="shared" si="121"/>
        <v>4</v>
      </c>
      <c r="H1342" t="str">
        <f t="shared" si="122"/>
        <v>CELIO PIMENTA</v>
      </c>
      <c r="I1342" t="str">
        <f t="shared" si="123"/>
        <v>IMPORTEXTIL COMERCIO DE TECIDOS LTDA</v>
      </c>
      <c r="J1342">
        <f t="shared" si="124"/>
        <v>0</v>
      </c>
      <c r="K1342">
        <f t="shared" si="125"/>
        <v>1</v>
      </c>
    </row>
    <row r="1343" spans="1:11" x14ac:dyDescent="0.25">
      <c r="A1343" t="s">
        <v>54</v>
      </c>
      <c r="B1343" t="s">
        <v>55</v>
      </c>
      <c r="C1343" t="s">
        <v>66</v>
      </c>
      <c r="D1343" s="3">
        <v>45681</v>
      </c>
      <c r="E1343" t="str">
        <f>VLOOKUP(B1343,'PROCV GERENTES BD'!A:B,2,0)</f>
        <v>CELIO PIMENTA</v>
      </c>
      <c r="F1343" s="4" t="str">
        <f t="shared" si="120"/>
        <v>2025-01</v>
      </c>
      <c r="G1343" s="18">
        <f t="shared" si="121"/>
        <v>4</v>
      </c>
      <c r="H1343" t="str">
        <f t="shared" si="122"/>
        <v>CELIO PIMENTA</v>
      </c>
      <c r="I1343" t="str">
        <f t="shared" si="123"/>
        <v>WJ CALDEIRARIA INDUSTRIA E COMERCIO LTDA ME</v>
      </c>
      <c r="J1343">
        <f t="shared" si="124"/>
        <v>1</v>
      </c>
      <c r="K1343">
        <f t="shared" si="125"/>
        <v>0</v>
      </c>
    </row>
    <row r="1344" spans="1:11" x14ac:dyDescent="0.25">
      <c r="A1344" t="s">
        <v>358</v>
      </c>
      <c r="B1344" t="s">
        <v>104</v>
      </c>
      <c r="C1344" t="s">
        <v>50</v>
      </c>
      <c r="D1344" s="3">
        <v>45681</v>
      </c>
      <c r="E1344" t="str">
        <f>VLOOKUP(B1344,'PROCV GERENTES BD'!A:B,2,0)</f>
        <v>DIOGO AZEVEDO</v>
      </c>
      <c r="F1344" s="4" t="str">
        <f t="shared" si="120"/>
        <v>2025-01</v>
      </c>
      <c r="G1344" s="18">
        <f t="shared" si="121"/>
        <v>4</v>
      </c>
      <c r="H1344" t="str">
        <f t="shared" si="122"/>
        <v>DIOGO AZEVEDO</v>
      </c>
      <c r="I1344" t="str">
        <f t="shared" si="123"/>
        <v>INDUSTRIA E CERVEJARIA ARTESANAL DE MINAS GERAIS L</v>
      </c>
      <c r="J1344">
        <f t="shared" si="124"/>
        <v>0</v>
      </c>
      <c r="K1344">
        <f t="shared" si="125"/>
        <v>1</v>
      </c>
    </row>
    <row r="1345" spans="1:11" x14ac:dyDescent="0.25">
      <c r="A1345" t="s">
        <v>377</v>
      </c>
      <c r="B1345" t="s">
        <v>124</v>
      </c>
      <c r="C1345" t="s">
        <v>53</v>
      </c>
      <c r="D1345" s="3">
        <v>45681</v>
      </c>
      <c r="E1345" t="str">
        <f>VLOOKUP(B1345,'PROCV GERENTES BD'!A:B,2,0)</f>
        <v>EDUARDO MATOSO</v>
      </c>
      <c r="F1345" s="4" t="str">
        <f t="shared" si="120"/>
        <v>2025-01</v>
      </c>
      <c r="G1345" s="18">
        <f t="shared" si="121"/>
        <v>4</v>
      </c>
      <c r="H1345" t="str">
        <f t="shared" si="122"/>
        <v>EDUARDO MATOSO</v>
      </c>
      <c r="I1345" t="str">
        <f t="shared" si="123"/>
        <v>STONE ENGENHARIA E MONTAGENS INDUSTRIAIS LTDA</v>
      </c>
      <c r="J1345">
        <f t="shared" si="124"/>
        <v>1</v>
      </c>
      <c r="K1345">
        <f t="shared" si="125"/>
        <v>1</v>
      </c>
    </row>
    <row r="1346" spans="1:11" x14ac:dyDescent="0.25">
      <c r="A1346" t="s">
        <v>310</v>
      </c>
      <c r="B1346" t="s">
        <v>204</v>
      </c>
      <c r="C1346" t="s">
        <v>50</v>
      </c>
      <c r="D1346" s="3">
        <v>45681</v>
      </c>
      <c r="E1346" t="str">
        <f>VLOOKUP(B1346,'PROCV GERENTES BD'!A:B,2,0)</f>
        <v xml:space="preserve">MARCUS VINICIUS </v>
      </c>
      <c r="F1346" s="4" t="str">
        <f t="shared" ref="F1346:F1409" si="126">YEAR(D1346)&amp;"-"&amp;TEXT(MONTH(D1346),"00")</f>
        <v>2025-01</v>
      </c>
      <c r="G1346" s="18">
        <f t="shared" ref="G1346:G1409" si="127">WEEKNUM(D1346)</f>
        <v>4</v>
      </c>
      <c r="H1346" t="str">
        <f t="shared" ref="H1346:H1409" si="128">E1346</f>
        <v xml:space="preserve">MARCUS VINICIUS </v>
      </c>
      <c r="I1346" t="str">
        <f t="shared" ref="I1346:I1409" si="129">B1346</f>
        <v>INDUSTRIA E COMERCIO DE CHURRASQUEIRAS BOM JESUS L</v>
      </c>
      <c r="J1346">
        <f t="shared" ref="J1346:J1409" si="130">IF(OR(C1346="EXCLUSAO  ANOT.INADIMPLENCIA",C1346="INCL/EXCL ANOT.INADIMPLENCIA"),1,0)</f>
        <v>0</v>
      </c>
      <c r="K1346">
        <f t="shared" ref="K1346:K1409" si="131">IF(OR(C1346="INCLUSAO  ANOT.INADIMPLENCIA",C1346="INCL/EXCL ANOT.INADIMPLENCIA"),1,0)</f>
        <v>1</v>
      </c>
    </row>
    <row r="1347" spans="1:11" x14ac:dyDescent="0.25">
      <c r="A1347" t="s">
        <v>397</v>
      </c>
      <c r="B1347" t="s">
        <v>147</v>
      </c>
      <c r="C1347" t="s">
        <v>66</v>
      </c>
      <c r="D1347" s="3">
        <v>45681</v>
      </c>
      <c r="E1347" t="str">
        <f>VLOOKUP(B1347,'PROCV GERENTES BD'!A:B,2,0)</f>
        <v xml:space="preserve">MARCUS VINICIUS </v>
      </c>
      <c r="F1347" s="4" t="str">
        <f t="shared" si="126"/>
        <v>2025-01</v>
      </c>
      <c r="G1347" s="18">
        <f t="shared" si="127"/>
        <v>4</v>
      </c>
      <c r="H1347" t="str">
        <f t="shared" si="128"/>
        <v xml:space="preserve">MARCUS VINICIUS </v>
      </c>
      <c r="I1347" t="str">
        <f t="shared" si="129"/>
        <v>UNIVERSO INOX INDUSTRIA E COMERCIO LTDA EPP</v>
      </c>
      <c r="J1347">
        <f t="shared" si="130"/>
        <v>1</v>
      </c>
      <c r="K1347">
        <f t="shared" si="131"/>
        <v>0</v>
      </c>
    </row>
    <row r="1348" spans="1:11" x14ac:dyDescent="0.25">
      <c r="A1348" t="s">
        <v>375</v>
      </c>
      <c r="B1348" t="s">
        <v>120</v>
      </c>
      <c r="C1348" t="s">
        <v>50</v>
      </c>
      <c r="D1348" s="3">
        <v>45681</v>
      </c>
      <c r="E1348" t="str">
        <f>VLOOKUP(B1348,'PROCV GERENTES BD'!A:B,2,0)</f>
        <v>ADMINISTRAÇÃO</v>
      </c>
      <c r="F1348" s="4" t="str">
        <f t="shared" si="126"/>
        <v>2025-01</v>
      </c>
      <c r="G1348" s="18">
        <f t="shared" si="127"/>
        <v>4</v>
      </c>
      <c r="H1348" t="str">
        <f t="shared" si="128"/>
        <v>ADMINISTRAÇÃO</v>
      </c>
      <c r="I1348" t="str">
        <f t="shared" si="129"/>
        <v>FARINELLI NUTRIMENTOS LTDA</v>
      </c>
      <c r="J1348">
        <f t="shared" si="130"/>
        <v>0</v>
      </c>
      <c r="K1348">
        <f t="shared" si="131"/>
        <v>1</v>
      </c>
    </row>
    <row r="1349" spans="1:11" x14ac:dyDescent="0.25">
      <c r="A1349" t="s">
        <v>400</v>
      </c>
      <c r="B1349" t="s">
        <v>150</v>
      </c>
      <c r="C1349" t="s">
        <v>66</v>
      </c>
      <c r="D1349" s="3">
        <v>45681</v>
      </c>
      <c r="E1349" t="str">
        <f>VLOOKUP(B1349,'PROCV GERENTES BD'!A:B,2,0)</f>
        <v>NOELI SALETE</v>
      </c>
      <c r="F1349" s="4" t="str">
        <f t="shared" si="126"/>
        <v>2025-01</v>
      </c>
      <c r="G1349" s="18">
        <f t="shared" si="127"/>
        <v>4</v>
      </c>
      <c r="H1349" t="str">
        <f t="shared" si="128"/>
        <v>NOELI SALETE</v>
      </c>
      <c r="I1349" t="str">
        <f t="shared" si="129"/>
        <v>POOLMAK SISTEMAS ESTRUTURAIS LTDA</v>
      </c>
      <c r="J1349">
        <f t="shared" si="130"/>
        <v>1</v>
      </c>
      <c r="K1349">
        <f t="shared" si="131"/>
        <v>0</v>
      </c>
    </row>
    <row r="1350" spans="1:11" x14ac:dyDescent="0.25">
      <c r="A1350" t="s">
        <v>451</v>
      </c>
      <c r="B1350" t="s">
        <v>208</v>
      </c>
      <c r="C1350" t="s">
        <v>50</v>
      </c>
      <c r="D1350" s="3">
        <v>45681</v>
      </c>
      <c r="E1350" t="str">
        <f>VLOOKUP(B1350,'PROCV GERENTES BD'!A:B,2,0)</f>
        <v>NOELI SALETE</v>
      </c>
      <c r="F1350" s="4" t="str">
        <f t="shared" si="126"/>
        <v>2025-01</v>
      </c>
      <c r="G1350" s="18">
        <f t="shared" si="127"/>
        <v>4</v>
      </c>
      <c r="H1350" t="str">
        <f t="shared" si="128"/>
        <v>NOELI SALETE</v>
      </c>
      <c r="I1350" t="str">
        <f t="shared" si="129"/>
        <v>USIPARTS COMERCIO DE PECAS PARA USINAS LTDA ME</v>
      </c>
      <c r="J1350">
        <f t="shared" si="130"/>
        <v>0</v>
      </c>
      <c r="K1350">
        <f t="shared" si="131"/>
        <v>1</v>
      </c>
    </row>
    <row r="1351" spans="1:11" x14ac:dyDescent="0.25">
      <c r="A1351" t="s">
        <v>389</v>
      </c>
      <c r="B1351" t="s">
        <v>136</v>
      </c>
      <c r="C1351" t="s">
        <v>66</v>
      </c>
      <c r="D1351" s="3">
        <v>45681</v>
      </c>
      <c r="E1351" t="str">
        <f>VLOOKUP(B1351,'PROCV GERENTES BD'!A:B,2,0)</f>
        <v>POENATELA</v>
      </c>
      <c r="F1351" s="4" t="str">
        <f t="shared" si="126"/>
        <v>2025-01</v>
      </c>
      <c r="G1351" s="18">
        <f t="shared" si="127"/>
        <v>4</v>
      </c>
      <c r="H1351" t="str">
        <f t="shared" si="128"/>
        <v>POENATELA</v>
      </c>
      <c r="I1351" t="str">
        <f t="shared" si="129"/>
        <v>CONQUISTA INDUSTRIA DE MOVEIS S/A</v>
      </c>
      <c r="J1351">
        <f t="shared" si="130"/>
        <v>1</v>
      </c>
      <c r="K1351">
        <f t="shared" si="131"/>
        <v>0</v>
      </c>
    </row>
    <row r="1352" spans="1:11" x14ac:dyDescent="0.25">
      <c r="A1352" t="s">
        <v>452</v>
      </c>
      <c r="B1352" t="s">
        <v>209</v>
      </c>
      <c r="C1352" t="s">
        <v>50</v>
      </c>
      <c r="D1352" s="3">
        <v>45681</v>
      </c>
      <c r="E1352" t="str">
        <f>VLOOKUP(B1352,'PROCV GERENTES BD'!A:B,2,0)</f>
        <v>PRISCILA METZ</v>
      </c>
      <c r="F1352" s="4" t="str">
        <f t="shared" si="126"/>
        <v>2025-01</v>
      </c>
      <c r="G1352" s="18">
        <f t="shared" si="127"/>
        <v>4</v>
      </c>
      <c r="H1352" t="str">
        <f t="shared" si="128"/>
        <v>PRISCILA METZ</v>
      </c>
      <c r="I1352" t="str">
        <f t="shared" si="129"/>
        <v>D M RODRIGUES LTDA ME</v>
      </c>
      <c r="J1352">
        <f t="shared" si="130"/>
        <v>0</v>
      </c>
      <c r="K1352">
        <f t="shared" si="131"/>
        <v>1</v>
      </c>
    </row>
    <row r="1353" spans="1:11" x14ac:dyDescent="0.25">
      <c r="A1353" t="s">
        <v>453</v>
      </c>
      <c r="B1353" t="s">
        <v>210</v>
      </c>
      <c r="C1353" t="s">
        <v>50</v>
      </c>
      <c r="D1353" s="3">
        <v>45681</v>
      </c>
      <c r="E1353" t="str">
        <f>VLOOKUP(B1353,'PROCV GERENTES BD'!A:B,2,0)</f>
        <v>RAFAEL PARISE</v>
      </c>
      <c r="F1353" s="4" t="str">
        <f t="shared" si="126"/>
        <v>2025-01</v>
      </c>
      <c r="G1353" s="18">
        <f t="shared" si="127"/>
        <v>4</v>
      </c>
      <c r="H1353" t="str">
        <f t="shared" si="128"/>
        <v>RAFAEL PARISE</v>
      </c>
      <c r="I1353" t="str">
        <f t="shared" si="129"/>
        <v>BEIJA FLOR COMERCIO DE TINTAS LTDA</v>
      </c>
      <c r="J1353">
        <f t="shared" si="130"/>
        <v>0</v>
      </c>
      <c r="K1353">
        <f t="shared" si="131"/>
        <v>1</v>
      </c>
    </row>
    <row r="1354" spans="1:11" x14ac:dyDescent="0.25">
      <c r="A1354" t="s">
        <v>76</v>
      </c>
      <c r="B1354" t="s">
        <v>77</v>
      </c>
      <c r="C1354" t="s">
        <v>66</v>
      </c>
      <c r="D1354" s="3">
        <v>45681</v>
      </c>
      <c r="E1354" t="str">
        <f>VLOOKUP(B1354,'PROCV GERENTES BD'!A:B,2,0)</f>
        <v>RAFAEL PARISE</v>
      </c>
      <c r="F1354" s="4" t="str">
        <f t="shared" si="126"/>
        <v>2025-01</v>
      </c>
      <c r="G1354" s="18">
        <f t="shared" si="127"/>
        <v>4</v>
      </c>
      <c r="H1354" t="str">
        <f t="shared" si="128"/>
        <v>RAFAEL PARISE</v>
      </c>
      <c r="I1354" t="str">
        <f t="shared" si="129"/>
        <v>UNITA AUTO PECAS LTDA EPP</v>
      </c>
      <c r="J1354">
        <f t="shared" si="130"/>
        <v>1</v>
      </c>
      <c r="K1354">
        <f t="shared" si="131"/>
        <v>0</v>
      </c>
    </row>
    <row r="1355" spans="1:11" x14ac:dyDescent="0.25">
      <c r="A1355" t="s">
        <v>439</v>
      </c>
      <c r="B1355" t="s">
        <v>190</v>
      </c>
      <c r="C1355" t="s">
        <v>50</v>
      </c>
      <c r="D1355" s="3">
        <v>45682</v>
      </c>
      <c r="E1355" t="str">
        <f>VLOOKUP(B1355,'PROCV GERENTES BD'!A:B,2,0)</f>
        <v>ADMINISTRAÇÃO</v>
      </c>
      <c r="F1355" s="4" t="str">
        <f t="shared" si="126"/>
        <v>2025-01</v>
      </c>
      <c r="G1355" s="18">
        <f t="shared" si="127"/>
        <v>4</v>
      </c>
      <c r="H1355" t="str">
        <f t="shared" si="128"/>
        <v>ADMINISTRAÇÃO</v>
      </c>
      <c r="I1355" t="str">
        <f t="shared" si="129"/>
        <v>ELFRIG FRIGORIFICO ELDORADO LTDA ME</v>
      </c>
      <c r="J1355">
        <f t="shared" si="130"/>
        <v>0</v>
      </c>
      <c r="K1355">
        <f t="shared" si="131"/>
        <v>1</v>
      </c>
    </row>
    <row r="1356" spans="1:11" x14ac:dyDescent="0.25">
      <c r="A1356" t="s">
        <v>459</v>
      </c>
      <c r="B1356" t="s">
        <v>216</v>
      </c>
      <c r="C1356" t="s">
        <v>50</v>
      </c>
      <c r="D1356" s="3">
        <v>45682</v>
      </c>
      <c r="E1356" t="str">
        <f>VLOOKUP(B1356,'PROCV GERENTES BD'!A:B,2,0)</f>
        <v>ADMINISTRAÇÃO</v>
      </c>
      <c r="F1356" s="4" t="str">
        <f t="shared" si="126"/>
        <v>2025-01</v>
      </c>
      <c r="G1356" s="18">
        <f t="shared" si="127"/>
        <v>4</v>
      </c>
      <c r="H1356" t="str">
        <f t="shared" si="128"/>
        <v>ADMINISTRAÇÃO</v>
      </c>
      <c r="I1356" t="str">
        <f t="shared" si="129"/>
        <v>JABEZ SERVICOS COMPARTILHADOS LTDA ME</v>
      </c>
      <c r="J1356">
        <f t="shared" si="130"/>
        <v>0</v>
      </c>
      <c r="K1356">
        <f t="shared" si="131"/>
        <v>1</v>
      </c>
    </row>
    <row r="1357" spans="1:11" x14ac:dyDescent="0.25">
      <c r="A1357" t="s">
        <v>455</v>
      </c>
      <c r="B1357" t="s">
        <v>212</v>
      </c>
      <c r="C1357" t="s">
        <v>50</v>
      </c>
      <c r="D1357" s="3">
        <v>45682</v>
      </c>
      <c r="E1357" t="str">
        <f>VLOOKUP(B1357,'PROCV GERENTES BD'!A:B,2,0)</f>
        <v>ADMINISTRAÇÃO</v>
      </c>
      <c r="F1357" s="4" t="str">
        <f t="shared" si="126"/>
        <v>2025-01</v>
      </c>
      <c r="G1357" s="18">
        <f t="shared" si="127"/>
        <v>4</v>
      </c>
      <c r="H1357" t="str">
        <f t="shared" si="128"/>
        <v>ADMINISTRAÇÃO</v>
      </c>
      <c r="I1357" t="str">
        <f t="shared" si="129"/>
        <v>MAIS LAR ENGENHARIA LTDA</v>
      </c>
      <c r="J1357">
        <f t="shared" si="130"/>
        <v>0</v>
      </c>
      <c r="K1357">
        <f t="shared" si="131"/>
        <v>1</v>
      </c>
    </row>
    <row r="1358" spans="1:11" x14ac:dyDescent="0.25">
      <c r="A1358" t="s">
        <v>319</v>
      </c>
      <c r="B1358" t="s">
        <v>80</v>
      </c>
      <c r="C1358" t="s">
        <v>50</v>
      </c>
      <c r="D1358" s="3">
        <v>45682</v>
      </c>
      <c r="E1358" t="str">
        <f>VLOOKUP(B1358,'PROCV GERENTES BD'!A:B,2,0)</f>
        <v>CELIO PIMENTA</v>
      </c>
      <c r="F1358" s="4" t="str">
        <f t="shared" si="126"/>
        <v>2025-01</v>
      </c>
      <c r="G1358" s="18">
        <f t="shared" si="127"/>
        <v>4</v>
      </c>
      <c r="H1358" t="str">
        <f t="shared" si="128"/>
        <v>CELIO PIMENTA</v>
      </c>
      <c r="I1358" t="str">
        <f t="shared" si="129"/>
        <v>IMPORTEXTIL COMERCIO DE TECIDOS LTDA</v>
      </c>
      <c r="J1358">
        <f t="shared" si="130"/>
        <v>0</v>
      </c>
      <c r="K1358">
        <f t="shared" si="131"/>
        <v>1</v>
      </c>
    </row>
    <row r="1359" spans="1:11" x14ac:dyDescent="0.25">
      <c r="A1359" t="s">
        <v>450</v>
      </c>
      <c r="B1359" t="s">
        <v>207</v>
      </c>
      <c r="C1359" t="s">
        <v>53</v>
      </c>
      <c r="D1359" s="3">
        <v>45682</v>
      </c>
      <c r="E1359" t="str">
        <f>VLOOKUP(B1359,'PROCV GERENTES BD'!A:B,2,0)</f>
        <v>CELIO PIMENTA</v>
      </c>
      <c r="F1359" s="4" t="str">
        <f t="shared" si="126"/>
        <v>2025-01</v>
      </c>
      <c r="G1359" s="18">
        <f t="shared" si="127"/>
        <v>4</v>
      </c>
      <c r="H1359" t="str">
        <f t="shared" si="128"/>
        <v>CELIO PIMENTA</v>
      </c>
      <c r="I1359" t="str">
        <f t="shared" si="129"/>
        <v>LIDER COMERCIO DE UNIFORMES E EPI S LTDA ME</v>
      </c>
      <c r="J1359">
        <f t="shared" si="130"/>
        <v>1</v>
      </c>
      <c r="K1359">
        <f t="shared" si="131"/>
        <v>1</v>
      </c>
    </row>
    <row r="1360" spans="1:11" x14ac:dyDescent="0.25">
      <c r="A1360" t="s">
        <v>460</v>
      </c>
      <c r="B1360" t="s">
        <v>217</v>
      </c>
      <c r="C1360" t="s">
        <v>50</v>
      </c>
      <c r="D1360" s="3">
        <v>45682</v>
      </c>
      <c r="E1360" t="str">
        <f>VLOOKUP(B1360,'PROCV GERENTES BD'!A:B,2,0)</f>
        <v>CELIO PIMENTA</v>
      </c>
      <c r="F1360" s="4" t="str">
        <f t="shared" si="126"/>
        <v>2025-01</v>
      </c>
      <c r="G1360" s="18">
        <f t="shared" si="127"/>
        <v>4</v>
      </c>
      <c r="H1360" t="str">
        <f t="shared" si="128"/>
        <v>CELIO PIMENTA</v>
      </c>
      <c r="I1360" t="str">
        <f t="shared" si="129"/>
        <v>MINAS CLEAN DISTRIBUIDORA DE PRODUTOS PARA LIMPEZA</v>
      </c>
      <c r="J1360">
        <f t="shared" si="130"/>
        <v>0</v>
      </c>
      <c r="K1360">
        <f t="shared" si="131"/>
        <v>1</v>
      </c>
    </row>
    <row r="1361" spans="1:11" x14ac:dyDescent="0.25">
      <c r="A1361" t="s">
        <v>54</v>
      </c>
      <c r="B1361" t="s">
        <v>55</v>
      </c>
      <c r="C1361" t="s">
        <v>50</v>
      </c>
      <c r="D1361" s="3">
        <v>45682</v>
      </c>
      <c r="E1361" t="str">
        <f>VLOOKUP(B1361,'PROCV GERENTES BD'!A:B,2,0)</f>
        <v>CELIO PIMENTA</v>
      </c>
      <c r="F1361" s="4" t="str">
        <f t="shared" si="126"/>
        <v>2025-01</v>
      </c>
      <c r="G1361" s="18">
        <f t="shared" si="127"/>
        <v>4</v>
      </c>
      <c r="H1361" t="str">
        <f t="shared" si="128"/>
        <v>CELIO PIMENTA</v>
      </c>
      <c r="I1361" t="str">
        <f t="shared" si="129"/>
        <v>WJ CALDEIRARIA INDUSTRIA E COMERCIO LTDA ME</v>
      </c>
      <c r="J1361">
        <f t="shared" si="130"/>
        <v>0</v>
      </c>
      <c r="K1361">
        <f t="shared" si="131"/>
        <v>1</v>
      </c>
    </row>
    <row r="1362" spans="1:11" x14ac:dyDescent="0.25">
      <c r="A1362" t="s">
        <v>377</v>
      </c>
      <c r="B1362" t="s">
        <v>124</v>
      </c>
      <c r="C1362" t="s">
        <v>50</v>
      </c>
      <c r="D1362" s="3">
        <v>45682</v>
      </c>
      <c r="E1362" t="str">
        <f>VLOOKUP(B1362,'PROCV GERENTES BD'!A:B,2,0)</f>
        <v>EDUARDO MATOSO</v>
      </c>
      <c r="F1362" s="4" t="str">
        <f t="shared" si="126"/>
        <v>2025-01</v>
      </c>
      <c r="G1362" s="18">
        <f t="shared" si="127"/>
        <v>4</v>
      </c>
      <c r="H1362" t="str">
        <f t="shared" si="128"/>
        <v>EDUARDO MATOSO</v>
      </c>
      <c r="I1362" t="str">
        <f t="shared" si="129"/>
        <v>STONE ENGENHARIA E MONTAGENS INDUSTRIAIS LTDA</v>
      </c>
      <c r="J1362">
        <f t="shared" si="130"/>
        <v>0</v>
      </c>
      <c r="K1362">
        <f t="shared" si="131"/>
        <v>1</v>
      </c>
    </row>
    <row r="1363" spans="1:11" x14ac:dyDescent="0.25">
      <c r="A1363" t="s">
        <v>324</v>
      </c>
      <c r="B1363" t="s">
        <v>119</v>
      </c>
      <c r="C1363" t="s">
        <v>50</v>
      </c>
      <c r="D1363" s="3">
        <v>45682</v>
      </c>
      <c r="E1363" t="str">
        <f>VLOOKUP(B1363,'PROCV GERENTES BD'!A:B,2,0)</f>
        <v>PROSPECTAR</v>
      </c>
      <c r="F1363" s="4" t="str">
        <f t="shared" si="126"/>
        <v>2025-01</v>
      </c>
      <c r="G1363" s="18">
        <f t="shared" si="127"/>
        <v>4</v>
      </c>
      <c r="H1363" t="str">
        <f t="shared" si="128"/>
        <v>PROSPECTAR</v>
      </c>
      <c r="I1363" t="str">
        <f t="shared" si="129"/>
        <v>TRANSHENRY TRANSPORTES LTDA</v>
      </c>
      <c r="J1363">
        <f t="shared" si="130"/>
        <v>0</v>
      </c>
      <c r="K1363">
        <f t="shared" si="131"/>
        <v>1</v>
      </c>
    </row>
    <row r="1364" spans="1:11" x14ac:dyDescent="0.25">
      <c r="A1364" t="s">
        <v>323</v>
      </c>
      <c r="B1364" t="s">
        <v>109</v>
      </c>
      <c r="C1364" t="s">
        <v>66</v>
      </c>
      <c r="D1364" s="3">
        <v>45682</v>
      </c>
      <c r="E1364" t="str">
        <f>VLOOKUP(B1364,'PROCV GERENTES BD'!A:B,2,0)</f>
        <v>PROSPECTAR</v>
      </c>
      <c r="F1364" s="4" t="str">
        <f t="shared" si="126"/>
        <v>2025-01</v>
      </c>
      <c r="G1364" s="18">
        <f t="shared" si="127"/>
        <v>4</v>
      </c>
      <c r="H1364" t="str">
        <f t="shared" si="128"/>
        <v>PROSPECTAR</v>
      </c>
      <c r="I1364" t="str">
        <f t="shared" si="129"/>
        <v>SIAP COMERCIO DE PRODUTOS AGROPECUARIOS LTDA</v>
      </c>
      <c r="J1364">
        <f t="shared" si="130"/>
        <v>1</v>
      </c>
      <c r="K1364">
        <f t="shared" si="131"/>
        <v>0</v>
      </c>
    </row>
    <row r="1365" spans="1:11" x14ac:dyDescent="0.25">
      <c r="A1365" t="s">
        <v>350</v>
      </c>
      <c r="B1365" t="s">
        <v>95</v>
      </c>
      <c r="C1365" t="s">
        <v>50</v>
      </c>
      <c r="D1365" s="3">
        <v>45682</v>
      </c>
      <c r="E1365" t="str">
        <f>VLOOKUP(B1365,'PROCV GERENTES BD'!A:B,2,0)</f>
        <v>GRUPO OTTO</v>
      </c>
      <c r="F1365" s="4" t="str">
        <f t="shared" si="126"/>
        <v>2025-01</v>
      </c>
      <c r="G1365" s="18">
        <f t="shared" si="127"/>
        <v>4</v>
      </c>
      <c r="H1365" t="str">
        <f t="shared" si="128"/>
        <v>GRUPO OTTO</v>
      </c>
      <c r="I1365" t="str">
        <f t="shared" si="129"/>
        <v>PLURIFORME INDUSTRIA E COMERCIO DE UNIFORMES LTDA</v>
      </c>
      <c r="J1365">
        <f t="shared" si="130"/>
        <v>0</v>
      </c>
      <c r="K1365">
        <f t="shared" si="131"/>
        <v>1</v>
      </c>
    </row>
    <row r="1366" spans="1:11" x14ac:dyDescent="0.25">
      <c r="A1366" t="s">
        <v>318</v>
      </c>
      <c r="B1366" t="s">
        <v>203</v>
      </c>
      <c r="C1366" t="s">
        <v>66</v>
      </c>
      <c r="D1366" s="3">
        <v>45682</v>
      </c>
      <c r="E1366" t="str">
        <f>VLOOKUP(B1366,'PROCV GERENTES BD'!A:B,2,0)</f>
        <v>JOSE ROBERTO</v>
      </c>
      <c r="F1366" s="4" t="str">
        <f t="shared" si="126"/>
        <v>2025-01</v>
      </c>
      <c r="G1366" s="18">
        <f t="shared" si="127"/>
        <v>4</v>
      </c>
      <c r="H1366" t="str">
        <f t="shared" si="128"/>
        <v>JOSE ROBERTO</v>
      </c>
      <c r="I1366" t="str">
        <f t="shared" si="129"/>
        <v>FUNDACAO DE ENSINO E PESQUISA DO SUL DE MINAS FEPE</v>
      </c>
      <c r="J1366">
        <f t="shared" si="130"/>
        <v>1</v>
      </c>
      <c r="K1366">
        <f t="shared" si="131"/>
        <v>0</v>
      </c>
    </row>
    <row r="1367" spans="1:11" x14ac:dyDescent="0.25">
      <c r="A1367" t="s">
        <v>395</v>
      </c>
      <c r="B1367" t="s">
        <v>145</v>
      </c>
      <c r="C1367" t="s">
        <v>66</v>
      </c>
      <c r="D1367" s="3">
        <v>45682</v>
      </c>
      <c r="E1367" t="str">
        <f>VLOOKUP(B1367,'PROCV GERENTES BD'!A:B,2,0)</f>
        <v>MARCIO LEONEL</v>
      </c>
      <c r="F1367" s="4" t="str">
        <f t="shared" si="126"/>
        <v>2025-01</v>
      </c>
      <c r="G1367" s="18">
        <f t="shared" si="127"/>
        <v>4</v>
      </c>
      <c r="H1367" t="str">
        <f t="shared" si="128"/>
        <v>MARCIO LEONEL</v>
      </c>
      <c r="I1367" t="str">
        <f t="shared" si="129"/>
        <v>MEDICAL PRIME IMP EXPORT DISTRIB PRODUTOS MEDICOS</v>
      </c>
      <c r="J1367">
        <f t="shared" si="130"/>
        <v>1</v>
      </c>
      <c r="K1367">
        <f t="shared" si="131"/>
        <v>0</v>
      </c>
    </row>
    <row r="1368" spans="1:11" x14ac:dyDescent="0.25">
      <c r="A1368" t="s">
        <v>385</v>
      </c>
      <c r="B1368" t="s">
        <v>132</v>
      </c>
      <c r="C1368" t="s">
        <v>50</v>
      </c>
      <c r="D1368" s="3">
        <v>45682</v>
      </c>
      <c r="E1368" t="str">
        <f>VLOOKUP(B1368,'PROCV GERENTES BD'!A:B,2,0)</f>
        <v xml:space="preserve">MARCUS VINICIUS </v>
      </c>
      <c r="F1368" s="4" t="str">
        <f t="shared" si="126"/>
        <v>2025-01</v>
      </c>
      <c r="G1368" s="18">
        <f t="shared" si="127"/>
        <v>4</v>
      </c>
      <c r="H1368" t="str">
        <f t="shared" si="128"/>
        <v xml:space="preserve">MARCUS VINICIUS </v>
      </c>
      <c r="I1368" t="str">
        <f t="shared" si="129"/>
        <v>RODOANEL REFORMADORA DE IMPLEMENTOS RODOVIARIOS LT</v>
      </c>
      <c r="J1368">
        <f t="shared" si="130"/>
        <v>0</v>
      </c>
      <c r="K1368">
        <f t="shared" si="131"/>
        <v>1</v>
      </c>
    </row>
    <row r="1369" spans="1:11" x14ac:dyDescent="0.25">
      <c r="A1369" t="s">
        <v>419</v>
      </c>
      <c r="B1369" t="s">
        <v>199</v>
      </c>
      <c r="C1369" t="s">
        <v>50</v>
      </c>
      <c r="D1369" s="3">
        <v>45682</v>
      </c>
      <c r="E1369" t="str">
        <f>VLOOKUP(B1369,'PROCV GERENTES BD'!A:B,2,0)</f>
        <v>NOELI SALETE</v>
      </c>
      <c r="F1369" s="4" t="str">
        <f t="shared" si="126"/>
        <v>2025-01</v>
      </c>
      <c r="G1369" s="18">
        <f t="shared" si="127"/>
        <v>4</v>
      </c>
      <c r="H1369" t="str">
        <f t="shared" si="128"/>
        <v>NOELI SALETE</v>
      </c>
      <c r="I1369" t="str">
        <f t="shared" si="129"/>
        <v>GLOBAL ACO SERV PRODUTOS SIDERURGICOS LTDA RECUPER</v>
      </c>
      <c r="J1369">
        <f t="shared" si="130"/>
        <v>0</v>
      </c>
      <c r="K1369">
        <f t="shared" si="131"/>
        <v>1</v>
      </c>
    </row>
    <row r="1370" spans="1:11" x14ac:dyDescent="0.25">
      <c r="A1370" t="s">
        <v>394</v>
      </c>
      <c r="B1370" t="s">
        <v>143</v>
      </c>
      <c r="C1370" t="s">
        <v>50</v>
      </c>
      <c r="D1370" s="3">
        <v>45682</v>
      </c>
      <c r="E1370" t="str">
        <f>VLOOKUP(B1370,'PROCV GERENTES BD'!A:B,2,0)</f>
        <v>NOELI SALETE</v>
      </c>
      <c r="F1370" s="4" t="str">
        <f t="shared" si="126"/>
        <v>2025-01</v>
      </c>
      <c r="G1370" s="18">
        <f t="shared" si="127"/>
        <v>4</v>
      </c>
      <c r="H1370" t="str">
        <f t="shared" si="128"/>
        <v>NOELI SALETE</v>
      </c>
      <c r="I1370" t="str">
        <f t="shared" si="129"/>
        <v>ALBERTO H DA SILVA ME</v>
      </c>
      <c r="J1370">
        <f t="shared" si="130"/>
        <v>0</v>
      </c>
      <c r="K1370">
        <f t="shared" si="131"/>
        <v>1</v>
      </c>
    </row>
    <row r="1371" spans="1:11" x14ac:dyDescent="0.25">
      <c r="A1371" t="s">
        <v>346</v>
      </c>
      <c r="B1371" t="s">
        <v>91</v>
      </c>
      <c r="C1371" t="s">
        <v>66</v>
      </c>
      <c r="D1371" s="3">
        <v>45682</v>
      </c>
      <c r="E1371" t="str">
        <f>VLOOKUP(B1371,'PROCV GERENTES BD'!A:B,2,0)</f>
        <v>POENATELA</v>
      </c>
      <c r="F1371" s="4" t="str">
        <f t="shared" si="126"/>
        <v>2025-01</v>
      </c>
      <c r="G1371" s="18">
        <f t="shared" si="127"/>
        <v>4</v>
      </c>
      <c r="H1371" t="str">
        <f t="shared" si="128"/>
        <v>POENATELA</v>
      </c>
      <c r="I1371" t="str">
        <f t="shared" si="129"/>
        <v>UBERTEC SERVICE USINAGEM LTDA EPP</v>
      </c>
      <c r="J1371">
        <f t="shared" si="130"/>
        <v>1</v>
      </c>
      <c r="K1371">
        <f t="shared" si="131"/>
        <v>0</v>
      </c>
    </row>
    <row r="1372" spans="1:11" x14ac:dyDescent="0.25">
      <c r="A1372" t="s">
        <v>452</v>
      </c>
      <c r="B1372" t="s">
        <v>209</v>
      </c>
      <c r="C1372" t="s">
        <v>50</v>
      </c>
      <c r="D1372" s="3">
        <v>45682</v>
      </c>
      <c r="E1372" t="str">
        <f>VLOOKUP(B1372,'PROCV GERENTES BD'!A:B,2,0)</f>
        <v>PRISCILA METZ</v>
      </c>
      <c r="F1372" s="4" t="str">
        <f t="shared" si="126"/>
        <v>2025-01</v>
      </c>
      <c r="G1372" s="18">
        <f t="shared" si="127"/>
        <v>4</v>
      </c>
      <c r="H1372" t="str">
        <f t="shared" si="128"/>
        <v>PRISCILA METZ</v>
      </c>
      <c r="I1372" t="str">
        <f t="shared" si="129"/>
        <v>D M RODRIGUES LTDA ME</v>
      </c>
      <c r="J1372">
        <f t="shared" si="130"/>
        <v>0</v>
      </c>
      <c r="K1372">
        <f t="shared" si="131"/>
        <v>1</v>
      </c>
    </row>
    <row r="1373" spans="1:11" x14ac:dyDescent="0.25">
      <c r="A1373" t="s">
        <v>409</v>
      </c>
      <c r="B1373" t="s">
        <v>159</v>
      </c>
      <c r="C1373" t="s">
        <v>50</v>
      </c>
      <c r="D1373" s="3">
        <v>45682</v>
      </c>
      <c r="E1373" t="str">
        <f>VLOOKUP(B1373,'PROCV GERENTES BD'!A:B,2,0)</f>
        <v>RAFAEL PARISE</v>
      </c>
      <c r="F1373" s="4" t="str">
        <f t="shared" si="126"/>
        <v>2025-01</v>
      </c>
      <c r="G1373" s="18">
        <f t="shared" si="127"/>
        <v>4</v>
      </c>
      <c r="H1373" t="str">
        <f t="shared" si="128"/>
        <v>RAFAEL PARISE</v>
      </c>
      <c r="I1373" t="str">
        <f t="shared" si="129"/>
        <v>OXIGAS RESIDUOS ESPECIAIS LTDA EPP</v>
      </c>
      <c r="J1373">
        <f t="shared" si="130"/>
        <v>0</v>
      </c>
      <c r="K1373">
        <f t="shared" si="131"/>
        <v>1</v>
      </c>
    </row>
    <row r="1374" spans="1:11" x14ac:dyDescent="0.25">
      <c r="A1374" t="s">
        <v>326</v>
      </c>
      <c r="B1374" t="s">
        <v>122</v>
      </c>
      <c r="C1374" t="s">
        <v>50</v>
      </c>
      <c r="D1374" s="3">
        <v>45682</v>
      </c>
      <c r="E1374" t="s">
        <v>21</v>
      </c>
      <c r="F1374" s="4" t="str">
        <f t="shared" si="126"/>
        <v>2025-01</v>
      </c>
      <c r="G1374" s="18">
        <f t="shared" si="127"/>
        <v>4</v>
      </c>
      <c r="H1374" t="str">
        <f t="shared" si="128"/>
        <v xml:space="preserve">ROGERIO </v>
      </c>
      <c r="I1374" t="str">
        <f t="shared" si="129"/>
        <v>BIBE PRODUTOS INFANTIS LTDA</v>
      </c>
      <c r="J1374">
        <f t="shared" si="130"/>
        <v>0</v>
      </c>
      <c r="K1374">
        <f t="shared" si="131"/>
        <v>1</v>
      </c>
    </row>
    <row r="1375" spans="1:11" x14ac:dyDescent="0.25">
      <c r="A1375" t="s">
        <v>325</v>
      </c>
      <c r="B1375" t="s">
        <v>138</v>
      </c>
      <c r="C1375" t="s">
        <v>66</v>
      </c>
      <c r="D1375" s="3">
        <v>45682</v>
      </c>
      <c r="E1375" t="str">
        <f>VLOOKUP(B1375,'PROCV GERENTES BD'!A:B,2,0)</f>
        <v>SACADO</v>
      </c>
      <c r="F1375" s="4" t="str">
        <f t="shared" si="126"/>
        <v>2025-01</v>
      </c>
      <c r="G1375" s="18">
        <f t="shared" si="127"/>
        <v>4</v>
      </c>
      <c r="H1375" t="str">
        <f t="shared" si="128"/>
        <v>SACADO</v>
      </c>
      <c r="I1375" t="str">
        <f t="shared" si="129"/>
        <v>ALLIAGE S A INDUSTRIAS MEDICO ODONTOLOGICA</v>
      </c>
      <c r="J1375">
        <f t="shared" si="130"/>
        <v>1</v>
      </c>
      <c r="K1375">
        <f t="shared" si="131"/>
        <v>0</v>
      </c>
    </row>
    <row r="1376" spans="1:11" x14ac:dyDescent="0.25">
      <c r="A1376" t="s">
        <v>461</v>
      </c>
      <c r="B1376" t="s">
        <v>218</v>
      </c>
      <c r="C1376" t="s">
        <v>50</v>
      </c>
      <c r="D1376" s="3">
        <v>45682</v>
      </c>
      <c r="E1376" t="str">
        <f>VLOOKUP(B1376,'PROCV GERENTES BD'!A:B,2,0)</f>
        <v>SACADO</v>
      </c>
      <c r="F1376" s="4" t="str">
        <f t="shared" si="126"/>
        <v>2025-01</v>
      </c>
      <c r="G1376" s="18">
        <f t="shared" si="127"/>
        <v>4</v>
      </c>
      <c r="H1376" t="str">
        <f t="shared" si="128"/>
        <v>SACADO</v>
      </c>
      <c r="I1376" t="str">
        <f t="shared" si="129"/>
        <v>KUARA COMERCIAL E EXPORTADORA DE FRUTAS LTDA</v>
      </c>
      <c r="J1376">
        <f t="shared" si="130"/>
        <v>0</v>
      </c>
      <c r="K1376">
        <f t="shared" si="131"/>
        <v>1</v>
      </c>
    </row>
    <row r="1377" spans="1:11" x14ac:dyDescent="0.25">
      <c r="A1377" t="s">
        <v>393</v>
      </c>
      <c r="B1377" t="s">
        <v>142</v>
      </c>
      <c r="C1377" t="s">
        <v>66</v>
      </c>
      <c r="D1377" s="3">
        <v>45682</v>
      </c>
      <c r="E1377" t="str">
        <f>VLOOKUP(B1377,'PROCV GERENTES BD'!A:B,2,0)</f>
        <v>ADMINISTRAÇÃO</v>
      </c>
      <c r="F1377" s="4" t="str">
        <f t="shared" si="126"/>
        <v>2025-01</v>
      </c>
      <c r="G1377" s="18">
        <f t="shared" si="127"/>
        <v>4</v>
      </c>
      <c r="H1377" t="str">
        <f t="shared" si="128"/>
        <v>ADMINISTRAÇÃO</v>
      </c>
      <c r="I1377" t="str">
        <f t="shared" si="129"/>
        <v>MONTAGEM MINAS GERAIS LTDA ME</v>
      </c>
      <c r="J1377">
        <f t="shared" si="130"/>
        <v>1</v>
      </c>
      <c r="K1377">
        <f t="shared" si="131"/>
        <v>0</v>
      </c>
    </row>
    <row r="1378" spans="1:11" x14ac:dyDescent="0.25">
      <c r="A1378" t="s">
        <v>331</v>
      </c>
      <c r="B1378" t="s">
        <v>144</v>
      </c>
      <c r="C1378" t="s">
        <v>50</v>
      </c>
      <c r="D1378" s="3">
        <v>45685</v>
      </c>
      <c r="E1378" t="str">
        <f>VLOOKUP(B1378,'PROCV GERENTES BD'!A:B,2,0)</f>
        <v>ADMINISTRAÇÃO</v>
      </c>
      <c r="F1378" s="4" t="str">
        <f t="shared" si="126"/>
        <v>2025-01</v>
      </c>
      <c r="G1378" s="18">
        <f t="shared" si="127"/>
        <v>5</v>
      </c>
      <c r="H1378" t="str">
        <f t="shared" si="128"/>
        <v>ADMINISTRAÇÃO</v>
      </c>
      <c r="I1378" t="str">
        <f t="shared" si="129"/>
        <v>BOM PASTOR PAPEIS LTDA EM RECUPERACAO JUDICIAL</v>
      </c>
      <c r="J1378">
        <f t="shared" si="130"/>
        <v>0</v>
      </c>
      <c r="K1378">
        <f t="shared" si="131"/>
        <v>1</v>
      </c>
    </row>
    <row r="1379" spans="1:11" x14ac:dyDescent="0.25">
      <c r="A1379" t="s">
        <v>439</v>
      </c>
      <c r="B1379" t="s">
        <v>190</v>
      </c>
      <c r="C1379" t="s">
        <v>66</v>
      </c>
      <c r="D1379" s="3">
        <v>45685</v>
      </c>
      <c r="E1379" t="str">
        <f>VLOOKUP(B1379,'PROCV GERENTES BD'!A:B,2,0)</f>
        <v>ADMINISTRAÇÃO</v>
      </c>
      <c r="F1379" s="4" t="str">
        <f t="shared" si="126"/>
        <v>2025-01</v>
      </c>
      <c r="G1379" s="18">
        <f t="shared" si="127"/>
        <v>5</v>
      </c>
      <c r="H1379" t="str">
        <f t="shared" si="128"/>
        <v>ADMINISTRAÇÃO</v>
      </c>
      <c r="I1379" t="str">
        <f t="shared" si="129"/>
        <v>ELFRIG FRIGORIFICO ELDORADO LTDA ME</v>
      </c>
      <c r="J1379">
        <f t="shared" si="130"/>
        <v>1</v>
      </c>
      <c r="K1379">
        <f t="shared" si="131"/>
        <v>0</v>
      </c>
    </row>
    <row r="1380" spans="1:11" x14ac:dyDescent="0.25">
      <c r="A1380" t="s">
        <v>455</v>
      </c>
      <c r="B1380" t="s">
        <v>212</v>
      </c>
      <c r="C1380" t="s">
        <v>66</v>
      </c>
      <c r="D1380" s="3">
        <v>45685</v>
      </c>
      <c r="E1380" t="str">
        <f>VLOOKUP(B1380,'PROCV GERENTES BD'!A:B,2,0)</f>
        <v>ADMINISTRAÇÃO</v>
      </c>
      <c r="F1380" s="4" t="str">
        <f t="shared" si="126"/>
        <v>2025-01</v>
      </c>
      <c r="G1380" s="18">
        <f t="shared" si="127"/>
        <v>5</v>
      </c>
      <c r="H1380" t="str">
        <f t="shared" si="128"/>
        <v>ADMINISTRAÇÃO</v>
      </c>
      <c r="I1380" t="str">
        <f t="shared" si="129"/>
        <v>MAIS LAR ENGENHARIA LTDA</v>
      </c>
      <c r="J1380">
        <f t="shared" si="130"/>
        <v>1</v>
      </c>
      <c r="K1380">
        <f t="shared" si="131"/>
        <v>0</v>
      </c>
    </row>
    <row r="1381" spans="1:11" x14ac:dyDescent="0.25">
      <c r="A1381" t="s">
        <v>382</v>
      </c>
      <c r="B1381" t="s">
        <v>129</v>
      </c>
      <c r="C1381" t="s">
        <v>66</v>
      </c>
      <c r="D1381" s="3">
        <v>45685</v>
      </c>
      <c r="E1381" t="str">
        <f>VLOOKUP(B1381,'PROCV GERENTES BD'!A:B,2,0)</f>
        <v>ADMINISTRAÇÃO</v>
      </c>
      <c r="F1381" s="4" t="str">
        <f t="shared" si="126"/>
        <v>2025-01</v>
      </c>
      <c r="G1381" s="18">
        <f t="shared" si="127"/>
        <v>5</v>
      </c>
      <c r="H1381" t="str">
        <f t="shared" si="128"/>
        <v>ADMINISTRAÇÃO</v>
      </c>
      <c r="I1381" t="str">
        <f t="shared" si="129"/>
        <v>XEQUE MATE BEBIDAS LTDA ME</v>
      </c>
      <c r="J1381">
        <f t="shared" si="130"/>
        <v>1</v>
      </c>
      <c r="K1381">
        <f t="shared" si="131"/>
        <v>0</v>
      </c>
    </row>
    <row r="1382" spans="1:11" x14ac:dyDescent="0.25">
      <c r="A1382" t="s">
        <v>372</v>
      </c>
      <c r="B1382" t="s">
        <v>116</v>
      </c>
      <c r="C1382" t="s">
        <v>50</v>
      </c>
      <c r="D1382" s="3">
        <v>45685</v>
      </c>
      <c r="E1382" t="str">
        <f>VLOOKUP(B1382,'PROCV GERENTES BD'!A:B,2,0)</f>
        <v>ADMINISTRAÇÃO</v>
      </c>
      <c r="F1382" s="4" t="str">
        <f t="shared" si="126"/>
        <v>2025-01</v>
      </c>
      <c r="G1382" s="18">
        <f t="shared" si="127"/>
        <v>5</v>
      </c>
      <c r="H1382" t="str">
        <f t="shared" si="128"/>
        <v>ADMINISTRAÇÃO</v>
      </c>
      <c r="I1382" t="str">
        <f t="shared" si="129"/>
        <v>PREMOLDADOS MATOSINHOS LTDA EPP</v>
      </c>
      <c r="J1382">
        <f t="shared" si="130"/>
        <v>0</v>
      </c>
      <c r="K1382">
        <f t="shared" si="131"/>
        <v>1</v>
      </c>
    </row>
    <row r="1383" spans="1:11" x14ac:dyDescent="0.25">
      <c r="A1383" t="s">
        <v>319</v>
      </c>
      <c r="B1383" t="s">
        <v>80</v>
      </c>
      <c r="C1383" t="s">
        <v>50</v>
      </c>
      <c r="D1383" s="3">
        <v>45685</v>
      </c>
      <c r="E1383" t="str">
        <f>VLOOKUP(B1383,'PROCV GERENTES BD'!A:B,2,0)</f>
        <v>CELIO PIMENTA</v>
      </c>
      <c r="F1383" s="4" t="str">
        <f t="shared" si="126"/>
        <v>2025-01</v>
      </c>
      <c r="G1383" s="18">
        <f t="shared" si="127"/>
        <v>5</v>
      </c>
      <c r="H1383" t="str">
        <f t="shared" si="128"/>
        <v>CELIO PIMENTA</v>
      </c>
      <c r="I1383" t="str">
        <f t="shared" si="129"/>
        <v>IMPORTEXTIL COMERCIO DE TECIDOS LTDA</v>
      </c>
      <c r="J1383">
        <f t="shared" si="130"/>
        <v>0</v>
      </c>
      <c r="K1383">
        <f t="shared" si="131"/>
        <v>1</v>
      </c>
    </row>
    <row r="1384" spans="1:11" x14ac:dyDescent="0.25">
      <c r="A1384" t="s">
        <v>450</v>
      </c>
      <c r="B1384" t="s">
        <v>207</v>
      </c>
      <c r="C1384" t="s">
        <v>50</v>
      </c>
      <c r="D1384" s="3">
        <v>45685</v>
      </c>
      <c r="E1384" t="str">
        <f>VLOOKUP(B1384,'PROCV GERENTES BD'!A:B,2,0)</f>
        <v>CELIO PIMENTA</v>
      </c>
      <c r="F1384" s="4" t="str">
        <f t="shared" si="126"/>
        <v>2025-01</v>
      </c>
      <c r="G1384" s="18">
        <f t="shared" si="127"/>
        <v>5</v>
      </c>
      <c r="H1384" t="str">
        <f t="shared" si="128"/>
        <v>CELIO PIMENTA</v>
      </c>
      <c r="I1384" t="str">
        <f t="shared" si="129"/>
        <v>LIDER COMERCIO DE UNIFORMES E EPI S LTDA ME</v>
      </c>
      <c r="J1384">
        <f t="shared" si="130"/>
        <v>0</v>
      </c>
      <c r="K1384">
        <f t="shared" si="131"/>
        <v>1</v>
      </c>
    </row>
    <row r="1385" spans="1:11" x14ac:dyDescent="0.25">
      <c r="A1385" t="s">
        <v>311</v>
      </c>
      <c r="B1385" t="s">
        <v>81</v>
      </c>
      <c r="C1385" t="s">
        <v>50</v>
      </c>
      <c r="D1385" s="3">
        <v>45685</v>
      </c>
      <c r="E1385" t="str">
        <f>VLOOKUP(B1385,'PROCV GERENTES BD'!A:B,2,0)</f>
        <v>CELIO PIMENTA</v>
      </c>
      <c r="F1385" s="4" t="str">
        <f t="shared" si="126"/>
        <v>2025-01</v>
      </c>
      <c r="G1385" s="18">
        <f t="shared" si="127"/>
        <v>5</v>
      </c>
      <c r="H1385" t="str">
        <f t="shared" si="128"/>
        <v>CELIO PIMENTA</v>
      </c>
      <c r="I1385" t="str">
        <f t="shared" si="129"/>
        <v>MBIOLOG DIAGNOSTICOS LTDA</v>
      </c>
      <c r="J1385">
        <f t="shared" si="130"/>
        <v>0</v>
      </c>
      <c r="K1385">
        <f t="shared" si="131"/>
        <v>1</v>
      </c>
    </row>
    <row r="1386" spans="1:11" x14ac:dyDescent="0.25">
      <c r="A1386" t="s">
        <v>54</v>
      </c>
      <c r="B1386" t="s">
        <v>55</v>
      </c>
      <c r="C1386" t="s">
        <v>50</v>
      </c>
      <c r="D1386" s="3">
        <v>45685</v>
      </c>
      <c r="E1386" t="str">
        <f>VLOOKUP(B1386,'PROCV GERENTES BD'!A:B,2,0)</f>
        <v>CELIO PIMENTA</v>
      </c>
      <c r="F1386" s="4" t="str">
        <f t="shared" si="126"/>
        <v>2025-01</v>
      </c>
      <c r="G1386" s="18">
        <f t="shared" si="127"/>
        <v>5</v>
      </c>
      <c r="H1386" t="str">
        <f t="shared" si="128"/>
        <v>CELIO PIMENTA</v>
      </c>
      <c r="I1386" t="str">
        <f t="shared" si="129"/>
        <v>WJ CALDEIRARIA INDUSTRIA E COMERCIO LTDA ME</v>
      </c>
      <c r="J1386">
        <f t="shared" si="130"/>
        <v>0</v>
      </c>
      <c r="K1386">
        <f t="shared" si="131"/>
        <v>1</v>
      </c>
    </row>
    <row r="1387" spans="1:11" x14ac:dyDescent="0.25">
      <c r="A1387" t="s">
        <v>358</v>
      </c>
      <c r="B1387" t="s">
        <v>104</v>
      </c>
      <c r="C1387" t="s">
        <v>50</v>
      </c>
      <c r="D1387" s="3">
        <v>45685</v>
      </c>
      <c r="E1387" t="str">
        <f>VLOOKUP(B1387,'PROCV GERENTES BD'!A:B,2,0)</f>
        <v>DIOGO AZEVEDO</v>
      </c>
      <c r="F1387" s="4" t="str">
        <f t="shared" si="126"/>
        <v>2025-01</v>
      </c>
      <c r="G1387" s="18">
        <f t="shared" si="127"/>
        <v>5</v>
      </c>
      <c r="H1387" t="str">
        <f t="shared" si="128"/>
        <v>DIOGO AZEVEDO</v>
      </c>
      <c r="I1387" t="str">
        <f t="shared" si="129"/>
        <v>INDUSTRIA E CERVEJARIA ARTESANAL DE MINAS GERAIS L</v>
      </c>
      <c r="J1387">
        <f t="shared" si="130"/>
        <v>0</v>
      </c>
      <c r="K1387">
        <f t="shared" si="131"/>
        <v>1</v>
      </c>
    </row>
    <row r="1388" spans="1:11" x14ac:dyDescent="0.25">
      <c r="A1388" t="s">
        <v>377</v>
      </c>
      <c r="B1388" t="s">
        <v>124</v>
      </c>
      <c r="C1388" t="s">
        <v>50</v>
      </c>
      <c r="D1388" s="3">
        <v>45685</v>
      </c>
      <c r="E1388" t="str">
        <f>VLOOKUP(B1388,'PROCV GERENTES BD'!A:B,2,0)</f>
        <v>EDUARDO MATOSO</v>
      </c>
      <c r="F1388" s="4" t="str">
        <f t="shared" si="126"/>
        <v>2025-01</v>
      </c>
      <c r="G1388" s="18">
        <f t="shared" si="127"/>
        <v>5</v>
      </c>
      <c r="H1388" t="str">
        <f t="shared" si="128"/>
        <v>EDUARDO MATOSO</v>
      </c>
      <c r="I1388" t="str">
        <f t="shared" si="129"/>
        <v>STONE ENGENHARIA E MONTAGENS INDUSTRIAIS LTDA</v>
      </c>
      <c r="J1388">
        <f t="shared" si="130"/>
        <v>0</v>
      </c>
      <c r="K1388">
        <f t="shared" si="131"/>
        <v>1</v>
      </c>
    </row>
    <row r="1389" spans="1:11" x14ac:dyDescent="0.25">
      <c r="A1389" t="s">
        <v>443</v>
      </c>
      <c r="B1389" t="s">
        <v>194</v>
      </c>
      <c r="C1389" t="s">
        <v>50</v>
      </c>
      <c r="D1389" s="3">
        <v>45685</v>
      </c>
      <c r="E1389" t="str">
        <f>VLOOKUP(B1389,'PROCV GERENTES BD'!A:B,2,0)</f>
        <v>PROSPECTAR</v>
      </c>
      <c r="F1389" s="4" t="str">
        <f t="shared" si="126"/>
        <v>2025-01</v>
      </c>
      <c r="G1389" s="18">
        <f t="shared" si="127"/>
        <v>5</v>
      </c>
      <c r="H1389" t="str">
        <f t="shared" si="128"/>
        <v>PROSPECTAR</v>
      </c>
      <c r="I1389" t="str">
        <f t="shared" si="129"/>
        <v>ALPLAST ATACADISTA E APOIO ADMINISTRATIVO LTDA EPP</v>
      </c>
      <c r="J1389">
        <f t="shared" si="130"/>
        <v>0</v>
      </c>
      <c r="K1389">
        <f t="shared" si="131"/>
        <v>1</v>
      </c>
    </row>
    <row r="1390" spans="1:11" x14ac:dyDescent="0.25">
      <c r="A1390" t="s">
        <v>324</v>
      </c>
      <c r="B1390" t="s">
        <v>119</v>
      </c>
      <c r="C1390" t="s">
        <v>50</v>
      </c>
      <c r="D1390" s="3">
        <v>45685</v>
      </c>
      <c r="E1390" t="str">
        <f>VLOOKUP(B1390,'PROCV GERENTES BD'!A:B,2,0)</f>
        <v>PROSPECTAR</v>
      </c>
      <c r="F1390" s="4" t="str">
        <f t="shared" si="126"/>
        <v>2025-01</v>
      </c>
      <c r="G1390" s="18">
        <f t="shared" si="127"/>
        <v>5</v>
      </c>
      <c r="H1390" t="str">
        <f t="shared" si="128"/>
        <v>PROSPECTAR</v>
      </c>
      <c r="I1390" t="str">
        <f t="shared" si="129"/>
        <v>TRANSHENRY TRANSPORTES LTDA</v>
      </c>
      <c r="J1390">
        <f t="shared" si="130"/>
        <v>0</v>
      </c>
      <c r="K1390">
        <f t="shared" si="131"/>
        <v>1</v>
      </c>
    </row>
    <row r="1391" spans="1:11" x14ac:dyDescent="0.25">
      <c r="A1391" t="s">
        <v>323</v>
      </c>
      <c r="B1391" t="s">
        <v>109</v>
      </c>
      <c r="C1391" t="s">
        <v>50</v>
      </c>
      <c r="D1391" s="3">
        <v>45685</v>
      </c>
      <c r="E1391" t="str">
        <f>VLOOKUP(B1391,'PROCV GERENTES BD'!A:B,2,0)</f>
        <v>PROSPECTAR</v>
      </c>
      <c r="F1391" s="4" t="str">
        <f t="shared" si="126"/>
        <v>2025-01</v>
      </c>
      <c r="G1391" s="18">
        <f t="shared" si="127"/>
        <v>5</v>
      </c>
      <c r="H1391" t="str">
        <f t="shared" si="128"/>
        <v>PROSPECTAR</v>
      </c>
      <c r="I1391" t="str">
        <f t="shared" si="129"/>
        <v>SIAP COMERCIO DE PRODUTOS AGROPECUARIOS LTDA</v>
      </c>
      <c r="J1391">
        <f t="shared" si="130"/>
        <v>0</v>
      </c>
      <c r="K1391">
        <f t="shared" si="131"/>
        <v>1</v>
      </c>
    </row>
    <row r="1392" spans="1:11" x14ac:dyDescent="0.25">
      <c r="A1392" t="s">
        <v>462</v>
      </c>
      <c r="B1392" t="s">
        <v>219</v>
      </c>
      <c r="C1392" t="s">
        <v>66</v>
      </c>
      <c r="D1392" s="3">
        <v>45685</v>
      </c>
      <c r="E1392" t="str">
        <f>VLOOKUP(B1392,'PROCV GERENTES BD'!A:B,2,0)</f>
        <v>LIBER</v>
      </c>
      <c r="F1392" s="4" t="str">
        <f t="shared" si="126"/>
        <v>2025-01</v>
      </c>
      <c r="G1392" s="18">
        <f t="shared" si="127"/>
        <v>5</v>
      </c>
      <c r="H1392" t="str">
        <f t="shared" si="128"/>
        <v>LIBER</v>
      </c>
      <c r="I1392" t="str">
        <f t="shared" si="129"/>
        <v>CNM CHICOTES ELETRICOS LTDA EPP</v>
      </c>
      <c r="J1392">
        <f t="shared" si="130"/>
        <v>1</v>
      </c>
      <c r="K1392">
        <f t="shared" si="131"/>
        <v>0</v>
      </c>
    </row>
    <row r="1393" spans="1:11" x14ac:dyDescent="0.25">
      <c r="A1393" t="s">
        <v>395</v>
      </c>
      <c r="B1393" t="s">
        <v>145</v>
      </c>
      <c r="C1393" t="s">
        <v>50</v>
      </c>
      <c r="D1393" s="3">
        <v>45685</v>
      </c>
      <c r="E1393" t="str">
        <f>VLOOKUP(B1393,'PROCV GERENTES BD'!A:B,2,0)</f>
        <v>MARCIO LEONEL</v>
      </c>
      <c r="F1393" s="4" t="str">
        <f t="shared" si="126"/>
        <v>2025-01</v>
      </c>
      <c r="G1393" s="18">
        <f t="shared" si="127"/>
        <v>5</v>
      </c>
      <c r="H1393" t="str">
        <f t="shared" si="128"/>
        <v>MARCIO LEONEL</v>
      </c>
      <c r="I1393" t="str">
        <f t="shared" si="129"/>
        <v>MEDICAL PRIME IMP EXPORT DISTRIB PRODUTOS MEDICOS</v>
      </c>
      <c r="J1393">
        <f t="shared" si="130"/>
        <v>0</v>
      </c>
      <c r="K1393">
        <f t="shared" si="131"/>
        <v>1</v>
      </c>
    </row>
    <row r="1394" spans="1:11" x14ac:dyDescent="0.25">
      <c r="A1394" t="s">
        <v>428</v>
      </c>
      <c r="B1394" t="s">
        <v>179</v>
      </c>
      <c r="C1394" t="s">
        <v>50</v>
      </c>
      <c r="D1394" s="3">
        <v>45685</v>
      </c>
      <c r="E1394" t="str">
        <f>VLOOKUP(B1394,'PROCV GERENTES BD'!A:B,2,0)</f>
        <v xml:space="preserve">MARCUS VINICIUS </v>
      </c>
      <c r="F1394" s="4" t="str">
        <f t="shared" si="126"/>
        <v>2025-01</v>
      </c>
      <c r="G1394" s="18">
        <f t="shared" si="127"/>
        <v>5</v>
      </c>
      <c r="H1394" t="str">
        <f t="shared" si="128"/>
        <v xml:space="preserve">MARCUS VINICIUS </v>
      </c>
      <c r="I1394" t="str">
        <f t="shared" si="129"/>
        <v>LABOR ELETRIC INDUSTRIA E COMERCIO UNIPESSOAL LTDA</v>
      </c>
      <c r="J1394">
        <f t="shared" si="130"/>
        <v>0</v>
      </c>
      <c r="K1394">
        <f t="shared" si="131"/>
        <v>1</v>
      </c>
    </row>
    <row r="1395" spans="1:11" x14ac:dyDescent="0.25">
      <c r="A1395" t="s">
        <v>385</v>
      </c>
      <c r="B1395" t="s">
        <v>132</v>
      </c>
      <c r="C1395" t="s">
        <v>50</v>
      </c>
      <c r="D1395" s="3">
        <v>45685</v>
      </c>
      <c r="E1395" t="str">
        <f>VLOOKUP(B1395,'PROCV GERENTES BD'!A:B,2,0)</f>
        <v xml:space="preserve">MARCUS VINICIUS </v>
      </c>
      <c r="F1395" s="4" t="str">
        <f t="shared" si="126"/>
        <v>2025-01</v>
      </c>
      <c r="G1395" s="18">
        <f t="shared" si="127"/>
        <v>5</v>
      </c>
      <c r="H1395" t="str">
        <f t="shared" si="128"/>
        <v xml:space="preserve">MARCUS VINICIUS </v>
      </c>
      <c r="I1395" t="str">
        <f t="shared" si="129"/>
        <v>RODOANEL REFORMADORA DE IMPLEMENTOS RODOVIARIOS LT</v>
      </c>
      <c r="J1395">
        <f t="shared" si="130"/>
        <v>0</v>
      </c>
      <c r="K1395">
        <f t="shared" si="131"/>
        <v>1</v>
      </c>
    </row>
    <row r="1396" spans="1:11" x14ac:dyDescent="0.25">
      <c r="A1396" t="s">
        <v>375</v>
      </c>
      <c r="B1396" t="s">
        <v>120</v>
      </c>
      <c r="C1396" t="s">
        <v>50</v>
      </c>
      <c r="D1396" s="3">
        <v>45685</v>
      </c>
      <c r="E1396" t="str">
        <f>VLOOKUP(B1396,'PROCV GERENTES BD'!A:B,2,0)</f>
        <v>ADMINISTRAÇÃO</v>
      </c>
      <c r="F1396" s="4" t="str">
        <f t="shared" si="126"/>
        <v>2025-01</v>
      </c>
      <c r="G1396" s="18">
        <f t="shared" si="127"/>
        <v>5</v>
      </c>
      <c r="H1396" t="str">
        <f t="shared" si="128"/>
        <v>ADMINISTRAÇÃO</v>
      </c>
      <c r="I1396" t="str">
        <f t="shared" si="129"/>
        <v>FARINELLI NUTRIMENTOS LTDA</v>
      </c>
      <c r="J1396">
        <f t="shared" si="130"/>
        <v>0</v>
      </c>
      <c r="K1396">
        <f t="shared" si="131"/>
        <v>1</v>
      </c>
    </row>
    <row r="1397" spans="1:11" x14ac:dyDescent="0.25">
      <c r="A1397" t="s">
        <v>418</v>
      </c>
      <c r="B1397" t="s">
        <v>168</v>
      </c>
      <c r="C1397" t="s">
        <v>50</v>
      </c>
      <c r="D1397" s="3">
        <v>45685</v>
      </c>
      <c r="E1397" t="str">
        <f>VLOOKUP(B1397,'PROCV GERENTES BD'!A:B,2,0)</f>
        <v>ADMINISTRAÇÃO</v>
      </c>
      <c r="F1397" s="4" t="str">
        <f t="shared" si="126"/>
        <v>2025-01</v>
      </c>
      <c r="G1397" s="18">
        <f t="shared" si="127"/>
        <v>5</v>
      </c>
      <c r="H1397" t="str">
        <f t="shared" si="128"/>
        <v>ADMINISTRAÇÃO</v>
      </c>
      <c r="I1397" t="str">
        <f t="shared" si="129"/>
        <v>MAAT COMERCIO DE VESTUARIO LTDA EPP</v>
      </c>
      <c r="J1397">
        <f t="shared" si="130"/>
        <v>0</v>
      </c>
      <c r="K1397">
        <f t="shared" si="131"/>
        <v>1</v>
      </c>
    </row>
    <row r="1398" spans="1:11" x14ac:dyDescent="0.25">
      <c r="A1398" t="s">
        <v>422</v>
      </c>
      <c r="B1398" t="s">
        <v>173</v>
      </c>
      <c r="C1398" t="s">
        <v>53</v>
      </c>
      <c r="D1398" s="3">
        <v>45685</v>
      </c>
      <c r="E1398" t="str">
        <f>VLOOKUP(B1398,'PROCV GERENTES BD'!A:B,2,0)</f>
        <v>NOELI SALETE</v>
      </c>
      <c r="F1398" s="4" t="str">
        <f t="shared" si="126"/>
        <v>2025-01</v>
      </c>
      <c r="G1398" s="18">
        <f t="shared" si="127"/>
        <v>5</v>
      </c>
      <c r="H1398" t="str">
        <f t="shared" si="128"/>
        <v>NOELI SALETE</v>
      </c>
      <c r="I1398" t="str">
        <f t="shared" si="129"/>
        <v>COMGROUP AGROINDUSTRIAL LTDA</v>
      </c>
      <c r="J1398">
        <f t="shared" si="130"/>
        <v>1</v>
      </c>
      <c r="K1398">
        <f t="shared" si="131"/>
        <v>1</v>
      </c>
    </row>
    <row r="1399" spans="1:11" x14ac:dyDescent="0.25">
      <c r="A1399" t="s">
        <v>339</v>
      </c>
      <c r="B1399" t="s">
        <v>87</v>
      </c>
      <c r="C1399" t="s">
        <v>50</v>
      </c>
      <c r="D1399" s="3">
        <v>45685</v>
      </c>
      <c r="E1399" t="str">
        <f>VLOOKUP(B1399,'PROCV GERENTES BD'!A:B,2,0)</f>
        <v>NOELI SALETE</v>
      </c>
      <c r="F1399" s="4" t="str">
        <f t="shared" si="126"/>
        <v>2025-01</v>
      </c>
      <c r="G1399" s="18">
        <f t="shared" si="127"/>
        <v>5</v>
      </c>
      <c r="H1399" t="str">
        <f t="shared" si="128"/>
        <v>NOELI SALETE</v>
      </c>
      <c r="I1399" t="str">
        <f t="shared" si="129"/>
        <v>RODOBOX TRANSPORTES E ARMAZENAGEM DE CARGAS LTDA</v>
      </c>
      <c r="J1399">
        <f t="shared" si="130"/>
        <v>0</v>
      </c>
      <c r="K1399">
        <f t="shared" si="131"/>
        <v>1</v>
      </c>
    </row>
    <row r="1400" spans="1:11" x14ac:dyDescent="0.25">
      <c r="A1400" t="s">
        <v>394</v>
      </c>
      <c r="B1400" t="s">
        <v>143</v>
      </c>
      <c r="C1400" t="s">
        <v>50</v>
      </c>
      <c r="D1400" s="3">
        <v>45685</v>
      </c>
      <c r="E1400" t="str">
        <f>VLOOKUP(B1400,'PROCV GERENTES BD'!A:B,2,0)</f>
        <v>NOELI SALETE</v>
      </c>
      <c r="F1400" s="4" t="str">
        <f t="shared" si="126"/>
        <v>2025-01</v>
      </c>
      <c r="G1400" s="18">
        <f t="shared" si="127"/>
        <v>5</v>
      </c>
      <c r="H1400" t="str">
        <f t="shared" si="128"/>
        <v>NOELI SALETE</v>
      </c>
      <c r="I1400" t="str">
        <f t="shared" si="129"/>
        <v>ALBERTO H DA SILVA ME</v>
      </c>
      <c r="J1400">
        <f t="shared" si="130"/>
        <v>0</v>
      </c>
      <c r="K1400">
        <f t="shared" si="131"/>
        <v>1</v>
      </c>
    </row>
    <row r="1401" spans="1:11" x14ac:dyDescent="0.25">
      <c r="A1401" t="s">
        <v>400</v>
      </c>
      <c r="B1401" t="s">
        <v>150</v>
      </c>
      <c r="C1401" t="s">
        <v>66</v>
      </c>
      <c r="D1401" s="3">
        <v>45685</v>
      </c>
      <c r="E1401" t="str">
        <f>VLOOKUP(B1401,'PROCV GERENTES BD'!A:B,2,0)</f>
        <v>NOELI SALETE</v>
      </c>
      <c r="F1401" s="4" t="str">
        <f t="shared" si="126"/>
        <v>2025-01</v>
      </c>
      <c r="G1401" s="18">
        <f t="shared" si="127"/>
        <v>5</v>
      </c>
      <c r="H1401" t="str">
        <f t="shared" si="128"/>
        <v>NOELI SALETE</v>
      </c>
      <c r="I1401" t="str">
        <f t="shared" si="129"/>
        <v>POOLMAK SISTEMAS ESTRUTURAIS LTDA</v>
      </c>
      <c r="J1401">
        <f t="shared" si="130"/>
        <v>1</v>
      </c>
      <c r="K1401">
        <f t="shared" si="131"/>
        <v>0</v>
      </c>
    </row>
    <row r="1402" spans="1:11" x14ac:dyDescent="0.25">
      <c r="A1402" t="s">
        <v>389</v>
      </c>
      <c r="B1402" t="s">
        <v>136</v>
      </c>
      <c r="C1402" t="s">
        <v>66</v>
      </c>
      <c r="D1402" s="3">
        <v>45685</v>
      </c>
      <c r="E1402" t="str">
        <f>VLOOKUP(B1402,'PROCV GERENTES BD'!A:B,2,0)</f>
        <v>POENATELA</v>
      </c>
      <c r="F1402" s="4" t="str">
        <f t="shared" si="126"/>
        <v>2025-01</v>
      </c>
      <c r="G1402" s="18">
        <f t="shared" si="127"/>
        <v>5</v>
      </c>
      <c r="H1402" t="str">
        <f t="shared" si="128"/>
        <v>POENATELA</v>
      </c>
      <c r="I1402" t="str">
        <f t="shared" si="129"/>
        <v>CONQUISTA INDUSTRIA DE MOVEIS S/A</v>
      </c>
      <c r="J1402">
        <f t="shared" si="130"/>
        <v>1</v>
      </c>
      <c r="K1402">
        <f t="shared" si="131"/>
        <v>0</v>
      </c>
    </row>
    <row r="1403" spans="1:11" x14ac:dyDescent="0.25">
      <c r="A1403" t="s">
        <v>370</v>
      </c>
      <c r="B1403" t="s">
        <v>114</v>
      </c>
      <c r="C1403" t="s">
        <v>50</v>
      </c>
      <c r="D1403" s="3">
        <v>45685</v>
      </c>
      <c r="E1403" t="str">
        <f>VLOOKUP(B1403,'PROCV GERENTES BD'!A:B,2,0)</f>
        <v>POENATELA</v>
      </c>
      <c r="F1403" s="4" t="str">
        <f t="shared" si="126"/>
        <v>2025-01</v>
      </c>
      <c r="G1403" s="18">
        <f t="shared" si="127"/>
        <v>5</v>
      </c>
      <c r="H1403" t="str">
        <f t="shared" si="128"/>
        <v>POENATELA</v>
      </c>
      <c r="I1403" t="str">
        <f t="shared" si="129"/>
        <v>COOPERATIVA TRANSP AUTON CARGAS PASSAG SERVICOS LO</v>
      </c>
      <c r="J1403">
        <f t="shared" si="130"/>
        <v>0</v>
      </c>
      <c r="K1403">
        <f t="shared" si="131"/>
        <v>1</v>
      </c>
    </row>
    <row r="1404" spans="1:11" x14ac:dyDescent="0.25">
      <c r="A1404" t="s">
        <v>346</v>
      </c>
      <c r="B1404" t="s">
        <v>91</v>
      </c>
      <c r="C1404" t="s">
        <v>53</v>
      </c>
      <c r="D1404" s="3">
        <v>45685</v>
      </c>
      <c r="E1404" t="str">
        <f>VLOOKUP(B1404,'PROCV GERENTES BD'!A:B,2,0)</f>
        <v>POENATELA</v>
      </c>
      <c r="F1404" s="4" t="str">
        <f t="shared" si="126"/>
        <v>2025-01</v>
      </c>
      <c r="G1404" s="18">
        <f t="shared" si="127"/>
        <v>5</v>
      </c>
      <c r="H1404" t="str">
        <f t="shared" si="128"/>
        <v>POENATELA</v>
      </c>
      <c r="I1404" t="str">
        <f t="shared" si="129"/>
        <v>UBERTEC SERVICE USINAGEM LTDA EPP</v>
      </c>
      <c r="J1404">
        <f t="shared" si="130"/>
        <v>1</v>
      </c>
      <c r="K1404">
        <f t="shared" si="131"/>
        <v>1</v>
      </c>
    </row>
    <row r="1405" spans="1:11" x14ac:dyDescent="0.25">
      <c r="A1405" t="s">
        <v>452</v>
      </c>
      <c r="B1405" t="s">
        <v>209</v>
      </c>
      <c r="C1405" t="s">
        <v>50</v>
      </c>
      <c r="D1405" s="3">
        <v>45685</v>
      </c>
      <c r="E1405" t="str">
        <f>VLOOKUP(B1405,'PROCV GERENTES BD'!A:B,2,0)</f>
        <v>PRISCILA METZ</v>
      </c>
      <c r="F1405" s="4" t="str">
        <f t="shared" si="126"/>
        <v>2025-01</v>
      </c>
      <c r="G1405" s="18">
        <f t="shared" si="127"/>
        <v>5</v>
      </c>
      <c r="H1405" t="str">
        <f t="shared" si="128"/>
        <v>PRISCILA METZ</v>
      </c>
      <c r="I1405" t="str">
        <f t="shared" si="129"/>
        <v>D M RODRIGUES LTDA ME</v>
      </c>
      <c r="J1405">
        <f t="shared" si="130"/>
        <v>0</v>
      </c>
      <c r="K1405">
        <f t="shared" si="131"/>
        <v>1</v>
      </c>
    </row>
    <row r="1406" spans="1:11" x14ac:dyDescent="0.25">
      <c r="A1406" t="s">
        <v>390</v>
      </c>
      <c r="B1406" t="s">
        <v>137</v>
      </c>
      <c r="C1406" t="s">
        <v>50</v>
      </c>
      <c r="D1406" s="3">
        <v>45685</v>
      </c>
      <c r="E1406" t="str">
        <f>VLOOKUP(B1406,'PROCV GERENTES BD'!A:B,2,0)</f>
        <v>PRISCILA METZ</v>
      </c>
      <c r="F1406" s="4" t="str">
        <f t="shared" si="126"/>
        <v>2025-01</v>
      </c>
      <c r="G1406" s="18">
        <f t="shared" si="127"/>
        <v>5</v>
      </c>
      <c r="H1406" t="str">
        <f t="shared" si="128"/>
        <v>PRISCILA METZ</v>
      </c>
      <c r="I1406" t="str">
        <f t="shared" si="129"/>
        <v>VLF IMPERIAL LATICINIOS LTDA ME</v>
      </c>
      <c r="J1406">
        <f t="shared" si="130"/>
        <v>0</v>
      </c>
      <c r="K1406">
        <f t="shared" si="131"/>
        <v>1</v>
      </c>
    </row>
    <row r="1407" spans="1:11" x14ac:dyDescent="0.25">
      <c r="A1407" t="s">
        <v>434</v>
      </c>
      <c r="B1407" t="s">
        <v>185</v>
      </c>
      <c r="C1407" t="s">
        <v>50</v>
      </c>
      <c r="D1407" s="3">
        <v>45685</v>
      </c>
      <c r="E1407" t="str">
        <f>VLOOKUP(B1407,'PROCV GERENTES BD'!A:B,2,0)</f>
        <v>RAFAEL PARISE</v>
      </c>
      <c r="F1407" s="4" t="str">
        <f t="shared" si="126"/>
        <v>2025-01</v>
      </c>
      <c r="G1407" s="18">
        <f t="shared" si="127"/>
        <v>5</v>
      </c>
      <c r="H1407" t="str">
        <f t="shared" si="128"/>
        <v>RAFAEL PARISE</v>
      </c>
      <c r="I1407" t="str">
        <f t="shared" si="129"/>
        <v>MARCAS COMERCIO LTDA ME</v>
      </c>
      <c r="J1407">
        <f t="shared" si="130"/>
        <v>0</v>
      </c>
      <c r="K1407">
        <f t="shared" si="131"/>
        <v>1</v>
      </c>
    </row>
    <row r="1408" spans="1:11" x14ac:dyDescent="0.25">
      <c r="A1408" t="s">
        <v>454</v>
      </c>
      <c r="B1408" t="s">
        <v>211</v>
      </c>
      <c r="C1408" t="s">
        <v>50</v>
      </c>
      <c r="D1408" s="3">
        <v>45685</v>
      </c>
      <c r="E1408" t="str">
        <f>VLOOKUP(B1408,'PROCV GERENTES BD'!A:B,2,0)</f>
        <v>RAFAEL PARISE</v>
      </c>
      <c r="F1408" s="4" t="str">
        <f t="shared" si="126"/>
        <v>2025-01</v>
      </c>
      <c r="G1408" s="18">
        <f t="shared" si="127"/>
        <v>5</v>
      </c>
      <c r="H1408" t="str">
        <f t="shared" si="128"/>
        <v>RAFAEL PARISE</v>
      </c>
      <c r="I1408" t="str">
        <f t="shared" si="129"/>
        <v>TREGA FILHOS EMPACOTAMENTO E DISTRIBUICAO LTDA ME</v>
      </c>
      <c r="J1408">
        <f t="shared" si="130"/>
        <v>0</v>
      </c>
      <c r="K1408">
        <f t="shared" si="131"/>
        <v>1</v>
      </c>
    </row>
    <row r="1409" spans="1:11" x14ac:dyDescent="0.25">
      <c r="A1409" t="s">
        <v>76</v>
      </c>
      <c r="B1409" t="s">
        <v>77</v>
      </c>
      <c r="C1409" t="s">
        <v>50</v>
      </c>
      <c r="D1409" s="3">
        <v>45685</v>
      </c>
      <c r="E1409" t="str">
        <f>VLOOKUP(B1409,'PROCV GERENTES BD'!A:B,2,0)</f>
        <v>RAFAEL PARISE</v>
      </c>
      <c r="F1409" s="4" t="str">
        <f t="shared" si="126"/>
        <v>2025-01</v>
      </c>
      <c r="G1409" s="18">
        <f t="shared" si="127"/>
        <v>5</v>
      </c>
      <c r="H1409" t="str">
        <f t="shared" si="128"/>
        <v>RAFAEL PARISE</v>
      </c>
      <c r="I1409" t="str">
        <f t="shared" si="129"/>
        <v>UNITA AUTO PECAS LTDA EPP</v>
      </c>
      <c r="J1409">
        <f t="shared" si="130"/>
        <v>0</v>
      </c>
      <c r="K1409">
        <f t="shared" si="131"/>
        <v>1</v>
      </c>
    </row>
    <row r="1410" spans="1:11" x14ac:dyDescent="0.25">
      <c r="A1410" t="s">
        <v>314</v>
      </c>
      <c r="B1410" t="s">
        <v>98</v>
      </c>
      <c r="C1410" t="s">
        <v>66</v>
      </c>
      <c r="D1410" s="3">
        <v>45685</v>
      </c>
      <c r="E1410" t="str">
        <f>VLOOKUP(B1410,'PROCV GERENTES BD'!A:B,2,0)</f>
        <v xml:space="preserve">ROGERIO </v>
      </c>
      <c r="F1410" s="4" t="str">
        <f t="shared" ref="F1410:F1473" si="132">YEAR(D1410)&amp;"-"&amp;TEXT(MONTH(D1410),"00")</f>
        <v>2025-01</v>
      </c>
      <c r="G1410" s="18">
        <f t="shared" ref="G1410:G1473" si="133">WEEKNUM(D1410)</f>
        <v>5</v>
      </c>
      <c r="H1410" t="str">
        <f t="shared" ref="H1410:H1473" si="134">E1410</f>
        <v xml:space="preserve">ROGERIO </v>
      </c>
      <c r="I1410" t="str">
        <f t="shared" ref="I1410:I1473" si="135">B1410</f>
        <v>MUTCD CENTRO DISTRIBUICAO IND FABRICANTE COSMETICO</v>
      </c>
      <c r="J1410">
        <f t="shared" ref="J1410:J1473" si="136">IF(OR(C1410="EXCLUSAO  ANOT.INADIMPLENCIA",C1410="INCL/EXCL ANOT.INADIMPLENCIA"),1,0)</f>
        <v>1</v>
      </c>
      <c r="K1410">
        <f t="shared" ref="K1410:K1473" si="137">IF(OR(C1410="INCLUSAO  ANOT.INADIMPLENCIA",C1410="INCL/EXCL ANOT.INADIMPLENCIA"),1,0)</f>
        <v>0</v>
      </c>
    </row>
    <row r="1411" spans="1:11" x14ac:dyDescent="0.25">
      <c r="A1411" t="s">
        <v>463</v>
      </c>
      <c r="B1411" t="s">
        <v>220</v>
      </c>
      <c r="C1411" t="s">
        <v>50</v>
      </c>
      <c r="D1411" s="3">
        <v>45686</v>
      </c>
      <c r="E1411" t="str">
        <f>VLOOKUP(B1411,'PROCV GERENTES BD'!A:B,2,0)</f>
        <v>ADMINISTRAÇÃO</v>
      </c>
      <c r="F1411" s="4" t="str">
        <f t="shared" si="132"/>
        <v>2025-01</v>
      </c>
      <c r="G1411" s="18">
        <f t="shared" si="133"/>
        <v>5</v>
      </c>
      <c r="H1411" t="str">
        <f t="shared" si="134"/>
        <v>ADMINISTRAÇÃO</v>
      </c>
      <c r="I1411" t="str">
        <f t="shared" si="135"/>
        <v>A C ESPORTES S A F</v>
      </c>
      <c r="J1411">
        <f t="shared" si="136"/>
        <v>0</v>
      </c>
      <c r="K1411">
        <f t="shared" si="137"/>
        <v>1</v>
      </c>
    </row>
    <row r="1412" spans="1:11" x14ac:dyDescent="0.25">
      <c r="A1412" t="s">
        <v>464</v>
      </c>
      <c r="B1412" t="s">
        <v>221</v>
      </c>
      <c r="C1412" t="s">
        <v>66</v>
      </c>
      <c r="D1412" s="3">
        <v>45686</v>
      </c>
      <c r="E1412" t="str">
        <f>VLOOKUP(B1412,'PROCV GERENTES BD'!A:B,2,0)</f>
        <v>ADMINISTRAÇÃO</v>
      </c>
      <c r="F1412" s="4" t="str">
        <f t="shared" si="132"/>
        <v>2025-01</v>
      </c>
      <c r="G1412" s="18">
        <f t="shared" si="133"/>
        <v>5</v>
      </c>
      <c r="H1412" t="str">
        <f t="shared" si="134"/>
        <v>ADMINISTRAÇÃO</v>
      </c>
      <c r="I1412" t="str">
        <f t="shared" si="135"/>
        <v>ABN CONSULTORIA E PROJETOS LTDA EPP</v>
      </c>
      <c r="J1412">
        <f t="shared" si="136"/>
        <v>1</v>
      </c>
      <c r="K1412">
        <f t="shared" si="137"/>
        <v>0</v>
      </c>
    </row>
    <row r="1413" spans="1:11" x14ac:dyDescent="0.25">
      <c r="A1413" t="s">
        <v>465</v>
      </c>
      <c r="B1413" t="s">
        <v>222</v>
      </c>
      <c r="C1413" t="s">
        <v>50</v>
      </c>
      <c r="D1413" s="3">
        <v>45686</v>
      </c>
      <c r="E1413" t="str">
        <f>VLOOKUP(B1413,'PROCV GERENTES BD'!A:B,2,0)</f>
        <v>ADMINISTRAÇÃO</v>
      </c>
      <c r="F1413" s="4" t="str">
        <f t="shared" si="132"/>
        <v>2025-01</v>
      </c>
      <c r="G1413" s="18">
        <f t="shared" si="133"/>
        <v>5</v>
      </c>
      <c r="H1413" t="str">
        <f t="shared" si="134"/>
        <v>ADMINISTRAÇÃO</v>
      </c>
      <c r="I1413" t="str">
        <f t="shared" si="135"/>
        <v>CF COMEX IMPORTACAO EQUIPAMENTOS E SERVICOS LTDA</v>
      </c>
      <c r="J1413">
        <f t="shared" si="136"/>
        <v>0</v>
      </c>
      <c r="K1413">
        <f t="shared" si="137"/>
        <v>1</v>
      </c>
    </row>
    <row r="1414" spans="1:11" x14ac:dyDescent="0.25">
      <c r="A1414" t="s">
        <v>459</v>
      </c>
      <c r="B1414" t="s">
        <v>216</v>
      </c>
      <c r="C1414" t="s">
        <v>50</v>
      </c>
      <c r="D1414" s="3">
        <v>45686</v>
      </c>
      <c r="E1414" t="str">
        <f>VLOOKUP(B1414,'PROCV GERENTES BD'!A:B,2,0)</f>
        <v>ADMINISTRAÇÃO</v>
      </c>
      <c r="F1414" s="4" t="str">
        <f t="shared" si="132"/>
        <v>2025-01</v>
      </c>
      <c r="G1414" s="18">
        <f t="shared" si="133"/>
        <v>5</v>
      </c>
      <c r="H1414" t="str">
        <f t="shared" si="134"/>
        <v>ADMINISTRAÇÃO</v>
      </c>
      <c r="I1414" t="str">
        <f t="shared" si="135"/>
        <v>JABEZ SERVICOS COMPARTILHADOS LTDA ME</v>
      </c>
      <c r="J1414">
        <f t="shared" si="136"/>
        <v>0</v>
      </c>
      <c r="K1414">
        <f t="shared" si="137"/>
        <v>1</v>
      </c>
    </row>
    <row r="1415" spans="1:11" x14ac:dyDescent="0.25">
      <c r="A1415" t="s">
        <v>372</v>
      </c>
      <c r="B1415" t="s">
        <v>116</v>
      </c>
      <c r="C1415" t="s">
        <v>50</v>
      </c>
      <c r="D1415" s="3">
        <v>45686</v>
      </c>
      <c r="E1415" t="str">
        <f>VLOOKUP(B1415,'PROCV GERENTES BD'!A:B,2,0)</f>
        <v>ADMINISTRAÇÃO</v>
      </c>
      <c r="F1415" s="4" t="str">
        <f t="shared" si="132"/>
        <v>2025-01</v>
      </c>
      <c r="G1415" s="18">
        <f t="shared" si="133"/>
        <v>5</v>
      </c>
      <c r="H1415" t="str">
        <f t="shared" si="134"/>
        <v>ADMINISTRAÇÃO</v>
      </c>
      <c r="I1415" t="str">
        <f t="shared" si="135"/>
        <v>PREMOLDADOS MATOSINHOS LTDA EPP</v>
      </c>
      <c r="J1415">
        <f t="shared" si="136"/>
        <v>0</v>
      </c>
      <c r="K1415">
        <f t="shared" si="137"/>
        <v>1</v>
      </c>
    </row>
    <row r="1416" spans="1:11" x14ac:dyDescent="0.25">
      <c r="A1416" t="s">
        <v>466</v>
      </c>
      <c r="B1416" t="s">
        <v>223</v>
      </c>
      <c r="C1416" t="s">
        <v>66</v>
      </c>
      <c r="D1416" s="3">
        <v>45686</v>
      </c>
      <c r="E1416" t="str">
        <f>VLOOKUP(B1416,'PROCV GERENTES BD'!A:B,2,0)</f>
        <v>CELIO PIMENTA</v>
      </c>
      <c r="F1416" s="4" t="str">
        <f t="shared" si="132"/>
        <v>2025-01</v>
      </c>
      <c r="G1416" s="18">
        <f t="shared" si="133"/>
        <v>5</v>
      </c>
      <c r="H1416" t="str">
        <f t="shared" si="134"/>
        <v>CELIO PIMENTA</v>
      </c>
      <c r="I1416" t="str">
        <f t="shared" si="135"/>
        <v>ACO X LTDA ME</v>
      </c>
      <c r="J1416">
        <f t="shared" si="136"/>
        <v>1</v>
      </c>
      <c r="K1416">
        <f t="shared" si="137"/>
        <v>0</v>
      </c>
    </row>
    <row r="1417" spans="1:11" x14ac:dyDescent="0.25">
      <c r="A1417" t="s">
        <v>319</v>
      </c>
      <c r="B1417" t="s">
        <v>80</v>
      </c>
      <c r="C1417" t="s">
        <v>50</v>
      </c>
      <c r="D1417" s="3">
        <v>45686</v>
      </c>
      <c r="E1417" t="str">
        <f>VLOOKUP(B1417,'PROCV GERENTES BD'!A:B,2,0)</f>
        <v>CELIO PIMENTA</v>
      </c>
      <c r="F1417" s="4" t="str">
        <f t="shared" si="132"/>
        <v>2025-01</v>
      </c>
      <c r="G1417" s="18">
        <f t="shared" si="133"/>
        <v>5</v>
      </c>
      <c r="H1417" t="str">
        <f t="shared" si="134"/>
        <v>CELIO PIMENTA</v>
      </c>
      <c r="I1417" t="str">
        <f t="shared" si="135"/>
        <v>IMPORTEXTIL COMERCIO DE TECIDOS LTDA</v>
      </c>
      <c r="J1417">
        <f t="shared" si="136"/>
        <v>0</v>
      </c>
      <c r="K1417">
        <f t="shared" si="137"/>
        <v>1</v>
      </c>
    </row>
    <row r="1418" spans="1:11" x14ac:dyDescent="0.25">
      <c r="A1418" t="s">
        <v>54</v>
      </c>
      <c r="B1418" t="s">
        <v>55</v>
      </c>
      <c r="C1418" t="s">
        <v>50</v>
      </c>
      <c r="D1418" s="3">
        <v>45686</v>
      </c>
      <c r="E1418" t="str">
        <f>VLOOKUP(B1418,'PROCV GERENTES BD'!A:B,2,0)</f>
        <v>CELIO PIMENTA</v>
      </c>
      <c r="F1418" s="4" t="str">
        <f t="shared" si="132"/>
        <v>2025-01</v>
      </c>
      <c r="G1418" s="18">
        <f t="shared" si="133"/>
        <v>5</v>
      </c>
      <c r="H1418" t="str">
        <f t="shared" si="134"/>
        <v>CELIO PIMENTA</v>
      </c>
      <c r="I1418" t="str">
        <f t="shared" si="135"/>
        <v>WJ CALDEIRARIA INDUSTRIA E COMERCIO LTDA ME</v>
      </c>
      <c r="J1418">
        <f t="shared" si="136"/>
        <v>0</v>
      </c>
      <c r="K1418">
        <f t="shared" si="137"/>
        <v>1</v>
      </c>
    </row>
    <row r="1419" spans="1:11" x14ac:dyDescent="0.25">
      <c r="A1419" t="s">
        <v>467</v>
      </c>
      <c r="B1419" t="s">
        <v>224</v>
      </c>
      <c r="C1419" t="s">
        <v>66</v>
      </c>
      <c r="D1419" s="3">
        <v>45686</v>
      </c>
      <c r="E1419" t="str">
        <f>VLOOKUP(B1419,'PROCV GERENTES BD'!A:B,2,0)</f>
        <v>DIOGO AZEVEDO</v>
      </c>
      <c r="F1419" s="4" t="str">
        <f t="shared" si="132"/>
        <v>2025-01</v>
      </c>
      <c r="G1419" s="18">
        <f t="shared" si="133"/>
        <v>5</v>
      </c>
      <c r="H1419" t="str">
        <f t="shared" si="134"/>
        <v>DIOGO AZEVEDO</v>
      </c>
      <c r="I1419" t="str">
        <f t="shared" si="135"/>
        <v>VGS COMERCIO DE EMBALAGENS DE MADEIRAS LTDA ME</v>
      </c>
      <c r="J1419">
        <f t="shared" si="136"/>
        <v>1</v>
      </c>
      <c r="K1419">
        <f t="shared" si="137"/>
        <v>0</v>
      </c>
    </row>
    <row r="1420" spans="1:11" x14ac:dyDescent="0.25">
      <c r="A1420" t="s">
        <v>443</v>
      </c>
      <c r="B1420" t="s">
        <v>194</v>
      </c>
      <c r="C1420" t="s">
        <v>66</v>
      </c>
      <c r="D1420" s="3">
        <v>45686</v>
      </c>
      <c r="E1420" t="str">
        <f>VLOOKUP(B1420,'PROCV GERENTES BD'!A:B,2,0)</f>
        <v>PROSPECTAR</v>
      </c>
      <c r="F1420" s="4" t="str">
        <f t="shared" si="132"/>
        <v>2025-01</v>
      </c>
      <c r="G1420" s="18">
        <f t="shared" si="133"/>
        <v>5</v>
      </c>
      <c r="H1420" t="str">
        <f t="shared" si="134"/>
        <v>PROSPECTAR</v>
      </c>
      <c r="I1420" t="str">
        <f t="shared" si="135"/>
        <v>ALPLAST ATACADISTA E APOIO ADMINISTRATIVO LTDA EPP</v>
      </c>
      <c r="J1420">
        <f t="shared" si="136"/>
        <v>1</v>
      </c>
      <c r="K1420">
        <f t="shared" si="137"/>
        <v>0</v>
      </c>
    </row>
    <row r="1421" spans="1:11" x14ac:dyDescent="0.25">
      <c r="A1421" t="s">
        <v>395</v>
      </c>
      <c r="B1421" t="s">
        <v>145</v>
      </c>
      <c r="C1421" t="s">
        <v>50</v>
      </c>
      <c r="D1421" s="3">
        <v>45686</v>
      </c>
      <c r="E1421" t="str">
        <f>VLOOKUP(B1421,'PROCV GERENTES BD'!A:B,2,0)</f>
        <v>MARCIO LEONEL</v>
      </c>
      <c r="F1421" s="4" t="str">
        <f t="shared" si="132"/>
        <v>2025-01</v>
      </c>
      <c r="G1421" s="18">
        <f t="shared" si="133"/>
        <v>5</v>
      </c>
      <c r="H1421" t="str">
        <f t="shared" si="134"/>
        <v>MARCIO LEONEL</v>
      </c>
      <c r="I1421" t="str">
        <f t="shared" si="135"/>
        <v>MEDICAL PRIME IMP EXPORT DISTRIB PRODUTOS MEDICOS</v>
      </c>
      <c r="J1421">
        <f t="shared" si="136"/>
        <v>0</v>
      </c>
      <c r="K1421">
        <f t="shared" si="137"/>
        <v>1</v>
      </c>
    </row>
    <row r="1422" spans="1:11" x14ac:dyDescent="0.25">
      <c r="A1422" t="s">
        <v>428</v>
      </c>
      <c r="B1422" t="s">
        <v>179</v>
      </c>
      <c r="C1422" t="s">
        <v>50</v>
      </c>
      <c r="D1422" s="3">
        <v>45686</v>
      </c>
      <c r="E1422" t="str">
        <f>VLOOKUP(B1422,'PROCV GERENTES BD'!A:B,2,0)</f>
        <v xml:space="preserve">MARCUS VINICIUS </v>
      </c>
      <c r="F1422" s="4" t="str">
        <f t="shared" si="132"/>
        <v>2025-01</v>
      </c>
      <c r="G1422" s="18">
        <f t="shared" si="133"/>
        <v>5</v>
      </c>
      <c r="H1422" t="str">
        <f t="shared" si="134"/>
        <v xml:space="preserve">MARCUS VINICIUS </v>
      </c>
      <c r="I1422" t="str">
        <f t="shared" si="135"/>
        <v>LABOR ELETRIC INDUSTRIA E COMERCIO UNIPESSOAL LTDA</v>
      </c>
      <c r="J1422">
        <f t="shared" si="136"/>
        <v>0</v>
      </c>
      <c r="K1422">
        <f t="shared" si="137"/>
        <v>1</v>
      </c>
    </row>
    <row r="1423" spans="1:11" x14ac:dyDescent="0.25">
      <c r="A1423" t="s">
        <v>418</v>
      </c>
      <c r="B1423" t="s">
        <v>168</v>
      </c>
      <c r="C1423" t="s">
        <v>50</v>
      </c>
      <c r="D1423" s="3">
        <v>45686</v>
      </c>
      <c r="E1423" t="str">
        <f>VLOOKUP(B1423,'PROCV GERENTES BD'!A:B,2,0)</f>
        <v>ADMINISTRAÇÃO</v>
      </c>
      <c r="F1423" s="4" t="str">
        <f t="shared" si="132"/>
        <v>2025-01</v>
      </c>
      <c r="G1423" s="18">
        <f t="shared" si="133"/>
        <v>5</v>
      </c>
      <c r="H1423" t="str">
        <f t="shared" si="134"/>
        <v>ADMINISTRAÇÃO</v>
      </c>
      <c r="I1423" t="str">
        <f t="shared" si="135"/>
        <v>MAAT COMERCIO DE VESTUARIO LTDA EPP</v>
      </c>
      <c r="J1423">
        <f t="shared" si="136"/>
        <v>0</v>
      </c>
      <c r="K1423">
        <f t="shared" si="137"/>
        <v>1</v>
      </c>
    </row>
    <row r="1424" spans="1:11" x14ac:dyDescent="0.25">
      <c r="A1424" t="s">
        <v>394</v>
      </c>
      <c r="B1424" t="s">
        <v>143</v>
      </c>
      <c r="C1424" t="s">
        <v>50</v>
      </c>
      <c r="D1424" s="3">
        <v>45686</v>
      </c>
      <c r="E1424" t="str">
        <f>VLOOKUP(B1424,'PROCV GERENTES BD'!A:B,2,0)</f>
        <v>NOELI SALETE</v>
      </c>
      <c r="F1424" s="4" t="str">
        <f t="shared" si="132"/>
        <v>2025-01</v>
      </c>
      <c r="G1424" s="18">
        <f t="shared" si="133"/>
        <v>5</v>
      </c>
      <c r="H1424" t="str">
        <f t="shared" si="134"/>
        <v>NOELI SALETE</v>
      </c>
      <c r="I1424" t="str">
        <f t="shared" si="135"/>
        <v>ALBERTO H DA SILVA ME</v>
      </c>
      <c r="J1424">
        <f t="shared" si="136"/>
        <v>0</v>
      </c>
      <c r="K1424">
        <f t="shared" si="137"/>
        <v>1</v>
      </c>
    </row>
    <row r="1425" spans="1:11" x14ac:dyDescent="0.25">
      <c r="A1425" t="s">
        <v>389</v>
      </c>
      <c r="B1425" t="s">
        <v>136</v>
      </c>
      <c r="C1425" t="s">
        <v>66</v>
      </c>
      <c r="D1425" s="3">
        <v>45686</v>
      </c>
      <c r="E1425" t="str">
        <f>VLOOKUP(B1425,'PROCV GERENTES BD'!A:B,2,0)</f>
        <v>POENATELA</v>
      </c>
      <c r="F1425" s="4" t="str">
        <f t="shared" si="132"/>
        <v>2025-01</v>
      </c>
      <c r="G1425" s="18">
        <f t="shared" si="133"/>
        <v>5</v>
      </c>
      <c r="H1425" t="str">
        <f t="shared" si="134"/>
        <v>POENATELA</v>
      </c>
      <c r="I1425" t="str">
        <f t="shared" si="135"/>
        <v>CONQUISTA INDUSTRIA DE MOVEIS S/A</v>
      </c>
      <c r="J1425">
        <f t="shared" si="136"/>
        <v>1</v>
      </c>
      <c r="K1425">
        <f t="shared" si="137"/>
        <v>0</v>
      </c>
    </row>
    <row r="1426" spans="1:11" x14ac:dyDescent="0.25">
      <c r="A1426" t="s">
        <v>420</v>
      </c>
      <c r="B1426" t="s">
        <v>170</v>
      </c>
      <c r="C1426" t="s">
        <v>50</v>
      </c>
      <c r="D1426" s="3">
        <v>45686</v>
      </c>
      <c r="E1426" t="str">
        <f>VLOOKUP(B1426,'PROCV GERENTES BD'!A:B,2,0)</f>
        <v>POENATELA</v>
      </c>
      <c r="F1426" s="4" t="str">
        <f t="shared" si="132"/>
        <v>2025-01</v>
      </c>
      <c r="G1426" s="18">
        <f t="shared" si="133"/>
        <v>5</v>
      </c>
      <c r="H1426" t="str">
        <f t="shared" si="134"/>
        <v>POENATELA</v>
      </c>
      <c r="I1426" t="str">
        <f t="shared" si="135"/>
        <v>SAVIXX COMERCIO INTERNACIONAL S/A</v>
      </c>
      <c r="J1426">
        <f t="shared" si="136"/>
        <v>0</v>
      </c>
      <c r="K1426">
        <f t="shared" si="137"/>
        <v>1</v>
      </c>
    </row>
    <row r="1427" spans="1:11" x14ac:dyDescent="0.25">
      <c r="A1427" t="s">
        <v>346</v>
      </c>
      <c r="B1427" t="s">
        <v>91</v>
      </c>
      <c r="C1427" t="s">
        <v>50</v>
      </c>
      <c r="D1427" s="3">
        <v>45686</v>
      </c>
      <c r="E1427" t="str">
        <f>VLOOKUP(B1427,'PROCV GERENTES BD'!A:B,2,0)</f>
        <v>POENATELA</v>
      </c>
      <c r="F1427" s="4" t="str">
        <f t="shared" si="132"/>
        <v>2025-01</v>
      </c>
      <c r="G1427" s="18">
        <f t="shared" si="133"/>
        <v>5</v>
      </c>
      <c r="H1427" t="str">
        <f t="shared" si="134"/>
        <v>POENATELA</v>
      </c>
      <c r="I1427" t="str">
        <f t="shared" si="135"/>
        <v>UBERTEC SERVICE USINAGEM LTDA EPP</v>
      </c>
      <c r="J1427">
        <f t="shared" si="136"/>
        <v>0</v>
      </c>
      <c r="K1427">
        <f t="shared" si="137"/>
        <v>1</v>
      </c>
    </row>
    <row r="1428" spans="1:11" x14ac:dyDescent="0.25">
      <c r="A1428" t="s">
        <v>452</v>
      </c>
      <c r="B1428" t="s">
        <v>209</v>
      </c>
      <c r="C1428" t="s">
        <v>50</v>
      </c>
      <c r="D1428" s="3">
        <v>45686</v>
      </c>
      <c r="E1428" t="str">
        <f>VLOOKUP(B1428,'PROCV GERENTES BD'!A:B,2,0)</f>
        <v>PRISCILA METZ</v>
      </c>
      <c r="F1428" s="4" t="str">
        <f t="shared" si="132"/>
        <v>2025-01</v>
      </c>
      <c r="G1428" s="18">
        <f t="shared" si="133"/>
        <v>5</v>
      </c>
      <c r="H1428" t="str">
        <f t="shared" si="134"/>
        <v>PRISCILA METZ</v>
      </c>
      <c r="I1428" t="str">
        <f t="shared" si="135"/>
        <v>D M RODRIGUES LTDA ME</v>
      </c>
      <c r="J1428">
        <f t="shared" si="136"/>
        <v>0</v>
      </c>
      <c r="K1428">
        <f t="shared" si="137"/>
        <v>1</v>
      </c>
    </row>
    <row r="1429" spans="1:11" x14ac:dyDescent="0.25">
      <c r="A1429" t="s">
        <v>453</v>
      </c>
      <c r="B1429" t="s">
        <v>210</v>
      </c>
      <c r="C1429" t="s">
        <v>66</v>
      </c>
      <c r="D1429" s="3">
        <v>45686</v>
      </c>
      <c r="E1429" t="str">
        <f>VLOOKUP(B1429,'PROCV GERENTES BD'!A:B,2,0)</f>
        <v>RAFAEL PARISE</v>
      </c>
      <c r="F1429" s="4" t="str">
        <f t="shared" si="132"/>
        <v>2025-01</v>
      </c>
      <c r="G1429" s="18">
        <f t="shared" si="133"/>
        <v>5</v>
      </c>
      <c r="H1429" t="str">
        <f t="shared" si="134"/>
        <v>RAFAEL PARISE</v>
      </c>
      <c r="I1429" t="str">
        <f t="shared" si="135"/>
        <v>BEIJA FLOR COMERCIO DE TINTAS LTDA</v>
      </c>
      <c r="J1429">
        <f t="shared" si="136"/>
        <v>1</v>
      </c>
      <c r="K1429">
        <f t="shared" si="137"/>
        <v>0</v>
      </c>
    </row>
    <row r="1430" spans="1:11" x14ac:dyDescent="0.25">
      <c r="A1430" t="s">
        <v>325</v>
      </c>
      <c r="B1430" t="s">
        <v>138</v>
      </c>
      <c r="C1430" t="s">
        <v>50</v>
      </c>
      <c r="D1430" s="3">
        <v>45686</v>
      </c>
      <c r="E1430" t="str">
        <f>VLOOKUP(B1430,'PROCV GERENTES BD'!A:B,2,0)</f>
        <v>SACADO</v>
      </c>
      <c r="F1430" s="4" t="str">
        <f t="shared" si="132"/>
        <v>2025-01</v>
      </c>
      <c r="G1430" s="18">
        <f t="shared" si="133"/>
        <v>5</v>
      </c>
      <c r="H1430" t="str">
        <f t="shared" si="134"/>
        <v>SACADO</v>
      </c>
      <c r="I1430" t="str">
        <f t="shared" si="135"/>
        <v>ALLIAGE S A INDUSTRIAS MEDICO ODONTOLOGICA</v>
      </c>
      <c r="J1430">
        <f t="shared" si="136"/>
        <v>0</v>
      </c>
      <c r="K1430">
        <f t="shared" si="137"/>
        <v>1</v>
      </c>
    </row>
    <row r="1431" spans="1:11" x14ac:dyDescent="0.25">
      <c r="A1431" t="s">
        <v>314</v>
      </c>
      <c r="B1431" t="s">
        <v>98</v>
      </c>
      <c r="C1431" t="s">
        <v>50</v>
      </c>
      <c r="D1431" s="3">
        <v>45686</v>
      </c>
      <c r="E1431" t="str">
        <f>VLOOKUP(B1431,'PROCV GERENTES BD'!A:B,2,0)</f>
        <v xml:space="preserve">ROGERIO </v>
      </c>
      <c r="F1431" s="4" t="str">
        <f t="shared" si="132"/>
        <v>2025-01</v>
      </c>
      <c r="G1431" s="18">
        <f t="shared" si="133"/>
        <v>5</v>
      </c>
      <c r="H1431" t="str">
        <f t="shared" si="134"/>
        <v xml:space="preserve">ROGERIO </v>
      </c>
      <c r="I1431" t="str">
        <f t="shared" si="135"/>
        <v>MUTCD CENTRO DISTRIBUICAO IND FABRICANTE COSMETICO</v>
      </c>
      <c r="J1431">
        <f t="shared" si="136"/>
        <v>0</v>
      </c>
      <c r="K1431">
        <f t="shared" si="137"/>
        <v>1</v>
      </c>
    </row>
    <row r="1432" spans="1:11" x14ac:dyDescent="0.25">
      <c r="A1432" t="s">
        <v>450</v>
      </c>
      <c r="B1432" t="s">
        <v>207</v>
      </c>
      <c r="C1432" t="s">
        <v>50</v>
      </c>
      <c r="D1432" s="3">
        <v>45687</v>
      </c>
      <c r="E1432" t="str">
        <f>VLOOKUP(B1432,'PROCV GERENTES BD'!A:B,2,0)</f>
        <v>CELIO PIMENTA</v>
      </c>
      <c r="F1432" s="4" t="str">
        <f t="shared" si="132"/>
        <v>2025-01</v>
      </c>
      <c r="G1432" s="18">
        <f t="shared" si="133"/>
        <v>5</v>
      </c>
      <c r="H1432" t="str">
        <f t="shared" si="134"/>
        <v>CELIO PIMENTA</v>
      </c>
      <c r="I1432" t="str">
        <f t="shared" si="135"/>
        <v>LIDER COMERCIO DE UNIFORMES E EPI S LTDA ME</v>
      </c>
      <c r="J1432">
        <f t="shared" si="136"/>
        <v>0</v>
      </c>
      <c r="K1432">
        <f t="shared" si="137"/>
        <v>1</v>
      </c>
    </row>
    <row r="1433" spans="1:11" x14ac:dyDescent="0.25">
      <c r="A1433" t="s">
        <v>443</v>
      </c>
      <c r="B1433" t="s">
        <v>194</v>
      </c>
      <c r="C1433" t="s">
        <v>50</v>
      </c>
      <c r="D1433" s="3">
        <v>45687</v>
      </c>
      <c r="E1433" t="str">
        <f>VLOOKUP(B1433,'PROCV GERENTES BD'!A:B,2,0)</f>
        <v>PROSPECTAR</v>
      </c>
      <c r="F1433" s="4" t="str">
        <f t="shared" si="132"/>
        <v>2025-01</v>
      </c>
      <c r="G1433" s="18">
        <f t="shared" si="133"/>
        <v>5</v>
      </c>
      <c r="H1433" t="str">
        <f t="shared" si="134"/>
        <v>PROSPECTAR</v>
      </c>
      <c r="I1433" t="str">
        <f t="shared" si="135"/>
        <v>ALPLAST ATACADISTA E APOIO ADMINISTRATIVO LTDA EPP</v>
      </c>
      <c r="J1433">
        <f t="shared" si="136"/>
        <v>0</v>
      </c>
      <c r="K1433">
        <f t="shared" si="137"/>
        <v>1</v>
      </c>
    </row>
    <row r="1434" spans="1:11" x14ac:dyDescent="0.25">
      <c r="A1434" t="s">
        <v>310</v>
      </c>
      <c r="B1434" t="s">
        <v>204</v>
      </c>
      <c r="C1434" t="s">
        <v>66</v>
      </c>
      <c r="D1434" s="3">
        <v>45687</v>
      </c>
      <c r="E1434" t="str">
        <f>VLOOKUP(B1434,'PROCV GERENTES BD'!A:B,2,0)</f>
        <v xml:space="preserve">MARCUS VINICIUS </v>
      </c>
      <c r="F1434" s="4" t="str">
        <f t="shared" si="132"/>
        <v>2025-01</v>
      </c>
      <c r="G1434" s="18">
        <f t="shared" si="133"/>
        <v>5</v>
      </c>
      <c r="H1434" t="str">
        <f t="shared" si="134"/>
        <v xml:space="preserve">MARCUS VINICIUS </v>
      </c>
      <c r="I1434" t="str">
        <f t="shared" si="135"/>
        <v>INDUSTRIA E COMERCIO DE CHURRASQUEIRAS BOM JESUS L</v>
      </c>
      <c r="J1434">
        <f t="shared" si="136"/>
        <v>1</v>
      </c>
      <c r="K1434">
        <f t="shared" si="137"/>
        <v>0</v>
      </c>
    </row>
    <row r="1435" spans="1:11" x14ac:dyDescent="0.25">
      <c r="A1435" t="s">
        <v>428</v>
      </c>
      <c r="B1435" t="s">
        <v>179</v>
      </c>
      <c r="C1435" t="s">
        <v>50</v>
      </c>
      <c r="D1435" s="3">
        <v>45687</v>
      </c>
      <c r="E1435" t="str">
        <f>VLOOKUP(B1435,'PROCV GERENTES BD'!A:B,2,0)</f>
        <v xml:space="preserve">MARCUS VINICIUS </v>
      </c>
      <c r="F1435" s="4" t="str">
        <f t="shared" si="132"/>
        <v>2025-01</v>
      </c>
      <c r="G1435" s="18">
        <f t="shared" si="133"/>
        <v>5</v>
      </c>
      <c r="H1435" t="str">
        <f t="shared" si="134"/>
        <v xml:space="preserve">MARCUS VINICIUS </v>
      </c>
      <c r="I1435" t="str">
        <f t="shared" si="135"/>
        <v>LABOR ELETRIC INDUSTRIA E COMERCIO UNIPESSOAL LTDA</v>
      </c>
      <c r="J1435">
        <f t="shared" si="136"/>
        <v>0</v>
      </c>
      <c r="K1435">
        <f t="shared" si="137"/>
        <v>1</v>
      </c>
    </row>
    <row r="1436" spans="1:11" x14ac:dyDescent="0.25">
      <c r="A1436" t="s">
        <v>419</v>
      </c>
      <c r="B1436" t="s">
        <v>199</v>
      </c>
      <c r="C1436" t="s">
        <v>50</v>
      </c>
      <c r="D1436" s="3">
        <v>45687</v>
      </c>
      <c r="E1436" t="str">
        <f>VLOOKUP(B1436,'PROCV GERENTES BD'!A:B,2,0)</f>
        <v>NOELI SALETE</v>
      </c>
      <c r="F1436" s="4" t="str">
        <f t="shared" si="132"/>
        <v>2025-01</v>
      </c>
      <c r="G1436" s="18">
        <f t="shared" si="133"/>
        <v>5</v>
      </c>
      <c r="H1436" t="str">
        <f t="shared" si="134"/>
        <v>NOELI SALETE</v>
      </c>
      <c r="I1436" t="str">
        <f t="shared" si="135"/>
        <v>GLOBAL ACO SERV PRODUTOS SIDERURGICOS LTDA RECUPER</v>
      </c>
      <c r="J1436">
        <f t="shared" si="136"/>
        <v>0</v>
      </c>
      <c r="K1436">
        <f t="shared" si="137"/>
        <v>1</v>
      </c>
    </row>
    <row r="1437" spans="1:11" x14ac:dyDescent="0.25">
      <c r="A1437" t="s">
        <v>389</v>
      </c>
      <c r="B1437" t="s">
        <v>136</v>
      </c>
      <c r="C1437" t="s">
        <v>66</v>
      </c>
      <c r="D1437" s="3">
        <v>45687</v>
      </c>
      <c r="E1437" t="str">
        <f>VLOOKUP(B1437,'PROCV GERENTES BD'!A:B,2,0)</f>
        <v>POENATELA</v>
      </c>
      <c r="F1437" s="4" t="str">
        <f t="shared" si="132"/>
        <v>2025-01</v>
      </c>
      <c r="G1437" s="18">
        <f t="shared" si="133"/>
        <v>5</v>
      </c>
      <c r="H1437" t="str">
        <f t="shared" si="134"/>
        <v>POENATELA</v>
      </c>
      <c r="I1437" t="str">
        <f t="shared" si="135"/>
        <v>CONQUISTA INDUSTRIA DE MOVEIS S/A</v>
      </c>
      <c r="J1437">
        <f t="shared" si="136"/>
        <v>1</v>
      </c>
      <c r="K1437">
        <f t="shared" si="137"/>
        <v>0</v>
      </c>
    </row>
    <row r="1438" spans="1:11" x14ac:dyDescent="0.25">
      <c r="A1438" t="s">
        <v>452</v>
      </c>
      <c r="B1438" t="s">
        <v>209</v>
      </c>
      <c r="C1438" t="s">
        <v>50</v>
      </c>
      <c r="D1438" s="3">
        <v>45687</v>
      </c>
      <c r="E1438" t="str">
        <f>VLOOKUP(B1438,'PROCV GERENTES BD'!A:B,2,0)</f>
        <v>PRISCILA METZ</v>
      </c>
      <c r="F1438" s="4" t="str">
        <f t="shared" si="132"/>
        <v>2025-01</v>
      </c>
      <c r="G1438" s="18">
        <f t="shared" si="133"/>
        <v>5</v>
      </c>
      <c r="H1438" t="str">
        <f t="shared" si="134"/>
        <v>PRISCILA METZ</v>
      </c>
      <c r="I1438" t="str">
        <f t="shared" si="135"/>
        <v>D M RODRIGUES LTDA ME</v>
      </c>
      <c r="J1438">
        <f t="shared" si="136"/>
        <v>0</v>
      </c>
      <c r="K1438">
        <f t="shared" si="137"/>
        <v>1</v>
      </c>
    </row>
    <row r="1439" spans="1:11" x14ac:dyDescent="0.25">
      <c r="A1439" t="s">
        <v>390</v>
      </c>
      <c r="B1439" t="s">
        <v>137</v>
      </c>
      <c r="C1439" t="s">
        <v>66</v>
      </c>
      <c r="D1439" s="3">
        <v>45687</v>
      </c>
      <c r="E1439" t="str">
        <f>VLOOKUP(B1439,'PROCV GERENTES BD'!A:B,2,0)</f>
        <v>PRISCILA METZ</v>
      </c>
      <c r="F1439" s="4" t="str">
        <f t="shared" si="132"/>
        <v>2025-01</v>
      </c>
      <c r="G1439" s="18">
        <f t="shared" si="133"/>
        <v>5</v>
      </c>
      <c r="H1439" t="str">
        <f t="shared" si="134"/>
        <v>PRISCILA METZ</v>
      </c>
      <c r="I1439" t="str">
        <f t="shared" si="135"/>
        <v>VLF IMPERIAL LATICINIOS LTDA ME</v>
      </c>
      <c r="J1439">
        <f t="shared" si="136"/>
        <v>1</v>
      </c>
      <c r="K1439">
        <f t="shared" si="137"/>
        <v>0</v>
      </c>
    </row>
    <row r="1440" spans="1:11" x14ac:dyDescent="0.25">
      <c r="A1440" t="s">
        <v>454</v>
      </c>
      <c r="B1440" t="s">
        <v>211</v>
      </c>
      <c r="C1440" t="s">
        <v>50</v>
      </c>
      <c r="D1440" s="3">
        <v>45687</v>
      </c>
      <c r="E1440" t="str">
        <f>VLOOKUP(B1440,'PROCV GERENTES BD'!A:B,2,0)</f>
        <v>RAFAEL PARISE</v>
      </c>
      <c r="F1440" s="4" t="str">
        <f t="shared" si="132"/>
        <v>2025-01</v>
      </c>
      <c r="G1440" s="18">
        <f t="shared" si="133"/>
        <v>5</v>
      </c>
      <c r="H1440" t="str">
        <f t="shared" si="134"/>
        <v>RAFAEL PARISE</v>
      </c>
      <c r="I1440" t="str">
        <f t="shared" si="135"/>
        <v>TREGA FILHOS EMPACOTAMENTO E DISTRIBUICAO LTDA ME</v>
      </c>
      <c r="J1440">
        <f t="shared" si="136"/>
        <v>0</v>
      </c>
      <c r="K1440">
        <f t="shared" si="137"/>
        <v>1</v>
      </c>
    </row>
    <row r="1441" spans="1:11" x14ac:dyDescent="0.25">
      <c r="A1441" t="s">
        <v>76</v>
      </c>
      <c r="B1441" t="s">
        <v>77</v>
      </c>
      <c r="C1441" t="s">
        <v>66</v>
      </c>
      <c r="D1441" s="3">
        <v>45687</v>
      </c>
      <c r="E1441" t="str">
        <f>VLOOKUP(B1441,'PROCV GERENTES BD'!A:B,2,0)</f>
        <v>RAFAEL PARISE</v>
      </c>
      <c r="F1441" s="4" t="str">
        <f t="shared" si="132"/>
        <v>2025-01</v>
      </c>
      <c r="G1441" s="18">
        <f t="shared" si="133"/>
        <v>5</v>
      </c>
      <c r="H1441" t="str">
        <f t="shared" si="134"/>
        <v>RAFAEL PARISE</v>
      </c>
      <c r="I1441" t="str">
        <f t="shared" si="135"/>
        <v>UNITA AUTO PECAS LTDA EPP</v>
      </c>
      <c r="J1441">
        <f t="shared" si="136"/>
        <v>1</v>
      </c>
      <c r="K1441">
        <f t="shared" si="137"/>
        <v>0</v>
      </c>
    </row>
    <row r="1442" spans="1:11" x14ac:dyDescent="0.25">
      <c r="A1442" t="s">
        <v>457</v>
      </c>
      <c r="B1442" t="s">
        <v>214</v>
      </c>
      <c r="C1442" t="s">
        <v>66</v>
      </c>
      <c r="D1442" s="3">
        <v>45687</v>
      </c>
      <c r="E1442" t="s">
        <v>21</v>
      </c>
      <c r="F1442" s="4" t="str">
        <f t="shared" si="132"/>
        <v>2025-01</v>
      </c>
      <c r="G1442" s="18">
        <f t="shared" si="133"/>
        <v>5</v>
      </c>
      <c r="H1442" t="str">
        <f t="shared" si="134"/>
        <v xml:space="preserve">ROGERIO </v>
      </c>
      <c r="I1442" t="str">
        <f t="shared" si="135"/>
        <v>METAL STAMP INDUSTRIA E COMERCIO LTDA</v>
      </c>
      <c r="J1442">
        <f t="shared" si="136"/>
        <v>1</v>
      </c>
      <c r="K1442">
        <f t="shared" si="137"/>
        <v>0</v>
      </c>
    </row>
    <row r="1443" spans="1:11" x14ac:dyDescent="0.25">
      <c r="A1443" t="s">
        <v>319</v>
      </c>
      <c r="B1443" t="s">
        <v>80</v>
      </c>
      <c r="C1443" t="s">
        <v>50</v>
      </c>
      <c r="D1443" s="3">
        <v>45688</v>
      </c>
      <c r="E1443" t="str">
        <f>VLOOKUP(B1443,'PROCV GERENTES BD'!A:B,2,0)</f>
        <v>CELIO PIMENTA</v>
      </c>
      <c r="F1443" s="4" t="str">
        <f t="shared" si="132"/>
        <v>2025-01</v>
      </c>
      <c r="G1443" s="18">
        <f t="shared" si="133"/>
        <v>5</v>
      </c>
      <c r="H1443" t="str">
        <f t="shared" si="134"/>
        <v>CELIO PIMENTA</v>
      </c>
      <c r="I1443" t="str">
        <f t="shared" si="135"/>
        <v>IMPORTEXTIL COMERCIO DE TECIDOS LTDA</v>
      </c>
      <c r="J1443">
        <f t="shared" si="136"/>
        <v>0</v>
      </c>
      <c r="K1443">
        <f t="shared" si="137"/>
        <v>1</v>
      </c>
    </row>
    <row r="1444" spans="1:11" x14ac:dyDescent="0.25">
      <c r="A1444" t="s">
        <v>374</v>
      </c>
      <c r="B1444" t="s">
        <v>118</v>
      </c>
      <c r="C1444" t="s">
        <v>66</v>
      </c>
      <c r="D1444" s="3">
        <v>45688</v>
      </c>
      <c r="E1444" t="str">
        <f>VLOOKUP(B1444,'PROCV GERENTES BD'!A:B,2,0)</f>
        <v>CELIO PIMENTA</v>
      </c>
      <c r="F1444" s="4" t="str">
        <f t="shared" si="132"/>
        <v>2025-01</v>
      </c>
      <c r="G1444" s="18">
        <f t="shared" si="133"/>
        <v>5</v>
      </c>
      <c r="H1444" t="str">
        <f t="shared" si="134"/>
        <v>CELIO PIMENTA</v>
      </c>
      <c r="I1444" t="str">
        <f t="shared" si="135"/>
        <v>MINAS ALIMENTOS E FRUTAS SECAS LTDA EPP</v>
      </c>
      <c r="J1444">
        <f t="shared" si="136"/>
        <v>1</v>
      </c>
      <c r="K1444">
        <f t="shared" si="137"/>
        <v>0</v>
      </c>
    </row>
    <row r="1445" spans="1:11" x14ac:dyDescent="0.25">
      <c r="A1445" t="s">
        <v>443</v>
      </c>
      <c r="B1445" t="s">
        <v>194</v>
      </c>
      <c r="C1445" t="s">
        <v>66</v>
      </c>
      <c r="D1445" s="3">
        <v>45688</v>
      </c>
      <c r="E1445" t="str">
        <f>VLOOKUP(B1445,'PROCV GERENTES BD'!A:B,2,0)</f>
        <v>PROSPECTAR</v>
      </c>
      <c r="F1445" s="4" t="str">
        <f t="shared" si="132"/>
        <v>2025-01</v>
      </c>
      <c r="G1445" s="18">
        <f t="shared" si="133"/>
        <v>5</v>
      </c>
      <c r="H1445" t="str">
        <f t="shared" si="134"/>
        <v>PROSPECTAR</v>
      </c>
      <c r="I1445" t="str">
        <f t="shared" si="135"/>
        <v>ALPLAST ATACADISTA E APOIO ADMINISTRATIVO LTDA EPP</v>
      </c>
      <c r="J1445">
        <f t="shared" si="136"/>
        <v>1</v>
      </c>
      <c r="K1445">
        <f t="shared" si="137"/>
        <v>0</v>
      </c>
    </row>
    <row r="1446" spans="1:11" x14ac:dyDescent="0.25">
      <c r="A1446" t="s">
        <v>324</v>
      </c>
      <c r="B1446" t="s">
        <v>119</v>
      </c>
      <c r="C1446" t="s">
        <v>66</v>
      </c>
      <c r="D1446" s="3">
        <v>45688</v>
      </c>
      <c r="E1446" t="str">
        <f>VLOOKUP(B1446,'PROCV GERENTES BD'!A:B,2,0)</f>
        <v>PROSPECTAR</v>
      </c>
      <c r="F1446" s="4" t="str">
        <f t="shared" si="132"/>
        <v>2025-01</v>
      </c>
      <c r="G1446" s="18">
        <f t="shared" si="133"/>
        <v>5</v>
      </c>
      <c r="H1446" t="str">
        <f t="shared" si="134"/>
        <v>PROSPECTAR</v>
      </c>
      <c r="I1446" t="str">
        <f t="shared" si="135"/>
        <v>TRANSHENRY TRANSPORTES LTDA</v>
      </c>
      <c r="J1446">
        <f t="shared" si="136"/>
        <v>1</v>
      </c>
      <c r="K1446">
        <f t="shared" si="137"/>
        <v>0</v>
      </c>
    </row>
    <row r="1447" spans="1:11" x14ac:dyDescent="0.25">
      <c r="A1447" t="s">
        <v>318</v>
      </c>
      <c r="B1447" t="s">
        <v>203</v>
      </c>
      <c r="C1447" t="s">
        <v>66</v>
      </c>
      <c r="D1447" s="3">
        <v>45688</v>
      </c>
      <c r="E1447" t="str">
        <f>VLOOKUP(B1447,'PROCV GERENTES BD'!A:B,2,0)</f>
        <v>JOSE ROBERTO</v>
      </c>
      <c r="F1447" s="4" t="str">
        <f t="shared" si="132"/>
        <v>2025-01</v>
      </c>
      <c r="G1447" s="18">
        <f t="shared" si="133"/>
        <v>5</v>
      </c>
      <c r="H1447" t="str">
        <f t="shared" si="134"/>
        <v>JOSE ROBERTO</v>
      </c>
      <c r="I1447" t="str">
        <f t="shared" si="135"/>
        <v>FUNDACAO DE ENSINO E PESQUISA DO SUL DE MINAS FEPE</v>
      </c>
      <c r="J1447">
        <f t="shared" si="136"/>
        <v>1</v>
      </c>
      <c r="K1447">
        <f t="shared" si="137"/>
        <v>0</v>
      </c>
    </row>
    <row r="1448" spans="1:11" x14ac:dyDescent="0.25">
      <c r="A1448" t="s">
        <v>428</v>
      </c>
      <c r="B1448" t="s">
        <v>179</v>
      </c>
      <c r="C1448" t="s">
        <v>66</v>
      </c>
      <c r="D1448" s="3">
        <v>45688</v>
      </c>
      <c r="E1448" t="str">
        <f>VLOOKUP(B1448,'PROCV GERENTES BD'!A:B,2,0)</f>
        <v xml:space="preserve">MARCUS VINICIUS </v>
      </c>
      <c r="F1448" s="4" t="str">
        <f t="shared" si="132"/>
        <v>2025-01</v>
      </c>
      <c r="G1448" s="18">
        <f t="shared" si="133"/>
        <v>5</v>
      </c>
      <c r="H1448" t="str">
        <f t="shared" si="134"/>
        <v xml:space="preserve">MARCUS VINICIUS </v>
      </c>
      <c r="I1448" t="str">
        <f t="shared" si="135"/>
        <v>LABOR ELETRIC INDUSTRIA E COMERCIO UNIPESSOAL LTDA</v>
      </c>
      <c r="J1448">
        <f t="shared" si="136"/>
        <v>1</v>
      </c>
      <c r="K1448">
        <f t="shared" si="137"/>
        <v>0</v>
      </c>
    </row>
    <row r="1449" spans="1:11" x14ac:dyDescent="0.25">
      <c r="A1449" t="s">
        <v>418</v>
      </c>
      <c r="B1449" t="s">
        <v>168</v>
      </c>
      <c r="C1449" t="s">
        <v>50</v>
      </c>
      <c r="D1449" s="3">
        <v>45688</v>
      </c>
      <c r="E1449" t="str">
        <f>VLOOKUP(B1449,'PROCV GERENTES BD'!A:B,2,0)</f>
        <v>ADMINISTRAÇÃO</v>
      </c>
      <c r="F1449" s="4" t="str">
        <f t="shared" si="132"/>
        <v>2025-01</v>
      </c>
      <c r="G1449" s="18">
        <f t="shared" si="133"/>
        <v>5</v>
      </c>
      <c r="H1449" t="str">
        <f t="shared" si="134"/>
        <v>ADMINISTRAÇÃO</v>
      </c>
      <c r="I1449" t="str">
        <f t="shared" si="135"/>
        <v>MAAT COMERCIO DE VESTUARIO LTDA EPP</v>
      </c>
      <c r="J1449">
        <f t="shared" si="136"/>
        <v>0</v>
      </c>
      <c r="K1449">
        <f t="shared" si="137"/>
        <v>1</v>
      </c>
    </row>
    <row r="1450" spans="1:11" x14ac:dyDescent="0.25">
      <c r="A1450" t="s">
        <v>400</v>
      </c>
      <c r="B1450" t="s">
        <v>150</v>
      </c>
      <c r="C1450" t="s">
        <v>66</v>
      </c>
      <c r="D1450" s="3">
        <v>45688</v>
      </c>
      <c r="E1450" t="str">
        <f>VLOOKUP(B1450,'PROCV GERENTES BD'!A:B,2,0)</f>
        <v>NOELI SALETE</v>
      </c>
      <c r="F1450" s="4" t="str">
        <f t="shared" si="132"/>
        <v>2025-01</v>
      </c>
      <c r="G1450" s="18">
        <f t="shared" si="133"/>
        <v>5</v>
      </c>
      <c r="H1450" t="str">
        <f t="shared" si="134"/>
        <v>NOELI SALETE</v>
      </c>
      <c r="I1450" t="str">
        <f t="shared" si="135"/>
        <v>POOLMAK SISTEMAS ESTRUTURAIS LTDA</v>
      </c>
      <c r="J1450">
        <f t="shared" si="136"/>
        <v>1</v>
      </c>
      <c r="K1450">
        <f t="shared" si="137"/>
        <v>0</v>
      </c>
    </row>
    <row r="1451" spans="1:11" x14ac:dyDescent="0.25">
      <c r="A1451" t="s">
        <v>346</v>
      </c>
      <c r="B1451" t="s">
        <v>91</v>
      </c>
      <c r="C1451" t="s">
        <v>53</v>
      </c>
      <c r="D1451" s="3">
        <v>45688</v>
      </c>
      <c r="E1451" t="str">
        <f>VLOOKUP(B1451,'PROCV GERENTES BD'!A:B,2,0)</f>
        <v>POENATELA</v>
      </c>
      <c r="F1451" s="4" t="str">
        <f t="shared" si="132"/>
        <v>2025-01</v>
      </c>
      <c r="G1451" s="18">
        <f t="shared" si="133"/>
        <v>5</v>
      </c>
      <c r="H1451" t="str">
        <f t="shared" si="134"/>
        <v>POENATELA</v>
      </c>
      <c r="I1451" t="str">
        <f t="shared" si="135"/>
        <v>UBERTEC SERVICE USINAGEM LTDA EPP</v>
      </c>
      <c r="J1451">
        <f t="shared" si="136"/>
        <v>1</v>
      </c>
      <c r="K1451">
        <f t="shared" si="137"/>
        <v>1</v>
      </c>
    </row>
    <row r="1452" spans="1:11" x14ac:dyDescent="0.25">
      <c r="A1452" t="s">
        <v>452</v>
      </c>
      <c r="B1452" t="s">
        <v>209</v>
      </c>
      <c r="C1452" t="s">
        <v>50</v>
      </c>
      <c r="D1452" s="3">
        <v>45688</v>
      </c>
      <c r="E1452" t="str">
        <f>VLOOKUP(B1452,'PROCV GERENTES BD'!A:B,2,0)</f>
        <v>PRISCILA METZ</v>
      </c>
      <c r="F1452" s="4" t="str">
        <f t="shared" si="132"/>
        <v>2025-01</v>
      </c>
      <c r="G1452" s="18">
        <f t="shared" si="133"/>
        <v>5</v>
      </c>
      <c r="H1452" t="str">
        <f t="shared" si="134"/>
        <v>PRISCILA METZ</v>
      </c>
      <c r="I1452" t="str">
        <f t="shared" si="135"/>
        <v>D M RODRIGUES LTDA ME</v>
      </c>
      <c r="J1452">
        <f t="shared" si="136"/>
        <v>0</v>
      </c>
      <c r="K1452">
        <f t="shared" si="137"/>
        <v>1</v>
      </c>
    </row>
    <row r="1453" spans="1:11" x14ac:dyDescent="0.25">
      <c r="A1453" t="s">
        <v>468</v>
      </c>
      <c r="B1453" t="s">
        <v>225</v>
      </c>
      <c r="C1453" t="s">
        <v>66</v>
      </c>
      <c r="D1453" s="3">
        <v>45688</v>
      </c>
      <c r="E1453" t="s">
        <v>21</v>
      </c>
      <c r="F1453" s="4" t="str">
        <f t="shared" si="132"/>
        <v>2025-01</v>
      </c>
      <c r="G1453" s="18">
        <f t="shared" si="133"/>
        <v>5</v>
      </c>
      <c r="H1453" t="str">
        <f t="shared" si="134"/>
        <v xml:space="preserve">ROGERIO </v>
      </c>
      <c r="I1453" t="str">
        <f t="shared" si="135"/>
        <v>TORQUE FERRAMENTAS LTDA ME</v>
      </c>
      <c r="J1453">
        <f t="shared" si="136"/>
        <v>1</v>
      </c>
      <c r="K1453">
        <f t="shared" si="137"/>
        <v>0</v>
      </c>
    </row>
    <row r="1454" spans="1:11" x14ac:dyDescent="0.25">
      <c r="A1454" t="s">
        <v>461</v>
      </c>
      <c r="B1454" t="s">
        <v>218</v>
      </c>
      <c r="C1454" t="s">
        <v>50</v>
      </c>
      <c r="D1454" s="3">
        <v>45688</v>
      </c>
      <c r="E1454" t="str">
        <f>VLOOKUP(B1454,'PROCV GERENTES BD'!A:B,2,0)</f>
        <v>SACADO</v>
      </c>
      <c r="F1454" s="4" t="str">
        <f t="shared" si="132"/>
        <v>2025-01</v>
      </c>
      <c r="G1454" s="18">
        <f t="shared" si="133"/>
        <v>5</v>
      </c>
      <c r="H1454" t="str">
        <f t="shared" si="134"/>
        <v>SACADO</v>
      </c>
      <c r="I1454" t="str">
        <f t="shared" si="135"/>
        <v>KUARA COMERCIAL E EXPORTADORA DE FRUTAS LTDA</v>
      </c>
      <c r="J1454">
        <f t="shared" si="136"/>
        <v>0</v>
      </c>
      <c r="K1454">
        <f t="shared" si="137"/>
        <v>1</v>
      </c>
    </row>
    <row r="1455" spans="1:11" x14ac:dyDescent="0.25">
      <c r="A1455" t="s">
        <v>319</v>
      </c>
      <c r="B1455" t="s">
        <v>80</v>
      </c>
      <c r="C1455" t="s">
        <v>53</v>
      </c>
      <c r="D1455" s="3">
        <v>45689</v>
      </c>
      <c r="E1455" t="str">
        <f>VLOOKUP(B1455,'PROCV GERENTES BD'!A:B,2,0)</f>
        <v>CELIO PIMENTA</v>
      </c>
      <c r="F1455" s="4" t="str">
        <f t="shared" si="132"/>
        <v>2025-02</v>
      </c>
      <c r="G1455" s="18">
        <f t="shared" si="133"/>
        <v>5</v>
      </c>
      <c r="H1455" t="str">
        <f t="shared" si="134"/>
        <v>CELIO PIMENTA</v>
      </c>
      <c r="I1455" t="str">
        <f t="shared" si="135"/>
        <v>IMPORTEXTIL COMERCIO DE TECIDOS LTDA</v>
      </c>
      <c r="J1455">
        <f t="shared" si="136"/>
        <v>1</v>
      </c>
      <c r="K1455">
        <f t="shared" si="137"/>
        <v>1</v>
      </c>
    </row>
    <row r="1456" spans="1:11" x14ac:dyDescent="0.25">
      <c r="A1456" t="s">
        <v>450</v>
      </c>
      <c r="B1456" t="s">
        <v>207</v>
      </c>
      <c r="C1456" t="s">
        <v>66</v>
      </c>
      <c r="D1456" s="3">
        <v>45689</v>
      </c>
      <c r="E1456" t="str">
        <f>VLOOKUP(B1456,'PROCV GERENTES BD'!A:B,2,0)</f>
        <v>CELIO PIMENTA</v>
      </c>
      <c r="F1456" s="4" t="str">
        <f t="shared" si="132"/>
        <v>2025-02</v>
      </c>
      <c r="G1456" s="18">
        <f t="shared" si="133"/>
        <v>5</v>
      </c>
      <c r="H1456" t="str">
        <f t="shared" si="134"/>
        <v>CELIO PIMENTA</v>
      </c>
      <c r="I1456" t="str">
        <f t="shared" si="135"/>
        <v>LIDER COMERCIO DE UNIFORMES E EPI S LTDA ME</v>
      </c>
      <c r="J1456">
        <f t="shared" si="136"/>
        <v>1</v>
      </c>
      <c r="K1456">
        <f t="shared" si="137"/>
        <v>0</v>
      </c>
    </row>
    <row r="1457" spans="1:11" x14ac:dyDescent="0.25">
      <c r="A1457" t="s">
        <v>374</v>
      </c>
      <c r="B1457" t="s">
        <v>118</v>
      </c>
      <c r="C1457" t="s">
        <v>50</v>
      </c>
      <c r="D1457" s="3">
        <v>45689</v>
      </c>
      <c r="E1457" t="str">
        <f>VLOOKUP(B1457,'PROCV GERENTES BD'!A:B,2,0)</f>
        <v>CELIO PIMENTA</v>
      </c>
      <c r="F1457" s="4" t="str">
        <f t="shared" si="132"/>
        <v>2025-02</v>
      </c>
      <c r="G1457" s="18">
        <f t="shared" si="133"/>
        <v>5</v>
      </c>
      <c r="H1457" t="str">
        <f t="shared" si="134"/>
        <v>CELIO PIMENTA</v>
      </c>
      <c r="I1457" t="str">
        <f t="shared" si="135"/>
        <v>MINAS ALIMENTOS E FRUTAS SECAS LTDA EPP</v>
      </c>
      <c r="J1457">
        <f t="shared" si="136"/>
        <v>0</v>
      </c>
      <c r="K1457">
        <f t="shared" si="137"/>
        <v>1</v>
      </c>
    </row>
    <row r="1458" spans="1:11" x14ac:dyDescent="0.25">
      <c r="A1458" t="s">
        <v>413</v>
      </c>
      <c r="B1458" t="s">
        <v>163</v>
      </c>
      <c r="C1458" t="s">
        <v>50</v>
      </c>
      <c r="D1458" s="3">
        <v>45689</v>
      </c>
      <c r="E1458" t="str">
        <f>VLOOKUP(B1458,'PROCV GERENTES BD'!A:B,2,0)</f>
        <v>CELIO PIMENTA</v>
      </c>
      <c r="F1458" s="4" t="str">
        <f t="shared" si="132"/>
        <v>2025-02</v>
      </c>
      <c r="G1458" s="18">
        <f t="shared" si="133"/>
        <v>5</v>
      </c>
      <c r="H1458" t="str">
        <f t="shared" si="134"/>
        <v>CELIO PIMENTA</v>
      </c>
      <c r="I1458" t="str">
        <f t="shared" si="135"/>
        <v>TOUROS IMPLEMENTOS LTDA ME</v>
      </c>
      <c r="J1458">
        <f t="shared" si="136"/>
        <v>0</v>
      </c>
      <c r="K1458">
        <f t="shared" si="137"/>
        <v>1</v>
      </c>
    </row>
    <row r="1459" spans="1:11" x14ac:dyDescent="0.25">
      <c r="A1459" t="s">
        <v>358</v>
      </c>
      <c r="B1459" t="s">
        <v>104</v>
      </c>
      <c r="C1459" t="s">
        <v>66</v>
      </c>
      <c r="D1459" s="3">
        <v>45689</v>
      </c>
      <c r="E1459" t="str">
        <f>VLOOKUP(B1459,'PROCV GERENTES BD'!A:B,2,0)</f>
        <v>DIOGO AZEVEDO</v>
      </c>
      <c r="F1459" s="4" t="str">
        <f t="shared" si="132"/>
        <v>2025-02</v>
      </c>
      <c r="G1459" s="18">
        <f t="shared" si="133"/>
        <v>5</v>
      </c>
      <c r="H1459" t="str">
        <f t="shared" si="134"/>
        <v>DIOGO AZEVEDO</v>
      </c>
      <c r="I1459" t="str">
        <f t="shared" si="135"/>
        <v>INDUSTRIA E CERVEJARIA ARTESANAL DE MINAS GERAIS L</v>
      </c>
      <c r="J1459">
        <f t="shared" si="136"/>
        <v>1</v>
      </c>
      <c r="K1459">
        <f t="shared" si="137"/>
        <v>0</v>
      </c>
    </row>
    <row r="1460" spans="1:11" x14ac:dyDescent="0.25">
      <c r="A1460" t="s">
        <v>443</v>
      </c>
      <c r="B1460" t="s">
        <v>194</v>
      </c>
      <c r="C1460" t="s">
        <v>50</v>
      </c>
      <c r="D1460" s="3">
        <v>45689</v>
      </c>
      <c r="E1460" t="str">
        <f>VLOOKUP(B1460,'PROCV GERENTES BD'!A:B,2,0)</f>
        <v>PROSPECTAR</v>
      </c>
      <c r="F1460" s="4" t="str">
        <f t="shared" si="132"/>
        <v>2025-02</v>
      </c>
      <c r="G1460" s="18">
        <f t="shared" si="133"/>
        <v>5</v>
      </c>
      <c r="H1460" t="str">
        <f t="shared" si="134"/>
        <v>PROSPECTAR</v>
      </c>
      <c r="I1460" t="str">
        <f t="shared" si="135"/>
        <v>ALPLAST ATACADISTA E APOIO ADMINISTRATIVO LTDA EPP</v>
      </c>
      <c r="J1460">
        <f t="shared" si="136"/>
        <v>0</v>
      </c>
      <c r="K1460">
        <f t="shared" si="137"/>
        <v>1</v>
      </c>
    </row>
    <row r="1461" spans="1:11" x14ac:dyDescent="0.25">
      <c r="A1461" t="s">
        <v>318</v>
      </c>
      <c r="B1461" t="s">
        <v>203</v>
      </c>
      <c r="C1461" t="s">
        <v>66</v>
      </c>
      <c r="D1461" s="3">
        <v>45689</v>
      </c>
      <c r="E1461" t="str">
        <f>VLOOKUP(B1461,'PROCV GERENTES BD'!A:B,2,0)</f>
        <v>JOSE ROBERTO</v>
      </c>
      <c r="F1461" s="4" t="str">
        <f t="shared" si="132"/>
        <v>2025-02</v>
      </c>
      <c r="G1461" s="18">
        <f t="shared" si="133"/>
        <v>5</v>
      </c>
      <c r="H1461" t="str">
        <f t="shared" si="134"/>
        <v>JOSE ROBERTO</v>
      </c>
      <c r="I1461" t="str">
        <f t="shared" si="135"/>
        <v>FUNDACAO DE ENSINO E PESQUISA DO SUL DE MINAS FEPE</v>
      </c>
      <c r="J1461">
        <f t="shared" si="136"/>
        <v>1</v>
      </c>
      <c r="K1461">
        <f t="shared" si="137"/>
        <v>0</v>
      </c>
    </row>
    <row r="1462" spans="1:11" x14ac:dyDescent="0.25">
      <c r="A1462" t="s">
        <v>395</v>
      </c>
      <c r="B1462" t="s">
        <v>145</v>
      </c>
      <c r="C1462" t="s">
        <v>66</v>
      </c>
      <c r="D1462" s="3">
        <v>45689</v>
      </c>
      <c r="E1462" t="str">
        <f>VLOOKUP(B1462,'PROCV GERENTES BD'!A:B,2,0)</f>
        <v>MARCIO LEONEL</v>
      </c>
      <c r="F1462" s="4" t="str">
        <f t="shared" si="132"/>
        <v>2025-02</v>
      </c>
      <c r="G1462" s="18">
        <f t="shared" si="133"/>
        <v>5</v>
      </c>
      <c r="H1462" t="str">
        <f t="shared" si="134"/>
        <v>MARCIO LEONEL</v>
      </c>
      <c r="I1462" t="str">
        <f t="shared" si="135"/>
        <v>MEDICAL PRIME IMP EXPORT DISTRIB PRODUTOS MEDICOS</v>
      </c>
      <c r="J1462">
        <f t="shared" si="136"/>
        <v>1</v>
      </c>
      <c r="K1462">
        <f t="shared" si="137"/>
        <v>0</v>
      </c>
    </row>
    <row r="1463" spans="1:11" x14ac:dyDescent="0.25">
      <c r="A1463" t="s">
        <v>375</v>
      </c>
      <c r="B1463" t="s">
        <v>120</v>
      </c>
      <c r="C1463" t="s">
        <v>53</v>
      </c>
      <c r="D1463" s="3">
        <v>45689</v>
      </c>
      <c r="E1463" t="str">
        <f>VLOOKUP(B1463,'PROCV GERENTES BD'!A:B,2,0)</f>
        <v>ADMINISTRAÇÃO</v>
      </c>
      <c r="F1463" s="4" t="str">
        <f t="shared" si="132"/>
        <v>2025-02</v>
      </c>
      <c r="G1463" s="18">
        <f t="shared" si="133"/>
        <v>5</v>
      </c>
      <c r="H1463" t="str">
        <f t="shared" si="134"/>
        <v>ADMINISTRAÇÃO</v>
      </c>
      <c r="I1463" t="str">
        <f t="shared" si="135"/>
        <v>FARINELLI NUTRIMENTOS LTDA</v>
      </c>
      <c r="J1463">
        <f t="shared" si="136"/>
        <v>1</v>
      </c>
      <c r="K1463">
        <f t="shared" si="137"/>
        <v>1</v>
      </c>
    </row>
    <row r="1464" spans="1:11" x14ac:dyDescent="0.25">
      <c r="A1464" t="s">
        <v>389</v>
      </c>
      <c r="B1464" t="s">
        <v>136</v>
      </c>
      <c r="C1464" t="s">
        <v>66</v>
      </c>
      <c r="D1464" s="3">
        <v>45689</v>
      </c>
      <c r="E1464" t="str">
        <f>VLOOKUP(B1464,'PROCV GERENTES BD'!A:B,2,0)</f>
        <v>POENATELA</v>
      </c>
      <c r="F1464" s="4" t="str">
        <f t="shared" si="132"/>
        <v>2025-02</v>
      </c>
      <c r="G1464" s="18">
        <f t="shared" si="133"/>
        <v>5</v>
      </c>
      <c r="H1464" t="str">
        <f t="shared" si="134"/>
        <v>POENATELA</v>
      </c>
      <c r="I1464" t="str">
        <f t="shared" si="135"/>
        <v>CONQUISTA INDUSTRIA DE MOVEIS S/A</v>
      </c>
      <c r="J1464">
        <f t="shared" si="136"/>
        <v>1</v>
      </c>
      <c r="K1464">
        <f t="shared" si="137"/>
        <v>0</v>
      </c>
    </row>
    <row r="1465" spans="1:11" x14ac:dyDescent="0.25">
      <c r="A1465" t="s">
        <v>370</v>
      </c>
      <c r="B1465" t="s">
        <v>114</v>
      </c>
      <c r="C1465" t="s">
        <v>66</v>
      </c>
      <c r="D1465" s="3">
        <v>45689</v>
      </c>
      <c r="E1465" t="str">
        <f>VLOOKUP(B1465,'PROCV GERENTES BD'!A:B,2,0)</f>
        <v>POENATELA</v>
      </c>
      <c r="F1465" s="4" t="str">
        <f t="shared" si="132"/>
        <v>2025-02</v>
      </c>
      <c r="G1465" s="18">
        <f t="shared" si="133"/>
        <v>5</v>
      </c>
      <c r="H1465" t="str">
        <f t="shared" si="134"/>
        <v>POENATELA</v>
      </c>
      <c r="I1465" t="str">
        <f t="shared" si="135"/>
        <v>COOPERATIVA TRANSP AUTON CARGAS PASSAG SERVICOS LO</v>
      </c>
      <c r="J1465">
        <f t="shared" si="136"/>
        <v>1</v>
      </c>
      <c r="K1465">
        <f t="shared" si="137"/>
        <v>0</v>
      </c>
    </row>
    <row r="1466" spans="1:11" x14ac:dyDescent="0.25">
      <c r="A1466" t="s">
        <v>346</v>
      </c>
      <c r="B1466" t="s">
        <v>91</v>
      </c>
      <c r="C1466" t="s">
        <v>66</v>
      </c>
      <c r="D1466" s="3">
        <v>45689</v>
      </c>
      <c r="E1466" t="str">
        <f>VLOOKUP(B1466,'PROCV GERENTES BD'!A:B,2,0)</f>
        <v>POENATELA</v>
      </c>
      <c r="F1466" s="4" t="str">
        <f t="shared" si="132"/>
        <v>2025-02</v>
      </c>
      <c r="G1466" s="18">
        <f t="shared" si="133"/>
        <v>5</v>
      </c>
      <c r="H1466" t="str">
        <f t="shared" si="134"/>
        <v>POENATELA</v>
      </c>
      <c r="I1466" t="str">
        <f t="shared" si="135"/>
        <v>UBERTEC SERVICE USINAGEM LTDA EPP</v>
      </c>
      <c r="J1466">
        <f t="shared" si="136"/>
        <v>1</v>
      </c>
      <c r="K1466">
        <f t="shared" si="137"/>
        <v>0</v>
      </c>
    </row>
    <row r="1467" spans="1:11" x14ac:dyDescent="0.25">
      <c r="A1467" t="s">
        <v>452</v>
      </c>
      <c r="B1467" t="s">
        <v>209</v>
      </c>
      <c r="C1467" t="s">
        <v>50</v>
      </c>
      <c r="D1467" s="3">
        <v>45689</v>
      </c>
      <c r="E1467" t="str">
        <f>VLOOKUP(B1467,'PROCV GERENTES BD'!A:B,2,0)</f>
        <v>PRISCILA METZ</v>
      </c>
      <c r="F1467" s="4" t="str">
        <f t="shared" si="132"/>
        <v>2025-02</v>
      </c>
      <c r="G1467" s="18">
        <f t="shared" si="133"/>
        <v>5</v>
      </c>
      <c r="H1467" t="str">
        <f t="shared" si="134"/>
        <v>PRISCILA METZ</v>
      </c>
      <c r="I1467" t="str">
        <f t="shared" si="135"/>
        <v>D M RODRIGUES LTDA ME</v>
      </c>
      <c r="J1467">
        <f t="shared" si="136"/>
        <v>0</v>
      </c>
      <c r="K1467">
        <f t="shared" si="137"/>
        <v>1</v>
      </c>
    </row>
    <row r="1468" spans="1:11" x14ac:dyDescent="0.25">
      <c r="A1468" t="s">
        <v>434</v>
      </c>
      <c r="B1468" t="s">
        <v>185</v>
      </c>
      <c r="C1468" t="s">
        <v>50</v>
      </c>
      <c r="D1468" s="3">
        <v>45689</v>
      </c>
      <c r="E1468" t="str">
        <f>VLOOKUP(B1468,'PROCV GERENTES BD'!A:B,2,0)</f>
        <v>RAFAEL PARISE</v>
      </c>
      <c r="F1468" s="4" t="str">
        <f t="shared" si="132"/>
        <v>2025-02</v>
      </c>
      <c r="G1468" s="18">
        <f t="shared" si="133"/>
        <v>5</v>
      </c>
      <c r="H1468" t="str">
        <f t="shared" si="134"/>
        <v>RAFAEL PARISE</v>
      </c>
      <c r="I1468" t="str">
        <f t="shared" si="135"/>
        <v>MARCAS COMERCIO LTDA ME</v>
      </c>
      <c r="J1468">
        <f t="shared" si="136"/>
        <v>0</v>
      </c>
      <c r="K1468">
        <f t="shared" si="137"/>
        <v>1</v>
      </c>
    </row>
    <row r="1469" spans="1:11" x14ac:dyDescent="0.25">
      <c r="A1469" t="s">
        <v>409</v>
      </c>
      <c r="B1469" t="s">
        <v>159</v>
      </c>
      <c r="C1469" t="s">
        <v>66</v>
      </c>
      <c r="D1469" s="3">
        <v>45689</v>
      </c>
      <c r="E1469" t="str">
        <f>VLOOKUP(B1469,'PROCV GERENTES BD'!A:B,2,0)</f>
        <v>RAFAEL PARISE</v>
      </c>
      <c r="F1469" s="4" t="str">
        <f t="shared" si="132"/>
        <v>2025-02</v>
      </c>
      <c r="G1469" s="18">
        <f t="shared" si="133"/>
        <v>5</v>
      </c>
      <c r="H1469" t="str">
        <f t="shared" si="134"/>
        <v>RAFAEL PARISE</v>
      </c>
      <c r="I1469" t="str">
        <f t="shared" si="135"/>
        <v>OXIGAS RESIDUOS ESPECIAIS LTDA EPP</v>
      </c>
      <c r="J1469">
        <f t="shared" si="136"/>
        <v>1</v>
      </c>
      <c r="K1469">
        <f t="shared" si="137"/>
        <v>0</v>
      </c>
    </row>
    <row r="1470" spans="1:11" x14ac:dyDescent="0.25">
      <c r="A1470" t="s">
        <v>461</v>
      </c>
      <c r="B1470" t="s">
        <v>218</v>
      </c>
      <c r="C1470" t="s">
        <v>50</v>
      </c>
      <c r="D1470" s="3">
        <v>45689</v>
      </c>
      <c r="E1470" t="str">
        <f>VLOOKUP(B1470,'PROCV GERENTES BD'!A:B,2,0)</f>
        <v>SACADO</v>
      </c>
      <c r="F1470" s="4" t="str">
        <f t="shared" si="132"/>
        <v>2025-02</v>
      </c>
      <c r="G1470" s="18">
        <f t="shared" si="133"/>
        <v>5</v>
      </c>
      <c r="H1470" t="str">
        <f t="shared" si="134"/>
        <v>SACADO</v>
      </c>
      <c r="I1470" t="str">
        <f t="shared" si="135"/>
        <v>KUARA COMERCIAL E EXPORTADORA DE FRUTAS LTDA</v>
      </c>
      <c r="J1470">
        <f t="shared" si="136"/>
        <v>0</v>
      </c>
      <c r="K1470">
        <f t="shared" si="137"/>
        <v>1</v>
      </c>
    </row>
    <row r="1471" spans="1:11" x14ac:dyDescent="0.25">
      <c r="A1471" t="s">
        <v>345</v>
      </c>
      <c r="B1471" t="s">
        <v>90</v>
      </c>
      <c r="C1471" t="s">
        <v>71</v>
      </c>
      <c r="D1471" s="3">
        <v>45690</v>
      </c>
      <c r="E1471" t="str">
        <f>VLOOKUP(B1471,'PROCV GERENTES BD'!A:B,2,0)</f>
        <v>POENATELA</v>
      </c>
      <c r="F1471" s="4" t="str">
        <f t="shared" si="132"/>
        <v>2025-02</v>
      </c>
      <c r="G1471" s="18">
        <f t="shared" si="133"/>
        <v>6</v>
      </c>
      <c r="H1471" t="str">
        <f t="shared" si="134"/>
        <v>POENATELA</v>
      </c>
      <c r="I1471" t="str">
        <f t="shared" si="135"/>
        <v>GREEN FARMING FAZENDAS RENOVAVEIS LTDA</v>
      </c>
      <c r="J1471">
        <f t="shared" si="136"/>
        <v>0</v>
      </c>
      <c r="K1471">
        <f t="shared" si="137"/>
        <v>0</v>
      </c>
    </row>
    <row r="1472" spans="1:11" x14ac:dyDescent="0.25">
      <c r="A1472" t="s">
        <v>352</v>
      </c>
      <c r="B1472" t="s">
        <v>96</v>
      </c>
      <c r="C1472" t="s">
        <v>328</v>
      </c>
      <c r="D1472" s="3">
        <v>45690</v>
      </c>
      <c r="E1472" t="str">
        <f>VLOOKUP(B1472,'PROCV GERENTES BD'!A:B,2,0)</f>
        <v>POENATELA</v>
      </c>
      <c r="F1472" s="4" t="str">
        <f t="shared" si="132"/>
        <v>2025-02</v>
      </c>
      <c r="G1472" s="18">
        <f t="shared" si="133"/>
        <v>6</v>
      </c>
      <c r="H1472" t="str">
        <f t="shared" si="134"/>
        <v>POENATELA</v>
      </c>
      <c r="I1472" t="str">
        <f t="shared" si="135"/>
        <v>SUPER HARD TECNOLOGIA EM TRATAMENTO DE SUPERFICIES</v>
      </c>
      <c r="J1472">
        <f t="shared" si="136"/>
        <v>0</v>
      </c>
      <c r="K1472">
        <f t="shared" si="137"/>
        <v>0</v>
      </c>
    </row>
    <row r="1473" spans="1:11" x14ac:dyDescent="0.25">
      <c r="A1473" t="s">
        <v>469</v>
      </c>
      <c r="B1473" t="s">
        <v>226</v>
      </c>
      <c r="C1473" t="s">
        <v>71</v>
      </c>
      <c r="D1473" s="3">
        <v>45690</v>
      </c>
      <c r="E1473" t="str">
        <f>VLOOKUP(B1473,'PROCV GERENTES BD'!A:B,2,0)</f>
        <v>CAIO</v>
      </c>
      <c r="F1473" s="4" t="str">
        <f t="shared" si="132"/>
        <v>2025-02</v>
      </c>
      <c r="G1473" s="18">
        <f t="shared" si="133"/>
        <v>6</v>
      </c>
      <c r="H1473" t="str">
        <f t="shared" si="134"/>
        <v>CAIO</v>
      </c>
      <c r="I1473" t="str">
        <f t="shared" si="135"/>
        <v>S A COMERCIO E INDUSTRIA DE CALCADOS LTDA ME</v>
      </c>
      <c r="J1473">
        <f t="shared" si="136"/>
        <v>0</v>
      </c>
      <c r="K1473">
        <f t="shared" si="137"/>
        <v>0</v>
      </c>
    </row>
    <row r="1474" spans="1:11" x14ac:dyDescent="0.25">
      <c r="A1474" t="s">
        <v>465</v>
      </c>
      <c r="B1474" t="s">
        <v>222</v>
      </c>
      <c r="C1474" t="s">
        <v>50</v>
      </c>
      <c r="D1474" s="3">
        <v>45691</v>
      </c>
      <c r="E1474" t="str">
        <f>VLOOKUP(B1474,'PROCV GERENTES BD'!A:B,2,0)</f>
        <v>ADMINISTRAÇÃO</v>
      </c>
      <c r="F1474" s="4" t="str">
        <f t="shared" ref="F1474:F1537" si="138">YEAR(D1474)&amp;"-"&amp;TEXT(MONTH(D1474),"00")</f>
        <v>2025-02</v>
      </c>
      <c r="G1474" s="18">
        <f t="shared" ref="G1474:G1537" si="139">WEEKNUM(D1474)</f>
        <v>6</v>
      </c>
      <c r="H1474" t="str">
        <f t="shared" ref="H1474:H1537" si="140">E1474</f>
        <v>ADMINISTRAÇÃO</v>
      </c>
      <c r="I1474" t="str">
        <f t="shared" ref="I1474:I1537" si="141">B1474</f>
        <v>CF COMEX IMPORTACAO EQUIPAMENTOS E SERVICOS LTDA</v>
      </c>
      <c r="J1474">
        <f t="shared" ref="J1474:J1537" si="142">IF(OR(C1474="EXCLUSAO  ANOT.INADIMPLENCIA",C1474="INCL/EXCL ANOT.INADIMPLENCIA"),1,0)</f>
        <v>0</v>
      </c>
      <c r="K1474">
        <f t="shared" ref="K1474:K1537" si="143">IF(OR(C1474="INCLUSAO  ANOT.INADIMPLENCIA",C1474="INCL/EXCL ANOT.INADIMPLENCIA"),1,0)</f>
        <v>1</v>
      </c>
    </row>
    <row r="1475" spans="1:11" x14ac:dyDescent="0.25">
      <c r="A1475" t="s">
        <v>372</v>
      </c>
      <c r="B1475" t="s">
        <v>116</v>
      </c>
      <c r="C1475" t="s">
        <v>50</v>
      </c>
      <c r="D1475" s="3">
        <v>45691</v>
      </c>
      <c r="E1475" t="str">
        <f>VLOOKUP(B1475,'PROCV GERENTES BD'!A:B,2,0)</f>
        <v>ADMINISTRAÇÃO</v>
      </c>
      <c r="F1475" s="4" t="str">
        <f t="shared" si="138"/>
        <v>2025-02</v>
      </c>
      <c r="G1475" s="18">
        <f t="shared" si="139"/>
        <v>6</v>
      </c>
      <c r="H1475" t="str">
        <f t="shared" si="140"/>
        <v>ADMINISTRAÇÃO</v>
      </c>
      <c r="I1475" t="str">
        <f t="shared" si="141"/>
        <v>PREMOLDADOS MATOSINHOS LTDA EPP</v>
      </c>
      <c r="J1475">
        <f t="shared" si="142"/>
        <v>0</v>
      </c>
      <c r="K1475">
        <f t="shared" si="143"/>
        <v>1</v>
      </c>
    </row>
    <row r="1476" spans="1:11" x14ac:dyDescent="0.25">
      <c r="A1476" t="s">
        <v>319</v>
      </c>
      <c r="B1476" t="s">
        <v>80</v>
      </c>
      <c r="C1476" t="s">
        <v>50</v>
      </c>
      <c r="D1476" s="3">
        <v>45691</v>
      </c>
      <c r="E1476" t="str">
        <f>VLOOKUP(B1476,'PROCV GERENTES BD'!A:B,2,0)</f>
        <v>CELIO PIMENTA</v>
      </c>
      <c r="F1476" s="4" t="str">
        <f t="shared" si="138"/>
        <v>2025-02</v>
      </c>
      <c r="G1476" s="18">
        <f t="shared" si="139"/>
        <v>6</v>
      </c>
      <c r="H1476" t="str">
        <f t="shared" si="140"/>
        <v>CELIO PIMENTA</v>
      </c>
      <c r="I1476" t="str">
        <f t="shared" si="141"/>
        <v>IMPORTEXTIL COMERCIO DE TECIDOS LTDA</v>
      </c>
      <c r="J1476">
        <f t="shared" si="142"/>
        <v>0</v>
      </c>
      <c r="K1476">
        <f t="shared" si="143"/>
        <v>1</v>
      </c>
    </row>
    <row r="1477" spans="1:11" x14ac:dyDescent="0.25">
      <c r="A1477" t="s">
        <v>311</v>
      </c>
      <c r="B1477" t="s">
        <v>81</v>
      </c>
      <c r="C1477" t="s">
        <v>66</v>
      </c>
      <c r="D1477" s="3">
        <v>45691</v>
      </c>
      <c r="E1477" t="str">
        <f>VLOOKUP(B1477,'PROCV GERENTES BD'!A:B,2,0)</f>
        <v>CELIO PIMENTA</v>
      </c>
      <c r="F1477" s="4" t="str">
        <f t="shared" si="138"/>
        <v>2025-02</v>
      </c>
      <c r="G1477" s="18">
        <f t="shared" si="139"/>
        <v>6</v>
      </c>
      <c r="H1477" t="str">
        <f t="shared" si="140"/>
        <v>CELIO PIMENTA</v>
      </c>
      <c r="I1477" t="str">
        <f t="shared" si="141"/>
        <v>MBIOLOG DIAGNOSTICOS LTDA</v>
      </c>
      <c r="J1477">
        <f t="shared" si="142"/>
        <v>1</v>
      </c>
      <c r="K1477">
        <f t="shared" si="143"/>
        <v>0</v>
      </c>
    </row>
    <row r="1478" spans="1:11" x14ac:dyDescent="0.25">
      <c r="A1478" t="s">
        <v>54</v>
      </c>
      <c r="B1478" t="s">
        <v>55</v>
      </c>
      <c r="C1478" t="s">
        <v>50</v>
      </c>
      <c r="D1478" s="3">
        <v>45691</v>
      </c>
      <c r="E1478" t="str">
        <f>VLOOKUP(B1478,'PROCV GERENTES BD'!A:B,2,0)</f>
        <v>CELIO PIMENTA</v>
      </c>
      <c r="F1478" s="4" t="str">
        <f t="shared" si="138"/>
        <v>2025-02</v>
      </c>
      <c r="G1478" s="18">
        <f t="shared" si="139"/>
        <v>6</v>
      </c>
      <c r="H1478" t="str">
        <f t="shared" si="140"/>
        <v>CELIO PIMENTA</v>
      </c>
      <c r="I1478" t="str">
        <f t="shared" si="141"/>
        <v>WJ CALDEIRARIA INDUSTRIA E COMERCIO LTDA ME</v>
      </c>
      <c r="J1478">
        <f t="shared" si="142"/>
        <v>0</v>
      </c>
      <c r="K1478">
        <f t="shared" si="143"/>
        <v>1</v>
      </c>
    </row>
    <row r="1479" spans="1:11" x14ac:dyDescent="0.25">
      <c r="A1479" t="s">
        <v>443</v>
      </c>
      <c r="B1479" t="s">
        <v>194</v>
      </c>
      <c r="C1479" t="s">
        <v>50</v>
      </c>
      <c r="D1479" s="3">
        <v>45691</v>
      </c>
      <c r="E1479" t="str">
        <f>VLOOKUP(B1479,'PROCV GERENTES BD'!A:B,2,0)</f>
        <v>PROSPECTAR</v>
      </c>
      <c r="F1479" s="4" t="str">
        <f t="shared" si="138"/>
        <v>2025-02</v>
      </c>
      <c r="G1479" s="18">
        <f t="shared" si="139"/>
        <v>6</v>
      </c>
      <c r="H1479" t="str">
        <f t="shared" si="140"/>
        <v>PROSPECTAR</v>
      </c>
      <c r="I1479" t="str">
        <f t="shared" si="141"/>
        <v>ALPLAST ATACADISTA E APOIO ADMINISTRATIVO LTDA EPP</v>
      </c>
      <c r="J1479">
        <f t="shared" si="142"/>
        <v>0</v>
      </c>
      <c r="K1479">
        <f t="shared" si="143"/>
        <v>1</v>
      </c>
    </row>
    <row r="1480" spans="1:11" x14ac:dyDescent="0.25">
      <c r="A1480" t="s">
        <v>324</v>
      </c>
      <c r="B1480" t="s">
        <v>119</v>
      </c>
      <c r="C1480" t="s">
        <v>53</v>
      </c>
      <c r="D1480" s="3">
        <v>45691</v>
      </c>
      <c r="E1480" t="str">
        <f>VLOOKUP(B1480,'PROCV GERENTES BD'!A:B,2,0)</f>
        <v>PROSPECTAR</v>
      </c>
      <c r="F1480" s="4" t="str">
        <f t="shared" si="138"/>
        <v>2025-02</v>
      </c>
      <c r="G1480" s="18">
        <f t="shared" si="139"/>
        <v>6</v>
      </c>
      <c r="H1480" t="str">
        <f t="shared" si="140"/>
        <v>PROSPECTAR</v>
      </c>
      <c r="I1480" t="str">
        <f t="shared" si="141"/>
        <v>TRANSHENRY TRANSPORTES LTDA</v>
      </c>
      <c r="J1480">
        <f t="shared" si="142"/>
        <v>1</v>
      </c>
      <c r="K1480">
        <f t="shared" si="143"/>
        <v>1</v>
      </c>
    </row>
    <row r="1481" spans="1:11" x14ac:dyDescent="0.25">
      <c r="A1481" t="s">
        <v>310</v>
      </c>
      <c r="B1481" t="s">
        <v>204</v>
      </c>
      <c r="C1481" t="s">
        <v>50</v>
      </c>
      <c r="D1481" s="3">
        <v>45691</v>
      </c>
      <c r="E1481" t="str">
        <f>VLOOKUP(B1481,'PROCV GERENTES BD'!A:B,2,0)</f>
        <v xml:space="preserve">MARCUS VINICIUS </v>
      </c>
      <c r="F1481" s="4" t="str">
        <f t="shared" si="138"/>
        <v>2025-02</v>
      </c>
      <c r="G1481" s="18">
        <f t="shared" si="139"/>
        <v>6</v>
      </c>
      <c r="H1481" t="str">
        <f t="shared" si="140"/>
        <v xml:space="preserve">MARCUS VINICIUS </v>
      </c>
      <c r="I1481" t="str">
        <f t="shared" si="141"/>
        <v>INDUSTRIA E COMERCIO DE CHURRASQUEIRAS BOM JESUS L</v>
      </c>
      <c r="J1481">
        <f t="shared" si="142"/>
        <v>0</v>
      </c>
      <c r="K1481">
        <f t="shared" si="143"/>
        <v>1</v>
      </c>
    </row>
    <row r="1482" spans="1:11" x14ac:dyDescent="0.25">
      <c r="A1482" t="s">
        <v>428</v>
      </c>
      <c r="B1482" t="s">
        <v>179</v>
      </c>
      <c r="C1482" t="s">
        <v>50</v>
      </c>
      <c r="D1482" s="3">
        <v>45691</v>
      </c>
      <c r="E1482" t="str">
        <f>VLOOKUP(B1482,'PROCV GERENTES BD'!A:B,2,0)</f>
        <v xml:space="preserve">MARCUS VINICIUS </v>
      </c>
      <c r="F1482" s="4" t="str">
        <f t="shared" si="138"/>
        <v>2025-02</v>
      </c>
      <c r="G1482" s="18">
        <f t="shared" si="139"/>
        <v>6</v>
      </c>
      <c r="H1482" t="str">
        <f t="shared" si="140"/>
        <v xml:space="preserve">MARCUS VINICIUS </v>
      </c>
      <c r="I1482" t="str">
        <f t="shared" si="141"/>
        <v>LABOR ELETRIC INDUSTRIA E COMERCIO UNIPESSOAL LTDA</v>
      </c>
      <c r="J1482">
        <f t="shared" si="142"/>
        <v>0</v>
      </c>
      <c r="K1482">
        <f t="shared" si="143"/>
        <v>1</v>
      </c>
    </row>
    <row r="1483" spans="1:11" x14ac:dyDescent="0.25">
      <c r="A1483" t="s">
        <v>384</v>
      </c>
      <c r="B1483" t="s">
        <v>131</v>
      </c>
      <c r="C1483" t="s">
        <v>50</v>
      </c>
      <c r="D1483" s="3">
        <v>45691</v>
      </c>
      <c r="E1483" t="str">
        <f>VLOOKUP(B1483,'PROCV GERENTES BD'!A:B,2,0)</f>
        <v xml:space="preserve">MARCUS VINICIUS </v>
      </c>
      <c r="F1483" s="4" t="str">
        <f t="shared" si="138"/>
        <v>2025-02</v>
      </c>
      <c r="G1483" s="18">
        <f t="shared" si="139"/>
        <v>6</v>
      </c>
      <c r="H1483" t="str">
        <f t="shared" si="140"/>
        <v xml:space="preserve">MARCUS VINICIUS </v>
      </c>
      <c r="I1483" t="str">
        <f t="shared" si="141"/>
        <v>PALMILHADO INDUSTRIA E COMERCIO LTDA</v>
      </c>
      <c r="J1483">
        <f t="shared" si="142"/>
        <v>0</v>
      </c>
      <c r="K1483">
        <f t="shared" si="143"/>
        <v>1</v>
      </c>
    </row>
    <row r="1484" spans="1:11" x14ac:dyDescent="0.25">
      <c r="A1484" t="s">
        <v>394</v>
      </c>
      <c r="B1484" t="s">
        <v>143</v>
      </c>
      <c r="C1484" t="s">
        <v>50</v>
      </c>
      <c r="D1484" s="3">
        <v>45691</v>
      </c>
      <c r="E1484" t="str">
        <f>VLOOKUP(B1484,'PROCV GERENTES BD'!A:B,2,0)</f>
        <v>NOELI SALETE</v>
      </c>
      <c r="F1484" s="4" t="str">
        <f t="shared" si="138"/>
        <v>2025-02</v>
      </c>
      <c r="G1484" s="18">
        <f t="shared" si="139"/>
        <v>6</v>
      </c>
      <c r="H1484" t="str">
        <f t="shared" si="140"/>
        <v>NOELI SALETE</v>
      </c>
      <c r="I1484" t="str">
        <f t="shared" si="141"/>
        <v>ALBERTO H DA SILVA ME</v>
      </c>
      <c r="J1484">
        <f t="shared" si="142"/>
        <v>0</v>
      </c>
      <c r="K1484">
        <f t="shared" si="143"/>
        <v>1</v>
      </c>
    </row>
    <row r="1485" spans="1:11" x14ac:dyDescent="0.25">
      <c r="A1485" t="s">
        <v>451</v>
      </c>
      <c r="B1485" t="s">
        <v>208</v>
      </c>
      <c r="C1485" t="s">
        <v>50</v>
      </c>
      <c r="D1485" s="3">
        <v>45691</v>
      </c>
      <c r="E1485" t="str">
        <f>VLOOKUP(B1485,'PROCV GERENTES BD'!A:B,2,0)</f>
        <v>NOELI SALETE</v>
      </c>
      <c r="F1485" s="4" t="str">
        <f t="shared" si="138"/>
        <v>2025-02</v>
      </c>
      <c r="G1485" s="18">
        <f t="shared" si="139"/>
        <v>6</v>
      </c>
      <c r="H1485" t="str">
        <f t="shared" si="140"/>
        <v>NOELI SALETE</v>
      </c>
      <c r="I1485" t="str">
        <f t="shared" si="141"/>
        <v>USIPARTS COMERCIO DE PECAS PARA USINAS LTDA ME</v>
      </c>
      <c r="J1485">
        <f t="shared" si="142"/>
        <v>0</v>
      </c>
      <c r="K1485">
        <f t="shared" si="143"/>
        <v>1</v>
      </c>
    </row>
    <row r="1486" spans="1:11" x14ac:dyDescent="0.25">
      <c r="A1486" t="s">
        <v>389</v>
      </c>
      <c r="B1486" t="s">
        <v>136</v>
      </c>
      <c r="C1486" t="s">
        <v>66</v>
      </c>
      <c r="D1486" s="3">
        <v>45691</v>
      </c>
      <c r="E1486" t="str">
        <f>VLOOKUP(B1486,'PROCV GERENTES BD'!A:B,2,0)</f>
        <v>POENATELA</v>
      </c>
      <c r="F1486" s="4" t="str">
        <f t="shared" si="138"/>
        <v>2025-02</v>
      </c>
      <c r="G1486" s="18">
        <f t="shared" si="139"/>
        <v>6</v>
      </c>
      <c r="H1486" t="str">
        <f t="shared" si="140"/>
        <v>POENATELA</v>
      </c>
      <c r="I1486" t="str">
        <f t="shared" si="141"/>
        <v>CONQUISTA INDUSTRIA DE MOVEIS S/A</v>
      </c>
      <c r="J1486">
        <f t="shared" si="142"/>
        <v>1</v>
      </c>
      <c r="K1486">
        <f t="shared" si="143"/>
        <v>0</v>
      </c>
    </row>
    <row r="1487" spans="1:11" x14ac:dyDescent="0.25">
      <c r="A1487" t="s">
        <v>420</v>
      </c>
      <c r="B1487" t="s">
        <v>170</v>
      </c>
      <c r="C1487" t="s">
        <v>53</v>
      </c>
      <c r="D1487" s="3">
        <v>45691</v>
      </c>
      <c r="E1487" t="str">
        <f>VLOOKUP(B1487,'PROCV GERENTES BD'!A:B,2,0)</f>
        <v>POENATELA</v>
      </c>
      <c r="F1487" s="4" t="str">
        <f t="shared" si="138"/>
        <v>2025-02</v>
      </c>
      <c r="G1487" s="18">
        <f t="shared" si="139"/>
        <v>6</v>
      </c>
      <c r="H1487" t="str">
        <f t="shared" si="140"/>
        <v>POENATELA</v>
      </c>
      <c r="I1487" t="str">
        <f t="shared" si="141"/>
        <v>SAVIXX COMERCIO INTERNACIONAL S/A</v>
      </c>
      <c r="J1487">
        <f t="shared" si="142"/>
        <v>1</v>
      </c>
      <c r="K1487">
        <f t="shared" si="143"/>
        <v>1</v>
      </c>
    </row>
    <row r="1488" spans="1:11" x14ac:dyDescent="0.25">
      <c r="A1488" t="s">
        <v>346</v>
      </c>
      <c r="B1488" t="s">
        <v>91</v>
      </c>
      <c r="C1488" t="s">
        <v>50</v>
      </c>
      <c r="D1488" s="3">
        <v>45691</v>
      </c>
      <c r="E1488" t="str">
        <f>VLOOKUP(B1488,'PROCV GERENTES BD'!A:B,2,0)</f>
        <v>POENATELA</v>
      </c>
      <c r="F1488" s="4" t="str">
        <f t="shared" si="138"/>
        <v>2025-02</v>
      </c>
      <c r="G1488" s="18">
        <f t="shared" si="139"/>
        <v>6</v>
      </c>
      <c r="H1488" t="str">
        <f t="shared" si="140"/>
        <v>POENATELA</v>
      </c>
      <c r="I1488" t="str">
        <f t="shared" si="141"/>
        <v>UBERTEC SERVICE USINAGEM LTDA EPP</v>
      </c>
      <c r="J1488">
        <f t="shared" si="142"/>
        <v>0</v>
      </c>
      <c r="K1488">
        <f t="shared" si="143"/>
        <v>1</v>
      </c>
    </row>
    <row r="1489" spans="1:11" x14ac:dyDescent="0.25">
      <c r="A1489" t="s">
        <v>452</v>
      </c>
      <c r="B1489" t="s">
        <v>209</v>
      </c>
      <c r="C1489" t="s">
        <v>50</v>
      </c>
      <c r="D1489" s="3">
        <v>45691</v>
      </c>
      <c r="E1489" t="str">
        <f>VLOOKUP(B1489,'PROCV GERENTES BD'!A:B,2,0)</f>
        <v>PRISCILA METZ</v>
      </c>
      <c r="F1489" s="4" t="str">
        <f t="shared" si="138"/>
        <v>2025-02</v>
      </c>
      <c r="G1489" s="18">
        <f t="shared" si="139"/>
        <v>6</v>
      </c>
      <c r="H1489" t="str">
        <f t="shared" si="140"/>
        <v>PRISCILA METZ</v>
      </c>
      <c r="I1489" t="str">
        <f t="shared" si="141"/>
        <v>D M RODRIGUES LTDA ME</v>
      </c>
      <c r="J1489">
        <f t="shared" si="142"/>
        <v>0</v>
      </c>
      <c r="K1489">
        <f t="shared" si="143"/>
        <v>1</v>
      </c>
    </row>
    <row r="1490" spans="1:11" x14ac:dyDescent="0.25">
      <c r="A1490" t="s">
        <v>431</v>
      </c>
      <c r="B1490" t="s">
        <v>196</v>
      </c>
      <c r="C1490" t="s">
        <v>50</v>
      </c>
      <c r="D1490" s="3">
        <v>45691</v>
      </c>
      <c r="E1490" t="s">
        <v>21</v>
      </c>
      <c r="F1490" s="4" t="str">
        <f t="shared" si="138"/>
        <v>2025-02</v>
      </c>
      <c r="G1490" s="18">
        <f t="shared" si="139"/>
        <v>6</v>
      </c>
      <c r="H1490" t="str">
        <f t="shared" si="140"/>
        <v xml:space="preserve">ROGERIO </v>
      </c>
      <c r="I1490" t="str">
        <f t="shared" si="141"/>
        <v>GRF JEANS WEAR LTDA EPP</v>
      </c>
      <c r="J1490">
        <f t="shared" si="142"/>
        <v>0</v>
      </c>
      <c r="K1490">
        <f t="shared" si="143"/>
        <v>1</v>
      </c>
    </row>
    <row r="1491" spans="1:11" x14ac:dyDescent="0.25">
      <c r="A1491" t="s">
        <v>461</v>
      </c>
      <c r="B1491" t="s">
        <v>218</v>
      </c>
      <c r="C1491" t="s">
        <v>50</v>
      </c>
      <c r="D1491" s="3">
        <v>45691</v>
      </c>
      <c r="E1491" t="str">
        <f>VLOOKUP(B1491,'PROCV GERENTES BD'!A:B,2,0)</f>
        <v>SACADO</v>
      </c>
      <c r="F1491" s="4" t="str">
        <f t="shared" si="138"/>
        <v>2025-02</v>
      </c>
      <c r="G1491" s="18">
        <f t="shared" si="139"/>
        <v>6</v>
      </c>
      <c r="H1491" t="str">
        <f t="shared" si="140"/>
        <v>SACADO</v>
      </c>
      <c r="I1491" t="str">
        <f t="shared" si="141"/>
        <v>KUARA COMERCIAL E EXPORTADORA DE FRUTAS LTDA</v>
      </c>
      <c r="J1491">
        <f t="shared" si="142"/>
        <v>0</v>
      </c>
      <c r="K1491">
        <f t="shared" si="143"/>
        <v>1</v>
      </c>
    </row>
    <row r="1492" spans="1:11" x14ac:dyDescent="0.25">
      <c r="A1492" t="s">
        <v>463</v>
      </c>
      <c r="B1492" t="s">
        <v>220</v>
      </c>
      <c r="C1492" t="s">
        <v>66</v>
      </c>
      <c r="D1492" s="3">
        <v>45693</v>
      </c>
      <c r="E1492" t="str">
        <f>VLOOKUP(B1492,'PROCV GERENTES BD'!A:B,2,0)</f>
        <v>ADMINISTRAÇÃO</v>
      </c>
      <c r="F1492" s="4" t="str">
        <f t="shared" si="138"/>
        <v>2025-02</v>
      </c>
      <c r="G1492" s="18">
        <f t="shared" si="139"/>
        <v>6</v>
      </c>
      <c r="H1492" t="str">
        <f t="shared" si="140"/>
        <v>ADMINISTRAÇÃO</v>
      </c>
      <c r="I1492" t="str">
        <f t="shared" si="141"/>
        <v>A C ESPORTES S A F</v>
      </c>
      <c r="J1492">
        <f t="shared" si="142"/>
        <v>1</v>
      </c>
      <c r="K1492">
        <f t="shared" si="143"/>
        <v>0</v>
      </c>
    </row>
    <row r="1493" spans="1:11" x14ac:dyDescent="0.25">
      <c r="A1493" t="s">
        <v>331</v>
      </c>
      <c r="B1493" t="s">
        <v>144</v>
      </c>
      <c r="C1493" t="s">
        <v>50</v>
      </c>
      <c r="D1493" s="3">
        <v>45693</v>
      </c>
      <c r="E1493" t="str">
        <f>VLOOKUP(B1493,'PROCV GERENTES BD'!A:B,2,0)</f>
        <v>ADMINISTRAÇÃO</v>
      </c>
      <c r="F1493" s="4" t="str">
        <f t="shared" si="138"/>
        <v>2025-02</v>
      </c>
      <c r="G1493" s="18">
        <f t="shared" si="139"/>
        <v>6</v>
      </c>
      <c r="H1493" t="str">
        <f t="shared" si="140"/>
        <v>ADMINISTRAÇÃO</v>
      </c>
      <c r="I1493" t="str">
        <f t="shared" si="141"/>
        <v>BOM PASTOR PAPEIS LTDA EM RECUPERACAO JUDICIAL</v>
      </c>
      <c r="J1493">
        <f t="shared" si="142"/>
        <v>0</v>
      </c>
      <c r="K1493">
        <f t="shared" si="143"/>
        <v>1</v>
      </c>
    </row>
    <row r="1494" spans="1:11" x14ac:dyDescent="0.25">
      <c r="A1494" t="s">
        <v>465</v>
      </c>
      <c r="B1494" t="s">
        <v>222</v>
      </c>
      <c r="C1494" t="s">
        <v>66</v>
      </c>
      <c r="D1494" s="3">
        <v>45693</v>
      </c>
      <c r="E1494" t="str">
        <f>VLOOKUP(B1494,'PROCV GERENTES BD'!A:B,2,0)</f>
        <v>ADMINISTRAÇÃO</v>
      </c>
      <c r="F1494" s="4" t="str">
        <f t="shared" si="138"/>
        <v>2025-02</v>
      </c>
      <c r="G1494" s="18">
        <f t="shared" si="139"/>
        <v>6</v>
      </c>
      <c r="H1494" t="str">
        <f t="shared" si="140"/>
        <v>ADMINISTRAÇÃO</v>
      </c>
      <c r="I1494" t="str">
        <f t="shared" si="141"/>
        <v>CF COMEX IMPORTACAO EQUIPAMENTOS E SERVICOS LTDA</v>
      </c>
      <c r="J1494">
        <f t="shared" si="142"/>
        <v>1</v>
      </c>
      <c r="K1494">
        <f t="shared" si="143"/>
        <v>0</v>
      </c>
    </row>
    <row r="1495" spans="1:11" x14ac:dyDescent="0.25">
      <c r="A1495" t="s">
        <v>466</v>
      </c>
      <c r="B1495" t="s">
        <v>223</v>
      </c>
      <c r="C1495" t="s">
        <v>66</v>
      </c>
      <c r="D1495" s="3">
        <v>45693</v>
      </c>
      <c r="E1495" t="str">
        <f>VLOOKUP(B1495,'PROCV GERENTES BD'!A:B,2,0)</f>
        <v>CELIO PIMENTA</v>
      </c>
      <c r="F1495" s="4" t="str">
        <f t="shared" si="138"/>
        <v>2025-02</v>
      </c>
      <c r="G1495" s="18">
        <f t="shared" si="139"/>
        <v>6</v>
      </c>
      <c r="H1495" t="str">
        <f t="shared" si="140"/>
        <v>CELIO PIMENTA</v>
      </c>
      <c r="I1495" t="str">
        <f t="shared" si="141"/>
        <v>ACO X LTDA ME</v>
      </c>
      <c r="J1495">
        <f t="shared" si="142"/>
        <v>1</v>
      </c>
      <c r="K1495">
        <f t="shared" si="143"/>
        <v>0</v>
      </c>
    </row>
    <row r="1496" spans="1:11" x14ac:dyDescent="0.25">
      <c r="A1496" t="s">
        <v>374</v>
      </c>
      <c r="B1496" t="s">
        <v>118</v>
      </c>
      <c r="C1496" t="s">
        <v>50</v>
      </c>
      <c r="D1496" s="3">
        <v>45693</v>
      </c>
      <c r="E1496" t="str">
        <f>VLOOKUP(B1496,'PROCV GERENTES BD'!A:B,2,0)</f>
        <v>CELIO PIMENTA</v>
      </c>
      <c r="F1496" s="4" t="str">
        <f t="shared" si="138"/>
        <v>2025-02</v>
      </c>
      <c r="G1496" s="18">
        <f t="shared" si="139"/>
        <v>6</v>
      </c>
      <c r="H1496" t="str">
        <f t="shared" si="140"/>
        <v>CELIO PIMENTA</v>
      </c>
      <c r="I1496" t="str">
        <f t="shared" si="141"/>
        <v>MINAS ALIMENTOS E FRUTAS SECAS LTDA EPP</v>
      </c>
      <c r="J1496">
        <f t="shared" si="142"/>
        <v>0</v>
      </c>
      <c r="K1496">
        <f t="shared" si="143"/>
        <v>1</v>
      </c>
    </row>
    <row r="1497" spans="1:11" x14ac:dyDescent="0.25">
      <c r="A1497" t="s">
        <v>54</v>
      </c>
      <c r="B1497" t="s">
        <v>55</v>
      </c>
      <c r="C1497" t="s">
        <v>50</v>
      </c>
      <c r="D1497" s="3">
        <v>45693</v>
      </c>
      <c r="E1497" t="str">
        <f>VLOOKUP(B1497,'PROCV GERENTES BD'!A:B,2,0)</f>
        <v>CELIO PIMENTA</v>
      </c>
      <c r="F1497" s="4" t="str">
        <f t="shared" si="138"/>
        <v>2025-02</v>
      </c>
      <c r="G1497" s="18">
        <f t="shared" si="139"/>
        <v>6</v>
      </c>
      <c r="H1497" t="str">
        <f t="shared" si="140"/>
        <v>CELIO PIMENTA</v>
      </c>
      <c r="I1497" t="str">
        <f t="shared" si="141"/>
        <v>WJ CALDEIRARIA INDUSTRIA E COMERCIO LTDA ME</v>
      </c>
      <c r="J1497">
        <f t="shared" si="142"/>
        <v>0</v>
      </c>
      <c r="K1497">
        <f t="shared" si="143"/>
        <v>1</v>
      </c>
    </row>
    <row r="1498" spans="1:11" x14ac:dyDescent="0.25">
      <c r="A1498" t="s">
        <v>443</v>
      </c>
      <c r="B1498" t="s">
        <v>194</v>
      </c>
      <c r="C1498" t="s">
        <v>66</v>
      </c>
      <c r="D1498" s="3">
        <v>45693</v>
      </c>
      <c r="E1498" t="str">
        <f>VLOOKUP(B1498,'PROCV GERENTES BD'!A:B,2,0)</f>
        <v>PROSPECTAR</v>
      </c>
      <c r="F1498" s="4" t="str">
        <f t="shared" si="138"/>
        <v>2025-02</v>
      </c>
      <c r="G1498" s="18">
        <f t="shared" si="139"/>
        <v>6</v>
      </c>
      <c r="H1498" t="str">
        <f t="shared" si="140"/>
        <v>PROSPECTAR</v>
      </c>
      <c r="I1498" t="str">
        <f t="shared" si="141"/>
        <v>ALPLAST ATACADISTA E APOIO ADMINISTRATIVO LTDA EPP</v>
      </c>
      <c r="J1498">
        <f t="shared" si="142"/>
        <v>1</v>
      </c>
      <c r="K1498">
        <f t="shared" si="143"/>
        <v>0</v>
      </c>
    </row>
    <row r="1499" spans="1:11" x14ac:dyDescent="0.25">
      <c r="A1499" t="s">
        <v>395</v>
      </c>
      <c r="B1499" t="s">
        <v>145</v>
      </c>
      <c r="C1499" t="s">
        <v>66</v>
      </c>
      <c r="D1499" s="3">
        <v>45693</v>
      </c>
      <c r="E1499" t="str">
        <f>VLOOKUP(B1499,'PROCV GERENTES BD'!A:B,2,0)</f>
        <v>MARCIO LEONEL</v>
      </c>
      <c r="F1499" s="4" t="str">
        <f t="shared" si="138"/>
        <v>2025-02</v>
      </c>
      <c r="G1499" s="18">
        <f t="shared" si="139"/>
        <v>6</v>
      </c>
      <c r="H1499" t="str">
        <f t="shared" si="140"/>
        <v>MARCIO LEONEL</v>
      </c>
      <c r="I1499" t="str">
        <f t="shared" si="141"/>
        <v>MEDICAL PRIME IMP EXPORT DISTRIB PRODUTOS MEDICOS</v>
      </c>
      <c r="J1499">
        <f t="shared" si="142"/>
        <v>1</v>
      </c>
      <c r="K1499">
        <f t="shared" si="143"/>
        <v>0</v>
      </c>
    </row>
    <row r="1500" spans="1:11" x14ac:dyDescent="0.25">
      <c r="A1500" t="s">
        <v>310</v>
      </c>
      <c r="B1500" t="s">
        <v>204</v>
      </c>
      <c r="C1500" t="s">
        <v>50</v>
      </c>
      <c r="D1500" s="3">
        <v>45693</v>
      </c>
      <c r="E1500" t="str">
        <f>VLOOKUP(B1500,'PROCV GERENTES BD'!A:B,2,0)</f>
        <v xml:space="preserve">MARCUS VINICIUS </v>
      </c>
      <c r="F1500" s="4" t="str">
        <f t="shared" si="138"/>
        <v>2025-02</v>
      </c>
      <c r="G1500" s="18">
        <f t="shared" si="139"/>
        <v>6</v>
      </c>
      <c r="H1500" t="str">
        <f t="shared" si="140"/>
        <v xml:space="preserve">MARCUS VINICIUS </v>
      </c>
      <c r="I1500" t="str">
        <f t="shared" si="141"/>
        <v>INDUSTRIA E COMERCIO DE CHURRASQUEIRAS BOM JESUS L</v>
      </c>
      <c r="J1500">
        <f t="shared" si="142"/>
        <v>0</v>
      </c>
      <c r="K1500">
        <f t="shared" si="143"/>
        <v>1</v>
      </c>
    </row>
    <row r="1501" spans="1:11" x14ac:dyDescent="0.25">
      <c r="A1501" t="s">
        <v>428</v>
      </c>
      <c r="B1501" t="s">
        <v>179</v>
      </c>
      <c r="C1501" t="s">
        <v>50</v>
      </c>
      <c r="D1501" s="3">
        <v>45693</v>
      </c>
      <c r="E1501" t="str">
        <f>VLOOKUP(B1501,'PROCV GERENTES BD'!A:B,2,0)</f>
        <v xml:space="preserve">MARCUS VINICIUS </v>
      </c>
      <c r="F1501" s="4" t="str">
        <f t="shared" si="138"/>
        <v>2025-02</v>
      </c>
      <c r="G1501" s="18">
        <f t="shared" si="139"/>
        <v>6</v>
      </c>
      <c r="H1501" t="str">
        <f t="shared" si="140"/>
        <v xml:space="preserve">MARCUS VINICIUS </v>
      </c>
      <c r="I1501" t="str">
        <f t="shared" si="141"/>
        <v>LABOR ELETRIC INDUSTRIA E COMERCIO UNIPESSOAL LTDA</v>
      </c>
      <c r="J1501">
        <f t="shared" si="142"/>
        <v>0</v>
      </c>
      <c r="K1501">
        <f t="shared" si="143"/>
        <v>1</v>
      </c>
    </row>
    <row r="1502" spans="1:11" x14ac:dyDescent="0.25">
      <c r="A1502" t="s">
        <v>420</v>
      </c>
      <c r="B1502" t="s">
        <v>170</v>
      </c>
      <c r="C1502" t="s">
        <v>50</v>
      </c>
      <c r="D1502" s="3">
        <v>45693</v>
      </c>
      <c r="E1502" t="str">
        <f>VLOOKUP(B1502,'PROCV GERENTES BD'!A:B,2,0)</f>
        <v>POENATELA</v>
      </c>
      <c r="F1502" s="4" t="str">
        <f t="shared" si="138"/>
        <v>2025-02</v>
      </c>
      <c r="G1502" s="18">
        <f t="shared" si="139"/>
        <v>6</v>
      </c>
      <c r="H1502" t="str">
        <f t="shared" si="140"/>
        <v>POENATELA</v>
      </c>
      <c r="I1502" t="str">
        <f t="shared" si="141"/>
        <v>SAVIXX COMERCIO INTERNACIONAL S/A</v>
      </c>
      <c r="J1502">
        <f t="shared" si="142"/>
        <v>0</v>
      </c>
      <c r="K1502">
        <f t="shared" si="143"/>
        <v>1</v>
      </c>
    </row>
    <row r="1503" spans="1:11" x14ac:dyDescent="0.25">
      <c r="A1503" t="s">
        <v>470</v>
      </c>
      <c r="B1503" t="s">
        <v>227</v>
      </c>
      <c r="C1503" t="s">
        <v>50</v>
      </c>
      <c r="D1503" s="3">
        <v>45693</v>
      </c>
      <c r="E1503" t="str">
        <f>VLOOKUP(B1503,'PROCV GERENTES BD'!A:B,2,0)</f>
        <v>POENATELA</v>
      </c>
      <c r="F1503" s="4" t="str">
        <f t="shared" si="138"/>
        <v>2025-02</v>
      </c>
      <c r="G1503" s="18">
        <f t="shared" si="139"/>
        <v>6</v>
      </c>
      <c r="H1503" t="str">
        <f t="shared" si="140"/>
        <v>POENATELA</v>
      </c>
      <c r="I1503" t="str">
        <f t="shared" si="141"/>
        <v>SH METALIZACOES LTDA EPP</v>
      </c>
      <c r="J1503">
        <f t="shared" si="142"/>
        <v>0</v>
      </c>
      <c r="K1503">
        <f t="shared" si="143"/>
        <v>1</v>
      </c>
    </row>
    <row r="1504" spans="1:11" x14ac:dyDescent="0.25">
      <c r="A1504" t="s">
        <v>346</v>
      </c>
      <c r="B1504" t="s">
        <v>91</v>
      </c>
      <c r="C1504" t="s">
        <v>66</v>
      </c>
      <c r="D1504" s="3">
        <v>45693</v>
      </c>
      <c r="E1504" t="str">
        <f>VLOOKUP(B1504,'PROCV GERENTES BD'!A:B,2,0)</f>
        <v>POENATELA</v>
      </c>
      <c r="F1504" s="4" t="str">
        <f t="shared" si="138"/>
        <v>2025-02</v>
      </c>
      <c r="G1504" s="18">
        <f t="shared" si="139"/>
        <v>6</v>
      </c>
      <c r="H1504" t="str">
        <f t="shared" si="140"/>
        <v>POENATELA</v>
      </c>
      <c r="I1504" t="str">
        <f t="shared" si="141"/>
        <v>UBERTEC SERVICE USINAGEM LTDA EPP</v>
      </c>
      <c r="J1504">
        <f t="shared" si="142"/>
        <v>1</v>
      </c>
      <c r="K1504">
        <f t="shared" si="143"/>
        <v>0</v>
      </c>
    </row>
    <row r="1505" spans="1:11" x14ac:dyDescent="0.25">
      <c r="A1505" t="s">
        <v>452</v>
      </c>
      <c r="B1505" t="s">
        <v>209</v>
      </c>
      <c r="C1505" t="s">
        <v>50</v>
      </c>
      <c r="D1505" s="3">
        <v>45693</v>
      </c>
      <c r="E1505" t="str">
        <f>VLOOKUP(B1505,'PROCV GERENTES BD'!A:B,2,0)</f>
        <v>PRISCILA METZ</v>
      </c>
      <c r="F1505" s="4" t="str">
        <f t="shared" si="138"/>
        <v>2025-02</v>
      </c>
      <c r="G1505" s="18">
        <f t="shared" si="139"/>
        <v>6</v>
      </c>
      <c r="H1505" t="str">
        <f t="shared" si="140"/>
        <v>PRISCILA METZ</v>
      </c>
      <c r="I1505" t="str">
        <f t="shared" si="141"/>
        <v>D M RODRIGUES LTDA ME</v>
      </c>
      <c r="J1505">
        <f t="shared" si="142"/>
        <v>0</v>
      </c>
      <c r="K1505">
        <f t="shared" si="143"/>
        <v>1</v>
      </c>
    </row>
    <row r="1506" spans="1:11" x14ac:dyDescent="0.25">
      <c r="A1506" t="s">
        <v>471</v>
      </c>
      <c r="B1506" t="s">
        <v>228</v>
      </c>
      <c r="C1506" t="s">
        <v>50</v>
      </c>
      <c r="D1506" s="3">
        <v>45693</v>
      </c>
      <c r="E1506" t="str">
        <f>VLOOKUP(B1506,'PROCV GERENTES BD'!A:B,2,0)</f>
        <v>RAFAEL PARISE</v>
      </c>
      <c r="F1506" s="4" t="str">
        <f t="shared" si="138"/>
        <v>2025-02</v>
      </c>
      <c r="G1506" s="18">
        <f t="shared" si="139"/>
        <v>6</v>
      </c>
      <c r="H1506" t="str">
        <f t="shared" si="140"/>
        <v>RAFAEL PARISE</v>
      </c>
      <c r="I1506" t="str">
        <f t="shared" si="141"/>
        <v>ORNELAS TRANSPORTE E LOGISTICA LTDA</v>
      </c>
      <c r="J1506">
        <f t="shared" si="142"/>
        <v>0</v>
      </c>
      <c r="K1506">
        <f t="shared" si="143"/>
        <v>1</v>
      </c>
    </row>
    <row r="1507" spans="1:11" x14ac:dyDescent="0.25">
      <c r="A1507" t="s">
        <v>454</v>
      </c>
      <c r="B1507" t="s">
        <v>211</v>
      </c>
      <c r="C1507" t="s">
        <v>50</v>
      </c>
      <c r="D1507" s="3">
        <v>45693</v>
      </c>
      <c r="E1507" t="str">
        <f>VLOOKUP(B1507,'PROCV GERENTES BD'!A:B,2,0)</f>
        <v>RAFAEL PARISE</v>
      </c>
      <c r="F1507" s="4" t="str">
        <f t="shared" si="138"/>
        <v>2025-02</v>
      </c>
      <c r="G1507" s="18">
        <f t="shared" si="139"/>
        <v>6</v>
      </c>
      <c r="H1507" t="str">
        <f t="shared" si="140"/>
        <v>RAFAEL PARISE</v>
      </c>
      <c r="I1507" t="str">
        <f t="shared" si="141"/>
        <v>TREGA FILHOS EMPACOTAMENTO E DISTRIBUICAO LTDA ME</v>
      </c>
      <c r="J1507">
        <f t="shared" si="142"/>
        <v>0</v>
      </c>
      <c r="K1507">
        <f t="shared" si="143"/>
        <v>1</v>
      </c>
    </row>
    <row r="1508" spans="1:11" x14ac:dyDescent="0.25">
      <c r="A1508" t="s">
        <v>362</v>
      </c>
      <c r="B1508" t="s">
        <v>107</v>
      </c>
      <c r="C1508" t="s">
        <v>50</v>
      </c>
      <c r="D1508" s="3">
        <v>45693</v>
      </c>
      <c r="E1508" t="s">
        <v>21</v>
      </c>
      <c r="F1508" s="4" t="str">
        <f t="shared" si="138"/>
        <v>2025-02</v>
      </c>
      <c r="G1508" s="18">
        <f t="shared" si="139"/>
        <v>6</v>
      </c>
      <c r="H1508" t="str">
        <f t="shared" si="140"/>
        <v xml:space="preserve">ROGERIO </v>
      </c>
      <c r="I1508" t="str">
        <f t="shared" si="141"/>
        <v>EVOLUTION MACHINES LTDA ME</v>
      </c>
      <c r="J1508">
        <f t="shared" si="142"/>
        <v>0</v>
      </c>
      <c r="K1508">
        <f t="shared" si="143"/>
        <v>1</v>
      </c>
    </row>
    <row r="1509" spans="1:11" x14ac:dyDescent="0.25">
      <c r="A1509" t="s">
        <v>372</v>
      </c>
      <c r="B1509" t="s">
        <v>116</v>
      </c>
      <c r="C1509" t="s">
        <v>66</v>
      </c>
      <c r="D1509" s="3">
        <v>45694</v>
      </c>
      <c r="E1509" t="str">
        <f>VLOOKUP(B1509,'PROCV GERENTES BD'!A:B,2,0)</f>
        <v>ADMINISTRAÇÃO</v>
      </c>
      <c r="F1509" s="4" t="str">
        <f t="shared" si="138"/>
        <v>2025-02</v>
      </c>
      <c r="G1509" s="18">
        <f t="shared" si="139"/>
        <v>6</v>
      </c>
      <c r="H1509" t="str">
        <f t="shared" si="140"/>
        <v>ADMINISTRAÇÃO</v>
      </c>
      <c r="I1509" t="str">
        <f t="shared" si="141"/>
        <v>PREMOLDADOS MATOSINHOS LTDA EPP</v>
      </c>
      <c r="J1509">
        <f t="shared" si="142"/>
        <v>1</v>
      </c>
      <c r="K1509">
        <f t="shared" si="143"/>
        <v>0</v>
      </c>
    </row>
    <row r="1510" spans="1:11" x14ac:dyDescent="0.25">
      <c r="A1510" t="s">
        <v>304</v>
      </c>
      <c r="B1510" t="s">
        <v>123</v>
      </c>
      <c r="C1510" t="s">
        <v>66</v>
      </c>
      <c r="D1510" s="3">
        <v>45694</v>
      </c>
      <c r="E1510" t="str">
        <f>VLOOKUP(B1510,'PROCV GERENTES BD'!A:B,2,0)</f>
        <v>ADMINISTRAÇÃO</v>
      </c>
      <c r="F1510" s="4" t="str">
        <f t="shared" si="138"/>
        <v>2025-02</v>
      </c>
      <c r="G1510" s="18">
        <f t="shared" si="139"/>
        <v>6</v>
      </c>
      <c r="H1510" t="str">
        <f t="shared" si="140"/>
        <v>ADMINISTRAÇÃO</v>
      </c>
      <c r="I1510" t="str">
        <f t="shared" si="141"/>
        <v>VIC LOGISTICA LTDA EM RECUPERACAO JUDICIAL</v>
      </c>
      <c r="J1510">
        <f t="shared" si="142"/>
        <v>1</v>
      </c>
      <c r="K1510">
        <f t="shared" si="143"/>
        <v>0</v>
      </c>
    </row>
    <row r="1511" spans="1:11" x14ac:dyDescent="0.25">
      <c r="A1511" t="s">
        <v>319</v>
      </c>
      <c r="B1511" t="s">
        <v>80</v>
      </c>
      <c r="C1511" t="s">
        <v>50</v>
      </c>
      <c r="D1511" s="3">
        <v>45694</v>
      </c>
      <c r="E1511" t="str">
        <f>VLOOKUP(B1511,'PROCV GERENTES BD'!A:B,2,0)</f>
        <v>CELIO PIMENTA</v>
      </c>
      <c r="F1511" s="4" t="str">
        <f t="shared" si="138"/>
        <v>2025-02</v>
      </c>
      <c r="G1511" s="18">
        <f t="shared" si="139"/>
        <v>6</v>
      </c>
      <c r="H1511" t="str">
        <f t="shared" si="140"/>
        <v>CELIO PIMENTA</v>
      </c>
      <c r="I1511" t="str">
        <f t="shared" si="141"/>
        <v>IMPORTEXTIL COMERCIO DE TECIDOS LTDA</v>
      </c>
      <c r="J1511">
        <f t="shared" si="142"/>
        <v>0</v>
      </c>
      <c r="K1511">
        <f t="shared" si="143"/>
        <v>1</v>
      </c>
    </row>
    <row r="1512" spans="1:11" x14ac:dyDescent="0.25">
      <c r="A1512" t="s">
        <v>358</v>
      </c>
      <c r="B1512" t="s">
        <v>104</v>
      </c>
      <c r="C1512" t="s">
        <v>50</v>
      </c>
      <c r="D1512" s="3">
        <v>45694</v>
      </c>
      <c r="E1512" t="str">
        <f>VLOOKUP(B1512,'PROCV GERENTES BD'!A:B,2,0)</f>
        <v>DIOGO AZEVEDO</v>
      </c>
      <c r="F1512" s="4" t="str">
        <f t="shared" si="138"/>
        <v>2025-02</v>
      </c>
      <c r="G1512" s="18">
        <f t="shared" si="139"/>
        <v>6</v>
      </c>
      <c r="H1512" t="str">
        <f t="shared" si="140"/>
        <v>DIOGO AZEVEDO</v>
      </c>
      <c r="I1512" t="str">
        <f t="shared" si="141"/>
        <v>INDUSTRIA E CERVEJARIA ARTESANAL DE MINAS GERAIS L</v>
      </c>
      <c r="J1512">
        <f t="shared" si="142"/>
        <v>0</v>
      </c>
      <c r="K1512">
        <f t="shared" si="143"/>
        <v>1</v>
      </c>
    </row>
    <row r="1513" spans="1:11" x14ac:dyDescent="0.25">
      <c r="A1513" t="s">
        <v>472</v>
      </c>
      <c r="B1513" t="s">
        <v>229</v>
      </c>
      <c r="C1513" t="s">
        <v>50</v>
      </c>
      <c r="D1513" s="3">
        <v>45694</v>
      </c>
      <c r="E1513" t="str">
        <f>VLOOKUP(B1513,'PROCV GERENTES BD'!A:B,2,0)</f>
        <v>PROSPECTAR</v>
      </c>
      <c r="F1513" s="4" t="str">
        <f t="shared" si="138"/>
        <v>2025-02</v>
      </c>
      <c r="G1513" s="18">
        <f t="shared" si="139"/>
        <v>6</v>
      </c>
      <c r="H1513" t="str">
        <f t="shared" si="140"/>
        <v>PROSPECTAR</v>
      </c>
      <c r="I1513" t="str">
        <f t="shared" si="141"/>
        <v>ELO TELECOMUNICACOES E CONSTRUCOES S/A</v>
      </c>
      <c r="J1513">
        <f t="shared" si="142"/>
        <v>0</v>
      </c>
      <c r="K1513">
        <f t="shared" si="143"/>
        <v>1</v>
      </c>
    </row>
    <row r="1514" spans="1:11" x14ac:dyDescent="0.25">
      <c r="A1514" t="s">
        <v>310</v>
      </c>
      <c r="B1514" t="s">
        <v>204</v>
      </c>
      <c r="C1514" t="s">
        <v>66</v>
      </c>
      <c r="D1514" s="3">
        <v>45694</v>
      </c>
      <c r="E1514" t="str">
        <f>VLOOKUP(B1514,'PROCV GERENTES BD'!A:B,2,0)</f>
        <v xml:space="preserve">MARCUS VINICIUS </v>
      </c>
      <c r="F1514" s="4" t="str">
        <f t="shared" si="138"/>
        <v>2025-02</v>
      </c>
      <c r="G1514" s="18">
        <f t="shared" si="139"/>
        <v>6</v>
      </c>
      <c r="H1514" t="str">
        <f t="shared" si="140"/>
        <v xml:space="preserve">MARCUS VINICIUS </v>
      </c>
      <c r="I1514" t="str">
        <f t="shared" si="141"/>
        <v>INDUSTRIA E COMERCIO DE CHURRASQUEIRAS BOM JESUS L</v>
      </c>
      <c r="J1514">
        <f t="shared" si="142"/>
        <v>1</v>
      </c>
      <c r="K1514">
        <f t="shared" si="143"/>
        <v>0</v>
      </c>
    </row>
    <row r="1515" spans="1:11" x14ac:dyDescent="0.25">
      <c r="A1515" t="s">
        <v>428</v>
      </c>
      <c r="B1515" t="s">
        <v>179</v>
      </c>
      <c r="C1515" t="s">
        <v>50</v>
      </c>
      <c r="D1515" s="3">
        <v>45694</v>
      </c>
      <c r="E1515" t="str">
        <f>VLOOKUP(B1515,'PROCV GERENTES BD'!A:B,2,0)</f>
        <v xml:space="preserve">MARCUS VINICIUS </v>
      </c>
      <c r="F1515" s="4" t="str">
        <f t="shared" si="138"/>
        <v>2025-02</v>
      </c>
      <c r="G1515" s="18">
        <f t="shared" si="139"/>
        <v>6</v>
      </c>
      <c r="H1515" t="str">
        <f t="shared" si="140"/>
        <v xml:space="preserve">MARCUS VINICIUS </v>
      </c>
      <c r="I1515" t="str">
        <f t="shared" si="141"/>
        <v>LABOR ELETRIC INDUSTRIA E COMERCIO UNIPESSOAL LTDA</v>
      </c>
      <c r="J1515">
        <f t="shared" si="142"/>
        <v>0</v>
      </c>
      <c r="K1515">
        <f t="shared" si="143"/>
        <v>1</v>
      </c>
    </row>
    <row r="1516" spans="1:11" x14ac:dyDescent="0.25">
      <c r="A1516" t="s">
        <v>375</v>
      </c>
      <c r="B1516" t="s">
        <v>120</v>
      </c>
      <c r="C1516" t="s">
        <v>66</v>
      </c>
      <c r="D1516" s="3">
        <v>45694</v>
      </c>
      <c r="E1516" t="str">
        <f>VLOOKUP(B1516,'PROCV GERENTES BD'!A:B,2,0)</f>
        <v>ADMINISTRAÇÃO</v>
      </c>
      <c r="F1516" s="4" t="str">
        <f t="shared" si="138"/>
        <v>2025-02</v>
      </c>
      <c r="G1516" s="18">
        <f t="shared" si="139"/>
        <v>6</v>
      </c>
      <c r="H1516" t="str">
        <f t="shared" si="140"/>
        <v>ADMINISTRAÇÃO</v>
      </c>
      <c r="I1516" t="str">
        <f t="shared" si="141"/>
        <v>FARINELLI NUTRIMENTOS LTDA</v>
      </c>
      <c r="J1516">
        <f t="shared" si="142"/>
        <v>1</v>
      </c>
      <c r="K1516">
        <f t="shared" si="143"/>
        <v>0</v>
      </c>
    </row>
    <row r="1517" spans="1:11" x14ac:dyDescent="0.25">
      <c r="A1517" t="s">
        <v>438</v>
      </c>
      <c r="B1517" t="s">
        <v>189</v>
      </c>
      <c r="C1517" t="s">
        <v>50</v>
      </c>
      <c r="D1517" s="3">
        <v>45694</v>
      </c>
      <c r="E1517" t="str">
        <f>VLOOKUP(B1517,'PROCV GERENTES BD'!A:B,2,0)</f>
        <v>NOELI SALETE</v>
      </c>
      <c r="F1517" s="4" t="str">
        <f t="shared" si="138"/>
        <v>2025-02</v>
      </c>
      <c r="G1517" s="18">
        <f t="shared" si="139"/>
        <v>6</v>
      </c>
      <c r="H1517" t="str">
        <f t="shared" si="140"/>
        <v>NOELI SALETE</v>
      </c>
      <c r="I1517" t="str">
        <f t="shared" si="141"/>
        <v>AGRO INDUSTRIAL LAZZERI LTDA</v>
      </c>
      <c r="J1517">
        <f t="shared" si="142"/>
        <v>0</v>
      </c>
      <c r="K1517">
        <f t="shared" si="143"/>
        <v>1</v>
      </c>
    </row>
    <row r="1518" spans="1:11" x14ac:dyDescent="0.25">
      <c r="A1518" t="s">
        <v>394</v>
      </c>
      <c r="B1518" t="s">
        <v>143</v>
      </c>
      <c r="C1518" t="s">
        <v>50</v>
      </c>
      <c r="D1518" s="3">
        <v>45694</v>
      </c>
      <c r="E1518" t="str">
        <f>VLOOKUP(B1518,'PROCV GERENTES BD'!A:B,2,0)</f>
        <v>NOELI SALETE</v>
      </c>
      <c r="F1518" s="4" t="str">
        <f t="shared" si="138"/>
        <v>2025-02</v>
      </c>
      <c r="G1518" s="18">
        <f t="shared" si="139"/>
        <v>6</v>
      </c>
      <c r="H1518" t="str">
        <f t="shared" si="140"/>
        <v>NOELI SALETE</v>
      </c>
      <c r="I1518" t="str">
        <f t="shared" si="141"/>
        <v>ALBERTO H DA SILVA ME</v>
      </c>
      <c r="J1518">
        <f t="shared" si="142"/>
        <v>0</v>
      </c>
      <c r="K1518">
        <f t="shared" si="143"/>
        <v>1</v>
      </c>
    </row>
    <row r="1519" spans="1:11" x14ac:dyDescent="0.25">
      <c r="A1519" t="s">
        <v>473</v>
      </c>
      <c r="B1519" t="s">
        <v>230</v>
      </c>
      <c r="C1519" t="s">
        <v>50</v>
      </c>
      <c r="D1519" s="3">
        <v>45694</v>
      </c>
      <c r="E1519" t="str">
        <f>VLOOKUP(B1519,'PROCV GERENTES BD'!A:B,2,0)</f>
        <v>ADMINISTRAÇÃO</v>
      </c>
      <c r="F1519" s="4" t="str">
        <f t="shared" si="138"/>
        <v>2025-02</v>
      </c>
      <c r="G1519" s="18">
        <f t="shared" si="139"/>
        <v>6</v>
      </c>
      <c r="H1519" t="str">
        <f t="shared" si="140"/>
        <v>ADMINISTRAÇÃO</v>
      </c>
      <c r="I1519" t="str">
        <f t="shared" si="141"/>
        <v>ALTAG NEGOCIOS AGRICOLAS LTDA</v>
      </c>
      <c r="J1519">
        <f t="shared" si="142"/>
        <v>0</v>
      </c>
      <c r="K1519">
        <f t="shared" si="143"/>
        <v>1</v>
      </c>
    </row>
    <row r="1520" spans="1:11" x14ac:dyDescent="0.25">
      <c r="A1520" t="s">
        <v>389</v>
      </c>
      <c r="B1520" t="s">
        <v>136</v>
      </c>
      <c r="C1520" t="s">
        <v>66</v>
      </c>
      <c r="D1520" s="3">
        <v>45694</v>
      </c>
      <c r="E1520" t="str">
        <f>VLOOKUP(B1520,'PROCV GERENTES BD'!A:B,2,0)</f>
        <v>POENATELA</v>
      </c>
      <c r="F1520" s="4" t="str">
        <f t="shared" si="138"/>
        <v>2025-02</v>
      </c>
      <c r="G1520" s="18">
        <f t="shared" si="139"/>
        <v>6</v>
      </c>
      <c r="H1520" t="str">
        <f t="shared" si="140"/>
        <v>POENATELA</v>
      </c>
      <c r="I1520" t="str">
        <f t="shared" si="141"/>
        <v>CONQUISTA INDUSTRIA DE MOVEIS S/A</v>
      </c>
      <c r="J1520">
        <f t="shared" si="142"/>
        <v>1</v>
      </c>
      <c r="K1520">
        <f t="shared" si="143"/>
        <v>0</v>
      </c>
    </row>
    <row r="1521" spans="1:11" x14ac:dyDescent="0.25">
      <c r="A1521" t="s">
        <v>346</v>
      </c>
      <c r="B1521" t="s">
        <v>91</v>
      </c>
      <c r="C1521" t="s">
        <v>66</v>
      </c>
      <c r="D1521" s="3">
        <v>45694</v>
      </c>
      <c r="E1521" t="str">
        <f>VLOOKUP(B1521,'PROCV GERENTES BD'!A:B,2,0)</f>
        <v>POENATELA</v>
      </c>
      <c r="F1521" s="4" t="str">
        <f t="shared" si="138"/>
        <v>2025-02</v>
      </c>
      <c r="G1521" s="18">
        <f t="shared" si="139"/>
        <v>6</v>
      </c>
      <c r="H1521" t="str">
        <f t="shared" si="140"/>
        <v>POENATELA</v>
      </c>
      <c r="I1521" t="str">
        <f t="shared" si="141"/>
        <v>UBERTEC SERVICE USINAGEM LTDA EPP</v>
      </c>
      <c r="J1521">
        <f t="shared" si="142"/>
        <v>1</v>
      </c>
      <c r="K1521">
        <f t="shared" si="143"/>
        <v>0</v>
      </c>
    </row>
    <row r="1522" spans="1:11" x14ac:dyDescent="0.25">
      <c r="A1522" t="s">
        <v>452</v>
      </c>
      <c r="B1522" t="s">
        <v>209</v>
      </c>
      <c r="C1522" t="s">
        <v>50</v>
      </c>
      <c r="D1522" s="3">
        <v>45694</v>
      </c>
      <c r="E1522" t="str">
        <f>VLOOKUP(B1522,'PROCV GERENTES BD'!A:B,2,0)</f>
        <v>PRISCILA METZ</v>
      </c>
      <c r="F1522" s="4" t="str">
        <f t="shared" si="138"/>
        <v>2025-02</v>
      </c>
      <c r="G1522" s="18">
        <f t="shared" si="139"/>
        <v>6</v>
      </c>
      <c r="H1522" t="str">
        <f t="shared" si="140"/>
        <v>PRISCILA METZ</v>
      </c>
      <c r="I1522" t="str">
        <f t="shared" si="141"/>
        <v>D M RODRIGUES LTDA ME</v>
      </c>
      <c r="J1522">
        <f t="shared" si="142"/>
        <v>0</v>
      </c>
      <c r="K1522">
        <f t="shared" si="143"/>
        <v>1</v>
      </c>
    </row>
    <row r="1523" spans="1:11" x14ac:dyDescent="0.25">
      <c r="A1523" t="s">
        <v>447</v>
      </c>
      <c r="B1523" t="s">
        <v>200</v>
      </c>
      <c r="C1523" t="s">
        <v>66</v>
      </c>
      <c r="D1523" s="3">
        <v>45694</v>
      </c>
      <c r="E1523" t="s">
        <v>21</v>
      </c>
      <c r="F1523" s="4" t="str">
        <f t="shared" si="138"/>
        <v>2025-02</v>
      </c>
      <c r="G1523" s="18">
        <f t="shared" si="139"/>
        <v>6</v>
      </c>
      <c r="H1523" t="str">
        <f t="shared" si="140"/>
        <v xml:space="preserve">ROGERIO </v>
      </c>
      <c r="I1523" t="str">
        <f t="shared" si="141"/>
        <v>ORTHOSIDE INDUSTRIA E COMERCIO LTDA EPP</v>
      </c>
      <c r="J1523">
        <f t="shared" si="142"/>
        <v>1</v>
      </c>
      <c r="K1523">
        <f t="shared" si="143"/>
        <v>0</v>
      </c>
    </row>
    <row r="1524" spans="1:11" x14ac:dyDescent="0.25">
      <c r="A1524" t="s">
        <v>474</v>
      </c>
      <c r="B1524" t="s">
        <v>231</v>
      </c>
      <c r="C1524" t="s">
        <v>50</v>
      </c>
      <c r="D1524" s="3">
        <v>45694</v>
      </c>
      <c r="E1524" t="str">
        <f>VLOOKUP(B1524,'PROCV GERENTES BD'!A:B,2,0)</f>
        <v>SEM GERENTE</v>
      </c>
      <c r="F1524" s="4" t="str">
        <f t="shared" si="138"/>
        <v>2025-02</v>
      </c>
      <c r="G1524" s="18">
        <f t="shared" si="139"/>
        <v>6</v>
      </c>
      <c r="H1524" t="str">
        <f t="shared" si="140"/>
        <v>SEM GERENTE</v>
      </c>
      <c r="I1524" t="str">
        <f t="shared" si="141"/>
        <v>GRAFICA ROMANA LTDA ME</v>
      </c>
      <c r="J1524">
        <f t="shared" si="142"/>
        <v>0</v>
      </c>
      <c r="K1524">
        <f t="shared" si="143"/>
        <v>1</v>
      </c>
    </row>
    <row r="1525" spans="1:11" x14ac:dyDescent="0.25">
      <c r="A1525" t="s">
        <v>54</v>
      </c>
      <c r="B1525" t="s">
        <v>55</v>
      </c>
      <c r="C1525" t="s">
        <v>50</v>
      </c>
      <c r="D1525" s="3">
        <v>45695</v>
      </c>
      <c r="E1525" t="str">
        <f>VLOOKUP(B1525,'PROCV GERENTES BD'!A:B,2,0)</f>
        <v>CELIO PIMENTA</v>
      </c>
      <c r="F1525" s="4" t="str">
        <f t="shared" si="138"/>
        <v>2025-02</v>
      </c>
      <c r="G1525" s="18">
        <f t="shared" si="139"/>
        <v>6</v>
      </c>
      <c r="H1525" t="str">
        <f t="shared" si="140"/>
        <v>CELIO PIMENTA</v>
      </c>
      <c r="I1525" t="str">
        <f t="shared" si="141"/>
        <v>WJ CALDEIRARIA INDUSTRIA E COMERCIO LTDA ME</v>
      </c>
      <c r="J1525">
        <f t="shared" si="142"/>
        <v>0</v>
      </c>
      <c r="K1525">
        <f t="shared" si="143"/>
        <v>1</v>
      </c>
    </row>
    <row r="1526" spans="1:11" x14ac:dyDescent="0.25">
      <c r="A1526" t="s">
        <v>418</v>
      </c>
      <c r="B1526" t="s">
        <v>168</v>
      </c>
      <c r="C1526" t="s">
        <v>50</v>
      </c>
      <c r="D1526" s="3">
        <v>45695</v>
      </c>
      <c r="E1526" t="str">
        <f>VLOOKUP(B1526,'PROCV GERENTES BD'!A:B,2,0)</f>
        <v>ADMINISTRAÇÃO</v>
      </c>
      <c r="F1526" s="4" t="str">
        <f t="shared" si="138"/>
        <v>2025-02</v>
      </c>
      <c r="G1526" s="18">
        <f t="shared" si="139"/>
        <v>6</v>
      </c>
      <c r="H1526" t="str">
        <f t="shared" si="140"/>
        <v>ADMINISTRAÇÃO</v>
      </c>
      <c r="I1526" t="str">
        <f t="shared" si="141"/>
        <v>MAAT COMERCIO DE VESTUARIO LTDA EPP</v>
      </c>
      <c r="J1526">
        <f t="shared" si="142"/>
        <v>0</v>
      </c>
      <c r="K1526">
        <f t="shared" si="143"/>
        <v>1</v>
      </c>
    </row>
    <row r="1527" spans="1:11" x14ac:dyDescent="0.25">
      <c r="A1527" t="s">
        <v>389</v>
      </c>
      <c r="B1527" t="s">
        <v>136</v>
      </c>
      <c r="C1527" t="s">
        <v>66</v>
      </c>
      <c r="D1527" s="3">
        <v>45695</v>
      </c>
      <c r="E1527" t="str">
        <f>VLOOKUP(B1527,'PROCV GERENTES BD'!A:B,2,0)</f>
        <v>POENATELA</v>
      </c>
      <c r="F1527" s="4" t="str">
        <f t="shared" si="138"/>
        <v>2025-02</v>
      </c>
      <c r="G1527" s="18">
        <f t="shared" si="139"/>
        <v>6</v>
      </c>
      <c r="H1527" t="str">
        <f t="shared" si="140"/>
        <v>POENATELA</v>
      </c>
      <c r="I1527" t="str">
        <f t="shared" si="141"/>
        <v>CONQUISTA INDUSTRIA DE MOVEIS S/A</v>
      </c>
      <c r="J1527">
        <f t="shared" si="142"/>
        <v>1</v>
      </c>
      <c r="K1527">
        <f t="shared" si="143"/>
        <v>0</v>
      </c>
    </row>
    <row r="1528" spans="1:11" x14ac:dyDescent="0.25">
      <c r="A1528" t="s">
        <v>420</v>
      </c>
      <c r="B1528" t="s">
        <v>170</v>
      </c>
      <c r="C1528" t="s">
        <v>66</v>
      </c>
      <c r="D1528" s="3">
        <v>45695</v>
      </c>
      <c r="E1528" t="str">
        <f>VLOOKUP(B1528,'PROCV GERENTES BD'!A:B,2,0)</f>
        <v>POENATELA</v>
      </c>
      <c r="F1528" s="4" t="str">
        <f t="shared" si="138"/>
        <v>2025-02</v>
      </c>
      <c r="G1528" s="18">
        <f t="shared" si="139"/>
        <v>6</v>
      </c>
      <c r="H1528" t="str">
        <f t="shared" si="140"/>
        <v>POENATELA</v>
      </c>
      <c r="I1528" t="str">
        <f t="shared" si="141"/>
        <v>SAVIXX COMERCIO INTERNACIONAL S/A</v>
      </c>
      <c r="J1528">
        <f t="shared" si="142"/>
        <v>1</v>
      </c>
      <c r="K1528">
        <f t="shared" si="143"/>
        <v>0</v>
      </c>
    </row>
    <row r="1529" spans="1:11" x14ac:dyDescent="0.25">
      <c r="A1529" t="s">
        <v>346</v>
      </c>
      <c r="B1529" t="s">
        <v>91</v>
      </c>
      <c r="C1529" t="s">
        <v>50</v>
      </c>
      <c r="D1529" s="3">
        <v>45695</v>
      </c>
      <c r="E1529" t="str">
        <f>VLOOKUP(B1529,'PROCV GERENTES BD'!A:B,2,0)</f>
        <v>POENATELA</v>
      </c>
      <c r="F1529" s="4" t="str">
        <f t="shared" si="138"/>
        <v>2025-02</v>
      </c>
      <c r="G1529" s="18">
        <f t="shared" si="139"/>
        <v>6</v>
      </c>
      <c r="H1529" t="str">
        <f t="shared" si="140"/>
        <v>POENATELA</v>
      </c>
      <c r="I1529" t="str">
        <f t="shared" si="141"/>
        <v>UBERTEC SERVICE USINAGEM LTDA EPP</v>
      </c>
      <c r="J1529">
        <f t="shared" si="142"/>
        <v>0</v>
      </c>
      <c r="K1529">
        <f t="shared" si="143"/>
        <v>1</v>
      </c>
    </row>
    <row r="1530" spans="1:11" x14ac:dyDescent="0.25">
      <c r="A1530" t="s">
        <v>452</v>
      </c>
      <c r="B1530" t="s">
        <v>209</v>
      </c>
      <c r="C1530" t="s">
        <v>50</v>
      </c>
      <c r="D1530" s="3">
        <v>45695</v>
      </c>
      <c r="E1530" t="str">
        <f>VLOOKUP(B1530,'PROCV GERENTES BD'!A:B,2,0)</f>
        <v>PRISCILA METZ</v>
      </c>
      <c r="F1530" s="4" t="str">
        <f t="shared" si="138"/>
        <v>2025-02</v>
      </c>
      <c r="G1530" s="18">
        <f t="shared" si="139"/>
        <v>6</v>
      </c>
      <c r="H1530" t="str">
        <f t="shared" si="140"/>
        <v>PRISCILA METZ</v>
      </c>
      <c r="I1530" t="str">
        <f t="shared" si="141"/>
        <v>D M RODRIGUES LTDA ME</v>
      </c>
      <c r="J1530">
        <f t="shared" si="142"/>
        <v>0</v>
      </c>
      <c r="K1530">
        <f t="shared" si="143"/>
        <v>1</v>
      </c>
    </row>
    <row r="1531" spans="1:11" x14ac:dyDescent="0.25">
      <c r="A1531" t="s">
        <v>454</v>
      </c>
      <c r="B1531" t="s">
        <v>211</v>
      </c>
      <c r="C1531" t="s">
        <v>50</v>
      </c>
      <c r="D1531" s="3">
        <v>45695</v>
      </c>
      <c r="E1531" t="str">
        <f>VLOOKUP(B1531,'PROCV GERENTES BD'!A:B,2,0)</f>
        <v>RAFAEL PARISE</v>
      </c>
      <c r="F1531" s="4" t="str">
        <f t="shared" si="138"/>
        <v>2025-02</v>
      </c>
      <c r="G1531" s="18">
        <f t="shared" si="139"/>
        <v>6</v>
      </c>
      <c r="H1531" t="str">
        <f t="shared" si="140"/>
        <v>RAFAEL PARISE</v>
      </c>
      <c r="I1531" t="str">
        <f t="shared" si="141"/>
        <v>TREGA FILHOS EMPACOTAMENTO E DISTRIBUICAO LTDA ME</v>
      </c>
      <c r="J1531">
        <f t="shared" si="142"/>
        <v>0</v>
      </c>
      <c r="K1531">
        <f t="shared" si="143"/>
        <v>1</v>
      </c>
    </row>
    <row r="1532" spans="1:11" x14ac:dyDescent="0.25">
      <c r="A1532" t="s">
        <v>314</v>
      </c>
      <c r="B1532" t="s">
        <v>98</v>
      </c>
      <c r="C1532" t="s">
        <v>50</v>
      </c>
      <c r="D1532" s="3">
        <v>45695</v>
      </c>
      <c r="E1532" t="str">
        <f>VLOOKUP(B1532,'PROCV GERENTES BD'!A:B,2,0)</f>
        <v xml:space="preserve">ROGERIO </v>
      </c>
      <c r="F1532" s="4" t="str">
        <f t="shared" si="138"/>
        <v>2025-02</v>
      </c>
      <c r="G1532" s="18">
        <f t="shared" si="139"/>
        <v>6</v>
      </c>
      <c r="H1532" t="str">
        <f t="shared" si="140"/>
        <v xml:space="preserve">ROGERIO </v>
      </c>
      <c r="I1532" t="str">
        <f t="shared" si="141"/>
        <v>MUTCD CENTRO DISTRIBUICAO IND FABRICANTE COSMETICO</v>
      </c>
      <c r="J1532">
        <f t="shared" si="142"/>
        <v>0</v>
      </c>
      <c r="K1532">
        <f t="shared" si="143"/>
        <v>1</v>
      </c>
    </row>
    <row r="1533" spans="1:11" x14ac:dyDescent="0.25">
      <c r="A1533" t="s">
        <v>331</v>
      </c>
      <c r="B1533" t="s">
        <v>144</v>
      </c>
      <c r="C1533" t="s">
        <v>53</v>
      </c>
      <c r="D1533" s="3">
        <v>45696</v>
      </c>
      <c r="E1533" t="str">
        <f>VLOOKUP(B1533,'PROCV GERENTES BD'!A:B,2,0)</f>
        <v>ADMINISTRAÇÃO</v>
      </c>
      <c r="F1533" s="4" t="str">
        <f t="shared" si="138"/>
        <v>2025-02</v>
      </c>
      <c r="G1533" s="18">
        <f t="shared" si="139"/>
        <v>6</v>
      </c>
      <c r="H1533" t="str">
        <f t="shared" si="140"/>
        <v>ADMINISTRAÇÃO</v>
      </c>
      <c r="I1533" t="str">
        <f t="shared" si="141"/>
        <v>BOM PASTOR PAPEIS LTDA EM RECUPERACAO JUDICIAL</v>
      </c>
      <c r="J1533">
        <f t="shared" si="142"/>
        <v>1</v>
      </c>
      <c r="K1533">
        <f t="shared" si="143"/>
        <v>1</v>
      </c>
    </row>
    <row r="1534" spans="1:11" x14ac:dyDescent="0.25">
      <c r="A1534" t="s">
        <v>443</v>
      </c>
      <c r="B1534" t="s">
        <v>194</v>
      </c>
      <c r="C1534" t="s">
        <v>66</v>
      </c>
      <c r="D1534" s="3">
        <v>45696</v>
      </c>
      <c r="E1534" t="str">
        <f>VLOOKUP(B1534,'PROCV GERENTES BD'!A:B,2,0)</f>
        <v>PROSPECTAR</v>
      </c>
      <c r="F1534" s="4" t="str">
        <f t="shared" si="138"/>
        <v>2025-02</v>
      </c>
      <c r="G1534" s="18">
        <f t="shared" si="139"/>
        <v>6</v>
      </c>
      <c r="H1534" t="str">
        <f t="shared" si="140"/>
        <v>PROSPECTAR</v>
      </c>
      <c r="I1534" t="str">
        <f t="shared" si="141"/>
        <v>ALPLAST ATACADISTA E APOIO ADMINISTRATIVO LTDA EPP</v>
      </c>
      <c r="J1534">
        <f t="shared" si="142"/>
        <v>1</v>
      </c>
      <c r="K1534">
        <f t="shared" si="143"/>
        <v>0</v>
      </c>
    </row>
    <row r="1535" spans="1:11" x14ac:dyDescent="0.25">
      <c r="A1535" t="s">
        <v>395</v>
      </c>
      <c r="B1535" t="s">
        <v>145</v>
      </c>
      <c r="C1535" t="s">
        <v>50</v>
      </c>
      <c r="D1535" s="3">
        <v>45696</v>
      </c>
      <c r="E1535" t="str">
        <f>VLOOKUP(B1535,'PROCV GERENTES BD'!A:B,2,0)</f>
        <v>MARCIO LEONEL</v>
      </c>
      <c r="F1535" s="4" t="str">
        <f t="shared" si="138"/>
        <v>2025-02</v>
      </c>
      <c r="G1535" s="18">
        <f t="shared" si="139"/>
        <v>6</v>
      </c>
      <c r="H1535" t="str">
        <f t="shared" si="140"/>
        <v>MARCIO LEONEL</v>
      </c>
      <c r="I1535" t="str">
        <f t="shared" si="141"/>
        <v>MEDICAL PRIME IMP EXPORT DISTRIB PRODUTOS MEDICOS</v>
      </c>
      <c r="J1535">
        <f t="shared" si="142"/>
        <v>0</v>
      </c>
      <c r="K1535">
        <f t="shared" si="143"/>
        <v>1</v>
      </c>
    </row>
    <row r="1536" spans="1:11" x14ac:dyDescent="0.25">
      <c r="A1536" t="s">
        <v>428</v>
      </c>
      <c r="B1536" t="s">
        <v>179</v>
      </c>
      <c r="C1536" t="s">
        <v>50</v>
      </c>
      <c r="D1536" s="3">
        <v>45696</v>
      </c>
      <c r="E1536" t="str">
        <f>VLOOKUP(B1536,'PROCV GERENTES BD'!A:B,2,0)</f>
        <v xml:space="preserve">MARCUS VINICIUS </v>
      </c>
      <c r="F1536" s="4" t="str">
        <f t="shared" si="138"/>
        <v>2025-02</v>
      </c>
      <c r="G1536" s="18">
        <f t="shared" si="139"/>
        <v>6</v>
      </c>
      <c r="H1536" t="str">
        <f t="shared" si="140"/>
        <v xml:space="preserve">MARCUS VINICIUS </v>
      </c>
      <c r="I1536" t="str">
        <f t="shared" si="141"/>
        <v>LABOR ELETRIC INDUSTRIA E COMERCIO UNIPESSOAL LTDA</v>
      </c>
      <c r="J1536">
        <f t="shared" si="142"/>
        <v>0</v>
      </c>
      <c r="K1536">
        <f t="shared" si="143"/>
        <v>1</v>
      </c>
    </row>
    <row r="1537" spans="1:11" x14ac:dyDescent="0.25">
      <c r="A1537" t="s">
        <v>418</v>
      </c>
      <c r="B1537" t="s">
        <v>168</v>
      </c>
      <c r="C1537" t="s">
        <v>50</v>
      </c>
      <c r="D1537" s="3">
        <v>45696</v>
      </c>
      <c r="E1537" t="str">
        <f>VLOOKUP(B1537,'PROCV GERENTES BD'!A:B,2,0)</f>
        <v>ADMINISTRAÇÃO</v>
      </c>
      <c r="F1537" s="4" t="str">
        <f t="shared" si="138"/>
        <v>2025-02</v>
      </c>
      <c r="G1537" s="18">
        <f t="shared" si="139"/>
        <v>6</v>
      </c>
      <c r="H1537" t="str">
        <f t="shared" si="140"/>
        <v>ADMINISTRAÇÃO</v>
      </c>
      <c r="I1537" t="str">
        <f t="shared" si="141"/>
        <v>MAAT COMERCIO DE VESTUARIO LTDA EPP</v>
      </c>
      <c r="J1537">
        <f t="shared" si="142"/>
        <v>0</v>
      </c>
      <c r="K1537">
        <f t="shared" si="143"/>
        <v>1</v>
      </c>
    </row>
    <row r="1538" spans="1:11" x14ac:dyDescent="0.25">
      <c r="A1538" t="s">
        <v>438</v>
      </c>
      <c r="B1538" t="s">
        <v>189</v>
      </c>
      <c r="C1538" t="s">
        <v>50</v>
      </c>
      <c r="D1538" s="3">
        <v>45696</v>
      </c>
      <c r="E1538" t="str">
        <f>VLOOKUP(B1538,'PROCV GERENTES BD'!A:B,2,0)</f>
        <v>NOELI SALETE</v>
      </c>
      <c r="F1538" s="4" t="str">
        <f t="shared" ref="F1538:F1601" si="144">YEAR(D1538)&amp;"-"&amp;TEXT(MONTH(D1538),"00")</f>
        <v>2025-02</v>
      </c>
      <c r="G1538" s="18">
        <f t="shared" ref="G1538:G1601" si="145">WEEKNUM(D1538)</f>
        <v>6</v>
      </c>
      <c r="H1538" t="str">
        <f t="shared" ref="H1538:H1601" si="146">E1538</f>
        <v>NOELI SALETE</v>
      </c>
      <c r="I1538" t="str">
        <f t="shared" ref="I1538:I1601" si="147">B1538</f>
        <v>AGRO INDUSTRIAL LAZZERI LTDA</v>
      </c>
      <c r="J1538">
        <f t="shared" ref="J1538:J1601" si="148">IF(OR(C1538="EXCLUSAO  ANOT.INADIMPLENCIA",C1538="INCL/EXCL ANOT.INADIMPLENCIA"),1,0)</f>
        <v>0</v>
      </c>
      <c r="K1538">
        <f t="shared" ref="K1538:K1601" si="149">IF(OR(C1538="INCLUSAO  ANOT.INADIMPLENCIA",C1538="INCL/EXCL ANOT.INADIMPLENCIA"),1,0)</f>
        <v>1</v>
      </c>
    </row>
    <row r="1539" spans="1:11" x14ac:dyDescent="0.25">
      <c r="A1539" t="s">
        <v>346</v>
      </c>
      <c r="B1539" t="s">
        <v>91</v>
      </c>
      <c r="C1539" t="s">
        <v>66</v>
      </c>
      <c r="D1539" s="3">
        <v>45696</v>
      </c>
      <c r="E1539" t="str">
        <f>VLOOKUP(B1539,'PROCV GERENTES BD'!A:B,2,0)</f>
        <v>POENATELA</v>
      </c>
      <c r="F1539" s="4" t="str">
        <f t="shared" si="144"/>
        <v>2025-02</v>
      </c>
      <c r="G1539" s="18">
        <f t="shared" si="145"/>
        <v>6</v>
      </c>
      <c r="H1539" t="str">
        <f t="shared" si="146"/>
        <v>POENATELA</v>
      </c>
      <c r="I1539" t="str">
        <f t="shared" si="147"/>
        <v>UBERTEC SERVICE USINAGEM LTDA EPP</v>
      </c>
      <c r="J1539">
        <f t="shared" si="148"/>
        <v>1</v>
      </c>
      <c r="K1539">
        <f t="shared" si="149"/>
        <v>0</v>
      </c>
    </row>
    <row r="1540" spans="1:11" x14ac:dyDescent="0.25">
      <c r="A1540" t="s">
        <v>452</v>
      </c>
      <c r="B1540" t="s">
        <v>209</v>
      </c>
      <c r="C1540" t="s">
        <v>50</v>
      </c>
      <c r="D1540" s="3">
        <v>45696</v>
      </c>
      <c r="E1540" t="str">
        <f>VLOOKUP(B1540,'PROCV GERENTES BD'!A:B,2,0)</f>
        <v>PRISCILA METZ</v>
      </c>
      <c r="F1540" s="4" t="str">
        <f t="shared" si="144"/>
        <v>2025-02</v>
      </c>
      <c r="G1540" s="18">
        <f t="shared" si="145"/>
        <v>6</v>
      </c>
      <c r="H1540" t="str">
        <f t="shared" si="146"/>
        <v>PRISCILA METZ</v>
      </c>
      <c r="I1540" t="str">
        <f t="shared" si="147"/>
        <v>D M RODRIGUES LTDA ME</v>
      </c>
      <c r="J1540">
        <f t="shared" si="148"/>
        <v>0</v>
      </c>
      <c r="K1540">
        <f t="shared" si="149"/>
        <v>1</v>
      </c>
    </row>
    <row r="1541" spans="1:11" x14ac:dyDescent="0.25">
      <c r="A1541" t="s">
        <v>390</v>
      </c>
      <c r="B1541" t="s">
        <v>137</v>
      </c>
      <c r="C1541" t="s">
        <v>66</v>
      </c>
      <c r="D1541" s="3">
        <v>45696</v>
      </c>
      <c r="E1541" t="str">
        <f>VLOOKUP(B1541,'PROCV GERENTES BD'!A:B,2,0)</f>
        <v>PRISCILA METZ</v>
      </c>
      <c r="F1541" s="4" t="str">
        <f t="shared" si="144"/>
        <v>2025-02</v>
      </c>
      <c r="G1541" s="18">
        <f t="shared" si="145"/>
        <v>6</v>
      </c>
      <c r="H1541" t="str">
        <f t="shared" si="146"/>
        <v>PRISCILA METZ</v>
      </c>
      <c r="I1541" t="str">
        <f t="shared" si="147"/>
        <v>VLF IMPERIAL LATICINIOS LTDA ME</v>
      </c>
      <c r="J1541">
        <f t="shared" si="148"/>
        <v>1</v>
      </c>
      <c r="K1541">
        <f t="shared" si="149"/>
        <v>0</v>
      </c>
    </row>
    <row r="1542" spans="1:11" x14ac:dyDescent="0.25">
      <c r="A1542" t="s">
        <v>469</v>
      </c>
      <c r="B1542" t="s">
        <v>226</v>
      </c>
      <c r="C1542" t="s">
        <v>66</v>
      </c>
      <c r="D1542" s="3">
        <v>45696</v>
      </c>
      <c r="E1542" t="str">
        <f>VLOOKUP(B1542,'PROCV GERENTES BD'!A:B,2,0)</f>
        <v>CAIO</v>
      </c>
      <c r="F1542" s="4" t="str">
        <f t="shared" si="144"/>
        <v>2025-02</v>
      </c>
      <c r="G1542" s="18">
        <f t="shared" si="145"/>
        <v>6</v>
      </c>
      <c r="H1542" t="str">
        <f t="shared" si="146"/>
        <v>CAIO</v>
      </c>
      <c r="I1542" t="str">
        <f t="shared" si="147"/>
        <v>S A COMERCIO E INDUSTRIA DE CALCADOS LTDA ME</v>
      </c>
      <c r="J1542">
        <f t="shared" si="148"/>
        <v>1</v>
      </c>
      <c r="K1542">
        <f t="shared" si="149"/>
        <v>0</v>
      </c>
    </row>
    <row r="1543" spans="1:11" x14ac:dyDescent="0.25">
      <c r="A1543" t="s">
        <v>331</v>
      </c>
      <c r="B1543" t="s">
        <v>144</v>
      </c>
      <c r="C1543" t="s">
        <v>50</v>
      </c>
      <c r="D1543" s="3">
        <v>45697</v>
      </c>
      <c r="E1543" t="str">
        <f>VLOOKUP(B1543,'PROCV GERENTES BD'!A:B,2,0)</f>
        <v>ADMINISTRAÇÃO</v>
      </c>
      <c r="F1543" s="4" t="str">
        <f t="shared" si="144"/>
        <v>2025-02</v>
      </c>
      <c r="G1543" s="18">
        <f t="shared" si="145"/>
        <v>7</v>
      </c>
      <c r="H1543" t="str">
        <f t="shared" si="146"/>
        <v>ADMINISTRAÇÃO</v>
      </c>
      <c r="I1543" t="str">
        <f t="shared" si="147"/>
        <v>BOM PASTOR PAPEIS LTDA EM RECUPERACAO JUDICIAL</v>
      </c>
      <c r="J1543">
        <f t="shared" si="148"/>
        <v>0</v>
      </c>
      <c r="K1543">
        <f t="shared" si="149"/>
        <v>1</v>
      </c>
    </row>
    <row r="1544" spans="1:11" x14ac:dyDescent="0.25">
      <c r="A1544" t="s">
        <v>371</v>
      </c>
      <c r="B1544" t="s">
        <v>115</v>
      </c>
      <c r="C1544" t="s">
        <v>50</v>
      </c>
      <c r="D1544" s="3">
        <v>45697</v>
      </c>
      <c r="E1544" t="str">
        <f>VLOOKUP(B1544,'PROCV GERENTES BD'!A:B,2,0)</f>
        <v>ADMINISTRAÇÃO</v>
      </c>
      <c r="F1544" s="4" t="str">
        <f t="shared" si="144"/>
        <v>2025-02</v>
      </c>
      <c r="G1544" s="18">
        <f t="shared" si="145"/>
        <v>7</v>
      </c>
      <c r="H1544" t="str">
        <f t="shared" si="146"/>
        <v>ADMINISTRAÇÃO</v>
      </c>
      <c r="I1544" t="str">
        <f t="shared" si="147"/>
        <v>ESPECIALI INDUSTRIA DE ALIMENTOS LTDA ME</v>
      </c>
      <c r="J1544">
        <f t="shared" si="148"/>
        <v>0</v>
      </c>
      <c r="K1544">
        <f t="shared" si="149"/>
        <v>1</v>
      </c>
    </row>
    <row r="1545" spans="1:11" x14ac:dyDescent="0.25">
      <c r="A1545" t="s">
        <v>381</v>
      </c>
      <c r="B1545" t="s">
        <v>128</v>
      </c>
      <c r="C1545" t="s">
        <v>50</v>
      </c>
      <c r="D1545" s="3">
        <v>45697</v>
      </c>
      <c r="E1545" t="str">
        <f>VLOOKUP(B1545,'PROCV GERENTES BD'!A:B,2,0)</f>
        <v>ADMINISTRAÇÃO</v>
      </c>
      <c r="F1545" s="4" t="str">
        <f t="shared" si="144"/>
        <v>2025-02</v>
      </c>
      <c r="G1545" s="18">
        <f t="shared" si="145"/>
        <v>7</v>
      </c>
      <c r="H1545" t="str">
        <f t="shared" si="146"/>
        <v>ADMINISTRAÇÃO</v>
      </c>
      <c r="I1545" t="str">
        <f t="shared" si="147"/>
        <v>MOLAS ANEL POSTO DE TROCA LTDA EPP</v>
      </c>
      <c r="J1545">
        <f t="shared" si="148"/>
        <v>0</v>
      </c>
      <c r="K1545">
        <f t="shared" si="149"/>
        <v>1</v>
      </c>
    </row>
    <row r="1546" spans="1:11" x14ac:dyDescent="0.25">
      <c r="A1546" t="s">
        <v>372</v>
      </c>
      <c r="B1546" t="s">
        <v>116</v>
      </c>
      <c r="C1546" t="s">
        <v>50</v>
      </c>
      <c r="D1546" s="3">
        <v>45697</v>
      </c>
      <c r="E1546" t="str">
        <f>VLOOKUP(B1546,'PROCV GERENTES BD'!A:B,2,0)</f>
        <v>ADMINISTRAÇÃO</v>
      </c>
      <c r="F1546" s="4" t="str">
        <f t="shared" si="144"/>
        <v>2025-02</v>
      </c>
      <c r="G1546" s="18">
        <f t="shared" si="145"/>
        <v>7</v>
      </c>
      <c r="H1546" t="str">
        <f t="shared" si="146"/>
        <v>ADMINISTRAÇÃO</v>
      </c>
      <c r="I1546" t="str">
        <f t="shared" si="147"/>
        <v>PREMOLDADOS MATOSINHOS LTDA EPP</v>
      </c>
      <c r="J1546">
        <f t="shared" si="148"/>
        <v>0</v>
      </c>
      <c r="K1546">
        <f t="shared" si="149"/>
        <v>1</v>
      </c>
    </row>
    <row r="1547" spans="1:11" x14ac:dyDescent="0.25">
      <c r="A1547" t="s">
        <v>442</v>
      </c>
      <c r="B1547" t="s">
        <v>193</v>
      </c>
      <c r="C1547" t="s">
        <v>327</v>
      </c>
      <c r="D1547" s="3">
        <v>45697</v>
      </c>
      <c r="E1547" t="str">
        <f>VLOOKUP(B1547,'PROCV GERENTES BD'!A:B,2,0)</f>
        <v>CELIO PIMENTA</v>
      </c>
      <c r="F1547" s="4" t="str">
        <f t="shared" si="144"/>
        <v>2025-02</v>
      </c>
      <c r="G1547" s="18">
        <f t="shared" si="145"/>
        <v>7</v>
      </c>
      <c r="H1547" t="str">
        <f t="shared" si="146"/>
        <v>CELIO PIMENTA</v>
      </c>
      <c r="I1547" t="str">
        <f t="shared" si="147"/>
        <v>CIA TEXTIL LTDA ME</v>
      </c>
      <c r="J1547">
        <f t="shared" si="148"/>
        <v>0</v>
      </c>
      <c r="K1547">
        <f t="shared" si="149"/>
        <v>0</v>
      </c>
    </row>
    <row r="1548" spans="1:11" x14ac:dyDescent="0.25">
      <c r="A1548" t="s">
        <v>319</v>
      </c>
      <c r="B1548" t="s">
        <v>80</v>
      </c>
      <c r="C1548" t="s">
        <v>327</v>
      </c>
      <c r="D1548" s="3">
        <v>45697</v>
      </c>
      <c r="E1548" t="str">
        <f>VLOOKUP(B1548,'PROCV GERENTES BD'!A:B,2,0)</f>
        <v>CELIO PIMENTA</v>
      </c>
      <c r="F1548" s="4" t="str">
        <f t="shared" si="144"/>
        <v>2025-02</v>
      </c>
      <c r="G1548" s="18">
        <f t="shared" si="145"/>
        <v>7</v>
      </c>
      <c r="H1548" t="str">
        <f t="shared" si="146"/>
        <v>CELIO PIMENTA</v>
      </c>
      <c r="I1548" t="str">
        <f t="shared" si="147"/>
        <v>IMPORTEXTIL COMERCIO DE TECIDOS LTDA</v>
      </c>
      <c r="J1548">
        <f t="shared" si="148"/>
        <v>0</v>
      </c>
      <c r="K1548">
        <f t="shared" si="149"/>
        <v>0</v>
      </c>
    </row>
    <row r="1549" spans="1:11" x14ac:dyDescent="0.25">
      <c r="A1549" t="s">
        <v>319</v>
      </c>
      <c r="B1549" t="s">
        <v>80</v>
      </c>
      <c r="C1549" t="s">
        <v>329</v>
      </c>
      <c r="D1549" s="3">
        <v>45697</v>
      </c>
      <c r="E1549" t="str">
        <f>VLOOKUP(B1549,'PROCV GERENTES BD'!A:B,2,0)</f>
        <v>CELIO PIMENTA</v>
      </c>
      <c r="F1549" s="4" t="str">
        <f t="shared" si="144"/>
        <v>2025-02</v>
      </c>
      <c r="G1549" s="18">
        <f t="shared" si="145"/>
        <v>7</v>
      </c>
      <c r="H1549" t="str">
        <f t="shared" si="146"/>
        <v>CELIO PIMENTA</v>
      </c>
      <c r="I1549" t="str">
        <f t="shared" si="147"/>
        <v>IMPORTEXTIL COMERCIO DE TECIDOS LTDA</v>
      </c>
      <c r="J1549">
        <f t="shared" si="148"/>
        <v>0</v>
      </c>
      <c r="K1549">
        <f t="shared" si="149"/>
        <v>0</v>
      </c>
    </row>
    <row r="1550" spans="1:11" x14ac:dyDescent="0.25">
      <c r="A1550" t="s">
        <v>319</v>
      </c>
      <c r="B1550" t="s">
        <v>80</v>
      </c>
      <c r="C1550" t="s">
        <v>50</v>
      </c>
      <c r="D1550" s="3">
        <v>45697</v>
      </c>
      <c r="E1550" t="str">
        <f>VLOOKUP(B1550,'PROCV GERENTES BD'!A:B,2,0)</f>
        <v>CELIO PIMENTA</v>
      </c>
      <c r="F1550" s="4" t="str">
        <f t="shared" si="144"/>
        <v>2025-02</v>
      </c>
      <c r="G1550" s="18">
        <f t="shared" si="145"/>
        <v>7</v>
      </c>
      <c r="H1550" t="str">
        <f t="shared" si="146"/>
        <v>CELIO PIMENTA</v>
      </c>
      <c r="I1550" t="str">
        <f t="shared" si="147"/>
        <v>IMPORTEXTIL COMERCIO DE TECIDOS LTDA</v>
      </c>
      <c r="J1550">
        <f t="shared" si="148"/>
        <v>0</v>
      </c>
      <c r="K1550">
        <f t="shared" si="149"/>
        <v>1</v>
      </c>
    </row>
    <row r="1551" spans="1:11" x14ac:dyDescent="0.25">
      <c r="A1551" t="s">
        <v>311</v>
      </c>
      <c r="B1551" t="s">
        <v>81</v>
      </c>
      <c r="C1551" t="s">
        <v>50</v>
      </c>
      <c r="D1551" s="3">
        <v>45697</v>
      </c>
      <c r="E1551" t="str">
        <f>VLOOKUP(B1551,'PROCV GERENTES BD'!A:B,2,0)</f>
        <v>CELIO PIMENTA</v>
      </c>
      <c r="F1551" s="4" t="str">
        <f t="shared" si="144"/>
        <v>2025-02</v>
      </c>
      <c r="G1551" s="18">
        <f t="shared" si="145"/>
        <v>7</v>
      </c>
      <c r="H1551" t="str">
        <f t="shared" si="146"/>
        <v>CELIO PIMENTA</v>
      </c>
      <c r="I1551" t="str">
        <f t="shared" si="147"/>
        <v>MBIOLOG DIAGNOSTICOS LTDA</v>
      </c>
      <c r="J1551">
        <f t="shared" si="148"/>
        <v>0</v>
      </c>
      <c r="K1551">
        <f t="shared" si="149"/>
        <v>1</v>
      </c>
    </row>
    <row r="1552" spans="1:11" x14ac:dyDescent="0.25">
      <c r="A1552" t="s">
        <v>54</v>
      </c>
      <c r="B1552" t="s">
        <v>55</v>
      </c>
      <c r="C1552" t="s">
        <v>50</v>
      </c>
      <c r="D1552" s="3">
        <v>45697</v>
      </c>
      <c r="E1552" t="str">
        <f>VLOOKUP(B1552,'PROCV GERENTES BD'!A:B,2,0)</f>
        <v>CELIO PIMENTA</v>
      </c>
      <c r="F1552" s="4" t="str">
        <f t="shared" si="144"/>
        <v>2025-02</v>
      </c>
      <c r="G1552" s="18">
        <f t="shared" si="145"/>
        <v>7</v>
      </c>
      <c r="H1552" t="str">
        <f t="shared" si="146"/>
        <v>CELIO PIMENTA</v>
      </c>
      <c r="I1552" t="str">
        <f t="shared" si="147"/>
        <v>WJ CALDEIRARIA INDUSTRIA E COMERCIO LTDA ME</v>
      </c>
      <c r="J1552">
        <f t="shared" si="148"/>
        <v>0</v>
      </c>
      <c r="K1552">
        <f t="shared" si="149"/>
        <v>1</v>
      </c>
    </row>
    <row r="1553" spans="1:11" x14ac:dyDescent="0.25">
      <c r="A1553" t="s">
        <v>443</v>
      </c>
      <c r="B1553" t="s">
        <v>194</v>
      </c>
      <c r="C1553" t="s">
        <v>50</v>
      </c>
      <c r="D1553" s="3">
        <v>45697</v>
      </c>
      <c r="E1553" t="str">
        <f>VLOOKUP(B1553,'PROCV GERENTES BD'!A:B,2,0)</f>
        <v>PROSPECTAR</v>
      </c>
      <c r="F1553" s="4" t="str">
        <f t="shared" si="144"/>
        <v>2025-02</v>
      </c>
      <c r="G1553" s="18">
        <f t="shared" si="145"/>
        <v>7</v>
      </c>
      <c r="H1553" t="str">
        <f t="shared" si="146"/>
        <v>PROSPECTAR</v>
      </c>
      <c r="I1553" t="str">
        <f t="shared" si="147"/>
        <v>ALPLAST ATACADISTA E APOIO ADMINISTRATIVO LTDA EPP</v>
      </c>
      <c r="J1553">
        <f t="shared" si="148"/>
        <v>0</v>
      </c>
      <c r="K1553">
        <f t="shared" si="149"/>
        <v>1</v>
      </c>
    </row>
    <row r="1554" spans="1:11" x14ac:dyDescent="0.25">
      <c r="A1554" t="s">
        <v>324</v>
      </c>
      <c r="B1554" t="s">
        <v>119</v>
      </c>
      <c r="C1554" t="s">
        <v>66</v>
      </c>
      <c r="D1554" s="3">
        <v>45697</v>
      </c>
      <c r="E1554" t="str">
        <f>VLOOKUP(B1554,'PROCV GERENTES BD'!A:B,2,0)</f>
        <v>PROSPECTAR</v>
      </c>
      <c r="F1554" s="4" t="str">
        <f t="shared" si="144"/>
        <v>2025-02</v>
      </c>
      <c r="G1554" s="18">
        <f t="shared" si="145"/>
        <v>7</v>
      </c>
      <c r="H1554" t="str">
        <f t="shared" si="146"/>
        <v>PROSPECTAR</v>
      </c>
      <c r="I1554" t="str">
        <f t="shared" si="147"/>
        <v>TRANSHENRY TRANSPORTES LTDA</v>
      </c>
      <c r="J1554">
        <f t="shared" si="148"/>
        <v>1</v>
      </c>
      <c r="K1554">
        <f t="shared" si="149"/>
        <v>0</v>
      </c>
    </row>
    <row r="1555" spans="1:11" x14ac:dyDescent="0.25">
      <c r="A1555" t="s">
        <v>323</v>
      </c>
      <c r="B1555" t="s">
        <v>109</v>
      </c>
      <c r="C1555" t="s">
        <v>50</v>
      </c>
      <c r="D1555" s="3">
        <v>45697</v>
      </c>
      <c r="E1555" t="str">
        <f>VLOOKUP(B1555,'PROCV GERENTES BD'!A:B,2,0)</f>
        <v>PROSPECTAR</v>
      </c>
      <c r="F1555" s="4" t="str">
        <f t="shared" si="144"/>
        <v>2025-02</v>
      </c>
      <c r="G1555" s="18">
        <f t="shared" si="145"/>
        <v>7</v>
      </c>
      <c r="H1555" t="str">
        <f t="shared" si="146"/>
        <v>PROSPECTAR</v>
      </c>
      <c r="I1555" t="str">
        <f t="shared" si="147"/>
        <v>SIAP COMERCIO DE PRODUTOS AGROPECUARIOS LTDA</v>
      </c>
      <c r="J1555">
        <f t="shared" si="148"/>
        <v>0</v>
      </c>
      <c r="K1555">
        <f t="shared" si="149"/>
        <v>1</v>
      </c>
    </row>
    <row r="1556" spans="1:11" x14ac:dyDescent="0.25">
      <c r="A1556" t="s">
        <v>318</v>
      </c>
      <c r="B1556" t="s">
        <v>203</v>
      </c>
      <c r="C1556" t="s">
        <v>66</v>
      </c>
      <c r="D1556" s="3">
        <v>45697</v>
      </c>
      <c r="E1556" t="str">
        <f>VLOOKUP(B1556,'PROCV GERENTES BD'!A:B,2,0)</f>
        <v>JOSE ROBERTO</v>
      </c>
      <c r="F1556" s="4" t="str">
        <f t="shared" si="144"/>
        <v>2025-02</v>
      </c>
      <c r="G1556" s="18">
        <f t="shared" si="145"/>
        <v>7</v>
      </c>
      <c r="H1556" t="str">
        <f t="shared" si="146"/>
        <v>JOSE ROBERTO</v>
      </c>
      <c r="I1556" t="str">
        <f t="shared" si="147"/>
        <v>FUNDACAO DE ENSINO E PESQUISA DO SUL DE MINAS FEPE</v>
      </c>
      <c r="J1556">
        <f t="shared" si="148"/>
        <v>1</v>
      </c>
      <c r="K1556">
        <f t="shared" si="149"/>
        <v>0</v>
      </c>
    </row>
    <row r="1557" spans="1:11" x14ac:dyDescent="0.25">
      <c r="A1557" t="s">
        <v>395</v>
      </c>
      <c r="B1557" t="s">
        <v>145</v>
      </c>
      <c r="C1557" t="s">
        <v>66</v>
      </c>
      <c r="D1557" s="3">
        <v>45697</v>
      </c>
      <c r="E1557" t="str">
        <f>VLOOKUP(B1557,'PROCV GERENTES BD'!A:B,2,0)</f>
        <v>MARCIO LEONEL</v>
      </c>
      <c r="F1557" s="4" t="str">
        <f t="shared" si="144"/>
        <v>2025-02</v>
      </c>
      <c r="G1557" s="18">
        <f t="shared" si="145"/>
        <v>7</v>
      </c>
      <c r="H1557" t="str">
        <f t="shared" si="146"/>
        <v>MARCIO LEONEL</v>
      </c>
      <c r="I1557" t="str">
        <f t="shared" si="147"/>
        <v>MEDICAL PRIME IMP EXPORT DISTRIB PRODUTOS MEDICOS</v>
      </c>
      <c r="J1557">
        <f t="shared" si="148"/>
        <v>1</v>
      </c>
      <c r="K1557">
        <f t="shared" si="149"/>
        <v>0</v>
      </c>
    </row>
    <row r="1558" spans="1:11" x14ac:dyDescent="0.25">
      <c r="A1558" t="s">
        <v>428</v>
      </c>
      <c r="B1558" t="s">
        <v>179</v>
      </c>
      <c r="C1558" t="s">
        <v>50</v>
      </c>
      <c r="D1558" s="3">
        <v>45697</v>
      </c>
      <c r="E1558" t="str">
        <f>VLOOKUP(B1558,'PROCV GERENTES BD'!A:B,2,0)</f>
        <v xml:space="preserve">MARCUS VINICIUS </v>
      </c>
      <c r="F1558" s="4" t="str">
        <f t="shared" si="144"/>
        <v>2025-02</v>
      </c>
      <c r="G1558" s="18">
        <f t="shared" si="145"/>
        <v>7</v>
      </c>
      <c r="H1558" t="str">
        <f t="shared" si="146"/>
        <v xml:space="preserve">MARCUS VINICIUS </v>
      </c>
      <c r="I1558" t="str">
        <f t="shared" si="147"/>
        <v>LABOR ELETRIC INDUSTRIA E COMERCIO UNIPESSOAL LTDA</v>
      </c>
      <c r="J1558">
        <f t="shared" si="148"/>
        <v>0</v>
      </c>
      <c r="K1558">
        <f t="shared" si="149"/>
        <v>1</v>
      </c>
    </row>
    <row r="1559" spans="1:11" x14ac:dyDescent="0.25">
      <c r="A1559" t="s">
        <v>384</v>
      </c>
      <c r="B1559" t="s">
        <v>131</v>
      </c>
      <c r="C1559" t="s">
        <v>50</v>
      </c>
      <c r="D1559" s="3">
        <v>45697</v>
      </c>
      <c r="E1559" t="str">
        <f>VLOOKUP(B1559,'PROCV GERENTES BD'!A:B,2,0)</f>
        <v xml:space="preserve">MARCUS VINICIUS </v>
      </c>
      <c r="F1559" s="4" t="str">
        <f t="shared" si="144"/>
        <v>2025-02</v>
      </c>
      <c r="G1559" s="18">
        <f t="shared" si="145"/>
        <v>7</v>
      </c>
      <c r="H1559" t="str">
        <f t="shared" si="146"/>
        <v xml:space="preserve">MARCUS VINICIUS </v>
      </c>
      <c r="I1559" t="str">
        <f t="shared" si="147"/>
        <v>PALMILHADO INDUSTRIA E COMERCIO LTDA</v>
      </c>
      <c r="J1559">
        <f t="shared" si="148"/>
        <v>0</v>
      </c>
      <c r="K1559">
        <f t="shared" si="149"/>
        <v>1</v>
      </c>
    </row>
    <row r="1560" spans="1:11" x14ac:dyDescent="0.25">
      <c r="A1560" t="s">
        <v>418</v>
      </c>
      <c r="B1560" t="s">
        <v>168</v>
      </c>
      <c r="C1560" t="s">
        <v>50</v>
      </c>
      <c r="D1560" s="3">
        <v>45697</v>
      </c>
      <c r="E1560" t="str">
        <f>VLOOKUP(B1560,'PROCV GERENTES BD'!A:B,2,0)</f>
        <v>ADMINISTRAÇÃO</v>
      </c>
      <c r="F1560" s="4" t="str">
        <f t="shared" si="144"/>
        <v>2025-02</v>
      </c>
      <c r="G1560" s="18">
        <f t="shared" si="145"/>
        <v>7</v>
      </c>
      <c r="H1560" t="str">
        <f t="shared" si="146"/>
        <v>ADMINISTRAÇÃO</v>
      </c>
      <c r="I1560" t="str">
        <f t="shared" si="147"/>
        <v>MAAT COMERCIO DE VESTUARIO LTDA EPP</v>
      </c>
      <c r="J1560">
        <f t="shared" si="148"/>
        <v>0</v>
      </c>
      <c r="K1560">
        <f t="shared" si="149"/>
        <v>1</v>
      </c>
    </row>
    <row r="1561" spans="1:11" x14ac:dyDescent="0.25">
      <c r="A1561" t="s">
        <v>419</v>
      </c>
      <c r="B1561" t="s">
        <v>199</v>
      </c>
      <c r="C1561" t="s">
        <v>50</v>
      </c>
      <c r="D1561" s="3">
        <v>45697</v>
      </c>
      <c r="E1561" t="str">
        <f>VLOOKUP(B1561,'PROCV GERENTES BD'!A:B,2,0)</f>
        <v>NOELI SALETE</v>
      </c>
      <c r="F1561" s="4" t="str">
        <f t="shared" si="144"/>
        <v>2025-02</v>
      </c>
      <c r="G1561" s="18">
        <f t="shared" si="145"/>
        <v>7</v>
      </c>
      <c r="H1561" t="str">
        <f t="shared" si="146"/>
        <v>NOELI SALETE</v>
      </c>
      <c r="I1561" t="str">
        <f t="shared" si="147"/>
        <v>GLOBAL ACO SERV PRODUTOS SIDERURGICOS LTDA RECUPER</v>
      </c>
      <c r="J1561">
        <f t="shared" si="148"/>
        <v>0</v>
      </c>
      <c r="K1561">
        <f t="shared" si="149"/>
        <v>1</v>
      </c>
    </row>
    <row r="1562" spans="1:11" x14ac:dyDescent="0.25">
      <c r="A1562" t="s">
        <v>389</v>
      </c>
      <c r="B1562" t="s">
        <v>136</v>
      </c>
      <c r="C1562" t="s">
        <v>66</v>
      </c>
      <c r="D1562" s="3">
        <v>45697</v>
      </c>
      <c r="E1562" t="str">
        <f>VLOOKUP(B1562,'PROCV GERENTES BD'!A:B,2,0)</f>
        <v>POENATELA</v>
      </c>
      <c r="F1562" s="4" t="str">
        <f t="shared" si="144"/>
        <v>2025-02</v>
      </c>
      <c r="G1562" s="18">
        <f t="shared" si="145"/>
        <v>7</v>
      </c>
      <c r="H1562" t="str">
        <f t="shared" si="146"/>
        <v>POENATELA</v>
      </c>
      <c r="I1562" t="str">
        <f t="shared" si="147"/>
        <v>CONQUISTA INDUSTRIA DE MOVEIS S/A</v>
      </c>
      <c r="J1562">
        <f t="shared" si="148"/>
        <v>1</v>
      </c>
      <c r="K1562">
        <f t="shared" si="149"/>
        <v>0</v>
      </c>
    </row>
    <row r="1563" spans="1:11" x14ac:dyDescent="0.25">
      <c r="A1563" t="s">
        <v>475</v>
      </c>
      <c r="B1563" t="s">
        <v>232</v>
      </c>
      <c r="C1563" t="s">
        <v>327</v>
      </c>
      <c r="D1563" s="3">
        <v>45697</v>
      </c>
      <c r="E1563" t="str">
        <f>VLOOKUP(B1563,'PROCV GERENTES BD'!A:B,2,0)</f>
        <v>POENATELA</v>
      </c>
      <c r="F1563" s="4" t="str">
        <f t="shared" si="144"/>
        <v>2025-02</v>
      </c>
      <c r="G1563" s="18">
        <f t="shared" si="145"/>
        <v>7</v>
      </c>
      <c r="H1563" t="str">
        <f t="shared" si="146"/>
        <v>POENATELA</v>
      </c>
      <c r="I1563" t="str">
        <f t="shared" si="147"/>
        <v>JUATUBA MOVEIS E EMBALAGENS LTDA</v>
      </c>
      <c r="J1563">
        <f t="shared" si="148"/>
        <v>0</v>
      </c>
      <c r="K1563">
        <f t="shared" si="149"/>
        <v>0</v>
      </c>
    </row>
    <row r="1564" spans="1:11" x14ac:dyDescent="0.25">
      <c r="A1564" t="s">
        <v>420</v>
      </c>
      <c r="B1564" t="s">
        <v>170</v>
      </c>
      <c r="C1564" t="s">
        <v>66</v>
      </c>
      <c r="D1564" s="3">
        <v>45697</v>
      </c>
      <c r="E1564" t="str">
        <f>VLOOKUP(B1564,'PROCV GERENTES BD'!A:B,2,0)</f>
        <v>POENATELA</v>
      </c>
      <c r="F1564" s="4" t="str">
        <f t="shared" si="144"/>
        <v>2025-02</v>
      </c>
      <c r="G1564" s="18">
        <f t="shared" si="145"/>
        <v>7</v>
      </c>
      <c r="H1564" t="str">
        <f t="shared" si="146"/>
        <v>POENATELA</v>
      </c>
      <c r="I1564" t="str">
        <f t="shared" si="147"/>
        <v>SAVIXX COMERCIO INTERNACIONAL S/A</v>
      </c>
      <c r="J1564">
        <f t="shared" si="148"/>
        <v>1</v>
      </c>
      <c r="K1564">
        <f t="shared" si="149"/>
        <v>0</v>
      </c>
    </row>
    <row r="1565" spans="1:11" x14ac:dyDescent="0.25">
      <c r="A1565" t="s">
        <v>470</v>
      </c>
      <c r="B1565" t="s">
        <v>227</v>
      </c>
      <c r="C1565" t="s">
        <v>66</v>
      </c>
      <c r="D1565" s="3">
        <v>45697</v>
      </c>
      <c r="E1565" t="str">
        <f>VLOOKUP(B1565,'PROCV GERENTES BD'!A:B,2,0)</f>
        <v>POENATELA</v>
      </c>
      <c r="F1565" s="4" t="str">
        <f t="shared" si="144"/>
        <v>2025-02</v>
      </c>
      <c r="G1565" s="18">
        <f t="shared" si="145"/>
        <v>7</v>
      </c>
      <c r="H1565" t="str">
        <f t="shared" si="146"/>
        <v>POENATELA</v>
      </c>
      <c r="I1565" t="str">
        <f t="shared" si="147"/>
        <v>SH METALIZACOES LTDA EPP</v>
      </c>
      <c r="J1565">
        <f t="shared" si="148"/>
        <v>1</v>
      </c>
      <c r="K1565">
        <f t="shared" si="149"/>
        <v>0</v>
      </c>
    </row>
    <row r="1566" spans="1:11" x14ac:dyDescent="0.25">
      <c r="A1566" t="s">
        <v>452</v>
      </c>
      <c r="B1566" t="s">
        <v>209</v>
      </c>
      <c r="C1566" t="s">
        <v>50</v>
      </c>
      <c r="D1566" s="3">
        <v>45697</v>
      </c>
      <c r="E1566" t="str">
        <f>VLOOKUP(B1566,'PROCV GERENTES BD'!A:B,2,0)</f>
        <v>PRISCILA METZ</v>
      </c>
      <c r="F1566" s="4" t="str">
        <f t="shared" si="144"/>
        <v>2025-02</v>
      </c>
      <c r="G1566" s="18">
        <f t="shared" si="145"/>
        <v>7</v>
      </c>
      <c r="H1566" t="str">
        <f t="shared" si="146"/>
        <v>PRISCILA METZ</v>
      </c>
      <c r="I1566" t="str">
        <f t="shared" si="147"/>
        <v>D M RODRIGUES LTDA ME</v>
      </c>
      <c r="J1566">
        <f t="shared" si="148"/>
        <v>0</v>
      </c>
      <c r="K1566">
        <f t="shared" si="149"/>
        <v>1</v>
      </c>
    </row>
    <row r="1567" spans="1:11" x14ac:dyDescent="0.25">
      <c r="A1567" t="s">
        <v>476</v>
      </c>
      <c r="B1567" t="s">
        <v>233</v>
      </c>
      <c r="C1567" t="s">
        <v>66</v>
      </c>
      <c r="D1567" s="3">
        <v>45697</v>
      </c>
      <c r="E1567" t="str">
        <f>VLOOKUP(B1567,'PROCV GERENTES BD'!A:B,2,0)</f>
        <v>PRISCILA METZ</v>
      </c>
      <c r="F1567" s="4" t="str">
        <f t="shared" si="144"/>
        <v>2025-02</v>
      </c>
      <c r="G1567" s="18">
        <f t="shared" si="145"/>
        <v>7</v>
      </c>
      <c r="H1567" t="str">
        <f t="shared" si="146"/>
        <v>PRISCILA METZ</v>
      </c>
      <c r="I1567" t="str">
        <f t="shared" si="147"/>
        <v>TERRAPLAST INDUSTRIA E COMERCIO DE EQUIPAMENTOS DE</v>
      </c>
      <c r="J1567">
        <f t="shared" si="148"/>
        <v>1</v>
      </c>
      <c r="K1567">
        <f t="shared" si="149"/>
        <v>0</v>
      </c>
    </row>
    <row r="1568" spans="1:11" x14ac:dyDescent="0.25">
      <c r="A1568" t="s">
        <v>434</v>
      </c>
      <c r="B1568" t="s">
        <v>185</v>
      </c>
      <c r="C1568" t="s">
        <v>53</v>
      </c>
      <c r="D1568" s="3">
        <v>45697</v>
      </c>
      <c r="E1568" t="str">
        <f>VLOOKUP(B1568,'PROCV GERENTES BD'!A:B,2,0)</f>
        <v>RAFAEL PARISE</v>
      </c>
      <c r="F1568" s="4" t="str">
        <f t="shared" si="144"/>
        <v>2025-02</v>
      </c>
      <c r="G1568" s="18">
        <f t="shared" si="145"/>
        <v>7</v>
      </c>
      <c r="H1568" t="str">
        <f t="shared" si="146"/>
        <v>RAFAEL PARISE</v>
      </c>
      <c r="I1568" t="str">
        <f t="shared" si="147"/>
        <v>MARCAS COMERCIO LTDA ME</v>
      </c>
      <c r="J1568">
        <f t="shared" si="148"/>
        <v>1</v>
      </c>
      <c r="K1568">
        <f t="shared" si="149"/>
        <v>1</v>
      </c>
    </row>
    <row r="1569" spans="1:11" x14ac:dyDescent="0.25">
      <c r="A1569" t="s">
        <v>326</v>
      </c>
      <c r="B1569" t="s">
        <v>122</v>
      </c>
      <c r="C1569" t="s">
        <v>50</v>
      </c>
      <c r="D1569" s="3">
        <v>45697</v>
      </c>
      <c r="E1569" t="s">
        <v>21</v>
      </c>
      <c r="F1569" s="4" t="str">
        <f t="shared" si="144"/>
        <v>2025-02</v>
      </c>
      <c r="G1569" s="18">
        <f t="shared" si="145"/>
        <v>7</v>
      </c>
      <c r="H1569" t="str">
        <f t="shared" si="146"/>
        <v xml:space="preserve">ROGERIO </v>
      </c>
      <c r="I1569" t="str">
        <f t="shared" si="147"/>
        <v>BIBE PRODUTOS INFANTIS LTDA</v>
      </c>
      <c r="J1569">
        <f t="shared" si="148"/>
        <v>0</v>
      </c>
      <c r="K1569">
        <f t="shared" si="149"/>
        <v>1</v>
      </c>
    </row>
    <row r="1570" spans="1:11" x14ac:dyDescent="0.25">
      <c r="A1570" t="s">
        <v>461</v>
      </c>
      <c r="B1570" t="s">
        <v>218</v>
      </c>
      <c r="C1570" t="s">
        <v>66</v>
      </c>
      <c r="D1570" s="3">
        <v>45697</v>
      </c>
      <c r="E1570" t="str">
        <f>VLOOKUP(B1570,'PROCV GERENTES BD'!A:B,2,0)</f>
        <v>SACADO</v>
      </c>
      <c r="F1570" s="4" t="str">
        <f t="shared" si="144"/>
        <v>2025-02</v>
      </c>
      <c r="G1570" s="18">
        <f t="shared" si="145"/>
        <v>7</v>
      </c>
      <c r="H1570" t="str">
        <f t="shared" si="146"/>
        <v>SACADO</v>
      </c>
      <c r="I1570" t="str">
        <f t="shared" si="147"/>
        <v>KUARA COMERCIAL E EXPORTADORA DE FRUTAS LTDA</v>
      </c>
      <c r="J1570">
        <f t="shared" si="148"/>
        <v>1</v>
      </c>
      <c r="K1570">
        <f t="shared" si="149"/>
        <v>0</v>
      </c>
    </row>
    <row r="1571" spans="1:11" x14ac:dyDescent="0.25">
      <c r="A1571" t="s">
        <v>314</v>
      </c>
      <c r="B1571" t="s">
        <v>98</v>
      </c>
      <c r="C1571" t="s">
        <v>50</v>
      </c>
      <c r="D1571" s="3">
        <v>45697</v>
      </c>
      <c r="E1571" t="str">
        <f>VLOOKUP(B1571,'PROCV GERENTES BD'!A:B,2,0)</f>
        <v xml:space="preserve">ROGERIO </v>
      </c>
      <c r="F1571" s="4" t="str">
        <f t="shared" si="144"/>
        <v>2025-02</v>
      </c>
      <c r="G1571" s="18">
        <f t="shared" si="145"/>
        <v>7</v>
      </c>
      <c r="H1571" t="str">
        <f t="shared" si="146"/>
        <v xml:space="preserve">ROGERIO </v>
      </c>
      <c r="I1571" t="str">
        <f t="shared" si="147"/>
        <v>MUTCD CENTRO DISTRIBUICAO IND FABRICANTE COSMETICO</v>
      </c>
      <c r="J1571">
        <f t="shared" si="148"/>
        <v>0</v>
      </c>
      <c r="K1571">
        <f t="shared" si="149"/>
        <v>1</v>
      </c>
    </row>
    <row r="1572" spans="1:11" x14ac:dyDescent="0.25">
      <c r="A1572" t="s">
        <v>466</v>
      </c>
      <c r="B1572" t="s">
        <v>223</v>
      </c>
      <c r="C1572" t="s">
        <v>66</v>
      </c>
      <c r="D1572" s="6">
        <v>45737</v>
      </c>
      <c r="E1572" t="s">
        <v>7</v>
      </c>
      <c r="F1572" s="4" t="str">
        <f t="shared" si="144"/>
        <v>2025-03</v>
      </c>
      <c r="G1572" s="18">
        <f t="shared" si="145"/>
        <v>12</v>
      </c>
      <c r="H1572" t="str">
        <f t="shared" si="146"/>
        <v>CELIO PIMENTA</v>
      </c>
      <c r="I1572" t="str">
        <f t="shared" si="147"/>
        <v>ACO X LTDA ME</v>
      </c>
      <c r="J1572">
        <f t="shared" si="148"/>
        <v>1</v>
      </c>
      <c r="K1572">
        <f t="shared" si="149"/>
        <v>0</v>
      </c>
    </row>
    <row r="1573" spans="1:11" x14ac:dyDescent="0.25">
      <c r="A1573" t="s">
        <v>319</v>
      </c>
      <c r="B1573" t="s">
        <v>80</v>
      </c>
      <c r="C1573" t="s">
        <v>50</v>
      </c>
      <c r="D1573" s="6">
        <v>45737</v>
      </c>
      <c r="E1573" t="s">
        <v>7</v>
      </c>
      <c r="F1573" s="4" t="str">
        <f t="shared" si="144"/>
        <v>2025-03</v>
      </c>
      <c r="G1573" s="18">
        <f t="shared" si="145"/>
        <v>12</v>
      </c>
      <c r="H1573" t="str">
        <f t="shared" si="146"/>
        <v>CELIO PIMENTA</v>
      </c>
      <c r="I1573" t="str">
        <f t="shared" si="147"/>
        <v>IMPORTEXTIL COMERCIO DE TECIDOS LTDA</v>
      </c>
      <c r="J1573">
        <f t="shared" si="148"/>
        <v>0</v>
      </c>
      <c r="K1573">
        <f t="shared" si="149"/>
        <v>1</v>
      </c>
    </row>
    <row r="1574" spans="1:11" x14ac:dyDescent="0.25">
      <c r="A1574" t="s">
        <v>450</v>
      </c>
      <c r="B1574" t="s">
        <v>207</v>
      </c>
      <c r="C1574" t="s">
        <v>50</v>
      </c>
      <c r="D1574" s="6">
        <v>45737</v>
      </c>
      <c r="E1574" t="s">
        <v>7</v>
      </c>
      <c r="F1574" s="4" t="str">
        <f t="shared" si="144"/>
        <v>2025-03</v>
      </c>
      <c r="G1574" s="18">
        <f t="shared" si="145"/>
        <v>12</v>
      </c>
      <c r="H1574" t="str">
        <f t="shared" si="146"/>
        <v>CELIO PIMENTA</v>
      </c>
      <c r="I1574" t="str">
        <f t="shared" si="147"/>
        <v>LIDER COMERCIO DE UNIFORMES E EPI S LTDA ME</v>
      </c>
      <c r="J1574">
        <f t="shared" si="148"/>
        <v>0</v>
      </c>
      <c r="K1574">
        <f t="shared" si="149"/>
        <v>1</v>
      </c>
    </row>
    <row r="1575" spans="1:11" x14ac:dyDescent="0.25">
      <c r="A1575" t="s">
        <v>54</v>
      </c>
      <c r="B1575" t="s">
        <v>55</v>
      </c>
      <c r="C1575" t="s">
        <v>50</v>
      </c>
      <c r="D1575" s="6">
        <v>45737</v>
      </c>
      <c r="E1575" t="s">
        <v>7</v>
      </c>
      <c r="F1575" s="4" t="str">
        <f t="shared" si="144"/>
        <v>2025-03</v>
      </c>
      <c r="G1575" s="18">
        <f t="shared" si="145"/>
        <v>12</v>
      </c>
      <c r="H1575" t="str">
        <f t="shared" si="146"/>
        <v>CELIO PIMENTA</v>
      </c>
      <c r="I1575" t="str">
        <f t="shared" si="147"/>
        <v>WJ CALDEIRARIA INDUSTRIA E COMERCIO LTDA ME</v>
      </c>
      <c r="J1575">
        <f t="shared" si="148"/>
        <v>0</v>
      </c>
      <c r="K1575">
        <f t="shared" si="149"/>
        <v>1</v>
      </c>
    </row>
    <row r="1576" spans="1:11" x14ac:dyDescent="0.25">
      <c r="A1576" t="s">
        <v>477</v>
      </c>
      <c r="B1576" t="s">
        <v>234</v>
      </c>
      <c r="C1576" t="s">
        <v>66</v>
      </c>
      <c r="D1576" s="6">
        <v>45737</v>
      </c>
      <c r="E1576" t="s">
        <v>35</v>
      </c>
      <c r="F1576" s="4" t="str">
        <f t="shared" si="144"/>
        <v>2025-03</v>
      </c>
      <c r="G1576" s="18">
        <f t="shared" si="145"/>
        <v>12</v>
      </c>
      <c r="H1576" t="str">
        <f t="shared" si="146"/>
        <v>EDUARDO MATOSO</v>
      </c>
      <c r="I1576" t="str">
        <f t="shared" si="147"/>
        <v>FUMEF FUNDICAO E MECANICA DE FERROS LTDA</v>
      </c>
      <c r="J1576">
        <f t="shared" si="148"/>
        <v>1</v>
      </c>
      <c r="K1576">
        <f t="shared" si="149"/>
        <v>0</v>
      </c>
    </row>
    <row r="1577" spans="1:11" x14ac:dyDescent="0.25">
      <c r="A1577" t="s">
        <v>410</v>
      </c>
      <c r="B1577" t="s">
        <v>160</v>
      </c>
      <c r="C1577" t="s">
        <v>50</v>
      </c>
      <c r="D1577" s="6">
        <v>45737</v>
      </c>
      <c r="E1577" t="s">
        <v>9</v>
      </c>
      <c r="F1577" s="4" t="str">
        <f t="shared" si="144"/>
        <v>2025-03</v>
      </c>
      <c r="G1577" s="18">
        <f t="shared" si="145"/>
        <v>12</v>
      </c>
      <c r="H1577" t="str">
        <f t="shared" si="146"/>
        <v>FITZ</v>
      </c>
      <c r="I1577" t="str">
        <f t="shared" si="147"/>
        <v>ESCUDO ADMINISTRACAO E SERVICOS LTDA EM RECUPERACA</v>
      </c>
      <c r="J1577">
        <f t="shared" si="148"/>
        <v>0</v>
      </c>
      <c r="K1577">
        <f t="shared" si="149"/>
        <v>1</v>
      </c>
    </row>
    <row r="1578" spans="1:11" x14ac:dyDescent="0.25">
      <c r="A1578" t="s">
        <v>411</v>
      </c>
      <c r="B1578" t="s">
        <v>161</v>
      </c>
      <c r="C1578" t="s">
        <v>50</v>
      </c>
      <c r="D1578" s="6">
        <v>45737</v>
      </c>
      <c r="E1578" t="s">
        <v>9</v>
      </c>
      <c r="F1578" s="4" t="str">
        <f t="shared" si="144"/>
        <v>2025-03</v>
      </c>
      <c r="G1578" s="18">
        <f t="shared" si="145"/>
        <v>12</v>
      </c>
      <c r="H1578" t="str">
        <f t="shared" si="146"/>
        <v>FITZ</v>
      </c>
      <c r="I1578" t="str">
        <f t="shared" si="147"/>
        <v>ESCUDO VIGILANCIA E SEGURANCA LTDA EM RECUPERACAO</v>
      </c>
      <c r="J1578">
        <f t="shared" si="148"/>
        <v>0</v>
      </c>
      <c r="K1578">
        <f t="shared" si="149"/>
        <v>1</v>
      </c>
    </row>
    <row r="1579" spans="1:11" x14ac:dyDescent="0.25">
      <c r="A1579" t="s">
        <v>402</v>
      </c>
      <c r="B1579" t="s">
        <v>152</v>
      </c>
      <c r="C1579" t="s">
        <v>50</v>
      </c>
      <c r="D1579" s="6">
        <v>45737</v>
      </c>
      <c r="E1579" t="s">
        <v>9</v>
      </c>
      <c r="F1579" s="4" t="str">
        <f t="shared" si="144"/>
        <v>2025-03</v>
      </c>
      <c r="G1579" s="18">
        <f t="shared" si="145"/>
        <v>12</v>
      </c>
      <c r="H1579" t="str">
        <f t="shared" si="146"/>
        <v>FITZ</v>
      </c>
      <c r="I1579" t="str">
        <f t="shared" si="147"/>
        <v>MOINHO DE TRIGO JM LTDA</v>
      </c>
      <c r="J1579">
        <f t="shared" si="148"/>
        <v>0</v>
      </c>
      <c r="K1579">
        <f t="shared" si="149"/>
        <v>1</v>
      </c>
    </row>
    <row r="1580" spans="1:11" x14ac:dyDescent="0.25">
      <c r="A1580" t="s">
        <v>412</v>
      </c>
      <c r="B1580" t="s">
        <v>162</v>
      </c>
      <c r="C1580" t="s">
        <v>50</v>
      </c>
      <c r="D1580" s="6">
        <v>45737</v>
      </c>
      <c r="E1580" t="s">
        <v>9</v>
      </c>
      <c r="F1580" s="4" t="str">
        <f t="shared" si="144"/>
        <v>2025-03</v>
      </c>
      <c r="G1580" s="18">
        <f t="shared" si="145"/>
        <v>12</v>
      </c>
      <c r="H1580" t="str">
        <f t="shared" si="146"/>
        <v>FITZ</v>
      </c>
      <c r="I1580" t="str">
        <f t="shared" si="147"/>
        <v>MORIA PRESTACAO DE SERVICOS LTDA ME</v>
      </c>
      <c r="J1580">
        <f t="shared" si="148"/>
        <v>0</v>
      </c>
      <c r="K1580">
        <f t="shared" si="149"/>
        <v>1</v>
      </c>
    </row>
    <row r="1581" spans="1:11" x14ac:dyDescent="0.25">
      <c r="A1581" t="s">
        <v>478</v>
      </c>
      <c r="B1581" t="s">
        <v>235</v>
      </c>
      <c r="C1581" t="s">
        <v>50</v>
      </c>
      <c r="D1581" s="6">
        <v>45737</v>
      </c>
      <c r="E1581" t="s">
        <v>9</v>
      </c>
      <c r="F1581" s="4" t="str">
        <f t="shared" si="144"/>
        <v>2025-03</v>
      </c>
      <c r="G1581" s="18">
        <f t="shared" si="145"/>
        <v>12</v>
      </c>
      <c r="H1581" t="str">
        <f t="shared" si="146"/>
        <v>FITZ</v>
      </c>
      <c r="I1581" t="str">
        <f t="shared" si="147"/>
        <v>NUTRIENS FERTIL LTDA ME</v>
      </c>
      <c r="J1581">
        <f t="shared" si="148"/>
        <v>0</v>
      </c>
      <c r="K1581">
        <f t="shared" si="149"/>
        <v>1</v>
      </c>
    </row>
    <row r="1582" spans="1:11" x14ac:dyDescent="0.25">
      <c r="A1582" t="s">
        <v>479</v>
      </c>
      <c r="B1582" t="s">
        <v>236</v>
      </c>
      <c r="C1582" t="s">
        <v>50</v>
      </c>
      <c r="D1582" s="6">
        <v>45737</v>
      </c>
      <c r="E1582" t="s">
        <v>9</v>
      </c>
      <c r="F1582" s="4" t="str">
        <f t="shared" si="144"/>
        <v>2025-03</v>
      </c>
      <c r="G1582" s="18">
        <f t="shared" si="145"/>
        <v>12</v>
      </c>
      <c r="H1582" t="str">
        <f t="shared" si="146"/>
        <v>FITZ</v>
      </c>
      <c r="I1582" t="str">
        <f t="shared" si="147"/>
        <v>ONFARM BRASIL LTDA ME</v>
      </c>
      <c r="J1582">
        <f t="shared" si="148"/>
        <v>0</v>
      </c>
      <c r="K1582">
        <f t="shared" si="149"/>
        <v>1</v>
      </c>
    </row>
    <row r="1583" spans="1:11" x14ac:dyDescent="0.25">
      <c r="A1583" t="s">
        <v>395</v>
      </c>
      <c r="B1583" t="s">
        <v>145</v>
      </c>
      <c r="C1583" t="s">
        <v>50</v>
      </c>
      <c r="D1583" s="6">
        <v>45737</v>
      </c>
      <c r="E1583" t="s">
        <v>12</v>
      </c>
      <c r="F1583" s="4" t="str">
        <f t="shared" si="144"/>
        <v>2025-03</v>
      </c>
      <c r="G1583" s="18">
        <f t="shared" si="145"/>
        <v>12</v>
      </c>
      <c r="H1583" t="str">
        <f t="shared" si="146"/>
        <v>MARCIO LEONEL</v>
      </c>
      <c r="I1583" t="str">
        <f t="shared" si="147"/>
        <v>MEDICAL PRIME IMP EXPORT DISTRIB PRODUTOS MEDICOS</v>
      </c>
      <c r="J1583">
        <f t="shared" si="148"/>
        <v>0</v>
      </c>
      <c r="K1583">
        <f t="shared" si="149"/>
        <v>1</v>
      </c>
    </row>
    <row r="1584" spans="1:11" x14ac:dyDescent="0.25">
      <c r="A1584" t="s">
        <v>60</v>
      </c>
      <c r="B1584" t="s">
        <v>61</v>
      </c>
      <c r="C1584" t="s">
        <v>50</v>
      </c>
      <c r="D1584" s="6">
        <v>45737</v>
      </c>
      <c r="E1584" t="s">
        <v>13</v>
      </c>
      <c r="F1584" s="4" t="str">
        <f t="shared" si="144"/>
        <v>2025-03</v>
      </c>
      <c r="G1584" s="18">
        <f t="shared" si="145"/>
        <v>12</v>
      </c>
      <c r="H1584" t="str">
        <f t="shared" si="146"/>
        <v xml:space="preserve">MARCUS VINICIUS </v>
      </c>
      <c r="I1584" t="str">
        <f t="shared" si="147"/>
        <v>COM IND DE CEREAIS E TRANSPORTES MACIEL LTDA</v>
      </c>
      <c r="J1584">
        <f t="shared" si="148"/>
        <v>0</v>
      </c>
      <c r="K1584">
        <f t="shared" si="149"/>
        <v>1</v>
      </c>
    </row>
    <row r="1585" spans="1:11" x14ac:dyDescent="0.25">
      <c r="A1585" t="s">
        <v>307</v>
      </c>
      <c r="B1585" t="s">
        <v>102</v>
      </c>
      <c r="C1585" t="s">
        <v>66</v>
      </c>
      <c r="D1585" s="6">
        <v>45737</v>
      </c>
      <c r="E1585" t="s">
        <v>16</v>
      </c>
      <c r="F1585" s="4" t="str">
        <f t="shared" si="144"/>
        <v>2025-03</v>
      </c>
      <c r="G1585" s="18">
        <f t="shared" si="145"/>
        <v>12</v>
      </c>
      <c r="H1585" t="str">
        <f t="shared" si="146"/>
        <v>POENATELA</v>
      </c>
      <c r="I1585" t="str">
        <f t="shared" si="147"/>
        <v>ECOPINUS INDUSTRIA E COMERCIO DE EMBALAGENS DE MAD</v>
      </c>
      <c r="J1585">
        <f t="shared" si="148"/>
        <v>1</v>
      </c>
      <c r="K1585">
        <f t="shared" si="149"/>
        <v>0</v>
      </c>
    </row>
    <row r="1586" spans="1:11" x14ac:dyDescent="0.25">
      <c r="A1586" t="s">
        <v>475</v>
      </c>
      <c r="B1586" t="s">
        <v>232</v>
      </c>
      <c r="C1586" t="s">
        <v>66</v>
      </c>
      <c r="D1586" s="6">
        <v>45737</v>
      </c>
      <c r="E1586" t="s">
        <v>16</v>
      </c>
      <c r="F1586" s="4" t="str">
        <f t="shared" si="144"/>
        <v>2025-03</v>
      </c>
      <c r="G1586" s="18">
        <f t="shared" si="145"/>
        <v>12</v>
      </c>
      <c r="H1586" t="str">
        <f t="shared" si="146"/>
        <v>POENATELA</v>
      </c>
      <c r="I1586" t="str">
        <f t="shared" si="147"/>
        <v>JUATUBA MOVEIS E EMBALAGENS LTDA</v>
      </c>
      <c r="J1586">
        <f t="shared" si="148"/>
        <v>1</v>
      </c>
      <c r="K1586">
        <f t="shared" si="149"/>
        <v>0</v>
      </c>
    </row>
    <row r="1587" spans="1:11" x14ac:dyDescent="0.25">
      <c r="A1587" t="s">
        <v>480</v>
      </c>
      <c r="B1587" t="s">
        <v>237</v>
      </c>
      <c r="C1587" t="s">
        <v>66</v>
      </c>
      <c r="D1587" s="6">
        <v>45737</v>
      </c>
      <c r="E1587" t="s">
        <v>16</v>
      </c>
      <c r="F1587" s="4" t="str">
        <f t="shared" si="144"/>
        <v>2025-03</v>
      </c>
      <c r="G1587" s="18">
        <f t="shared" si="145"/>
        <v>12</v>
      </c>
      <c r="H1587" t="str">
        <f t="shared" si="146"/>
        <v>POENATELA</v>
      </c>
      <c r="I1587" t="str">
        <f t="shared" si="147"/>
        <v>PARANAIBA FERTILIZANTES IND E COM LTDA EM RECUPERA</v>
      </c>
      <c r="J1587">
        <f t="shared" si="148"/>
        <v>1</v>
      </c>
      <c r="K1587">
        <f t="shared" si="149"/>
        <v>0</v>
      </c>
    </row>
    <row r="1588" spans="1:11" x14ac:dyDescent="0.25">
      <c r="A1588" t="s">
        <v>353</v>
      </c>
      <c r="B1588" t="s">
        <v>97</v>
      </c>
      <c r="C1588" t="s">
        <v>50</v>
      </c>
      <c r="D1588" s="6">
        <v>45737</v>
      </c>
      <c r="E1588" t="s">
        <v>17</v>
      </c>
      <c r="F1588" s="4" t="str">
        <f t="shared" si="144"/>
        <v>2025-03</v>
      </c>
      <c r="G1588" s="18">
        <f t="shared" si="145"/>
        <v>12</v>
      </c>
      <c r="H1588" t="str">
        <f t="shared" si="146"/>
        <v>PRISCILA METZ</v>
      </c>
      <c r="I1588" t="str">
        <f t="shared" si="147"/>
        <v>ESSENZA INDUSTRIA QUIMICA LTDA</v>
      </c>
      <c r="J1588">
        <f t="shared" si="148"/>
        <v>0</v>
      </c>
      <c r="K1588">
        <f t="shared" si="149"/>
        <v>1</v>
      </c>
    </row>
    <row r="1589" spans="1:11" x14ac:dyDescent="0.25">
      <c r="A1589" t="s">
        <v>481</v>
      </c>
      <c r="B1589" t="s">
        <v>238</v>
      </c>
      <c r="C1589" t="s">
        <v>66</v>
      </c>
      <c r="D1589" s="6">
        <v>45737</v>
      </c>
      <c r="E1589" t="s">
        <v>18</v>
      </c>
      <c r="F1589" s="4" t="str">
        <f t="shared" si="144"/>
        <v>2025-03</v>
      </c>
      <c r="G1589" s="18">
        <f t="shared" si="145"/>
        <v>12</v>
      </c>
      <c r="H1589" t="str">
        <f t="shared" si="146"/>
        <v>RAFAEL PARISE</v>
      </c>
      <c r="I1589" t="str">
        <f t="shared" si="147"/>
        <v>IVA LOCACOES E CONSTRUCOES LTDA EPP</v>
      </c>
      <c r="J1589">
        <f t="shared" si="148"/>
        <v>1</v>
      </c>
      <c r="K1589">
        <f t="shared" si="149"/>
        <v>0</v>
      </c>
    </row>
    <row r="1590" spans="1:11" x14ac:dyDescent="0.25">
      <c r="A1590" t="s">
        <v>482</v>
      </c>
      <c r="B1590" t="s">
        <v>239</v>
      </c>
      <c r="C1590" t="s">
        <v>50</v>
      </c>
      <c r="D1590" s="6">
        <v>45737</v>
      </c>
      <c r="E1590" t="s">
        <v>18</v>
      </c>
      <c r="F1590" s="4" t="str">
        <f t="shared" si="144"/>
        <v>2025-03</v>
      </c>
      <c r="G1590" s="18">
        <f t="shared" si="145"/>
        <v>12</v>
      </c>
      <c r="H1590" t="str">
        <f t="shared" si="146"/>
        <v>RAFAEL PARISE</v>
      </c>
      <c r="I1590" t="str">
        <f t="shared" si="147"/>
        <v>RENOVAR AGRICOLA LTDA</v>
      </c>
      <c r="J1590">
        <f t="shared" si="148"/>
        <v>0</v>
      </c>
      <c r="K1590">
        <f t="shared" si="149"/>
        <v>1</v>
      </c>
    </row>
    <row r="1591" spans="1:11" x14ac:dyDescent="0.25">
      <c r="A1591" t="s">
        <v>76</v>
      </c>
      <c r="B1591" t="s">
        <v>77</v>
      </c>
      <c r="C1591" t="s">
        <v>50</v>
      </c>
      <c r="D1591" s="6">
        <v>45737</v>
      </c>
      <c r="E1591" t="s">
        <v>18</v>
      </c>
      <c r="F1591" s="4" t="str">
        <f t="shared" si="144"/>
        <v>2025-03</v>
      </c>
      <c r="G1591" s="18">
        <f t="shared" si="145"/>
        <v>12</v>
      </c>
      <c r="H1591" t="str">
        <f t="shared" si="146"/>
        <v>RAFAEL PARISE</v>
      </c>
      <c r="I1591" t="str">
        <f t="shared" si="147"/>
        <v>UNITA AUTO PECAS LTDA EPP</v>
      </c>
      <c r="J1591">
        <f t="shared" si="148"/>
        <v>0</v>
      </c>
      <c r="K1591">
        <f t="shared" si="149"/>
        <v>1</v>
      </c>
    </row>
    <row r="1592" spans="1:11" x14ac:dyDescent="0.25">
      <c r="A1592" t="s">
        <v>67</v>
      </c>
      <c r="B1592" t="s">
        <v>68</v>
      </c>
      <c r="C1592" t="s">
        <v>50</v>
      </c>
      <c r="D1592" s="6">
        <v>45737</v>
      </c>
      <c r="E1592" t="s">
        <v>21</v>
      </c>
      <c r="F1592" s="4" t="str">
        <f t="shared" si="144"/>
        <v>2025-03</v>
      </c>
      <c r="G1592" s="18">
        <f t="shared" si="145"/>
        <v>12</v>
      </c>
      <c r="H1592" t="str">
        <f t="shared" si="146"/>
        <v xml:space="preserve">ROGERIO </v>
      </c>
      <c r="I1592" t="str">
        <f t="shared" si="147"/>
        <v>DIOTTONI INDUSTRIA E COMERCIO DE ALIMENTOS LTDA ME</v>
      </c>
      <c r="J1592">
        <f t="shared" si="148"/>
        <v>0</v>
      </c>
      <c r="K1592">
        <f t="shared" si="149"/>
        <v>1</v>
      </c>
    </row>
    <row r="1593" spans="1:11" x14ac:dyDescent="0.25">
      <c r="A1593" t="s">
        <v>474</v>
      </c>
      <c r="B1593" t="s">
        <v>231</v>
      </c>
      <c r="C1593" t="s">
        <v>50</v>
      </c>
      <c r="D1593" s="6">
        <v>45737</v>
      </c>
      <c r="E1593" t="s">
        <v>19</v>
      </c>
      <c r="F1593" s="4" t="str">
        <f t="shared" si="144"/>
        <v>2025-03</v>
      </c>
      <c r="G1593" s="18">
        <f t="shared" si="145"/>
        <v>12</v>
      </c>
      <c r="H1593" t="str">
        <f t="shared" si="146"/>
        <v>SEM GERENTE</v>
      </c>
      <c r="I1593" t="str">
        <f t="shared" si="147"/>
        <v>GRAFICA ROMANA LTDA ME</v>
      </c>
      <c r="J1593">
        <f t="shared" si="148"/>
        <v>0</v>
      </c>
      <c r="K1593">
        <f t="shared" si="149"/>
        <v>1</v>
      </c>
    </row>
    <row r="1594" spans="1:11" x14ac:dyDescent="0.25">
      <c r="A1594" t="s">
        <v>426</v>
      </c>
      <c r="B1594" t="s">
        <v>177</v>
      </c>
      <c r="C1594" t="s">
        <v>50</v>
      </c>
      <c r="D1594" s="6">
        <v>45737</v>
      </c>
      <c r="E1594" t="str">
        <f>VLOOKUP(B1594,'PROCV GERENTES BD'!A:B,2,0)</f>
        <v>WHELKYA IRIS</v>
      </c>
      <c r="F1594" s="4" t="str">
        <f t="shared" si="144"/>
        <v>2025-03</v>
      </c>
      <c r="G1594" s="18">
        <f t="shared" si="145"/>
        <v>12</v>
      </c>
      <c r="H1594" t="str">
        <f t="shared" si="146"/>
        <v>WHELKYA IRIS</v>
      </c>
      <c r="I1594" t="str">
        <f t="shared" si="147"/>
        <v>JFIX INDUSTRIA QUIMICA LTDA ME</v>
      </c>
      <c r="J1594">
        <f t="shared" si="148"/>
        <v>0</v>
      </c>
      <c r="K1594">
        <f t="shared" si="149"/>
        <v>1</v>
      </c>
    </row>
    <row r="1595" spans="1:11" x14ac:dyDescent="0.25">
      <c r="A1595" t="s">
        <v>331</v>
      </c>
      <c r="B1595" t="s">
        <v>144</v>
      </c>
      <c r="C1595" t="s">
        <v>66</v>
      </c>
      <c r="D1595" s="6">
        <v>45738</v>
      </c>
      <c r="E1595" t="str">
        <f>VLOOKUP(B1595,'PROCV GERENTES BD'!A:B,2,0)</f>
        <v>ADMINISTRAÇÃO</v>
      </c>
      <c r="F1595" s="4" t="str">
        <f t="shared" si="144"/>
        <v>2025-03</v>
      </c>
      <c r="G1595" s="18">
        <f t="shared" si="145"/>
        <v>12</v>
      </c>
      <c r="H1595" t="str">
        <f t="shared" si="146"/>
        <v>ADMINISTRAÇÃO</v>
      </c>
      <c r="I1595" t="str">
        <f t="shared" si="147"/>
        <v>BOM PASTOR PAPEIS LTDA EM RECUPERACAO JUDICIAL</v>
      </c>
      <c r="J1595">
        <f t="shared" si="148"/>
        <v>1</v>
      </c>
      <c r="K1595">
        <f t="shared" si="149"/>
        <v>0</v>
      </c>
    </row>
    <row r="1596" spans="1:11" x14ac:dyDescent="0.25">
      <c r="A1596" t="s">
        <v>319</v>
      </c>
      <c r="B1596" t="s">
        <v>80</v>
      </c>
      <c r="C1596" t="s">
        <v>50</v>
      </c>
      <c r="D1596" s="6">
        <v>45738</v>
      </c>
      <c r="E1596" t="s">
        <v>7</v>
      </c>
      <c r="F1596" s="4" t="str">
        <f t="shared" si="144"/>
        <v>2025-03</v>
      </c>
      <c r="G1596" s="18">
        <f t="shared" si="145"/>
        <v>12</v>
      </c>
      <c r="H1596" t="str">
        <f t="shared" si="146"/>
        <v>CELIO PIMENTA</v>
      </c>
      <c r="I1596" t="str">
        <f t="shared" si="147"/>
        <v>IMPORTEXTIL COMERCIO DE TECIDOS LTDA</v>
      </c>
      <c r="J1596">
        <f t="shared" si="148"/>
        <v>0</v>
      </c>
      <c r="K1596">
        <f t="shared" si="149"/>
        <v>1</v>
      </c>
    </row>
    <row r="1597" spans="1:11" x14ac:dyDescent="0.25">
      <c r="A1597" t="s">
        <v>450</v>
      </c>
      <c r="B1597" t="s">
        <v>207</v>
      </c>
      <c r="C1597" t="s">
        <v>50</v>
      </c>
      <c r="D1597" s="6">
        <v>45738</v>
      </c>
      <c r="E1597" t="s">
        <v>7</v>
      </c>
      <c r="F1597" s="4" t="str">
        <f t="shared" si="144"/>
        <v>2025-03</v>
      </c>
      <c r="G1597" s="18">
        <f t="shared" si="145"/>
        <v>12</v>
      </c>
      <c r="H1597" t="str">
        <f t="shared" si="146"/>
        <v>CELIO PIMENTA</v>
      </c>
      <c r="I1597" t="str">
        <f t="shared" si="147"/>
        <v>LIDER COMERCIO DE UNIFORMES E EPI S LTDA ME</v>
      </c>
      <c r="J1597">
        <f t="shared" si="148"/>
        <v>0</v>
      </c>
      <c r="K1597">
        <f t="shared" si="149"/>
        <v>1</v>
      </c>
    </row>
    <row r="1598" spans="1:11" x14ac:dyDescent="0.25">
      <c r="A1598" t="s">
        <v>467</v>
      </c>
      <c r="B1598" t="s">
        <v>224</v>
      </c>
      <c r="C1598" t="s">
        <v>50</v>
      </c>
      <c r="D1598" s="6">
        <v>45738</v>
      </c>
      <c r="E1598" t="s">
        <v>8</v>
      </c>
      <c r="F1598" s="4" t="str">
        <f t="shared" si="144"/>
        <v>2025-03</v>
      </c>
      <c r="G1598" s="18">
        <f t="shared" si="145"/>
        <v>12</v>
      </c>
      <c r="H1598" t="str">
        <f t="shared" si="146"/>
        <v>DIOGO AZEVEDO</v>
      </c>
      <c r="I1598" t="str">
        <f t="shared" si="147"/>
        <v>VGS COMERCIO DE EMBALAGENS DE MADEIRAS LTDA ME</v>
      </c>
      <c r="J1598">
        <f t="shared" si="148"/>
        <v>0</v>
      </c>
      <c r="K1598">
        <f t="shared" si="149"/>
        <v>1</v>
      </c>
    </row>
    <row r="1599" spans="1:11" x14ac:dyDescent="0.25">
      <c r="A1599" t="s">
        <v>443</v>
      </c>
      <c r="B1599" t="s">
        <v>194</v>
      </c>
      <c r="C1599" t="s">
        <v>66</v>
      </c>
      <c r="D1599" s="6">
        <v>45738</v>
      </c>
      <c r="E1599" t="s">
        <v>9</v>
      </c>
      <c r="F1599" s="4" t="str">
        <f t="shared" si="144"/>
        <v>2025-03</v>
      </c>
      <c r="G1599" s="18">
        <f t="shared" si="145"/>
        <v>12</v>
      </c>
      <c r="H1599" t="str">
        <f t="shared" si="146"/>
        <v>FITZ</v>
      </c>
      <c r="I1599" t="str">
        <f t="shared" si="147"/>
        <v>ALPLAST ATACADISTA E APOIO ADMINISTRATIVO LTDA EPP</v>
      </c>
      <c r="J1599">
        <f t="shared" si="148"/>
        <v>1</v>
      </c>
      <c r="K1599">
        <f t="shared" si="149"/>
        <v>0</v>
      </c>
    </row>
    <row r="1600" spans="1:11" x14ac:dyDescent="0.25">
      <c r="A1600" t="s">
        <v>62</v>
      </c>
      <c r="B1600" t="s">
        <v>63</v>
      </c>
      <c r="C1600" t="s">
        <v>50</v>
      </c>
      <c r="D1600" s="6">
        <v>45738</v>
      </c>
      <c r="E1600" t="s">
        <v>9</v>
      </c>
      <c r="F1600" s="4" t="str">
        <f t="shared" si="144"/>
        <v>2025-03</v>
      </c>
      <c r="G1600" s="18">
        <f t="shared" si="145"/>
        <v>12</v>
      </c>
      <c r="H1600" t="str">
        <f t="shared" si="146"/>
        <v>FITZ</v>
      </c>
      <c r="I1600" t="str">
        <f t="shared" si="147"/>
        <v>MAPP COM IMPORTACAO EXPORTACAO IND PRODUTOS ALIMEN</v>
      </c>
      <c r="J1600">
        <f t="shared" si="148"/>
        <v>0</v>
      </c>
      <c r="K1600">
        <f t="shared" si="149"/>
        <v>1</v>
      </c>
    </row>
    <row r="1601" spans="1:11" x14ac:dyDescent="0.25">
      <c r="A1601" t="s">
        <v>395</v>
      </c>
      <c r="B1601" t="s">
        <v>145</v>
      </c>
      <c r="C1601" t="s">
        <v>50</v>
      </c>
      <c r="D1601" s="6">
        <v>45738</v>
      </c>
      <c r="E1601" t="s">
        <v>12</v>
      </c>
      <c r="F1601" s="4" t="str">
        <f t="shared" si="144"/>
        <v>2025-03</v>
      </c>
      <c r="G1601" s="18">
        <f t="shared" si="145"/>
        <v>12</v>
      </c>
      <c r="H1601" t="str">
        <f t="shared" si="146"/>
        <v>MARCIO LEONEL</v>
      </c>
      <c r="I1601" t="str">
        <f t="shared" si="147"/>
        <v>MEDICAL PRIME IMP EXPORT DISTRIB PRODUTOS MEDICOS</v>
      </c>
      <c r="J1601">
        <f t="shared" si="148"/>
        <v>0</v>
      </c>
      <c r="K1601">
        <f t="shared" si="149"/>
        <v>1</v>
      </c>
    </row>
    <row r="1602" spans="1:11" x14ac:dyDescent="0.25">
      <c r="A1602" t="s">
        <v>428</v>
      </c>
      <c r="B1602" t="s">
        <v>179</v>
      </c>
      <c r="C1602" t="s">
        <v>50</v>
      </c>
      <c r="D1602" s="6">
        <v>45738</v>
      </c>
      <c r="E1602" t="s">
        <v>13</v>
      </c>
      <c r="F1602" s="4" t="str">
        <f t="shared" ref="F1602:F1665" si="150">YEAR(D1602)&amp;"-"&amp;TEXT(MONTH(D1602),"00")</f>
        <v>2025-03</v>
      </c>
      <c r="G1602" s="18">
        <f t="shared" ref="G1602:G1665" si="151">WEEKNUM(D1602)</f>
        <v>12</v>
      </c>
      <c r="H1602" t="str">
        <f t="shared" ref="H1602:H1665" si="152">E1602</f>
        <v xml:space="preserve">MARCUS VINICIUS </v>
      </c>
      <c r="I1602" t="str">
        <f t="shared" ref="I1602:I1665" si="153">B1602</f>
        <v>LABOR ELETRIC INDUSTRIA E COMERCIO UNIPESSOAL LTDA</v>
      </c>
      <c r="J1602">
        <f t="shared" ref="J1602:J1665" si="154">IF(OR(C1602="EXCLUSAO  ANOT.INADIMPLENCIA",C1602="INCL/EXCL ANOT.INADIMPLENCIA"),1,0)</f>
        <v>0</v>
      </c>
      <c r="K1602">
        <f t="shared" ref="K1602:K1665" si="155">IF(OR(C1602="INCLUSAO  ANOT.INADIMPLENCIA",C1602="INCL/EXCL ANOT.INADIMPLENCIA"),1,0)</f>
        <v>1</v>
      </c>
    </row>
    <row r="1603" spans="1:11" x14ac:dyDescent="0.25">
      <c r="A1603" t="s">
        <v>396</v>
      </c>
      <c r="B1603" t="s">
        <v>146</v>
      </c>
      <c r="C1603" t="s">
        <v>66</v>
      </c>
      <c r="D1603" s="6">
        <v>45738</v>
      </c>
      <c r="E1603" t="s">
        <v>13</v>
      </c>
      <c r="F1603" s="4" t="str">
        <f t="shared" si="150"/>
        <v>2025-03</v>
      </c>
      <c r="G1603" s="18">
        <f t="shared" si="151"/>
        <v>12</v>
      </c>
      <c r="H1603" t="str">
        <f t="shared" si="152"/>
        <v xml:space="preserve">MARCUS VINICIUS </v>
      </c>
      <c r="I1603" t="str">
        <f t="shared" si="153"/>
        <v>OLINDA IMPORTACAO E COMERCIO LTDA</v>
      </c>
      <c r="J1603">
        <f t="shared" si="154"/>
        <v>1</v>
      </c>
      <c r="K1603">
        <f t="shared" si="155"/>
        <v>0</v>
      </c>
    </row>
    <row r="1604" spans="1:11" x14ac:dyDescent="0.25">
      <c r="A1604" t="s">
        <v>375</v>
      </c>
      <c r="B1604" t="s">
        <v>120</v>
      </c>
      <c r="C1604" t="s">
        <v>66</v>
      </c>
      <c r="D1604" s="6">
        <v>45738</v>
      </c>
      <c r="E1604" t="s">
        <v>14</v>
      </c>
      <c r="F1604" s="4" t="str">
        <f t="shared" si="150"/>
        <v>2025-03</v>
      </c>
      <c r="G1604" s="18">
        <f t="shared" si="151"/>
        <v>12</v>
      </c>
      <c r="H1604" t="str">
        <f t="shared" si="152"/>
        <v>NATALIA NUBIA</v>
      </c>
      <c r="I1604" t="str">
        <f t="shared" si="153"/>
        <v>FARINELLI NUTRIMENTOS LTDA</v>
      </c>
      <c r="J1604">
        <f t="shared" si="154"/>
        <v>1</v>
      </c>
      <c r="K1604">
        <f t="shared" si="155"/>
        <v>0</v>
      </c>
    </row>
    <row r="1605" spans="1:11" x14ac:dyDescent="0.25">
      <c r="A1605" t="s">
        <v>418</v>
      </c>
      <c r="B1605" t="s">
        <v>168</v>
      </c>
      <c r="C1605" t="s">
        <v>50</v>
      </c>
      <c r="D1605" s="6">
        <v>45738</v>
      </c>
      <c r="E1605" t="s">
        <v>14</v>
      </c>
      <c r="F1605" s="4" t="str">
        <f t="shared" si="150"/>
        <v>2025-03</v>
      </c>
      <c r="G1605" s="18">
        <f t="shared" si="151"/>
        <v>12</v>
      </c>
      <c r="H1605" t="str">
        <f t="shared" si="152"/>
        <v>NATALIA NUBIA</v>
      </c>
      <c r="I1605" t="str">
        <f t="shared" si="153"/>
        <v>MAAT COMERCIO DE VESTUARIO LTDA EPP</v>
      </c>
      <c r="J1605">
        <f t="shared" si="154"/>
        <v>0</v>
      </c>
      <c r="K1605">
        <f t="shared" si="155"/>
        <v>1</v>
      </c>
    </row>
    <row r="1606" spans="1:11" x14ac:dyDescent="0.25">
      <c r="A1606" t="s">
        <v>438</v>
      </c>
      <c r="B1606" t="s">
        <v>189</v>
      </c>
      <c r="C1606" t="s">
        <v>50</v>
      </c>
      <c r="D1606" s="6">
        <v>45738</v>
      </c>
      <c r="E1606" t="s">
        <v>15</v>
      </c>
      <c r="F1606" s="4" t="str">
        <f t="shared" si="150"/>
        <v>2025-03</v>
      </c>
      <c r="G1606" s="18">
        <f t="shared" si="151"/>
        <v>12</v>
      </c>
      <c r="H1606" t="str">
        <f t="shared" si="152"/>
        <v>NOELI SALETE</v>
      </c>
      <c r="I1606" t="str">
        <f t="shared" si="153"/>
        <v>AGRO INDUSTRIAL LAZZERI LTDA</v>
      </c>
      <c r="J1606">
        <f t="shared" si="154"/>
        <v>0</v>
      </c>
      <c r="K1606">
        <f t="shared" si="155"/>
        <v>1</v>
      </c>
    </row>
    <row r="1607" spans="1:11" x14ac:dyDescent="0.25">
      <c r="A1607" t="s">
        <v>407</v>
      </c>
      <c r="B1607" t="s">
        <v>157</v>
      </c>
      <c r="C1607" t="s">
        <v>50</v>
      </c>
      <c r="D1607" s="6">
        <v>45738</v>
      </c>
      <c r="E1607" t="s">
        <v>36</v>
      </c>
      <c r="F1607" s="4" t="str">
        <f t="shared" si="150"/>
        <v>2025-03</v>
      </c>
      <c r="G1607" s="18">
        <f t="shared" si="151"/>
        <v>12</v>
      </c>
      <c r="H1607" t="str">
        <f t="shared" si="152"/>
        <v xml:space="preserve">NOELI SALETE </v>
      </c>
      <c r="I1607" t="str">
        <f t="shared" si="153"/>
        <v>SGAMAQ INOVACAO AGROINDUSTRIAL LTDA</v>
      </c>
      <c r="J1607">
        <f t="shared" si="154"/>
        <v>0</v>
      </c>
      <c r="K1607">
        <f t="shared" si="155"/>
        <v>1</v>
      </c>
    </row>
    <row r="1608" spans="1:11" x14ac:dyDescent="0.25">
      <c r="A1608" t="s">
        <v>389</v>
      </c>
      <c r="B1608" t="s">
        <v>136</v>
      </c>
      <c r="C1608" t="s">
        <v>66</v>
      </c>
      <c r="D1608" s="6">
        <v>45738</v>
      </c>
      <c r="E1608" t="s">
        <v>16</v>
      </c>
      <c r="F1608" s="4" t="str">
        <f t="shared" si="150"/>
        <v>2025-03</v>
      </c>
      <c r="G1608" s="18">
        <f t="shared" si="151"/>
        <v>12</v>
      </c>
      <c r="H1608" t="str">
        <f t="shared" si="152"/>
        <v>POENATELA</v>
      </c>
      <c r="I1608" t="str">
        <f t="shared" si="153"/>
        <v>CONQUISTA INDUSTRIA DE MOVEIS S/A</v>
      </c>
      <c r="J1608">
        <f t="shared" si="154"/>
        <v>1</v>
      </c>
      <c r="K1608">
        <f t="shared" si="155"/>
        <v>0</v>
      </c>
    </row>
    <row r="1609" spans="1:11" x14ac:dyDescent="0.25">
      <c r="A1609" t="s">
        <v>483</v>
      </c>
      <c r="B1609" t="s">
        <v>240</v>
      </c>
      <c r="C1609" t="s">
        <v>50</v>
      </c>
      <c r="D1609" s="6">
        <v>45738</v>
      </c>
      <c r="E1609" t="s">
        <v>17</v>
      </c>
      <c r="F1609" s="4" t="str">
        <f t="shared" si="150"/>
        <v>2025-03</v>
      </c>
      <c r="G1609" s="18">
        <f t="shared" si="151"/>
        <v>12</v>
      </c>
      <c r="H1609" t="str">
        <f t="shared" si="152"/>
        <v>PRISCILA METZ</v>
      </c>
      <c r="I1609" t="str">
        <f t="shared" si="153"/>
        <v>A 8 ENGENHARIA LTDA ME</v>
      </c>
      <c r="J1609">
        <f t="shared" si="154"/>
        <v>0</v>
      </c>
      <c r="K1609">
        <f t="shared" si="155"/>
        <v>1</v>
      </c>
    </row>
    <row r="1610" spans="1:11" x14ac:dyDescent="0.25">
      <c r="A1610" t="s">
        <v>326</v>
      </c>
      <c r="B1610" t="s">
        <v>122</v>
      </c>
      <c r="C1610" t="s">
        <v>50</v>
      </c>
      <c r="D1610" s="6">
        <v>45738</v>
      </c>
      <c r="E1610" t="s">
        <v>21</v>
      </c>
      <c r="F1610" s="4" t="str">
        <f t="shared" si="150"/>
        <v>2025-03</v>
      </c>
      <c r="G1610" s="18">
        <f t="shared" si="151"/>
        <v>12</v>
      </c>
      <c r="H1610" t="str">
        <f t="shared" si="152"/>
        <v xml:space="preserve">ROGERIO </v>
      </c>
      <c r="I1610" t="str">
        <f t="shared" si="153"/>
        <v>BIBE PRODUTOS INFANTIS LTDA</v>
      </c>
      <c r="J1610">
        <f t="shared" si="154"/>
        <v>0</v>
      </c>
      <c r="K1610">
        <f t="shared" si="155"/>
        <v>1</v>
      </c>
    </row>
    <row r="1611" spans="1:11" x14ac:dyDescent="0.25">
      <c r="A1611" t="s">
        <v>331</v>
      </c>
      <c r="B1611" t="s">
        <v>144</v>
      </c>
      <c r="C1611" t="s">
        <v>50</v>
      </c>
      <c r="D1611" s="6">
        <v>45741</v>
      </c>
      <c r="E1611" t="str">
        <f>VLOOKUP(B1611,'PROCV GERENTES BD'!A:B,2,0)</f>
        <v>ADMINISTRAÇÃO</v>
      </c>
      <c r="F1611" s="4" t="str">
        <f t="shared" si="150"/>
        <v>2025-03</v>
      </c>
      <c r="G1611" s="18">
        <f t="shared" si="151"/>
        <v>13</v>
      </c>
      <c r="H1611" t="str">
        <f t="shared" si="152"/>
        <v>ADMINISTRAÇÃO</v>
      </c>
      <c r="I1611" t="str">
        <f t="shared" si="153"/>
        <v>BOM PASTOR PAPEIS LTDA EM RECUPERACAO JUDICIAL</v>
      </c>
      <c r="J1611">
        <f t="shared" si="154"/>
        <v>0</v>
      </c>
      <c r="K1611">
        <f t="shared" si="155"/>
        <v>1</v>
      </c>
    </row>
    <row r="1612" spans="1:11" x14ac:dyDescent="0.25">
      <c r="A1612" t="s">
        <v>484</v>
      </c>
      <c r="B1612" t="s">
        <v>241</v>
      </c>
      <c r="C1612" t="s">
        <v>50</v>
      </c>
      <c r="D1612" s="6">
        <v>45741</v>
      </c>
      <c r="E1612" t="str">
        <f>VLOOKUP(B1612,'PROCV GERENTES BD'!A:B,2,0)</f>
        <v>ADMINISTRAÇÃO</v>
      </c>
      <c r="F1612" s="4" t="str">
        <f t="shared" si="150"/>
        <v>2025-03</v>
      </c>
      <c r="G1612" s="18">
        <f t="shared" si="151"/>
        <v>13</v>
      </c>
      <c r="H1612" t="str">
        <f t="shared" si="152"/>
        <v>ADMINISTRAÇÃO</v>
      </c>
      <c r="I1612" t="str">
        <f t="shared" si="153"/>
        <v>REAL FILTROS E ACESSORIOS AUTOMOTIVOS LTDA EPP</v>
      </c>
      <c r="J1612">
        <f t="shared" si="154"/>
        <v>0</v>
      </c>
      <c r="K1612">
        <f t="shared" si="155"/>
        <v>1</v>
      </c>
    </row>
    <row r="1613" spans="1:11" x14ac:dyDescent="0.25">
      <c r="A1613" t="s">
        <v>355</v>
      </c>
      <c r="B1613" t="s">
        <v>100</v>
      </c>
      <c r="C1613" t="s">
        <v>50</v>
      </c>
      <c r="D1613" s="6">
        <v>45741</v>
      </c>
      <c r="E1613" t="str">
        <f>VLOOKUP(B1613,'PROCV GERENTES BD'!A:B,2,0)</f>
        <v>ADMINISTRAÇÃO</v>
      </c>
      <c r="F1613" s="4" t="str">
        <f t="shared" si="150"/>
        <v>2025-03</v>
      </c>
      <c r="G1613" s="18">
        <f t="shared" si="151"/>
        <v>13</v>
      </c>
      <c r="H1613" t="str">
        <f t="shared" si="152"/>
        <v>ADMINISTRAÇÃO</v>
      </c>
      <c r="I1613" t="str">
        <f t="shared" si="153"/>
        <v>DECISION DESENVOLVIMENTO DE SISTEMAS LTDA</v>
      </c>
      <c r="J1613">
        <f t="shared" si="154"/>
        <v>0</v>
      </c>
      <c r="K1613">
        <f t="shared" si="155"/>
        <v>1</v>
      </c>
    </row>
    <row r="1614" spans="1:11" x14ac:dyDescent="0.25">
      <c r="A1614" t="s">
        <v>372</v>
      </c>
      <c r="B1614" t="s">
        <v>116</v>
      </c>
      <c r="C1614" t="s">
        <v>50</v>
      </c>
      <c r="D1614" s="6">
        <v>45741</v>
      </c>
      <c r="E1614" t="s">
        <v>6</v>
      </c>
      <c r="F1614" s="4" t="str">
        <f t="shared" si="150"/>
        <v>2025-03</v>
      </c>
      <c r="G1614" s="18">
        <f t="shared" si="151"/>
        <v>13</v>
      </c>
      <c r="H1614" t="str">
        <f t="shared" si="152"/>
        <v>ANTONIO CARLOS</v>
      </c>
      <c r="I1614" t="str">
        <f t="shared" si="153"/>
        <v>PREMOLDADOS MATOSINHOS LTDA EPP</v>
      </c>
      <c r="J1614">
        <f t="shared" si="154"/>
        <v>0</v>
      </c>
      <c r="K1614">
        <f t="shared" si="155"/>
        <v>1</v>
      </c>
    </row>
    <row r="1615" spans="1:11" x14ac:dyDescent="0.25">
      <c r="A1615" t="s">
        <v>442</v>
      </c>
      <c r="B1615" t="s">
        <v>193</v>
      </c>
      <c r="C1615" t="s">
        <v>66</v>
      </c>
      <c r="D1615" s="6">
        <v>45741</v>
      </c>
      <c r="E1615" t="s">
        <v>7</v>
      </c>
      <c r="F1615" s="4" t="str">
        <f t="shared" si="150"/>
        <v>2025-03</v>
      </c>
      <c r="G1615" s="18">
        <f t="shared" si="151"/>
        <v>13</v>
      </c>
      <c r="H1615" t="str">
        <f t="shared" si="152"/>
        <v>CELIO PIMENTA</v>
      </c>
      <c r="I1615" t="str">
        <f t="shared" si="153"/>
        <v>CIA TEXTIL LTDA ME</v>
      </c>
      <c r="J1615">
        <f t="shared" si="154"/>
        <v>1</v>
      </c>
      <c r="K1615">
        <f t="shared" si="155"/>
        <v>0</v>
      </c>
    </row>
    <row r="1616" spans="1:11" x14ac:dyDescent="0.25">
      <c r="A1616" t="s">
        <v>319</v>
      </c>
      <c r="B1616" t="s">
        <v>80</v>
      </c>
      <c r="C1616" t="s">
        <v>53</v>
      </c>
      <c r="D1616" s="6">
        <v>45741</v>
      </c>
      <c r="E1616" t="s">
        <v>7</v>
      </c>
      <c r="F1616" s="4" t="str">
        <f t="shared" si="150"/>
        <v>2025-03</v>
      </c>
      <c r="G1616" s="18">
        <f t="shared" si="151"/>
        <v>13</v>
      </c>
      <c r="H1616" t="str">
        <f t="shared" si="152"/>
        <v>CELIO PIMENTA</v>
      </c>
      <c r="I1616" t="str">
        <f t="shared" si="153"/>
        <v>IMPORTEXTIL COMERCIO DE TECIDOS LTDA</v>
      </c>
      <c r="J1616">
        <f t="shared" si="154"/>
        <v>1</v>
      </c>
      <c r="K1616">
        <f t="shared" si="155"/>
        <v>1</v>
      </c>
    </row>
    <row r="1617" spans="1:11" x14ac:dyDescent="0.25">
      <c r="A1617" t="s">
        <v>311</v>
      </c>
      <c r="B1617" t="s">
        <v>81</v>
      </c>
      <c r="C1617" t="s">
        <v>50</v>
      </c>
      <c r="D1617" s="6">
        <v>45741</v>
      </c>
      <c r="E1617" t="s">
        <v>7</v>
      </c>
      <c r="F1617" s="4" t="str">
        <f t="shared" si="150"/>
        <v>2025-03</v>
      </c>
      <c r="G1617" s="18">
        <f t="shared" si="151"/>
        <v>13</v>
      </c>
      <c r="H1617" t="str">
        <f t="shared" si="152"/>
        <v>CELIO PIMENTA</v>
      </c>
      <c r="I1617" t="str">
        <f t="shared" si="153"/>
        <v>MBIOLOG DIAGNOSTICOS LTDA</v>
      </c>
      <c r="J1617">
        <f t="shared" si="154"/>
        <v>0</v>
      </c>
      <c r="K1617">
        <f t="shared" si="155"/>
        <v>1</v>
      </c>
    </row>
    <row r="1618" spans="1:11" x14ac:dyDescent="0.25">
      <c r="A1618" t="s">
        <v>54</v>
      </c>
      <c r="B1618" t="s">
        <v>55</v>
      </c>
      <c r="C1618" t="s">
        <v>50</v>
      </c>
      <c r="D1618" s="6">
        <v>45741</v>
      </c>
      <c r="E1618" t="s">
        <v>7</v>
      </c>
      <c r="F1618" s="4" t="str">
        <f t="shared" si="150"/>
        <v>2025-03</v>
      </c>
      <c r="G1618" s="18">
        <f t="shared" si="151"/>
        <v>13</v>
      </c>
      <c r="H1618" t="str">
        <f t="shared" si="152"/>
        <v>CELIO PIMENTA</v>
      </c>
      <c r="I1618" t="str">
        <f t="shared" si="153"/>
        <v>WJ CALDEIRARIA INDUSTRIA E COMERCIO LTDA ME</v>
      </c>
      <c r="J1618">
        <f t="shared" si="154"/>
        <v>0</v>
      </c>
      <c r="K1618">
        <f t="shared" si="155"/>
        <v>1</v>
      </c>
    </row>
    <row r="1619" spans="1:11" x14ac:dyDescent="0.25">
      <c r="A1619" t="s">
        <v>358</v>
      </c>
      <c r="B1619" t="s">
        <v>104</v>
      </c>
      <c r="C1619" t="s">
        <v>50</v>
      </c>
      <c r="D1619" s="6">
        <v>45741</v>
      </c>
      <c r="E1619" t="s">
        <v>8</v>
      </c>
      <c r="F1619" s="4" t="str">
        <f t="shared" si="150"/>
        <v>2025-03</v>
      </c>
      <c r="G1619" s="18">
        <f t="shared" si="151"/>
        <v>13</v>
      </c>
      <c r="H1619" t="str">
        <f t="shared" si="152"/>
        <v>DIOGO AZEVEDO</v>
      </c>
      <c r="I1619" t="str">
        <f t="shared" si="153"/>
        <v>INDUSTRIA E CERVEJARIA ARTESANAL DE MINAS GERAIS L</v>
      </c>
      <c r="J1619">
        <f t="shared" si="154"/>
        <v>0</v>
      </c>
      <c r="K1619">
        <f t="shared" si="155"/>
        <v>1</v>
      </c>
    </row>
    <row r="1620" spans="1:11" x14ac:dyDescent="0.25">
      <c r="A1620" t="s">
        <v>485</v>
      </c>
      <c r="B1620" t="s">
        <v>242</v>
      </c>
      <c r="C1620" t="s">
        <v>50</v>
      </c>
      <c r="D1620" s="6">
        <v>45741</v>
      </c>
      <c r="E1620" t="s">
        <v>9</v>
      </c>
      <c r="F1620" s="4" t="str">
        <f t="shared" si="150"/>
        <v>2025-03</v>
      </c>
      <c r="G1620" s="18">
        <f t="shared" si="151"/>
        <v>13</v>
      </c>
      <c r="H1620" t="str">
        <f t="shared" si="152"/>
        <v>FITZ</v>
      </c>
      <c r="I1620" t="str">
        <f t="shared" si="153"/>
        <v>GOIARTE SOLUCOES CONSTRUTIVAS EM CONCRETO LTDA</v>
      </c>
      <c r="J1620">
        <f t="shared" si="154"/>
        <v>0</v>
      </c>
      <c r="K1620">
        <f t="shared" si="155"/>
        <v>1</v>
      </c>
    </row>
    <row r="1621" spans="1:11" x14ac:dyDescent="0.25">
      <c r="A1621" t="s">
        <v>62</v>
      </c>
      <c r="B1621" t="s">
        <v>63</v>
      </c>
      <c r="C1621" t="s">
        <v>50</v>
      </c>
      <c r="D1621" s="6">
        <v>45741</v>
      </c>
      <c r="E1621" t="s">
        <v>9</v>
      </c>
      <c r="F1621" s="4" t="str">
        <f t="shared" si="150"/>
        <v>2025-03</v>
      </c>
      <c r="G1621" s="18">
        <f t="shared" si="151"/>
        <v>13</v>
      </c>
      <c r="H1621" t="str">
        <f t="shared" si="152"/>
        <v>FITZ</v>
      </c>
      <c r="I1621" t="str">
        <f t="shared" si="153"/>
        <v>MAPP COM IMPORTACAO EXPORTACAO IND PRODUTOS ALIMEN</v>
      </c>
      <c r="J1621">
        <f t="shared" si="154"/>
        <v>0</v>
      </c>
      <c r="K1621">
        <f t="shared" si="155"/>
        <v>1</v>
      </c>
    </row>
    <row r="1622" spans="1:11" x14ac:dyDescent="0.25">
      <c r="A1622" t="s">
        <v>402</v>
      </c>
      <c r="B1622" t="s">
        <v>152</v>
      </c>
      <c r="C1622" t="s">
        <v>50</v>
      </c>
      <c r="D1622" s="6">
        <v>45741</v>
      </c>
      <c r="E1622" t="s">
        <v>9</v>
      </c>
      <c r="F1622" s="4" t="str">
        <f t="shared" si="150"/>
        <v>2025-03</v>
      </c>
      <c r="G1622" s="18">
        <f t="shared" si="151"/>
        <v>13</v>
      </c>
      <c r="H1622" t="str">
        <f t="shared" si="152"/>
        <v>FITZ</v>
      </c>
      <c r="I1622" t="str">
        <f t="shared" si="153"/>
        <v>MOINHO DE TRIGO JM LTDA</v>
      </c>
      <c r="J1622">
        <f t="shared" si="154"/>
        <v>0</v>
      </c>
      <c r="K1622">
        <f t="shared" si="155"/>
        <v>1</v>
      </c>
    </row>
    <row r="1623" spans="1:11" x14ac:dyDescent="0.25">
      <c r="A1623" t="s">
        <v>412</v>
      </c>
      <c r="B1623" t="s">
        <v>162</v>
      </c>
      <c r="C1623" t="s">
        <v>66</v>
      </c>
      <c r="D1623" s="6">
        <v>45741</v>
      </c>
      <c r="E1623" t="s">
        <v>9</v>
      </c>
      <c r="F1623" s="4" t="str">
        <f t="shared" si="150"/>
        <v>2025-03</v>
      </c>
      <c r="G1623" s="18">
        <f t="shared" si="151"/>
        <v>13</v>
      </c>
      <c r="H1623" t="str">
        <f t="shared" si="152"/>
        <v>FITZ</v>
      </c>
      <c r="I1623" t="str">
        <f t="shared" si="153"/>
        <v>MORIA PRESTACAO DE SERVICOS LTDA ME</v>
      </c>
      <c r="J1623">
        <f t="shared" si="154"/>
        <v>1</v>
      </c>
      <c r="K1623">
        <f t="shared" si="155"/>
        <v>0</v>
      </c>
    </row>
    <row r="1624" spans="1:11" x14ac:dyDescent="0.25">
      <c r="A1624" t="s">
        <v>324</v>
      </c>
      <c r="B1624" t="s">
        <v>119</v>
      </c>
      <c r="C1624" t="s">
        <v>53</v>
      </c>
      <c r="D1624" s="6">
        <v>45741</v>
      </c>
      <c r="E1624" t="s">
        <v>9</v>
      </c>
      <c r="F1624" s="4" t="str">
        <f t="shared" si="150"/>
        <v>2025-03</v>
      </c>
      <c r="G1624" s="18">
        <f t="shared" si="151"/>
        <v>13</v>
      </c>
      <c r="H1624" t="str">
        <f t="shared" si="152"/>
        <v>FITZ</v>
      </c>
      <c r="I1624" t="str">
        <f t="shared" si="153"/>
        <v>TRANSHENRY TRANSPORTES LTDA</v>
      </c>
      <c r="J1624">
        <f t="shared" si="154"/>
        <v>1</v>
      </c>
      <c r="K1624">
        <f t="shared" si="155"/>
        <v>1</v>
      </c>
    </row>
    <row r="1625" spans="1:11" x14ac:dyDescent="0.25">
      <c r="A1625" t="s">
        <v>438</v>
      </c>
      <c r="B1625" t="s">
        <v>189</v>
      </c>
      <c r="C1625" t="s">
        <v>50</v>
      </c>
      <c r="D1625" s="6">
        <v>45741</v>
      </c>
      <c r="E1625" t="s">
        <v>15</v>
      </c>
      <c r="F1625" s="4" t="str">
        <f t="shared" si="150"/>
        <v>2025-03</v>
      </c>
      <c r="G1625" s="18">
        <f t="shared" si="151"/>
        <v>13</v>
      </c>
      <c r="H1625" t="str">
        <f t="shared" si="152"/>
        <v>NOELI SALETE</v>
      </c>
      <c r="I1625" t="str">
        <f t="shared" si="153"/>
        <v>AGRO INDUSTRIAL LAZZERI LTDA</v>
      </c>
      <c r="J1625">
        <f t="shared" si="154"/>
        <v>0</v>
      </c>
      <c r="K1625">
        <f t="shared" si="155"/>
        <v>1</v>
      </c>
    </row>
    <row r="1626" spans="1:11" x14ac:dyDescent="0.25">
      <c r="A1626" t="s">
        <v>72</v>
      </c>
      <c r="B1626" t="s">
        <v>73</v>
      </c>
      <c r="C1626" t="s">
        <v>50</v>
      </c>
      <c r="D1626" s="6">
        <v>45741</v>
      </c>
      <c r="E1626" t="s">
        <v>15</v>
      </c>
      <c r="F1626" s="4" t="str">
        <f t="shared" si="150"/>
        <v>2025-03</v>
      </c>
      <c r="G1626" s="18">
        <f t="shared" si="151"/>
        <v>13</v>
      </c>
      <c r="H1626" t="str">
        <f t="shared" si="152"/>
        <v>NOELI SALETE</v>
      </c>
      <c r="I1626" t="str">
        <f t="shared" si="153"/>
        <v>SMARTCENTER SOLUCOES INTELIGENTES LTDA ME</v>
      </c>
      <c r="J1626">
        <f t="shared" si="154"/>
        <v>0</v>
      </c>
      <c r="K1626">
        <f t="shared" si="155"/>
        <v>1</v>
      </c>
    </row>
    <row r="1627" spans="1:11" x14ac:dyDescent="0.25">
      <c r="A1627" t="s">
        <v>486</v>
      </c>
      <c r="B1627" t="s">
        <v>243</v>
      </c>
      <c r="C1627" t="s">
        <v>50</v>
      </c>
      <c r="D1627" s="6">
        <v>45741</v>
      </c>
      <c r="E1627" t="s">
        <v>15</v>
      </c>
      <c r="F1627" s="4" t="str">
        <f t="shared" si="150"/>
        <v>2025-03</v>
      </c>
      <c r="G1627" s="18">
        <f t="shared" si="151"/>
        <v>13</v>
      </c>
      <c r="H1627" t="str">
        <f t="shared" si="152"/>
        <v>NOELI SALETE</v>
      </c>
      <c r="I1627" t="str">
        <f t="shared" si="153"/>
        <v>SMARTCENTERGROUP COMERCIO DE EQUIPAMENTOS DE INFOR</v>
      </c>
      <c r="J1627">
        <f t="shared" si="154"/>
        <v>0</v>
      </c>
      <c r="K1627">
        <f t="shared" si="155"/>
        <v>1</v>
      </c>
    </row>
    <row r="1628" spans="1:11" x14ac:dyDescent="0.25">
      <c r="A1628" t="s">
        <v>344</v>
      </c>
      <c r="B1628" t="s">
        <v>89</v>
      </c>
      <c r="C1628" t="s">
        <v>50</v>
      </c>
      <c r="D1628" s="6">
        <v>45741</v>
      </c>
      <c r="E1628" t="s">
        <v>16</v>
      </c>
      <c r="F1628" s="4" t="str">
        <f t="shared" si="150"/>
        <v>2025-03</v>
      </c>
      <c r="G1628" s="18">
        <f t="shared" si="151"/>
        <v>13</v>
      </c>
      <c r="H1628" t="str">
        <f t="shared" si="152"/>
        <v>POENATELA</v>
      </c>
      <c r="I1628" t="str">
        <f t="shared" si="153"/>
        <v>CERVEJARIA SOUZA LTDA</v>
      </c>
      <c r="J1628">
        <f t="shared" si="154"/>
        <v>0</v>
      </c>
      <c r="K1628">
        <f t="shared" si="155"/>
        <v>1</v>
      </c>
    </row>
    <row r="1629" spans="1:11" x14ac:dyDescent="0.25">
      <c r="A1629" t="s">
        <v>370</v>
      </c>
      <c r="B1629" t="s">
        <v>114</v>
      </c>
      <c r="C1629" t="s">
        <v>50</v>
      </c>
      <c r="D1629" s="6">
        <v>45741</v>
      </c>
      <c r="E1629" t="s">
        <v>16</v>
      </c>
      <c r="F1629" s="4" t="str">
        <f t="shared" si="150"/>
        <v>2025-03</v>
      </c>
      <c r="G1629" s="18">
        <f t="shared" si="151"/>
        <v>13</v>
      </c>
      <c r="H1629" t="str">
        <f t="shared" si="152"/>
        <v>POENATELA</v>
      </c>
      <c r="I1629" t="str">
        <f t="shared" si="153"/>
        <v>COOPERATIVA TRANSP AUTON CARGAS PASSAG SERVICOS LO</v>
      </c>
      <c r="J1629">
        <f t="shared" si="154"/>
        <v>0</v>
      </c>
      <c r="K1629">
        <f t="shared" si="155"/>
        <v>1</v>
      </c>
    </row>
    <row r="1630" spans="1:11" x14ac:dyDescent="0.25">
      <c r="A1630" t="s">
        <v>346</v>
      </c>
      <c r="B1630" t="s">
        <v>91</v>
      </c>
      <c r="C1630" t="s">
        <v>50</v>
      </c>
      <c r="D1630" s="6">
        <v>45741</v>
      </c>
      <c r="E1630" t="s">
        <v>16</v>
      </c>
      <c r="F1630" s="4" t="str">
        <f t="shared" si="150"/>
        <v>2025-03</v>
      </c>
      <c r="G1630" s="18">
        <f t="shared" si="151"/>
        <v>13</v>
      </c>
      <c r="H1630" t="str">
        <f t="shared" si="152"/>
        <v>POENATELA</v>
      </c>
      <c r="I1630" t="str">
        <f t="shared" si="153"/>
        <v>UBERTEC SERVICE USINAGEM LTDA EPP</v>
      </c>
      <c r="J1630">
        <f t="shared" si="154"/>
        <v>0</v>
      </c>
      <c r="K1630">
        <f t="shared" si="155"/>
        <v>1</v>
      </c>
    </row>
    <row r="1631" spans="1:11" x14ac:dyDescent="0.25">
      <c r="A1631" t="s">
        <v>353</v>
      </c>
      <c r="B1631" t="s">
        <v>97</v>
      </c>
      <c r="C1631" t="s">
        <v>50</v>
      </c>
      <c r="D1631" s="6">
        <v>45741</v>
      </c>
      <c r="E1631" t="s">
        <v>17</v>
      </c>
      <c r="F1631" s="4" t="str">
        <f t="shared" si="150"/>
        <v>2025-03</v>
      </c>
      <c r="G1631" s="18">
        <f t="shared" si="151"/>
        <v>13</v>
      </c>
      <c r="H1631" t="str">
        <f t="shared" si="152"/>
        <v>PRISCILA METZ</v>
      </c>
      <c r="I1631" t="str">
        <f t="shared" si="153"/>
        <v>ESSENZA INDUSTRIA QUIMICA LTDA</v>
      </c>
      <c r="J1631">
        <f t="shared" si="154"/>
        <v>0</v>
      </c>
      <c r="K1631">
        <f t="shared" si="155"/>
        <v>1</v>
      </c>
    </row>
    <row r="1632" spans="1:11" x14ac:dyDescent="0.25">
      <c r="A1632" t="s">
        <v>434</v>
      </c>
      <c r="B1632" t="s">
        <v>185</v>
      </c>
      <c r="C1632" t="s">
        <v>50</v>
      </c>
      <c r="D1632" s="6">
        <v>45741</v>
      </c>
      <c r="E1632" t="s">
        <v>18</v>
      </c>
      <c r="F1632" s="4" t="str">
        <f t="shared" si="150"/>
        <v>2025-03</v>
      </c>
      <c r="G1632" s="18">
        <f t="shared" si="151"/>
        <v>13</v>
      </c>
      <c r="H1632" t="str">
        <f t="shared" si="152"/>
        <v>RAFAEL PARISE</v>
      </c>
      <c r="I1632" t="str">
        <f t="shared" si="153"/>
        <v>MARCAS COMERCIO LTDA ME</v>
      </c>
      <c r="J1632">
        <f t="shared" si="154"/>
        <v>0</v>
      </c>
      <c r="K1632">
        <f t="shared" si="155"/>
        <v>1</v>
      </c>
    </row>
    <row r="1633" spans="1:11" x14ac:dyDescent="0.25">
      <c r="A1633" t="s">
        <v>67</v>
      </c>
      <c r="B1633" t="s">
        <v>68</v>
      </c>
      <c r="C1633" t="s">
        <v>50</v>
      </c>
      <c r="D1633" s="6">
        <v>45741</v>
      </c>
      <c r="E1633" t="s">
        <v>21</v>
      </c>
      <c r="F1633" s="4" t="str">
        <f t="shared" si="150"/>
        <v>2025-03</v>
      </c>
      <c r="G1633" s="18">
        <f t="shared" si="151"/>
        <v>13</v>
      </c>
      <c r="H1633" t="str">
        <f t="shared" si="152"/>
        <v xml:space="preserve">ROGERIO </v>
      </c>
      <c r="I1633" t="str">
        <f t="shared" si="153"/>
        <v>DIOTTONI INDUSTRIA E COMERCIO DE ALIMENTOS LTDA ME</v>
      </c>
      <c r="J1633">
        <f t="shared" si="154"/>
        <v>0</v>
      </c>
      <c r="K1633">
        <f t="shared" si="155"/>
        <v>1</v>
      </c>
    </row>
    <row r="1634" spans="1:11" x14ac:dyDescent="0.25">
      <c r="A1634" t="s">
        <v>457</v>
      </c>
      <c r="B1634" t="s">
        <v>214</v>
      </c>
      <c r="C1634" t="s">
        <v>53</v>
      </c>
      <c r="D1634" s="6">
        <v>45741</v>
      </c>
      <c r="E1634" t="s">
        <v>21</v>
      </c>
      <c r="F1634" s="4" t="str">
        <f t="shared" si="150"/>
        <v>2025-03</v>
      </c>
      <c r="G1634" s="18">
        <f t="shared" si="151"/>
        <v>13</v>
      </c>
      <c r="H1634" t="str">
        <f t="shared" si="152"/>
        <v xml:space="preserve">ROGERIO </v>
      </c>
      <c r="I1634" t="str">
        <f t="shared" si="153"/>
        <v>METAL STAMP INDUSTRIA E COMERCIO LTDA</v>
      </c>
      <c r="J1634">
        <f t="shared" si="154"/>
        <v>1</v>
      </c>
      <c r="K1634">
        <f t="shared" si="155"/>
        <v>1</v>
      </c>
    </row>
    <row r="1635" spans="1:11" x14ac:dyDescent="0.25">
      <c r="A1635" t="s">
        <v>487</v>
      </c>
      <c r="B1635" t="s">
        <v>244</v>
      </c>
      <c r="C1635" t="s">
        <v>66</v>
      </c>
      <c r="D1635" s="6">
        <v>45741</v>
      </c>
      <c r="E1635" t="s">
        <v>21</v>
      </c>
      <c r="F1635" s="4" t="str">
        <f t="shared" si="150"/>
        <v>2025-03</v>
      </c>
      <c r="G1635" s="18">
        <f t="shared" si="151"/>
        <v>13</v>
      </c>
      <c r="H1635" t="str">
        <f t="shared" si="152"/>
        <v xml:space="preserve">ROGERIO </v>
      </c>
      <c r="I1635" t="str">
        <f t="shared" si="153"/>
        <v>MUNDO AGRO COMERCIO E DISTRIBUICAO DE CALCADOS LTD</v>
      </c>
      <c r="J1635">
        <f t="shared" si="154"/>
        <v>1</v>
      </c>
      <c r="K1635">
        <f t="shared" si="155"/>
        <v>0</v>
      </c>
    </row>
    <row r="1636" spans="1:11" x14ac:dyDescent="0.25">
      <c r="A1636" t="s">
        <v>484</v>
      </c>
      <c r="B1636" t="s">
        <v>241</v>
      </c>
      <c r="C1636" t="s">
        <v>50</v>
      </c>
      <c r="D1636" s="3">
        <v>45743</v>
      </c>
      <c r="E1636" t="str">
        <f>VLOOKUP(B1636,'PROCV GERENTES BD'!A:B,2,0)</f>
        <v>ADMINISTRAÇÃO</v>
      </c>
      <c r="F1636" s="4" t="str">
        <f t="shared" si="150"/>
        <v>2025-03</v>
      </c>
      <c r="G1636" s="18">
        <f t="shared" si="151"/>
        <v>13</v>
      </c>
      <c r="H1636" t="str">
        <f t="shared" si="152"/>
        <v>ADMINISTRAÇÃO</v>
      </c>
      <c r="I1636" t="str">
        <f t="shared" si="153"/>
        <v>REAL FILTROS E ACESSORIOS AUTOMOTIVOS LTDA EPP</v>
      </c>
      <c r="J1636">
        <f t="shared" si="154"/>
        <v>0</v>
      </c>
      <c r="K1636">
        <f t="shared" si="155"/>
        <v>1</v>
      </c>
    </row>
    <row r="1637" spans="1:11" x14ac:dyDescent="0.25">
      <c r="A1637" t="s">
        <v>331</v>
      </c>
      <c r="B1637" t="s">
        <v>144</v>
      </c>
      <c r="C1637" t="s">
        <v>50</v>
      </c>
      <c r="D1637" s="3">
        <v>45743</v>
      </c>
      <c r="E1637" t="str">
        <f>VLOOKUP(B1637,'PROCV GERENTES BD'!A:B,2,0)</f>
        <v>ADMINISTRAÇÃO</v>
      </c>
      <c r="F1637" s="4" t="str">
        <f t="shared" si="150"/>
        <v>2025-03</v>
      </c>
      <c r="G1637" s="18">
        <f t="shared" si="151"/>
        <v>13</v>
      </c>
      <c r="H1637" t="str">
        <f t="shared" si="152"/>
        <v>ADMINISTRAÇÃO</v>
      </c>
      <c r="I1637" t="str">
        <f t="shared" si="153"/>
        <v>BOM PASTOR PAPEIS LTDA EM RECUPERACAO JUDICIAL</v>
      </c>
      <c r="J1637">
        <f t="shared" si="154"/>
        <v>0</v>
      </c>
      <c r="K1637">
        <f t="shared" si="155"/>
        <v>1</v>
      </c>
    </row>
    <row r="1638" spans="1:11" x14ac:dyDescent="0.25">
      <c r="A1638" t="s">
        <v>355</v>
      </c>
      <c r="B1638" t="s">
        <v>100</v>
      </c>
      <c r="C1638" t="s">
        <v>50</v>
      </c>
      <c r="D1638" s="3">
        <v>45743</v>
      </c>
      <c r="E1638" t="str">
        <f>VLOOKUP(B1638,'PROCV GERENTES BD'!A:B,2,0)</f>
        <v>ADMINISTRAÇÃO</v>
      </c>
      <c r="F1638" s="4" t="str">
        <f t="shared" si="150"/>
        <v>2025-03</v>
      </c>
      <c r="G1638" s="18">
        <f t="shared" si="151"/>
        <v>13</v>
      </c>
      <c r="H1638" t="str">
        <f t="shared" si="152"/>
        <v>ADMINISTRAÇÃO</v>
      </c>
      <c r="I1638" t="str">
        <f t="shared" si="153"/>
        <v>DECISION DESENVOLVIMENTO DE SISTEMAS LTDA</v>
      </c>
      <c r="J1638">
        <f t="shared" si="154"/>
        <v>0</v>
      </c>
      <c r="K1638">
        <f t="shared" si="155"/>
        <v>1</v>
      </c>
    </row>
    <row r="1639" spans="1:11" x14ac:dyDescent="0.25">
      <c r="A1639" t="s">
        <v>355</v>
      </c>
      <c r="B1639" t="s">
        <v>100</v>
      </c>
      <c r="C1639" t="s">
        <v>50</v>
      </c>
      <c r="D1639" s="3">
        <v>45743</v>
      </c>
      <c r="E1639" t="str">
        <f>VLOOKUP(B1639,'PROCV GERENTES BD'!A:B,2,0)</f>
        <v>ADMINISTRAÇÃO</v>
      </c>
      <c r="F1639" s="4" t="str">
        <f t="shared" si="150"/>
        <v>2025-03</v>
      </c>
      <c r="G1639" s="18">
        <f t="shared" si="151"/>
        <v>13</v>
      </c>
      <c r="H1639" t="str">
        <f t="shared" si="152"/>
        <v>ADMINISTRAÇÃO</v>
      </c>
      <c r="I1639" t="str">
        <f t="shared" si="153"/>
        <v>DECISION DESENVOLVIMENTO DE SISTEMAS LTDA</v>
      </c>
      <c r="J1639">
        <f t="shared" si="154"/>
        <v>0</v>
      </c>
      <c r="K1639">
        <f t="shared" si="155"/>
        <v>1</v>
      </c>
    </row>
    <row r="1640" spans="1:11" x14ac:dyDescent="0.25">
      <c r="A1640" t="s">
        <v>54</v>
      </c>
      <c r="B1640" t="s">
        <v>55</v>
      </c>
      <c r="C1640" t="s">
        <v>50</v>
      </c>
      <c r="D1640" s="3">
        <v>45743</v>
      </c>
      <c r="E1640" t="str">
        <f>VLOOKUP(B1640,'PROCV GERENTES BD'!A:B,2,0)</f>
        <v>CELIO PIMENTA</v>
      </c>
      <c r="F1640" s="4" t="str">
        <f t="shared" si="150"/>
        <v>2025-03</v>
      </c>
      <c r="G1640" s="18">
        <f t="shared" si="151"/>
        <v>13</v>
      </c>
      <c r="H1640" t="str">
        <f t="shared" si="152"/>
        <v>CELIO PIMENTA</v>
      </c>
      <c r="I1640" t="str">
        <f t="shared" si="153"/>
        <v>WJ CALDEIRARIA INDUSTRIA E COMERCIO LTDA ME</v>
      </c>
      <c r="J1640">
        <f t="shared" si="154"/>
        <v>0</v>
      </c>
      <c r="K1640">
        <f t="shared" si="155"/>
        <v>1</v>
      </c>
    </row>
    <row r="1641" spans="1:11" x14ac:dyDescent="0.25">
      <c r="A1641" t="s">
        <v>319</v>
      </c>
      <c r="B1641" t="s">
        <v>80</v>
      </c>
      <c r="C1641" t="s">
        <v>50</v>
      </c>
      <c r="D1641" s="3">
        <v>45743</v>
      </c>
      <c r="E1641" t="str">
        <f>VLOOKUP(B1641,'PROCV GERENTES BD'!A:B,2,0)</f>
        <v>CELIO PIMENTA</v>
      </c>
      <c r="F1641" s="4" t="str">
        <f t="shared" si="150"/>
        <v>2025-03</v>
      </c>
      <c r="G1641" s="18">
        <f t="shared" si="151"/>
        <v>13</v>
      </c>
      <c r="H1641" t="str">
        <f t="shared" si="152"/>
        <v>CELIO PIMENTA</v>
      </c>
      <c r="I1641" t="str">
        <f t="shared" si="153"/>
        <v>IMPORTEXTIL COMERCIO DE TECIDOS LTDA</v>
      </c>
      <c r="J1641">
        <f t="shared" si="154"/>
        <v>0</v>
      </c>
      <c r="K1641">
        <f t="shared" si="155"/>
        <v>1</v>
      </c>
    </row>
    <row r="1642" spans="1:11" x14ac:dyDescent="0.25">
      <c r="A1642" t="s">
        <v>450</v>
      </c>
      <c r="B1642" t="s">
        <v>207</v>
      </c>
      <c r="C1642" t="s">
        <v>50</v>
      </c>
      <c r="D1642" s="3">
        <v>45743</v>
      </c>
      <c r="E1642" t="str">
        <f>VLOOKUP(B1642,'PROCV GERENTES BD'!A:B,2,0)</f>
        <v>CELIO PIMENTA</v>
      </c>
      <c r="F1642" s="4" t="str">
        <f t="shared" si="150"/>
        <v>2025-03</v>
      </c>
      <c r="G1642" s="18">
        <f t="shared" si="151"/>
        <v>13</v>
      </c>
      <c r="H1642" t="str">
        <f t="shared" si="152"/>
        <v>CELIO PIMENTA</v>
      </c>
      <c r="I1642" t="str">
        <f t="shared" si="153"/>
        <v>LIDER COMERCIO DE UNIFORMES E EPI S LTDA ME</v>
      </c>
      <c r="J1642">
        <f t="shared" si="154"/>
        <v>0</v>
      </c>
      <c r="K1642">
        <f t="shared" si="155"/>
        <v>1</v>
      </c>
    </row>
    <row r="1643" spans="1:11" x14ac:dyDescent="0.25">
      <c r="A1643" t="s">
        <v>460</v>
      </c>
      <c r="B1643" t="s">
        <v>217</v>
      </c>
      <c r="C1643" t="s">
        <v>71</v>
      </c>
      <c r="D1643" s="3">
        <v>45743</v>
      </c>
      <c r="E1643" t="str">
        <f>VLOOKUP(B1643,'PROCV GERENTES BD'!A:B,2,0)</f>
        <v>CELIO PIMENTA</v>
      </c>
      <c r="F1643" s="4" t="str">
        <f t="shared" si="150"/>
        <v>2025-03</v>
      </c>
      <c r="G1643" s="18">
        <f t="shared" si="151"/>
        <v>13</v>
      </c>
      <c r="H1643" t="str">
        <f t="shared" si="152"/>
        <v>CELIO PIMENTA</v>
      </c>
      <c r="I1643" t="str">
        <f t="shared" si="153"/>
        <v>MINAS CLEAN DISTRIBUIDORA DE PRODUTOS PARA LIMPEZA</v>
      </c>
      <c r="J1643">
        <f t="shared" si="154"/>
        <v>0</v>
      </c>
      <c r="K1643">
        <f t="shared" si="155"/>
        <v>0</v>
      </c>
    </row>
    <row r="1644" spans="1:11" x14ac:dyDescent="0.25">
      <c r="A1644" t="s">
        <v>467</v>
      </c>
      <c r="B1644" t="s">
        <v>224</v>
      </c>
      <c r="C1644" t="s">
        <v>50</v>
      </c>
      <c r="D1644" s="3">
        <v>45743</v>
      </c>
      <c r="E1644" t="str">
        <f>VLOOKUP(B1644,'PROCV GERENTES BD'!A:B,2,0)</f>
        <v>DIOGO AZEVEDO</v>
      </c>
      <c r="F1644" s="4" t="str">
        <f t="shared" si="150"/>
        <v>2025-03</v>
      </c>
      <c r="G1644" s="18">
        <f t="shared" si="151"/>
        <v>13</v>
      </c>
      <c r="H1644" t="str">
        <f t="shared" si="152"/>
        <v>DIOGO AZEVEDO</v>
      </c>
      <c r="I1644" t="str">
        <f t="shared" si="153"/>
        <v>VGS COMERCIO DE EMBALAGENS DE MADEIRAS LTDA ME</v>
      </c>
      <c r="J1644">
        <f t="shared" si="154"/>
        <v>0</v>
      </c>
      <c r="K1644">
        <f t="shared" si="155"/>
        <v>1</v>
      </c>
    </row>
    <row r="1645" spans="1:11" x14ac:dyDescent="0.25">
      <c r="A1645" t="s">
        <v>358</v>
      </c>
      <c r="B1645" t="s">
        <v>104</v>
      </c>
      <c r="C1645" t="s">
        <v>66</v>
      </c>
      <c r="D1645" s="3">
        <v>45743</v>
      </c>
      <c r="E1645" t="str">
        <f>VLOOKUP(B1645,'PROCV GERENTES BD'!A:B,2,0)</f>
        <v>DIOGO AZEVEDO</v>
      </c>
      <c r="F1645" s="4" t="str">
        <f t="shared" si="150"/>
        <v>2025-03</v>
      </c>
      <c r="G1645" s="18">
        <f t="shared" si="151"/>
        <v>13</v>
      </c>
      <c r="H1645" t="str">
        <f t="shared" si="152"/>
        <v>DIOGO AZEVEDO</v>
      </c>
      <c r="I1645" t="str">
        <f t="shared" si="153"/>
        <v>INDUSTRIA E CERVEJARIA ARTESANAL DE MINAS GERAIS L</v>
      </c>
      <c r="J1645">
        <f t="shared" si="154"/>
        <v>1</v>
      </c>
      <c r="K1645">
        <f t="shared" si="155"/>
        <v>0</v>
      </c>
    </row>
    <row r="1646" spans="1:11" x14ac:dyDescent="0.25">
      <c r="A1646" t="s">
        <v>467</v>
      </c>
      <c r="B1646" t="s">
        <v>224</v>
      </c>
      <c r="C1646" t="s">
        <v>50</v>
      </c>
      <c r="D1646" s="3">
        <v>45743</v>
      </c>
      <c r="E1646" t="str">
        <f>VLOOKUP(B1646,'PROCV GERENTES BD'!A:B,2,0)</f>
        <v>DIOGO AZEVEDO</v>
      </c>
      <c r="F1646" s="4" t="str">
        <f t="shared" si="150"/>
        <v>2025-03</v>
      </c>
      <c r="G1646" s="18">
        <f t="shared" si="151"/>
        <v>13</v>
      </c>
      <c r="H1646" t="str">
        <f t="shared" si="152"/>
        <v>DIOGO AZEVEDO</v>
      </c>
      <c r="I1646" t="str">
        <f t="shared" si="153"/>
        <v>VGS COMERCIO DE EMBALAGENS DE MADEIRAS LTDA ME</v>
      </c>
      <c r="J1646">
        <f t="shared" si="154"/>
        <v>0</v>
      </c>
      <c r="K1646">
        <f t="shared" si="155"/>
        <v>1</v>
      </c>
    </row>
    <row r="1647" spans="1:11" x14ac:dyDescent="0.25">
      <c r="A1647" t="s">
        <v>62</v>
      </c>
      <c r="B1647" t="s">
        <v>63</v>
      </c>
      <c r="C1647" t="s">
        <v>50</v>
      </c>
      <c r="D1647" s="3">
        <v>45743</v>
      </c>
      <c r="E1647" t="str">
        <f>VLOOKUP(B1647,'PROCV GERENTES BD'!A:B,2,0)</f>
        <v>PROSPECTAR</v>
      </c>
      <c r="F1647" s="4" t="str">
        <f t="shared" si="150"/>
        <v>2025-03</v>
      </c>
      <c r="G1647" s="18">
        <f t="shared" si="151"/>
        <v>13</v>
      </c>
      <c r="H1647" t="str">
        <f t="shared" si="152"/>
        <v>PROSPECTAR</v>
      </c>
      <c r="I1647" t="str">
        <f t="shared" si="153"/>
        <v>MAPP COM IMPORTACAO EXPORTACAO IND PRODUTOS ALIMEN</v>
      </c>
      <c r="J1647">
        <f t="shared" si="154"/>
        <v>0</v>
      </c>
      <c r="K1647">
        <f t="shared" si="155"/>
        <v>1</v>
      </c>
    </row>
    <row r="1648" spans="1:11" x14ac:dyDescent="0.25">
      <c r="A1648" t="s">
        <v>402</v>
      </c>
      <c r="B1648" t="s">
        <v>152</v>
      </c>
      <c r="C1648" t="s">
        <v>53</v>
      </c>
      <c r="D1648" s="3">
        <v>45743</v>
      </c>
      <c r="E1648" t="str">
        <f>VLOOKUP(B1648,'PROCV GERENTES BD'!A:B,2,0)</f>
        <v>PROSPECTAR</v>
      </c>
      <c r="F1648" s="4" t="str">
        <f t="shared" si="150"/>
        <v>2025-03</v>
      </c>
      <c r="G1648" s="18">
        <f t="shared" si="151"/>
        <v>13</v>
      </c>
      <c r="H1648" t="str">
        <f t="shared" si="152"/>
        <v>PROSPECTAR</v>
      </c>
      <c r="I1648" t="str">
        <f t="shared" si="153"/>
        <v>MOINHO DE TRIGO JM LTDA</v>
      </c>
      <c r="J1648">
        <f t="shared" si="154"/>
        <v>1</v>
      </c>
      <c r="K1648">
        <f t="shared" si="155"/>
        <v>1</v>
      </c>
    </row>
    <row r="1649" spans="1:11" x14ac:dyDescent="0.25">
      <c r="A1649" t="s">
        <v>428</v>
      </c>
      <c r="B1649" t="s">
        <v>179</v>
      </c>
      <c r="C1649" t="s">
        <v>50</v>
      </c>
      <c r="D1649" s="3">
        <v>45743</v>
      </c>
      <c r="E1649" t="str">
        <f>VLOOKUP(B1649,'PROCV GERENTES BD'!A:B,2,0)</f>
        <v xml:space="preserve">MARCUS VINICIUS </v>
      </c>
      <c r="F1649" s="4" t="str">
        <f t="shared" si="150"/>
        <v>2025-03</v>
      </c>
      <c r="G1649" s="18">
        <f t="shared" si="151"/>
        <v>13</v>
      </c>
      <c r="H1649" t="str">
        <f t="shared" si="152"/>
        <v xml:space="preserve">MARCUS VINICIUS </v>
      </c>
      <c r="I1649" t="str">
        <f t="shared" si="153"/>
        <v>LABOR ELETRIC INDUSTRIA E COMERCIO UNIPESSOAL LTDA</v>
      </c>
      <c r="J1649">
        <f t="shared" si="154"/>
        <v>0</v>
      </c>
      <c r="K1649">
        <f t="shared" si="155"/>
        <v>1</v>
      </c>
    </row>
    <row r="1650" spans="1:11" x14ac:dyDescent="0.25">
      <c r="A1650" t="s">
        <v>375</v>
      </c>
      <c r="B1650" t="s">
        <v>120</v>
      </c>
      <c r="C1650" t="s">
        <v>66</v>
      </c>
      <c r="D1650" s="3">
        <v>45743</v>
      </c>
      <c r="E1650" t="str">
        <f>VLOOKUP(B1650,'PROCV GERENTES BD'!A:B,2,0)</f>
        <v>ADMINISTRAÇÃO</v>
      </c>
      <c r="F1650" s="4" t="str">
        <f t="shared" si="150"/>
        <v>2025-03</v>
      </c>
      <c r="G1650" s="18">
        <f t="shared" si="151"/>
        <v>13</v>
      </c>
      <c r="H1650" t="str">
        <f t="shared" si="152"/>
        <v>ADMINISTRAÇÃO</v>
      </c>
      <c r="I1650" t="str">
        <f t="shared" si="153"/>
        <v>FARINELLI NUTRIMENTOS LTDA</v>
      </c>
      <c r="J1650">
        <f t="shared" si="154"/>
        <v>1</v>
      </c>
      <c r="K1650">
        <f t="shared" si="155"/>
        <v>0</v>
      </c>
    </row>
    <row r="1651" spans="1:11" x14ac:dyDescent="0.25">
      <c r="A1651" t="s">
        <v>418</v>
      </c>
      <c r="B1651" t="s">
        <v>168</v>
      </c>
      <c r="C1651" t="s">
        <v>50</v>
      </c>
      <c r="D1651" s="3">
        <v>45743</v>
      </c>
      <c r="E1651" t="str">
        <f>VLOOKUP(B1651,'PROCV GERENTES BD'!A:B,2,0)</f>
        <v>ADMINISTRAÇÃO</v>
      </c>
      <c r="F1651" s="4" t="str">
        <f t="shared" si="150"/>
        <v>2025-03</v>
      </c>
      <c r="G1651" s="18">
        <f t="shared" si="151"/>
        <v>13</v>
      </c>
      <c r="H1651" t="str">
        <f t="shared" si="152"/>
        <v>ADMINISTRAÇÃO</v>
      </c>
      <c r="I1651" t="str">
        <f t="shared" si="153"/>
        <v>MAAT COMERCIO DE VESTUARIO LTDA EPP</v>
      </c>
      <c r="J1651">
        <f t="shared" si="154"/>
        <v>0</v>
      </c>
      <c r="K1651">
        <f t="shared" si="155"/>
        <v>1</v>
      </c>
    </row>
    <row r="1652" spans="1:11" x14ac:dyDescent="0.25">
      <c r="A1652" t="s">
        <v>418</v>
      </c>
      <c r="B1652" t="s">
        <v>168</v>
      </c>
      <c r="C1652" t="s">
        <v>71</v>
      </c>
      <c r="D1652" s="3">
        <v>45743</v>
      </c>
      <c r="E1652" t="str">
        <f>VLOOKUP(B1652,'PROCV GERENTES BD'!A:B,2,0)</f>
        <v>ADMINISTRAÇÃO</v>
      </c>
      <c r="F1652" s="4" t="str">
        <f t="shared" si="150"/>
        <v>2025-03</v>
      </c>
      <c r="G1652" s="18">
        <f t="shared" si="151"/>
        <v>13</v>
      </c>
      <c r="H1652" t="str">
        <f t="shared" si="152"/>
        <v>ADMINISTRAÇÃO</v>
      </c>
      <c r="I1652" t="str">
        <f t="shared" si="153"/>
        <v>MAAT COMERCIO DE VESTUARIO LTDA EPP</v>
      </c>
      <c r="J1652">
        <f t="shared" si="154"/>
        <v>0</v>
      </c>
      <c r="K1652">
        <f t="shared" si="155"/>
        <v>0</v>
      </c>
    </row>
    <row r="1653" spans="1:11" x14ac:dyDescent="0.25">
      <c r="A1653" t="s">
        <v>418</v>
      </c>
      <c r="B1653" t="s">
        <v>168</v>
      </c>
      <c r="C1653" t="s">
        <v>53</v>
      </c>
      <c r="D1653" s="3">
        <v>45743</v>
      </c>
      <c r="E1653" t="str">
        <f>VLOOKUP(B1653,'PROCV GERENTES BD'!A:B,2,0)</f>
        <v>ADMINISTRAÇÃO</v>
      </c>
      <c r="F1653" s="4" t="str">
        <f t="shared" si="150"/>
        <v>2025-03</v>
      </c>
      <c r="G1653" s="18">
        <f t="shared" si="151"/>
        <v>13</v>
      </c>
      <c r="H1653" t="str">
        <f t="shared" si="152"/>
        <v>ADMINISTRAÇÃO</v>
      </c>
      <c r="I1653" t="str">
        <f t="shared" si="153"/>
        <v>MAAT COMERCIO DE VESTUARIO LTDA EPP</v>
      </c>
      <c r="J1653">
        <f t="shared" si="154"/>
        <v>1</v>
      </c>
      <c r="K1653">
        <f t="shared" si="155"/>
        <v>1</v>
      </c>
    </row>
    <row r="1654" spans="1:11" x14ac:dyDescent="0.25">
      <c r="A1654" t="s">
        <v>419</v>
      </c>
      <c r="B1654" t="s">
        <v>199</v>
      </c>
      <c r="C1654" t="s">
        <v>50</v>
      </c>
      <c r="D1654" s="3">
        <v>45743</v>
      </c>
      <c r="E1654" t="str">
        <f>VLOOKUP(B1654,'PROCV GERENTES BD'!A:B,2,0)</f>
        <v>NOELI SALETE</v>
      </c>
      <c r="F1654" s="4" t="str">
        <f t="shared" si="150"/>
        <v>2025-03</v>
      </c>
      <c r="G1654" s="18">
        <f t="shared" si="151"/>
        <v>13</v>
      </c>
      <c r="H1654" t="str">
        <f t="shared" si="152"/>
        <v>NOELI SALETE</v>
      </c>
      <c r="I1654" t="str">
        <f t="shared" si="153"/>
        <v>GLOBAL ACO SERV PRODUTOS SIDERURGICOS LTDA RECUPER</v>
      </c>
      <c r="J1654">
        <f t="shared" si="154"/>
        <v>0</v>
      </c>
      <c r="K1654">
        <f t="shared" si="155"/>
        <v>1</v>
      </c>
    </row>
    <row r="1655" spans="1:11" x14ac:dyDescent="0.25">
      <c r="A1655" t="s">
        <v>72</v>
      </c>
      <c r="B1655" t="s">
        <v>73</v>
      </c>
      <c r="C1655" t="s">
        <v>50</v>
      </c>
      <c r="D1655" s="3">
        <v>45743</v>
      </c>
      <c r="E1655" t="str">
        <f>VLOOKUP(B1655,'PROCV GERENTES BD'!A:B,2,0)</f>
        <v>NOELI SALETE</v>
      </c>
      <c r="F1655" s="4" t="str">
        <f t="shared" si="150"/>
        <v>2025-03</v>
      </c>
      <c r="G1655" s="18">
        <f t="shared" si="151"/>
        <v>13</v>
      </c>
      <c r="H1655" t="str">
        <f t="shared" si="152"/>
        <v>NOELI SALETE</v>
      </c>
      <c r="I1655" t="str">
        <f t="shared" si="153"/>
        <v>SMARTCENTER SOLUCOES INTELIGENTES LTDA ME</v>
      </c>
      <c r="J1655">
        <f t="shared" si="154"/>
        <v>0</v>
      </c>
      <c r="K1655">
        <f t="shared" si="155"/>
        <v>1</v>
      </c>
    </row>
    <row r="1656" spans="1:11" x14ac:dyDescent="0.25">
      <c r="A1656" t="s">
        <v>400</v>
      </c>
      <c r="B1656" t="s">
        <v>150</v>
      </c>
      <c r="C1656" t="s">
        <v>50</v>
      </c>
      <c r="D1656" s="3">
        <v>45743</v>
      </c>
      <c r="E1656" t="str">
        <f>VLOOKUP(B1656,'PROCV GERENTES BD'!A:B,2,0)</f>
        <v>NOELI SALETE</v>
      </c>
      <c r="F1656" s="4" t="str">
        <f t="shared" si="150"/>
        <v>2025-03</v>
      </c>
      <c r="G1656" s="18">
        <f t="shared" si="151"/>
        <v>13</v>
      </c>
      <c r="H1656" t="str">
        <f t="shared" si="152"/>
        <v>NOELI SALETE</v>
      </c>
      <c r="I1656" t="str">
        <f t="shared" si="153"/>
        <v>POOLMAK SISTEMAS ESTRUTURAIS LTDA</v>
      </c>
      <c r="J1656">
        <f t="shared" si="154"/>
        <v>0</v>
      </c>
      <c r="K1656">
        <f t="shared" si="155"/>
        <v>1</v>
      </c>
    </row>
    <row r="1657" spans="1:11" x14ac:dyDescent="0.25">
      <c r="A1657" t="s">
        <v>486</v>
      </c>
      <c r="B1657" t="s">
        <v>243</v>
      </c>
      <c r="C1657" t="s">
        <v>50</v>
      </c>
      <c r="D1657" s="3">
        <v>45743</v>
      </c>
      <c r="E1657" t="str">
        <f>VLOOKUP(B1657,'PROCV GERENTES BD'!A:B,2,0)</f>
        <v>NOELI SALETE</v>
      </c>
      <c r="F1657" s="4" t="str">
        <f t="shared" si="150"/>
        <v>2025-03</v>
      </c>
      <c r="G1657" s="18">
        <f t="shared" si="151"/>
        <v>13</v>
      </c>
      <c r="H1657" t="str">
        <f t="shared" si="152"/>
        <v>NOELI SALETE</v>
      </c>
      <c r="I1657" t="str">
        <f t="shared" si="153"/>
        <v>SMARTCENTERGROUP COMERCIO DE EQUIPAMENTOS DE INFOR</v>
      </c>
      <c r="J1657">
        <f t="shared" si="154"/>
        <v>0</v>
      </c>
      <c r="K1657">
        <f t="shared" si="155"/>
        <v>1</v>
      </c>
    </row>
    <row r="1658" spans="1:11" x14ac:dyDescent="0.25">
      <c r="A1658" t="s">
        <v>438</v>
      </c>
      <c r="B1658" t="s">
        <v>189</v>
      </c>
      <c r="C1658" t="s">
        <v>53</v>
      </c>
      <c r="D1658" s="3">
        <v>45743</v>
      </c>
      <c r="E1658" t="str">
        <f>VLOOKUP(B1658,'PROCV GERENTES BD'!A:B,2,0)</f>
        <v>NOELI SALETE</v>
      </c>
      <c r="F1658" s="4" t="str">
        <f t="shared" si="150"/>
        <v>2025-03</v>
      </c>
      <c r="G1658" s="18">
        <f t="shared" si="151"/>
        <v>13</v>
      </c>
      <c r="H1658" t="str">
        <f t="shared" si="152"/>
        <v>NOELI SALETE</v>
      </c>
      <c r="I1658" t="str">
        <f t="shared" si="153"/>
        <v>AGRO INDUSTRIAL LAZZERI LTDA</v>
      </c>
      <c r="J1658">
        <f t="shared" si="154"/>
        <v>1</v>
      </c>
      <c r="K1658">
        <f t="shared" si="155"/>
        <v>1</v>
      </c>
    </row>
    <row r="1659" spans="1:11" x14ac:dyDescent="0.25">
      <c r="A1659" t="s">
        <v>346</v>
      </c>
      <c r="B1659" t="s">
        <v>91</v>
      </c>
      <c r="C1659" t="s">
        <v>50</v>
      </c>
      <c r="D1659" s="3">
        <v>45743</v>
      </c>
      <c r="E1659" t="str">
        <f>VLOOKUP(B1659,'PROCV GERENTES BD'!A:B,2,0)</f>
        <v>POENATELA</v>
      </c>
      <c r="F1659" s="4" t="str">
        <f t="shared" si="150"/>
        <v>2025-03</v>
      </c>
      <c r="G1659" s="18">
        <f t="shared" si="151"/>
        <v>13</v>
      </c>
      <c r="H1659" t="str">
        <f t="shared" si="152"/>
        <v>POENATELA</v>
      </c>
      <c r="I1659" t="str">
        <f t="shared" si="153"/>
        <v>UBERTEC SERVICE USINAGEM LTDA EPP</v>
      </c>
      <c r="J1659">
        <f t="shared" si="154"/>
        <v>0</v>
      </c>
      <c r="K1659">
        <f t="shared" si="155"/>
        <v>1</v>
      </c>
    </row>
    <row r="1660" spans="1:11" x14ac:dyDescent="0.25">
      <c r="A1660" t="s">
        <v>370</v>
      </c>
      <c r="B1660" t="s">
        <v>114</v>
      </c>
      <c r="C1660" t="s">
        <v>50</v>
      </c>
      <c r="D1660" s="3">
        <v>45743</v>
      </c>
      <c r="E1660" t="str">
        <f>VLOOKUP(B1660,'PROCV GERENTES BD'!A:B,2,0)</f>
        <v>POENATELA</v>
      </c>
      <c r="F1660" s="4" t="str">
        <f t="shared" si="150"/>
        <v>2025-03</v>
      </c>
      <c r="G1660" s="18">
        <f t="shared" si="151"/>
        <v>13</v>
      </c>
      <c r="H1660" t="str">
        <f t="shared" si="152"/>
        <v>POENATELA</v>
      </c>
      <c r="I1660" t="str">
        <f t="shared" si="153"/>
        <v>COOPERATIVA TRANSP AUTON CARGAS PASSAG SERVICOS LO</v>
      </c>
      <c r="J1660">
        <f t="shared" si="154"/>
        <v>0</v>
      </c>
      <c r="K1660">
        <f t="shared" si="155"/>
        <v>1</v>
      </c>
    </row>
    <row r="1661" spans="1:11" x14ac:dyDescent="0.25">
      <c r="A1661" t="s">
        <v>389</v>
      </c>
      <c r="B1661" t="s">
        <v>136</v>
      </c>
      <c r="C1661" t="s">
        <v>66</v>
      </c>
      <c r="D1661" s="3">
        <v>45743</v>
      </c>
      <c r="E1661" t="str">
        <f>VLOOKUP(B1661,'PROCV GERENTES BD'!A:B,2,0)</f>
        <v>POENATELA</v>
      </c>
      <c r="F1661" s="4" t="str">
        <f t="shared" si="150"/>
        <v>2025-03</v>
      </c>
      <c r="G1661" s="18">
        <f t="shared" si="151"/>
        <v>13</v>
      </c>
      <c r="H1661" t="str">
        <f t="shared" si="152"/>
        <v>POENATELA</v>
      </c>
      <c r="I1661" t="str">
        <f t="shared" si="153"/>
        <v>CONQUISTA INDUSTRIA DE MOVEIS S/A</v>
      </c>
      <c r="J1661">
        <f t="shared" si="154"/>
        <v>1</v>
      </c>
      <c r="K1661">
        <f t="shared" si="155"/>
        <v>0</v>
      </c>
    </row>
    <row r="1662" spans="1:11" x14ac:dyDescent="0.25">
      <c r="A1662" t="s">
        <v>344</v>
      </c>
      <c r="B1662" t="s">
        <v>89</v>
      </c>
      <c r="C1662" t="s">
        <v>71</v>
      </c>
      <c r="D1662" s="3">
        <v>45743</v>
      </c>
      <c r="E1662" t="str">
        <f>VLOOKUP(B1662,'PROCV GERENTES BD'!A:B,2,0)</f>
        <v>POENATELA</v>
      </c>
      <c r="F1662" s="4" t="str">
        <f t="shared" si="150"/>
        <v>2025-03</v>
      </c>
      <c r="G1662" s="18">
        <f t="shared" si="151"/>
        <v>13</v>
      </c>
      <c r="H1662" t="str">
        <f t="shared" si="152"/>
        <v>POENATELA</v>
      </c>
      <c r="I1662" t="str">
        <f t="shared" si="153"/>
        <v>CERVEJARIA SOUZA LTDA</v>
      </c>
      <c r="J1662">
        <f t="shared" si="154"/>
        <v>0</v>
      </c>
      <c r="K1662">
        <f t="shared" si="155"/>
        <v>0</v>
      </c>
    </row>
    <row r="1663" spans="1:11" x14ac:dyDescent="0.25">
      <c r="A1663" t="s">
        <v>344</v>
      </c>
      <c r="B1663" t="s">
        <v>89</v>
      </c>
      <c r="C1663" t="s">
        <v>66</v>
      </c>
      <c r="D1663" s="3">
        <v>45743</v>
      </c>
      <c r="E1663" t="str">
        <f>VLOOKUP(B1663,'PROCV GERENTES BD'!A:B,2,0)</f>
        <v>POENATELA</v>
      </c>
      <c r="F1663" s="4" t="str">
        <f t="shared" si="150"/>
        <v>2025-03</v>
      </c>
      <c r="G1663" s="18">
        <f t="shared" si="151"/>
        <v>13</v>
      </c>
      <c r="H1663" t="str">
        <f t="shared" si="152"/>
        <v>POENATELA</v>
      </c>
      <c r="I1663" t="str">
        <f t="shared" si="153"/>
        <v>CERVEJARIA SOUZA LTDA</v>
      </c>
      <c r="J1663">
        <f t="shared" si="154"/>
        <v>1</v>
      </c>
      <c r="K1663">
        <f t="shared" si="155"/>
        <v>0</v>
      </c>
    </row>
    <row r="1664" spans="1:11" x14ac:dyDescent="0.25">
      <c r="A1664" t="s">
        <v>346</v>
      </c>
      <c r="B1664" t="s">
        <v>91</v>
      </c>
      <c r="C1664" t="s">
        <v>50</v>
      </c>
      <c r="D1664" s="3">
        <v>45743</v>
      </c>
      <c r="E1664" t="str">
        <f>VLOOKUP(B1664,'PROCV GERENTES BD'!A:B,2,0)</f>
        <v>POENATELA</v>
      </c>
      <c r="F1664" s="4" t="str">
        <f t="shared" si="150"/>
        <v>2025-03</v>
      </c>
      <c r="G1664" s="18">
        <f t="shared" si="151"/>
        <v>13</v>
      </c>
      <c r="H1664" t="str">
        <f t="shared" si="152"/>
        <v>POENATELA</v>
      </c>
      <c r="I1664" t="str">
        <f t="shared" si="153"/>
        <v>UBERTEC SERVICE USINAGEM LTDA EPP</v>
      </c>
      <c r="J1664">
        <f t="shared" si="154"/>
        <v>0</v>
      </c>
      <c r="K1664">
        <f t="shared" si="155"/>
        <v>1</v>
      </c>
    </row>
    <row r="1665" spans="1:11" x14ac:dyDescent="0.25">
      <c r="A1665" t="s">
        <v>370</v>
      </c>
      <c r="B1665" t="s">
        <v>114</v>
      </c>
      <c r="C1665" t="s">
        <v>66</v>
      </c>
      <c r="D1665" s="3">
        <v>45743</v>
      </c>
      <c r="E1665" t="str">
        <f>VLOOKUP(B1665,'PROCV GERENTES BD'!A:B,2,0)</f>
        <v>POENATELA</v>
      </c>
      <c r="F1665" s="4" t="str">
        <f t="shared" si="150"/>
        <v>2025-03</v>
      </c>
      <c r="G1665" s="18">
        <f t="shared" si="151"/>
        <v>13</v>
      </c>
      <c r="H1665" t="str">
        <f t="shared" si="152"/>
        <v>POENATELA</v>
      </c>
      <c r="I1665" t="str">
        <f t="shared" si="153"/>
        <v>COOPERATIVA TRANSP AUTON CARGAS PASSAG SERVICOS LO</v>
      </c>
      <c r="J1665">
        <f t="shared" si="154"/>
        <v>1</v>
      </c>
      <c r="K1665">
        <f t="shared" si="155"/>
        <v>0</v>
      </c>
    </row>
    <row r="1666" spans="1:11" x14ac:dyDescent="0.25">
      <c r="A1666" t="s">
        <v>390</v>
      </c>
      <c r="B1666" t="s">
        <v>137</v>
      </c>
      <c r="C1666" t="s">
        <v>66</v>
      </c>
      <c r="D1666" s="3">
        <v>45743</v>
      </c>
      <c r="E1666" t="str">
        <f>VLOOKUP(B1666,'PROCV GERENTES BD'!A:B,2,0)</f>
        <v>PRISCILA METZ</v>
      </c>
      <c r="F1666" s="4" t="str">
        <f t="shared" ref="F1666:F1729" si="156">YEAR(D1666)&amp;"-"&amp;TEXT(MONTH(D1666),"00")</f>
        <v>2025-03</v>
      </c>
      <c r="G1666" s="18">
        <f t="shared" ref="G1666:G1729" si="157">WEEKNUM(D1666)</f>
        <v>13</v>
      </c>
      <c r="H1666" t="str">
        <f t="shared" ref="H1666:H1729" si="158">E1666</f>
        <v>PRISCILA METZ</v>
      </c>
      <c r="I1666" t="str">
        <f t="shared" ref="I1666:I1729" si="159">B1666</f>
        <v>VLF IMPERIAL LATICINIOS LTDA ME</v>
      </c>
      <c r="J1666">
        <f t="shared" ref="J1666:J1729" si="160">IF(OR(C1666="EXCLUSAO  ANOT.INADIMPLENCIA",C1666="INCL/EXCL ANOT.INADIMPLENCIA"),1,0)</f>
        <v>1</v>
      </c>
      <c r="K1666">
        <f t="shared" ref="K1666:K1729" si="161">IF(OR(C1666="INCLUSAO  ANOT.INADIMPLENCIA",C1666="INCL/EXCL ANOT.INADIMPLENCIA"),1,0)</f>
        <v>0</v>
      </c>
    </row>
    <row r="1667" spans="1:11" x14ac:dyDescent="0.25">
      <c r="A1667" t="s">
        <v>51</v>
      </c>
      <c r="B1667" t="s">
        <v>52</v>
      </c>
      <c r="C1667" t="s">
        <v>50</v>
      </c>
      <c r="D1667" s="3">
        <v>45743</v>
      </c>
      <c r="E1667" t="str">
        <f>VLOOKUP(B1667,'PROCV GERENTES BD'!A:B,2,0)</f>
        <v>RAFAEL PARISE</v>
      </c>
      <c r="F1667" s="4" t="str">
        <f t="shared" si="156"/>
        <v>2025-03</v>
      </c>
      <c r="G1667" s="18">
        <f t="shared" si="157"/>
        <v>13</v>
      </c>
      <c r="H1667" t="str">
        <f t="shared" si="158"/>
        <v>RAFAEL PARISE</v>
      </c>
      <c r="I1667" t="str">
        <f t="shared" si="159"/>
        <v>TDR TRANSPORTES LOGISTICA LTDA</v>
      </c>
      <c r="J1667">
        <f t="shared" si="160"/>
        <v>0</v>
      </c>
      <c r="K1667">
        <f t="shared" si="161"/>
        <v>1</v>
      </c>
    </row>
    <row r="1668" spans="1:11" x14ac:dyDescent="0.25">
      <c r="A1668" t="s">
        <v>471</v>
      </c>
      <c r="B1668" t="s">
        <v>228</v>
      </c>
      <c r="C1668" t="s">
        <v>50</v>
      </c>
      <c r="D1668" s="3">
        <v>45743</v>
      </c>
      <c r="E1668" t="str">
        <f>VLOOKUP(B1668,'PROCV GERENTES BD'!A:B,2,0)</f>
        <v>RAFAEL PARISE</v>
      </c>
      <c r="F1668" s="4" t="str">
        <f t="shared" si="156"/>
        <v>2025-03</v>
      </c>
      <c r="G1668" s="18">
        <f t="shared" si="157"/>
        <v>13</v>
      </c>
      <c r="H1668" t="str">
        <f t="shared" si="158"/>
        <v>RAFAEL PARISE</v>
      </c>
      <c r="I1668" t="str">
        <f t="shared" si="159"/>
        <v>ORNELAS TRANSPORTE E LOGISTICA LTDA</v>
      </c>
      <c r="J1668">
        <f t="shared" si="160"/>
        <v>0</v>
      </c>
      <c r="K1668">
        <f t="shared" si="161"/>
        <v>1</v>
      </c>
    </row>
    <row r="1669" spans="1:11" x14ac:dyDescent="0.25">
      <c r="A1669" t="s">
        <v>444</v>
      </c>
      <c r="B1669" t="s">
        <v>195</v>
      </c>
      <c r="C1669" t="s">
        <v>50</v>
      </c>
      <c r="D1669" s="3">
        <v>45743</v>
      </c>
      <c r="E1669" t="str">
        <f>VLOOKUP(B1669,'PROCV GERENTES BD'!A:B,2,0)</f>
        <v>RAFAEL PARISE</v>
      </c>
      <c r="F1669" s="4" t="str">
        <f t="shared" si="156"/>
        <v>2025-03</v>
      </c>
      <c r="G1669" s="18">
        <f t="shared" si="157"/>
        <v>13</v>
      </c>
      <c r="H1669" t="str">
        <f t="shared" si="158"/>
        <v>RAFAEL PARISE</v>
      </c>
      <c r="I1669" t="str">
        <f t="shared" si="159"/>
        <v>GEDIBOR RUBBER POLYURETHANE LTDA EPP</v>
      </c>
      <c r="J1669">
        <f t="shared" si="160"/>
        <v>0</v>
      </c>
      <c r="K1669">
        <f t="shared" si="161"/>
        <v>1</v>
      </c>
    </row>
    <row r="1670" spans="1:11" x14ac:dyDescent="0.25">
      <c r="A1670" t="s">
        <v>67</v>
      </c>
      <c r="B1670" t="s">
        <v>68</v>
      </c>
      <c r="C1670" t="s">
        <v>50</v>
      </c>
      <c r="D1670" s="3">
        <v>45743</v>
      </c>
      <c r="E1670" t="s">
        <v>21</v>
      </c>
      <c r="F1670" s="4" t="str">
        <f t="shared" si="156"/>
        <v>2025-03</v>
      </c>
      <c r="G1670" s="18">
        <f t="shared" si="157"/>
        <v>13</v>
      </c>
      <c r="H1670" t="str">
        <f t="shared" si="158"/>
        <v xml:space="preserve">ROGERIO </v>
      </c>
      <c r="I1670" t="str">
        <f t="shared" si="159"/>
        <v>DIOTTONI INDUSTRIA E COMERCIO DE ALIMENTOS LTDA ME</v>
      </c>
      <c r="J1670">
        <f t="shared" si="160"/>
        <v>0</v>
      </c>
      <c r="K1670">
        <f t="shared" si="161"/>
        <v>1</v>
      </c>
    </row>
    <row r="1671" spans="1:11" x14ac:dyDescent="0.25">
      <c r="A1671" t="s">
        <v>468</v>
      </c>
      <c r="B1671" t="s">
        <v>225</v>
      </c>
      <c r="C1671" t="s">
        <v>50</v>
      </c>
      <c r="D1671" s="3">
        <v>45743</v>
      </c>
      <c r="E1671" t="s">
        <v>21</v>
      </c>
      <c r="F1671" s="4" t="str">
        <f t="shared" si="156"/>
        <v>2025-03</v>
      </c>
      <c r="G1671" s="18">
        <f t="shared" si="157"/>
        <v>13</v>
      </c>
      <c r="H1671" t="str">
        <f t="shared" si="158"/>
        <v xml:space="preserve">ROGERIO </v>
      </c>
      <c r="I1671" t="str">
        <f t="shared" si="159"/>
        <v>TORQUE FERRAMENTAS LTDA ME</v>
      </c>
      <c r="J1671">
        <f t="shared" si="160"/>
        <v>0</v>
      </c>
      <c r="K1671">
        <f t="shared" si="161"/>
        <v>1</v>
      </c>
    </row>
    <row r="1672" spans="1:11" x14ac:dyDescent="0.25">
      <c r="A1672" t="s">
        <v>457</v>
      </c>
      <c r="B1672" t="s">
        <v>214</v>
      </c>
      <c r="C1672" t="s">
        <v>53</v>
      </c>
      <c r="D1672" s="3">
        <v>45743</v>
      </c>
      <c r="E1672" t="s">
        <v>21</v>
      </c>
      <c r="F1672" s="4" t="str">
        <f t="shared" si="156"/>
        <v>2025-03</v>
      </c>
      <c r="G1672" s="18">
        <f t="shared" si="157"/>
        <v>13</v>
      </c>
      <c r="H1672" t="str">
        <f t="shared" si="158"/>
        <v xml:space="preserve">ROGERIO </v>
      </c>
      <c r="I1672" t="str">
        <f t="shared" si="159"/>
        <v>METAL STAMP INDUSTRIA E COMERCIO LTDA</v>
      </c>
      <c r="J1672">
        <f t="shared" si="160"/>
        <v>1</v>
      </c>
      <c r="K1672">
        <f t="shared" si="161"/>
        <v>1</v>
      </c>
    </row>
    <row r="1673" spans="1:11" x14ac:dyDescent="0.25">
      <c r="A1673" t="s">
        <v>67</v>
      </c>
      <c r="B1673" t="s">
        <v>68</v>
      </c>
      <c r="C1673" t="s">
        <v>50</v>
      </c>
      <c r="D1673" s="3">
        <v>45743</v>
      </c>
      <c r="E1673" t="s">
        <v>21</v>
      </c>
      <c r="F1673" s="4" t="str">
        <f t="shared" si="156"/>
        <v>2025-03</v>
      </c>
      <c r="G1673" s="18">
        <f t="shared" si="157"/>
        <v>13</v>
      </c>
      <c r="H1673" t="str">
        <f t="shared" si="158"/>
        <v xml:space="preserve">ROGERIO </v>
      </c>
      <c r="I1673" t="str">
        <f t="shared" si="159"/>
        <v>DIOTTONI INDUSTRIA E COMERCIO DE ALIMENTOS LTDA ME</v>
      </c>
      <c r="J1673">
        <f t="shared" si="160"/>
        <v>0</v>
      </c>
      <c r="K1673">
        <f t="shared" si="161"/>
        <v>1</v>
      </c>
    </row>
    <row r="1674" spans="1:11" x14ac:dyDescent="0.25">
      <c r="A1674" t="s">
        <v>457</v>
      </c>
      <c r="B1674" t="s">
        <v>214</v>
      </c>
      <c r="C1674" t="s">
        <v>66</v>
      </c>
      <c r="D1674" s="3">
        <v>45743</v>
      </c>
      <c r="E1674" t="s">
        <v>21</v>
      </c>
      <c r="F1674" s="4" t="str">
        <f t="shared" si="156"/>
        <v>2025-03</v>
      </c>
      <c r="G1674" s="18">
        <f t="shared" si="157"/>
        <v>13</v>
      </c>
      <c r="H1674" t="str">
        <f t="shared" si="158"/>
        <v xml:space="preserve">ROGERIO </v>
      </c>
      <c r="I1674" t="str">
        <f t="shared" si="159"/>
        <v>METAL STAMP INDUSTRIA E COMERCIO LTDA</v>
      </c>
      <c r="J1674">
        <f t="shared" si="160"/>
        <v>1</v>
      </c>
      <c r="K1674">
        <f t="shared" si="161"/>
        <v>0</v>
      </c>
    </row>
    <row r="1675" spans="1:11" x14ac:dyDescent="0.25">
      <c r="A1675" t="s">
        <v>326</v>
      </c>
      <c r="B1675" t="s">
        <v>122</v>
      </c>
      <c r="C1675" t="s">
        <v>50</v>
      </c>
      <c r="D1675" s="3">
        <v>45743</v>
      </c>
      <c r="E1675" t="s">
        <v>21</v>
      </c>
      <c r="F1675" s="4" t="str">
        <f t="shared" si="156"/>
        <v>2025-03</v>
      </c>
      <c r="G1675" s="18">
        <f t="shared" si="157"/>
        <v>13</v>
      </c>
      <c r="H1675" t="str">
        <f t="shared" si="158"/>
        <v xml:space="preserve">ROGERIO </v>
      </c>
      <c r="I1675" t="str">
        <f t="shared" si="159"/>
        <v>BIBE PRODUTOS INFANTIS LTDA</v>
      </c>
      <c r="J1675">
        <f t="shared" si="160"/>
        <v>0</v>
      </c>
      <c r="K1675">
        <f t="shared" si="161"/>
        <v>1</v>
      </c>
    </row>
    <row r="1676" spans="1:11" x14ac:dyDescent="0.25">
      <c r="A1676" t="s">
        <v>325</v>
      </c>
      <c r="B1676" t="s">
        <v>138</v>
      </c>
      <c r="C1676" t="s">
        <v>50</v>
      </c>
      <c r="D1676" s="3">
        <v>45743</v>
      </c>
      <c r="E1676" t="str">
        <f>VLOOKUP(B1676,'PROCV GERENTES BD'!A:B,2,0)</f>
        <v>SACADO</v>
      </c>
      <c r="F1676" s="4" t="str">
        <f t="shared" si="156"/>
        <v>2025-03</v>
      </c>
      <c r="G1676" s="18">
        <f t="shared" si="157"/>
        <v>13</v>
      </c>
      <c r="H1676" t="str">
        <f t="shared" si="158"/>
        <v>SACADO</v>
      </c>
      <c r="I1676" t="str">
        <f t="shared" si="159"/>
        <v>ALLIAGE S A INDUSTRIAS MEDICO ODONTOLOGICA</v>
      </c>
      <c r="J1676">
        <f t="shared" si="160"/>
        <v>0</v>
      </c>
      <c r="K1676">
        <f t="shared" si="161"/>
        <v>1</v>
      </c>
    </row>
    <row r="1677" spans="1:11" x14ac:dyDescent="0.25">
      <c r="A1677" t="s">
        <v>484</v>
      </c>
      <c r="B1677" t="s">
        <v>245</v>
      </c>
      <c r="C1677" t="s">
        <v>328</v>
      </c>
      <c r="D1677" s="3">
        <v>45743</v>
      </c>
      <c r="E1677" t="str">
        <f>VLOOKUP(B1677,'PROCV GERENTES BD'!A:B,2,0)</f>
        <v>ADMINISTRAÇÃO</v>
      </c>
      <c r="F1677" s="4" t="str">
        <f t="shared" si="156"/>
        <v>2025-03</v>
      </c>
      <c r="G1677" s="18">
        <f t="shared" si="157"/>
        <v>13</v>
      </c>
      <c r="H1677" t="str">
        <f t="shared" si="158"/>
        <v>ADMINISTRAÇÃO</v>
      </c>
      <c r="I1677" t="str">
        <f t="shared" si="159"/>
        <v>REAL FILTROS E ACESSORIOS AUTOMOTIVOS LTDA</v>
      </c>
      <c r="J1677">
        <f t="shared" si="160"/>
        <v>0</v>
      </c>
      <c r="K1677">
        <f t="shared" si="161"/>
        <v>0</v>
      </c>
    </row>
    <row r="1678" spans="1:11" x14ac:dyDescent="0.25">
      <c r="A1678" t="s">
        <v>488</v>
      </c>
      <c r="B1678" t="s">
        <v>247</v>
      </c>
      <c r="C1678" t="s">
        <v>71</v>
      </c>
      <c r="D1678" s="3">
        <v>45743</v>
      </c>
      <c r="E1678" t="str">
        <f>VLOOKUP(B1678,'PROCV GERENTES BD'!A:B,2,0)</f>
        <v>CELIO PIMENTA</v>
      </c>
      <c r="F1678" s="4" t="str">
        <f t="shared" si="156"/>
        <v>2025-03</v>
      </c>
      <c r="G1678" s="18">
        <f t="shared" si="157"/>
        <v>13</v>
      </c>
      <c r="H1678" t="str">
        <f t="shared" si="158"/>
        <v>CELIO PIMENTA</v>
      </c>
      <c r="I1678" t="str">
        <f t="shared" si="159"/>
        <v>AZ HIDRAULICA USINAGEM LTDA EPP</v>
      </c>
      <c r="J1678">
        <f t="shared" si="160"/>
        <v>0</v>
      </c>
      <c r="K1678">
        <f t="shared" si="161"/>
        <v>0</v>
      </c>
    </row>
    <row r="1679" spans="1:11" x14ac:dyDescent="0.25">
      <c r="A1679" t="s">
        <v>314</v>
      </c>
      <c r="B1679" t="s">
        <v>246</v>
      </c>
      <c r="C1679" t="s">
        <v>328</v>
      </c>
      <c r="D1679" s="3">
        <v>45743</v>
      </c>
      <c r="E1679" t="str">
        <f>VLOOKUP(B1679,'PROCV GERENTES BD'!A:B,2,0)</f>
        <v xml:space="preserve">ROGERIO </v>
      </c>
      <c r="F1679" s="4" t="str">
        <f t="shared" si="156"/>
        <v>2025-03</v>
      </c>
      <c r="G1679" s="18">
        <f t="shared" si="157"/>
        <v>13</v>
      </c>
      <c r="H1679" t="str">
        <f t="shared" si="158"/>
        <v xml:space="preserve">ROGERIO </v>
      </c>
      <c r="I1679" t="str">
        <f t="shared" si="159"/>
        <v>MUTCD CENTRO DE DISTRIBUICAO DE IND FABRICANTE DE</v>
      </c>
      <c r="J1679">
        <f t="shared" si="160"/>
        <v>0</v>
      </c>
      <c r="K1679">
        <f t="shared" si="161"/>
        <v>0</v>
      </c>
    </row>
    <row r="1680" spans="1:11" x14ac:dyDescent="0.25">
      <c r="A1680" t="s">
        <v>54</v>
      </c>
      <c r="B1680" t="s">
        <v>55</v>
      </c>
      <c r="C1680" t="s">
        <v>66</v>
      </c>
      <c r="D1680" s="3">
        <v>45744</v>
      </c>
      <c r="E1680" t="str">
        <f>VLOOKUP(B1680,'PROCV GERENTES BD'!A:B,2,0)</f>
        <v>CELIO PIMENTA</v>
      </c>
      <c r="F1680" s="4" t="str">
        <f t="shared" si="156"/>
        <v>2025-03</v>
      </c>
      <c r="G1680" s="18">
        <f t="shared" si="157"/>
        <v>13</v>
      </c>
      <c r="H1680" t="str">
        <f t="shared" si="158"/>
        <v>CELIO PIMENTA</v>
      </c>
      <c r="I1680" t="str">
        <f t="shared" si="159"/>
        <v>WJ CALDEIRARIA INDUSTRIA E COMERCIO LTDA ME</v>
      </c>
      <c r="J1680">
        <f t="shared" si="160"/>
        <v>1</v>
      </c>
      <c r="K1680">
        <f t="shared" si="161"/>
        <v>0</v>
      </c>
    </row>
    <row r="1681" spans="1:11" x14ac:dyDescent="0.25">
      <c r="A1681" t="s">
        <v>319</v>
      </c>
      <c r="B1681" t="s">
        <v>80</v>
      </c>
      <c r="C1681" t="s">
        <v>66</v>
      </c>
      <c r="D1681" s="3">
        <v>45744</v>
      </c>
      <c r="E1681" t="str">
        <f>VLOOKUP(B1681,'PROCV GERENTES BD'!A:B,2,0)</f>
        <v>CELIO PIMENTA</v>
      </c>
      <c r="F1681" s="4" t="str">
        <f t="shared" si="156"/>
        <v>2025-03</v>
      </c>
      <c r="G1681" s="18">
        <f t="shared" si="157"/>
        <v>13</v>
      </c>
      <c r="H1681" t="str">
        <f t="shared" si="158"/>
        <v>CELIO PIMENTA</v>
      </c>
      <c r="I1681" t="str">
        <f t="shared" si="159"/>
        <v>IMPORTEXTIL COMERCIO DE TECIDOS LTDA</v>
      </c>
      <c r="J1681">
        <f t="shared" si="160"/>
        <v>1</v>
      </c>
      <c r="K1681">
        <f t="shared" si="161"/>
        <v>0</v>
      </c>
    </row>
    <row r="1682" spans="1:11" x14ac:dyDescent="0.25">
      <c r="A1682" t="s">
        <v>460</v>
      </c>
      <c r="B1682" t="s">
        <v>217</v>
      </c>
      <c r="C1682" t="s">
        <v>66</v>
      </c>
      <c r="D1682" s="3">
        <v>45744</v>
      </c>
      <c r="E1682" t="str">
        <f>VLOOKUP(B1682,'PROCV GERENTES BD'!A:B,2,0)</f>
        <v>CELIO PIMENTA</v>
      </c>
      <c r="F1682" s="4" t="str">
        <f t="shared" si="156"/>
        <v>2025-03</v>
      </c>
      <c r="G1682" s="18">
        <f t="shared" si="157"/>
        <v>13</v>
      </c>
      <c r="H1682" t="str">
        <f t="shared" si="158"/>
        <v>CELIO PIMENTA</v>
      </c>
      <c r="I1682" t="str">
        <f t="shared" si="159"/>
        <v>MINAS CLEAN DISTRIBUIDORA DE PRODUTOS PARA LIMPEZA</v>
      </c>
      <c r="J1682">
        <f t="shared" si="160"/>
        <v>1</v>
      </c>
      <c r="K1682">
        <f t="shared" si="161"/>
        <v>0</v>
      </c>
    </row>
    <row r="1683" spans="1:11" x14ac:dyDescent="0.25">
      <c r="A1683" t="s">
        <v>467</v>
      </c>
      <c r="B1683" t="s">
        <v>224</v>
      </c>
      <c r="C1683" t="s">
        <v>50</v>
      </c>
      <c r="D1683" s="3">
        <v>45744</v>
      </c>
      <c r="E1683" t="str">
        <f>VLOOKUP(B1683,'PROCV GERENTES BD'!A:B,2,0)</f>
        <v>DIOGO AZEVEDO</v>
      </c>
      <c r="F1683" s="4" t="str">
        <f t="shared" si="156"/>
        <v>2025-03</v>
      </c>
      <c r="G1683" s="18">
        <f t="shared" si="157"/>
        <v>13</v>
      </c>
      <c r="H1683" t="str">
        <f t="shared" si="158"/>
        <v>DIOGO AZEVEDO</v>
      </c>
      <c r="I1683" t="str">
        <f t="shared" si="159"/>
        <v>VGS COMERCIO DE EMBALAGENS DE MADEIRAS LTDA ME</v>
      </c>
      <c r="J1683">
        <f t="shared" si="160"/>
        <v>0</v>
      </c>
      <c r="K1683">
        <f t="shared" si="161"/>
        <v>1</v>
      </c>
    </row>
    <row r="1684" spans="1:11" x14ac:dyDescent="0.25">
      <c r="A1684" t="s">
        <v>411</v>
      </c>
      <c r="B1684" t="s">
        <v>161</v>
      </c>
      <c r="C1684" t="s">
        <v>50</v>
      </c>
      <c r="D1684" s="3">
        <v>45744</v>
      </c>
      <c r="E1684" t="str">
        <f>VLOOKUP(B1684,'PROCV GERENTES BD'!A:B,2,0)</f>
        <v>PROSPECTAR</v>
      </c>
      <c r="F1684" s="4" t="str">
        <f t="shared" si="156"/>
        <v>2025-03</v>
      </c>
      <c r="G1684" s="18">
        <f t="shared" si="157"/>
        <v>13</v>
      </c>
      <c r="H1684" t="str">
        <f t="shared" si="158"/>
        <v>PROSPECTAR</v>
      </c>
      <c r="I1684" t="str">
        <f t="shared" si="159"/>
        <v>ESCUDO VIGILANCIA E SEGURANCA LTDA EM RECUPERACAO</v>
      </c>
      <c r="J1684">
        <f t="shared" si="160"/>
        <v>0</v>
      </c>
      <c r="K1684">
        <f t="shared" si="161"/>
        <v>1</v>
      </c>
    </row>
    <row r="1685" spans="1:11" x14ac:dyDescent="0.25">
      <c r="A1685" t="s">
        <v>62</v>
      </c>
      <c r="B1685" t="s">
        <v>63</v>
      </c>
      <c r="C1685" t="s">
        <v>50</v>
      </c>
      <c r="D1685" s="3">
        <v>45744</v>
      </c>
      <c r="E1685" t="str">
        <f>VLOOKUP(B1685,'PROCV GERENTES BD'!A:B,2,0)</f>
        <v>PROSPECTAR</v>
      </c>
      <c r="F1685" s="4" t="str">
        <f t="shared" si="156"/>
        <v>2025-03</v>
      </c>
      <c r="G1685" s="18">
        <f t="shared" si="157"/>
        <v>13</v>
      </c>
      <c r="H1685" t="str">
        <f t="shared" si="158"/>
        <v>PROSPECTAR</v>
      </c>
      <c r="I1685" t="str">
        <f t="shared" si="159"/>
        <v>MAPP COM IMPORTACAO EXPORTACAO IND PRODUTOS ALIMEN</v>
      </c>
      <c r="J1685">
        <f t="shared" si="160"/>
        <v>0</v>
      </c>
      <c r="K1685">
        <f t="shared" si="161"/>
        <v>1</v>
      </c>
    </row>
    <row r="1686" spans="1:11" x14ac:dyDescent="0.25">
      <c r="A1686" t="s">
        <v>72</v>
      </c>
      <c r="B1686" t="s">
        <v>73</v>
      </c>
      <c r="C1686" t="s">
        <v>50</v>
      </c>
      <c r="D1686" s="3">
        <v>45744</v>
      </c>
      <c r="E1686" t="str">
        <f>VLOOKUP(B1686,'PROCV GERENTES BD'!A:B,2,0)</f>
        <v>NOELI SALETE</v>
      </c>
      <c r="F1686" s="4" t="str">
        <f t="shared" si="156"/>
        <v>2025-03</v>
      </c>
      <c r="G1686" s="18">
        <f t="shared" si="157"/>
        <v>13</v>
      </c>
      <c r="H1686" t="str">
        <f t="shared" si="158"/>
        <v>NOELI SALETE</v>
      </c>
      <c r="I1686" t="str">
        <f t="shared" si="159"/>
        <v>SMARTCENTER SOLUCOES INTELIGENTES LTDA ME</v>
      </c>
      <c r="J1686">
        <f t="shared" si="160"/>
        <v>0</v>
      </c>
      <c r="K1686">
        <f t="shared" si="161"/>
        <v>1</v>
      </c>
    </row>
    <row r="1687" spans="1:11" x14ac:dyDescent="0.25">
      <c r="A1687" t="s">
        <v>67</v>
      </c>
      <c r="B1687" t="s">
        <v>68</v>
      </c>
      <c r="C1687" t="s">
        <v>50</v>
      </c>
      <c r="D1687" s="3">
        <v>45744</v>
      </c>
      <c r="E1687" t="s">
        <v>21</v>
      </c>
      <c r="F1687" s="4" t="str">
        <f t="shared" si="156"/>
        <v>2025-03</v>
      </c>
      <c r="G1687" s="18">
        <f t="shared" si="157"/>
        <v>13</v>
      </c>
      <c r="H1687" t="str">
        <f t="shared" si="158"/>
        <v xml:space="preserve">ROGERIO </v>
      </c>
      <c r="I1687" t="str">
        <f t="shared" si="159"/>
        <v>DIOTTONI INDUSTRIA E COMERCIO DE ALIMENTOS LTDA ME</v>
      </c>
      <c r="J1687">
        <f t="shared" si="160"/>
        <v>0</v>
      </c>
      <c r="K1687">
        <f t="shared" si="161"/>
        <v>1</v>
      </c>
    </row>
    <row r="1688" spans="1:11" x14ac:dyDescent="0.25">
      <c r="A1688" t="s">
        <v>56</v>
      </c>
      <c r="B1688" t="s">
        <v>57</v>
      </c>
      <c r="C1688" t="s">
        <v>66</v>
      </c>
      <c r="D1688" s="3">
        <v>45744</v>
      </c>
      <c r="E1688" t="str">
        <f>VLOOKUP(B1688,'PROCV GERENTES BD'!A:B,2,0)</f>
        <v xml:space="preserve">ROGERIO </v>
      </c>
      <c r="F1688" s="4" t="str">
        <f t="shared" si="156"/>
        <v>2025-03</v>
      </c>
      <c r="G1688" s="18">
        <f t="shared" si="157"/>
        <v>13</v>
      </c>
      <c r="H1688" t="str">
        <f t="shared" si="158"/>
        <v xml:space="preserve">ROGERIO </v>
      </c>
      <c r="I1688" t="str">
        <f t="shared" si="159"/>
        <v>RODOVIEIRA TRANSPORTE LTDA</v>
      </c>
      <c r="J1688">
        <f t="shared" si="160"/>
        <v>1</v>
      </c>
      <c r="K1688">
        <f t="shared" si="161"/>
        <v>0</v>
      </c>
    </row>
    <row r="1689" spans="1:11" x14ac:dyDescent="0.25">
      <c r="A1689" t="s">
        <v>314</v>
      </c>
      <c r="B1689" t="s">
        <v>246</v>
      </c>
      <c r="C1689" t="s">
        <v>66</v>
      </c>
      <c r="D1689" s="3">
        <v>45744</v>
      </c>
      <c r="E1689" t="str">
        <f>VLOOKUP(B1689,'PROCV GERENTES BD'!A:B,2,0)</f>
        <v xml:space="preserve">ROGERIO </v>
      </c>
      <c r="F1689" s="4" t="str">
        <f t="shared" si="156"/>
        <v>2025-03</v>
      </c>
      <c r="G1689" s="18">
        <f t="shared" si="157"/>
        <v>13</v>
      </c>
      <c r="H1689" t="str">
        <f t="shared" si="158"/>
        <v xml:space="preserve">ROGERIO </v>
      </c>
      <c r="I1689" t="str">
        <f t="shared" si="159"/>
        <v>MUTCD CENTRO DE DISTRIBUICAO DE IND FABRICANTE DE</v>
      </c>
      <c r="J1689">
        <f t="shared" si="160"/>
        <v>1</v>
      </c>
      <c r="K1689">
        <f t="shared" si="161"/>
        <v>0</v>
      </c>
    </row>
    <row r="1690" spans="1:11" x14ac:dyDescent="0.25">
      <c r="A1690" t="s">
        <v>382</v>
      </c>
      <c r="B1690" t="s">
        <v>129</v>
      </c>
      <c r="C1690" t="s">
        <v>50</v>
      </c>
      <c r="D1690" s="3">
        <v>45745</v>
      </c>
      <c r="E1690" t="str">
        <f>VLOOKUP(B1690,'PROCV GERENTES BD'!A:B,2,0)</f>
        <v>ADMINISTRAÇÃO</v>
      </c>
      <c r="F1690" s="4" t="str">
        <f t="shared" si="156"/>
        <v>2025-03</v>
      </c>
      <c r="G1690" s="18">
        <f t="shared" si="157"/>
        <v>13</v>
      </c>
      <c r="H1690" t="str">
        <f t="shared" si="158"/>
        <v>ADMINISTRAÇÃO</v>
      </c>
      <c r="I1690" t="str">
        <f t="shared" si="159"/>
        <v>XEQUE MATE BEBIDAS LTDA ME</v>
      </c>
      <c r="J1690">
        <f t="shared" si="160"/>
        <v>0</v>
      </c>
      <c r="K1690">
        <f t="shared" si="161"/>
        <v>1</v>
      </c>
    </row>
    <row r="1691" spans="1:11" x14ac:dyDescent="0.25">
      <c r="A1691" t="s">
        <v>372</v>
      </c>
      <c r="B1691" t="s">
        <v>116</v>
      </c>
      <c r="C1691" t="s">
        <v>66</v>
      </c>
      <c r="D1691" s="3">
        <v>45745</v>
      </c>
      <c r="E1691" t="str">
        <f>VLOOKUP(B1691,'PROCV GERENTES BD'!A:B,2,0)</f>
        <v>ADMINISTRAÇÃO</v>
      </c>
      <c r="F1691" s="4" t="str">
        <f t="shared" si="156"/>
        <v>2025-03</v>
      </c>
      <c r="G1691" s="18">
        <f t="shared" si="157"/>
        <v>13</v>
      </c>
      <c r="H1691" t="str">
        <f t="shared" si="158"/>
        <v>ADMINISTRAÇÃO</v>
      </c>
      <c r="I1691" t="str">
        <f t="shared" si="159"/>
        <v>PREMOLDADOS MATOSINHOS LTDA EPP</v>
      </c>
      <c r="J1691">
        <f t="shared" si="160"/>
        <v>1</v>
      </c>
      <c r="K1691">
        <f t="shared" si="161"/>
        <v>0</v>
      </c>
    </row>
    <row r="1692" spans="1:11" x14ac:dyDescent="0.25">
      <c r="A1692" t="s">
        <v>54</v>
      </c>
      <c r="B1692" t="s">
        <v>55</v>
      </c>
      <c r="C1692" t="s">
        <v>50</v>
      </c>
      <c r="D1692" s="3">
        <v>45745</v>
      </c>
      <c r="E1692" t="str">
        <f>VLOOKUP(B1692,'PROCV GERENTES BD'!A:B,2,0)</f>
        <v>CELIO PIMENTA</v>
      </c>
      <c r="F1692" s="4" t="str">
        <f t="shared" si="156"/>
        <v>2025-03</v>
      </c>
      <c r="G1692" s="18">
        <f t="shared" si="157"/>
        <v>13</v>
      </c>
      <c r="H1692" t="str">
        <f t="shared" si="158"/>
        <v>CELIO PIMENTA</v>
      </c>
      <c r="I1692" t="str">
        <f t="shared" si="159"/>
        <v>WJ CALDEIRARIA INDUSTRIA E COMERCIO LTDA ME</v>
      </c>
      <c r="J1692">
        <f t="shared" si="160"/>
        <v>0</v>
      </c>
      <c r="K1692">
        <f t="shared" si="161"/>
        <v>1</v>
      </c>
    </row>
    <row r="1693" spans="1:11" x14ac:dyDescent="0.25">
      <c r="A1693" t="s">
        <v>467</v>
      </c>
      <c r="B1693" t="s">
        <v>224</v>
      </c>
      <c r="C1693" t="s">
        <v>50</v>
      </c>
      <c r="D1693" s="3">
        <v>45745</v>
      </c>
      <c r="E1693" t="str">
        <f>VLOOKUP(B1693,'PROCV GERENTES BD'!A:B,2,0)</f>
        <v>DIOGO AZEVEDO</v>
      </c>
      <c r="F1693" s="4" t="str">
        <f t="shared" si="156"/>
        <v>2025-03</v>
      </c>
      <c r="G1693" s="18">
        <f t="shared" si="157"/>
        <v>13</v>
      </c>
      <c r="H1693" t="str">
        <f t="shared" si="158"/>
        <v>DIOGO AZEVEDO</v>
      </c>
      <c r="I1693" t="str">
        <f t="shared" si="159"/>
        <v>VGS COMERCIO DE EMBALAGENS DE MADEIRAS LTDA ME</v>
      </c>
      <c r="J1693">
        <f t="shared" si="160"/>
        <v>0</v>
      </c>
      <c r="K1693">
        <f t="shared" si="161"/>
        <v>1</v>
      </c>
    </row>
    <row r="1694" spans="1:11" x14ac:dyDescent="0.25">
      <c r="A1694" t="s">
        <v>472</v>
      </c>
      <c r="B1694" t="s">
        <v>229</v>
      </c>
      <c r="C1694" t="s">
        <v>50</v>
      </c>
      <c r="D1694" s="3">
        <v>45745</v>
      </c>
      <c r="E1694" t="str">
        <f>VLOOKUP(B1694,'PROCV GERENTES BD'!A:B,2,0)</f>
        <v>PROSPECTAR</v>
      </c>
      <c r="F1694" s="4" t="str">
        <f t="shared" si="156"/>
        <v>2025-03</v>
      </c>
      <c r="G1694" s="18">
        <f t="shared" si="157"/>
        <v>13</v>
      </c>
      <c r="H1694" t="str">
        <f t="shared" si="158"/>
        <v>PROSPECTAR</v>
      </c>
      <c r="I1694" t="str">
        <f t="shared" si="159"/>
        <v>ELO TELECOMUNICACOES E CONSTRUCOES S/A</v>
      </c>
      <c r="J1694">
        <f t="shared" si="160"/>
        <v>0</v>
      </c>
      <c r="K1694">
        <f t="shared" si="161"/>
        <v>1</v>
      </c>
    </row>
    <row r="1695" spans="1:11" x14ac:dyDescent="0.25">
      <c r="A1695" t="s">
        <v>402</v>
      </c>
      <c r="B1695" t="s">
        <v>152</v>
      </c>
      <c r="C1695" t="s">
        <v>66</v>
      </c>
      <c r="D1695" s="3">
        <v>45745</v>
      </c>
      <c r="E1695" t="str">
        <f>VLOOKUP(B1695,'PROCV GERENTES BD'!A:B,2,0)</f>
        <v>PROSPECTAR</v>
      </c>
      <c r="F1695" s="4" t="str">
        <f t="shared" si="156"/>
        <v>2025-03</v>
      </c>
      <c r="G1695" s="18">
        <f t="shared" si="157"/>
        <v>13</v>
      </c>
      <c r="H1695" t="str">
        <f t="shared" si="158"/>
        <v>PROSPECTAR</v>
      </c>
      <c r="I1695" t="str">
        <f t="shared" si="159"/>
        <v>MOINHO DE TRIGO JM LTDA</v>
      </c>
      <c r="J1695">
        <f t="shared" si="160"/>
        <v>1</v>
      </c>
      <c r="K1695">
        <f t="shared" si="161"/>
        <v>0</v>
      </c>
    </row>
    <row r="1696" spans="1:11" x14ac:dyDescent="0.25">
      <c r="A1696" t="s">
        <v>415</v>
      </c>
      <c r="B1696" t="s">
        <v>165</v>
      </c>
      <c r="C1696" t="s">
        <v>50</v>
      </c>
      <c r="D1696" s="3">
        <v>45745</v>
      </c>
      <c r="E1696" t="str">
        <f>VLOOKUP(B1696,'PROCV GERENTES BD'!A:B,2,0)</f>
        <v>PROSPECTAR</v>
      </c>
      <c r="F1696" s="4" t="str">
        <f t="shared" si="156"/>
        <v>2025-03</v>
      </c>
      <c r="G1696" s="18">
        <f t="shared" si="157"/>
        <v>13</v>
      </c>
      <c r="H1696" t="str">
        <f t="shared" si="158"/>
        <v>PROSPECTAR</v>
      </c>
      <c r="I1696" t="str">
        <f t="shared" si="159"/>
        <v>STA SERVICOS LTDA</v>
      </c>
      <c r="J1696">
        <f t="shared" si="160"/>
        <v>0</v>
      </c>
      <c r="K1696">
        <f t="shared" si="161"/>
        <v>1</v>
      </c>
    </row>
    <row r="1697" spans="1:11" x14ac:dyDescent="0.25">
      <c r="A1697" t="s">
        <v>359</v>
      </c>
      <c r="B1697" t="s">
        <v>105</v>
      </c>
      <c r="C1697" t="s">
        <v>50</v>
      </c>
      <c r="D1697" s="3">
        <v>45745</v>
      </c>
      <c r="E1697" t="str">
        <f>VLOOKUP(B1697,'PROCV GERENTES BD'!A:B,2,0)</f>
        <v>PROSPECTAR</v>
      </c>
      <c r="F1697" s="4" t="str">
        <f t="shared" si="156"/>
        <v>2025-03</v>
      </c>
      <c r="G1697" s="18">
        <f t="shared" si="157"/>
        <v>13</v>
      </c>
      <c r="H1697" t="str">
        <f t="shared" si="158"/>
        <v>PROSPECTAR</v>
      </c>
      <c r="I1697" t="str">
        <f t="shared" si="159"/>
        <v>ALEXANDRE ROSA VICENTE E SERVICOS LTDA ME</v>
      </c>
      <c r="J1697">
        <f t="shared" si="160"/>
        <v>0</v>
      </c>
      <c r="K1697">
        <f t="shared" si="161"/>
        <v>1</v>
      </c>
    </row>
    <row r="1698" spans="1:11" x14ac:dyDescent="0.25">
      <c r="A1698" t="s">
        <v>412</v>
      </c>
      <c r="B1698" t="s">
        <v>162</v>
      </c>
      <c r="C1698" t="s">
        <v>50</v>
      </c>
      <c r="D1698" s="3">
        <v>45745</v>
      </c>
      <c r="E1698" t="str">
        <f>VLOOKUP(B1698,'PROCV GERENTES BD'!A:B,2,0)</f>
        <v>PROSPECTAR</v>
      </c>
      <c r="F1698" s="4" t="str">
        <f t="shared" si="156"/>
        <v>2025-03</v>
      </c>
      <c r="G1698" s="18">
        <f t="shared" si="157"/>
        <v>13</v>
      </c>
      <c r="H1698" t="str">
        <f t="shared" si="158"/>
        <v>PROSPECTAR</v>
      </c>
      <c r="I1698" t="str">
        <f t="shared" si="159"/>
        <v>MORIA PRESTACAO DE SERVICOS LTDA ME</v>
      </c>
      <c r="J1698">
        <f t="shared" si="160"/>
        <v>0</v>
      </c>
      <c r="K1698">
        <f t="shared" si="161"/>
        <v>1</v>
      </c>
    </row>
    <row r="1699" spans="1:11" x14ac:dyDescent="0.25">
      <c r="A1699" t="s">
        <v>62</v>
      </c>
      <c r="B1699" t="s">
        <v>63</v>
      </c>
      <c r="C1699" t="s">
        <v>50</v>
      </c>
      <c r="D1699" s="3">
        <v>45745</v>
      </c>
      <c r="E1699" t="str">
        <f>VLOOKUP(B1699,'PROCV GERENTES BD'!A:B,2,0)</f>
        <v>PROSPECTAR</v>
      </c>
      <c r="F1699" s="4" t="str">
        <f t="shared" si="156"/>
        <v>2025-03</v>
      </c>
      <c r="G1699" s="18">
        <f t="shared" si="157"/>
        <v>13</v>
      </c>
      <c r="H1699" t="str">
        <f t="shared" si="158"/>
        <v>PROSPECTAR</v>
      </c>
      <c r="I1699" t="str">
        <f t="shared" si="159"/>
        <v>MAPP COM IMPORTACAO EXPORTACAO IND PRODUTOS ALIMEN</v>
      </c>
      <c r="J1699">
        <f t="shared" si="160"/>
        <v>0</v>
      </c>
      <c r="K1699">
        <f t="shared" si="161"/>
        <v>1</v>
      </c>
    </row>
    <row r="1700" spans="1:11" x14ac:dyDescent="0.25">
      <c r="A1700" t="s">
        <v>60</v>
      </c>
      <c r="B1700" t="s">
        <v>61</v>
      </c>
      <c r="C1700" t="s">
        <v>53</v>
      </c>
      <c r="D1700" s="3">
        <v>45745</v>
      </c>
      <c r="E1700" t="str">
        <f>VLOOKUP(B1700,'PROCV GERENTES BD'!A:B,2,0)</f>
        <v xml:space="preserve">MARCUS VINICIUS </v>
      </c>
      <c r="F1700" s="4" t="str">
        <f t="shared" si="156"/>
        <v>2025-03</v>
      </c>
      <c r="G1700" s="18">
        <f t="shared" si="157"/>
        <v>13</v>
      </c>
      <c r="H1700" t="str">
        <f t="shared" si="158"/>
        <v xml:space="preserve">MARCUS VINICIUS </v>
      </c>
      <c r="I1700" t="str">
        <f t="shared" si="159"/>
        <v>COM IND DE CEREAIS E TRANSPORTES MACIEL LTDA</v>
      </c>
      <c r="J1700">
        <f t="shared" si="160"/>
        <v>1</v>
      </c>
      <c r="K1700">
        <f t="shared" si="161"/>
        <v>1</v>
      </c>
    </row>
    <row r="1701" spans="1:11" x14ac:dyDescent="0.25">
      <c r="A1701" t="s">
        <v>419</v>
      </c>
      <c r="B1701" t="s">
        <v>199</v>
      </c>
      <c r="C1701" t="s">
        <v>50</v>
      </c>
      <c r="D1701" s="3">
        <v>45745</v>
      </c>
      <c r="E1701" t="str">
        <f>VLOOKUP(B1701,'PROCV GERENTES BD'!A:B,2,0)</f>
        <v>NOELI SALETE</v>
      </c>
      <c r="F1701" s="4" t="str">
        <f t="shared" si="156"/>
        <v>2025-03</v>
      </c>
      <c r="G1701" s="18">
        <f t="shared" si="157"/>
        <v>13</v>
      </c>
      <c r="H1701" t="str">
        <f t="shared" si="158"/>
        <v>NOELI SALETE</v>
      </c>
      <c r="I1701" t="str">
        <f t="shared" si="159"/>
        <v>GLOBAL ACO SERV PRODUTOS SIDERURGICOS LTDA RECUPER</v>
      </c>
      <c r="J1701">
        <f t="shared" si="160"/>
        <v>0</v>
      </c>
      <c r="K1701">
        <f t="shared" si="161"/>
        <v>1</v>
      </c>
    </row>
    <row r="1702" spans="1:11" x14ac:dyDescent="0.25">
      <c r="A1702" t="s">
        <v>72</v>
      </c>
      <c r="B1702" t="s">
        <v>73</v>
      </c>
      <c r="C1702" t="s">
        <v>50</v>
      </c>
      <c r="D1702" s="3">
        <v>45745</v>
      </c>
      <c r="E1702" t="str">
        <f>VLOOKUP(B1702,'PROCV GERENTES BD'!A:B,2,0)</f>
        <v>NOELI SALETE</v>
      </c>
      <c r="F1702" s="4" t="str">
        <f t="shared" si="156"/>
        <v>2025-03</v>
      </c>
      <c r="G1702" s="18">
        <f t="shared" si="157"/>
        <v>13</v>
      </c>
      <c r="H1702" t="str">
        <f t="shared" si="158"/>
        <v>NOELI SALETE</v>
      </c>
      <c r="I1702" t="str">
        <f t="shared" si="159"/>
        <v>SMARTCENTER SOLUCOES INTELIGENTES LTDA ME</v>
      </c>
      <c r="J1702">
        <f t="shared" si="160"/>
        <v>0</v>
      </c>
      <c r="K1702">
        <f t="shared" si="161"/>
        <v>1</v>
      </c>
    </row>
    <row r="1703" spans="1:11" x14ac:dyDescent="0.25">
      <c r="A1703" t="s">
        <v>400</v>
      </c>
      <c r="B1703" t="s">
        <v>150</v>
      </c>
      <c r="C1703" t="s">
        <v>50</v>
      </c>
      <c r="D1703" s="3">
        <v>45745</v>
      </c>
      <c r="E1703" t="str">
        <f>VLOOKUP(B1703,'PROCV GERENTES BD'!A:B,2,0)</f>
        <v>NOELI SALETE</v>
      </c>
      <c r="F1703" s="4" t="str">
        <f t="shared" si="156"/>
        <v>2025-03</v>
      </c>
      <c r="G1703" s="18">
        <f t="shared" si="157"/>
        <v>13</v>
      </c>
      <c r="H1703" t="str">
        <f t="shared" si="158"/>
        <v>NOELI SALETE</v>
      </c>
      <c r="I1703" t="str">
        <f t="shared" si="159"/>
        <v>POOLMAK SISTEMAS ESTRUTURAIS LTDA</v>
      </c>
      <c r="J1703">
        <f t="shared" si="160"/>
        <v>0</v>
      </c>
      <c r="K1703">
        <f t="shared" si="161"/>
        <v>1</v>
      </c>
    </row>
    <row r="1704" spans="1:11" x14ac:dyDescent="0.25">
      <c r="A1704" t="s">
        <v>394</v>
      </c>
      <c r="B1704" t="s">
        <v>143</v>
      </c>
      <c r="C1704" t="s">
        <v>50</v>
      </c>
      <c r="D1704" s="3">
        <v>45745</v>
      </c>
      <c r="E1704" t="str">
        <f>VLOOKUP(B1704,'PROCV GERENTES BD'!A:B,2,0)</f>
        <v>NOELI SALETE</v>
      </c>
      <c r="F1704" s="4" t="str">
        <f t="shared" si="156"/>
        <v>2025-03</v>
      </c>
      <c r="G1704" s="18">
        <f t="shared" si="157"/>
        <v>13</v>
      </c>
      <c r="H1704" t="str">
        <f t="shared" si="158"/>
        <v>NOELI SALETE</v>
      </c>
      <c r="I1704" t="str">
        <f t="shared" si="159"/>
        <v>ALBERTO H DA SILVA ME</v>
      </c>
      <c r="J1704">
        <f t="shared" si="160"/>
        <v>0</v>
      </c>
      <c r="K1704">
        <f t="shared" si="161"/>
        <v>1</v>
      </c>
    </row>
    <row r="1705" spans="1:11" x14ac:dyDescent="0.25">
      <c r="A1705" t="s">
        <v>438</v>
      </c>
      <c r="B1705" t="s">
        <v>189</v>
      </c>
      <c r="C1705" t="s">
        <v>50</v>
      </c>
      <c r="D1705" s="3">
        <v>45745</v>
      </c>
      <c r="E1705" t="str">
        <f>VLOOKUP(B1705,'PROCV GERENTES BD'!A:B,2,0)</f>
        <v>NOELI SALETE</v>
      </c>
      <c r="F1705" s="4" t="str">
        <f t="shared" si="156"/>
        <v>2025-03</v>
      </c>
      <c r="G1705" s="18">
        <f t="shared" si="157"/>
        <v>13</v>
      </c>
      <c r="H1705" t="str">
        <f t="shared" si="158"/>
        <v>NOELI SALETE</v>
      </c>
      <c r="I1705" t="str">
        <f t="shared" si="159"/>
        <v>AGRO INDUSTRIAL LAZZERI LTDA</v>
      </c>
      <c r="J1705">
        <f t="shared" si="160"/>
        <v>0</v>
      </c>
      <c r="K1705">
        <f t="shared" si="161"/>
        <v>1</v>
      </c>
    </row>
    <row r="1706" spans="1:11" x14ac:dyDescent="0.25">
      <c r="A1706" t="s">
        <v>407</v>
      </c>
      <c r="B1706" t="s">
        <v>157</v>
      </c>
      <c r="C1706" t="s">
        <v>66</v>
      </c>
      <c r="D1706" s="3">
        <v>45745</v>
      </c>
      <c r="E1706" t="str">
        <f>VLOOKUP(B1706,'PROCV GERENTES BD'!A:B,2,0)</f>
        <v>NOELI SALETE</v>
      </c>
      <c r="F1706" s="4" t="str">
        <f t="shared" si="156"/>
        <v>2025-03</v>
      </c>
      <c r="G1706" s="18">
        <f t="shared" si="157"/>
        <v>13</v>
      </c>
      <c r="H1706" t="str">
        <f t="shared" si="158"/>
        <v>NOELI SALETE</v>
      </c>
      <c r="I1706" t="str">
        <f t="shared" si="159"/>
        <v>SGAMAQ INOVACAO AGROINDUSTRIAL LTDA</v>
      </c>
      <c r="J1706">
        <f t="shared" si="160"/>
        <v>1</v>
      </c>
      <c r="K1706">
        <f t="shared" si="161"/>
        <v>0</v>
      </c>
    </row>
    <row r="1707" spans="1:11" x14ac:dyDescent="0.25">
      <c r="A1707" t="s">
        <v>370</v>
      </c>
      <c r="B1707" t="s">
        <v>114</v>
      </c>
      <c r="C1707" t="s">
        <v>66</v>
      </c>
      <c r="D1707" s="3">
        <v>45745</v>
      </c>
      <c r="E1707" t="str">
        <f>VLOOKUP(B1707,'PROCV GERENTES BD'!A:B,2,0)</f>
        <v>POENATELA</v>
      </c>
      <c r="F1707" s="4" t="str">
        <f t="shared" si="156"/>
        <v>2025-03</v>
      </c>
      <c r="G1707" s="18">
        <f t="shared" si="157"/>
        <v>13</v>
      </c>
      <c r="H1707" t="str">
        <f t="shared" si="158"/>
        <v>POENATELA</v>
      </c>
      <c r="I1707" t="str">
        <f t="shared" si="159"/>
        <v>COOPERATIVA TRANSP AUTON CARGAS PASSAG SERVICOS LO</v>
      </c>
      <c r="J1707">
        <f t="shared" si="160"/>
        <v>1</v>
      </c>
      <c r="K1707">
        <f t="shared" si="161"/>
        <v>0</v>
      </c>
    </row>
    <row r="1708" spans="1:11" x14ac:dyDescent="0.25">
      <c r="A1708" t="s">
        <v>353</v>
      </c>
      <c r="B1708" t="s">
        <v>97</v>
      </c>
      <c r="C1708" t="s">
        <v>50</v>
      </c>
      <c r="D1708" s="3">
        <v>45745</v>
      </c>
      <c r="E1708" t="str">
        <f>VLOOKUP(B1708,'PROCV GERENTES BD'!A:B,2,0)</f>
        <v>PRISCILA METZ</v>
      </c>
      <c r="F1708" s="4" t="str">
        <f t="shared" si="156"/>
        <v>2025-03</v>
      </c>
      <c r="G1708" s="18">
        <f t="shared" si="157"/>
        <v>13</v>
      </c>
      <c r="H1708" t="str">
        <f t="shared" si="158"/>
        <v>PRISCILA METZ</v>
      </c>
      <c r="I1708" t="str">
        <f t="shared" si="159"/>
        <v>ESSENZA INDUSTRIA QUIMICA LTDA</v>
      </c>
      <c r="J1708">
        <f t="shared" si="160"/>
        <v>0</v>
      </c>
      <c r="K1708">
        <f t="shared" si="161"/>
        <v>1</v>
      </c>
    </row>
    <row r="1709" spans="1:11" x14ac:dyDescent="0.25">
      <c r="A1709" t="s">
        <v>434</v>
      </c>
      <c r="B1709" t="s">
        <v>185</v>
      </c>
      <c r="C1709" t="s">
        <v>66</v>
      </c>
      <c r="D1709" s="3">
        <v>45745</v>
      </c>
      <c r="E1709" t="str">
        <f>VLOOKUP(B1709,'PROCV GERENTES BD'!A:B,2,0)</f>
        <v>RAFAEL PARISE</v>
      </c>
      <c r="F1709" s="4" t="str">
        <f t="shared" si="156"/>
        <v>2025-03</v>
      </c>
      <c r="G1709" s="18">
        <f t="shared" si="157"/>
        <v>13</v>
      </c>
      <c r="H1709" t="str">
        <f t="shared" si="158"/>
        <v>RAFAEL PARISE</v>
      </c>
      <c r="I1709" t="str">
        <f t="shared" si="159"/>
        <v>MARCAS COMERCIO LTDA ME</v>
      </c>
      <c r="J1709">
        <f t="shared" si="160"/>
        <v>1</v>
      </c>
      <c r="K1709">
        <f t="shared" si="161"/>
        <v>0</v>
      </c>
    </row>
    <row r="1710" spans="1:11" x14ac:dyDescent="0.25">
      <c r="A1710" t="s">
        <v>457</v>
      </c>
      <c r="B1710" t="s">
        <v>214</v>
      </c>
      <c r="C1710" t="s">
        <v>66</v>
      </c>
      <c r="D1710" s="3">
        <v>45745</v>
      </c>
      <c r="E1710" t="s">
        <v>21</v>
      </c>
      <c r="F1710" s="4" t="str">
        <f t="shared" si="156"/>
        <v>2025-03</v>
      </c>
      <c r="G1710" s="18">
        <f t="shared" si="157"/>
        <v>13</v>
      </c>
      <c r="H1710" t="str">
        <f t="shared" si="158"/>
        <v xml:space="preserve">ROGERIO </v>
      </c>
      <c r="I1710" t="str">
        <f t="shared" si="159"/>
        <v>METAL STAMP INDUSTRIA E COMERCIO LTDA</v>
      </c>
      <c r="J1710">
        <f t="shared" si="160"/>
        <v>1</v>
      </c>
      <c r="K1710">
        <f t="shared" si="161"/>
        <v>0</v>
      </c>
    </row>
    <row r="1711" spans="1:11" x14ac:dyDescent="0.25">
      <c r="A1711" t="s">
        <v>326</v>
      </c>
      <c r="B1711" t="s">
        <v>122</v>
      </c>
      <c r="C1711" t="s">
        <v>50</v>
      </c>
      <c r="D1711" s="3">
        <v>45745</v>
      </c>
      <c r="E1711" t="s">
        <v>21</v>
      </c>
      <c r="F1711" s="4" t="str">
        <f t="shared" si="156"/>
        <v>2025-03</v>
      </c>
      <c r="G1711" s="18">
        <f t="shared" si="157"/>
        <v>13</v>
      </c>
      <c r="H1711" t="str">
        <f t="shared" si="158"/>
        <v xml:space="preserve">ROGERIO </v>
      </c>
      <c r="I1711" t="str">
        <f t="shared" si="159"/>
        <v>BIBE PRODUTOS INFANTIS LTDA</v>
      </c>
      <c r="J1711">
        <f t="shared" si="160"/>
        <v>0</v>
      </c>
      <c r="K1711">
        <f t="shared" si="161"/>
        <v>1</v>
      </c>
    </row>
    <row r="1712" spans="1:11" x14ac:dyDescent="0.25">
      <c r="A1712" t="s">
        <v>461</v>
      </c>
      <c r="B1712" t="s">
        <v>218</v>
      </c>
      <c r="C1712" t="s">
        <v>66</v>
      </c>
      <c r="D1712" s="3">
        <v>45745</v>
      </c>
      <c r="E1712" t="str">
        <f>VLOOKUP(B1712,'PROCV GERENTES BD'!A:B,2,0)</f>
        <v>SACADO</v>
      </c>
      <c r="F1712" s="4" t="str">
        <f t="shared" si="156"/>
        <v>2025-03</v>
      </c>
      <c r="G1712" s="18">
        <f t="shared" si="157"/>
        <v>13</v>
      </c>
      <c r="H1712" t="str">
        <f t="shared" si="158"/>
        <v>SACADO</v>
      </c>
      <c r="I1712" t="str">
        <f t="shared" si="159"/>
        <v>KUARA COMERCIAL E EXPORTADORA DE FRUTAS LTDA</v>
      </c>
      <c r="J1712">
        <f t="shared" si="160"/>
        <v>1</v>
      </c>
      <c r="K1712">
        <f t="shared" si="161"/>
        <v>0</v>
      </c>
    </row>
    <row r="1713" spans="1:11" x14ac:dyDescent="0.25">
      <c r="A1713" t="s">
        <v>325</v>
      </c>
      <c r="B1713" t="s">
        <v>138</v>
      </c>
      <c r="C1713" t="s">
        <v>50</v>
      </c>
      <c r="D1713" s="3">
        <v>45745</v>
      </c>
      <c r="E1713" t="str">
        <f>VLOOKUP(B1713,'PROCV GERENTES BD'!A:B,2,0)</f>
        <v>SACADO</v>
      </c>
      <c r="F1713" s="4" t="str">
        <f t="shared" si="156"/>
        <v>2025-03</v>
      </c>
      <c r="G1713" s="18">
        <f t="shared" si="157"/>
        <v>13</v>
      </c>
      <c r="H1713" t="str">
        <f t="shared" si="158"/>
        <v>SACADO</v>
      </c>
      <c r="I1713" t="str">
        <f t="shared" si="159"/>
        <v>ALLIAGE S A INDUSTRIAS MEDICO ODONTOLOGICA</v>
      </c>
      <c r="J1713">
        <f t="shared" si="160"/>
        <v>0</v>
      </c>
      <c r="K1713">
        <f t="shared" si="161"/>
        <v>1</v>
      </c>
    </row>
    <row r="1714" spans="1:11" x14ac:dyDescent="0.25">
      <c r="A1714" t="s">
        <v>489</v>
      </c>
      <c r="B1714" t="s">
        <v>249</v>
      </c>
      <c r="C1714" t="s">
        <v>71</v>
      </c>
      <c r="D1714" s="3">
        <v>45745</v>
      </c>
      <c r="E1714" t="str">
        <f>VLOOKUP(B1714,'PROCV GERENTES BD'!A:B,2,0)</f>
        <v>PROSPECTAR</v>
      </c>
      <c r="F1714" s="4" t="str">
        <f t="shared" si="156"/>
        <v>2025-03</v>
      </c>
      <c r="G1714" s="18">
        <f t="shared" si="157"/>
        <v>13</v>
      </c>
      <c r="H1714" t="str">
        <f t="shared" si="158"/>
        <v>PROSPECTAR</v>
      </c>
      <c r="I1714" t="str">
        <f t="shared" si="159"/>
        <v>SAFRA AGRICOLA E PECUARIA LTDA EPP</v>
      </c>
      <c r="J1714">
        <f t="shared" si="160"/>
        <v>0</v>
      </c>
      <c r="K1714">
        <f t="shared" si="161"/>
        <v>0</v>
      </c>
    </row>
    <row r="1715" spans="1:11" x14ac:dyDescent="0.25">
      <c r="A1715" t="s">
        <v>56</v>
      </c>
      <c r="B1715" t="s">
        <v>57</v>
      </c>
      <c r="C1715" t="s">
        <v>50</v>
      </c>
      <c r="D1715" s="3">
        <v>45745</v>
      </c>
      <c r="E1715" t="str">
        <f>VLOOKUP(B1715,'PROCV GERENTES BD'!A:B,2,0)</f>
        <v xml:space="preserve">ROGERIO </v>
      </c>
      <c r="F1715" s="4" t="str">
        <f t="shared" si="156"/>
        <v>2025-03</v>
      </c>
      <c r="G1715" s="18">
        <f t="shared" si="157"/>
        <v>13</v>
      </c>
      <c r="H1715" t="str">
        <f t="shared" si="158"/>
        <v xml:space="preserve">ROGERIO </v>
      </c>
      <c r="I1715" t="str">
        <f t="shared" si="159"/>
        <v>RODOVIEIRA TRANSPORTE LTDA</v>
      </c>
      <c r="J1715">
        <f t="shared" si="160"/>
        <v>0</v>
      </c>
      <c r="K1715">
        <f t="shared" si="161"/>
        <v>1</v>
      </c>
    </row>
    <row r="1716" spans="1:11" x14ac:dyDescent="0.25">
      <c r="A1716" t="s">
        <v>490</v>
      </c>
      <c r="B1716" t="s">
        <v>248</v>
      </c>
      <c r="C1716" t="s">
        <v>50</v>
      </c>
      <c r="D1716" s="3">
        <v>45745</v>
      </c>
      <c r="E1716" t="str">
        <f>VLOOKUP(B1716,'PROCV GERENTES BD'!A:B,2,0)</f>
        <v>PROSPECTAR</v>
      </c>
      <c r="F1716" s="4" t="str">
        <f t="shared" si="156"/>
        <v>2025-03</v>
      </c>
      <c r="G1716" s="18">
        <f t="shared" si="157"/>
        <v>13</v>
      </c>
      <c r="H1716" t="str">
        <f t="shared" si="158"/>
        <v>PROSPECTAR</v>
      </c>
      <c r="I1716" t="str">
        <f t="shared" si="159"/>
        <v>PRODUTOS PORTEIRAO COM DIST E REP LTDA EPP</v>
      </c>
      <c r="J1716">
        <f t="shared" si="160"/>
        <v>0</v>
      </c>
      <c r="K1716">
        <f t="shared" si="161"/>
        <v>1</v>
      </c>
    </row>
    <row r="1717" spans="1:11" x14ac:dyDescent="0.25">
      <c r="A1717" t="s">
        <v>355</v>
      </c>
      <c r="B1717" t="s">
        <v>100</v>
      </c>
      <c r="C1717" t="s">
        <v>50</v>
      </c>
      <c r="D1717" s="3">
        <v>45748</v>
      </c>
      <c r="E1717" t="str">
        <f>VLOOKUP(B1717,'PROCV GERENTES BD'!A:B,2,0)</f>
        <v>ADMINISTRAÇÃO</v>
      </c>
      <c r="F1717" s="4" t="str">
        <f t="shared" si="156"/>
        <v>2025-04</v>
      </c>
      <c r="G1717" s="18">
        <f t="shared" si="157"/>
        <v>14</v>
      </c>
      <c r="H1717" t="str">
        <f t="shared" si="158"/>
        <v>ADMINISTRAÇÃO</v>
      </c>
      <c r="I1717" t="str">
        <f t="shared" si="159"/>
        <v>DECISION DESENVOLVIMENTO DE SISTEMAS LTDA</v>
      </c>
      <c r="J1717">
        <f t="shared" si="160"/>
        <v>0</v>
      </c>
      <c r="K1717">
        <f t="shared" si="161"/>
        <v>1</v>
      </c>
    </row>
    <row r="1718" spans="1:11" x14ac:dyDescent="0.25">
      <c r="A1718" t="s">
        <v>311</v>
      </c>
      <c r="B1718" t="s">
        <v>81</v>
      </c>
      <c r="C1718" t="s">
        <v>50</v>
      </c>
      <c r="D1718" s="3">
        <v>45748</v>
      </c>
      <c r="E1718" t="str">
        <f>VLOOKUP(B1718,'PROCV GERENTES BD'!A:B,2,0)</f>
        <v>CELIO PIMENTA</v>
      </c>
      <c r="F1718" s="4" t="str">
        <f t="shared" si="156"/>
        <v>2025-04</v>
      </c>
      <c r="G1718" s="18">
        <f t="shared" si="157"/>
        <v>14</v>
      </c>
      <c r="H1718" t="str">
        <f t="shared" si="158"/>
        <v>CELIO PIMENTA</v>
      </c>
      <c r="I1718" t="str">
        <f t="shared" si="159"/>
        <v>MBIOLOG DIAGNOSTICOS LTDA</v>
      </c>
      <c r="J1718">
        <f t="shared" si="160"/>
        <v>0</v>
      </c>
      <c r="K1718">
        <f t="shared" si="161"/>
        <v>1</v>
      </c>
    </row>
    <row r="1719" spans="1:11" x14ac:dyDescent="0.25">
      <c r="A1719" t="s">
        <v>54</v>
      </c>
      <c r="B1719" t="s">
        <v>55</v>
      </c>
      <c r="C1719" t="s">
        <v>50</v>
      </c>
      <c r="D1719" s="3">
        <v>45748</v>
      </c>
      <c r="E1719" t="str">
        <f>VLOOKUP(B1719,'PROCV GERENTES BD'!A:B,2,0)</f>
        <v>CELIO PIMENTA</v>
      </c>
      <c r="F1719" s="4" t="str">
        <f t="shared" si="156"/>
        <v>2025-04</v>
      </c>
      <c r="G1719" s="18">
        <f t="shared" si="157"/>
        <v>14</v>
      </c>
      <c r="H1719" t="str">
        <f t="shared" si="158"/>
        <v>CELIO PIMENTA</v>
      </c>
      <c r="I1719" t="str">
        <f t="shared" si="159"/>
        <v>WJ CALDEIRARIA INDUSTRIA E COMERCIO LTDA ME</v>
      </c>
      <c r="J1719">
        <f t="shared" si="160"/>
        <v>0</v>
      </c>
      <c r="K1719">
        <f t="shared" si="161"/>
        <v>1</v>
      </c>
    </row>
    <row r="1720" spans="1:11" x14ac:dyDescent="0.25">
      <c r="A1720" t="s">
        <v>319</v>
      </c>
      <c r="B1720" t="s">
        <v>80</v>
      </c>
      <c r="C1720" t="s">
        <v>50</v>
      </c>
      <c r="D1720" s="3">
        <v>45748</v>
      </c>
      <c r="E1720" t="str">
        <f>VLOOKUP(B1720,'PROCV GERENTES BD'!A:B,2,0)</f>
        <v>CELIO PIMENTA</v>
      </c>
      <c r="F1720" s="4" t="str">
        <f t="shared" si="156"/>
        <v>2025-04</v>
      </c>
      <c r="G1720" s="18">
        <f t="shared" si="157"/>
        <v>14</v>
      </c>
      <c r="H1720" t="str">
        <f t="shared" si="158"/>
        <v>CELIO PIMENTA</v>
      </c>
      <c r="I1720" t="str">
        <f t="shared" si="159"/>
        <v>IMPORTEXTIL COMERCIO DE TECIDOS LTDA</v>
      </c>
      <c r="J1720">
        <f t="shared" si="160"/>
        <v>0</v>
      </c>
      <c r="K1720">
        <f t="shared" si="161"/>
        <v>1</v>
      </c>
    </row>
    <row r="1721" spans="1:11" x14ac:dyDescent="0.25">
      <c r="A1721" t="s">
        <v>358</v>
      </c>
      <c r="B1721" t="s">
        <v>104</v>
      </c>
      <c r="C1721" t="s">
        <v>50</v>
      </c>
      <c r="D1721" s="3">
        <v>45748</v>
      </c>
      <c r="E1721" t="str">
        <f>VLOOKUP(B1721,'PROCV GERENTES BD'!A:B,2,0)</f>
        <v>DIOGO AZEVEDO</v>
      </c>
      <c r="F1721" s="4" t="str">
        <f t="shared" si="156"/>
        <v>2025-04</v>
      </c>
      <c r="G1721" s="18">
        <f t="shared" si="157"/>
        <v>14</v>
      </c>
      <c r="H1721" t="str">
        <f t="shared" si="158"/>
        <v>DIOGO AZEVEDO</v>
      </c>
      <c r="I1721" t="str">
        <f t="shared" si="159"/>
        <v>INDUSTRIA E CERVEJARIA ARTESANAL DE MINAS GERAIS L</v>
      </c>
      <c r="J1721">
        <f t="shared" si="160"/>
        <v>0</v>
      </c>
      <c r="K1721">
        <f t="shared" si="161"/>
        <v>1</v>
      </c>
    </row>
    <row r="1722" spans="1:11" x14ac:dyDescent="0.25">
      <c r="A1722" t="s">
        <v>324</v>
      </c>
      <c r="B1722" t="s">
        <v>119</v>
      </c>
      <c r="C1722" t="s">
        <v>50</v>
      </c>
      <c r="D1722" s="3">
        <v>45748</v>
      </c>
      <c r="E1722" t="str">
        <f>VLOOKUP(B1722,'PROCV GERENTES BD'!A:B,2,0)</f>
        <v>PROSPECTAR</v>
      </c>
      <c r="F1722" s="4" t="str">
        <f t="shared" si="156"/>
        <v>2025-04</v>
      </c>
      <c r="G1722" s="18">
        <f t="shared" si="157"/>
        <v>14</v>
      </c>
      <c r="H1722" t="str">
        <f t="shared" si="158"/>
        <v>PROSPECTAR</v>
      </c>
      <c r="I1722" t="str">
        <f t="shared" si="159"/>
        <v>TRANSHENRY TRANSPORTES LTDA</v>
      </c>
      <c r="J1722">
        <f t="shared" si="160"/>
        <v>0</v>
      </c>
      <c r="K1722">
        <f t="shared" si="161"/>
        <v>1</v>
      </c>
    </row>
    <row r="1723" spans="1:11" x14ac:dyDescent="0.25">
      <c r="A1723" t="s">
        <v>323</v>
      </c>
      <c r="B1723" t="s">
        <v>109</v>
      </c>
      <c r="C1723" t="s">
        <v>50</v>
      </c>
      <c r="D1723" s="3">
        <v>45748</v>
      </c>
      <c r="E1723" t="str">
        <f>VLOOKUP(B1723,'PROCV GERENTES BD'!A:B,2,0)</f>
        <v>PROSPECTAR</v>
      </c>
      <c r="F1723" s="4" t="str">
        <f t="shared" si="156"/>
        <v>2025-04</v>
      </c>
      <c r="G1723" s="18">
        <f t="shared" si="157"/>
        <v>14</v>
      </c>
      <c r="H1723" t="str">
        <f t="shared" si="158"/>
        <v>PROSPECTAR</v>
      </c>
      <c r="I1723" t="str">
        <f t="shared" si="159"/>
        <v>SIAP COMERCIO DE PRODUTOS AGROPECUARIOS LTDA</v>
      </c>
      <c r="J1723">
        <f t="shared" si="160"/>
        <v>0</v>
      </c>
      <c r="K1723">
        <f t="shared" si="161"/>
        <v>1</v>
      </c>
    </row>
    <row r="1724" spans="1:11" x14ac:dyDescent="0.25">
      <c r="A1724" t="s">
        <v>62</v>
      </c>
      <c r="B1724" t="s">
        <v>63</v>
      </c>
      <c r="C1724" t="s">
        <v>50</v>
      </c>
      <c r="D1724" s="3">
        <v>45748</v>
      </c>
      <c r="E1724" t="str">
        <f>VLOOKUP(B1724,'PROCV GERENTES BD'!A:B,2,0)</f>
        <v>PROSPECTAR</v>
      </c>
      <c r="F1724" s="4" t="str">
        <f t="shared" si="156"/>
        <v>2025-04</v>
      </c>
      <c r="G1724" s="18">
        <f t="shared" si="157"/>
        <v>14</v>
      </c>
      <c r="H1724" t="str">
        <f t="shared" si="158"/>
        <v>PROSPECTAR</v>
      </c>
      <c r="I1724" t="str">
        <f t="shared" si="159"/>
        <v>MAPP COM IMPORTACAO EXPORTACAO IND PRODUTOS ALIMEN</v>
      </c>
      <c r="J1724">
        <f t="shared" si="160"/>
        <v>0</v>
      </c>
      <c r="K1724">
        <f t="shared" si="161"/>
        <v>1</v>
      </c>
    </row>
    <row r="1725" spans="1:11" x14ac:dyDescent="0.25">
      <c r="A1725" t="s">
        <v>318</v>
      </c>
      <c r="B1725" t="s">
        <v>203</v>
      </c>
      <c r="C1725" t="s">
        <v>50</v>
      </c>
      <c r="D1725" s="3">
        <v>45748</v>
      </c>
      <c r="E1725" t="str">
        <f>VLOOKUP(B1725,'PROCV GERENTES BD'!A:B,2,0)</f>
        <v>JOSE ROBERTO</v>
      </c>
      <c r="F1725" s="4" t="str">
        <f t="shared" si="156"/>
        <v>2025-04</v>
      </c>
      <c r="G1725" s="18">
        <f t="shared" si="157"/>
        <v>14</v>
      </c>
      <c r="H1725" t="str">
        <f t="shared" si="158"/>
        <v>JOSE ROBERTO</v>
      </c>
      <c r="I1725" t="str">
        <f t="shared" si="159"/>
        <v>FUNDACAO DE ENSINO E PESQUISA DO SUL DE MINAS FEPE</v>
      </c>
      <c r="J1725">
        <f t="shared" si="160"/>
        <v>0</v>
      </c>
      <c r="K1725">
        <f t="shared" si="161"/>
        <v>1</v>
      </c>
    </row>
    <row r="1726" spans="1:11" x14ac:dyDescent="0.25">
      <c r="A1726" t="s">
        <v>428</v>
      </c>
      <c r="B1726" t="s">
        <v>179</v>
      </c>
      <c r="C1726" t="s">
        <v>66</v>
      </c>
      <c r="D1726" s="3">
        <v>45748</v>
      </c>
      <c r="E1726" t="str">
        <f>VLOOKUP(B1726,'PROCV GERENTES BD'!A:B,2,0)</f>
        <v xml:space="preserve">MARCUS VINICIUS </v>
      </c>
      <c r="F1726" s="4" t="str">
        <f t="shared" si="156"/>
        <v>2025-04</v>
      </c>
      <c r="G1726" s="18">
        <f t="shared" si="157"/>
        <v>14</v>
      </c>
      <c r="H1726" t="str">
        <f t="shared" si="158"/>
        <v xml:space="preserve">MARCUS VINICIUS </v>
      </c>
      <c r="I1726" t="str">
        <f t="shared" si="159"/>
        <v>LABOR ELETRIC INDUSTRIA E COMERCIO UNIPESSOAL LTDA</v>
      </c>
      <c r="J1726">
        <f t="shared" si="160"/>
        <v>1</v>
      </c>
      <c r="K1726">
        <f t="shared" si="161"/>
        <v>0</v>
      </c>
    </row>
    <row r="1727" spans="1:11" x14ac:dyDescent="0.25">
      <c r="A1727" t="s">
        <v>419</v>
      </c>
      <c r="B1727" t="s">
        <v>199</v>
      </c>
      <c r="C1727" t="s">
        <v>66</v>
      </c>
      <c r="D1727" s="3">
        <v>45748</v>
      </c>
      <c r="E1727" t="str">
        <f>VLOOKUP(B1727,'PROCV GERENTES BD'!A:B,2,0)</f>
        <v>NOELI SALETE</v>
      </c>
      <c r="F1727" s="4" t="str">
        <f t="shared" si="156"/>
        <v>2025-04</v>
      </c>
      <c r="G1727" s="18">
        <f t="shared" si="157"/>
        <v>14</v>
      </c>
      <c r="H1727" t="str">
        <f t="shared" si="158"/>
        <v>NOELI SALETE</v>
      </c>
      <c r="I1727" t="str">
        <f t="shared" si="159"/>
        <v>GLOBAL ACO SERV PRODUTOS SIDERURGICOS LTDA RECUPER</v>
      </c>
      <c r="J1727">
        <f t="shared" si="160"/>
        <v>1</v>
      </c>
      <c r="K1727">
        <f t="shared" si="161"/>
        <v>0</v>
      </c>
    </row>
    <row r="1728" spans="1:11" x14ac:dyDescent="0.25">
      <c r="A1728" t="s">
        <v>72</v>
      </c>
      <c r="B1728" t="s">
        <v>73</v>
      </c>
      <c r="C1728" t="s">
        <v>50</v>
      </c>
      <c r="D1728" s="3">
        <v>45748</v>
      </c>
      <c r="E1728" t="str">
        <f>VLOOKUP(B1728,'PROCV GERENTES BD'!A:B,2,0)</f>
        <v>NOELI SALETE</v>
      </c>
      <c r="F1728" s="4" t="str">
        <f t="shared" si="156"/>
        <v>2025-04</v>
      </c>
      <c r="G1728" s="18">
        <f t="shared" si="157"/>
        <v>14</v>
      </c>
      <c r="H1728" t="str">
        <f t="shared" si="158"/>
        <v>NOELI SALETE</v>
      </c>
      <c r="I1728" t="str">
        <f t="shared" si="159"/>
        <v>SMARTCENTER SOLUCOES INTELIGENTES LTDA ME</v>
      </c>
      <c r="J1728">
        <f t="shared" si="160"/>
        <v>0</v>
      </c>
      <c r="K1728">
        <f t="shared" si="161"/>
        <v>1</v>
      </c>
    </row>
    <row r="1729" spans="1:11" x14ac:dyDescent="0.25">
      <c r="A1729" t="s">
        <v>400</v>
      </c>
      <c r="B1729" t="s">
        <v>150</v>
      </c>
      <c r="C1729" t="s">
        <v>50</v>
      </c>
      <c r="D1729" s="3">
        <v>45748</v>
      </c>
      <c r="E1729" t="str">
        <f>VLOOKUP(B1729,'PROCV GERENTES BD'!A:B,2,0)</f>
        <v>NOELI SALETE</v>
      </c>
      <c r="F1729" s="4" t="str">
        <f t="shared" si="156"/>
        <v>2025-04</v>
      </c>
      <c r="G1729" s="18">
        <f t="shared" si="157"/>
        <v>14</v>
      </c>
      <c r="H1729" t="str">
        <f t="shared" si="158"/>
        <v>NOELI SALETE</v>
      </c>
      <c r="I1729" t="str">
        <f t="shared" si="159"/>
        <v>POOLMAK SISTEMAS ESTRUTURAIS LTDA</v>
      </c>
      <c r="J1729">
        <f t="shared" si="160"/>
        <v>0</v>
      </c>
      <c r="K1729">
        <f t="shared" si="161"/>
        <v>1</v>
      </c>
    </row>
    <row r="1730" spans="1:11" x14ac:dyDescent="0.25">
      <c r="A1730" t="s">
        <v>486</v>
      </c>
      <c r="B1730" t="s">
        <v>243</v>
      </c>
      <c r="C1730" t="s">
        <v>50</v>
      </c>
      <c r="D1730" s="3">
        <v>45748</v>
      </c>
      <c r="E1730" t="str">
        <f>VLOOKUP(B1730,'PROCV GERENTES BD'!A:B,2,0)</f>
        <v>NOELI SALETE</v>
      </c>
      <c r="F1730" s="4" t="str">
        <f t="shared" ref="F1730:F1793" si="162">YEAR(D1730)&amp;"-"&amp;TEXT(MONTH(D1730),"00")</f>
        <v>2025-04</v>
      </c>
      <c r="G1730" s="18">
        <f t="shared" ref="G1730:G1793" si="163">WEEKNUM(D1730)</f>
        <v>14</v>
      </c>
      <c r="H1730" t="str">
        <f t="shared" ref="H1730:H1793" si="164">E1730</f>
        <v>NOELI SALETE</v>
      </c>
      <c r="I1730" t="str">
        <f t="shared" ref="I1730:I1793" si="165">B1730</f>
        <v>SMARTCENTERGROUP COMERCIO DE EQUIPAMENTOS DE INFOR</v>
      </c>
      <c r="J1730">
        <f t="shared" ref="J1730:J1793" si="166">IF(OR(C1730="EXCLUSAO  ANOT.INADIMPLENCIA",C1730="INCL/EXCL ANOT.INADIMPLENCIA"),1,0)</f>
        <v>0</v>
      </c>
      <c r="K1730">
        <f t="shared" ref="K1730:K1793" si="167">IF(OR(C1730="INCLUSAO  ANOT.INADIMPLENCIA",C1730="INCL/EXCL ANOT.INADIMPLENCIA"),1,0)</f>
        <v>1</v>
      </c>
    </row>
    <row r="1731" spans="1:11" x14ac:dyDescent="0.25">
      <c r="A1731" t="s">
        <v>420</v>
      </c>
      <c r="B1731" t="s">
        <v>170</v>
      </c>
      <c r="C1731" t="s">
        <v>50</v>
      </c>
      <c r="D1731" s="3">
        <v>45748</v>
      </c>
      <c r="E1731" t="str">
        <f>VLOOKUP(B1731,'PROCV GERENTES BD'!A:B,2,0)</f>
        <v>POENATELA</v>
      </c>
      <c r="F1731" s="4" t="str">
        <f t="shared" si="162"/>
        <v>2025-04</v>
      </c>
      <c r="G1731" s="18">
        <f t="shared" si="163"/>
        <v>14</v>
      </c>
      <c r="H1731" t="str">
        <f t="shared" si="164"/>
        <v>POENATELA</v>
      </c>
      <c r="I1731" t="str">
        <f t="shared" si="165"/>
        <v>SAVIXX COMERCIO INTERNACIONAL S/A</v>
      </c>
      <c r="J1731">
        <f t="shared" si="166"/>
        <v>0</v>
      </c>
      <c r="K1731">
        <f t="shared" si="167"/>
        <v>1</v>
      </c>
    </row>
    <row r="1732" spans="1:11" x14ac:dyDescent="0.25">
      <c r="A1732" t="s">
        <v>387</v>
      </c>
      <c r="B1732" t="s">
        <v>134</v>
      </c>
      <c r="C1732" t="s">
        <v>66</v>
      </c>
      <c r="D1732" s="3">
        <v>45748</v>
      </c>
      <c r="E1732" t="str">
        <f>VLOOKUP(B1732,'PROCV GERENTES BD'!A:B,2,0)</f>
        <v>RAFAEL PARISE</v>
      </c>
      <c r="F1732" s="4" t="str">
        <f t="shared" si="162"/>
        <v>2025-04</v>
      </c>
      <c r="G1732" s="18">
        <f t="shared" si="163"/>
        <v>14</v>
      </c>
      <c r="H1732" t="str">
        <f t="shared" si="164"/>
        <v>RAFAEL PARISE</v>
      </c>
      <c r="I1732" t="str">
        <f t="shared" si="165"/>
        <v>MAIS DISTRIBUIDORA LTDA</v>
      </c>
      <c r="J1732">
        <f t="shared" si="166"/>
        <v>1</v>
      </c>
      <c r="K1732">
        <f t="shared" si="167"/>
        <v>0</v>
      </c>
    </row>
    <row r="1733" spans="1:11" x14ac:dyDescent="0.25">
      <c r="A1733" t="s">
        <v>453</v>
      </c>
      <c r="B1733" t="s">
        <v>210</v>
      </c>
      <c r="C1733" t="s">
        <v>66</v>
      </c>
      <c r="D1733" s="3">
        <v>45748</v>
      </c>
      <c r="E1733" t="str">
        <f>VLOOKUP(B1733,'PROCV GERENTES BD'!A:B,2,0)</f>
        <v>RAFAEL PARISE</v>
      </c>
      <c r="F1733" s="4" t="str">
        <f t="shared" si="162"/>
        <v>2025-04</v>
      </c>
      <c r="G1733" s="18">
        <f t="shared" si="163"/>
        <v>14</v>
      </c>
      <c r="H1733" t="str">
        <f t="shared" si="164"/>
        <v>RAFAEL PARISE</v>
      </c>
      <c r="I1733" t="str">
        <f t="shared" si="165"/>
        <v>BEIJA FLOR COMERCIO DE TINTAS LTDA</v>
      </c>
      <c r="J1733">
        <f t="shared" si="166"/>
        <v>1</v>
      </c>
      <c r="K1733">
        <f t="shared" si="167"/>
        <v>0</v>
      </c>
    </row>
    <row r="1734" spans="1:11" x14ac:dyDescent="0.25">
      <c r="A1734" t="s">
        <v>67</v>
      </c>
      <c r="B1734" t="s">
        <v>68</v>
      </c>
      <c r="C1734" t="s">
        <v>50</v>
      </c>
      <c r="D1734" s="3">
        <v>45748</v>
      </c>
      <c r="E1734" t="s">
        <v>21</v>
      </c>
      <c r="F1734" s="4" t="str">
        <f t="shared" si="162"/>
        <v>2025-04</v>
      </c>
      <c r="G1734" s="18">
        <f t="shared" si="163"/>
        <v>14</v>
      </c>
      <c r="H1734" t="str">
        <f t="shared" si="164"/>
        <v xml:space="preserve">ROGERIO </v>
      </c>
      <c r="I1734" t="str">
        <f t="shared" si="165"/>
        <v>DIOTTONI INDUSTRIA E COMERCIO DE ALIMENTOS LTDA ME</v>
      </c>
      <c r="J1734">
        <f t="shared" si="166"/>
        <v>0</v>
      </c>
      <c r="K1734">
        <f t="shared" si="167"/>
        <v>1</v>
      </c>
    </row>
    <row r="1735" spans="1:11" x14ac:dyDescent="0.25">
      <c r="A1735" t="s">
        <v>426</v>
      </c>
      <c r="B1735" t="s">
        <v>177</v>
      </c>
      <c r="C1735" t="s">
        <v>50</v>
      </c>
      <c r="D1735" s="3">
        <v>45748</v>
      </c>
      <c r="E1735" t="str">
        <f>VLOOKUP(B1735,'PROCV GERENTES BD'!A:B,2,0)</f>
        <v>WHELKYA IRIS</v>
      </c>
      <c r="F1735" s="4" t="str">
        <f t="shared" si="162"/>
        <v>2025-04</v>
      </c>
      <c r="G1735" s="18">
        <f t="shared" si="163"/>
        <v>14</v>
      </c>
      <c r="H1735" t="str">
        <f t="shared" si="164"/>
        <v>WHELKYA IRIS</v>
      </c>
      <c r="I1735" t="str">
        <f t="shared" si="165"/>
        <v>JFIX INDUSTRIA QUIMICA LTDA ME</v>
      </c>
      <c r="J1735">
        <f t="shared" si="166"/>
        <v>0</v>
      </c>
      <c r="K1735">
        <f t="shared" si="167"/>
        <v>1</v>
      </c>
    </row>
    <row r="1736" spans="1:11" x14ac:dyDescent="0.25">
      <c r="A1736" t="s">
        <v>484</v>
      </c>
      <c r="B1736" t="s">
        <v>245</v>
      </c>
      <c r="C1736" t="s">
        <v>50</v>
      </c>
      <c r="D1736" s="3">
        <v>45748</v>
      </c>
      <c r="E1736" t="str">
        <f>VLOOKUP(B1736,'PROCV GERENTES BD'!A:B,2,0)</f>
        <v>ADMINISTRAÇÃO</v>
      </c>
      <c r="F1736" s="4" t="str">
        <f t="shared" si="162"/>
        <v>2025-04</v>
      </c>
      <c r="G1736" s="18">
        <f t="shared" si="163"/>
        <v>14</v>
      </c>
      <c r="H1736" t="str">
        <f t="shared" si="164"/>
        <v>ADMINISTRAÇÃO</v>
      </c>
      <c r="I1736" t="str">
        <f t="shared" si="165"/>
        <v>REAL FILTROS E ACESSORIOS AUTOMOTIVOS LTDA</v>
      </c>
      <c r="J1736">
        <f t="shared" si="166"/>
        <v>0</v>
      </c>
      <c r="K1736">
        <f t="shared" si="167"/>
        <v>1</v>
      </c>
    </row>
    <row r="1737" spans="1:11" x14ac:dyDescent="0.25">
      <c r="A1737" t="s">
        <v>491</v>
      </c>
      <c r="B1737" t="s">
        <v>250</v>
      </c>
      <c r="C1737" t="s">
        <v>66</v>
      </c>
      <c r="D1737" s="3">
        <v>45748</v>
      </c>
      <c r="E1737" t="str">
        <f>VLOOKUP(B1737,'PROCV GERENTES BD'!A:B,2,0)</f>
        <v xml:space="preserve">ROGERIO </v>
      </c>
      <c r="F1737" s="4" t="str">
        <f t="shared" si="162"/>
        <v>2025-04</v>
      </c>
      <c r="G1737" s="18">
        <f t="shared" si="163"/>
        <v>14</v>
      </c>
      <c r="H1737" t="str">
        <f t="shared" si="164"/>
        <v xml:space="preserve">ROGERIO </v>
      </c>
      <c r="I1737" t="str">
        <f t="shared" si="165"/>
        <v>CARGA EQUIPAMENTOS RODOVIARIOS LTDA ME</v>
      </c>
      <c r="J1737">
        <f t="shared" si="166"/>
        <v>1</v>
      </c>
      <c r="K1737">
        <f t="shared" si="167"/>
        <v>0</v>
      </c>
    </row>
    <row r="1738" spans="1:11" x14ac:dyDescent="0.25">
      <c r="A1738" t="s">
        <v>372</v>
      </c>
      <c r="B1738" t="s">
        <v>116</v>
      </c>
      <c r="C1738" t="s">
        <v>50</v>
      </c>
      <c r="D1738" s="3">
        <v>45749</v>
      </c>
      <c r="E1738" t="str">
        <f>VLOOKUP(B1738,'PROCV GERENTES BD'!A:B,2,0)</f>
        <v>ADMINISTRAÇÃO</v>
      </c>
      <c r="F1738" s="4" t="str">
        <f t="shared" si="162"/>
        <v>2025-04</v>
      </c>
      <c r="G1738" s="18">
        <f t="shared" si="163"/>
        <v>14</v>
      </c>
      <c r="H1738" t="str">
        <f t="shared" si="164"/>
        <v>ADMINISTRAÇÃO</v>
      </c>
      <c r="I1738" t="str">
        <f t="shared" si="165"/>
        <v>PREMOLDADOS MATOSINHOS LTDA EPP</v>
      </c>
      <c r="J1738">
        <f t="shared" si="166"/>
        <v>0</v>
      </c>
      <c r="K1738">
        <f t="shared" si="167"/>
        <v>1</v>
      </c>
    </row>
    <row r="1739" spans="1:11" x14ac:dyDescent="0.25">
      <c r="A1739" t="s">
        <v>311</v>
      </c>
      <c r="B1739" t="s">
        <v>81</v>
      </c>
      <c r="C1739" t="s">
        <v>66</v>
      </c>
      <c r="D1739" s="3">
        <v>45749</v>
      </c>
      <c r="E1739" t="str">
        <f>VLOOKUP(B1739,'PROCV GERENTES BD'!A:B,2,0)</f>
        <v>CELIO PIMENTA</v>
      </c>
      <c r="F1739" s="4" t="str">
        <f t="shared" si="162"/>
        <v>2025-04</v>
      </c>
      <c r="G1739" s="18">
        <f t="shared" si="163"/>
        <v>14</v>
      </c>
      <c r="H1739" t="str">
        <f t="shared" si="164"/>
        <v>CELIO PIMENTA</v>
      </c>
      <c r="I1739" t="str">
        <f t="shared" si="165"/>
        <v>MBIOLOG DIAGNOSTICOS LTDA</v>
      </c>
      <c r="J1739">
        <f t="shared" si="166"/>
        <v>1</v>
      </c>
      <c r="K1739">
        <f t="shared" si="167"/>
        <v>0</v>
      </c>
    </row>
    <row r="1740" spans="1:11" x14ac:dyDescent="0.25">
      <c r="A1740" t="s">
        <v>442</v>
      </c>
      <c r="B1740" t="s">
        <v>193</v>
      </c>
      <c r="C1740" t="s">
        <v>327</v>
      </c>
      <c r="D1740" s="3">
        <v>45749</v>
      </c>
      <c r="E1740" t="str">
        <f>VLOOKUP(B1740,'PROCV GERENTES BD'!A:B,2,0)</f>
        <v>CELIO PIMENTA</v>
      </c>
      <c r="F1740" s="4" t="str">
        <f t="shared" si="162"/>
        <v>2025-04</v>
      </c>
      <c r="G1740" s="18">
        <f t="shared" si="163"/>
        <v>14</v>
      </c>
      <c r="H1740" t="str">
        <f t="shared" si="164"/>
        <v>CELIO PIMENTA</v>
      </c>
      <c r="I1740" t="str">
        <f t="shared" si="165"/>
        <v>CIA TEXTIL LTDA ME</v>
      </c>
      <c r="J1740">
        <f t="shared" si="166"/>
        <v>0</v>
      </c>
      <c r="K1740">
        <f t="shared" si="167"/>
        <v>0</v>
      </c>
    </row>
    <row r="1741" spans="1:11" x14ac:dyDescent="0.25">
      <c r="A1741" t="s">
        <v>358</v>
      </c>
      <c r="B1741" t="s">
        <v>104</v>
      </c>
      <c r="C1741" t="s">
        <v>50</v>
      </c>
      <c r="D1741" s="3">
        <v>45749</v>
      </c>
      <c r="E1741" t="str">
        <f>VLOOKUP(B1741,'PROCV GERENTES BD'!A:B,2,0)</f>
        <v>DIOGO AZEVEDO</v>
      </c>
      <c r="F1741" s="4" t="str">
        <f t="shared" si="162"/>
        <v>2025-04</v>
      </c>
      <c r="G1741" s="18">
        <f t="shared" si="163"/>
        <v>14</v>
      </c>
      <c r="H1741" t="str">
        <f t="shared" si="164"/>
        <v>DIOGO AZEVEDO</v>
      </c>
      <c r="I1741" t="str">
        <f t="shared" si="165"/>
        <v>INDUSTRIA E CERVEJARIA ARTESANAL DE MINAS GERAIS L</v>
      </c>
      <c r="J1741">
        <f t="shared" si="166"/>
        <v>0</v>
      </c>
      <c r="K1741">
        <f t="shared" si="167"/>
        <v>1</v>
      </c>
    </row>
    <row r="1742" spans="1:11" x14ac:dyDescent="0.25">
      <c r="A1742" t="s">
        <v>472</v>
      </c>
      <c r="B1742" t="s">
        <v>229</v>
      </c>
      <c r="C1742" t="s">
        <v>66</v>
      </c>
      <c r="D1742" s="3">
        <v>45749</v>
      </c>
      <c r="E1742" t="str">
        <f>VLOOKUP(B1742,'PROCV GERENTES BD'!A:B,2,0)</f>
        <v>PROSPECTAR</v>
      </c>
      <c r="F1742" s="4" t="str">
        <f t="shared" si="162"/>
        <v>2025-04</v>
      </c>
      <c r="G1742" s="18">
        <f t="shared" si="163"/>
        <v>14</v>
      </c>
      <c r="H1742" t="str">
        <f t="shared" si="164"/>
        <v>PROSPECTAR</v>
      </c>
      <c r="I1742" t="str">
        <f t="shared" si="165"/>
        <v>ELO TELECOMUNICACOES E CONSTRUCOES S/A</v>
      </c>
      <c r="J1742">
        <f t="shared" si="166"/>
        <v>1</v>
      </c>
      <c r="K1742">
        <f t="shared" si="167"/>
        <v>0</v>
      </c>
    </row>
    <row r="1743" spans="1:11" x14ac:dyDescent="0.25">
      <c r="A1743" t="s">
        <v>402</v>
      </c>
      <c r="B1743" t="s">
        <v>152</v>
      </c>
      <c r="C1743" t="s">
        <v>50</v>
      </c>
      <c r="D1743" s="3">
        <v>45749</v>
      </c>
      <c r="E1743" t="str">
        <f>VLOOKUP(B1743,'PROCV GERENTES BD'!A:B,2,0)</f>
        <v>PROSPECTAR</v>
      </c>
      <c r="F1743" s="4" t="str">
        <f t="shared" si="162"/>
        <v>2025-04</v>
      </c>
      <c r="G1743" s="18">
        <f t="shared" si="163"/>
        <v>14</v>
      </c>
      <c r="H1743" t="str">
        <f t="shared" si="164"/>
        <v>PROSPECTAR</v>
      </c>
      <c r="I1743" t="str">
        <f t="shared" si="165"/>
        <v>MOINHO DE TRIGO JM LTDA</v>
      </c>
      <c r="J1743">
        <f t="shared" si="166"/>
        <v>0</v>
      </c>
      <c r="K1743">
        <f t="shared" si="167"/>
        <v>1</v>
      </c>
    </row>
    <row r="1744" spans="1:11" x14ac:dyDescent="0.25">
      <c r="A1744" t="s">
        <v>62</v>
      </c>
      <c r="B1744" t="s">
        <v>63</v>
      </c>
      <c r="C1744" t="s">
        <v>50</v>
      </c>
      <c r="D1744" s="3">
        <v>45749</v>
      </c>
      <c r="E1744" t="str">
        <f>VLOOKUP(B1744,'PROCV GERENTES BD'!A:B,2,0)</f>
        <v>PROSPECTAR</v>
      </c>
      <c r="F1744" s="4" t="str">
        <f t="shared" si="162"/>
        <v>2025-04</v>
      </c>
      <c r="G1744" s="18">
        <f t="shared" si="163"/>
        <v>14</v>
      </c>
      <c r="H1744" t="str">
        <f t="shared" si="164"/>
        <v>PROSPECTAR</v>
      </c>
      <c r="I1744" t="str">
        <f t="shared" si="165"/>
        <v>MAPP COM IMPORTACAO EXPORTACAO IND PRODUTOS ALIMEN</v>
      </c>
      <c r="J1744">
        <f t="shared" si="166"/>
        <v>0</v>
      </c>
      <c r="K1744">
        <f t="shared" si="167"/>
        <v>1</v>
      </c>
    </row>
    <row r="1745" spans="1:11" x14ac:dyDescent="0.25">
      <c r="A1745" t="s">
        <v>428</v>
      </c>
      <c r="B1745" t="s">
        <v>179</v>
      </c>
      <c r="C1745" t="s">
        <v>50</v>
      </c>
      <c r="D1745" s="3">
        <v>45749</v>
      </c>
      <c r="E1745" t="str">
        <f>VLOOKUP(B1745,'PROCV GERENTES BD'!A:B,2,0)</f>
        <v xml:space="preserve">MARCUS VINICIUS </v>
      </c>
      <c r="F1745" s="4" t="str">
        <f t="shared" si="162"/>
        <v>2025-04</v>
      </c>
      <c r="G1745" s="18">
        <f t="shared" si="163"/>
        <v>14</v>
      </c>
      <c r="H1745" t="str">
        <f t="shared" si="164"/>
        <v xml:space="preserve">MARCUS VINICIUS </v>
      </c>
      <c r="I1745" t="str">
        <f t="shared" si="165"/>
        <v>LABOR ELETRIC INDUSTRIA E COMERCIO UNIPESSOAL LTDA</v>
      </c>
      <c r="J1745">
        <f t="shared" si="166"/>
        <v>0</v>
      </c>
      <c r="K1745">
        <f t="shared" si="167"/>
        <v>1</v>
      </c>
    </row>
    <row r="1746" spans="1:11" x14ac:dyDescent="0.25">
      <c r="A1746" t="s">
        <v>375</v>
      </c>
      <c r="B1746" t="s">
        <v>120</v>
      </c>
      <c r="C1746" t="s">
        <v>53</v>
      </c>
      <c r="D1746" s="3">
        <v>45749</v>
      </c>
      <c r="E1746" t="str">
        <f>VLOOKUP(B1746,'PROCV GERENTES BD'!A:B,2,0)</f>
        <v>ADMINISTRAÇÃO</v>
      </c>
      <c r="F1746" s="4" t="str">
        <f t="shared" si="162"/>
        <v>2025-04</v>
      </c>
      <c r="G1746" s="18">
        <f t="shared" si="163"/>
        <v>14</v>
      </c>
      <c r="H1746" t="str">
        <f t="shared" si="164"/>
        <v>ADMINISTRAÇÃO</v>
      </c>
      <c r="I1746" t="str">
        <f t="shared" si="165"/>
        <v>FARINELLI NUTRIMENTOS LTDA</v>
      </c>
      <c r="J1746">
        <f t="shared" si="166"/>
        <v>1</v>
      </c>
      <c r="K1746">
        <f t="shared" si="167"/>
        <v>1</v>
      </c>
    </row>
    <row r="1747" spans="1:11" x14ac:dyDescent="0.25">
      <c r="A1747" t="s">
        <v>72</v>
      </c>
      <c r="B1747" t="s">
        <v>73</v>
      </c>
      <c r="C1747" t="s">
        <v>50</v>
      </c>
      <c r="D1747" s="3">
        <v>45749</v>
      </c>
      <c r="E1747" t="str">
        <f>VLOOKUP(B1747,'PROCV GERENTES BD'!A:B,2,0)</f>
        <v>NOELI SALETE</v>
      </c>
      <c r="F1747" s="4" t="str">
        <f t="shared" si="162"/>
        <v>2025-04</v>
      </c>
      <c r="G1747" s="18">
        <f t="shared" si="163"/>
        <v>14</v>
      </c>
      <c r="H1747" t="str">
        <f t="shared" si="164"/>
        <v>NOELI SALETE</v>
      </c>
      <c r="I1747" t="str">
        <f t="shared" si="165"/>
        <v>SMARTCENTER SOLUCOES INTELIGENTES LTDA ME</v>
      </c>
      <c r="J1747">
        <f t="shared" si="166"/>
        <v>0</v>
      </c>
      <c r="K1747">
        <f t="shared" si="167"/>
        <v>1</v>
      </c>
    </row>
    <row r="1748" spans="1:11" x14ac:dyDescent="0.25">
      <c r="A1748" t="s">
        <v>400</v>
      </c>
      <c r="B1748" t="s">
        <v>150</v>
      </c>
      <c r="C1748" t="s">
        <v>50</v>
      </c>
      <c r="D1748" s="3">
        <v>45749</v>
      </c>
      <c r="E1748" t="str">
        <f>VLOOKUP(B1748,'PROCV GERENTES BD'!A:B,2,0)</f>
        <v>NOELI SALETE</v>
      </c>
      <c r="F1748" s="4" t="str">
        <f t="shared" si="162"/>
        <v>2025-04</v>
      </c>
      <c r="G1748" s="18">
        <f t="shared" si="163"/>
        <v>14</v>
      </c>
      <c r="H1748" t="str">
        <f t="shared" si="164"/>
        <v>NOELI SALETE</v>
      </c>
      <c r="I1748" t="str">
        <f t="shared" si="165"/>
        <v>POOLMAK SISTEMAS ESTRUTURAIS LTDA</v>
      </c>
      <c r="J1748">
        <f t="shared" si="166"/>
        <v>0</v>
      </c>
      <c r="K1748">
        <f t="shared" si="167"/>
        <v>1</v>
      </c>
    </row>
    <row r="1749" spans="1:11" x14ac:dyDescent="0.25">
      <c r="A1749" t="s">
        <v>486</v>
      </c>
      <c r="B1749" t="s">
        <v>243</v>
      </c>
      <c r="C1749" t="s">
        <v>50</v>
      </c>
      <c r="D1749" s="3">
        <v>45749</v>
      </c>
      <c r="E1749" t="str">
        <f>VLOOKUP(B1749,'PROCV GERENTES BD'!A:B,2,0)</f>
        <v>NOELI SALETE</v>
      </c>
      <c r="F1749" s="4" t="str">
        <f t="shared" si="162"/>
        <v>2025-04</v>
      </c>
      <c r="G1749" s="18">
        <f t="shared" si="163"/>
        <v>14</v>
      </c>
      <c r="H1749" t="str">
        <f t="shared" si="164"/>
        <v>NOELI SALETE</v>
      </c>
      <c r="I1749" t="str">
        <f t="shared" si="165"/>
        <v>SMARTCENTERGROUP COMERCIO DE EQUIPAMENTOS DE INFOR</v>
      </c>
      <c r="J1749">
        <f t="shared" si="166"/>
        <v>0</v>
      </c>
      <c r="K1749">
        <f t="shared" si="167"/>
        <v>1</v>
      </c>
    </row>
    <row r="1750" spans="1:11" x14ac:dyDescent="0.25">
      <c r="A1750" t="s">
        <v>438</v>
      </c>
      <c r="B1750" t="s">
        <v>189</v>
      </c>
      <c r="C1750" t="s">
        <v>66</v>
      </c>
      <c r="D1750" s="3">
        <v>45749</v>
      </c>
      <c r="E1750" t="str">
        <f>VLOOKUP(B1750,'PROCV GERENTES BD'!A:B,2,0)</f>
        <v>NOELI SALETE</v>
      </c>
      <c r="F1750" s="4" t="str">
        <f t="shared" si="162"/>
        <v>2025-04</v>
      </c>
      <c r="G1750" s="18">
        <f t="shared" si="163"/>
        <v>14</v>
      </c>
      <c r="H1750" t="str">
        <f t="shared" si="164"/>
        <v>NOELI SALETE</v>
      </c>
      <c r="I1750" t="str">
        <f t="shared" si="165"/>
        <v>AGRO INDUSTRIAL LAZZERI LTDA</v>
      </c>
      <c r="J1750">
        <f t="shared" si="166"/>
        <v>1</v>
      </c>
      <c r="K1750">
        <f t="shared" si="167"/>
        <v>0</v>
      </c>
    </row>
    <row r="1751" spans="1:11" x14ac:dyDescent="0.25">
      <c r="A1751" t="s">
        <v>353</v>
      </c>
      <c r="B1751" t="s">
        <v>97</v>
      </c>
      <c r="C1751" t="s">
        <v>53</v>
      </c>
      <c r="D1751" s="3">
        <v>45749</v>
      </c>
      <c r="E1751" t="str">
        <f>VLOOKUP(B1751,'PROCV GERENTES BD'!A:B,2,0)</f>
        <v>PRISCILA METZ</v>
      </c>
      <c r="F1751" s="4" t="str">
        <f t="shared" si="162"/>
        <v>2025-04</v>
      </c>
      <c r="G1751" s="18">
        <f t="shared" si="163"/>
        <v>14</v>
      </c>
      <c r="H1751" t="str">
        <f t="shared" si="164"/>
        <v>PRISCILA METZ</v>
      </c>
      <c r="I1751" t="str">
        <f t="shared" si="165"/>
        <v>ESSENZA INDUSTRIA QUIMICA LTDA</v>
      </c>
      <c r="J1751">
        <f t="shared" si="166"/>
        <v>1</v>
      </c>
      <c r="K1751">
        <f t="shared" si="167"/>
        <v>1</v>
      </c>
    </row>
    <row r="1752" spans="1:11" x14ac:dyDescent="0.25">
      <c r="A1752" t="s">
        <v>387</v>
      </c>
      <c r="B1752" t="s">
        <v>134</v>
      </c>
      <c r="C1752" t="s">
        <v>50</v>
      </c>
      <c r="D1752" s="3">
        <v>45749</v>
      </c>
      <c r="E1752" t="str">
        <f>VLOOKUP(B1752,'PROCV GERENTES BD'!A:B,2,0)</f>
        <v>RAFAEL PARISE</v>
      </c>
      <c r="F1752" s="4" t="str">
        <f t="shared" si="162"/>
        <v>2025-04</v>
      </c>
      <c r="G1752" s="18">
        <f t="shared" si="163"/>
        <v>14</v>
      </c>
      <c r="H1752" t="str">
        <f t="shared" si="164"/>
        <v>RAFAEL PARISE</v>
      </c>
      <c r="I1752" t="str">
        <f t="shared" si="165"/>
        <v>MAIS DISTRIBUIDORA LTDA</v>
      </c>
      <c r="J1752">
        <f t="shared" si="166"/>
        <v>0</v>
      </c>
      <c r="K1752">
        <f t="shared" si="167"/>
        <v>1</v>
      </c>
    </row>
    <row r="1753" spans="1:11" x14ac:dyDescent="0.25">
      <c r="A1753" t="s">
        <v>454</v>
      </c>
      <c r="B1753" t="s">
        <v>211</v>
      </c>
      <c r="C1753" t="s">
        <v>50</v>
      </c>
      <c r="D1753" s="3">
        <v>45749</v>
      </c>
      <c r="E1753" t="str">
        <f>VLOOKUP(B1753,'PROCV GERENTES BD'!A:B,2,0)</f>
        <v>RAFAEL PARISE</v>
      </c>
      <c r="F1753" s="4" t="str">
        <f t="shared" si="162"/>
        <v>2025-04</v>
      </c>
      <c r="G1753" s="18">
        <f t="shared" si="163"/>
        <v>14</v>
      </c>
      <c r="H1753" t="str">
        <f t="shared" si="164"/>
        <v>RAFAEL PARISE</v>
      </c>
      <c r="I1753" t="str">
        <f t="shared" si="165"/>
        <v>TREGA FILHOS EMPACOTAMENTO E DISTRIBUICAO LTDA ME</v>
      </c>
      <c r="J1753">
        <f t="shared" si="166"/>
        <v>0</v>
      </c>
      <c r="K1753">
        <f t="shared" si="167"/>
        <v>1</v>
      </c>
    </row>
    <row r="1754" spans="1:11" x14ac:dyDescent="0.25">
      <c r="A1754" t="s">
        <v>447</v>
      </c>
      <c r="B1754" t="s">
        <v>200</v>
      </c>
      <c r="C1754" t="s">
        <v>50</v>
      </c>
      <c r="D1754" s="3">
        <v>45749</v>
      </c>
      <c r="E1754" t="s">
        <v>21</v>
      </c>
      <c r="F1754" s="4" t="str">
        <f t="shared" si="162"/>
        <v>2025-04</v>
      </c>
      <c r="G1754" s="18">
        <f t="shared" si="163"/>
        <v>14</v>
      </c>
      <c r="H1754" t="str">
        <f t="shared" si="164"/>
        <v xml:space="preserve">ROGERIO </v>
      </c>
      <c r="I1754" t="str">
        <f t="shared" si="165"/>
        <v>ORTHOSIDE INDUSTRIA E COMERCIO LTDA EPP</v>
      </c>
      <c r="J1754">
        <f t="shared" si="166"/>
        <v>0</v>
      </c>
      <c r="K1754">
        <f t="shared" si="167"/>
        <v>1</v>
      </c>
    </row>
    <row r="1755" spans="1:11" x14ac:dyDescent="0.25">
      <c r="A1755" t="s">
        <v>56</v>
      </c>
      <c r="B1755" t="s">
        <v>57</v>
      </c>
      <c r="C1755" t="s">
        <v>50</v>
      </c>
      <c r="D1755" s="3">
        <v>45749</v>
      </c>
      <c r="E1755" t="str">
        <f>VLOOKUP(B1755,'PROCV GERENTES BD'!A:B,2,0)</f>
        <v xml:space="preserve">ROGERIO </v>
      </c>
      <c r="F1755" s="4" t="str">
        <f t="shared" si="162"/>
        <v>2025-04</v>
      </c>
      <c r="G1755" s="18">
        <f t="shared" si="163"/>
        <v>14</v>
      </c>
      <c r="H1755" t="str">
        <f t="shared" si="164"/>
        <v xml:space="preserve">ROGERIO </v>
      </c>
      <c r="I1755" t="str">
        <f t="shared" si="165"/>
        <v>RODOVIEIRA TRANSPORTE LTDA</v>
      </c>
      <c r="J1755">
        <f t="shared" si="166"/>
        <v>0</v>
      </c>
      <c r="K1755">
        <f t="shared" si="167"/>
        <v>1</v>
      </c>
    </row>
    <row r="1756" spans="1:11" x14ac:dyDescent="0.25">
      <c r="A1756" t="s">
        <v>490</v>
      </c>
      <c r="B1756" t="s">
        <v>248</v>
      </c>
      <c r="C1756" t="s">
        <v>50</v>
      </c>
      <c r="D1756" s="3">
        <v>45749</v>
      </c>
      <c r="E1756" t="str">
        <f>VLOOKUP(B1756,'PROCV GERENTES BD'!A:B,2,0)</f>
        <v>PROSPECTAR</v>
      </c>
      <c r="F1756" s="4" t="str">
        <f t="shared" si="162"/>
        <v>2025-04</v>
      </c>
      <c r="G1756" s="18">
        <f t="shared" si="163"/>
        <v>14</v>
      </c>
      <c r="H1756" t="str">
        <f t="shared" si="164"/>
        <v>PROSPECTAR</v>
      </c>
      <c r="I1756" t="str">
        <f t="shared" si="165"/>
        <v>PRODUTOS PORTEIRAO COM DIST E REP LTDA EPP</v>
      </c>
      <c r="J1756">
        <f t="shared" si="166"/>
        <v>0</v>
      </c>
      <c r="K1756">
        <f t="shared" si="167"/>
        <v>1</v>
      </c>
    </row>
    <row r="1757" spans="1:11" x14ac:dyDescent="0.25">
      <c r="A1757" t="s">
        <v>413</v>
      </c>
      <c r="B1757" t="s">
        <v>163</v>
      </c>
      <c r="C1757" t="s">
        <v>66</v>
      </c>
      <c r="D1757" s="3">
        <v>45750</v>
      </c>
      <c r="E1757" t="str">
        <f>VLOOKUP(B1757,'PROCV GERENTES BD'!A:B,2,0)</f>
        <v>CELIO PIMENTA</v>
      </c>
      <c r="F1757" s="4" t="str">
        <f t="shared" si="162"/>
        <v>2025-04</v>
      </c>
      <c r="G1757" s="18">
        <f t="shared" si="163"/>
        <v>14</v>
      </c>
      <c r="H1757" t="str">
        <f t="shared" si="164"/>
        <v>CELIO PIMENTA</v>
      </c>
      <c r="I1757" t="str">
        <f t="shared" si="165"/>
        <v>TOUROS IMPLEMENTOS LTDA ME</v>
      </c>
      <c r="J1757">
        <f t="shared" si="166"/>
        <v>1</v>
      </c>
      <c r="K1757">
        <f t="shared" si="167"/>
        <v>0</v>
      </c>
    </row>
    <row r="1758" spans="1:11" x14ac:dyDescent="0.25">
      <c r="A1758" t="s">
        <v>428</v>
      </c>
      <c r="B1758" t="s">
        <v>179</v>
      </c>
      <c r="C1758" t="s">
        <v>50</v>
      </c>
      <c r="D1758" s="3">
        <v>45750</v>
      </c>
      <c r="E1758" t="str">
        <f>VLOOKUP(B1758,'PROCV GERENTES BD'!A:B,2,0)</f>
        <v xml:space="preserve">MARCUS VINICIUS </v>
      </c>
      <c r="F1758" s="4" t="str">
        <f t="shared" si="162"/>
        <v>2025-04</v>
      </c>
      <c r="G1758" s="18">
        <f t="shared" si="163"/>
        <v>14</v>
      </c>
      <c r="H1758" t="str">
        <f t="shared" si="164"/>
        <v xml:space="preserve">MARCUS VINICIUS </v>
      </c>
      <c r="I1758" t="str">
        <f t="shared" si="165"/>
        <v>LABOR ELETRIC INDUSTRIA E COMERCIO UNIPESSOAL LTDA</v>
      </c>
      <c r="J1758">
        <f t="shared" si="166"/>
        <v>0</v>
      </c>
      <c r="K1758">
        <f t="shared" si="167"/>
        <v>1</v>
      </c>
    </row>
    <row r="1759" spans="1:11" x14ac:dyDescent="0.25">
      <c r="A1759" t="s">
        <v>475</v>
      </c>
      <c r="B1759" t="s">
        <v>232</v>
      </c>
      <c r="C1759" t="s">
        <v>66</v>
      </c>
      <c r="D1759" s="3">
        <v>45750</v>
      </c>
      <c r="E1759" t="str">
        <f>VLOOKUP(B1759,'PROCV GERENTES BD'!A:B,2,0)</f>
        <v>POENATELA</v>
      </c>
      <c r="F1759" s="4" t="str">
        <f t="shared" si="162"/>
        <v>2025-04</v>
      </c>
      <c r="G1759" s="18">
        <f t="shared" si="163"/>
        <v>14</v>
      </c>
      <c r="H1759" t="str">
        <f t="shared" si="164"/>
        <v>POENATELA</v>
      </c>
      <c r="I1759" t="str">
        <f t="shared" si="165"/>
        <v>JUATUBA MOVEIS E EMBALAGENS LTDA</v>
      </c>
      <c r="J1759">
        <f t="shared" si="166"/>
        <v>1</v>
      </c>
      <c r="K1759">
        <f t="shared" si="167"/>
        <v>0</v>
      </c>
    </row>
    <row r="1760" spans="1:11" x14ac:dyDescent="0.25">
      <c r="A1760" t="s">
        <v>51</v>
      </c>
      <c r="B1760" t="s">
        <v>52</v>
      </c>
      <c r="C1760" t="s">
        <v>66</v>
      </c>
      <c r="D1760" s="3">
        <v>45750</v>
      </c>
      <c r="E1760" t="str">
        <f>VLOOKUP(B1760,'PROCV GERENTES BD'!A:B,2,0)</f>
        <v>RAFAEL PARISE</v>
      </c>
      <c r="F1760" s="4" t="str">
        <f t="shared" si="162"/>
        <v>2025-04</v>
      </c>
      <c r="G1760" s="18">
        <f t="shared" si="163"/>
        <v>14</v>
      </c>
      <c r="H1760" t="str">
        <f t="shared" si="164"/>
        <v>RAFAEL PARISE</v>
      </c>
      <c r="I1760" t="str">
        <f t="shared" si="165"/>
        <v>TDR TRANSPORTES LOGISTICA LTDA</v>
      </c>
      <c r="J1760">
        <f t="shared" si="166"/>
        <v>1</v>
      </c>
      <c r="K1760">
        <f t="shared" si="167"/>
        <v>0</v>
      </c>
    </row>
    <row r="1761" spans="1:11" x14ac:dyDescent="0.25">
      <c r="A1761" t="s">
        <v>67</v>
      </c>
      <c r="B1761" t="s">
        <v>68</v>
      </c>
      <c r="C1761" t="s">
        <v>66</v>
      </c>
      <c r="D1761" s="3">
        <v>45750</v>
      </c>
      <c r="E1761" t="s">
        <v>21</v>
      </c>
      <c r="F1761" s="4" t="str">
        <f t="shared" si="162"/>
        <v>2025-04</v>
      </c>
      <c r="G1761" s="18">
        <f t="shared" si="163"/>
        <v>14</v>
      </c>
      <c r="H1761" t="str">
        <f t="shared" si="164"/>
        <v xml:space="preserve">ROGERIO </v>
      </c>
      <c r="I1761" t="str">
        <f t="shared" si="165"/>
        <v>DIOTTONI INDUSTRIA E COMERCIO DE ALIMENTOS LTDA ME</v>
      </c>
      <c r="J1761">
        <f t="shared" si="166"/>
        <v>1</v>
      </c>
      <c r="K1761">
        <f t="shared" si="167"/>
        <v>0</v>
      </c>
    </row>
    <row r="1762" spans="1:11" x14ac:dyDescent="0.25">
      <c r="A1762" t="s">
        <v>56</v>
      </c>
      <c r="B1762" t="s">
        <v>57</v>
      </c>
      <c r="C1762" t="s">
        <v>66</v>
      </c>
      <c r="D1762" s="3">
        <v>45750</v>
      </c>
      <c r="E1762" t="str">
        <f>VLOOKUP(B1762,'PROCV GERENTES BD'!A:B,2,0)</f>
        <v xml:space="preserve">ROGERIO </v>
      </c>
      <c r="F1762" s="4" t="str">
        <f t="shared" si="162"/>
        <v>2025-04</v>
      </c>
      <c r="G1762" s="18">
        <f t="shared" si="163"/>
        <v>14</v>
      </c>
      <c r="H1762" t="str">
        <f t="shared" si="164"/>
        <v xml:space="preserve">ROGERIO </v>
      </c>
      <c r="I1762" t="str">
        <f t="shared" si="165"/>
        <v>RODOVIEIRA TRANSPORTE LTDA</v>
      </c>
      <c r="J1762">
        <f t="shared" si="166"/>
        <v>1</v>
      </c>
      <c r="K1762">
        <f t="shared" si="167"/>
        <v>0</v>
      </c>
    </row>
    <row r="1763" spans="1:11" x14ac:dyDescent="0.25">
      <c r="A1763" t="s">
        <v>54</v>
      </c>
      <c r="B1763" t="s">
        <v>55</v>
      </c>
      <c r="C1763" t="s">
        <v>50</v>
      </c>
      <c r="D1763" s="3">
        <v>45751</v>
      </c>
      <c r="E1763" t="str">
        <f>VLOOKUP(B1763,'PROCV GERENTES BD'!A:B,2,0)</f>
        <v>CELIO PIMENTA</v>
      </c>
      <c r="F1763" s="4" t="str">
        <f t="shared" si="162"/>
        <v>2025-04</v>
      </c>
      <c r="G1763" s="18">
        <f t="shared" si="163"/>
        <v>14</v>
      </c>
      <c r="H1763" t="str">
        <f t="shared" si="164"/>
        <v>CELIO PIMENTA</v>
      </c>
      <c r="I1763" t="str">
        <f t="shared" si="165"/>
        <v>WJ CALDEIRARIA INDUSTRIA E COMERCIO LTDA ME</v>
      </c>
      <c r="J1763">
        <f t="shared" si="166"/>
        <v>0</v>
      </c>
      <c r="K1763">
        <f t="shared" si="167"/>
        <v>1</v>
      </c>
    </row>
    <row r="1764" spans="1:11" x14ac:dyDescent="0.25">
      <c r="A1764" t="s">
        <v>467</v>
      </c>
      <c r="B1764" t="s">
        <v>224</v>
      </c>
      <c r="C1764" t="s">
        <v>50</v>
      </c>
      <c r="D1764" s="3">
        <v>45751</v>
      </c>
      <c r="E1764" t="str">
        <f>VLOOKUP(B1764,'PROCV GERENTES BD'!A:B,2,0)</f>
        <v>DIOGO AZEVEDO</v>
      </c>
      <c r="F1764" s="4" t="str">
        <f t="shared" si="162"/>
        <v>2025-04</v>
      </c>
      <c r="G1764" s="18">
        <f t="shared" si="163"/>
        <v>14</v>
      </c>
      <c r="H1764" t="str">
        <f t="shared" si="164"/>
        <v>DIOGO AZEVEDO</v>
      </c>
      <c r="I1764" t="str">
        <f t="shared" si="165"/>
        <v>VGS COMERCIO DE EMBALAGENS DE MADEIRAS LTDA ME</v>
      </c>
      <c r="J1764">
        <f t="shared" si="166"/>
        <v>0</v>
      </c>
      <c r="K1764">
        <f t="shared" si="167"/>
        <v>1</v>
      </c>
    </row>
    <row r="1765" spans="1:11" x14ac:dyDescent="0.25">
      <c r="A1765" t="s">
        <v>402</v>
      </c>
      <c r="B1765" t="s">
        <v>152</v>
      </c>
      <c r="C1765" t="s">
        <v>50</v>
      </c>
      <c r="D1765" s="3">
        <v>45751</v>
      </c>
      <c r="E1765" t="str">
        <f>VLOOKUP(B1765,'PROCV GERENTES BD'!A:B,2,0)</f>
        <v>PROSPECTAR</v>
      </c>
      <c r="F1765" s="4" t="str">
        <f t="shared" si="162"/>
        <v>2025-04</v>
      </c>
      <c r="G1765" s="18">
        <f t="shared" si="163"/>
        <v>14</v>
      </c>
      <c r="H1765" t="str">
        <f t="shared" si="164"/>
        <v>PROSPECTAR</v>
      </c>
      <c r="I1765" t="str">
        <f t="shared" si="165"/>
        <v>MOINHO DE TRIGO JM LTDA</v>
      </c>
      <c r="J1765">
        <f t="shared" si="166"/>
        <v>0</v>
      </c>
      <c r="K1765">
        <f t="shared" si="167"/>
        <v>1</v>
      </c>
    </row>
    <row r="1766" spans="1:11" x14ac:dyDescent="0.25">
      <c r="A1766" t="s">
        <v>324</v>
      </c>
      <c r="B1766" t="s">
        <v>119</v>
      </c>
      <c r="C1766" t="s">
        <v>66</v>
      </c>
      <c r="D1766" s="3">
        <v>45751</v>
      </c>
      <c r="E1766" t="str">
        <f>VLOOKUP(B1766,'PROCV GERENTES BD'!A:B,2,0)</f>
        <v>PROSPECTAR</v>
      </c>
      <c r="F1766" s="4" t="str">
        <f t="shared" si="162"/>
        <v>2025-04</v>
      </c>
      <c r="G1766" s="18">
        <f t="shared" si="163"/>
        <v>14</v>
      </c>
      <c r="H1766" t="str">
        <f t="shared" si="164"/>
        <v>PROSPECTAR</v>
      </c>
      <c r="I1766" t="str">
        <f t="shared" si="165"/>
        <v>TRANSHENRY TRANSPORTES LTDA</v>
      </c>
      <c r="J1766">
        <f t="shared" si="166"/>
        <v>1</v>
      </c>
      <c r="K1766">
        <f t="shared" si="167"/>
        <v>0</v>
      </c>
    </row>
    <row r="1767" spans="1:11" x14ac:dyDescent="0.25">
      <c r="A1767" t="s">
        <v>62</v>
      </c>
      <c r="B1767" t="s">
        <v>63</v>
      </c>
      <c r="C1767" t="s">
        <v>66</v>
      </c>
      <c r="D1767" s="3">
        <v>45751</v>
      </c>
      <c r="E1767" t="str">
        <f>VLOOKUP(B1767,'PROCV GERENTES BD'!A:B,2,0)</f>
        <v>PROSPECTAR</v>
      </c>
      <c r="F1767" s="4" t="str">
        <f t="shared" si="162"/>
        <v>2025-04</v>
      </c>
      <c r="G1767" s="18">
        <f t="shared" si="163"/>
        <v>14</v>
      </c>
      <c r="H1767" t="str">
        <f t="shared" si="164"/>
        <v>PROSPECTAR</v>
      </c>
      <c r="I1767" t="str">
        <f t="shared" si="165"/>
        <v>MAPP COM IMPORTACAO EXPORTACAO IND PRODUTOS ALIMEN</v>
      </c>
      <c r="J1767">
        <f t="shared" si="166"/>
        <v>1</v>
      </c>
      <c r="K1767">
        <f t="shared" si="167"/>
        <v>0</v>
      </c>
    </row>
    <row r="1768" spans="1:11" x14ac:dyDescent="0.25">
      <c r="A1768" t="s">
        <v>60</v>
      </c>
      <c r="B1768" t="s">
        <v>61</v>
      </c>
      <c r="C1768" t="s">
        <v>66</v>
      </c>
      <c r="D1768" s="3">
        <v>45751</v>
      </c>
      <c r="E1768" t="str">
        <f>VLOOKUP(B1768,'PROCV GERENTES BD'!A:B,2,0)</f>
        <v xml:space="preserve">MARCUS VINICIUS </v>
      </c>
      <c r="F1768" s="4" t="str">
        <f t="shared" si="162"/>
        <v>2025-04</v>
      </c>
      <c r="G1768" s="18">
        <f t="shared" si="163"/>
        <v>14</v>
      </c>
      <c r="H1768" t="str">
        <f t="shared" si="164"/>
        <v xml:space="preserve">MARCUS VINICIUS </v>
      </c>
      <c r="I1768" t="str">
        <f t="shared" si="165"/>
        <v>COM IND DE CEREAIS E TRANSPORTES MACIEL LTDA</v>
      </c>
      <c r="J1768">
        <f t="shared" si="166"/>
        <v>1</v>
      </c>
      <c r="K1768">
        <f t="shared" si="167"/>
        <v>0</v>
      </c>
    </row>
    <row r="1769" spans="1:11" x14ac:dyDescent="0.25">
      <c r="A1769" t="s">
        <v>310</v>
      </c>
      <c r="B1769" t="s">
        <v>204</v>
      </c>
      <c r="C1769" t="s">
        <v>66</v>
      </c>
      <c r="D1769" s="3">
        <v>45751</v>
      </c>
      <c r="E1769" t="str">
        <f>VLOOKUP(B1769,'PROCV GERENTES BD'!A:B,2,0)</f>
        <v xml:space="preserve">MARCUS VINICIUS </v>
      </c>
      <c r="F1769" s="4" t="str">
        <f t="shared" si="162"/>
        <v>2025-04</v>
      </c>
      <c r="G1769" s="18">
        <f t="shared" si="163"/>
        <v>14</v>
      </c>
      <c r="H1769" t="str">
        <f t="shared" si="164"/>
        <v xml:space="preserve">MARCUS VINICIUS </v>
      </c>
      <c r="I1769" t="str">
        <f t="shared" si="165"/>
        <v>INDUSTRIA E COMERCIO DE CHURRASQUEIRAS BOM JESUS L</v>
      </c>
      <c r="J1769">
        <f t="shared" si="166"/>
        <v>1</v>
      </c>
      <c r="K1769">
        <f t="shared" si="167"/>
        <v>0</v>
      </c>
    </row>
    <row r="1770" spans="1:11" x14ac:dyDescent="0.25">
      <c r="A1770" t="s">
        <v>375</v>
      </c>
      <c r="B1770" t="s">
        <v>120</v>
      </c>
      <c r="C1770" t="s">
        <v>66</v>
      </c>
      <c r="D1770" s="3">
        <v>45751</v>
      </c>
      <c r="E1770" t="str">
        <f>VLOOKUP(B1770,'PROCV GERENTES BD'!A:B,2,0)</f>
        <v>ADMINISTRAÇÃO</v>
      </c>
      <c r="F1770" s="4" t="str">
        <f t="shared" si="162"/>
        <v>2025-04</v>
      </c>
      <c r="G1770" s="18">
        <f t="shared" si="163"/>
        <v>14</v>
      </c>
      <c r="H1770" t="str">
        <f t="shared" si="164"/>
        <v>ADMINISTRAÇÃO</v>
      </c>
      <c r="I1770" t="str">
        <f t="shared" si="165"/>
        <v>FARINELLI NUTRIMENTOS LTDA</v>
      </c>
      <c r="J1770">
        <f t="shared" si="166"/>
        <v>1</v>
      </c>
      <c r="K1770">
        <f t="shared" si="167"/>
        <v>0</v>
      </c>
    </row>
    <row r="1771" spans="1:11" x14ac:dyDescent="0.25">
      <c r="A1771" t="s">
        <v>419</v>
      </c>
      <c r="B1771" t="s">
        <v>199</v>
      </c>
      <c r="C1771" t="s">
        <v>66</v>
      </c>
      <c r="D1771" s="3">
        <v>45751</v>
      </c>
      <c r="E1771" t="str">
        <f>VLOOKUP(B1771,'PROCV GERENTES BD'!A:B,2,0)</f>
        <v>NOELI SALETE</v>
      </c>
      <c r="F1771" s="4" t="str">
        <f t="shared" si="162"/>
        <v>2025-04</v>
      </c>
      <c r="G1771" s="18">
        <f t="shared" si="163"/>
        <v>14</v>
      </c>
      <c r="H1771" t="str">
        <f t="shared" si="164"/>
        <v>NOELI SALETE</v>
      </c>
      <c r="I1771" t="str">
        <f t="shared" si="165"/>
        <v>GLOBAL ACO SERV PRODUTOS SIDERURGICOS LTDA RECUPER</v>
      </c>
      <c r="J1771">
        <f t="shared" si="166"/>
        <v>1</v>
      </c>
      <c r="K1771">
        <f t="shared" si="167"/>
        <v>0</v>
      </c>
    </row>
    <row r="1772" spans="1:11" x14ac:dyDescent="0.25">
      <c r="A1772" t="s">
        <v>420</v>
      </c>
      <c r="B1772" t="s">
        <v>170</v>
      </c>
      <c r="C1772" t="s">
        <v>66</v>
      </c>
      <c r="D1772" s="3">
        <v>45751</v>
      </c>
      <c r="E1772" t="str">
        <f>VLOOKUP(B1772,'PROCV GERENTES BD'!A:B,2,0)</f>
        <v>POENATELA</v>
      </c>
      <c r="F1772" s="4" t="str">
        <f t="shared" si="162"/>
        <v>2025-04</v>
      </c>
      <c r="G1772" s="18">
        <f t="shared" si="163"/>
        <v>14</v>
      </c>
      <c r="H1772" t="str">
        <f t="shared" si="164"/>
        <v>POENATELA</v>
      </c>
      <c r="I1772" t="str">
        <f t="shared" si="165"/>
        <v>SAVIXX COMERCIO INTERNACIONAL S/A</v>
      </c>
      <c r="J1772">
        <f t="shared" si="166"/>
        <v>1</v>
      </c>
      <c r="K1772">
        <f t="shared" si="167"/>
        <v>0</v>
      </c>
    </row>
    <row r="1773" spans="1:11" x14ac:dyDescent="0.25">
      <c r="A1773" t="s">
        <v>67</v>
      </c>
      <c r="B1773" t="s">
        <v>68</v>
      </c>
      <c r="C1773" t="s">
        <v>53</v>
      </c>
      <c r="D1773" s="3">
        <v>45751</v>
      </c>
      <c r="E1773" t="s">
        <v>21</v>
      </c>
      <c r="F1773" s="4" t="str">
        <f t="shared" si="162"/>
        <v>2025-04</v>
      </c>
      <c r="G1773" s="18">
        <f t="shared" si="163"/>
        <v>14</v>
      </c>
      <c r="H1773" t="str">
        <f t="shared" si="164"/>
        <v xml:space="preserve">ROGERIO </v>
      </c>
      <c r="I1773" t="str">
        <f t="shared" si="165"/>
        <v>DIOTTONI INDUSTRIA E COMERCIO DE ALIMENTOS LTDA ME</v>
      </c>
      <c r="J1773">
        <f t="shared" si="166"/>
        <v>1</v>
      </c>
      <c r="K1773">
        <f t="shared" si="167"/>
        <v>1</v>
      </c>
    </row>
    <row r="1774" spans="1:11" x14ac:dyDescent="0.25">
      <c r="A1774" t="s">
        <v>325</v>
      </c>
      <c r="B1774" t="s">
        <v>138</v>
      </c>
      <c r="C1774" t="s">
        <v>66</v>
      </c>
      <c r="D1774" s="3">
        <v>45751</v>
      </c>
      <c r="E1774" t="str">
        <f>VLOOKUP(B1774,'PROCV GERENTES BD'!A:B,2,0)</f>
        <v>SACADO</v>
      </c>
      <c r="F1774" s="4" t="str">
        <f t="shared" si="162"/>
        <v>2025-04</v>
      </c>
      <c r="G1774" s="18">
        <f t="shared" si="163"/>
        <v>14</v>
      </c>
      <c r="H1774" t="str">
        <f t="shared" si="164"/>
        <v>SACADO</v>
      </c>
      <c r="I1774" t="str">
        <f t="shared" si="165"/>
        <v>ALLIAGE S A INDUSTRIAS MEDICO ODONTOLOGICA</v>
      </c>
      <c r="J1774">
        <f t="shared" si="166"/>
        <v>1</v>
      </c>
      <c r="K1774">
        <f t="shared" si="167"/>
        <v>0</v>
      </c>
    </row>
    <row r="1775" spans="1:11" x14ac:dyDescent="0.25">
      <c r="A1775" t="s">
        <v>484</v>
      </c>
      <c r="B1775" t="s">
        <v>245</v>
      </c>
      <c r="C1775" t="s">
        <v>50</v>
      </c>
      <c r="D1775" s="3">
        <v>45751</v>
      </c>
      <c r="E1775" t="str">
        <f>VLOOKUP(B1775,'PROCV GERENTES BD'!A:B,2,0)</f>
        <v>ADMINISTRAÇÃO</v>
      </c>
      <c r="F1775" s="4" t="str">
        <f t="shared" si="162"/>
        <v>2025-04</v>
      </c>
      <c r="G1775" s="18">
        <f t="shared" si="163"/>
        <v>14</v>
      </c>
      <c r="H1775" t="str">
        <f t="shared" si="164"/>
        <v>ADMINISTRAÇÃO</v>
      </c>
      <c r="I1775" t="str">
        <f t="shared" si="165"/>
        <v>REAL FILTROS E ACESSORIOS AUTOMOTIVOS LTDA</v>
      </c>
      <c r="J1775">
        <f t="shared" si="166"/>
        <v>0</v>
      </c>
      <c r="K1775">
        <f t="shared" si="167"/>
        <v>1</v>
      </c>
    </row>
    <row r="1776" spans="1:11" x14ac:dyDescent="0.25">
      <c r="A1776" t="s">
        <v>492</v>
      </c>
      <c r="B1776" t="s">
        <v>251</v>
      </c>
      <c r="C1776" t="s">
        <v>50</v>
      </c>
      <c r="D1776" s="3">
        <v>45751</v>
      </c>
      <c r="E1776" t="str">
        <f>VLOOKUP(B1776,'PROCV GERENTES BD'!A:B,2,0)</f>
        <v>PROSPECTAR</v>
      </c>
      <c r="F1776" s="4" t="str">
        <f t="shared" si="162"/>
        <v>2025-04</v>
      </c>
      <c r="G1776" s="18">
        <f t="shared" si="163"/>
        <v>14</v>
      </c>
      <c r="H1776" t="str">
        <f t="shared" si="164"/>
        <v>PROSPECTAR</v>
      </c>
      <c r="I1776" t="str">
        <f t="shared" si="165"/>
        <v>JANE FIGUEIRA CONFECCOES LTDA ME</v>
      </c>
      <c r="J1776">
        <f t="shared" si="166"/>
        <v>0</v>
      </c>
      <c r="K1776">
        <f t="shared" si="167"/>
        <v>1</v>
      </c>
    </row>
    <row r="1777" spans="1:11" x14ac:dyDescent="0.25">
      <c r="A1777" t="s">
        <v>355</v>
      </c>
      <c r="B1777" t="s">
        <v>100</v>
      </c>
      <c r="C1777" t="s">
        <v>66</v>
      </c>
      <c r="D1777" s="3">
        <v>45752</v>
      </c>
      <c r="E1777" t="str">
        <f>VLOOKUP(B1777,'PROCV GERENTES BD'!A:B,2,0)</f>
        <v>ADMINISTRAÇÃO</v>
      </c>
      <c r="F1777" s="4" t="str">
        <f t="shared" si="162"/>
        <v>2025-04</v>
      </c>
      <c r="G1777" s="18">
        <f t="shared" si="163"/>
        <v>14</v>
      </c>
      <c r="H1777" t="str">
        <f t="shared" si="164"/>
        <v>ADMINISTRAÇÃO</v>
      </c>
      <c r="I1777" t="str">
        <f t="shared" si="165"/>
        <v>DECISION DESENVOLVIMENTO DE SISTEMAS LTDA</v>
      </c>
      <c r="J1777">
        <f t="shared" si="166"/>
        <v>1</v>
      </c>
      <c r="K1777">
        <f t="shared" si="167"/>
        <v>0</v>
      </c>
    </row>
    <row r="1778" spans="1:11" x14ac:dyDescent="0.25">
      <c r="A1778" t="s">
        <v>311</v>
      </c>
      <c r="B1778" t="s">
        <v>81</v>
      </c>
      <c r="C1778" t="s">
        <v>50</v>
      </c>
      <c r="D1778" s="3">
        <v>45752</v>
      </c>
      <c r="E1778" t="str">
        <f>VLOOKUP(B1778,'PROCV GERENTES BD'!A:B,2,0)</f>
        <v>CELIO PIMENTA</v>
      </c>
      <c r="F1778" s="4" t="str">
        <f t="shared" si="162"/>
        <v>2025-04</v>
      </c>
      <c r="G1778" s="18">
        <f t="shared" si="163"/>
        <v>14</v>
      </c>
      <c r="H1778" t="str">
        <f t="shared" si="164"/>
        <v>CELIO PIMENTA</v>
      </c>
      <c r="I1778" t="str">
        <f t="shared" si="165"/>
        <v>MBIOLOG DIAGNOSTICOS LTDA</v>
      </c>
      <c r="J1778">
        <f t="shared" si="166"/>
        <v>0</v>
      </c>
      <c r="K1778">
        <f t="shared" si="167"/>
        <v>1</v>
      </c>
    </row>
    <row r="1779" spans="1:11" x14ac:dyDescent="0.25">
      <c r="A1779" t="s">
        <v>54</v>
      </c>
      <c r="B1779" t="s">
        <v>55</v>
      </c>
      <c r="C1779" t="s">
        <v>50</v>
      </c>
      <c r="D1779" s="3">
        <v>45752</v>
      </c>
      <c r="E1779" t="str">
        <f>VLOOKUP(B1779,'PROCV GERENTES BD'!A:B,2,0)</f>
        <v>CELIO PIMENTA</v>
      </c>
      <c r="F1779" s="4" t="str">
        <f t="shared" si="162"/>
        <v>2025-04</v>
      </c>
      <c r="G1779" s="18">
        <f t="shared" si="163"/>
        <v>14</v>
      </c>
      <c r="H1779" t="str">
        <f t="shared" si="164"/>
        <v>CELIO PIMENTA</v>
      </c>
      <c r="I1779" t="str">
        <f t="shared" si="165"/>
        <v>WJ CALDEIRARIA INDUSTRIA E COMERCIO LTDA ME</v>
      </c>
      <c r="J1779">
        <f t="shared" si="166"/>
        <v>0</v>
      </c>
      <c r="K1779">
        <f t="shared" si="167"/>
        <v>1</v>
      </c>
    </row>
    <row r="1780" spans="1:11" x14ac:dyDescent="0.25">
      <c r="A1780" t="s">
        <v>467</v>
      </c>
      <c r="B1780" t="s">
        <v>224</v>
      </c>
      <c r="C1780" t="s">
        <v>50</v>
      </c>
      <c r="D1780" s="3">
        <v>45752</v>
      </c>
      <c r="E1780" t="str">
        <f>VLOOKUP(B1780,'PROCV GERENTES BD'!A:B,2,0)</f>
        <v>DIOGO AZEVEDO</v>
      </c>
      <c r="F1780" s="4" t="str">
        <f t="shared" si="162"/>
        <v>2025-04</v>
      </c>
      <c r="G1780" s="18">
        <f t="shared" si="163"/>
        <v>14</v>
      </c>
      <c r="H1780" t="str">
        <f t="shared" si="164"/>
        <v>DIOGO AZEVEDO</v>
      </c>
      <c r="I1780" t="str">
        <f t="shared" si="165"/>
        <v>VGS COMERCIO DE EMBALAGENS DE MADEIRAS LTDA ME</v>
      </c>
      <c r="J1780">
        <f t="shared" si="166"/>
        <v>0</v>
      </c>
      <c r="K1780">
        <f t="shared" si="167"/>
        <v>1</v>
      </c>
    </row>
    <row r="1781" spans="1:11" x14ac:dyDescent="0.25">
      <c r="A1781" t="s">
        <v>485</v>
      </c>
      <c r="B1781" t="s">
        <v>242</v>
      </c>
      <c r="C1781" t="s">
        <v>53</v>
      </c>
      <c r="D1781" s="3">
        <v>45752</v>
      </c>
      <c r="E1781" t="str">
        <f>VLOOKUP(B1781,'PROCV GERENTES BD'!A:B,2,0)</f>
        <v>PROSPECTAR</v>
      </c>
      <c r="F1781" s="4" t="str">
        <f t="shared" si="162"/>
        <v>2025-04</v>
      </c>
      <c r="G1781" s="18">
        <f t="shared" si="163"/>
        <v>14</v>
      </c>
      <c r="H1781" t="str">
        <f t="shared" si="164"/>
        <v>PROSPECTAR</v>
      </c>
      <c r="I1781" t="str">
        <f t="shared" si="165"/>
        <v>GOIARTE SOLUCOES CONSTRUTIVAS EM CONCRETO LTDA</v>
      </c>
      <c r="J1781">
        <f t="shared" si="166"/>
        <v>1</v>
      </c>
      <c r="K1781">
        <f t="shared" si="167"/>
        <v>1</v>
      </c>
    </row>
    <row r="1782" spans="1:11" x14ac:dyDescent="0.25">
      <c r="A1782" t="s">
        <v>402</v>
      </c>
      <c r="B1782" t="s">
        <v>152</v>
      </c>
      <c r="C1782" t="s">
        <v>53</v>
      </c>
      <c r="D1782" s="3">
        <v>45752</v>
      </c>
      <c r="E1782" t="str">
        <f>VLOOKUP(B1782,'PROCV GERENTES BD'!A:B,2,0)</f>
        <v>PROSPECTAR</v>
      </c>
      <c r="F1782" s="4" t="str">
        <f t="shared" si="162"/>
        <v>2025-04</v>
      </c>
      <c r="G1782" s="18">
        <f t="shared" si="163"/>
        <v>14</v>
      </c>
      <c r="H1782" t="str">
        <f t="shared" si="164"/>
        <v>PROSPECTAR</v>
      </c>
      <c r="I1782" t="str">
        <f t="shared" si="165"/>
        <v>MOINHO DE TRIGO JM LTDA</v>
      </c>
      <c r="J1782">
        <f t="shared" si="166"/>
        <v>1</v>
      </c>
      <c r="K1782">
        <f t="shared" si="167"/>
        <v>1</v>
      </c>
    </row>
    <row r="1783" spans="1:11" x14ac:dyDescent="0.25">
      <c r="A1783" t="s">
        <v>324</v>
      </c>
      <c r="B1783" t="s">
        <v>119</v>
      </c>
      <c r="C1783" t="s">
        <v>53</v>
      </c>
      <c r="D1783" s="3">
        <v>45752</v>
      </c>
      <c r="E1783" t="str">
        <f>VLOOKUP(B1783,'PROCV GERENTES BD'!A:B,2,0)</f>
        <v>PROSPECTAR</v>
      </c>
      <c r="F1783" s="4" t="str">
        <f t="shared" si="162"/>
        <v>2025-04</v>
      </c>
      <c r="G1783" s="18">
        <f t="shared" si="163"/>
        <v>14</v>
      </c>
      <c r="H1783" t="str">
        <f t="shared" si="164"/>
        <v>PROSPECTAR</v>
      </c>
      <c r="I1783" t="str">
        <f t="shared" si="165"/>
        <v>TRANSHENRY TRANSPORTES LTDA</v>
      </c>
      <c r="J1783">
        <f t="shared" si="166"/>
        <v>1</v>
      </c>
      <c r="K1783">
        <f t="shared" si="167"/>
        <v>1</v>
      </c>
    </row>
    <row r="1784" spans="1:11" x14ac:dyDescent="0.25">
      <c r="A1784" t="s">
        <v>62</v>
      </c>
      <c r="B1784" t="s">
        <v>63</v>
      </c>
      <c r="C1784" t="s">
        <v>50</v>
      </c>
      <c r="D1784" s="3">
        <v>45752</v>
      </c>
      <c r="E1784" t="str">
        <f>VLOOKUP(B1784,'PROCV GERENTES BD'!A:B,2,0)</f>
        <v>PROSPECTAR</v>
      </c>
      <c r="F1784" s="4" t="str">
        <f t="shared" si="162"/>
        <v>2025-04</v>
      </c>
      <c r="G1784" s="18">
        <f t="shared" si="163"/>
        <v>14</v>
      </c>
      <c r="H1784" t="str">
        <f t="shared" si="164"/>
        <v>PROSPECTAR</v>
      </c>
      <c r="I1784" t="str">
        <f t="shared" si="165"/>
        <v>MAPP COM IMPORTACAO EXPORTACAO IND PRODUTOS ALIMEN</v>
      </c>
      <c r="J1784">
        <f t="shared" si="166"/>
        <v>0</v>
      </c>
      <c r="K1784">
        <f t="shared" si="167"/>
        <v>1</v>
      </c>
    </row>
    <row r="1785" spans="1:11" x14ac:dyDescent="0.25">
      <c r="A1785" t="s">
        <v>419</v>
      </c>
      <c r="B1785" t="s">
        <v>199</v>
      </c>
      <c r="C1785" t="s">
        <v>66</v>
      </c>
      <c r="D1785" s="3">
        <v>45752</v>
      </c>
      <c r="E1785" t="str">
        <f>VLOOKUP(B1785,'PROCV GERENTES BD'!A:B,2,0)</f>
        <v>NOELI SALETE</v>
      </c>
      <c r="F1785" s="4" t="str">
        <f t="shared" si="162"/>
        <v>2025-04</v>
      </c>
      <c r="G1785" s="18">
        <f t="shared" si="163"/>
        <v>14</v>
      </c>
      <c r="H1785" t="str">
        <f t="shared" si="164"/>
        <v>NOELI SALETE</v>
      </c>
      <c r="I1785" t="str">
        <f t="shared" si="165"/>
        <v>GLOBAL ACO SERV PRODUTOS SIDERURGICOS LTDA RECUPER</v>
      </c>
      <c r="J1785">
        <f t="shared" si="166"/>
        <v>1</v>
      </c>
      <c r="K1785">
        <f t="shared" si="167"/>
        <v>0</v>
      </c>
    </row>
    <row r="1786" spans="1:11" x14ac:dyDescent="0.25">
      <c r="A1786" t="s">
        <v>72</v>
      </c>
      <c r="B1786" t="s">
        <v>73</v>
      </c>
      <c r="C1786" t="s">
        <v>50</v>
      </c>
      <c r="D1786" s="3">
        <v>45752</v>
      </c>
      <c r="E1786" t="str">
        <f>VLOOKUP(B1786,'PROCV GERENTES BD'!A:B,2,0)</f>
        <v>NOELI SALETE</v>
      </c>
      <c r="F1786" s="4" t="str">
        <f t="shared" si="162"/>
        <v>2025-04</v>
      </c>
      <c r="G1786" s="18">
        <f t="shared" si="163"/>
        <v>14</v>
      </c>
      <c r="H1786" t="str">
        <f t="shared" si="164"/>
        <v>NOELI SALETE</v>
      </c>
      <c r="I1786" t="str">
        <f t="shared" si="165"/>
        <v>SMARTCENTER SOLUCOES INTELIGENTES LTDA ME</v>
      </c>
      <c r="J1786">
        <f t="shared" si="166"/>
        <v>0</v>
      </c>
      <c r="K1786">
        <f t="shared" si="167"/>
        <v>1</v>
      </c>
    </row>
    <row r="1787" spans="1:11" x14ac:dyDescent="0.25">
      <c r="A1787" t="s">
        <v>486</v>
      </c>
      <c r="B1787" t="s">
        <v>243</v>
      </c>
      <c r="C1787" t="s">
        <v>50</v>
      </c>
      <c r="D1787" s="3">
        <v>45752</v>
      </c>
      <c r="E1787" t="str">
        <f>VLOOKUP(B1787,'PROCV GERENTES BD'!A:B,2,0)</f>
        <v>NOELI SALETE</v>
      </c>
      <c r="F1787" s="4" t="str">
        <f t="shared" si="162"/>
        <v>2025-04</v>
      </c>
      <c r="G1787" s="18">
        <f t="shared" si="163"/>
        <v>14</v>
      </c>
      <c r="H1787" t="str">
        <f t="shared" si="164"/>
        <v>NOELI SALETE</v>
      </c>
      <c r="I1787" t="str">
        <f t="shared" si="165"/>
        <v>SMARTCENTERGROUP COMERCIO DE EQUIPAMENTOS DE INFOR</v>
      </c>
      <c r="J1787">
        <f t="shared" si="166"/>
        <v>0</v>
      </c>
      <c r="K1787">
        <f t="shared" si="167"/>
        <v>1</v>
      </c>
    </row>
    <row r="1788" spans="1:11" x14ac:dyDescent="0.25">
      <c r="A1788" t="s">
        <v>420</v>
      </c>
      <c r="B1788" t="s">
        <v>170</v>
      </c>
      <c r="C1788" t="s">
        <v>50</v>
      </c>
      <c r="D1788" s="3">
        <v>45752</v>
      </c>
      <c r="E1788" t="str">
        <f>VLOOKUP(B1788,'PROCV GERENTES BD'!A:B,2,0)</f>
        <v>POENATELA</v>
      </c>
      <c r="F1788" s="4" t="str">
        <f t="shared" si="162"/>
        <v>2025-04</v>
      </c>
      <c r="G1788" s="18">
        <f t="shared" si="163"/>
        <v>14</v>
      </c>
      <c r="H1788" t="str">
        <f t="shared" si="164"/>
        <v>POENATELA</v>
      </c>
      <c r="I1788" t="str">
        <f t="shared" si="165"/>
        <v>SAVIXX COMERCIO INTERNACIONAL S/A</v>
      </c>
      <c r="J1788">
        <f t="shared" si="166"/>
        <v>0</v>
      </c>
      <c r="K1788">
        <f t="shared" si="167"/>
        <v>1</v>
      </c>
    </row>
    <row r="1789" spans="1:11" x14ac:dyDescent="0.25">
      <c r="A1789" t="s">
        <v>353</v>
      </c>
      <c r="B1789" t="s">
        <v>97</v>
      </c>
      <c r="C1789" t="s">
        <v>66</v>
      </c>
      <c r="D1789" s="3">
        <v>45752</v>
      </c>
      <c r="E1789" t="str">
        <f>VLOOKUP(B1789,'PROCV GERENTES BD'!A:B,2,0)</f>
        <v>PRISCILA METZ</v>
      </c>
      <c r="F1789" s="4" t="str">
        <f t="shared" si="162"/>
        <v>2025-04</v>
      </c>
      <c r="G1789" s="18">
        <f t="shared" si="163"/>
        <v>14</v>
      </c>
      <c r="H1789" t="str">
        <f t="shared" si="164"/>
        <v>PRISCILA METZ</v>
      </c>
      <c r="I1789" t="str">
        <f t="shared" si="165"/>
        <v>ESSENZA INDUSTRIA QUIMICA LTDA</v>
      </c>
      <c r="J1789">
        <f t="shared" si="166"/>
        <v>1</v>
      </c>
      <c r="K1789">
        <f t="shared" si="167"/>
        <v>0</v>
      </c>
    </row>
    <row r="1790" spans="1:11" x14ac:dyDescent="0.25">
      <c r="A1790" t="s">
        <v>482</v>
      </c>
      <c r="B1790" t="s">
        <v>239</v>
      </c>
      <c r="C1790" t="s">
        <v>66</v>
      </c>
      <c r="D1790" s="3">
        <v>45752</v>
      </c>
      <c r="E1790" t="str">
        <f>VLOOKUP(B1790,'PROCV GERENTES BD'!A:B,2,0)</f>
        <v>RAFAEL PARISE</v>
      </c>
      <c r="F1790" s="4" t="str">
        <f t="shared" si="162"/>
        <v>2025-04</v>
      </c>
      <c r="G1790" s="18">
        <f t="shared" si="163"/>
        <v>14</v>
      </c>
      <c r="H1790" t="str">
        <f t="shared" si="164"/>
        <v>RAFAEL PARISE</v>
      </c>
      <c r="I1790" t="str">
        <f t="shared" si="165"/>
        <v>RENOVAR AGRICOLA LTDA</v>
      </c>
      <c r="J1790">
        <f t="shared" si="166"/>
        <v>1</v>
      </c>
      <c r="K1790">
        <f t="shared" si="167"/>
        <v>0</v>
      </c>
    </row>
    <row r="1791" spans="1:11" x14ac:dyDescent="0.25">
      <c r="A1791" t="s">
        <v>67</v>
      </c>
      <c r="B1791" t="s">
        <v>68</v>
      </c>
      <c r="C1791" t="s">
        <v>50</v>
      </c>
      <c r="D1791" s="3">
        <v>45752</v>
      </c>
      <c r="E1791" t="s">
        <v>21</v>
      </c>
      <c r="F1791" s="4" t="str">
        <f t="shared" si="162"/>
        <v>2025-04</v>
      </c>
      <c r="G1791" s="18">
        <f t="shared" si="163"/>
        <v>14</v>
      </c>
      <c r="H1791" t="str">
        <f t="shared" si="164"/>
        <v xml:space="preserve">ROGERIO </v>
      </c>
      <c r="I1791" t="str">
        <f t="shared" si="165"/>
        <v>DIOTTONI INDUSTRIA E COMERCIO DE ALIMENTOS LTDA ME</v>
      </c>
      <c r="J1791">
        <f t="shared" si="166"/>
        <v>0</v>
      </c>
      <c r="K1791">
        <f t="shared" si="167"/>
        <v>1</v>
      </c>
    </row>
    <row r="1792" spans="1:11" x14ac:dyDescent="0.25">
      <c r="A1792" t="s">
        <v>326</v>
      </c>
      <c r="B1792" t="s">
        <v>122</v>
      </c>
      <c r="C1792" t="s">
        <v>50</v>
      </c>
      <c r="D1792" s="3">
        <v>45752</v>
      </c>
      <c r="E1792" t="s">
        <v>21</v>
      </c>
      <c r="F1792" s="4" t="str">
        <f t="shared" si="162"/>
        <v>2025-04</v>
      </c>
      <c r="G1792" s="18">
        <f t="shared" si="163"/>
        <v>14</v>
      </c>
      <c r="H1792" t="str">
        <f t="shared" si="164"/>
        <v xml:space="preserve">ROGERIO </v>
      </c>
      <c r="I1792" t="str">
        <f t="shared" si="165"/>
        <v>BIBE PRODUTOS INFANTIS LTDA</v>
      </c>
      <c r="J1792">
        <f t="shared" si="166"/>
        <v>0</v>
      </c>
      <c r="K1792">
        <f t="shared" si="167"/>
        <v>1</v>
      </c>
    </row>
    <row r="1793" spans="1:11" x14ac:dyDescent="0.25">
      <c r="A1793" t="s">
        <v>325</v>
      </c>
      <c r="B1793" t="s">
        <v>138</v>
      </c>
      <c r="C1793" t="s">
        <v>66</v>
      </c>
      <c r="D1793" s="3">
        <v>45752</v>
      </c>
      <c r="E1793" t="str">
        <f>VLOOKUP(B1793,'PROCV GERENTES BD'!A:B,2,0)</f>
        <v>SACADO</v>
      </c>
      <c r="F1793" s="4" t="str">
        <f t="shared" si="162"/>
        <v>2025-04</v>
      </c>
      <c r="G1793" s="18">
        <f t="shared" si="163"/>
        <v>14</v>
      </c>
      <c r="H1793" t="str">
        <f t="shared" si="164"/>
        <v>SACADO</v>
      </c>
      <c r="I1793" t="str">
        <f t="shared" si="165"/>
        <v>ALLIAGE S A INDUSTRIAS MEDICO ODONTOLOGICA</v>
      </c>
      <c r="J1793">
        <f t="shared" si="166"/>
        <v>1</v>
      </c>
      <c r="K1793">
        <f t="shared" si="167"/>
        <v>0</v>
      </c>
    </row>
    <row r="1794" spans="1:11" x14ac:dyDescent="0.25">
      <c r="A1794" t="s">
        <v>56</v>
      </c>
      <c r="B1794" t="s">
        <v>57</v>
      </c>
      <c r="C1794" t="s">
        <v>66</v>
      </c>
      <c r="D1794" s="3">
        <v>45752</v>
      </c>
      <c r="E1794" t="str">
        <f>VLOOKUP(B1794,'PROCV GERENTES BD'!A:B,2,0)</f>
        <v xml:space="preserve">ROGERIO </v>
      </c>
      <c r="F1794" s="4" t="str">
        <f t="shared" ref="F1794:F1857" si="168">YEAR(D1794)&amp;"-"&amp;TEXT(MONTH(D1794),"00")</f>
        <v>2025-04</v>
      </c>
      <c r="G1794" s="18">
        <f t="shared" ref="G1794:G1857" si="169">WEEKNUM(D1794)</f>
        <v>14</v>
      </c>
      <c r="H1794" t="str">
        <f t="shared" ref="H1794:H1857" si="170">E1794</f>
        <v xml:space="preserve">ROGERIO </v>
      </c>
      <c r="I1794" t="str">
        <f t="shared" ref="I1794:I1857" si="171">B1794</f>
        <v>RODOVIEIRA TRANSPORTE LTDA</v>
      </c>
      <c r="J1794">
        <f t="shared" ref="J1794:J1857" si="172">IF(OR(C1794="EXCLUSAO  ANOT.INADIMPLENCIA",C1794="INCL/EXCL ANOT.INADIMPLENCIA"),1,0)</f>
        <v>1</v>
      </c>
      <c r="K1794">
        <f t="shared" ref="K1794:K1857" si="173">IF(OR(C1794="INCLUSAO  ANOT.INADIMPLENCIA",C1794="INCL/EXCL ANOT.INADIMPLENCIA"),1,0)</f>
        <v>0</v>
      </c>
    </row>
    <row r="1795" spans="1:11" x14ac:dyDescent="0.25">
      <c r="A1795" t="s">
        <v>493</v>
      </c>
      <c r="B1795" t="s">
        <v>252</v>
      </c>
      <c r="C1795" t="s">
        <v>71</v>
      </c>
      <c r="D1795" s="3">
        <v>45752</v>
      </c>
      <c r="E1795" t="str">
        <f>VLOOKUP(B1795,'PROCV GERENTES BD'!A:B,2,0)</f>
        <v>ADMINISTRAÇÃO</v>
      </c>
      <c r="F1795" s="4" t="str">
        <f t="shared" si="168"/>
        <v>2025-04</v>
      </c>
      <c r="G1795" s="18">
        <f t="shared" si="169"/>
        <v>14</v>
      </c>
      <c r="H1795" t="str">
        <f t="shared" si="170"/>
        <v>ADMINISTRAÇÃO</v>
      </c>
      <c r="I1795" t="str">
        <f t="shared" si="171"/>
        <v>IBFX COMERCIO IMPORTACAO E EXPORTACAO LTDA EPP</v>
      </c>
      <c r="J1795">
        <f t="shared" si="172"/>
        <v>0</v>
      </c>
      <c r="K1795">
        <f t="shared" si="173"/>
        <v>0</v>
      </c>
    </row>
    <row r="1796" spans="1:11" x14ac:dyDescent="0.25">
      <c r="A1796" t="s">
        <v>331</v>
      </c>
      <c r="B1796" t="s">
        <v>144</v>
      </c>
      <c r="C1796" t="s">
        <v>50</v>
      </c>
      <c r="D1796" s="3">
        <v>45754</v>
      </c>
      <c r="E1796" t="str">
        <f>VLOOKUP(B1796,'PROCV GERENTES BD'!A:B,2,0)</f>
        <v>ADMINISTRAÇÃO</v>
      </c>
      <c r="F1796" s="4" t="str">
        <f t="shared" si="168"/>
        <v>2025-04</v>
      </c>
      <c r="G1796" s="18">
        <f t="shared" si="169"/>
        <v>15</v>
      </c>
      <c r="H1796" t="str">
        <f t="shared" si="170"/>
        <v>ADMINISTRAÇÃO</v>
      </c>
      <c r="I1796" t="str">
        <f t="shared" si="171"/>
        <v>BOM PASTOR PAPEIS LTDA EM RECUPERACAO JUDICIAL</v>
      </c>
      <c r="J1796">
        <f t="shared" si="172"/>
        <v>0</v>
      </c>
      <c r="K1796">
        <f t="shared" si="173"/>
        <v>1</v>
      </c>
    </row>
    <row r="1797" spans="1:11" x14ac:dyDescent="0.25">
      <c r="A1797" t="s">
        <v>311</v>
      </c>
      <c r="B1797" t="s">
        <v>81</v>
      </c>
      <c r="C1797" t="s">
        <v>53</v>
      </c>
      <c r="D1797" s="3">
        <v>45754</v>
      </c>
      <c r="E1797" t="str">
        <f>VLOOKUP(B1797,'PROCV GERENTES BD'!A:B,2,0)</f>
        <v>CELIO PIMENTA</v>
      </c>
      <c r="F1797" s="4" t="str">
        <f t="shared" si="168"/>
        <v>2025-04</v>
      </c>
      <c r="G1797" s="18">
        <f t="shared" si="169"/>
        <v>15</v>
      </c>
      <c r="H1797" t="str">
        <f t="shared" si="170"/>
        <v>CELIO PIMENTA</v>
      </c>
      <c r="I1797" t="str">
        <f t="shared" si="171"/>
        <v>MBIOLOG DIAGNOSTICOS LTDA</v>
      </c>
      <c r="J1797">
        <f t="shared" si="172"/>
        <v>1</v>
      </c>
      <c r="K1797">
        <f t="shared" si="173"/>
        <v>1</v>
      </c>
    </row>
    <row r="1798" spans="1:11" x14ac:dyDescent="0.25">
      <c r="A1798" t="s">
        <v>472</v>
      </c>
      <c r="B1798" t="s">
        <v>229</v>
      </c>
      <c r="C1798" t="s">
        <v>50</v>
      </c>
      <c r="D1798" s="3">
        <v>45754</v>
      </c>
      <c r="E1798" t="str">
        <f>VLOOKUP(B1798,'PROCV GERENTES BD'!A:B,2,0)</f>
        <v>PROSPECTAR</v>
      </c>
      <c r="F1798" s="4" t="str">
        <f t="shared" si="168"/>
        <v>2025-04</v>
      </c>
      <c r="G1798" s="18">
        <f t="shared" si="169"/>
        <v>15</v>
      </c>
      <c r="H1798" t="str">
        <f t="shared" si="170"/>
        <v>PROSPECTAR</v>
      </c>
      <c r="I1798" t="str">
        <f t="shared" si="171"/>
        <v>ELO TELECOMUNICACOES E CONSTRUCOES S/A</v>
      </c>
      <c r="J1798">
        <f t="shared" si="172"/>
        <v>0</v>
      </c>
      <c r="K1798">
        <f t="shared" si="173"/>
        <v>1</v>
      </c>
    </row>
    <row r="1799" spans="1:11" x14ac:dyDescent="0.25">
      <c r="A1799" t="s">
        <v>402</v>
      </c>
      <c r="B1799" t="s">
        <v>152</v>
      </c>
      <c r="C1799" t="s">
        <v>50</v>
      </c>
      <c r="D1799" s="3">
        <v>45754</v>
      </c>
      <c r="E1799" t="str">
        <f>VLOOKUP(B1799,'PROCV GERENTES BD'!A:B,2,0)</f>
        <v>PROSPECTAR</v>
      </c>
      <c r="F1799" s="4" t="str">
        <f t="shared" si="168"/>
        <v>2025-04</v>
      </c>
      <c r="G1799" s="18">
        <f t="shared" si="169"/>
        <v>15</v>
      </c>
      <c r="H1799" t="str">
        <f t="shared" si="170"/>
        <v>PROSPECTAR</v>
      </c>
      <c r="I1799" t="str">
        <f t="shared" si="171"/>
        <v>MOINHO DE TRIGO JM LTDA</v>
      </c>
      <c r="J1799">
        <f t="shared" si="172"/>
        <v>0</v>
      </c>
      <c r="K1799">
        <f t="shared" si="173"/>
        <v>1</v>
      </c>
    </row>
    <row r="1800" spans="1:11" x14ac:dyDescent="0.25">
      <c r="A1800" t="s">
        <v>324</v>
      </c>
      <c r="B1800" t="s">
        <v>119</v>
      </c>
      <c r="C1800" t="s">
        <v>50</v>
      </c>
      <c r="D1800" s="3">
        <v>45754</v>
      </c>
      <c r="E1800" t="str">
        <f>VLOOKUP(B1800,'PROCV GERENTES BD'!A:B,2,0)</f>
        <v>PROSPECTAR</v>
      </c>
      <c r="F1800" s="4" t="str">
        <f t="shared" si="168"/>
        <v>2025-04</v>
      </c>
      <c r="G1800" s="18">
        <f t="shared" si="169"/>
        <v>15</v>
      </c>
      <c r="H1800" t="str">
        <f t="shared" si="170"/>
        <v>PROSPECTAR</v>
      </c>
      <c r="I1800" t="str">
        <f t="shared" si="171"/>
        <v>TRANSHENRY TRANSPORTES LTDA</v>
      </c>
      <c r="J1800">
        <f t="shared" si="172"/>
        <v>0</v>
      </c>
      <c r="K1800">
        <f t="shared" si="173"/>
        <v>1</v>
      </c>
    </row>
    <row r="1801" spans="1:11" x14ac:dyDescent="0.25">
      <c r="A1801" t="s">
        <v>412</v>
      </c>
      <c r="B1801" t="s">
        <v>162</v>
      </c>
      <c r="C1801" t="s">
        <v>50</v>
      </c>
      <c r="D1801" s="3">
        <v>45754</v>
      </c>
      <c r="E1801" t="str">
        <f>VLOOKUP(B1801,'PROCV GERENTES BD'!A:B,2,0)</f>
        <v>PROSPECTAR</v>
      </c>
      <c r="F1801" s="4" t="str">
        <f t="shared" si="168"/>
        <v>2025-04</v>
      </c>
      <c r="G1801" s="18">
        <f t="shared" si="169"/>
        <v>15</v>
      </c>
      <c r="H1801" t="str">
        <f t="shared" si="170"/>
        <v>PROSPECTAR</v>
      </c>
      <c r="I1801" t="str">
        <f t="shared" si="171"/>
        <v>MORIA PRESTACAO DE SERVICOS LTDA ME</v>
      </c>
      <c r="J1801">
        <f t="shared" si="172"/>
        <v>0</v>
      </c>
      <c r="K1801">
        <f t="shared" si="173"/>
        <v>1</v>
      </c>
    </row>
    <row r="1802" spans="1:11" x14ac:dyDescent="0.25">
      <c r="A1802" t="s">
        <v>62</v>
      </c>
      <c r="B1802" t="s">
        <v>63</v>
      </c>
      <c r="C1802" t="s">
        <v>50</v>
      </c>
      <c r="D1802" s="3">
        <v>45754</v>
      </c>
      <c r="E1802" t="str">
        <f>VLOOKUP(B1802,'PROCV GERENTES BD'!A:B,2,0)</f>
        <v>PROSPECTAR</v>
      </c>
      <c r="F1802" s="4" t="str">
        <f t="shared" si="168"/>
        <v>2025-04</v>
      </c>
      <c r="G1802" s="18">
        <f t="shared" si="169"/>
        <v>15</v>
      </c>
      <c r="H1802" t="str">
        <f t="shared" si="170"/>
        <v>PROSPECTAR</v>
      </c>
      <c r="I1802" t="str">
        <f t="shared" si="171"/>
        <v>MAPP COM IMPORTACAO EXPORTACAO IND PRODUTOS ALIMEN</v>
      </c>
      <c r="J1802">
        <f t="shared" si="172"/>
        <v>0</v>
      </c>
      <c r="K1802">
        <f t="shared" si="173"/>
        <v>1</v>
      </c>
    </row>
    <row r="1803" spans="1:11" x14ac:dyDescent="0.25">
      <c r="A1803" t="s">
        <v>440</v>
      </c>
      <c r="B1803" t="s">
        <v>191</v>
      </c>
      <c r="C1803" t="s">
        <v>50</v>
      </c>
      <c r="D1803" s="3">
        <v>45754</v>
      </c>
      <c r="E1803" t="str">
        <f>VLOOKUP(B1803,'PROCV GERENTES BD'!A:B,2,0)</f>
        <v>PROSPECTAR</v>
      </c>
      <c r="F1803" s="4" t="str">
        <f t="shared" si="168"/>
        <v>2025-04</v>
      </c>
      <c r="G1803" s="18">
        <f t="shared" si="169"/>
        <v>15</v>
      </c>
      <c r="H1803" t="str">
        <f t="shared" si="170"/>
        <v>PROSPECTAR</v>
      </c>
      <c r="I1803" t="str">
        <f t="shared" si="171"/>
        <v>SAFRA OURO AGRONEGOCIOS LTDA EPP</v>
      </c>
      <c r="J1803">
        <f t="shared" si="172"/>
        <v>0</v>
      </c>
      <c r="K1803">
        <f t="shared" si="173"/>
        <v>1</v>
      </c>
    </row>
    <row r="1804" spans="1:11" x14ac:dyDescent="0.25">
      <c r="A1804" t="s">
        <v>318</v>
      </c>
      <c r="B1804" t="s">
        <v>203</v>
      </c>
      <c r="C1804" t="s">
        <v>50</v>
      </c>
      <c r="D1804" s="3">
        <v>45754</v>
      </c>
      <c r="E1804" t="str">
        <f>VLOOKUP(B1804,'PROCV GERENTES BD'!A:B,2,0)</f>
        <v>JOSE ROBERTO</v>
      </c>
      <c r="F1804" s="4" t="str">
        <f t="shared" si="168"/>
        <v>2025-04</v>
      </c>
      <c r="G1804" s="18">
        <f t="shared" si="169"/>
        <v>15</v>
      </c>
      <c r="H1804" t="str">
        <f t="shared" si="170"/>
        <v>JOSE ROBERTO</v>
      </c>
      <c r="I1804" t="str">
        <f t="shared" si="171"/>
        <v>FUNDACAO DE ENSINO E PESQUISA DO SUL DE MINAS FEPE</v>
      </c>
      <c r="J1804">
        <f t="shared" si="172"/>
        <v>0</v>
      </c>
      <c r="K1804">
        <f t="shared" si="173"/>
        <v>1</v>
      </c>
    </row>
    <row r="1805" spans="1:11" x14ac:dyDescent="0.25">
      <c r="A1805" t="s">
        <v>375</v>
      </c>
      <c r="B1805" t="s">
        <v>120</v>
      </c>
      <c r="C1805" t="s">
        <v>50</v>
      </c>
      <c r="D1805" s="3">
        <v>45754</v>
      </c>
      <c r="E1805" t="str">
        <f>VLOOKUP(B1805,'PROCV GERENTES BD'!A:B,2,0)</f>
        <v>ADMINISTRAÇÃO</v>
      </c>
      <c r="F1805" s="4" t="str">
        <f t="shared" si="168"/>
        <v>2025-04</v>
      </c>
      <c r="G1805" s="18">
        <f t="shared" si="169"/>
        <v>15</v>
      </c>
      <c r="H1805" t="str">
        <f t="shared" si="170"/>
        <v>ADMINISTRAÇÃO</v>
      </c>
      <c r="I1805" t="str">
        <f t="shared" si="171"/>
        <v>FARINELLI NUTRIMENTOS LTDA</v>
      </c>
      <c r="J1805">
        <f t="shared" si="172"/>
        <v>0</v>
      </c>
      <c r="K1805">
        <f t="shared" si="173"/>
        <v>1</v>
      </c>
    </row>
    <row r="1806" spans="1:11" x14ac:dyDescent="0.25">
      <c r="A1806" t="s">
        <v>72</v>
      </c>
      <c r="B1806" t="s">
        <v>73</v>
      </c>
      <c r="C1806" t="s">
        <v>50</v>
      </c>
      <c r="D1806" s="3">
        <v>45754</v>
      </c>
      <c r="E1806" t="str">
        <f>VLOOKUP(B1806,'PROCV GERENTES BD'!A:B,2,0)</f>
        <v>NOELI SALETE</v>
      </c>
      <c r="F1806" s="4" t="str">
        <f t="shared" si="168"/>
        <v>2025-04</v>
      </c>
      <c r="G1806" s="18">
        <f t="shared" si="169"/>
        <v>15</v>
      </c>
      <c r="H1806" t="str">
        <f t="shared" si="170"/>
        <v>NOELI SALETE</v>
      </c>
      <c r="I1806" t="str">
        <f t="shared" si="171"/>
        <v>SMARTCENTER SOLUCOES INTELIGENTES LTDA ME</v>
      </c>
      <c r="J1806">
        <f t="shared" si="172"/>
        <v>0</v>
      </c>
      <c r="K1806">
        <f t="shared" si="173"/>
        <v>1</v>
      </c>
    </row>
    <row r="1807" spans="1:11" x14ac:dyDescent="0.25">
      <c r="A1807" t="s">
        <v>400</v>
      </c>
      <c r="B1807" t="s">
        <v>150</v>
      </c>
      <c r="C1807" t="s">
        <v>50</v>
      </c>
      <c r="D1807" s="3">
        <v>45754</v>
      </c>
      <c r="E1807" t="str">
        <f>VLOOKUP(B1807,'PROCV GERENTES BD'!A:B,2,0)</f>
        <v>NOELI SALETE</v>
      </c>
      <c r="F1807" s="4" t="str">
        <f t="shared" si="168"/>
        <v>2025-04</v>
      </c>
      <c r="G1807" s="18">
        <f t="shared" si="169"/>
        <v>15</v>
      </c>
      <c r="H1807" t="str">
        <f t="shared" si="170"/>
        <v>NOELI SALETE</v>
      </c>
      <c r="I1807" t="str">
        <f t="shared" si="171"/>
        <v>POOLMAK SISTEMAS ESTRUTURAIS LTDA</v>
      </c>
      <c r="J1807">
        <f t="shared" si="172"/>
        <v>0</v>
      </c>
      <c r="K1807">
        <f t="shared" si="173"/>
        <v>1</v>
      </c>
    </row>
    <row r="1808" spans="1:11" x14ac:dyDescent="0.25">
      <c r="A1808" t="s">
        <v>486</v>
      </c>
      <c r="B1808" t="s">
        <v>243</v>
      </c>
      <c r="C1808" t="s">
        <v>50</v>
      </c>
      <c r="D1808" s="3">
        <v>45754</v>
      </c>
      <c r="E1808" t="str">
        <f>VLOOKUP(B1808,'PROCV GERENTES BD'!A:B,2,0)</f>
        <v>NOELI SALETE</v>
      </c>
      <c r="F1808" s="4" t="str">
        <f t="shared" si="168"/>
        <v>2025-04</v>
      </c>
      <c r="G1808" s="18">
        <f t="shared" si="169"/>
        <v>15</v>
      </c>
      <c r="H1808" t="str">
        <f t="shared" si="170"/>
        <v>NOELI SALETE</v>
      </c>
      <c r="I1808" t="str">
        <f t="shared" si="171"/>
        <v>SMARTCENTERGROUP COMERCIO DE EQUIPAMENTOS DE INFOR</v>
      </c>
      <c r="J1808">
        <f t="shared" si="172"/>
        <v>0</v>
      </c>
      <c r="K1808">
        <f t="shared" si="173"/>
        <v>1</v>
      </c>
    </row>
    <row r="1809" spans="1:11" x14ac:dyDescent="0.25">
      <c r="A1809" t="s">
        <v>438</v>
      </c>
      <c r="B1809" t="s">
        <v>189</v>
      </c>
      <c r="C1809" t="s">
        <v>50</v>
      </c>
      <c r="D1809" s="3">
        <v>45754</v>
      </c>
      <c r="E1809" t="str">
        <f>VLOOKUP(B1809,'PROCV GERENTES BD'!A:B,2,0)</f>
        <v>NOELI SALETE</v>
      </c>
      <c r="F1809" s="4" t="str">
        <f t="shared" si="168"/>
        <v>2025-04</v>
      </c>
      <c r="G1809" s="18">
        <f t="shared" si="169"/>
        <v>15</v>
      </c>
      <c r="H1809" t="str">
        <f t="shared" si="170"/>
        <v>NOELI SALETE</v>
      </c>
      <c r="I1809" t="str">
        <f t="shared" si="171"/>
        <v>AGRO INDUSTRIAL LAZZERI LTDA</v>
      </c>
      <c r="J1809">
        <f t="shared" si="172"/>
        <v>0</v>
      </c>
      <c r="K1809">
        <f t="shared" si="173"/>
        <v>1</v>
      </c>
    </row>
    <row r="1810" spans="1:11" x14ac:dyDescent="0.25">
      <c r="A1810" t="s">
        <v>475</v>
      </c>
      <c r="B1810" t="s">
        <v>232</v>
      </c>
      <c r="C1810" t="s">
        <v>66</v>
      </c>
      <c r="D1810" s="3">
        <v>45754</v>
      </c>
      <c r="E1810" t="str">
        <f>VLOOKUP(B1810,'PROCV GERENTES BD'!A:B,2,0)</f>
        <v>POENATELA</v>
      </c>
      <c r="F1810" s="4" t="str">
        <f t="shared" si="168"/>
        <v>2025-04</v>
      </c>
      <c r="G1810" s="18">
        <f t="shared" si="169"/>
        <v>15</v>
      </c>
      <c r="H1810" t="str">
        <f t="shared" si="170"/>
        <v>POENATELA</v>
      </c>
      <c r="I1810" t="str">
        <f t="shared" si="171"/>
        <v>JUATUBA MOVEIS E EMBALAGENS LTDA</v>
      </c>
      <c r="J1810">
        <f t="shared" si="172"/>
        <v>1</v>
      </c>
      <c r="K1810">
        <f t="shared" si="173"/>
        <v>0</v>
      </c>
    </row>
    <row r="1811" spans="1:11" x14ac:dyDescent="0.25">
      <c r="A1811" t="s">
        <v>387</v>
      </c>
      <c r="B1811" t="s">
        <v>134</v>
      </c>
      <c r="C1811" t="s">
        <v>50</v>
      </c>
      <c r="D1811" s="3">
        <v>45754</v>
      </c>
      <c r="E1811" t="str">
        <f>VLOOKUP(B1811,'PROCV GERENTES BD'!A:B,2,0)</f>
        <v>RAFAEL PARISE</v>
      </c>
      <c r="F1811" s="4" t="str">
        <f t="shared" si="168"/>
        <v>2025-04</v>
      </c>
      <c r="G1811" s="18">
        <f t="shared" si="169"/>
        <v>15</v>
      </c>
      <c r="H1811" t="str">
        <f t="shared" si="170"/>
        <v>RAFAEL PARISE</v>
      </c>
      <c r="I1811" t="str">
        <f t="shared" si="171"/>
        <v>MAIS DISTRIBUIDORA LTDA</v>
      </c>
      <c r="J1811">
        <f t="shared" si="172"/>
        <v>0</v>
      </c>
      <c r="K1811">
        <f t="shared" si="173"/>
        <v>1</v>
      </c>
    </row>
    <row r="1812" spans="1:11" x14ac:dyDescent="0.25">
      <c r="A1812" t="s">
        <v>326</v>
      </c>
      <c r="B1812" t="s">
        <v>122</v>
      </c>
      <c r="C1812" t="s">
        <v>50</v>
      </c>
      <c r="D1812" s="3">
        <v>45754</v>
      </c>
      <c r="E1812" t="s">
        <v>21</v>
      </c>
      <c r="F1812" s="4" t="str">
        <f t="shared" si="168"/>
        <v>2025-04</v>
      </c>
      <c r="G1812" s="18">
        <f t="shared" si="169"/>
        <v>15</v>
      </c>
      <c r="H1812" t="str">
        <f t="shared" si="170"/>
        <v xml:space="preserve">ROGERIO </v>
      </c>
      <c r="I1812" t="str">
        <f t="shared" si="171"/>
        <v>BIBE PRODUTOS INFANTIS LTDA</v>
      </c>
      <c r="J1812">
        <f t="shared" si="172"/>
        <v>0</v>
      </c>
      <c r="K1812">
        <f t="shared" si="173"/>
        <v>1</v>
      </c>
    </row>
    <row r="1813" spans="1:11" x14ac:dyDescent="0.25">
      <c r="A1813" t="s">
        <v>484</v>
      </c>
      <c r="B1813" t="s">
        <v>245</v>
      </c>
      <c r="C1813" t="s">
        <v>50</v>
      </c>
      <c r="D1813" s="3">
        <v>45754</v>
      </c>
      <c r="E1813" t="str">
        <f>VLOOKUP(B1813,'PROCV GERENTES BD'!A:B,2,0)</f>
        <v>ADMINISTRAÇÃO</v>
      </c>
      <c r="F1813" s="4" t="str">
        <f t="shared" si="168"/>
        <v>2025-04</v>
      </c>
      <c r="G1813" s="18">
        <f t="shared" si="169"/>
        <v>15</v>
      </c>
      <c r="H1813" t="str">
        <f t="shared" si="170"/>
        <v>ADMINISTRAÇÃO</v>
      </c>
      <c r="I1813" t="str">
        <f t="shared" si="171"/>
        <v>REAL FILTROS E ACESSORIOS AUTOMOTIVOS LTDA</v>
      </c>
      <c r="J1813">
        <f t="shared" si="172"/>
        <v>0</v>
      </c>
      <c r="K1813">
        <f t="shared" si="173"/>
        <v>1</v>
      </c>
    </row>
    <row r="1814" spans="1:11" x14ac:dyDescent="0.25">
      <c r="A1814" t="s">
        <v>494</v>
      </c>
      <c r="B1814" t="s">
        <v>253</v>
      </c>
      <c r="C1814" t="s">
        <v>50</v>
      </c>
      <c r="D1814" s="3">
        <v>45754</v>
      </c>
      <c r="E1814" t="str">
        <f>VLOOKUP(B1814,'PROCV GERENTES BD'!A:B,2,0)</f>
        <v>RAFAEL PARISE</v>
      </c>
      <c r="F1814" s="4" t="str">
        <f t="shared" si="168"/>
        <v>2025-04</v>
      </c>
      <c r="G1814" s="18">
        <f t="shared" si="169"/>
        <v>15</v>
      </c>
      <c r="H1814" t="str">
        <f t="shared" si="170"/>
        <v>RAFAEL PARISE</v>
      </c>
      <c r="I1814" t="str">
        <f t="shared" si="171"/>
        <v>CLAUDINEA GOMES DA SILVA VIANA 04007455694</v>
      </c>
      <c r="J1814">
        <f t="shared" si="172"/>
        <v>0</v>
      </c>
      <c r="K1814">
        <f t="shared" si="173"/>
        <v>1</v>
      </c>
    </row>
    <row r="1815" spans="1:11" x14ac:dyDescent="0.25">
      <c r="A1815" t="s">
        <v>56</v>
      </c>
      <c r="B1815" t="s">
        <v>57</v>
      </c>
      <c r="C1815" t="s">
        <v>50</v>
      </c>
      <c r="D1815" s="3">
        <v>45754</v>
      </c>
      <c r="E1815" t="str">
        <f>VLOOKUP(B1815,'PROCV GERENTES BD'!A:B,2,0)</f>
        <v xml:space="preserve">ROGERIO </v>
      </c>
      <c r="F1815" s="4" t="str">
        <f t="shared" si="168"/>
        <v>2025-04</v>
      </c>
      <c r="G1815" s="18">
        <f t="shared" si="169"/>
        <v>15</v>
      </c>
      <c r="H1815" t="str">
        <f t="shared" si="170"/>
        <v xml:space="preserve">ROGERIO </v>
      </c>
      <c r="I1815" t="str">
        <f t="shared" si="171"/>
        <v>RODOVIEIRA TRANSPORTE LTDA</v>
      </c>
      <c r="J1815">
        <f t="shared" si="172"/>
        <v>0</v>
      </c>
      <c r="K1815">
        <f t="shared" si="173"/>
        <v>1</v>
      </c>
    </row>
    <row r="1816" spans="1:11" x14ac:dyDescent="0.25">
      <c r="A1816" t="s">
        <v>331</v>
      </c>
      <c r="B1816" t="s">
        <v>144</v>
      </c>
      <c r="C1816" t="s">
        <v>50</v>
      </c>
      <c r="D1816" s="3">
        <v>45755</v>
      </c>
      <c r="E1816" t="str">
        <f>VLOOKUP(B1816,'PROCV GERENTES BD'!A:B,2,0)</f>
        <v>ADMINISTRAÇÃO</v>
      </c>
      <c r="F1816" s="4" t="str">
        <f t="shared" si="168"/>
        <v>2025-04</v>
      </c>
      <c r="G1816" s="18">
        <f t="shared" si="169"/>
        <v>15</v>
      </c>
      <c r="H1816" t="str">
        <f t="shared" si="170"/>
        <v>ADMINISTRAÇÃO</v>
      </c>
      <c r="I1816" t="str">
        <f t="shared" si="171"/>
        <v>BOM PASTOR PAPEIS LTDA EM RECUPERACAO JUDICIAL</v>
      </c>
      <c r="J1816">
        <f t="shared" si="172"/>
        <v>0</v>
      </c>
      <c r="K1816">
        <f t="shared" si="173"/>
        <v>1</v>
      </c>
    </row>
    <row r="1817" spans="1:11" x14ac:dyDescent="0.25">
      <c r="A1817" t="s">
        <v>449</v>
      </c>
      <c r="B1817" t="s">
        <v>206</v>
      </c>
      <c r="C1817" t="s">
        <v>50</v>
      </c>
      <c r="D1817" s="3">
        <v>45755</v>
      </c>
      <c r="E1817" t="str">
        <f>VLOOKUP(B1817,'PROCV GERENTES BD'!A:B,2,0)</f>
        <v>ADMINISTRAÇÃO</v>
      </c>
      <c r="F1817" s="4" t="str">
        <f t="shared" si="168"/>
        <v>2025-04</v>
      </c>
      <c r="G1817" s="18">
        <f t="shared" si="169"/>
        <v>15</v>
      </c>
      <c r="H1817" t="str">
        <f t="shared" si="170"/>
        <v>ADMINISTRAÇÃO</v>
      </c>
      <c r="I1817" t="str">
        <f t="shared" si="171"/>
        <v>P P DISTRIBUIDORA LTDA</v>
      </c>
      <c r="J1817">
        <f t="shared" si="172"/>
        <v>0</v>
      </c>
      <c r="K1817">
        <f t="shared" si="173"/>
        <v>1</v>
      </c>
    </row>
    <row r="1818" spans="1:11" x14ac:dyDescent="0.25">
      <c r="A1818" t="s">
        <v>372</v>
      </c>
      <c r="B1818" t="s">
        <v>116</v>
      </c>
      <c r="C1818" t="s">
        <v>66</v>
      </c>
      <c r="D1818" s="3">
        <v>45755</v>
      </c>
      <c r="E1818" t="str">
        <f>VLOOKUP(B1818,'PROCV GERENTES BD'!A:B,2,0)</f>
        <v>ADMINISTRAÇÃO</v>
      </c>
      <c r="F1818" s="4" t="str">
        <f t="shared" si="168"/>
        <v>2025-04</v>
      </c>
      <c r="G1818" s="18">
        <f t="shared" si="169"/>
        <v>15</v>
      </c>
      <c r="H1818" t="str">
        <f t="shared" si="170"/>
        <v>ADMINISTRAÇÃO</v>
      </c>
      <c r="I1818" t="str">
        <f t="shared" si="171"/>
        <v>PREMOLDADOS MATOSINHOS LTDA EPP</v>
      </c>
      <c r="J1818">
        <f t="shared" si="172"/>
        <v>1</v>
      </c>
      <c r="K1818">
        <f t="shared" si="173"/>
        <v>0</v>
      </c>
    </row>
    <row r="1819" spans="1:11" x14ac:dyDescent="0.25">
      <c r="A1819" t="s">
        <v>466</v>
      </c>
      <c r="B1819" t="s">
        <v>223</v>
      </c>
      <c r="C1819" t="s">
        <v>66</v>
      </c>
      <c r="D1819" s="3">
        <v>45755</v>
      </c>
      <c r="E1819" t="str">
        <f>VLOOKUP(B1819,'PROCV GERENTES BD'!A:B,2,0)</f>
        <v>CELIO PIMENTA</v>
      </c>
      <c r="F1819" s="4" t="str">
        <f t="shared" si="168"/>
        <v>2025-04</v>
      </c>
      <c r="G1819" s="18">
        <f t="shared" si="169"/>
        <v>15</v>
      </c>
      <c r="H1819" t="str">
        <f t="shared" si="170"/>
        <v>CELIO PIMENTA</v>
      </c>
      <c r="I1819" t="str">
        <f t="shared" si="171"/>
        <v>ACO X LTDA ME</v>
      </c>
      <c r="J1819">
        <f t="shared" si="172"/>
        <v>1</v>
      </c>
      <c r="K1819">
        <f t="shared" si="173"/>
        <v>0</v>
      </c>
    </row>
    <row r="1820" spans="1:11" x14ac:dyDescent="0.25">
      <c r="A1820" t="s">
        <v>383</v>
      </c>
      <c r="B1820" t="s">
        <v>130</v>
      </c>
      <c r="C1820" t="s">
        <v>66</v>
      </c>
      <c r="D1820" s="3">
        <v>45755</v>
      </c>
      <c r="E1820" t="str">
        <f>VLOOKUP(B1820,'PROCV GERENTES BD'!A:B,2,0)</f>
        <v>CELIO PIMENTA</v>
      </c>
      <c r="F1820" s="4" t="str">
        <f t="shared" si="168"/>
        <v>2025-04</v>
      </c>
      <c r="G1820" s="18">
        <f t="shared" si="169"/>
        <v>15</v>
      </c>
      <c r="H1820" t="str">
        <f t="shared" si="170"/>
        <v>CELIO PIMENTA</v>
      </c>
      <c r="I1820" t="str">
        <f t="shared" si="171"/>
        <v>JR X IMPORT LTDA EPP</v>
      </c>
      <c r="J1820">
        <f t="shared" si="172"/>
        <v>1</v>
      </c>
      <c r="K1820">
        <f t="shared" si="173"/>
        <v>0</v>
      </c>
    </row>
    <row r="1821" spans="1:11" x14ac:dyDescent="0.25">
      <c r="A1821" t="s">
        <v>311</v>
      </c>
      <c r="B1821" t="s">
        <v>81</v>
      </c>
      <c r="C1821" t="s">
        <v>66</v>
      </c>
      <c r="D1821" s="3">
        <v>45755</v>
      </c>
      <c r="E1821" t="str">
        <f>VLOOKUP(B1821,'PROCV GERENTES BD'!A:B,2,0)</f>
        <v>CELIO PIMENTA</v>
      </c>
      <c r="F1821" s="4" t="str">
        <f t="shared" si="168"/>
        <v>2025-04</v>
      </c>
      <c r="G1821" s="18">
        <f t="shared" si="169"/>
        <v>15</v>
      </c>
      <c r="H1821" t="str">
        <f t="shared" si="170"/>
        <v>CELIO PIMENTA</v>
      </c>
      <c r="I1821" t="str">
        <f t="shared" si="171"/>
        <v>MBIOLOG DIAGNOSTICOS LTDA</v>
      </c>
      <c r="J1821">
        <f t="shared" si="172"/>
        <v>1</v>
      </c>
      <c r="K1821">
        <f t="shared" si="173"/>
        <v>0</v>
      </c>
    </row>
    <row r="1822" spans="1:11" x14ac:dyDescent="0.25">
      <c r="A1822" t="s">
        <v>358</v>
      </c>
      <c r="B1822" t="s">
        <v>104</v>
      </c>
      <c r="C1822" t="s">
        <v>66</v>
      </c>
      <c r="D1822" s="3">
        <v>45755</v>
      </c>
      <c r="E1822" t="str">
        <f>VLOOKUP(B1822,'PROCV GERENTES BD'!A:B,2,0)</f>
        <v>DIOGO AZEVEDO</v>
      </c>
      <c r="F1822" s="4" t="str">
        <f t="shared" si="168"/>
        <v>2025-04</v>
      </c>
      <c r="G1822" s="18">
        <f t="shared" si="169"/>
        <v>15</v>
      </c>
      <c r="H1822" t="str">
        <f t="shared" si="170"/>
        <v>DIOGO AZEVEDO</v>
      </c>
      <c r="I1822" t="str">
        <f t="shared" si="171"/>
        <v>INDUSTRIA E CERVEJARIA ARTESANAL DE MINAS GERAIS L</v>
      </c>
      <c r="J1822">
        <f t="shared" si="172"/>
        <v>1</v>
      </c>
      <c r="K1822">
        <f t="shared" si="173"/>
        <v>0</v>
      </c>
    </row>
    <row r="1823" spans="1:11" x14ac:dyDescent="0.25">
      <c r="A1823" t="s">
        <v>402</v>
      </c>
      <c r="B1823" t="s">
        <v>152</v>
      </c>
      <c r="C1823" t="s">
        <v>50</v>
      </c>
      <c r="D1823" s="3">
        <v>45755</v>
      </c>
      <c r="E1823" t="str">
        <f>VLOOKUP(B1823,'PROCV GERENTES BD'!A:B,2,0)</f>
        <v>PROSPECTAR</v>
      </c>
      <c r="F1823" s="4" t="str">
        <f t="shared" si="168"/>
        <v>2025-04</v>
      </c>
      <c r="G1823" s="18">
        <f t="shared" si="169"/>
        <v>15</v>
      </c>
      <c r="H1823" t="str">
        <f t="shared" si="170"/>
        <v>PROSPECTAR</v>
      </c>
      <c r="I1823" t="str">
        <f t="shared" si="171"/>
        <v>MOINHO DE TRIGO JM LTDA</v>
      </c>
      <c r="J1823">
        <f t="shared" si="172"/>
        <v>0</v>
      </c>
      <c r="K1823">
        <f t="shared" si="173"/>
        <v>1</v>
      </c>
    </row>
    <row r="1824" spans="1:11" x14ac:dyDescent="0.25">
      <c r="A1824" t="s">
        <v>324</v>
      </c>
      <c r="B1824" t="s">
        <v>119</v>
      </c>
      <c r="C1824" t="s">
        <v>66</v>
      </c>
      <c r="D1824" s="3">
        <v>45755</v>
      </c>
      <c r="E1824" t="str">
        <f>VLOOKUP(B1824,'PROCV GERENTES BD'!A:B,2,0)</f>
        <v>PROSPECTAR</v>
      </c>
      <c r="F1824" s="4" t="str">
        <f t="shared" si="168"/>
        <v>2025-04</v>
      </c>
      <c r="G1824" s="18">
        <f t="shared" si="169"/>
        <v>15</v>
      </c>
      <c r="H1824" t="str">
        <f t="shared" si="170"/>
        <v>PROSPECTAR</v>
      </c>
      <c r="I1824" t="str">
        <f t="shared" si="171"/>
        <v>TRANSHENRY TRANSPORTES LTDA</v>
      </c>
      <c r="J1824">
        <f t="shared" si="172"/>
        <v>1</v>
      </c>
      <c r="K1824">
        <f t="shared" si="173"/>
        <v>0</v>
      </c>
    </row>
    <row r="1825" spans="1:11" x14ac:dyDescent="0.25">
      <c r="A1825" t="s">
        <v>62</v>
      </c>
      <c r="B1825" t="s">
        <v>63</v>
      </c>
      <c r="C1825" t="s">
        <v>53</v>
      </c>
      <c r="D1825" s="3">
        <v>45755</v>
      </c>
      <c r="E1825" t="str">
        <f>VLOOKUP(B1825,'PROCV GERENTES BD'!A:B,2,0)</f>
        <v>PROSPECTAR</v>
      </c>
      <c r="F1825" s="4" t="str">
        <f t="shared" si="168"/>
        <v>2025-04</v>
      </c>
      <c r="G1825" s="18">
        <f t="shared" si="169"/>
        <v>15</v>
      </c>
      <c r="H1825" t="str">
        <f t="shared" si="170"/>
        <v>PROSPECTAR</v>
      </c>
      <c r="I1825" t="str">
        <f t="shared" si="171"/>
        <v>MAPP COM IMPORTACAO EXPORTACAO IND PRODUTOS ALIMEN</v>
      </c>
      <c r="J1825">
        <f t="shared" si="172"/>
        <v>1</v>
      </c>
      <c r="K1825">
        <f t="shared" si="173"/>
        <v>1</v>
      </c>
    </row>
    <row r="1826" spans="1:11" x14ac:dyDescent="0.25">
      <c r="A1826" t="s">
        <v>440</v>
      </c>
      <c r="B1826" t="s">
        <v>191</v>
      </c>
      <c r="C1826" t="s">
        <v>66</v>
      </c>
      <c r="D1826" s="3">
        <v>45755</v>
      </c>
      <c r="E1826" t="str">
        <f>VLOOKUP(B1826,'PROCV GERENTES BD'!A:B,2,0)</f>
        <v>PROSPECTAR</v>
      </c>
      <c r="F1826" s="4" t="str">
        <f t="shared" si="168"/>
        <v>2025-04</v>
      </c>
      <c r="G1826" s="18">
        <f t="shared" si="169"/>
        <v>15</v>
      </c>
      <c r="H1826" t="str">
        <f t="shared" si="170"/>
        <v>PROSPECTAR</v>
      </c>
      <c r="I1826" t="str">
        <f t="shared" si="171"/>
        <v>SAFRA OURO AGRONEGOCIOS LTDA EPP</v>
      </c>
      <c r="J1826">
        <f t="shared" si="172"/>
        <v>1</v>
      </c>
      <c r="K1826">
        <f t="shared" si="173"/>
        <v>0</v>
      </c>
    </row>
    <row r="1827" spans="1:11" x14ac:dyDescent="0.25">
      <c r="A1827" t="s">
        <v>486</v>
      </c>
      <c r="B1827" t="s">
        <v>243</v>
      </c>
      <c r="C1827" t="s">
        <v>50</v>
      </c>
      <c r="D1827" s="3">
        <v>45755</v>
      </c>
      <c r="E1827" t="str">
        <f>VLOOKUP(B1827,'PROCV GERENTES BD'!A:B,2,0)</f>
        <v>NOELI SALETE</v>
      </c>
      <c r="F1827" s="4" t="str">
        <f t="shared" si="168"/>
        <v>2025-04</v>
      </c>
      <c r="G1827" s="18">
        <f t="shared" si="169"/>
        <v>15</v>
      </c>
      <c r="H1827" t="str">
        <f t="shared" si="170"/>
        <v>NOELI SALETE</v>
      </c>
      <c r="I1827" t="str">
        <f t="shared" si="171"/>
        <v>SMARTCENTERGROUP COMERCIO DE EQUIPAMENTOS DE INFOR</v>
      </c>
      <c r="J1827">
        <f t="shared" si="172"/>
        <v>0</v>
      </c>
      <c r="K1827">
        <f t="shared" si="173"/>
        <v>1</v>
      </c>
    </row>
    <row r="1828" spans="1:11" x14ac:dyDescent="0.25">
      <c r="A1828" t="s">
        <v>389</v>
      </c>
      <c r="B1828" t="s">
        <v>136</v>
      </c>
      <c r="C1828" t="s">
        <v>66</v>
      </c>
      <c r="D1828" s="3">
        <v>45755</v>
      </c>
      <c r="E1828" t="str">
        <f>VLOOKUP(B1828,'PROCV GERENTES BD'!A:B,2,0)</f>
        <v>POENATELA</v>
      </c>
      <c r="F1828" s="4" t="str">
        <f t="shared" si="168"/>
        <v>2025-04</v>
      </c>
      <c r="G1828" s="18">
        <f t="shared" si="169"/>
        <v>15</v>
      </c>
      <c r="H1828" t="str">
        <f t="shared" si="170"/>
        <v>POENATELA</v>
      </c>
      <c r="I1828" t="str">
        <f t="shared" si="171"/>
        <v>CONQUISTA INDUSTRIA DE MOVEIS S/A</v>
      </c>
      <c r="J1828">
        <f t="shared" si="172"/>
        <v>1</v>
      </c>
      <c r="K1828">
        <f t="shared" si="173"/>
        <v>0</v>
      </c>
    </row>
    <row r="1829" spans="1:11" x14ac:dyDescent="0.25">
      <c r="A1829" t="s">
        <v>475</v>
      </c>
      <c r="B1829" t="s">
        <v>232</v>
      </c>
      <c r="C1829" t="s">
        <v>66</v>
      </c>
      <c r="D1829" s="3">
        <v>45755</v>
      </c>
      <c r="E1829" t="str">
        <f>VLOOKUP(B1829,'PROCV GERENTES BD'!A:B,2,0)</f>
        <v>POENATELA</v>
      </c>
      <c r="F1829" s="4" t="str">
        <f t="shared" si="168"/>
        <v>2025-04</v>
      </c>
      <c r="G1829" s="18">
        <f t="shared" si="169"/>
        <v>15</v>
      </c>
      <c r="H1829" t="str">
        <f t="shared" si="170"/>
        <v>POENATELA</v>
      </c>
      <c r="I1829" t="str">
        <f t="shared" si="171"/>
        <v>JUATUBA MOVEIS E EMBALAGENS LTDA</v>
      </c>
      <c r="J1829">
        <f t="shared" si="172"/>
        <v>1</v>
      </c>
      <c r="K1829">
        <f t="shared" si="173"/>
        <v>0</v>
      </c>
    </row>
    <row r="1830" spans="1:11" x14ac:dyDescent="0.25">
      <c r="A1830" t="s">
        <v>420</v>
      </c>
      <c r="B1830" t="s">
        <v>170</v>
      </c>
      <c r="C1830" t="s">
        <v>50</v>
      </c>
      <c r="D1830" s="3">
        <v>45755</v>
      </c>
      <c r="E1830" t="str">
        <f>VLOOKUP(B1830,'PROCV GERENTES BD'!A:B,2,0)</f>
        <v>POENATELA</v>
      </c>
      <c r="F1830" s="4" t="str">
        <f t="shared" si="168"/>
        <v>2025-04</v>
      </c>
      <c r="G1830" s="18">
        <f t="shared" si="169"/>
        <v>15</v>
      </c>
      <c r="H1830" t="str">
        <f t="shared" si="170"/>
        <v>POENATELA</v>
      </c>
      <c r="I1830" t="str">
        <f t="shared" si="171"/>
        <v>SAVIXX COMERCIO INTERNACIONAL S/A</v>
      </c>
      <c r="J1830">
        <f t="shared" si="172"/>
        <v>0</v>
      </c>
      <c r="K1830">
        <f t="shared" si="173"/>
        <v>1</v>
      </c>
    </row>
    <row r="1831" spans="1:11" x14ac:dyDescent="0.25">
      <c r="A1831" t="s">
        <v>444</v>
      </c>
      <c r="B1831" t="s">
        <v>195</v>
      </c>
      <c r="C1831" t="s">
        <v>50</v>
      </c>
      <c r="D1831" s="3">
        <v>45755</v>
      </c>
      <c r="E1831" t="str">
        <f>VLOOKUP(B1831,'PROCV GERENTES BD'!A:B,2,0)</f>
        <v>RAFAEL PARISE</v>
      </c>
      <c r="F1831" s="4" t="str">
        <f t="shared" si="168"/>
        <v>2025-04</v>
      </c>
      <c r="G1831" s="18">
        <f t="shared" si="169"/>
        <v>15</v>
      </c>
      <c r="H1831" t="str">
        <f t="shared" si="170"/>
        <v>RAFAEL PARISE</v>
      </c>
      <c r="I1831" t="str">
        <f t="shared" si="171"/>
        <v>GEDIBOR RUBBER POLYURETHANE LTDA EPP</v>
      </c>
      <c r="J1831">
        <f t="shared" si="172"/>
        <v>0</v>
      </c>
      <c r="K1831">
        <f t="shared" si="173"/>
        <v>1</v>
      </c>
    </row>
    <row r="1832" spans="1:11" x14ac:dyDescent="0.25">
      <c r="A1832" t="s">
        <v>454</v>
      </c>
      <c r="B1832" t="s">
        <v>211</v>
      </c>
      <c r="C1832" t="s">
        <v>50</v>
      </c>
      <c r="D1832" s="3">
        <v>45755</v>
      </c>
      <c r="E1832" t="str">
        <f>VLOOKUP(B1832,'PROCV GERENTES BD'!A:B,2,0)</f>
        <v>RAFAEL PARISE</v>
      </c>
      <c r="F1832" s="4" t="str">
        <f t="shared" si="168"/>
        <v>2025-04</v>
      </c>
      <c r="G1832" s="18">
        <f t="shared" si="169"/>
        <v>15</v>
      </c>
      <c r="H1832" t="str">
        <f t="shared" si="170"/>
        <v>RAFAEL PARISE</v>
      </c>
      <c r="I1832" t="str">
        <f t="shared" si="171"/>
        <v>TREGA FILHOS EMPACOTAMENTO E DISTRIBUICAO LTDA ME</v>
      </c>
      <c r="J1832">
        <f t="shared" si="172"/>
        <v>0</v>
      </c>
      <c r="K1832">
        <f t="shared" si="173"/>
        <v>1</v>
      </c>
    </row>
    <row r="1833" spans="1:11" x14ac:dyDescent="0.25">
      <c r="A1833" t="s">
        <v>67</v>
      </c>
      <c r="B1833" t="s">
        <v>68</v>
      </c>
      <c r="C1833" t="s">
        <v>50</v>
      </c>
      <c r="D1833" s="3">
        <v>45755</v>
      </c>
      <c r="E1833" t="s">
        <v>21</v>
      </c>
      <c r="F1833" s="4" t="str">
        <f t="shared" si="168"/>
        <v>2025-04</v>
      </c>
      <c r="G1833" s="18">
        <f t="shared" si="169"/>
        <v>15</v>
      </c>
      <c r="H1833" t="str">
        <f t="shared" si="170"/>
        <v xml:space="preserve">ROGERIO </v>
      </c>
      <c r="I1833" t="str">
        <f t="shared" si="171"/>
        <v>DIOTTONI INDUSTRIA E COMERCIO DE ALIMENTOS LTDA ME</v>
      </c>
      <c r="J1833">
        <f t="shared" si="172"/>
        <v>0</v>
      </c>
      <c r="K1833">
        <f t="shared" si="173"/>
        <v>1</v>
      </c>
    </row>
    <row r="1834" spans="1:11" x14ac:dyDescent="0.25">
      <c r="A1834" t="s">
        <v>326</v>
      </c>
      <c r="B1834" t="s">
        <v>122</v>
      </c>
      <c r="C1834" t="s">
        <v>66</v>
      </c>
      <c r="D1834" s="3">
        <v>45755</v>
      </c>
      <c r="E1834" t="s">
        <v>21</v>
      </c>
      <c r="F1834" s="4" t="str">
        <f t="shared" si="168"/>
        <v>2025-04</v>
      </c>
      <c r="G1834" s="18">
        <f t="shared" si="169"/>
        <v>15</v>
      </c>
      <c r="H1834" t="str">
        <f t="shared" si="170"/>
        <v xml:space="preserve">ROGERIO </v>
      </c>
      <c r="I1834" t="str">
        <f t="shared" si="171"/>
        <v>BIBE PRODUTOS INFANTIS LTDA</v>
      </c>
      <c r="J1834">
        <f t="shared" si="172"/>
        <v>1</v>
      </c>
      <c r="K1834">
        <f t="shared" si="173"/>
        <v>0</v>
      </c>
    </row>
    <row r="1835" spans="1:11" x14ac:dyDescent="0.25">
      <c r="A1835" t="s">
        <v>56</v>
      </c>
      <c r="B1835" t="s">
        <v>57</v>
      </c>
      <c r="C1835" t="s">
        <v>50</v>
      </c>
      <c r="D1835" s="3">
        <v>45755</v>
      </c>
      <c r="E1835" t="str">
        <f>VLOOKUP(B1835,'PROCV GERENTES BD'!A:B,2,0)</f>
        <v xml:space="preserve">ROGERIO </v>
      </c>
      <c r="F1835" s="4" t="str">
        <f t="shared" si="168"/>
        <v>2025-04</v>
      </c>
      <c r="G1835" s="18">
        <f t="shared" si="169"/>
        <v>15</v>
      </c>
      <c r="H1835" t="str">
        <f t="shared" si="170"/>
        <v xml:space="preserve">ROGERIO </v>
      </c>
      <c r="I1835" t="str">
        <f t="shared" si="171"/>
        <v>RODOVIEIRA TRANSPORTE LTDA</v>
      </c>
      <c r="J1835">
        <f t="shared" si="172"/>
        <v>0</v>
      </c>
      <c r="K1835">
        <f t="shared" si="173"/>
        <v>1</v>
      </c>
    </row>
    <row r="1836" spans="1:11" x14ac:dyDescent="0.25">
      <c r="A1836" t="s">
        <v>495</v>
      </c>
      <c r="B1836" t="s">
        <v>254</v>
      </c>
      <c r="C1836" t="s">
        <v>50</v>
      </c>
      <c r="D1836" s="3">
        <v>45755</v>
      </c>
      <c r="E1836" t="str">
        <f>VLOOKUP(B1836,'PROCV GERENTES BD'!A:B,2,0)</f>
        <v>SEM GERENTE</v>
      </c>
      <c r="F1836" s="4" t="str">
        <f t="shared" si="168"/>
        <v>2025-04</v>
      </c>
      <c r="G1836" s="18">
        <f t="shared" si="169"/>
        <v>15</v>
      </c>
      <c r="H1836" t="str">
        <f t="shared" si="170"/>
        <v>SEM GERENTE</v>
      </c>
      <c r="I1836" t="str">
        <f t="shared" si="171"/>
        <v>SUPREMO PLASTICOS LTDA ME</v>
      </c>
      <c r="J1836">
        <f t="shared" si="172"/>
        <v>0</v>
      </c>
      <c r="K1836">
        <f t="shared" si="173"/>
        <v>1</v>
      </c>
    </row>
    <row r="1837" spans="1:11" x14ac:dyDescent="0.25">
      <c r="A1837" t="s">
        <v>355</v>
      </c>
      <c r="B1837" t="s">
        <v>100</v>
      </c>
      <c r="C1837" t="s">
        <v>66</v>
      </c>
      <c r="D1837" s="3">
        <v>45756</v>
      </c>
      <c r="E1837" t="str">
        <f>VLOOKUP(B1837,'PROCV GERENTES BD'!A:B,2,0)</f>
        <v>ADMINISTRAÇÃO</v>
      </c>
      <c r="F1837" s="4" t="str">
        <f t="shared" si="168"/>
        <v>2025-04</v>
      </c>
      <c r="G1837" s="18">
        <f t="shared" si="169"/>
        <v>15</v>
      </c>
      <c r="H1837" t="str">
        <f t="shared" si="170"/>
        <v>ADMINISTRAÇÃO</v>
      </c>
      <c r="I1837" t="str">
        <f t="shared" si="171"/>
        <v>DECISION DESENVOLVIMENTO DE SISTEMAS LTDA</v>
      </c>
      <c r="J1837">
        <f t="shared" si="172"/>
        <v>1</v>
      </c>
      <c r="K1837">
        <f t="shared" si="173"/>
        <v>0</v>
      </c>
    </row>
    <row r="1838" spans="1:11" x14ac:dyDescent="0.25">
      <c r="A1838" t="s">
        <v>54</v>
      </c>
      <c r="B1838" t="s">
        <v>55</v>
      </c>
      <c r="C1838" t="s">
        <v>50</v>
      </c>
      <c r="D1838" s="3">
        <v>45756</v>
      </c>
      <c r="E1838" t="str">
        <f>VLOOKUP(B1838,'PROCV GERENTES BD'!A:B,2,0)</f>
        <v>CELIO PIMENTA</v>
      </c>
      <c r="F1838" s="4" t="str">
        <f t="shared" si="168"/>
        <v>2025-04</v>
      </c>
      <c r="G1838" s="18">
        <f t="shared" si="169"/>
        <v>15</v>
      </c>
      <c r="H1838" t="str">
        <f t="shared" si="170"/>
        <v>CELIO PIMENTA</v>
      </c>
      <c r="I1838" t="str">
        <f t="shared" si="171"/>
        <v>WJ CALDEIRARIA INDUSTRIA E COMERCIO LTDA ME</v>
      </c>
      <c r="J1838">
        <f t="shared" si="172"/>
        <v>0</v>
      </c>
      <c r="K1838">
        <f t="shared" si="173"/>
        <v>1</v>
      </c>
    </row>
    <row r="1839" spans="1:11" x14ac:dyDescent="0.25">
      <c r="A1839" t="s">
        <v>374</v>
      </c>
      <c r="B1839" t="s">
        <v>118</v>
      </c>
      <c r="C1839" t="s">
        <v>66</v>
      </c>
      <c r="D1839" s="3">
        <v>45756</v>
      </c>
      <c r="E1839" t="str">
        <f>VLOOKUP(B1839,'PROCV GERENTES BD'!A:B,2,0)</f>
        <v>CELIO PIMENTA</v>
      </c>
      <c r="F1839" s="4" t="str">
        <f t="shared" si="168"/>
        <v>2025-04</v>
      </c>
      <c r="G1839" s="18">
        <f t="shared" si="169"/>
        <v>15</v>
      </c>
      <c r="H1839" t="str">
        <f t="shared" si="170"/>
        <v>CELIO PIMENTA</v>
      </c>
      <c r="I1839" t="str">
        <f t="shared" si="171"/>
        <v>MINAS ALIMENTOS E FRUTAS SECAS LTDA EPP</v>
      </c>
      <c r="J1839">
        <f t="shared" si="172"/>
        <v>1</v>
      </c>
      <c r="K1839">
        <f t="shared" si="173"/>
        <v>0</v>
      </c>
    </row>
    <row r="1840" spans="1:11" x14ac:dyDescent="0.25">
      <c r="A1840" t="s">
        <v>472</v>
      </c>
      <c r="B1840" t="s">
        <v>229</v>
      </c>
      <c r="C1840" t="s">
        <v>66</v>
      </c>
      <c r="D1840" s="3">
        <v>45756</v>
      </c>
      <c r="E1840" t="str">
        <f>VLOOKUP(B1840,'PROCV GERENTES BD'!A:B,2,0)</f>
        <v>PROSPECTAR</v>
      </c>
      <c r="F1840" s="4" t="str">
        <f t="shared" si="168"/>
        <v>2025-04</v>
      </c>
      <c r="G1840" s="18">
        <f t="shared" si="169"/>
        <v>15</v>
      </c>
      <c r="H1840" t="str">
        <f t="shared" si="170"/>
        <v>PROSPECTAR</v>
      </c>
      <c r="I1840" t="str">
        <f t="shared" si="171"/>
        <v>ELO TELECOMUNICACOES E CONSTRUCOES S/A</v>
      </c>
      <c r="J1840">
        <f t="shared" si="172"/>
        <v>1</v>
      </c>
      <c r="K1840">
        <f t="shared" si="173"/>
        <v>0</v>
      </c>
    </row>
    <row r="1841" spans="1:11" x14ac:dyDescent="0.25">
      <c r="A1841" t="s">
        <v>62</v>
      </c>
      <c r="B1841" t="s">
        <v>63</v>
      </c>
      <c r="C1841" t="s">
        <v>66</v>
      </c>
      <c r="D1841" s="3">
        <v>45756</v>
      </c>
      <c r="E1841" t="str">
        <f>VLOOKUP(B1841,'PROCV GERENTES BD'!A:B,2,0)</f>
        <v>PROSPECTAR</v>
      </c>
      <c r="F1841" s="4" t="str">
        <f t="shared" si="168"/>
        <v>2025-04</v>
      </c>
      <c r="G1841" s="18">
        <f t="shared" si="169"/>
        <v>15</v>
      </c>
      <c r="H1841" t="str">
        <f t="shared" si="170"/>
        <v>PROSPECTAR</v>
      </c>
      <c r="I1841" t="str">
        <f t="shared" si="171"/>
        <v>MAPP COM IMPORTACAO EXPORTACAO IND PRODUTOS ALIMEN</v>
      </c>
      <c r="J1841">
        <f t="shared" si="172"/>
        <v>1</v>
      </c>
      <c r="K1841">
        <f t="shared" si="173"/>
        <v>0</v>
      </c>
    </row>
    <row r="1842" spans="1:11" x14ac:dyDescent="0.25">
      <c r="A1842" t="s">
        <v>369</v>
      </c>
      <c r="B1842" t="s">
        <v>113</v>
      </c>
      <c r="C1842" t="s">
        <v>50</v>
      </c>
      <c r="D1842" s="3">
        <v>45756</v>
      </c>
      <c r="E1842" t="str">
        <f>VLOOKUP(B1842,'PROCV GERENTES BD'!A:B,2,0)</f>
        <v xml:space="preserve">MARCUS VINICIUS </v>
      </c>
      <c r="F1842" s="4" t="str">
        <f t="shared" si="168"/>
        <v>2025-04</v>
      </c>
      <c r="G1842" s="18">
        <f t="shared" si="169"/>
        <v>15</v>
      </c>
      <c r="H1842" t="str">
        <f t="shared" si="170"/>
        <v xml:space="preserve">MARCUS VINICIUS </v>
      </c>
      <c r="I1842" t="str">
        <f t="shared" si="171"/>
        <v>ISOBASE POLIESTIRENO LTDA EPP</v>
      </c>
      <c r="J1842">
        <f t="shared" si="172"/>
        <v>0</v>
      </c>
      <c r="K1842">
        <f t="shared" si="173"/>
        <v>1</v>
      </c>
    </row>
    <row r="1843" spans="1:11" x14ac:dyDescent="0.25">
      <c r="A1843" t="s">
        <v>394</v>
      </c>
      <c r="B1843" t="s">
        <v>143</v>
      </c>
      <c r="C1843" t="s">
        <v>66</v>
      </c>
      <c r="D1843" s="3">
        <v>45756</v>
      </c>
      <c r="E1843" t="str">
        <f>VLOOKUP(B1843,'PROCV GERENTES BD'!A:B,2,0)</f>
        <v>NOELI SALETE</v>
      </c>
      <c r="F1843" s="4" t="str">
        <f t="shared" si="168"/>
        <v>2025-04</v>
      </c>
      <c r="G1843" s="18">
        <f t="shared" si="169"/>
        <v>15</v>
      </c>
      <c r="H1843" t="str">
        <f t="shared" si="170"/>
        <v>NOELI SALETE</v>
      </c>
      <c r="I1843" t="str">
        <f t="shared" si="171"/>
        <v>ALBERTO H DA SILVA ME</v>
      </c>
      <c r="J1843">
        <f t="shared" si="172"/>
        <v>1</v>
      </c>
      <c r="K1843">
        <f t="shared" si="173"/>
        <v>0</v>
      </c>
    </row>
    <row r="1844" spans="1:11" x14ac:dyDescent="0.25">
      <c r="A1844" t="s">
        <v>438</v>
      </c>
      <c r="B1844" t="s">
        <v>189</v>
      </c>
      <c r="C1844" t="s">
        <v>66</v>
      </c>
      <c r="D1844" s="3">
        <v>45756</v>
      </c>
      <c r="E1844" t="str">
        <f>VLOOKUP(B1844,'PROCV GERENTES BD'!A:B,2,0)</f>
        <v>NOELI SALETE</v>
      </c>
      <c r="F1844" s="4" t="str">
        <f t="shared" si="168"/>
        <v>2025-04</v>
      </c>
      <c r="G1844" s="18">
        <f t="shared" si="169"/>
        <v>15</v>
      </c>
      <c r="H1844" t="str">
        <f t="shared" si="170"/>
        <v>NOELI SALETE</v>
      </c>
      <c r="I1844" t="str">
        <f t="shared" si="171"/>
        <v>AGRO INDUSTRIAL LAZZERI LTDA</v>
      </c>
      <c r="J1844">
        <f t="shared" si="172"/>
        <v>1</v>
      </c>
      <c r="K1844">
        <f t="shared" si="173"/>
        <v>0</v>
      </c>
    </row>
    <row r="1845" spans="1:11" x14ac:dyDescent="0.25">
      <c r="A1845" t="s">
        <v>389</v>
      </c>
      <c r="B1845" t="s">
        <v>136</v>
      </c>
      <c r="C1845" t="s">
        <v>66</v>
      </c>
      <c r="D1845" s="3">
        <v>45756</v>
      </c>
      <c r="E1845" t="str">
        <f>VLOOKUP(B1845,'PROCV GERENTES BD'!A:B,2,0)</f>
        <v>POENATELA</v>
      </c>
      <c r="F1845" s="4" t="str">
        <f t="shared" si="168"/>
        <v>2025-04</v>
      </c>
      <c r="G1845" s="18">
        <f t="shared" si="169"/>
        <v>15</v>
      </c>
      <c r="H1845" t="str">
        <f t="shared" si="170"/>
        <v>POENATELA</v>
      </c>
      <c r="I1845" t="str">
        <f t="shared" si="171"/>
        <v>CONQUISTA INDUSTRIA DE MOVEIS S/A</v>
      </c>
      <c r="J1845">
        <f t="shared" si="172"/>
        <v>1</v>
      </c>
      <c r="K1845">
        <f t="shared" si="173"/>
        <v>0</v>
      </c>
    </row>
    <row r="1846" spans="1:11" x14ac:dyDescent="0.25">
      <c r="A1846" t="s">
        <v>475</v>
      </c>
      <c r="B1846" t="s">
        <v>232</v>
      </c>
      <c r="C1846" t="s">
        <v>66</v>
      </c>
      <c r="D1846" s="3">
        <v>45756</v>
      </c>
      <c r="E1846" t="str">
        <f>VLOOKUP(B1846,'PROCV GERENTES BD'!A:B,2,0)</f>
        <v>POENATELA</v>
      </c>
      <c r="F1846" s="4" t="str">
        <f t="shared" si="168"/>
        <v>2025-04</v>
      </c>
      <c r="G1846" s="18">
        <f t="shared" si="169"/>
        <v>15</v>
      </c>
      <c r="H1846" t="str">
        <f t="shared" si="170"/>
        <v>POENATELA</v>
      </c>
      <c r="I1846" t="str">
        <f t="shared" si="171"/>
        <v>JUATUBA MOVEIS E EMBALAGENS LTDA</v>
      </c>
      <c r="J1846">
        <f t="shared" si="172"/>
        <v>1</v>
      </c>
      <c r="K1846">
        <f t="shared" si="173"/>
        <v>0</v>
      </c>
    </row>
    <row r="1847" spans="1:11" x14ac:dyDescent="0.25">
      <c r="A1847" t="s">
        <v>420</v>
      </c>
      <c r="B1847" t="s">
        <v>170</v>
      </c>
      <c r="C1847" t="s">
        <v>50</v>
      </c>
      <c r="D1847" s="3">
        <v>45756</v>
      </c>
      <c r="E1847" t="str">
        <f>VLOOKUP(B1847,'PROCV GERENTES BD'!A:B,2,0)</f>
        <v>POENATELA</v>
      </c>
      <c r="F1847" s="4" t="str">
        <f t="shared" si="168"/>
        <v>2025-04</v>
      </c>
      <c r="G1847" s="18">
        <f t="shared" si="169"/>
        <v>15</v>
      </c>
      <c r="H1847" t="str">
        <f t="shared" si="170"/>
        <v>POENATELA</v>
      </c>
      <c r="I1847" t="str">
        <f t="shared" si="171"/>
        <v>SAVIXX COMERCIO INTERNACIONAL S/A</v>
      </c>
      <c r="J1847">
        <f t="shared" si="172"/>
        <v>0</v>
      </c>
      <c r="K1847">
        <f t="shared" si="173"/>
        <v>1</v>
      </c>
    </row>
    <row r="1848" spans="1:11" x14ac:dyDescent="0.25">
      <c r="A1848" t="s">
        <v>482</v>
      </c>
      <c r="B1848" t="s">
        <v>239</v>
      </c>
      <c r="C1848" t="s">
        <v>66</v>
      </c>
      <c r="D1848" s="3">
        <v>45756</v>
      </c>
      <c r="E1848" t="str">
        <f>VLOOKUP(B1848,'PROCV GERENTES BD'!A:B,2,0)</f>
        <v>RAFAEL PARISE</v>
      </c>
      <c r="F1848" s="4" t="str">
        <f t="shared" si="168"/>
        <v>2025-04</v>
      </c>
      <c r="G1848" s="18">
        <f t="shared" si="169"/>
        <v>15</v>
      </c>
      <c r="H1848" t="str">
        <f t="shared" si="170"/>
        <v>RAFAEL PARISE</v>
      </c>
      <c r="I1848" t="str">
        <f t="shared" si="171"/>
        <v>RENOVAR AGRICOLA LTDA</v>
      </c>
      <c r="J1848">
        <f t="shared" si="172"/>
        <v>1</v>
      </c>
      <c r="K1848">
        <f t="shared" si="173"/>
        <v>0</v>
      </c>
    </row>
    <row r="1849" spans="1:11" x14ac:dyDescent="0.25">
      <c r="A1849" t="s">
        <v>387</v>
      </c>
      <c r="B1849" t="s">
        <v>134</v>
      </c>
      <c r="C1849" t="s">
        <v>66</v>
      </c>
      <c r="D1849" s="3">
        <v>45756</v>
      </c>
      <c r="E1849" t="str">
        <f>VLOOKUP(B1849,'PROCV GERENTES BD'!A:B,2,0)</f>
        <v>RAFAEL PARISE</v>
      </c>
      <c r="F1849" s="4" t="str">
        <f t="shared" si="168"/>
        <v>2025-04</v>
      </c>
      <c r="G1849" s="18">
        <f t="shared" si="169"/>
        <v>15</v>
      </c>
      <c r="H1849" t="str">
        <f t="shared" si="170"/>
        <v>RAFAEL PARISE</v>
      </c>
      <c r="I1849" t="str">
        <f t="shared" si="171"/>
        <v>MAIS DISTRIBUIDORA LTDA</v>
      </c>
      <c r="J1849">
        <f t="shared" si="172"/>
        <v>1</v>
      </c>
      <c r="K1849">
        <f t="shared" si="173"/>
        <v>0</v>
      </c>
    </row>
    <row r="1850" spans="1:11" x14ac:dyDescent="0.25">
      <c r="A1850" t="s">
        <v>67</v>
      </c>
      <c r="B1850" t="s">
        <v>68</v>
      </c>
      <c r="C1850" t="s">
        <v>50</v>
      </c>
      <c r="D1850" s="3">
        <v>45756</v>
      </c>
      <c r="E1850" t="s">
        <v>21</v>
      </c>
      <c r="F1850" s="4" t="str">
        <f t="shared" si="168"/>
        <v>2025-04</v>
      </c>
      <c r="G1850" s="18">
        <f t="shared" si="169"/>
        <v>15</v>
      </c>
      <c r="H1850" t="str">
        <f t="shared" si="170"/>
        <v xml:space="preserve">ROGERIO </v>
      </c>
      <c r="I1850" t="str">
        <f t="shared" si="171"/>
        <v>DIOTTONI INDUSTRIA E COMERCIO DE ALIMENTOS LTDA ME</v>
      </c>
      <c r="J1850">
        <f t="shared" si="172"/>
        <v>0</v>
      </c>
      <c r="K1850">
        <f t="shared" si="173"/>
        <v>1</v>
      </c>
    </row>
    <row r="1851" spans="1:11" x14ac:dyDescent="0.25">
      <c r="A1851" t="s">
        <v>326</v>
      </c>
      <c r="B1851" t="s">
        <v>122</v>
      </c>
      <c r="C1851" t="s">
        <v>50</v>
      </c>
      <c r="D1851" s="3">
        <v>45756</v>
      </c>
      <c r="E1851" t="s">
        <v>21</v>
      </c>
      <c r="F1851" s="4" t="str">
        <f t="shared" si="168"/>
        <v>2025-04</v>
      </c>
      <c r="G1851" s="18">
        <f t="shared" si="169"/>
        <v>15</v>
      </c>
      <c r="H1851" t="str">
        <f t="shared" si="170"/>
        <v xml:space="preserve">ROGERIO </v>
      </c>
      <c r="I1851" t="str">
        <f t="shared" si="171"/>
        <v>BIBE PRODUTOS INFANTIS LTDA</v>
      </c>
      <c r="J1851">
        <f t="shared" si="172"/>
        <v>0</v>
      </c>
      <c r="K1851">
        <f t="shared" si="173"/>
        <v>1</v>
      </c>
    </row>
    <row r="1852" spans="1:11" x14ac:dyDescent="0.25">
      <c r="A1852" t="s">
        <v>56</v>
      </c>
      <c r="B1852" t="s">
        <v>57</v>
      </c>
      <c r="C1852" t="s">
        <v>50</v>
      </c>
      <c r="D1852" s="3">
        <v>45756</v>
      </c>
      <c r="E1852" t="str">
        <f>VLOOKUP(B1852,'PROCV GERENTES BD'!A:B,2,0)</f>
        <v xml:space="preserve">ROGERIO </v>
      </c>
      <c r="F1852" s="4" t="str">
        <f t="shared" si="168"/>
        <v>2025-04</v>
      </c>
      <c r="G1852" s="18">
        <f t="shared" si="169"/>
        <v>15</v>
      </c>
      <c r="H1852" t="str">
        <f t="shared" si="170"/>
        <v xml:space="preserve">ROGERIO </v>
      </c>
      <c r="I1852" t="str">
        <f t="shared" si="171"/>
        <v>RODOVIEIRA TRANSPORTE LTDA</v>
      </c>
      <c r="J1852">
        <f t="shared" si="172"/>
        <v>0</v>
      </c>
      <c r="K1852">
        <f t="shared" si="173"/>
        <v>1</v>
      </c>
    </row>
    <row r="1853" spans="1:11" x14ac:dyDescent="0.25">
      <c r="A1853" t="s">
        <v>355</v>
      </c>
      <c r="B1853" t="s">
        <v>100</v>
      </c>
      <c r="C1853" t="s">
        <v>66</v>
      </c>
      <c r="D1853" s="3">
        <v>45757</v>
      </c>
      <c r="E1853" t="str">
        <f>VLOOKUP(B1853,'PROCV GERENTES BD'!A:B,2,0)</f>
        <v>ADMINISTRAÇÃO</v>
      </c>
      <c r="F1853" s="4" t="str">
        <f t="shared" si="168"/>
        <v>2025-04</v>
      </c>
      <c r="G1853" s="18">
        <f t="shared" si="169"/>
        <v>15</v>
      </c>
      <c r="H1853" t="str">
        <f t="shared" si="170"/>
        <v>ADMINISTRAÇÃO</v>
      </c>
      <c r="I1853" t="str">
        <f t="shared" si="171"/>
        <v>DECISION DESENVOLVIMENTO DE SISTEMAS LTDA</v>
      </c>
      <c r="J1853">
        <f t="shared" si="172"/>
        <v>1</v>
      </c>
      <c r="K1853">
        <f t="shared" si="173"/>
        <v>0</v>
      </c>
    </row>
    <row r="1854" spans="1:11" x14ac:dyDescent="0.25">
      <c r="A1854" t="s">
        <v>54</v>
      </c>
      <c r="B1854" t="s">
        <v>55</v>
      </c>
      <c r="C1854" t="s">
        <v>50</v>
      </c>
      <c r="D1854" s="3">
        <v>45757</v>
      </c>
      <c r="E1854" t="str">
        <f>VLOOKUP(B1854,'PROCV GERENTES BD'!A:B,2,0)</f>
        <v>CELIO PIMENTA</v>
      </c>
      <c r="F1854" s="4" t="str">
        <f t="shared" si="168"/>
        <v>2025-04</v>
      </c>
      <c r="G1854" s="18">
        <f t="shared" si="169"/>
        <v>15</v>
      </c>
      <c r="H1854" t="str">
        <f t="shared" si="170"/>
        <v>CELIO PIMENTA</v>
      </c>
      <c r="I1854" t="str">
        <f t="shared" si="171"/>
        <v>WJ CALDEIRARIA INDUSTRIA E COMERCIO LTDA ME</v>
      </c>
      <c r="J1854">
        <f t="shared" si="172"/>
        <v>0</v>
      </c>
      <c r="K1854">
        <f t="shared" si="173"/>
        <v>1</v>
      </c>
    </row>
    <row r="1855" spans="1:11" x14ac:dyDescent="0.25">
      <c r="A1855" t="s">
        <v>374</v>
      </c>
      <c r="B1855" t="s">
        <v>118</v>
      </c>
      <c r="C1855" t="s">
        <v>66</v>
      </c>
      <c r="D1855" s="3">
        <v>45757</v>
      </c>
      <c r="E1855" t="str">
        <f>VLOOKUP(B1855,'PROCV GERENTES BD'!A:B,2,0)</f>
        <v>CELIO PIMENTA</v>
      </c>
      <c r="F1855" s="4" t="str">
        <f t="shared" si="168"/>
        <v>2025-04</v>
      </c>
      <c r="G1855" s="18">
        <f t="shared" si="169"/>
        <v>15</v>
      </c>
      <c r="H1855" t="str">
        <f t="shared" si="170"/>
        <v>CELIO PIMENTA</v>
      </c>
      <c r="I1855" t="str">
        <f t="shared" si="171"/>
        <v>MINAS ALIMENTOS E FRUTAS SECAS LTDA EPP</v>
      </c>
      <c r="J1855">
        <f t="shared" si="172"/>
        <v>1</v>
      </c>
      <c r="K1855">
        <f t="shared" si="173"/>
        <v>0</v>
      </c>
    </row>
    <row r="1856" spans="1:11" x14ac:dyDescent="0.25">
      <c r="A1856" t="s">
        <v>472</v>
      </c>
      <c r="B1856" t="s">
        <v>229</v>
      </c>
      <c r="C1856" t="s">
        <v>66</v>
      </c>
      <c r="D1856" s="3">
        <v>45757</v>
      </c>
      <c r="E1856" t="str">
        <f>VLOOKUP(B1856,'PROCV GERENTES BD'!A:B,2,0)</f>
        <v>PROSPECTAR</v>
      </c>
      <c r="F1856" s="4" t="str">
        <f t="shared" si="168"/>
        <v>2025-04</v>
      </c>
      <c r="G1856" s="18">
        <f t="shared" si="169"/>
        <v>15</v>
      </c>
      <c r="H1856" t="str">
        <f t="shared" si="170"/>
        <v>PROSPECTAR</v>
      </c>
      <c r="I1856" t="str">
        <f t="shared" si="171"/>
        <v>ELO TELECOMUNICACOES E CONSTRUCOES S/A</v>
      </c>
      <c r="J1856">
        <f t="shared" si="172"/>
        <v>1</v>
      </c>
      <c r="K1856">
        <f t="shared" si="173"/>
        <v>0</v>
      </c>
    </row>
    <row r="1857" spans="1:11" x14ac:dyDescent="0.25">
      <c r="A1857" t="s">
        <v>62</v>
      </c>
      <c r="B1857" t="s">
        <v>63</v>
      </c>
      <c r="C1857" t="s">
        <v>66</v>
      </c>
      <c r="D1857" s="3">
        <v>45757</v>
      </c>
      <c r="E1857" t="str">
        <f>VLOOKUP(B1857,'PROCV GERENTES BD'!A:B,2,0)</f>
        <v>PROSPECTAR</v>
      </c>
      <c r="F1857" s="4" t="str">
        <f t="shared" si="168"/>
        <v>2025-04</v>
      </c>
      <c r="G1857" s="18">
        <f t="shared" si="169"/>
        <v>15</v>
      </c>
      <c r="H1857" t="str">
        <f t="shared" si="170"/>
        <v>PROSPECTAR</v>
      </c>
      <c r="I1857" t="str">
        <f t="shared" si="171"/>
        <v>MAPP COM IMPORTACAO EXPORTACAO IND PRODUTOS ALIMEN</v>
      </c>
      <c r="J1857">
        <f t="shared" si="172"/>
        <v>1</v>
      </c>
      <c r="K1857">
        <f t="shared" si="173"/>
        <v>0</v>
      </c>
    </row>
    <row r="1858" spans="1:11" x14ac:dyDescent="0.25">
      <c r="A1858" t="s">
        <v>369</v>
      </c>
      <c r="B1858" t="s">
        <v>113</v>
      </c>
      <c r="C1858" t="s">
        <v>50</v>
      </c>
      <c r="D1858" s="3">
        <v>45757</v>
      </c>
      <c r="E1858" t="str">
        <f>VLOOKUP(B1858,'PROCV GERENTES BD'!A:B,2,0)</f>
        <v xml:space="preserve">MARCUS VINICIUS </v>
      </c>
      <c r="F1858" s="4" t="str">
        <f t="shared" ref="F1858:F1921" si="174">YEAR(D1858)&amp;"-"&amp;TEXT(MONTH(D1858),"00")</f>
        <v>2025-04</v>
      </c>
      <c r="G1858" s="18">
        <f t="shared" ref="G1858:G1921" si="175">WEEKNUM(D1858)</f>
        <v>15</v>
      </c>
      <c r="H1858" t="str">
        <f t="shared" ref="H1858:H1921" si="176">E1858</f>
        <v xml:space="preserve">MARCUS VINICIUS </v>
      </c>
      <c r="I1858" t="str">
        <f t="shared" ref="I1858:I1921" si="177">B1858</f>
        <v>ISOBASE POLIESTIRENO LTDA EPP</v>
      </c>
      <c r="J1858">
        <f t="shared" ref="J1858:J1921" si="178">IF(OR(C1858="EXCLUSAO  ANOT.INADIMPLENCIA",C1858="INCL/EXCL ANOT.INADIMPLENCIA"),1,0)</f>
        <v>0</v>
      </c>
      <c r="K1858">
        <f t="shared" ref="K1858:K1921" si="179">IF(OR(C1858="INCLUSAO  ANOT.INADIMPLENCIA",C1858="INCL/EXCL ANOT.INADIMPLENCIA"),1,0)</f>
        <v>1</v>
      </c>
    </row>
    <row r="1859" spans="1:11" x14ac:dyDescent="0.25">
      <c r="A1859" t="s">
        <v>394</v>
      </c>
      <c r="B1859" t="s">
        <v>143</v>
      </c>
      <c r="C1859" t="s">
        <v>66</v>
      </c>
      <c r="D1859" s="3">
        <v>45757</v>
      </c>
      <c r="E1859" t="str">
        <f>VLOOKUP(B1859,'PROCV GERENTES BD'!A:B,2,0)</f>
        <v>NOELI SALETE</v>
      </c>
      <c r="F1859" s="4" t="str">
        <f t="shared" si="174"/>
        <v>2025-04</v>
      </c>
      <c r="G1859" s="18">
        <f t="shared" si="175"/>
        <v>15</v>
      </c>
      <c r="H1859" t="str">
        <f t="shared" si="176"/>
        <v>NOELI SALETE</v>
      </c>
      <c r="I1859" t="str">
        <f t="shared" si="177"/>
        <v>ALBERTO H DA SILVA ME</v>
      </c>
      <c r="J1859">
        <f t="shared" si="178"/>
        <v>1</v>
      </c>
      <c r="K1859">
        <f t="shared" si="179"/>
        <v>0</v>
      </c>
    </row>
    <row r="1860" spans="1:11" x14ac:dyDescent="0.25">
      <c r="A1860" t="s">
        <v>438</v>
      </c>
      <c r="B1860" t="s">
        <v>189</v>
      </c>
      <c r="C1860" t="s">
        <v>66</v>
      </c>
      <c r="D1860" s="3">
        <v>45757</v>
      </c>
      <c r="E1860" t="str">
        <f>VLOOKUP(B1860,'PROCV GERENTES BD'!A:B,2,0)</f>
        <v>NOELI SALETE</v>
      </c>
      <c r="F1860" s="4" t="str">
        <f t="shared" si="174"/>
        <v>2025-04</v>
      </c>
      <c r="G1860" s="18">
        <f t="shared" si="175"/>
        <v>15</v>
      </c>
      <c r="H1860" t="str">
        <f t="shared" si="176"/>
        <v>NOELI SALETE</v>
      </c>
      <c r="I1860" t="str">
        <f t="shared" si="177"/>
        <v>AGRO INDUSTRIAL LAZZERI LTDA</v>
      </c>
      <c r="J1860">
        <f t="shared" si="178"/>
        <v>1</v>
      </c>
      <c r="K1860">
        <f t="shared" si="179"/>
        <v>0</v>
      </c>
    </row>
    <row r="1861" spans="1:11" x14ac:dyDescent="0.25">
      <c r="A1861" t="s">
        <v>389</v>
      </c>
      <c r="B1861" t="s">
        <v>136</v>
      </c>
      <c r="C1861" t="s">
        <v>66</v>
      </c>
      <c r="D1861" s="3">
        <v>45757</v>
      </c>
      <c r="E1861" t="str">
        <f>VLOOKUP(B1861,'PROCV GERENTES BD'!A:B,2,0)</f>
        <v>POENATELA</v>
      </c>
      <c r="F1861" s="4" t="str">
        <f t="shared" si="174"/>
        <v>2025-04</v>
      </c>
      <c r="G1861" s="18">
        <f t="shared" si="175"/>
        <v>15</v>
      </c>
      <c r="H1861" t="str">
        <f t="shared" si="176"/>
        <v>POENATELA</v>
      </c>
      <c r="I1861" t="str">
        <f t="shared" si="177"/>
        <v>CONQUISTA INDUSTRIA DE MOVEIS S/A</v>
      </c>
      <c r="J1861">
        <f t="shared" si="178"/>
        <v>1</v>
      </c>
      <c r="K1861">
        <f t="shared" si="179"/>
        <v>0</v>
      </c>
    </row>
    <row r="1862" spans="1:11" x14ac:dyDescent="0.25">
      <c r="A1862" t="s">
        <v>475</v>
      </c>
      <c r="B1862" t="s">
        <v>232</v>
      </c>
      <c r="C1862" t="s">
        <v>66</v>
      </c>
      <c r="D1862" s="3">
        <v>45757</v>
      </c>
      <c r="E1862" t="str">
        <f>VLOOKUP(B1862,'PROCV GERENTES BD'!A:B,2,0)</f>
        <v>POENATELA</v>
      </c>
      <c r="F1862" s="4" t="str">
        <f t="shared" si="174"/>
        <v>2025-04</v>
      </c>
      <c r="G1862" s="18">
        <f t="shared" si="175"/>
        <v>15</v>
      </c>
      <c r="H1862" t="str">
        <f t="shared" si="176"/>
        <v>POENATELA</v>
      </c>
      <c r="I1862" t="str">
        <f t="shared" si="177"/>
        <v>JUATUBA MOVEIS E EMBALAGENS LTDA</v>
      </c>
      <c r="J1862">
        <f t="shared" si="178"/>
        <v>1</v>
      </c>
      <c r="K1862">
        <f t="shared" si="179"/>
        <v>0</v>
      </c>
    </row>
    <row r="1863" spans="1:11" x14ac:dyDescent="0.25">
      <c r="A1863" t="s">
        <v>420</v>
      </c>
      <c r="B1863" t="s">
        <v>170</v>
      </c>
      <c r="C1863" t="s">
        <v>50</v>
      </c>
      <c r="D1863" s="3">
        <v>45757</v>
      </c>
      <c r="E1863" t="str">
        <f>VLOOKUP(B1863,'PROCV GERENTES BD'!A:B,2,0)</f>
        <v>POENATELA</v>
      </c>
      <c r="F1863" s="4" t="str">
        <f t="shared" si="174"/>
        <v>2025-04</v>
      </c>
      <c r="G1863" s="18">
        <f t="shared" si="175"/>
        <v>15</v>
      </c>
      <c r="H1863" t="str">
        <f t="shared" si="176"/>
        <v>POENATELA</v>
      </c>
      <c r="I1863" t="str">
        <f t="shared" si="177"/>
        <v>SAVIXX COMERCIO INTERNACIONAL S/A</v>
      </c>
      <c r="J1863">
        <f t="shared" si="178"/>
        <v>0</v>
      </c>
      <c r="K1863">
        <f t="shared" si="179"/>
        <v>1</v>
      </c>
    </row>
    <row r="1864" spans="1:11" x14ac:dyDescent="0.25">
      <c r="A1864" t="s">
        <v>482</v>
      </c>
      <c r="B1864" t="s">
        <v>239</v>
      </c>
      <c r="C1864" t="s">
        <v>66</v>
      </c>
      <c r="D1864" s="3">
        <v>45757</v>
      </c>
      <c r="E1864" t="str">
        <f>VLOOKUP(B1864,'PROCV GERENTES BD'!A:B,2,0)</f>
        <v>RAFAEL PARISE</v>
      </c>
      <c r="F1864" s="4" t="str">
        <f t="shared" si="174"/>
        <v>2025-04</v>
      </c>
      <c r="G1864" s="18">
        <f t="shared" si="175"/>
        <v>15</v>
      </c>
      <c r="H1864" t="str">
        <f t="shared" si="176"/>
        <v>RAFAEL PARISE</v>
      </c>
      <c r="I1864" t="str">
        <f t="shared" si="177"/>
        <v>RENOVAR AGRICOLA LTDA</v>
      </c>
      <c r="J1864">
        <f t="shared" si="178"/>
        <v>1</v>
      </c>
      <c r="K1864">
        <f t="shared" si="179"/>
        <v>0</v>
      </c>
    </row>
    <row r="1865" spans="1:11" x14ac:dyDescent="0.25">
      <c r="A1865" t="s">
        <v>387</v>
      </c>
      <c r="B1865" t="s">
        <v>134</v>
      </c>
      <c r="C1865" t="s">
        <v>66</v>
      </c>
      <c r="D1865" s="3">
        <v>45757</v>
      </c>
      <c r="E1865" t="str">
        <f>VLOOKUP(B1865,'PROCV GERENTES BD'!A:B,2,0)</f>
        <v>RAFAEL PARISE</v>
      </c>
      <c r="F1865" s="4" t="str">
        <f t="shared" si="174"/>
        <v>2025-04</v>
      </c>
      <c r="G1865" s="18">
        <f t="shared" si="175"/>
        <v>15</v>
      </c>
      <c r="H1865" t="str">
        <f t="shared" si="176"/>
        <v>RAFAEL PARISE</v>
      </c>
      <c r="I1865" t="str">
        <f t="shared" si="177"/>
        <v>MAIS DISTRIBUIDORA LTDA</v>
      </c>
      <c r="J1865">
        <f t="shared" si="178"/>
        <v>1</v>
      </c>
      <c r="K1865">
        <f t="shared" si="179"/>
        <v>0</v>
      </c>
    </row>
    <row r="1866" spans="1:11" x14ac:dyDescent="0.25">
      <c r="A1866" t="s">
        <v>67</v>
      </c>
      <c r="B1866" t="s">
        <v>68</v>
      </c>
      <c r="C1866" t="s">
        <v>50</v>
      </c>
      <c r="D1866" s="3">
        <v>45757</v>
      </c>
      <c r="E1866" t="s">
        <v>21</v>
      </c>
      <c r="F1866" s="4" t="str">
        <f t="shared" si="174"/>
        <v>2025-04</v>
      </c>
      <c r="G1866" s="18">
        <f t="shared" si="175"/>
        <v>15</v>
      </c>
      <c r="H1866" t="str">
        <f t="shared" si="176"/>
        <v xml:space="preserve">ROGERIO </v>
      </c>
      <c r="I1866" t="str">
        <f t="shared" si="177"/>
        <v>DIOTTONI INDUSTRIA E COMERCIO DE ALIMENTOS LTDA ME</v>
      </c>
      <c r="J1866">
        <f t="shared" si="178"/>
        <v>0</v>
      </c>
      <c r="K1866">
        <f t="shared" si="179"/>
        <v>1</v>
      </c>
    </row>
    <row r="1867" spans="1:11" x14ac:dyDescent="0.25">
      <c r="A1867" t="s">
        <v>326</v>
      </c>
      <c r="B1867" t="s">
        <v>122</v>
      </c>
      <c r="C1867" t="s">
        <v>50</v>
      </c>
      <c r="D1867" s="3">
        <v>45757</v>
      </c>
      <c r="E1867" t="s">
        <v>21</v>
      </c>
      <c r="F1867" s="4" t="str">
        <f t="shared" si="174"/>
        <v>2025-04</v>
      </c>
      <c r="G1867" s="18">
        <f t="shared" si="175"/>
        <v>15</v>
      </c>
      <c r="H1867" t="str">
        <f t="shared" si="176"/>
        <v xml:space="preserve">ROGERIO </v>
      </c>
      <c r="I1867" t="str">
        <f t="shared" si="177"/>
        <v>BIBE PRODUTOS INFANTIS LTDA</v>
      </c>
      <c r="J1867">
        <f t="shared" si="178"/>
        <v>0</v>
      </c>
      <c r="K1867">
        <f t="shared" si="179"/>
        <v>1</v>
      </c>
    </row>
    <row r="1868" spans="1:11" x14ac:dyDescent="0.25">
      <c r="A1868" t="s">
        <v>56</v>
      </c>
      <c r="B1868" t="s">
        <v>57</v>
      </c>
      <c r="C1868" t="s">
        <v>50</v>
      </c>
      <c r="D1868" s="3">
        <v>45757</v>
      </c>
      <c r="E1868" t="str">
        <f>VLOOKUP(B1868,'PROCV GERENTES BD'!A:B,2,0)</f>
        <v xml:space="preserve">ROGERIO </v>
      </c>
      <c r="F1868" s="4" t="str">
        <f t="shared" si="174"/>
        <v>2025-04</v>
      </c>
      <c r="G1868" s="18">
        <f t="shared" si="175"/>
        <v>15</v>
      </c>
      <c r="H1868" t="str">
        <f t="shared" si="176"/>
        <v xml:space="preserve">ROGERIO </v>
      </c>
      <c r="I1868" t="str">
        <f t="shared" si="177"/>
        <v>RODOVIEIRA TRANSPORTE LTDA</v>
      </c>
      <c r="J1868">
        <f t="shared" si="178"/>
        <v>0</v>
      </c>
      <c r="K1868">
        <f t="shared" si="179"/>
        <v>1</v>
      </c>
    </row>
    <row r="1869" spans="1:11" x14ac:dyDescent="0.25">
      <c r="A1869" t="s">
        <v>331</v>
      </c>
      <c r="B1869" t="s">
        <v>144</v>
      </c>
      <c r="C1869" t="s">
        <v>50</v>
      </c>
      <c r="D1869" s="3">
        <v>45758</v>
      </c>
      <c r="E1869" t="str">
        <f>VLOOKUP(B1869,'PROCV GERENTES BD'!A:B,2,0)</f>
        <v>ADMINISTRAÇÃO</v>
      </c>
      <c r="F1869" s="4" t="str">
        <f t="shared" si="174"/>
        <v>2025-04</v>
      </c>
      <c r="G1869" s="18">
        <f t="shared" si="175"/>
        <v>15</v>
      </c>
      <c r="H1869" t="str">
        <f t="shared" si="176"/>
        <v>ADMINISTRAÇÃO</v>
      </c>
      <c r="I1869" t="str">
        <f t="shared" si="177"/>
        <v>BOM PASTOR PAPEIS LTDA EM RECUPERACAO JUDICIAL</v>
      </c>
      <c r="J1869">
        <f t="shared" si="178"/>
        <v>0</v>
      </c>
      <c r="K1869">
        <f t="shared" si="179"/>
        <v>1</v>
      </c>
    </row>
    <row r="1870" spans="1:11" x14ac:dyDescent="0.25">
      <c r="A1870" t="s">
        <v>319</v>
      </c>
      <c r="B1870" t="s">
        <v>80</v>
      </c>
      <c r="C1870" t="s">
        <v>66</v>
      </c>
      <c r="D1870" s="3">
        <v>45758</v>
      </c>
      <c r="E1870" t="str">
        <f>VLOOKUP(B1870,'PROCV GERENTES BD'!A:B,2,0)</f>
        <v>CELIO PIMENTA</v>
      </c>
      <c r="F1870" s="4" t="str">
        <f t="shared" si="174"/>
        <v>2025-04</v>
      </c>
      <c r="G1870" s="18">
        <f t="shared" si="175"/>
        <v>15</v>
      </c>
      <c r="H1870" t="str">
        <f t="shared" si="176"/>
        <v>CELIO PIMENTA</v>
      </c>
      <c r="I1870" t="str">
        <f t="shared" si="177"/>
        <v>IMPORTEXTIL COMERCIO DE TECIDOS LTDA</v>
      </c>
      <c r="J1870">
        <f t="shared" si="178"/>
        <v>1</v>
      </c>
      <c r="K1870">
        <f t="shared" si="179"/>
        <v>0</v>
      </c>
    </row>
    <row r="1871" spans="1:11" x14ac:dyDescent="0.25">
      <c r="A1871" t="s">
        <v>358</v>
      </c>
      <c r="B1871" t="s">
        <v>104</v>
      </c>
      <c r="C1871" t="s">
        <v>66</v>
      </c>
      <c r="D1871" s="3">
        <v>45758</v>
      </c>
      <c r="E1871" t="str">
        <f>VLOOKUP(B1871,'PROCV GERENTES BD'!A:B,2,0)</f>
        <v>DIOGO AZEVEDO</v>
      </c>
      <c r="F1871" s="4" t="str">
        <f t="shared" si="174"/>
        <v>2025-04</v>
      </c>
      <c r="G1871" s="18">
        <f t="shared" si="175"/>
        <v>15</v>
      </c>
      <c r="H1871" t="str">
        <f t="shared" si="176"/>
        <v>DIOGO AZEVEDO</v>
      </c>
      <c r="I1871" t="str">
        <f t="shared" si="177"/>
        <v>INDUSTRIA E CERVEJARIA ARTESANAL DE MINAS GERAIS L</v>
      </c>
      <c r="J1871">
        <f t="shared" si="178"/>
        <v>1</v>
      </c>
      <c r="K1871">
        <f t="shared" si="179"/>
        <v>0</v>
      </c>
    </row>
    <row r="1872" spans="1:11" x14ac:dyDescent="0.25">
      <c r="A1872" t="s">
        <v>467</v>
      </c>
      <c r="B1872" t="s">
        <v>224</v>
      </c>
      <c r="C1872" t="s">
        <v>50</v>
      </c>
      <c r="D1872" s="3">
        <v>45758</v>
      </c>
      <c r="E1872" t="str">
        <f>VLOOKUP(B1872,'PROCV GERENTES BD'!A:B,2,0)</f>
        <v>DIOGO AZEVEDO</v>
      </c>
      <c r="F1872" s="4" t="str">
        <f t="shared" si="174"/>
        <v>2025-04</v>
      </c>
      <c r="G1872" s="18">
        <f t="shared" si="175"/>
        <v>15</v>
      </c>
      <c r="H1872" t="str">
        <f t="shared" si="176"/>
        <v>DIOGO AZEVEDO</v>
      </c>
      <c r="I1872" t="str">
        <f t="shared" si="177"/>
        <v>VGS COMERCIO DE EMBALAGENS DE MADEIRAS LTDA ME</v>
      </c>
      <c r="J1872">
        <f t="shared" si="178"/>
        <v>0</v>
      </c>
      <c r="K1872">
        <f t="shared" si="179"/>
        <v>1</v>
      </c>
    </row>
    <row r="1873" spans="1:11" x14ac:dyDescent="0.25">
      <c r="A1873" t="s">
        <v>472</v>
      </c>
      <c r="B1873" t="s">
        <v>229</v>
      </c>
      <c r="C1873" t="s">
        <v>50</v>
      </c>
      <c r="D1873" s="3">
        <v>45758</v>
      </c>
      <c r="E1873" t="str">
        <f>VLOOKUP(B1873,'PROCV GERENTES BD'!A:B,2,0)</f>
        <v>PROSPECTAR</v>
      </c>
      <c r="F1873" s="4" t="str">
        <f t="shared" si="174"/>
        <v>2025-04</v>
      </c>
      <c r="G1873" s="18">
        <f t="shared" si="175"/>
        <v>15</v>
      </c>
      <c r="H1873" t="str">
        <f t="shared" si="176"/>
        <v>PROSPECTAR</v>
      </c>
      <c r="I1873" t="str">
        <f t="shared" si="177"/>
        <v>ELO TELECOMUNICACOES E CONSTRUCOES S/A</v>
      </c>
      <c r="J1873">
        <f t="shared" si="178"/>
        <v>0</v>
      </c>
      <c r="K1873">
        <f t="shared" si="179"/>
        <v>1</v>
      </c>
    </row>
    <row r="1874" spans="1:11" x14ac:dyDescent="0.25">
      <c r="A1874" t="s">
        <v>485</v>
      </c>
      <c r="B1874" t="s">
        <v>242</v>
      </c>
      <c r="C1874" t="s">
        <v>66</v>
      </c>
      <c r="D1874" s="3">
        <v>45758</v>
      </c>
      <c r="E1874" t="str">
        <f>VLOOKUP(B1874,'PROCV GERENTES BD'!A:B,2,0)</f>
        <v>PROSPECTAR</v>
      </c>
      <c r="F1874" s="4" t="str">
        <f t="shared" si="174"/>
        <v>2025-04</v>
      </c>
      <c r="G1874" s="18">
        <f t="shared" si="175"/>
        <v>15</v>
      </c>
      <c r="H1874" t="str">
        <f t="shared" si="176"/>
        <v>PROSPECTAR</v>
      </c>
      <c r="I1874" t="str">
        <f t="shared" si="177"/>
        <v>GOIARTE SOLUCOES CONSTRUTIVAS EM CONCRETO LTDA</v>
      </c>
      <c r="J1874">
        <f t="shared" si="178"/>
        <v>1</v>
      </c>
      <c r="K1874">
        <f t="shared" si="179"/>
        <v>0</v>
      </c>
    </row>
    <row r="1875" spans="1:11" x14ac:dyDescent="0.25">
      <c r="A1875" t="s">
        <v>402</v>
      </c>
      <c r="B1875" t="s">
        <v>152</v>
      </c>
      <c r="C1875" t="s">
        <v>66</v>
      </c>
      <c r="D1875" s="3">
        <v>45758</v>
      </c>
      <c r="E1875" t="str">
        <f>VLOOKUP(B1875,'PROCV GERENTES BD'!A:B,2,0)</f>
        <v>PROSPECTAR</v>
      </c>
      <c r="F1875" s="4" t="str">
        <f t="shared" si="174"/>
        <v>2025-04</v>
      </c>
      <c r="G1875" s="18">
        <f t="shared" si="175"/>
        <v>15</v>
      </c>
      <c r="H1875" t="str">
        <f t="shared" si="176"/>
        <v>PROSPECTAR</v>
      </c>
      <c r="I1875" t="str">
        <f t="shared" si="177"/>
        <v>MOINHO DE TRIGO JM LTDA</v>
      </c>
      <c r="J1875">
        <f t="shared" si="178"/>
        <v>1</v>
      </c>
      <c r="K1875">
        <f t="shared" si="179"/>
        <v>0</v>
      </c>
    </row>
    <row r="1876" spans="1:11" x14ac:dyDescent="0.25">
      <c r="A1876" t="s">
        <v>324</v>
      </c>
      <c r="B1876" t="s">
        <v>119</v>
      </c>
      <c r="C1876" t="s">
        <v>66</v>
      </c>
      <c r="D1876" s="3">
        <v>45758</v>
      </c>
      <c r="E1876" t="str">
        <f>VLOOKUP(B1876,'PROCV GERENTES BD'!A:B,2,0)</f>
        <v>PROSPECTAR</v>
      </c>
      <c r="F1876" s="4" t="str">
        <f t="shared" si="174"/>
        <v>2025-04</v>
      </c>
      <c r="G1876" s="18">
        <f t="shared" si="175"/>
        <v>15</v>
      </c>
      <c r="H1876" t="str">
        <f t="shared" si="176"/>
        <v>PROSPECTAR</v>
      </c>
      <c r="I1876" t="str">
        <f t="shared" si="177"/>
        <v>TRANSHENRY TRANSPORTES LTDA</v>
      </c>
      <c r="J1876">
        <f t="shared" si="178"/>
        <v>1</v>
      </c>
      <c r="K1876">
        <f t="shared" si="179"/>
        <v>0</v>
      </c>
    </row>
    <row r="1877" spans="1:11" x14ac:dyDescent="0.25">
      <c r="A1877" t="s">
        <v>412</v>
      </c>
      <c r="B1877" t="s">
        <v>162</v>
      </c>
      <c r="C1877" t="s">
        <v>50</v>
      </c>
      <c r="D1877" s="3">
        <v>45758</v>
      </c>
      <c r="E1877" t="str">
        <f>VLOOKUP(B1877,'PROCV GERENTES BD'!A:B,2,0)</f>
        <v>PROSPECTAR</v>
      </c>
      <c r="F1877" s="4" t="str">
        <f t="shared" si="174"/>
        <v>2025-04</v>
      </c>
      <c r="G1877" s="18">
        <f t="shared" si="175"/>
        <v>15</v>
      </c>
      <c r="H1877" t="str">
        <f t="shared" si="176"/>
        <v>PROSPECTAR</v>
      </c>
      <c r="I1877" t="str">
        <f t="shared" si="177"/>
        <v>MORIA PRESTACAO DE SERVICOS LTDA ME</v>
      </c>
      <c r="J1877">
        <f t="shared" si="178"/>
        <v>0</v>
      </c>
      <c r="K1877">
        <f t="shared" si="179"/>
        <v>1</v>
      </c>
    </row>
    <row r="1878" spans="1:11" x14ac:dyDescent="0.25">
      <c r="A1878" t="s">
        <v>62</v>
      </c>
      <c r="B1878" t="s">
        <v>63</v>
      </c>
      <c r="C1878" t="s">
        <v>50</v>
      </c>
      <c r="D1878" s="3">
        <v>45758</v>
      </c>
      <c r="E1878" t="str">
        <f>VLOOKUP(B1878,'PROCV GERENTES BD'!A:B,2,0)</f>
        <v>PROSPECTAR</v>
      </c>
      <c r="F1878" s="4" t="str">
        <f t="shared" si="174"/>
        <v>2025-04</v>
      </c>
      <c r="G1878" s="18">
        <f t="shared" si="175"/>
        <v>15</v>
      </c>
      <c r="H1878" t="str">
        <f t="shared" si="176"/>
        <v>PROSPECTAR</v>
      </c>
      <c r="I1878" t="str">
        <f t="shared" si="177"/>
        <v>MAPP COM IMPORTACAO EXPORTACAO IND PRODUTOS ALIMEN</v>
      </c>
      <c r="J1878">
        <f t="shared" si="178"/>
        <v>0</v>
      </c>
      <c r="K1878">
        <f t="shared" si="179"/>
        <v>1</v>
      </c>
    </row>
    <row r="1879" spans="1:11" x14ac:dyDescent="0.25">
      <c r="A1879" t="s">
        <v>72</v>
      </c>
      <c r="B1879" t="s">
        <v>73</v>
      </c>
      <c r="C1879" t="s">
        <v>50</v>
      </c>
      <c r="D1879" s="3">
        <v>45758</v>
      </c>
      <c r="E1879" t="str">
        <f>VLOOKUP(B1879,'PROCV GERENTES BD'!A:B,2,0)</f>
        <v>NOELI SALETE</v>
      </c>
      <c r="F1879" s="4" t="str">
        <f t="shared" si="174"/>
        <v>2025-04</v>
      </c>
      <c r="G1879" s="18">
        <f t="shared" si="175"/>
        <v>15</v>
      </c>
      <c r="H1879" t="str">
        <f t="shared" si="176"/>
        <v>NOELI SALETE</v>
      </c>
      <c r="I1879" t="str">
        <f t="shared" si="177"/>
        <v>SMARTCENTER SOLUCOES INTELIGENTES LTDA ME</v>
      </c>
      <c r="J1879">
        <f t="shared" si="178"/>
        <v>0</v>
      </c>
      <c r="K1879">
        <f t="shared" si="179"/>
        <v>1</v>
      </c>
    </row>
    <row r="1880" spans="1:11" x14ac:dyDescent="0.25">
      <c r="A1880" t="s">
        <v>486</v>
      </c>
      <c r="B1880" t="s">
        <v>243</v>
      </c>
      <c r="C1880" t="s">
        <v>50</v>
      </c>
      <c r="D1880" s="3">
        <v>45758</v>
      </c>
      <c r="E1880" t="str">
        <f>VLOOKUP(B1880,'PROCV GERENTES BD'!A:B,2,0)</f>
        <v>NOELI SALETE</v>
      </c>
      <c r="F1880" s="4" t="str">
        <f t="shared" si="174"/>
        <v>2025-04</v>
      </c>
      <c r="G1880" s="18">
        <f t="shared" si="175"/>
        <v>15</v>
      </c>
      <c r="H1880" t="str">
        <f t="shared" si="176"/>
        <v>NOELI SALETE</v>
      </c>
      <c r="I1880" t="str">
        <f t="shared" si="177"/>
        <v>SMARTCENTERGROUP COMERCIO DE EQUIPAMENTOS DE INFOR</v>
      </c>
      <c r="J1880">
        <f t="shared" si="178"/>
        <v>0</v>
      </c>
      <c r="K1880">
        <f t="shared" si="179"/>
        <v>1</v>
      </c>
    </row>
    <row r="1881" spans="1:11" x14ac:dyDescent="0.25">
      <c r="A1881" t="s">
        <v>438</v>
      </c>
      <c r="B1881" t="s">
        <v>189</v>
      </c>
      <c r="C1881" t="s">
        <v>50</v>
      </c>
      <c r="D1881" s="3">
        <v>45758</v>
      </c>
      <c r="E1881" t="str">
        <f>VLOOKUP(B1881,'PROCV GERENTES BD'!A:B,2,0)</f>
        <v>NOELI SALETE</v>
      </c>
      <c r="F1881" s="4" t="str">
        <f t="shared" si="174"/>
        <v>2025-04</v>
      </c>
      <c r="G1881" s="18">
        <f t="shared" si="175"/>
        <v>15</v>
      </c>
      <c r="H1881" t="str">
        <f t="shared" si="176"/>
        <v>NOELI SALETE</v>
      </c>
      <c r="I1881" t="str">
        <f t="shared" si="177"/>
        <v>AGRO INDUSTRIAL LAZZERI LTDA</v>
      </c>
      <c r="J1881">
        <f t="shared" si="178"/>
        <v>0</v>
      </c>
      <c r="K1881">
        <f t="shared" si="179"/>
        <v>1</v>
      </c>
    </row>
    <row r="1882" spans="1:11" x14ac:dyDescent="0.25">
      <c r="A1882" t="s">
        <v>420</v>
      </c>
      <c r="B1882" t="s">
        <v>170</v>
      </c>
      <c r="C1882" t="s">
        <v>50</v>
      </c>
      <c r="D1882" s="3">
        <v>45758</v>
      </c>
      <c r="E1882" t="str">
        <f>VLOOKUP(B1882,'PROCV GERENTES BD'!A:B,2,0)</f>
        <v>POENATELA</v>
      </c>
      <c r="F1882" s="4" t="str">
        <f t="shared" si="174"/>
        <v>2025-04</v>
      </c>
      <c r="G1882" s="18">
        <f t="shared" si="175"/>
        <v>15</v>
      </c>
      <c r="H1882" t="str">
        <f t="shared" si="176"/>
        <v>POENATELA</v>
      </c>
      <c r="I1882" t="str">
        <f t="shared" si="177"/>
        <v>SAVIXX COMERCIO INTERNACIONAL S/A</v>
      </c>
      <c r="J1882">
        <f t="shared" si="178"/>
        <v>0</v>
      </c>
      <c r="K1882">
        <f t="shared" si="179"/>
        <v>1</v>
      </c>
    </row>
    <row r="1883" spans="1:11" x14ac:dyDescent="0.25">
      <c r="A1883" t="s">
        <v>370</v>
      </c>
      <c r="B1883" t="s">
        <v>114</v>
      </c>
      <c r="C1883" t="s">
        <v>50</v>
      </c>
      <c r="D1883" s="3">
        <v>45758</v>
      </c>
      <c r="E1883" t="str">
        <f>VLOOKUP(B1883,'PROCV GERENTES BD'!A:B,2,0)</f>
        <v>POENATELA</v>
      </c>
      <c r="F1883" s="4" t="str">
        <f t="shared" si="174"/>
        <v>2025-04</v>
      </c>
      <c r="G1883" s="18">
        <f t="shared" si="175"/>
        <v>15</v>
      </c>
      <c r="H1883" t="str">
        <f t="shared" si="176"/>
        <v>POENATELA</v>
      </c>
      <c r="I1883" t="str">
        <f t="shared" si="177"/>
        <v>COOPERATIVA TRANSP AUTON CARGAS PASSAG SERVICOS LO</v>
      </c>
      <c r="J1883">
        <f t="shared" si="178"/>
        <v>0</v>
      </c>
      <c r="K1883">
        <f t="shared" si="179"/>
        <v>1</v>
      </c>
    </row>
    <row r="1884" spans="1:11" x14ac:dyDescent="0.25">
      <c r="A1884" t="s">
        <v>326</v>
      </c>
      <c r="B1884" t="s">
        <v>122</v>
      </c>
      <c r="C1884" t="s">
        <v>50</v>
      </c>
      <c r="D1884" s="3">
        <v>45758</v>
      </c>
      <c r="E1884" t="s">
        <v>21</v>
      </c>
      <c r="F1884" s="4" t="str">
        <f t="shared" si="174"/>
        <v>2025-04</v>
      </c>
      <c r="G1884" s="18">
        <f t="shared" si="175"/>
        <v>15</v>
      </c>
      <c r="H1884" t="str">
        <f t="shared" si="176"/>
        <v xml:space="preserve">ROGERIO </v>
      </c>
      <c r="I1884" t="str">
        <f t="shared" si="177"/>
        <v>BIBE PRODUTOS INFANTIS LTDA</v>
      </c>
      <c r="J1884">
        <f t="shared" si="178"/>
        <v>0</v>
      </c>
      <c r="K1884">
        <f t="shared" si="179"/>
        <v>1</v>
      </c>
    </row>
    <row r="1885" spans="1:11" x14ac:dyDescent="0.25">
      <c r="A1885" t="s">
        <v>496</v>
      </c>
      <c r="B1885" t="s">
        <v>255</v>
      </c>
      <c r="C1885" t="s">
        <v>50</v>
      </c>
      <c r="D1885" s="3">
        <v>45758</v>
      </c>
      <c r="E1885" t="str">
        <f>VLOOKUP(B1885,'PROCV GERENTES BD'!A:B,2,0)</f>
        <v>SEM GERENTE</v>
      </c>
      <c r="F1885" s="4" t="str">
        <f t="shared" si="174"/>
        <v>2025-04</v>
      </c>
      <c r="G1885" s="18">
        <f t="shared" si="175"/>
        <v>15</v>
      </c>
      <c r="H1885" t="str">
        <f t="shared" si="176"/>
        <v>SEM GERENTE</v>
      </c>
      <c r="I1885" t="str">
        <f t="shared" si="177"/>
        <v>ACO COELHO INDUSTRIA E COMERCIO DE MOVEIS LTDA EPP</v>
      </c>
      <c r="J1885">
        <f t="shared" si="178"/>
        <v>0</v>
      </c>
      <c r="K1885">
        <f t="shared" si="179"/>
        <v>1</v>
      </c>
    </row>
    <row r="1886" spans="1:11" x14ac:dyDescent="0.25">
      <c r="A1886" t="s">
        <v>56</v>
      </c>
      <c r="B1886" t="s">
        <v>57</v>
      </c>
      <c r="C1886" t="s">
        <v>66</v>
      </c>
      <c r="D1886" s="3">
        <v>45758</v>
      </c>
      <c r="E1886" t="str">
        <f>VLOOKUP(B1886,'PROCV GERENTES BD'!A:B,2,0)</f>
        <v xml:space="preserve">ROGERIO </v>
      </c>
      <c r="F1886" s="4" t="str">
        <f t="shared" si="174"/>
        <v>2025-04</v>
      </c>
      <c r="G1886" s="18">
        <f t="shared" si="175"/>
        <v>15</v>
      </c>
      <c r="H1886" t="str">
        <f t="shared" si="176"/>
        <v xml:space="preserve">ROGERIO </v>
      </c>
      <c r="I1886" t="str">
        <f t="shared" si="177"/>
        <v>RODOVIEIRA TRANSPORTE LTDA</v>
      </c>
      <c r="J1886">
        <f t="shared" si="178"/>
        <v>1</v>
      </c>
      <c r="K1886">
        <f t="shared" si="179"/>
        <v>0</v>
      </c>
    </row>
    <row r="1887" spans="1:11" x14ac:dyDescent="0.25">
      <c r="A1887" t="s">
        <v>314</v>
      </c>
      <c r="B1887" t="s">
        <v>246</v>
      </c>
      <c r="C1887" t="s">
        <v>50</v>
      </c>
      <c r="D1887" s="3">
        <v>45758</v>
      </c>
      <c r="E1887" t="str">
        <f>VLOOKUP(B1887,'PROCV GERENTES BD'!A:B,2,0)</f>
        <v xml:space="preserve">ROGERIO </v>
      </c>
      <c r="F1887" s="4" t="str">
        <f t="shared" si="174"/>
        <v>2025-04</v>
      </c>
      <c r="G1887" s="18">
        <f t="shared" si="175"/>
        <v>15</v>
      </c>
      <c r="H1887" t="str">
        <f t="shared" si="176"/>
        <v xml:space="preserve">ROGERIO </v>
      </c>
      <c r="I1887" t="str">
        <f t="shared" si="177"/>
        <v>MUTCD CENTRO DE DISTRIBUICAO DE IND FABRICANTE DE</v>
      </c>
      <c r="J1887">
        <f t="shared" si="178"/>
        <v>0</v>
      </c>
      <c r="K1887">
        <f t="shared" si="179"/>
        <v>1</v>
      </c>
    </row>
    <row r="1888" spans="1:11" x14ac:dyDescent="0.25">
      <c r="A1888" t="s">
        <v>331</v>
      </c>
      <c r="B1888" t="s">
        <v>144</v>
      </c>
      <c r="C1888" t="s">
        <v>53</v>
      </c>
      <c r="D1888" s="3">
        <v>45759</v>
      </c>
      <c r="E1888" t="str">
        <f>VLOOKUP(B1888,'PROCV GERENTES BD'!A:B,2,0)</f>
        <v>ADMINISTRAÇÃO</v>
      </c>
      <c r="F1888" s="4" t="str">
        <f t="shared" si="174"/>
        <v>2025-04</v>
      </c>
      <c r="G1888" s="18">
        <f t="shared" si="175"/>
        <v>15</v>
      </c>
      <c r="H1888" t="str">
        <f t="shared" si="176"/>
        <v>ADMINISTRAÇÃO</v>
      </c>
      <c r="I1888" t="str">
        <f t="shared" si="177"/>
        <v>BOM PASTOR PAPEIS LTDA EM RECUPERACAO JUDICIAL</v>
      </c>
      <c r="J1888">
        <f t="shared" si="178"/>
        <v>1</v>
      </c>
      <c r="K1888">
        <f t="shared" si="179"/>
        <v>1</v>
      </c>
    </row>
    <row r="1889" spans="1:11" x14ac:dyDescent="0.25">
      <c r="A1889" t="s">
        <v>358</v>
      </c>
      <c r="B1889" t="s">
        <v>104</v>
      </c>
      <c r="C1889" t="s">
        <v>50</v>
      </c>
      <c r="D1889" s="3">
        <v>45759</v>
      </c>
      <c r="E1889" t="str">
        <f>VLOOKUP(B1889,'PROCV GERENTES BD'!A:B,2,0)</f>
        <v>DIOGO AZEVEDO</v>
      </c>
      <c r="F1889" s="4" t="str">
        <f t="shared" si="174"/>
        <v>2025-04</v>
      </c>
      <c r="G1889" s="18">
        <f t="shared" si="175"/>
        <v>15</v>
      </c>
      <c r="H1889" t="str">
        <f t="shared" si="176"/>
        <v>DIOGO AZEVEDO</v>
      </c>
      <c r="I1889" t="str">
        <f t="shared" si="177"/>
        <v>INDUSTRIA E CERVEJARIA ARTESANAL DE MINAS GERAIS L</v>
      </c>
      <c r="J1889">
        <f t="shared" si="178"/>
        <v>0</v>
      </c>
      <c r="K1889">
        <f t="shared" si="179"/>
        <v>1</v>
      </c>
    </row>
    <row r="1890" spans="1:11" x14ac:dyDescent="0.25">
      <c r="A1890" t="s">
        <v>467</v>
      </c>
      <c r="B1890" t="s">
        <v>224</v>
      </c>
      <c r="C1890" t="s">
        <v>50</v>
      </c>
      <c r="D1890" s="3">
        <v>45759</v>
      </c>
      <c r="E1890" t="str">
        <f>VLOOKUP(B1890,'PROCV GERENTES BD'!A:B,2,0)</f>
        <v>DIOGO AZEVEDO</v>
      </c>
      <c r="F1890" s="4" t="str">
        <f t="shared" si="174"/>
        <v>2025-04</v>
      </c>
      <c r="G1890" s="18">
        <f t="shared" si="175"/>
        <v>15</v>
      </c>
      <c r="H1890" t="str">
        <f t="shared" si="176"/>
        <v>DIOGO AZEVEDO</v>
      </c>
      <c r="I1890" t="str">
        <f t="shared" si="177"/>
        <v>VGS COMERCIO DE EMBALAGENS DE MADEIRAS LTDA ME</v>
      </c>
      <c r="J1890">
        <f t="shared" si="178"/>
        <v>0</v>
      </c>
      <c r="K1890">
        <f t="shared" si="179"/>
        <v>1</v>
      </c>
    </row>
    <row r="1891" spans="1:11" x14ac:dyDescent="0.25">
      <c r="A1891" t="s">
        <v>402</v>
      </c>
      <c r="B1891" t="s">
        <v>152</v>
      </c>
      <c r="C1891" t="s">
        <v>50</v>
      </c>
      <c r="D1891" s="3">
        <v>45759</v>
      </c>
      <c r="E1891" t="str">
        <f>VLOOKUP(B1891,'PROCV GERENTES BD'!A:B,2,0)</f>
        <v>PROSPECTAR</v>
      </c>
      <c r="F1891" s="4" t="str">
        <f t="shared" si="174"/>
        <v>2025-04</v>
      </c>
      <c r="G1891" s="18">
        <f t="shared" si="175"/>
        <v>15</v>
      </c>
      <c r="H1891" t="str">
        <f t="shared" si="176"/>
        <v>PROSPECTAR</v>
      </c>
      <c r="I1891" t="str">
        <f t="shared" si="177"/>
        <v>MOINHO DE TRIGO JM LTDA</v>
      </c>
      <c r="J1891">
        <f t="shared" si="178"/>
        <v>0</v>
      </c>
      <c r="K1891">
        <f t="shared" si="179"/>
        <v>1</v>
      </c>
    </row>
    <row r="1892" spans="1:11" x14ac:dyDescent="0.25">
      <c r="A1892" t="s">
        <v>318</v>
      </c>
      <c r="B1892" t="s">
        <v>203</v>
      </c>
      <c r="C1892" t="s">
        <v>50</v>
      </c>
      <c r="D1892" s="3">
        <v>45759</v>
      </c>
      <c r="E1892" t="str">
        <f>VLOOKUP(B1892,'PROCV GERENTES BD'!A:B,2,0)</f>
        <v>JOSE ROBERTO</v>
      </c>
      <c r="F1892" s="4" t="str">
        <f t="shared" si="174"/>
        <v>2025-04</v>
      </c>
      <c r="G1892" s="18">
        <f t="shared" si="175"/>
        <v>15</v>
      </c>
      <c r="H1892" t="str">
        <f t="shared" si="176"/>
        <v>JOSE ROBERTO</v>
      </c>
      <c r="I1892" t="str">
        <f t="shared" si="177"/>
        <v>FUNDACAO DE ENSINO E PESQUISA DO SUL DE MINAS FEPE</v>
      </c>
      <c r="J1892">
        <f t="shared" si="178"/>
        <v>0</v>
      </c>
      <c r="K1892">
        <f t="shared" si="179"/>
        <v>1</v>
      </c>
    </row>
    <row r="1893" spans="1:11" x14ac:dyDescent="0.25">
      <c r="A1893" t="s">
        <v>395</v>
      </c>
      <c r="B1893" t="s">
        <v>145</v>
      </c>
      <c r="C1893" t="s">
        <v>50</v>
      </c>
      <c r="D1893" s="3">
        <v>45759</v>
      </c>
      <c r="E1893" t="str">
        <f>VLOOKUP(B1893,'PROCV GERENTES BD'!A:B,2,0)</f>
        <v>MARCIO LEONEL</v>
      </c>
      <c r="F1893" s="4" t="str">
        <f t="shared" si="174"/>
        <v>2025-04</v>
      </c>
      <c r="G1893" s="18">
        <f t="shared" si="175"/>
        <v>15</v>
      </c>
      <c r="H1893" t="str">
        <f t="shared" si="176"/>
        <v>MARCIO LEONEL</v>
      </c>
      <c r="I1893" t="str">
        <f t="shared" si="177"/>
        <v>MEDICAL PRIME IMP EXPORT DISTRIB PRODUTOS MEDICOS</v>
      </c>
      <c r="J1893">
        <f t="shared" si="178"/>
        <v>0</v>
      </c>
      <c r="K1893">
        <f t="shared" si="179"/>
        <v>1</v>
      </c>
    </row>
    <row r="1894" spans="1:11" x14ac:dyDescent="0.25">
      <c r="A1894" t="s">
        <v>428</v>
      </c>
      <c r="B1894" t="s">
        <v>179</v>
      </c>
      <c r="C1894" t="s">
        <v>66</v>
      </c>
      <c r="D1894" s="3">
        <v>45759</v>
      </c>
      <c r="E1894" t="str">
        <f>VLOOKUP(B1894,'PROCV GERENTES BD'!A:B,2,0)</f>
        <v xml:space="preserve">MARCUS VINICIUS </v>
      </c>
      <c r="F1894" s="4" t="str">
        <f t="shared" si="174"/>
        <v>2025-04</v>
      </c>
      <c r="G1894" s="18">
        <f t="shared" si="175"/>
        <v>15</v>
      </c>
      <c r="H1894" t="str">
        <f t="shared" si="176"/>
        <v xml:space="preserve">MARCUS VINICIUS </v>
      </c>
      <c r="I1894" t="str">
        <f t="shared" si="177"/>
        <v>LABOR ELETRIC INDUSTRIA E COMERCIO UNIPESSOAL LTDA</v>
      </c>
      <c r="J1894">
        <f t="shared" si="178"/>
        <v>1</v>
      </c>
      <c r="K1894">
        <f t="shared" si="179"/>
        <v>0</v>
      </c>
    </row>
    <row r="1895" spans="1:11" x14ac:dyDescent="0.25">
      <c r="A1895" t="s">
        <v>396</v>
      </c>
      <c r="B1895" t="s">
        <v>146</v>
      </c>
      <c r="C1895" t="s">
        <v>327</v>
      </c>
      <c r="D1895" s="3">
        <v>45759</v>
      </c>
      <c r="E1895" t="str">
        <f>VLOOKUP(B1895,'PROCV GERENTES BD'!A:B,2,0)</f>
        <v xml:space="preserve">MARCUS VINICIUS </v>
      </c>
      <c r="F1895" s="4" t="str">
        <f t="shared" si="174"/>
        <v>2025-04</v>
      </c>
      <c r="G1895" s="18">
        <f t="shared" si="175"/>
        <v>15</v>
      </c>
      <c r="H1895" t="str">
        <f t="shared" si="176"/>
        <v xml:space="preserve">MARCUS VINICIUS </v>
      </c>
      <c r="I1895" t="str">
        <f t="shared" si="177"/>
        <v>OLINDA IMPORTACAO E COMERCIO LTDA</v>
      </c>
      <c r="J1895">
        <f t="shared" si="178"/>
        <v>0</v>
      </c>
      <c r="K1895">
        <f t="shared" si="179"/>
        <v>0</v>
      </c>
    </row>
    <row r="1896" spans="1:11" x14ac:dyDescent="0.25">
      <c r="A1896" t="s">
        <v>375</v>
      </c>
      <c r="B1896" t="s">
        <v>120</v>
      </c>
      <c r="C1896" t="s">
        <v>66</v>
      </c>
      <c r="D1896" s="3">
        <v>45759</v>
      </c>
      <c r="E1896" t="str">
        <f>VLOOKUP(B1896,'PROCV GERENTES BD'!A:B,2,0)</f>
        <v>ADMINISTRAÇÃO</v>
      </c>
      <c r="F1896" s="4" t="str">
        <f t="shared" si="174"/>
        <v>2025-04</v>
      </c>
      <c r="G1896" s="18">
        <f t="shared" si="175"/>
        <v>15</v>
      </c>
      <c r="H1896" t="str">
        <f t="shared" si="176"/>
        <v>ADMINISTRAÇÃO</v>
      </c>
      <c r="I1896" t="str">
        <f t="shared" si="177"/>
        <v>FARINELLI NUTRIMENTOS LTDA</v>
      </c>
      <c r="J1896">
        <f t="shared" si="178"/>
        <v>1</v>
      </c>
      <c r="K1896">
        <f t="shared" si="179"/>
        <v>0</v>
      </c>
    </row>
    <row r="1897" spans="1:11" x14ac:dyDescent="0.25">
      <c r="A1897" t="s">
        <v>72</v>
      </c>
      <c r="B1897" t="s">
        <v>73</v>
      </c>
      <c r="C1897" t="s">
        <v>50</v>
      </c>
      <c r="D1897" s="3">
        <v>45759</v>
      </c>
      <c r="E1897" t="str">
        <f>VLOOKUP(B1897,'PROCV GERENTES BD'!A:B,2,0)</f>
        <v>NOELI SALETE</v>
      </c>
      <c r="F1897" s="4" t="str">
        <f t="shared" si="174"/>
        <v>2025-04</v>
      </c>
      <c r="G1897" s="18">
        <f t="shared" si="175"/>
        <v>15</v>
      </c>
      <c r="H1897" t="str">
        <f t="shared" si="176"/>
        <v>NOELI SALETE</v>
      </c>
      <c r="I1897" t="str">
        <f t="shared" si="177"/>
        <v>SMARTCENTER SOLUCOES INTELIGENTES LTDA ME</v>
      </c>
      <c r="J1897">
        <f t="shared" si="178"/>
        <v>0</v>
      </c>
      <c r="K1897">
        <f t="shared" si="179"/>
        <v>1</v>
      </c>
    </row>
    <row r="1898" spans="1:11" x14ac:dyDescent="0.25">
      <c r="A1898" t="s">
        <v>486</v>
      </c>
      <c r="B1898" t="s">
        <v>243</v>
      </c>
      <c r="C1898" t="s">
        <v>50</v>
      </c>
      <c r="D1898" s="3">
        <v>45759</v>
      </c>
      <c r="E1898" t="str">
        <f>VLOOKUP(B1898,'PROCV GERENTES BD'!A:B,2,0)</f>
        <v>NOELI SALETE</v>
      </c>
      <c r="F1898" s="4" t="str">
        <f t="shared" si="174"/>
        <v>2025-04</v>
      </c>
      <c r="G1898" s="18">
        <f t="shared" si="175"/>
        <v>15</v>
      </c>
      <c r="H1898" t="str">
        <f t="shared" si="176"/>
        <v>NOELI SALETE</v>
      </c>
      <c r="I1898" t="str">
        <f t="shared" si="177"/>
        <v>SMARTCENTERGROUP COMERCIO DE EQUIPAMENTOS DE INFOR</v>
      </c>
      <c r="J1898">
        <f t="shared" si="178"/>
        <v>0</v>
      </c>
      <c r="K1898">
        <f t="shared" si="179"/>
        <v>1</v>
      </c>
    </row>
    <row r="1899" spans="1:11" x14ac:dyDescent="0.25">
      <c r="A1899" t="s">
        <v>389</v>
      </c>
      <c r="B1899" t="s">
        <v>136</v>
      </c>
      <c r="C1899" t="s">
        <v>66</v>
      </c>
      <c r="D1899" s="3">
        <v>45759</v>
      </c>
      <c r="E1899" t="str">
        <f>VLOOKUP(B1899,'PROCV GERENTES BD'!A:B,2,0)</f>
        <v>POENATELA</v>
      </c>
      <c r="F1899" s="4" t="str">
        <f t="shared" si="174"/>
        <v>2025-04</v>
      </c>
      <c r="G1899" s="18">
        <f t="shared" si="175"/>
        <v>15</v>
      </c>
      <c r="H1899" t="str">
        <f t="shared" si="176"/>
        <v>POENATELA</v>
      </c>
      <c r="I1899" t="str">
        <f t="shared" si="177"/>
        <v>CONQUISTA INDUSTRIA DE MOVEIS S/A</v>
      </c>
      <c r="J1899">
        <f t="shared" si="178"/>
        <v>1</v>
      </c>
      <c r="K1899">
        <f t="shared" si="179"/>
        <v>0</v>
      </c>
    </row>
    <row r="1900" spans="1:11" x14ac:dyDescent="0.25">
      <c r="A1900" t="s">
        <v>307</v>
      </c>
      <c r="B1900" t="s">
        <v>102</v>
      </c>
      <c r="C1900" t="s">
        <v>50</v>
      </c>
      <c r="D1900" s="3">
        <v>45759</v>
      </c>
      <c r="E1900" t="str">
        <f>VLOOKUP(B1900,'PROCV GERENTES BD'!A:B,2,0)</f>
        <v>POENATELA</v>
      </c>
      <c r="F1900" s="4" t="str">
        <f t="shared" si="174"/>
        <v>2025-04</v>
      </c>
      <c r="G1900" s="18">
        <f t="shared" si="175"/>
        <v>15</v>
      </c>
      <c r="H1900" t="str">
        <f t="shared" si="176"/>
        <v>POENATELA</v>
      </c>
      <c r="I1900" t="str">
        <f t="shared" si="177"/>
        <v>ECOPINUS INDUSTRIA E COMERCIO DE EMBALAGENS DE MAD</v>
      </c>
      <c r="J1900">
        <f t="shared" si="178"/>
        <v>0</v>
      </c>
      <c r="K1900">
        <f t="shared" si="179"/>
        <v>1</v>
      </c>
    </row>
    <row r="1901" spans="1:11" x14ac:dyDescent="0.25">
      <c r="A1901" t="s">
        <v>51</v>
      </c>
      <c r="B1901" t="s">
        <v>52</v>
      </c>
      <c r="C1901" t="s">
        <v>50</v>
      </c>
      <c r="D1901" s="3">
        <v>45759</v>
      </c>
      <c r="E1901" t="str">
        <f>VLOOKUP(B1901,'PROCV GERENTES BD'!A:B,2,0)</f>
        <v>RAFAEL PARISE</v>
      </c>
      <c r="F1901" s="4" t="str">
        <f t="shared" si="174"/>
        <v>2025-04</v>
      </c>
      <c r="G1901" s="18">
        <f t="shared" si="175"/>
        <v>15</v>
      </c>
      <c r="H1901" t="str">
        <f t="shared" si="176"/>
        <v>RAFAEL PARISE</v>
      </c>
      <c r="I1901" t="str">
        <f t="shared" si="177"/>
        <v>TDR TRANSPORTES LOGISTICA LTDA</v>
      </c>
      <c r="J1901">
        <f t="shared" si="178"/>
        <v>0</v>
      </c>
      <c r="K1901">
        <f t="shared" si="179"/>
        <v>1</v>
      </c>
    </row>
    <row r="1902" spans="1:11" x14ac:dyDescent="0.25">
      <c r="A1902" t="s">
        <v>387</v>
      </c>
      <c r="B1902" t="s">
        <v>134</v>
      </c>
      <c r="C1902" t="s">
        <v>53</v>
      </c>
      <c r="D1902" s="3">
        <v>45759</v>
      </c>
      <c r="E1902" t="str">
        <f>VLOOKUP(B1902,'PROCV GERENTES BD'!A:B,2,0)</f>
        <v>RAFAEL PARISE</v>
      </c>
      <c r="F1902" s="4" t="str">
        <f t="shared" si="174"/>
        <v>2025-04</v>
      </c>
      <c r="G1902" s="18">
        <f t="shared" si="175"/>
        <v>15</v>
      </c>
      <c r="H1902" t="str">
        <f t="shared" si="176"/>
        <v>RAFAEL PARISE</v>
      </c>
      <c r="I1902" t="str">
        <f t="shared" si="177"/>
        <v>MAIS DISTRIBUIDORA LTDA</v>
      </c>
      <c r="J1902">
        <f t="shared" si="178"/>
        <v>1</v>
      </c>
      <c r="K1902">
        <f t="shared" si="179"/>
        <v>1</v>
      </c>
    </row>
    <row r="1903" spans="1:11" x14ac:dyDescent="0.25">
      <c r="A1903" t="s">
        <v>454</v>
      </c>
      <c r="B1903" t="s">
        <v>211</v>
      </c>
      <c r="C1903" t="s">
        <v>66</v>
      </c>
      <c r="D1903" s="3">
        <v>45759</v>
      </c>
      <c r="E1903" t="str">
        <f>VLOOKUP(B1903,'PROCV GERENTES BD'!A:B,2,0)</f>
        <v>RAFAEL PARISE</v>
      </c>
      <c r="F1903" s="4" t="str">
        <f t="shared" si="174"/>
        <v>2025-04</v>
      </c>
      <c r="G1903" s="18">
        <f t="shared" si="175"/>
        <v>15</v>
      </c>
      <c r="H1903" t="str">
        <f t="shared" si="176"/>
        <v>RAFAEL PARISE</v>
      </c>
      <c r="I1903" t="str">
        <f t="shared" si="177"/>
        <v>TREGA FILHOS EMPACOTAMENTO E DISTRIBUICAO LTDA ME</v>
      </c>
      <c r="J1903">
        <f t="shared" si="178"/>
        <v>1</v>
      </c>
      <c r="K1903">
        <f t="shared" si="179"/>
        <v>0</v>
      </c>
    </row>
    <row r="1904" spans="1:11" x14ac:dyDescent="0.25">
      <c r="A1904" t="s">
        <v>326</v>
      </c>
      <c r="B1904" t="s">
        <v>122</v>
      </c>
      <c r="C1904" t="s">
        <v>50</v>
      </c>
      <c r="D1904" s="3">
        <v>45759</v>
      </c>
      <c r="E1904" t="s">
        <v>21</v>
      </c>
      <c r="F1904" s="4" t="str">
        <f t="shared" si="174"/>
        <v>2025-04</v>
      </c>
      <c r="G1904" s="18">
        <f t="shared" si="175"/>
        <v>15</v>
      </c>
      <c r="H1904" t="str">
        <f t="shared" si="176"/>
        <v xml:space="preserve">ROGERIO </v>
      </c>
      <c r="I1904" t="str">
        <f t="shared" si="177"/>
        <v>BIBE PRODUTOS INFANTIS LTDA</v>
      </c>
      <c r="J1904">
        <f t="shared" si="178"/>
        <v>0</v>
      </c>
      <c r="K1904">
        <f t="shared" si="179"/>
        <v>1</v>
      </c>
    </row>
    <row r="1905" spans="1:11" x14ac:dyDescent="0.25">
      <c r="A1905" t="s">
        <v>56</v>
      </c>
      <c r="B1905" t="s">
        <v>57</v>
      </c>
      <c r="C1905" t="s">
        <v>50</v>
      </c>
      <c r="D1905" s="3">
        <v>45759</v>
      </c>
      <c r="E1905" t="str">
        <f>VLOOKUP(B1905,'PROCV GERENTES BD'!A:B,2,0)</f>
        <v xml:space="preserve">ROGERIO </v>
      </c>
      <c r="F1905" s="4" t="str">
        <f t="shared" si="174"/>
        <v>2025-04</v>
      </c>
      <c r="G1905" s="18">
        <f t="shared" si="175"/>
        <v>15</v>
      </c>
      <c r="H1905" t="str">
        <f t="shared" si="176"/>
        <v xml:space="preserve">ROGERIO </v>
      </c>
      <c r="I1905" t="str">
        <f t="shared" si="177"/>
        <v>RODOVIEIRA TRANSPORTE LTDA</v>
      </c>
      <c r="J1905">
        <f t="shared" si="178"/>
        <v>0</v>
      </c>
      <c r="K1905">
        <f t="shared" si="179"/>
        <v>1</v>
      </c>
    </row>
    <row r="1906" spans="1:11" x14ac:dyDescent="0.25">
      <c r="A1906" t="s">
        <v>304</v>
      </c>
      <c r="B1906" t="s">
        <v>123</v>
      </c>
      <c r="C1906" t="s">
        <v>66</v>
      </c>
      <c r="D1906" s="3">
        <v>45762</v>
      </c>
      <c r="E1906" t="str">
        <f>VLOOKUP(B1906,'PROCV GERENTES BD'!A:B,2,0)</f>
        <v>ADMINISTRAÇÃO</v>
      </c>
      <c r="F1906" s="4" t="str">
        <f t="shared" si="174"/>
        <v>2025-04</v>
      </c>
      <c r="G1906" s="18">
        <f t="shared" si="175"/>
        <v>16</v>
      </c>
      <c r="H1906" t="str">
        <f t="shared" si="176"/>
        <v>ADMINISTRAÇÃO</v>
      </c>
      <c r="I1906" t="str">
        <f t="shared" si="177"/>
        <v>VIC LOGISTICA LTDA EM RECUPERACAO JUDICIAL</v>
      </c>
      <c r="J1906">
        <f t="shared" si="178"/>
        <v>1</v>
      </c>
      <c r="K1906">
        <f t="shared" si="179"/>
        <v>0</v>
      </c>
    </row>
    <row r="1907" spans="1:11" x14ac:dyDescent="0.25">
      <c r="A1907" t="s">
        <v>383</v>
      </c>
      <c r="B1907" t="s">
        <v>130</v>
      </c>
      <c r="C1907" t="s">
        <v>50</v>
      </c>
      <c r="D1907" s="3">
        <v>45762</v>
      </c>
      <c r="E1907" t="str">
        <f>VLOOKUP(B1907,'PROCV GERENTES BD'!A:B,2,0)</f>
        <v>CELIO PIMENTA</v>
      </c>
      <c r="F1907" s="4" t="str">
        <f t="shared" si="174"/>
        <v>2025-04</v>
      </c>
      <c r="G1907" s="18">
        <f t="shared" si="175"/>
        <v>16</v>
      </c>
      <c r="H1907" t="str">
        <f t="shared" si="176"/>
        <v>CELIO PIMENTA</v>
      </c>
      <c r="I1907" t="str">
        <f t="shared" si="177"/>
        <v>JR X IMPORT LTDA EPP</v>
      </c>
      <c r="J1907">
        <f t="shared" si="178"/>
        <v>0</v>
      </c>
      <c r="K1907">
        <f t="shared" si="179"/>
        <v>1</v>
      </c>
    </row>
    <row r="1908" spans="1:11" x14ac:dyDescent="0.25">
      <c r="A1908" t="s">
        <v>311</v>
      </c>
      <c r="B1908" t="s">
        <v>81</v>
      </c>
      <c r="C1908" t="s">
        <v>53</v>
      </c>
      <c r="D1908" s="3">
        <v>45762</v>
      </c>
      <c r="E1908" t="str">
        <f>VLOOKUP(B1908,'PROCV GERENTES BD'!A:B,2,0)</f>
        <v>CELIO PIMENTA</v>
      </c>
      <c r="F1908" s="4" t="str">
        <f t="shared" si="174"/>
        <v>2025-04</v>
      </c>
      <c r="G1908" s="18">
        <f t="shared" si="175"/>
        <v>16</v>
      </c>
      <c r="H1908" t="str">
        <f t="shared" si="176"/>
        <v>CELIO PIMENTA</v>
      </c>
      <c r="I1908" t="str">
        <f t="shared" si="177"/>
        <v>MBIOLOG DIAGNOSTICOS LTDA</v>
      </c>
      <c r="J1908">
        <f t="shared" si="178"/>
        <v>1</v>
      </c>
      <c r="K1908">
        <f t="shared" si="179"/>
        <v>1</v>
      </c>
    </row>
    <row r="1909" spans="1:11" x14ac:dyDescent="0.25">
      <c r="A1909" t="s">
        <v>54</v>
      </c>
      <c r="B1909" t="s">
        <v>55</v>
      </c>
      <c r="C1909" t="s">
        <v>66</v>
      </c>
      <c r="D1909" s="3">
        <v>45762</v>
      </c>
      <c r="E1909" t="str">
        <f>VLOOKUP(B1909,'PROCV GERENTES BD'!A:B,2,0)</f>
        <v>CELIO PIMENTA</v>
      </c>
      <c r="F1909" s="4" t="str">
        <f t="shared" si="174"/>
        <v>2025-04</v>
      </c>
      <c r="G1909" s="18">
        <f t="shared" si="175"/>
        <v>16</v>
      </c>
      <c r="H1909" t="str">
        <f t="shared" si="176"/>
        <v>CELIO PIMENTA</v>
      </c>
      <c r="I1909" t="str">
        <f t="shared" si="177"/>
        <v>WJ CALDEIRARIA INDUSTRIA E COMERCIO LTDA ME</v>
      </c>
      <c r="J1909">
        <f t="shared" si="178"/>
        <v>1</v>
      </c>
      <c r="K1909">
        <f t="shared" si="179"/>
        <v>0</v>
      </c>
    </row>
    <row r="1910" spans="1:11" x14ac:dyDescent="0.25">
      <c r="A1910" t="s">
        <v>450</v>
      </c>
      <c r="B1910" t="s">
        <v>207</v>
      </c>
      <c r="C1910" t="s">
        <v>66</v>
      </c>
      <c r="D1910" s="3">
        <v>45762</v>
      </c>
      <c r="E1910" t="str">
        <f>VLOOKUP(B1910,'PROCV GERENTES BD'!A:B,2,0)</f>
        <v>CELIO PIMENTA</v>
      </c>
      <c r="F1910" s="4" t="str">
        <f t="shared" si="174"/>
        <v>2025-04</v>
      </c>
      <c r="G1910" s="18">
        <f t="shared" si="175"/>
        <v>16</v>
      </c>
      <c r="H1910" t="str">
        <f t="shared" si="176"/>
        <v>CELIO PIMENTA</v>
      </c>
      <c r="I1910" t="str">
        <f t="shared" si="177"/>
        <v>LIDER COMERCIO DE UNIFORMES E EPI S LTDA ME</v>
      </c>
      <c r="J1910">
        <f t="shared" si="178"/>
        <v>1</v>
      </c>
      <c r="K1910">
        <f t="shared" si="179"/>
        <v>0</v>
      </c>
    </row>
    <row r="1911" spans="1:11" x14ac:dyDescent="0.25">
      <c r="A1911" t="s">
        <v>358</v>
      </c>
      <c r="B1911" t="s">
        <v>104</v>
      </c>
      <c r="C1911" t="s">
        <v>50</v>
      </c>
      <c r="D1911" s="3">
        <v>45762</v>
      </c>
      <c r="E1911" t="str">
        <f>VLOOKUP(B1911,'PROCV GERENTES BD'!A:B,2,0)</f>
        <v>DIOGO AZEVEDO</v>
      </c>
      <c r="F1911" s="4" t="str">
        <f t="shared" si="174"/>
        <v>2025-04</v>
      </c>
      <c r="G1911" s="18">
        <f t="shared" si="175"/>
        <v>16</v>
      </c>
      <c r="H1911" t="str">
        <f t="shared" si="176"/>
        <v>DIOGO AZEVEDO</v>
      </c>
      <c r="I1911" t="str">
        <f t="shared" si="177"/>
        <v>INDUSTRIA E CERVEJARIA ARTESANAL DE MINAS GERAIS L</v>
      </c>
      <c r="J1911">
        <f t="shared" si="178"/>
        <v>0</v>
      </c>
      <c r="K1911">
        <f t="shared" si="179"/>
        <v>1</v>
      </c>
    </row>
    <row r="1912" spans="1:11" x14ac:dyDescent="0.25">
      <c r="A1912" t="s">
        <v>402</v>
      </c>
      <c r="B1912" t="s">
        <v>152</v>
      </c>
      <c r="C1912" t="s">
        <v>50</v>
      </c>
      <c r="D1912" s="3">
        <v>45762</v>
      </c>
      <c r="E1912" t="str">
        <f>VLOOKUP(B1912,'PROCV GERENTES BD'!A:B,2,0)</f>
        <v>PROSPECTAR</v>
      </c>
      <c r="F1912" s="4" t="str">
        <f t="shared" si="174"/>
        <v>2025-04</v>
      </c>
      <c r="G1912" s="18">
        <f t="shared" si="175"/>
        <v>16</v>
      </c>
      <c r="H1912" t="str">
        <f t="shared" si="176"/>
        <v>PROSPECTAR</v>
      </c>
      <c r="I1912" t="str">
        <f t="shared" si="177"/>
        <v>MOINHO DE TRIGO JM LTDA</v>
      </c>
      <c r="J1912">
        <f t="shared" si="178"/>
        <v>0</v>
      </c>
      <c r="K1912">
        <f t="shared" si="179"/>
        <v>1</v>
      </c>
    </row>
    <row r="1913" spans="1:11" x14ac:dyDescent="0.25">
      <c r="A1913" t="s">
        <v>324</v>
      </c>
      <c r="B1913" t="s">
        <v>119</v>
      </c>
      <c r="C1913" t="s">
        <v>50</v>
      </c>
      <c r="D1913" s="3">
        <v>45762</v>
      </c>
      <c r="E1913" t="str">
        <f>VLOOKUP(B1913,'PROCV GERENTES BD'!A:B,2,0)</f>
        <v>PROSPECTAR</v>
      </c>
      <c r="F1913" s="4" t="str">
        <f t="shared" si="174"/>
        <v>2025-04</v>
      </c>
      <c r="G1913" s="18">
        <f t="shared" si="175"/>
        <v>16</v>
      </c>
      <c r="H1913" t="str">
        <f t="shared" si="176"/>
        <v>PROSPECTAR</v>
      </c>
      <c r="I1913" t="str">
        <f t="shared" si="177"/>
        <v>TRANSHENRY TRANSPORTES LTDA</v>
      </c>
      <c r="J1913">
        <f t="shared" si="178"/>
        <v>0</v>
      </c>
      <c r="K1913">
        <f t="shared" si="179"/>
        <v>1</v>
      </c>
    </row>
    <row r="1914" spans="1:11" x14ac:dyDescent="0.25">
      <c r="A1914" t="s">
        <v>412</v>
      </c>
      <c r="B1914" t="s">
        <v>162</v>
      </c>
      <c r="C1914" t="s">
        <v>50</v>
      </c>
      <c r="D1914" s="3">
        <v>45762</v>
      </c>
      <c r="E1914" t="str">
        <f>VLOOKUP(B1914,'PROCV GERENTES BD'!A:B,2,0)</f>
        <v>PROSPECTAR</v>
      </c>
      <c r="F1914" s="4" t="str">
        <f t="shared" si="174"/>
        <v>2025-04</v>
      </c>
      <c r="G1914" s="18">
        <f t="shared" si="175"/>
        <v>16</v>
      </c>
      <c r="H1914" t="str">
        <f t="shared" si="176"/>
        <v>PROSPECTAR</v>
      </c>
      <c r="I1914" t="str">
        <f t="shared" si="177"/>
        <v>MORIA PRESTACAO DE SERVICOS LTDA ME</v>
      </c>
      <c r="J1914">
        <f t="shared" si="178"/>
        <v>0</v>
      </c>
      <c r="K1914">
        <f t="shared" si="179"/>
        <v>1</v>
      </c>
    </row>
    <row r="1915" spans="1:11" x14ac:dyDescent="0.25">
      <c r="A1915" t="s">
        <v>62</v>
      </c>
      <c r="B1915" t="s">
        <v>63</v>
      </c>
      <c r="C1915" t="s">
        <v>50</v>
      </c>
      <c r="D1915" s="3">
        <v>45762</v>
      </c>
      <c r="E1915" t="str">
        <f>VLOOKUP(B1915,'PROCV GERENTES BD'!A:B,2,0)</f>
        <v>PROSPECTAR</v>
      </c>
      <c r="F1915" s="4" t="str">
        <f t="shared" si="174"/>
        <v>2025-04</v>
      </c>
      <c r="G1915" s="18">
        <f t="shared" si="175"/>
        <v>16</v>
      </c>
      <c r="H1915" t="str">
        <f t="shared" si="176"/>
        <v>PROSPECTAR</v>
      </c>
      <c r="I1915" t="str">
        <f t="shared" si="177"/>
        <v>MAPP COM IMPORTACAO EXPORTACAO IND PRODUTOS ALIMEN</v>
      </c>
      <c r="J1915">
        <f t="shared" si="178"/>
        <v>0</v>
      </c>
      <c r="K1915">
        <f t="shared" si="179"/>
        <v>1</v>
      </c>
    </row>
    <row r="1916" spans="1:11" x14ac:dyDescent="0.25">
      <c r="A1916" t="s">
        <v>318</v>
      </c>
      <c r="B1916" t="s">
        <v>203</v>
      </c>
      <c r="C1916" t="s">
        <v>50</v>
      </c>
      <c r="D1916" s="3">
        <v>45762</v>
      </c>
      <c r="E1916" t="str">
        <f>VLOOKUP(B1916,'PROCV GERENTES BD'!A:B,2,0)</f>
        <v>JOSE ROBERTO</v>
      </c>
      <c r="F1916" s="4" t="str">
        <f t="shared" si="174"/>
        <v>2025-04</v>
      </c>
      <c r="G1916" s="18">
        <f t="shared" si="175"/>
        <v>16</v>
      </c>
      <c r="H1916" t="str">
        <f t="shared" si="176"/>
        <v>JOSE ROBERTO</v>
      </c>
      <c r="I1916" t="str">
        <f t="shared" si="177"/>
        <v>FUNDACAO DE ENSINO E PESQUISA DO SUL DE MINAS FEPE</v>
      </c>
      <c r="J1916">
        <f t="shared" si="178"/>
        <v>0</v>
      </c>
      <c r="K1916">
        <f t="shared" si="179"/>
        <v>1</v>
      </c>
    </row>
    <row r="1917" spans="1:11" x14ac:dyDescent="0.25">
      <c r="A1917" t="s">
        <v>395</v>
      </c>
      <c r="B1917" t="s">
        <v>145</v>
      </c>
      <c r="C1917" t="s">
        <v>50</v>
      </c>
      <c r="D1917" s="3">
        <v>45762</v>
      </c>
      <c r="E1917" t="str">
        <f>VLOOKUP(B1917,'PROCV GERENTES BD'!A:B,2,0)</f>
        <v>MARCIO LEONEL</v>
      </c>
      <c r="F1917" s="4" t="str">
        <f t="shared" si="174"/>
        <v>2025-04</v>
      </c>
      <c r="G1917" s="18">
        <f t="shared" si="175"/>
        <v>16</v>
      </c>
      <c r="H1917" t="str">
        <f t="shared" si="176"/>
        <v>MARCIO LEONEL</v>
      </c>
      <c r="I1917" t="str">
        <f t="shared" si="177"/>
        <v>MEDICAL PRIME IMP EXPORT DISTRIB PRODUTOS MEDICOS</v>
      </c>
      <c r="J1917">
        <f t="shared" si="178"/>
        <v>0</v>
      </c>
      <c r="K1917">
        <f t="shared" si="179"/>
        <v>1</v>
      </c>
    </row>
    <row r="1918" spans="1:11" x14ac:dyDescent="0.25">
      <c r="A1918" t="s">
        <v>60</v>
      </c>
      <c r="B1918" t="s">
        <v>61</v>
      </c>
      <c r="C1918" t="s">
        <v>50</v>
      </c>
      <c r="D1918" s="3">
        <v>45762</v>
      </c>
      <c r="E1918" t="str">
        <f>VLOOKUP(B1918,'PROCV GERENTES BD'!A:B,2,0)</f>
        <v xml:space="preserve">MARCUS VINICIUS </v>
      </c>
      <c r="F1918" s="4" t="str">
        <f t="shared" si="174"/>
        <v>2025-04</v>
      </c>
      <c r="G1918" s="18">
        <f t="shared" si="175"/>
        <v>16</v>
      </c>
      <c r="H1918" t="str">
        <f t="shared" si="176"/>
        <v xml:space="preserve">MARCUS VINICIUS </v>
      </c>
      <c r="I1918" t="str">
        <f t="shared" si="177"/>
        <v>COM IND DE CEREAIS E TRANSPORTES MACIEL LTDA</v>
      </c>
      <c r="J1918">
        <f t="shared" si="178"/>
        <v>0</v>
      </c>
      <c r="K1918">
        <f t="shared" si="179"/>
        <v>1</v>
      </c>
    </row>
    <row r="1919" spans="1:11" x14ac:dyDescent="0.25">
      <c r="A1919" t="s">
        <v>310</v>
      </c>
      <c r="B1919" t="s">
        <v>204</v>
      </c>
      <c r="C1919" t="s">
        <v>50</v>
      </c>
      <c r="D1919" s="3">
        <v>45762</v>
      </c>
      <c r="E1919" t="str">
        <f>VLOOKUP(B1919,'PROCV GERENTES BD'!A:B,2,0)</f>
        <v xml:space="preserve">MARCUS VINICIUS </v>
      </c>
      <c r="F1919" s="4" t="str">
        <f t="shared" si="174"/>
        <v>2025-04</v>
      </c>
      <c r="G1919" s="18">
        <f t="shared" si="175"/>
        <v>16</v>
      </c>
      <c r="H1919" t="str">
        <f t="shared" si="176"/>
        <v xml:space="preserve">MARCUS VINICIUS </v>
      </c>
      <c r="I1919" t="str">
        <f t="shared" si="177"/>
        <v>INDUSTRIA E COMERCIO DE CHURRASQUEIRAS BOM JESUS L</v>
      </c>
      <c r="J1919">
        <f t="shared" si="178"/>
        <v>0</v>
      </c>
      <c r="K1919">
        <f t="shared" si="179"/>
        <v>1</v>
      </c>
    </row>
    <row r="1920" spans="1:11" x14ac:dyDescent="0.25">
      <c r="A1920" t="s">
        <v>428</v>
      </c>
      <c r="B1920" t="s">
        <v>179</v>
      </c>
      <c r="C1920" t="s">
        <v>50</v>
      </c>
      <c r="D1920" s="3">
        <v>45762</v>
      </c>
      <c r="E1920" t="str">
        <f>VLOOKUP(B1920,'PROCV GERENTES BD'!A:B,2,0)</f>
        <v xml:space="preserve">MARCUS VINICIUS </v>
      </c>
      <c r="F1920" s="4" t="str">
        <f t="shared" si="174"/>
        <v>2025-04</v>
      </c>
      <c r="G1920" s="18">
        <f t="shared" si="175"/>
        <v>16</v>
      </c>
      <c r="H1920" t="str">
        <f t="shared" si="176"/>
        <v xml:space="preserve">MARCUS VINICIUS </v>
      </c>
      <c r="I1920" t="str">
        <f t="shared" si="177"/>
        <v>LABOR ELETRIC INDUSTRIA E COMERCIO UNIPESSOAL LTDA</v>
      </c>
      <c r="J1920">
        <f t="shared" si="178"/>
        <v>0</v>
      </c>
      <c r="K1920">
        <f t="shared" si="179"/>
        <v>1</v>
      </c>
    </row>
    <row r="1921" spans="1:11" x14ac:dyDescent="0.25">
      <c r="A1921" t="s">
        <v>72</v>
      </c>
      <c r="B1921" t="s">
        <v>73</v>
      </c>
      <c r="C1921" t="s">
        <v>50</v>
      </c>
      <c r="D1921" s="3">
        <v>45762</v>
      </c>
      <c r="E1921" t="str">
        <f>VLOOKUP(B1921,'PROCV GERENTES BD'!A:B,2,0)</f>
        <v>NOELI SALETE</v>
      </c>
      <c r="F1921" s="4" t="str">
        <f t="shared" si="174"/>
        <v>2025-04</v>
      </c>
      <c r="G1921" s="18">
        <f t="shared" si="175"/>
        <v>16</v>
      </c>
      <c r="H1921" t="str">
        <f t="shared" si="176"/>
        <v>NOELI SALETE</v>
      </c>
      <c r="I1921" t="str">
        <f t="shared" si="177"/>
        <v>SMARTCENTER SOLUCOES INTELIGENTES LTDA ME</v>
      </c>
      <c r="J1921">
        <f t="shared" si="178"/>
        <v>0</v>
      </c>
      <c r="K1921">
        <f t="shared" si="179"/>
        <v>1</v>
      </c>
    </row>
    <row r="1922" spans="1:11" x14ac:dyDescent="0.25">
      <c r="A1922" t="s">
        <v>400</v>
      </c>
      <c r="B1922" t="s">
        <v>150</v>
      </c>
      <c r="C1922" t="s">
        <v>50</v>
      </c>
      <c r="D1922" s="3">
        <v>45762</v>
      </c>
      <c r="E1922" t="str">
        <f>VLOOKUP(B1922,'PROCV GERENTES BD'!A:B,2,0)</f>
        <v>NOELI SALETE</v>
      </c>
      <c r="F1922" s="4" t="str">
        <f t="shared" ref="F1922:F1985" si="180">YEAR(D1922)&amp;"-"&amp;TEXT(MONTH(D1922),"00")</f>
        <v>2025-04</v>
      </c>
      <c r="G1922" s="18">
        <f t="shared" ref="G1922:G1985" si="181">WEEKNUM(D1922)</f>
        <v>16</v>
      </c>
      <c r="H1922" t="str">
        <f t="shared" ref="H1922:H1985" si="182">E1922</f>
        <v>NOELI SALETE</v>
      </c>
      <c r="I1922" t="str">
        <f t="shared" ref="I1922:I1985" si="183">B1922</f>
        <v>POOLMAK SISTEMAS ESTRUTURAIS LTDA</v>
      </c>
      <c r="J1922">
        <f t="shared" ref="J1922:J1985" si="184">IF(OR(C1922="EXCLUSAO  ANOT.INADIMPLENCIA",C1922="INCL/EXCL ANOT.INADIMPLENCIA"),1,0)</f>
        <v>0</v>
      </c>
      <c r="K1922">
        <f t="shared" ref="K1922:K1985" si="185">IF(OR(C1922="INCLUSAO  ANOT.INADIMPLENCIA",C1922="INCL/EXCL ANOT.INADIMPLENCIA"),1,0)</f>
        <v>1</v>
      </c>
    </row>
    <row r="1923" spans="1:11" x14ac:dyDescent="0.25">
      <c r="A1923" t="s">
        <v>486</v>
      </c>
      <c r="B1923" t="s">
        <v>243</v>
      </c>
      <c r="C1923" t="s">
        <v>50</v>
      </c>
      <c r="D1923" s="3">
        <v>45762</v>
      </c>
      <c r="E1923" t="str">
        <f>VLOOKUP(B1923,'PROCV GERENTES BD'!A:B,2,0)</f>
        <v>NOELI SALETE</v>
      </c>
      <c r="F1923" s="4" t="str">
        <f t="shared" si="180"/>
        <v>2025-04</v>
      </c>
      <c r="G1923" s="18">
        <f t="shared" si="181"/>
        <v>16</v>
      </c>
      <c r="H1923" t="str">
        <f t="shared" si="182"/>
        <v>NOELI SALETE</v>
      </c>
      <c r="I1923" t="str">
        <f t="shared" si="183"/>
        <v>SMARTCENTERGROUP COMERCIO DE EQUIPAMENTOS DE INFOR</v>
      </c>
      <c r="J1923">
        <f t="shared" si="184"/>
        <v>0</v>
      </c>
      <c r="K1923">
        <f t="shared" si="185"/>
        <v>1</v>
      </c>
    </row>
    <row r="1924" spans="1:11" x14ac:dyDescent="0.25">
      <c r="A1924" t="s">
        <v>394</v>
      </c>
      <c r="B1924" t="s">
        <v>143</v>
      </c>
      <c r="C1924" t="s">
        <v>50</v>
      </c>
      <c r="D1924" s="3">
        <v>45762</v>
      </c>
      <c r="E1924" t="str">
        <f>VLOOKUP(B1924,'PROCV GERENTES BD'!A:B,2,0)</f>
        <v>NOELI SALETE</v>
      </c>
      <c r="F1924" s="4" t="str">
        <f t="shared" si="180"/>
        <v>2025-04</v>
      </c>
      <c r="G1924" s="18">
        <f t="shared" si="181"/>
        <v>16</v>
      </c>
      <c r="H1924" t="str">
        <f t="shared" si="182"/>
        <v>NOELI SALETE</v>
      </c>
      <c r="I1924" t="str">
        <f t="shared" si="183"/>
        <v>ALBERTO H DA SILVA ME</v>
      </c>
      <c r="J1924">
        <f t="shared" si="184"/>
        <v>0</v>
      </c>
      <c r="K1924">
        <f t="shared" si="185"/>
        <v>1</v>
      </c>
    </row>
    <row r="1925" spans="1:11" x14ac:dyDescent="0.25">
      <c r="A1925" t="s">
        <v>438</v>
      </c>
      <c r="B1925" t="s">
        <v>189</v>
      </c>
      <c r="C1925" t="s">
        <v>50</v>
      </c>
      <c r="D1925" s="3">
        <v>45762</v>
      </c>
      <c r="E1925" t="str">
        <f>VLOOKUP(B1925,'PROCV GERENTES BD'!A:B,2,0)</f>
        <v>NOELI SALETE</v>
      </c>
      <c r="F1925" s="4" t="str">
        <f t="shared" si="180"/>
        <v>2025-04</v>
      </c>
      <c r="G1925" s="18">
        <f t="shared" si="181"/>
        <v>16</v>
      </c>
      <c r="H1925" t="str">
        <f t="shared" si="182"/>
        <v>NOELI SALETE</v>
      </c>
      <c r="I1925" t="str">
        <f t="shared" si="183"/>
        <v>AGRO INDUSTRIAL LAZZERI LTDA</v>
      </c>
      <c r="J1925">
        <f t="shared" si="184"/>
        <v>0</v>
      </c>
      <c r="K1925">
        <f t="shared" si="185"/>
        <v>1</v>
      </c>
    </row>
    <row r="1926" spans="1:11" x14ac:dyDescent="0.25">
      <c r="A1926" t="s">
        <v>389</v>
      </c>
      <c r="B1926" t="s">
        <v>136</v>
      </c>
      <c r="C1926" t="s">
        <v>66</v>
      </c>
      <c r="D1926" s="3">
        <v>45762</v>
      </c>
      <c r="E1926" t="str">
        <f>VLOOKUP(B1926,'PROCV GERENTES BD'!A:B,2,0)</f>
        <v>POENATELA</v>
      </c>
      <c r="F1926" s="4" t="str">
        <f t="shared" si="180"/>
        <v>2025-04</v>
      </c>
      <c r="G1926" s="18">
        <f t="shared" si="181"/>
        <v>16</v>
      </c>
      <c r="H1926" t="str">
        <f t="shared" si="182"/>
        <v>POENATELA</v>
      </c>
      <c r="I1926" t="str">
        <f t="shared" si="183"/>
        <v>CONQUISTA INDUSTRIA DE MOVEIS S/A</v>
      </c>
      <c r="J1926">
        <f t="shared" si="184"/>
        <v>1</v>
      </c>
      <c r="K1926">
        <f t="shared" si="185"/>
        <v>0</v>
      </c>
    </row>
    <row r="1927" spans="1:11" x14ac:dyDescent="0.25">
      <c r="A1927" t="s">
        <v>307</v>
      </c>
      <c r="B1927" t="s">
        <v>102</v>
      </c>
      <c r="C1927" t="s">
        <v>50</v>
      </c>
      <c r="D1927" s="3">
        <v>45762</v>
      </c>
      <c r="E1927" t="str">
        <f>VLOOKUP(B1927,'PROCV GERENTES BD'!A:B,2,0)</f>
        <v>POENATELA</v>
      </c>
      <c r="F1927" s="4" t="str">
        <f t="shared" si="180"/>
        <v>2025-04</v>
      </c>
      <c r="G1927" s="18">
        <f t="shared" si="181"/>
        <v>16</v>
      </c>
      <c r="H1927" t="str">
        <f t="shared" si="182"/>
        <v>POENATELA</v>
      </c>
      <c r="I1927" t="str">
        <f t="shared" si="183"/>
        <v>ECOPINUS INDUSTRIA E COMERCIO DE EMBALAGENS DE MAD</v>
      </c>
      <c r="J1927">
        <f t="shared" si="184"/>
        <v>0</v>
      </c>
      <c r="K1927">
        <f t="shared" si="185"/>
        <v>1</v>
      </c>
    </row>
    <row r="1928" spans="1:11" x14ac:dyDescent="0.25">
      <c r="A1928" t="s">
        <v>352</v>
      </c>
      <c r="B1928" t="s">
        <v>96</v>
      </c>
      <c r="C1928" t="s">
        <v>50</v>
      </c>
      <c r="D1928" s="3">
        <v>45762</v>
      </c>
      <c r="E1928" t="str">
        <f>VLOOKUP(B1928,'PROCV GERENTES BD'!A:B,2,0)</f>
        <v>POENATELA</v>
      </c>
      <c r="F1928" s="4" t="str">
        <f t="shared" si="180"/>
        <v>2025-04</v>
      </c>
      <c r="G1928" s="18">
        <f t="shared" si="181"/>
        <v>16</v>
      </c>
      <c r="H1928" t="str">
        <f t="shared" si="182"/>
        <v>POENATELA</v>
      </c>
      <c r="I1928" t="str">
        <f t="shared" si="183"/>
        <v>SUPER HARD TECNOLOGIA EM TRATAMENTO DE SUPERFICIES</v>
      </c>
      <c r="J1928">
        <f t="shared" si="184"/>
        <v>0</v>
      </c>
      <c r="K1928">
        <f t="shared" si="185"/>
        <v>1</v>
      </c>
    </row>
    <row r="1929" spans="1:11" x14ac:dyDescent="0.25">
      <c r="A1929" t="s">
        <v>370</v>
      </c>
      <c r="B1929" t="s">
        <v>114</v>
      </c>
      <c r="C1929" t="s">
        <v>50</v>
      </c>
      <c r="D1929" s="3">
        <v>45762</v>
      </c>
      <c r="E1929" t="str">
        <f>VLOOKUP(B1929,'PROCV GERENTES BD'!A:B,2,0)</f>
        <v>POENATELA</v>
      </c>
      <c r="F1929" s="4" t="str">
        <f t="shared" si="180"/>
        <v>2025-04</v>
      </c>
      <c r="G1929" s="18">
        <f t="shared" si="181"/>
        <v>16</v>
      </c>
      <c r="H1929" t="str">
        <f t="shared" si="182"/>
        <v>POENATELA</v>
      </c>
      <c r="I1929" t="str">
        <f t="shared" si="183"/>
        <v>COOPERATIVA TRANSP AUTON CARGAS PASSAG SERVICOS LO</v>
      </c>
      <c r="J1929">
        <f t="shared" si="184"/>
        <v>0</v>
      </c>
      <c r="K1929">
        <f t="shared" si="185"/>
        <v>1</v>
      </c>
    </row>
    <row r="1930" spans="1:11" x14ac:dyDescent="0.25">
      <c r="A1930" t="s">
        <v>51</v>
      </c>
      <c r="B1930" t="s">
        <v>52</v>
      </c>
      <c r="C1930" t="s">
        <v>50</v>
      </c>
      <c r="D1930" s="3">
        <v>45762</v>
      </c>
      <c r="E1930" t="str">
        <f>VLOOKUP(B1930,'PROCV GERENTES BD'!A:B,2,0)</f>
        <v>RAFAEL PARISE</v>
      </c>
      <c r="F1930" s="4" t="str">
        <f t="shared" si="180"/>
        <v>2025-04</v>
      </c>
      <c r="G1930" s="18">
        <f t="shared" si="181"/>
        <v>16</v>
      </c>
      <c r="H1930" t="str">
        <f t="shared" si="182"/>
        <v>RAFAEL PARISE</v>
      </c>
      <c r="I1930" t="str">
        <f t="shared" si="183"/>
        <v>TDR TRANSPORTES LOGISTICA LTDA</v>
      </c>
      <c r="J1930">
        <f t="shared" si="184"/>
        <v>0</v>
      </c>
      <c r="K1930">
        <f t="shared" si="185"/>
        <v>1</v>
      </c>
    </row>
    <row r="1931" spans="1:11" x14ac:dyDescent="0.25">
      <c r="A1931" t="s">
        <v>454</v>
      </c>
      <c r="B1931" t="s">
        <v>211</v>
      </c>
      <c r="C1931" t="s">
        <v>66</v>
      </c>
      <c r="D1931" s="3">
        <v>45762</v>
      </c>
      <c r="E1931" t="str">
        <f>VLOOKUP(B1931,'PROCV GERENTES BD'!A:B,2,0)</f>
        <v>RAFAEL PARISE</v>
      </c>
      <c r="F1931" s="4" t="str">
        <f t="shared" si="180"/>
        <v>2025-04</v>
      </c>
      <c r="G1931" s="18">
        <f t="shared" si="181"/>
        <v>16</v>
      </c>
      <c r="H1931" t="str">
        <f t="shared" si="182"/>
        <v>RAFAEL PARISE</v>
      </c>
      <c r="I1931" t="str">
        <f t="shared" si="183"/>
        <v>TREGA FILHOS EMPACOTAMENTO E DISTRIBUICAO LTDA ME</v>
      </c>
      <c r="J1931">
        <f t="shared" si="184"/>
        <v>1</v>
      </c>
      <c r="K1931">
        <f t="shared" si="185"/>
        <v>0</v>
      </c>
    </row>
    <row r="1932" spans="1:11" x14ac:dyDescent="0.25">
      <c r="A1932" t="s">
        <v>67</v>
      </c>
      <c r="B1932" t="s">
        <v>68</v>
      </c>
      <c r="C1932" t="s">
        <v>50</v>
      </c>
      <c r="D1932" s="3">
        <v>45762</v>
      </c>
      <c r="E1932" t="s">
        <v>21</v>
      </c>
      <c r="F1932" s="4" t="str">
        <f t="shared" si="180"/>
        <v>2025-04</v>
      </c>
      <c r="G1932" s="18">
        <f t="shared" si="181"/>
        <v>16</v>
      </c>
      <c r="H1932" t="str">
        <f t="shared" si="182"/>
        <v xml:space="preserve">ROGERIO </v>
      </c>
      <c r="I1932" t="str">
        <f t="shared" si="183"/>
        <v>DIOTTONI INDUSTRIA E COMERCIO DE ALIMENTOS LTDA ME</v>
      </c>
      <c r="J1932">
        <f t="shared" si="184"/>
        <v>0</v>
      </c>
      <c r="K1932">
        <f t="shared" si="185"/>
        <v>1</v>
      </c>
    </row>
    <row r="1933" spans="1:11" x14ac:dyDescent="0.25">
      <c r="A1933" t="s">
        <v>484</v>
      </c>
      <c r="B1933" t="s">
        <v>245</v>
      </c>
      <c r="C1933" t="s">
        <v>50</v>
      </c>
      <c r="D1933" s="3">
        <v>45762</v>
      </c>
      <c r="E1933" t="str">
        <f>VLOOKUP(B1933,'PROCV GERENTES BD'!A:B,2,0)</f>
        <v>ADMINISTRAÇÃO</v>
      </c>
      <c r="F1933" s="4" t="str">
        <f t="shared" si="180"/>
        <v>2025-04</v>
      </c>
      <c r="G1933" s="18">
        <f t="shared" si="181"/>
        <v>16</v>
      </c>
      <c r="H1933" t="str">
        <f t="shared" si="182"/>
        <v>ADMINISTRAÇÃO</v>
      </c>
      <c r="I1933" t="str">
        <f t="shared" si="183"/>
        <v>REAL FILTROS E ACESSORIOS AUTOMOTIVOS LTDA</v>
      </c>
      <c r="J1933">
        <f t="shared" si="184"/>
        <v>0</v>
      </c>
      <c r="K1933">
        <f t="shared" si="185"/>
        <v>1</v>
      </c>
    </row>
    <row r="1934" spans="1:11" x14ac:dyDescent="0.25">
      <c r="A1934" t="s">
        <v>496</v>
      </c>
      <c r="B1934" t="s">
        <v>255</v>
      </c>
      <c r="C1934" t="s">
        <v>66</v>
      </c>
      <c r="D1934" s="3">
        <v>45762</v>
      </c>
      <c r="E1934" t="str">
        <f>VLOOKUP(B1934,'PROCV GERENTES BD'!A:B,2,0)</f>
        <v>SEM GERENTE</v>
      </c>
      <c r="F1934" s="4" t="str">
        <f t="shared" si="180"/>
        <v>2025-04</v>
      </c>
      <c r="G1934" s="18">
        <f t="shared" si="181"/>
        <v>16</v>
      </c>
      <c r="H1934" t="str">
        <f t="shared" si="182"/>
        <v>SEM GERENTE</v>
      </c>
      <c r="I1934" t="str">
        <f t="shared" si="183"/>
        <v>ACO COELHO INDUSTRIA E COMERCIO DE MOVEIS LTDA EPP</v>
      </c>
      <c r="J1934">
        <f t="shared" si="184"/>
        <v>1</v>
      </c>
      <c r="K1934">
        <f t="shared" si="185"/>
        <v>0</v>
      </c>
    </row>
    <row r="1935" spans="1:11" x14ac:dyDescent="0.25">
      <c r="A1935" t="s">
        <v>56</v>
      </c>
      <c r="B1935" t="s">
        <v>57</v>
      </c>
      <c r="C1935" t="s">
        <v>50</v>
      </c>
      <c r="D1935" s="3">
        <v>45762</v>
      </c>
      <c r="E1935" t="str">
        <f>VLOOKUP(B1935,'PROCV GERENTES BD'!A:B,2,0)</f>
        <v xml:space="preserve">ROGERIO </v>
      </c>
      <c r="F1935" s="4" t="str">
        <f t="shared" si="180"/>
        <v>2025-04</v>
      </c>
      <c r="G1935" s="18">
        <f t="shared" si="181"/>
        <v>16</v>
      </c>
      <c r="H1935" t="str">
        <f t="shared" si="182"/>
        <v xml:space="preserve">ROGERIO </v>
      </c>
      <c r="I1935" t="str">
        <f t="shared" si="183"/>
        <v>RODOVIEIRA TRANSPORTE LTDA</v>
      </c>
      <c r="J1935">
        <f t="shared" si="184"/>
        <v>0</v>
      </c>
      <c r="K1935">
        <f t="shared" si="185"/>
        <v>1</v>
      </c>
    </row>
    <row r="1936" spans="1:11" x14ac:dyDescent="0.25">
      <c r="A1936" t="s">
        <v>497</v>
      </c>
      <c r="B1936" t="s">
        <v>257</v>
      </c>
      <c r="C1936" t="s">
        <v>50</v>
      </c>
      <c r="D1936" s="3">
        <v>45762</v>
      </c>
      <c r="E1936" t="str">
        <f>VLOOKUP(B1936,'PROCV GERENTES BD'!A:B,2,0)</f>
        <v>SEM GERENTE</v>
      </c>
      <c r="F1936" s="4" t="str">
        <f t="shared" si="180"/>
        <v>2025-04</v>
      </c>
      <c r="G1936" s="18">
        <f t="shared" si="181"/>
        <v>16</v>
      </c>
      <c r="H1936" t="str">
        <f t="shared" si="182"/>
        <v>SEM GERENTE</v>
      </c>
      <c r="I1936" t="str">
        <f t="shared" si="183"/>
        <v>OLIVEIRA E SILVA COMERCIO DE MADEIRAS E EMBALAGENS</v>
      </c>
      <c r="J1936">
        <f t="shared" si="184"/>
        <v>0</v>
      </c>
      <c r="K1936">
        <f t="shared" si="185"/>
        <v>1</v>
      </c>
    </row>
    <row r="1937" spans="1:11" x14ac:dyDescent="0.25">
      <c r="A1937" t="s">
        <v>498</v>
      </c>
      <c r="B1937" t="s">
        <v>256</v>
      </c>
      <c r="C1937" t="s">
        <v>50</v>
      </c>
      <c r="D1937" s="3">
        <v>45762</v>
      </c>
      <c r="E1937" t="str">
        <f>VLOOKUP(B1937,'PROCV GERENTES BD'!A:B,2,0)</f>
        <v>CELIO PIMENTA</v>
      </c>
      <c r="F1937" s="4" t="str">
        <f t="shared" si="180"/>
        <v>2025-04</v>
      </c>
      <c r="G1937" s="18">
        <f t="shared" si="181"/>
        <v>16</v>
      </c>
      <c r="H1937" t="str">
        <f t="shared" si="182"/>
        <v>CELIO PIMENTA</v>
      </c>
      <c r="I1937" t="str">
        <f t="shared" si="183"/>
        <v>SEU TRATOR LTDA EPP</v>
      </c>
      <c r="J1937">
        <f t="shared" si="184"/>
        <v>0</v>
      </c>
      <c r="K1937">
        <f t="shared" si="185"/>
        <v>1</v>
      </c>
    </row>
    <row r="1938" spans="1:11" x14ac:dyDescent="0.25">
      <c r="A1938" t="s">
        <v>355</v>
      </c>
      <c r="B1938" t="s">
        <v>100</v>
      </c>
      <c r="C1938" t="s">
        <v>50</v>
      </c>
      <c r="D1938" s="3">
        <v>45763</v>
      </c>
      <c r="E1938" t="str">
        <f>VLOOKUP(B1938,'PROCV GERENTES BD'!A:B,2,0)</f>
        <v>ADMINISTRAÇÃO</v>
      </c>
      <c r="F1938" s="4" t="str">
        <f t="shared" si="180"/>
        <v>2025-04</v>
      </c>
      <c r="G1938" s="18">
        <f t="shared" si="181"/>
        <v>16</v>
      </c>
      <c r="H1938" t="str">
        <f t="shared" si="182"/>
        <v>ADMINISTRAÇÃO</v>
      </c>
      <c r="I1938" t="str">
        <f t="shared" si="183"/>
        <v>DECISION DESENVOLVIMENTO DE SISTEMAS LTDA</v>
      </c>
      <c r="J1938">
        <f t="shared" si="184"/>
        <v>0</v>
      </c>
      <c r="K1938">
        <f t="shared" si="185"/>
        <v>1</v>
      </c>
    </row>
    <row r="1939" spans="1:11" x14ac:dyDescent="0.25">
      <c r="A1939" t="s">
        <v>459</v>
      </c>
      <c r="B1939" t="s">
        <v>216</v>
      </c>
      <c r="C1939" t="s">
        <v>50</v>
      </c>
      <c r="D1939" s="3">
        <v>45763</v>
      </c>
      <c r="E1939" t="str">
        <f>VLOOKUP(B1939,'PROCV GERENTES BD'!A:B,2,0)</f>
        <v>ADMINISTRAÇÃO</v>
      </c>
      <c r="F1939" s="4" t="str">
        <f t="shared" si="180"/>
        <v>2025-04</v>
      </c>
      <c r="G1939" s="18">
        <f t="shared" si="181"/>
        <v>16</v>
      </c>
      <c r="H1939" t="str">
        <f t="shared" si="182"/>
        <v>ADMINISTRAÇÃO</v>
      </c>
      <c r="I1939" t="str">
        <f t="shared" si="183"/>
        <v>JABEZ SERVICOS COMPARTILHADOS LTDA ME</v>
      </c>
      <c r="J1939">
        <f t="shared" si="184"/>
        <v>0</v>
      </c>
      <c r="K1939">
        <f t="shared" si="185"/>
        <v>1</v>
      </c>
    </row>
    <row r="1940" spans="1:11" x14ac:dyDescent="0.25">
      <c r="A1940" t="s">
        <v>449</v>
      </c>
      <c r="B1940" t="s">
        <v>206</v>
      </c>
      <c r="C1940" t="s">
        <v>66</v>
      </c>
      <c r="D1940" s="3">
        <v>45763</v>
      </c>
      <c r="E1940" t="str">
        <f>VLOOKUP(B1940,'PROCV GERENTES BD'!A:B,2,0)</f>
        <v>ADMINISTRAÇÃO</v>
      </c>
      <c r="F1940" s="4" t="str">
        <f t="shared" si="180"/>
        <v>2025-04</v>
      </c>
      <c r="G1940" s="18">
        <f t="shared" si="181"/>
        <v>16</v>
      </c>
      <c r="H1940" t="str">
        <f t="shared" si="182"/>
        <v>ADMINISTRAÇÃO</v>
      </c>
      <c r="I1940" t="str">
        <f t="shared" si="183"/>
        <v>P P DISTRIBUIDORA LTDA</v>
      </c>
      <c r="J1940">
        <f t="shared" si="184"/>
        <v>1</v>
      </c>
      <c r="K1940">
        <f t="shared" si="185"/>
        <v>0</v>
      </c>
    </row>
    <row r="1941" spans="1:11" x14ac:dyDescent="0.25">
      <c r="A1941" t="s">
        <v>54</v>
      </c>
      <c r="B1941" t="s">
        <v>55</v>
      </c>
      <c r="C1941" t="s">
        <v>50</v>
      </c>
      <c r="D1941" s="3">
        <v>45763</v>
      </c>
      <c r="E1941" t="str">
        <f>VLOOKUP(B1941,'PROCV GERENTES BD'!A:B,2,0)</f>
        <v>CELIO PIMENTA</v>
      </c>
      <c r="F1941" s="4" t="str">
        <f t="shared" si="180"/>
        <v>2025-04</v>
      </c>
      <c r="G1941" s="18">
        <f t="shared" si="181"/>
        <v>16</v>
      </c>
      <c r="H1941" t="str">
        <f t="shared" si="182"/>
        <v>CELIO PIMENTA</v>
      </c>
      <c r="I1941" t="str">
        <f t="shared" si="183"/>
        <v>WJ CALDEIRARIA INDUSTRIA E COMERCIO LTDA ME</v>
      </c>
      <c r="J1941">
        <f t="shared" si="184"/>
        <v>0</v>
      </c>
      <c r="K1941">
        <f t="shared" si="185"/>
        <v>1</v>
      </c>
    </row>
    <row r="1942" spans="1:11" x14ac:dyDescent="0.25">
      <c r="A1942" t="s">
        <v>460</v>
      </c>
      <c r="B1942" t="s">
        <v>217</v>
      </c>
      <c r="C1942" t="s">
        <v>50</v>
      </c>
      <c r="D1942" s="3">
        <v>45763</v>
      </c>
      <c r="E1942" t="str">
        <f>VLOOKUP(B1942,'PROCV GERENTES BD'!A:B,2,0)</f>
        <v>CELIO PIMENTA</v>
      </c>
      <c r="F1942" s="4" t="str">
        <f t="shared" si="180"/>
        <v>2025-04</v>
      </c>
      <c r="G1942" s="18">
        <f t="shared" si="181"/>
        <v>16</v>
      </c>
      <c r="H1942" t="str">
        <f t="shared" si="182"/>
        <v>CELIO PIMENTA</v>
      </c>
      <c r="I1942" t="str">
        <f t="shared" si="183"/>
        <v>MINAS CLEAN DISTRIBUIDORA DE PRODUTOS PARA LIMPEZA</v>
      </c>
      <c r="J1942">
        <f t="shared" si="184"/>
        <v>0</v>
      </c>
      <c r="K1942">
        <f t="shared" si="185"/>
        <v>1</v>
      </c>
    </row>
    <row r="1943" spans="1:11" x14ac:dyDescent="0.25">
      <c r="A1943" t="s">
        <v>402</v>
      </c>
      <c r="B1943" t="s">
        <v>152</v>
      </c>
      <c r="C1943" t="s">
        <v>50</v>
      </c>
      <c r="D1943" s="3">
        <v>45763</v>
      </c>
      <c r="E1943" t="str">
        <f>VLOOKUP(B1943,'PROCV GERENTES BD'!A:B,2,0)</f>
        <v>PROSPECTAR</v>
      </c>
      <c r="F1943" s="4" t="str">
        <f t="shared" si="180"/>
        <v>2025-04</v>
      </c>
      <c r="G1943" s="18">
        <f t="shared" si="181"/>
        <v>16</v>
      </c>
      <c r="H1943" t="str">
        <f t="shared" si="182"/>
        <v>PROSPECTAR</v>
      </c>
      <c r="I1943" t="str">
        <f t="shared" si="183"/>
        <v>MOINHO DE TRIGO JM LTDA</v>
      </c>
      <c r="J1943">
        <f t="shared" si="184"/>
        <v>0</v>
      </c>
      <c r="K1943">
        <f t="shared" si="185"/>
        <v>1</v>
      </c>
    </row>
    <row r="1944" spans="1:11" x14ac:dyDescent="0.25">
      <c r="A1944" t="s">
        <v>324</v>
      </c>
      <c r="B1944" t="s">
        <v>119</v>
      </c>
      <c r="C1944" t="s">
        <v>50</v>
      </c>
      <c r="D1944" s="3">
        <v>45763</v>
      </c>
      <c r="E1944" t="str">
        <f>VLOOKUP(B1944,'PROCV GERENTES BD'!A:B,2,0)</f>
        <v>PROSPECTAR</v>
      </c>
      <c r="F1944" s="4" t="str">
        <f t="shared" si="180"/>
        <v>2025-04</v>
      </c>
      <c r="G1944" s="18">
        <f t="shared" si="181"/>
        <v>16</v>
      </c>
      <c r="H1944" t="str">
        <f t="shared" si="182"/>
        <v>PROSPECTAR</v>
      </c>
      <c r="I1944" t="str">
        <f t="shared" si="183"/>
        <v>TRANSHENRY TRANSPORTES LTDA</v>
      </c>
      <c r="J1944">
        <f t="shared" si="184"/>
        <v>0</v>
      </c>
      <c r="K1944">
        <f t="shared" si="185"/>
        <v>1</v>
      </c>
    </row>
    <row r="1945" spans="1:11" x14ac:dyDescent="0.25">
      <c r="A1945" t="s">
        <v>62</v>
      </c>
      <c r="B1945" t="s">
        <v>63</v>
      </c>
      <c r="C1945" t="s">
        <v>50</v>
      </c>
      <c r="D1945" s="3">
        <v>45763</v>
      </c>
      <c r="E1945" t="str">
        <f>VLOOKUP(B1945,'PROCV GERENTES BD'!A:B,2,0)</f>
        <v>PROSPECTAR</v>
      </c>
      <c r="F1945" s="4" t="str">
        <f t="shared" si="180"/>
        <v>2025-04</v>
      </c>
      <c r="G1945" s="18">
        <f t="shared" si="181"/>
        <v>16</v>
      </c>
      <c r="H1945" t="str">
        <f t="shared" si="182"/>
        <v>PROSPECTAR</v>
      </c>
      <c r="I1945" t="str">
        <f t="shared" si="183"/>
        <v>MAPP COM IMPORTACAO EXPORTACAO IND PRODUTOS ALIMEN</v>
      </c>
      <c r="J1945">
        <f t="shared" si="184"/>
        <v>0</v>
      </c>
      <c r="K1945">
        <f t="shared" si="185"/>
        <v>1</v>
      </c>
    </row>
    <row r="1946" spans="1:11" x14ac:dyDescent="0.25">
      <c r="A1946" t="s">
        <v>318</v>
      </c>
      <c r="B1946" t="s">
        <v>203</v>
      </c>
      <c r="C1946" t="s">
        <v>50</v>
      </c>
      <c r="D1946" s="3">
        <v>45763</v>
      </c>
      <c r="E1946" t="str">
        <f>VLOOKUP(B1946,'PROCV GERENTES BD'!A:B,2,0)</f>
        <v>JOSE ROBERTO</v>
      </c>
      <c r="F1946" s="4" t="str">
        <f t="shared" si="180"/>
        <v>2025-04</v>
      </c>
      <c r="G1946" s="18">
        <f t="shared" si="181"/>
        <v>16</v>
      </c>
      <c r="H1946" t="str">
        <f t="shared" si="182"/>
        <v>JOSE ROBERTO</v>
      </c>
      <c r="I1946" t="str">
        <f t="shared" si="183"/>
        <v>FUNDACAO DE ENSINO E PESQUISA DO SUL DE MINAS FEPE</v>
      </c>
      <c r="J1946">
        <f t="shared" si="184"/>
        <v>0</v>
      </c>
      <c r="K1946">
        <f t="shared" si="185"/>
        <v>1</v>
      </c>
    </row>
    <row r="1947" spans="1:11" x14ac:dyDescent="0.25">
      <c r="A1947" t="s">
        <v>310</v>
      </c>
      <c r="B1947" t="s">
        <v>204</v>
      </c>
      <c r="C1947" t="s">
        <v>50</v>
      </c>
      <c r="D1947" s="3">
        <v>45763</v>
      </c>
      <c r="E1947" t="str">
        <f>VLOOKUP(B1947,'PROCV GERENTES BD'!A:B,2,0)</f>
        <v xml:space="preserve">MARCUS VINICIUS </v>
      </c>
      <c r="F1947" s="4" t="str">
        <f t="shared" si="180"/>
        <v>2025-04</v>
      </c>
      <c r="G1947" s="18">
        <f t="shared" si="181"/>
        <v>16</v>
      </c>
      <c r="H1947" t="str">
        <f t="shared" si="182"/>
        <v xml:space="preserve">MARCUS VINICIUS </v>
      </c>
      <c r="I1947" t="str">
        <f t="shared" si="183"/>
        <v>INDUSTRIA E COMERCIO DE CHURRASQUEIRAS BOM JESUS L</v>
      </c>
      <c r="J1947">
        <f t="shared" si="184"/>
        <v>0</v>
      </c>
      <c r="K1947">
        <f t="shared" si="185"/>
        <v>1</v>
      </c>
    </row>
    <row r="1948" spans="1:11" x14ac:dyDescent="0.25">
      <c r="A1948" t="s">
        <v>369</v>
      </c>
      <c r="B1948" t="s">
        <v>113</v>
      </c>
      <c r="C1948" t="s">
        <v>50</v>
      </c>
      <c r="D1948" s="3">
        <v>45763</v>
      </c>
      <c r="E1948" t="str">
        <f>VLOOKUP(B1948,'PROCV GERENTES BD'!A:B,2,0)</f>
        <v xml:space="preserve">MARCUS VINICIUS </v>
      </c>
      <c r="F1948" s="4" t="str">
        <f t="shared" si="180"/>
        <v>2025-04</v>
      </c>
      <c r="G1948" s="18">
        <f t="shared" si="181"/>
        <v>16</v>
      </c>
      <c r="H1948" t="str">
        <f t="shared" si="182"/>
        <v xml:space="preserve">MARCUS VINICIUS </v>
      </c>
      <c r="I1948" t="str">
        <f t="shared" si="183"/>
        <v>ISOBASE POLIESTIRENO LTDA EPP</v>
      </c>
      <c r="J1948">
        <f t="shared" si="184"/>
        <v>0</v>
      </c>
      <c r="K1948">
        <f t="shared" si="185"/>
        <v>1</v>
      </c>
    </row>
    <row r="1949" spans="1:11" x14ac:dyDescent="0.25">
      <c r="A1949" t="s">
        <v>305</v>
      </c>
      <c r="B1949" t="s">
        <v>141</v>
      </c>
      <c r="C1949" t="s">
        <v>66</v>
      </c>
      <c r="D1949" s="3">
        <v>45763</v>
      </c>
      <c r="E1949" t="str">
        <f>VLOOKUP(B1949,'PROCV GERENTES BD'!A:B,2,0)</f>
        <v>NOELI SALETE</v>
      </c>
      <c r="F1949" s="4" t="str">
        <f t="shared" si="180"/>
        <v>2025-04</v>
      </c>
      <c r="G1949" s="18">
        <f t="shared" si="181"/>
        <v>16</v>
      </c>
      <c r="H1949" t="str">
        <f t="shared" si="182"/>
        <v>NOELI SALETE</v>
      </c>
      <c r="I1949" t="str">
        <f t="shared" si="183"/>
        <v>JMS EMBALAGENS INDUSTRIAIS LTDA</v>
      </c>
      <c r="J1949">
        <f t="shared" si="184"/>
        <v>1</v>
      </c>
      <c r="K1949">
        <f t="shared" si="185"/>
        <v>0</v>
      </c>
    </row>
    <row r="1950" spans="1:11" x14ac:dyDescent="0.25">
      <c r="A1950" t="s">
        <v>72</v>
      </c>
      <c r="B1950" t="s">
        <v>73</v>
      </c>
      <c r="C1950" t="s">
        <v>50</v>
      </c>
      <c r="D1950" s="3">
        <v>45763</v>
      </c>
      <c r="E1950" t="str">
        <f>VLOOKUP(B1950,'PROCV GERENTES BD'!A:B,2,0)</f>
        <v>NOELI SALETE</v>
      </c>
      <c r="F1950" s="4" t="str">
        <f t="shared" si="180"/>
        <v>2025-04</v>
      </c>
      <c r="G1950" s="18">
        <f t="shared" si="181"/>
        <v>16</v>
      </c>
      <c r="H1950" t="str">
        <f t="shared" si="182"/>
        <v>NOELI SALETE</v>
      </c>
      <c r="I1950" t="str">
        <f t="shared" si="183"/>
        <v>SMARTCENTER SOLUCOES INTELIGENTES LTDA ME</v>
      </c>
      <c r="J1950">
        <f t="shared" si="184"/>
        <v>0</v>
      </c>
      <c r="K1950">
        <f t="shared" si="185"/>
        <v>1</v>
      </c>
    </row>
    <row r="1951" spans="1:11" x14ac:dyDescent="0.25">
      <c r="A1951" t="s">
        <v>400</v>
      </c>
      <c r="B1951" t="s">
        <v>150</v>
      </c>
      <c r="C1951" t="s">
        <v>50</v>
      </c>
      <c r="D1951" s="3">
        <v>45763</v>
      </c>
      <c r="E1951" t="str">
        <f>VLOOKUP(B1951,'PROCV GERENTES BD'!A:B,2,0)</f>
        <v>NOELI SALETE</v>
      </c>
      <c r="F1951" s="4" t="str">
        <f t="shared" si="180"/>
        <v>2025-04</v>
      </c>
      <c r="G1951" s="18">
        <f t="shared" si="181"/>
        <v>16</v>
      </c>
      <c r="H1951" t="str">
        <f t="shared" si="182"/>
        <v>NOELI SALETE</v>
      </c>
      <c r="I1951" t="str">
        <f t="shared" si="183"/>
        <v>POOLMAK SISTEMAS ESTRUTURAIS LTDA</v>
      </c>
      <c r="J1951">
        <f t="shared" si="184"/>
        <v>0</v>
      </c>
      <c r="K1951">
        <f t="shared" si="185"/>
        <v>1</v>
      </c>
    </row>
    <row r="1952" spans="1:11" x14ac:dyDescent="0.25">
      <c r="A1952" t="s">
        <v>394</v>
      </c>
      <c r="B1952" t="s">
        <v>143</v>
      </c>
      <c r="C1952" t="s">
        <v>50</v>
      </c>
      <c r="D1952" s="3">
        <v>45763</v>
      </c>
      <c r="E1952" t="str">
        <f>VLOOKUP(B1952,'PROCV GERENTES BD'!A:B,2,0)</f>
        <v>NOELI SALETE</v>
      </c>
      <c r="F1952" s="4" t="str">
        <f t="shared" si="180"/>
        <v>2025-04</v>
      </c>
      <c r="G1952" s="18">
        <f t="shared" si="181"/>
        <v>16</v>
      </c>
      <c r="H1952" t="str">
        <f t="shared" si="182"/>
        <v>NOELI SALETE</v>
      </c>
      <c r="I1952" t="str">
        <f t="shared" si="183"/>
        <v>ALBERTO H DA SILVA ME</v>
      </c>
      <c r="J1952">
        <f t="shared" si="184"/>
        <v>0</v>
      </c>
      <c r="K1952">
        <f t="shared" si="185"/>
        <v>1</v>
      </c>
    </row>
    <row r="1953" spans="1:11" x14ac:dyDescent="0.25">
      <c r="A1953" t="s">
        <v>475</v>
      </c>
      <c r="B1953" t="s">
        <v>232</v>
      </c>
      <c r="C1953" t="s">
        <v>66</v>
      </c>
      <c r="D1953" s="3">
        <v>45763</v>
      </c>
      <c r="E1953" t="str">
        <f>VLOOKUP(B1953,'PROCV GERENTES BD'!A:B,2,0)</f>
        <v>POENATELA</v>
      </c>
      <c r="F1953" s="4" t="str">
        <f t="shared" si="180"/>
        <v>2025-04</v>
      </c>
      <c r="G1953" s="18">
        <f t="shared" si="181"/>
        <v>16</v>
      </c>
      <c r="H1953" t="str">
        <f t="shared" si="182"/>
        <v>POENATELA</v>
      </c>
      <c r="I1953" t="str">
        <f t="shared" si="183"/>
        <v>JUATUBA MOVEIS E EMBALAGENS LTDA</v>
      </c>
      <c r="J1953">
        <f t="shared" si="184"/>
        <v>1</v>
      </c>
      <c r="K1953">
        <f t="shared" si="185"/>
        <v>0</v>
      </c>
    </row>
    <row r="1954" spans="1:11" x14ac:dyDescent="0.25">
      <c r="A1954" t="s">
        <v>482</v>
      </c>
      <c r="B1954" t="s">
        <v>239</v>
      </c>
      <c r="C1954" t="s">
        <v>50</v>
      </c>
      <c r="D1954" s="3">
        <v>45763</v>
      </c>
      <c r="E1954" t="str">
        <f>VLOOKUP(B1954,'PROCV GERENTES BD'!A:B,2,0)</f>
        <v>RAFAEL PARISE</v>
      </c>
      <c r="F1954" s="4" t="str">
        <f t="shared" si="180"/>
        <v>2025-04</v>
      </c>
      <c r="G1954" s="18">
        <f t="shared" si="181"/>
        <v>16</v>
      </c>
      <c r="H1954" t="str">
        <f t="shared" si="182"/>
        <v>RAFAEL PARISE</v>
      </c>
      <c r="I1954" t="str">
        <f t="shared" si="183"/>
        <v>RENOVAR AGRICOLA LTDA</v>
      </c>
      <c r="J1954">
        <f t="shared" si="184"/>
        <v>0</v>
      </c>
      <c r="K1954">
        <f t="shared" si="185"/>
        <v>1</v>
      </c>
    </row>
    <row r="1955" spans="1:11" x14ac:dyDescent="0.25">
      <c r="A1955" t="s">
        <v>387</v>
      </c>
      <c r="B1955" t="s">
        <v>134</v>
      </c>
      <c r="C1955" t="s">
        <v>66</v>
      </c>
      <c r="D1955" s="3">
        <v>45763</v>
      </c>
      <c r="E1955" t="str">
        <f>VLOOKUP(B1955,'PROCV GERENTES BD'!A:B,2,0)</f>
        <v>RAFAEL PARISE</v>
      </c>
      <c r="F1955" s="4" t="str">
        <f t="shared" si="180"/>
        <v>2025-04</v>
      </c>
      <c r="G1955" s="18">
        <f t="shared" si="181"/>
        <v>16</v>
      </c>
      <c r="H1955" t="str">
        <f t="shared" si="182"/>
        <v>RAFAEL PARISE</v>
      </c>
      <c r="I1955" t="str">
        <f t="shared" si="183"/>
        <v>MAIS DISTRIBUIDORA LTDA</v>
      </c>
      <c r="J1955">
        <f t="shared" si="184"/>
        <v>1</v>
      </c>
      <c r="K1955">
        <f t="shared" si="185"/>
        <v>0</v>
      </c>
    </row>
    <row r="1956" spans="1:11" x14ac:dyDescent="0.25">
      <c r="A1956" t="s">
        <v>444</v>
      </c>
      <c r="B1956" t="s">
        <v>195</v>
      </c>
      <c r="C1956" t="s">
        <v>50</v>
      </c>
      <c r="D1956" s="3">
        <v>45763</v>
      </c>
      <c r="E1956" t="str">
        <f>VLOOKUP(B1956,'PROCV GERENTES BD'!A:B,2,0)</f>
        <v>RAFAEL PARISE</v>
      </c>
      <c r="F1956" s="4" t="str">
        <f t="shared" si="180"/>
        <v>2025-04</v>
      </c>
      <c r="G1956" s="18">
        <f t="shared" si="181"/>
        <v>16</v>
      </c>
      <c r="H1956" t="str">
        <f t="shared" si="182"/>
        <v>RAFAEL PARISE</v>
      </c>
      <c r="I1956" t="str">
        <f t="shared" si="183"/>
        <v>GEDIBOR RUBBER POLYURETHANE LTDA EPP</v>
      </c>
      <c r="J1956">
        <f t="shared" si="184"/>
        <v>0</v>
      </c>
      <c r="K1956">
        <f t="shared" si="185"/>
        <v>1</v>
      </c>
    </row>
    <row r="1957" spans="1:11" x14ac:dyDescent="0.25">
      <c r="A1957" t="s">
        <v>454</v>
      </c>
      <c r="B1957" t="s">
        <v>211</v>
      </c>
      <c r="C1957" t="s">
        <v>50</v>
      </c>
      <c r="D1957" s="3">
        <v>45763</v>
      </c>
      <c r="E1957" t="str">
        <f>VLOOKUP(B1957,'PROCV GERENTES BD'!A:B,2,0)</f>
        <v>RAFAEL PARISE</v>
      </c>
      <c r="F1957" s="4" t="str">
        <f t="shared" si="180"/>
        <v>2025-04</v>
      </c>
      <c r="G1957" s="18">
        <f t="shared" si="181"/>
        <v>16</v>
      </c>
      <c r="H1957" t="str">
        <f t="shared" si="182"/>
        <v>RAFAEL PARISE</v>
      </c>
      <c r="I1957" t="str">
        <f t="shared" si="183"/>
        <v>TREGA FILHOS EMPACOTAMENTO E DISTRIBUICAO LTDA ME</v>
      </c>
      <c r="J1957">
        <f t="shared" si="184"/>
        <v>0</v>
      </c>
      <c r="K1957">
        <f t="shared" si="185"/>
        <v>1</v>
      </c>
    </row>
    <row r="1958" spans="1:11" x14ac:dyDescent="0.25">
      <c r="A1958" t="s">
        <v>484</v>
      </c>
      <c r="B1958" t="s">
        <v>245</v>
      </c>
      <c r="C1958" t="s">
        <v>66</v>
      </c>
      <c r="D1958" s="3">
        <v>45763</v>
      </c>
      <c r="E1958" t="str">
        <f>VLOOKUP(B1958,'PROCV GERENTES BD'!A:B,2,0)</f>
        <v>ADMINISTRAÇÃO</v>
      </c>
      <c r="F1958" s="4" t="str">
        <f t="shared" si="180"/>
        <v>2025-04</v>
      </c>
      <c r="G1958" s="18">
        <f t="shared" si="181"/>
        <v>16</v>
      </c>
      <c r="H1958" t="str">
        <f t="shared" si="182"/>
        <v>ADMINISTRAÇÃO</v>
      </c>
      <c r="I1958" t="str">
        <f t="shared" si="183"/>
        <v>REAL FILTROS E ACESSORIOS AUTOMOTIVOS LTDA</v>
      </c>
      <c r="J1958">
        <f t="shared" si="184"/>
        <v>1</v>
      </c>
      <c r="K1958">
        <f t="shared" si="185"/>
        <v>0</v>
      </c>
    </row>
    <row r="1959" spans="1:11" x14ac:dyDescent="0.25">
      <c r="A1959" t="s">
        <v>56</v>
      </c>
      <c r="B1959" t="s">
        <v>57</v>
      </c>
      <c r="C1959" t="s">
        <v>53</v>
      </c>
      <c r="D1959" s="3">
        <v>45763</v>
      </c>
      <c r="E1959" t="str">
        <f>VLOOKUP(B1959,'PROCV GERENTES BD'!A:B,2,0)</f>
        <v xml:space="preserve">ROGERIO </v>
      </c>
      <c r="F1959" s="4" t="str">
        <f t="shared" si="180"/>
        <v>2025-04</v>
      </c>
      <c r="G1959" s="18">
        <f t="shared" si="181"/>
        <v>16</v>
      </c>
      <c r="H1959" t="str">
        <f t="shared" si="182"/>
        <v xml:space="preserve">ROGERIO </v>
      </c>
      <c r="I1959" t="str">
        <f t="shared" si="183"/>
        <v>RODOVIEIRA TRANSPORTE LTDA</v>
      </c>
      <c r="J1959">
        <f t="shared" si="184"/>
        <v>1</v>
      </c>
      <c r="K1959">
        <f t="shared" si="185"/>
        <v>1</v>
      </c>
    </row>
    <row r="1960" spans="1:11" x14ac:dyDescent="0.25">
      <c r="A1960" t="s">
        <v>499</v>
      </c>
      <c r="B1960" t="s">
        <v>258</v>
      </c>
      <c r="C1960" t="s">
        <v>66</v>
      </c>
      <c r="D1960" s="3">
        <v>45763</v>
      </c>
      <c r="E1960" t="str">
        <f>VLOOKUP(B1960,'PROCV GERENTES BD'!A:B,2,0)</f>
        <v>PRISCILA METZ</v>
      </c>
      <c r="F1960" s="4" t="str">
        <f t="shared" si="180"/>
        <v>2025-04</v>
      </c>
      <c r="G1960" s="18">
        <f t="shared" si="181"/>
        <v>16</v>
      </c>
      <c r="H1960" t="str">
        <f t="shared" si="182"/>
        <v>PRISCILA METZ</v>
      </c>
      <c r="I1960" t="str">
        <f t="shared" si="183"/>
        <v>PLATINUM INDUSTRIA DE CONFECCOES LTDA</v>
      </c>
      <c r="J1960">
        <f t="shared" si="184"/>
        <v>1</v>
      </c>
      <c r="K1960">
        <f t="shared" si="185"/>
        <v>0</v>
      </c>
    </row>
    <row r="1961" spans="1:11" x14ac:dyDescent="0.25">
      <c r="A1961" t="s">
        <v>64</v>
      </c>
      <c r="B1961" t="s">
        <v>65</v>
      </c>
      <c r="C1961" t="s">
        <v>50</v>
      </c>
      <c r="D1961" s="3">
        <v>45763</v>
      </c>
      <c r="E1961" t="str">
        <f>VLOOKUP(B1961,'PROCV GERENTES BD'!A:B,2,0)</f>
        <v>ADMINISTRAÇÃO</v>
      </c>
      <c r="F1961" s="4" t="str">
        <f t="shared" si="180"/>
        <v>2025-04</v>
      </c>
      <c r="G1961" s="18">
        <f t="shared" si="181"/>
        <v>16</v>
      </c>
      <c r="H1961" t="str">
        <f t="shared" si="182"/>
        <v>ADMINISTRAÇÃO</v>
      </c>
      <c r="I1961" t="str">
        <f t="shared" si="183"/>
        <v>SOCIAL S/A</v>
      </c>
      <c r="J1961">
        <f t="shared" si="184"/>
        <v>0</v>
      </c>
      <c r="K1961">
        <f t="shared" si="185"/>
        <v>1</v>
      </c>
    </row>
    <row r="1962" spans="1:11" x14ac:dyDescent="0.25">
      <c r="A1962" t="s">
        <v>314</v>
      </c>
      <c r="B1962" t="s">
        <v>246</v>
      </c>
      <c r="C1962" t="s">
        <v>53</v>
      </c>
      <c r="D1962" s="3">
        <v>45763</v>
      </c>
      <c r="E1962" t="str">
        <f>VLOOKUP(B1962,'PROCV GERENTES BD'!A:B,2,0)</f>
        <v xml:space="preserve">ROGERIO </v>
      </c>
      <c r="F1962" s="4" t="str">
        <f t="shared" si="180"/>
        <v>2025-04</v>
      </c>
      <c r="G1962" s="18">
        <f t="shared" si="181"/>
        <v>16</v>
      </c>
      <c r="H1962" t="str">
        <f t="shared" si="182"/>
        <v xml:space="preserve">ROGERIO </v>
      </c>
      <c r="I1962" t="str">
        <f t="shared" si="183"/>
        <v>MUTCD CENTRO DE DISTRIBUICAO DE IND FABRICANTE DE</v>
      </c>
      <c r="J1962">
        <f t="shared" si="184"/>
        <v>1</v>
      </c>
      <c r="K1962">
        <f t="shared" si="185"/>
        <v>1</v>
      </c>
    </row>
    <row r="1963" spans="1:11" x14ac:dyDescent="0.25">
      <c r="A1963" t="s">
        <v>304</v>
      </c>
      <c r="B1963" t="s">
        <v>123</v>
      </c>
      <c r="C1963" t="s">
        <v>66</v>
      </c>
      <c r="D1963" s="3">
        <v>45764</v>
      </c>
      <c r="E1963" t="str">
        <f>VLOOKUP(B1963,'PROCV GERENTES BD'!A:B,2,0)</f>
        <v>ADMINISTRAÇÃO</v>
      </c>
      <c r="F1963" s="4" t="str">
        <f t="shared" si="180"/>
        <v>2025-04</v>
      </c>
      <c r="G1963" s="18">
        <f t="shared" si="181"/>
        <v>16</v>
      </c>
      <c r="H1963" t="str">
        <f t="shared" si="182"/>
        <v>ADMINISTRAÇÃO</v>
      </c>
      <c r="I1963" t="str">
        <f t="shared" si="183"/>
        <v>VIC LOGISTICA LTDA EM RECUPERACAO JUDICIAL</v>
      </c>
      <c r="J1963">
        <f t="shared" si="184"/>
        <v>1</v>
      </c>
      <c r="K1963">
        <f t="shared" si="185"/>
        <v>0</v>
      </c>
    </row>
    <row r="1964" spans="1:11" x14ac:dyDescent="0.25">
      <c r="A1964" t="s">
        <v>466</v>
      </c>
      <c r="B1964" t="s">
        <v>223</v>
      </c>
      <c r="C1964" t="s">
        <v>66</v>
      </c>
      <c r="D1964" s="3">
        <v>45764</v>
      </c>
      <c r="E1964" t="str">
        <f>VLOOKUP(B1964,'PROCV GERENTES BD'!A:B,2,0)</f>
        <v>CELIO PIMENTA</v>
      </c>
      <c r="F1964" s="4" t="str">
        <f t="shared" si="180"/>
        <v>2025-04</v>
      </c>
      <c r="G1964" s="18">
        <f t="shared" si="181"/>
        <v>16</v>
      </c>
      <c r="H1964" t="str">
        <f t="shared" si="182"/>
        <v>CELIO PIMENTA</v>
      </c>
      <c r="I1964" t="str">
        <f t="shared" si="183"/>
        <v>ACO X LTDA ME</v>
      </c>
      <c r="J1964">
        <f t="shared" si="184"/>
        <v>1</v>
      </c>
      <c r="K1964">
        <f t="shared" si="185"/>
        <v>0</v>
      </c>
    </row>
    <row r="1965" spans="1:11" x14ac:dyDescent="0.25">
      <c r="A1965" t="s">
        <v>383</v>
      </c>
      <c r="B1965" t="s">
        <v>130</v>
      </c>
      <c r="C1965" t="s">
        <v>53</v>
      </c>
      <c r="D1965" s="3">
        <v>45764</v>
      </c>
      <c r="E1965" t="str">
        <f>VLOOKUP(B1965,'PROCV GERENTES BD'!A:B,2,0)</f>
        <v>CELIO PIMENTA</v>
      </c>
      <c r="F1965" s="4" t="str">
        <f t="shared" si="180"/>
        <v>2025-04</v>
      </c>
      <c r="G1965" s="18">
        <f t="shared" si="181"/>
        <v>16</v>
      </c>
      <c r="H1965" t="str">
        <f t="shared" si="182"/>
        <v>CELIO PIMENTA</v>
      </c>
      <c r="I1965" t="str">
        <f t="shared" si="183"/>
        <v>JR X IMPORT LTDA EPP</v>
      </c>
      <c r="J1965">
        <f t="shared" si="184"/>
        <v>1</v>
      </c>
      <c r="K1965">
        <f t="shared" si="185"/>
        <v>1</v>
      </c>
    </row>
    <row r="1966" spans="1:11" x14ac:dyDescent="0.25">
      <c r="A1966" t="s">
        <v>450</v>
      </c>
      <c r="B1966" t="s">
        <v>207</v>
      </c>
      <c r="C1966" t="s">
        <v>50</v>
      </c>
      <c r="D1966" s="3">
        <v>45764</v>
      </c>
      <c r="E1966" t="str">
        <f>VLOOKUP(B1966,'PROCV GERENTES BD'!A:B,2,0)</f>
        <v>CELIO PIMENTA</v>
      </c>
      <c r="F1966" s="4" t="str">
        <f t="shared" si="180"/>
        <v>2025-04</v>
      </c>
      <c r="G1966" s="18">
        <f t="shared" si="181"/>
        <v>16</v>
      </c>
      <c r="H1966" t="str">
        <f t="shared" si="182"/>
        <v>CELIO PIMENTA</v>
      </c>
      <c r="I1966" t="str">
        <f t="shared" si="183"/>
        <v>LIDER COMERCIO DE UNIFORMES E EPI S LTDA ME</v>
      </c>
      <c r="J1966">
        <f t="shared" si="184"/>
        <v>0</v>
      </c>
      <c r="K1966">
        <f t="shared" si="185"/>
        <v>1</v>
      </c>
    </row>
    <row r="1967" spans="1:11" x14ac:dyDescent="0.25">
      <c r="A1967" t="s">
        <v>324</v>
      </c>
      <c r="B1967" t="s">
        <v>119</v>
      </c>
      <c r="C1967" t="s">
        <v>66</v>
      </c>
      <c r="D1967" s="3">
        <v>45764</v>
      </c>
      <c r="E1967" t="str">
        <f>VLOOKUP(B1967,'PROCV GERENTES BD'!A:B,2,0)</f>
        <v>PROSPECTAR</v>
      </c>
      <c r="F1967" s="4" t="str">
        <f t="shared" si="180"/>
        <v>2025-04</v>
      </c>
      <c r="G1967" s="18">
        <f t="shared" si="181"/>
        <v>16</v>
      </c>
      <c r="H1967" t="str">
        <f t="shared" si="182"/>
        <v>PROSPECTAR</v>
      </c>
      <c r="I1967" t="str">
        <f t="shared" si="183"/>
        <v>TRANSHENRY TRANSPORTES LTDA</v>
      </c>
      <c r="J1967">
        <f t="shared" si="184"/>
        <v>1</v>
      </c>
      <c r="K1967">
        <f t="shared" si="185"/>
        <v>0</v>
      </c>
    </row>
    <row r="1968" spans="1:11" x14ac:dyDescent="0.25">
      <c r="A1968" t="s">
        <v>359</v>
      </c>
      <c r="B1968" t="s">
        <v>105</v>
      </c>
      <c r="C1968" t="s">
        <v>66</v>
      </c>
      <c r="D1968" s="3">
        <v>45764</v>
      </c>
      <c r="E1968" t="str">
        <f>VLOOKUP(B1968,'PROCV GERENTES BD'!A:B,2,0)</f>
        <v>PROSPECTAR</v>
      </c>
      <c r="F1968" s="4" t="str">
        <f t="shared" si="180"/>
        <v>2025-04</v>
      </c>
      <c r="G1968" s="18">
        <f t="shared" si="181"/>
        <v>16</v>
      </c>
      <c r="H1968" t="str">
        <f t="shared" si="182"/>
        <v>PROSPECTAR</v>
      </c>
      <c r="I1968" t="str">
        <f t="shared" si="183"/>
        <v>ALEXANDRE ROSA VICENTE E SERVICOS LTDA ME</v>
      </c>
      <c r="J1968">
        <f t="shared" si="184"/>
        <v>1</v>
      </c>
      <c r="K1968">
        <f t="shared" si="185"/>
        <v>0</v>
      </c>
    </row>
    <row r="1969" spans="1:11" x14ac:dyDescent="0.25">
      <c r="A1969" t="s">
        <v>412</v>
      </c>
      <c r="B1969" t="s">
        <v>162</v>
      </c>
      <c r="C1969" t="s">
        <v>50</v>
      </c>
      <c r="D1969" s="3">
        <v>45764</v>
      </c>
      <c r="E1969" t="str">
        <f>VLOOKUP(B1969,'PROCV GERENTES BD'!A:B,2,0)</f>
        <v>PROSPECTAR</v>
      </c>
      <c r="F1969" s="4" t="str">
        <f t="shared" si="180"/>
        <v>2025-04</v>
      </c>
      <c r="G1969" s="18">
        <f t="shared" si="181"/>
        <v>16</v>
      </c>
      <c r="H1969" t="str">
        <f t="shared" si="182"/>
        <v>PROSPECTAR</v>
      </c>
      <c r="I1969" t="str">
        <f t="shared" si="183"/>
        <v>MORIA PRESTACAO DE SERVICOS LTDA ME</v>
      </c>
      <c r="J1969">
        <f t="shared" si="184"/>
        <v>0</v>
      </c>
      <c r="K1969">
        <f t="shared" si="185"/>
        <v>1</v>
      </c>
    </row>
    <row r="1970" spans="1:11" x14ac:dyDescent="0.25">
      <c r="A1970" t="s">
        <v>62</v>
      </c>
      <c r="B1970" t="s">
        <v>63</v>
      </c>
      <c r="C1970" t="s">
        <v>50</v>
      </c>
      <c r="D1970" s="3">
        <v>45764</v>
      </c>
      <c r="E1970" t="str">
        <f>VLOOKUP(B1970,'PROCV GERENTES BD'!A:B,2,0)</f>
        <v>PROSPECTAR</v>
      </c>
      <c r="F1970" s="4" t="str">
        <f t="shared" si="180"/>
        <v>2025-04</v>
      </c>
      <c r="G1970" s="18">
        <f t="shared" si="181"/>
        <v>16</v>
      </c>
      <c r="H1970" t="str">
        <f t="shared" si="182"/>
        <v>PROSPECTAR</v>
      </c>
      <c r="I1970" t="str">
        <f t="shared" si="183"/>
        <v>MAPP COM IMPORTACAO EXPORTACAO IND PRODUTOS ALIMEN</v>
      </c>
      <c r="J1970">
        <f t="shared" si="184"/>
        <v>0</v>
      </c>
      <c r="K1970">
        <f t="shared" si="185"/>
        <v>1</v>
      </c>
    </row>
    <row r="1971" spans="1:11" x14ac:dyDescent="0.25">
      <c r="A1971" t="s">
        <v>310</v>
      </c>
      <c r="B1971" t="s">
        <v>204</v>
      </c>
      <c r="C1971" t="s">
        <v>50</v>
      </c>
      <c r="D1971" s="3">
        <v>45764</v>
      </c>
      <c r="E1971" t="str">
        <f>VLOOKUP(B1971,'PROCV GERENTES BD'!A:B,2,0)</f>
        <v xml:space="preserve">MARCUS VINICIUS </v>
      </c>
      <c r="F1971" s="4" t="str">
        <f t="shared" si="180"/>
        <v>2025-04</v>
      </c>
      <c r="G1971" s="18">
        <f t="shared" si="181"/>
        <v>16</v>
      </c>
      <c r="H1971" t="str">
        <f t="shared" si="182"/>
        <v xml:space="preserve">MARCUS VINICIUS </v>
      </c>
      <c r="I1971" t="str">
        <f t="shared" si="183"/>
        <v>INDUSTRIA E COMERCIO DE CHURRASQUEIRAS BOM JESUS L</v>
      </c>
      <c r="J1971">
        <f t="shared" si="184"/>
        <v>0</v>
      </c>
      <c r="K1971">
        <f t="shared" si="185"/>
        <v>1</v>
      </c>
    </row>
    <row r="1972" spans="1:11" x14ac:dyDescent="0.25">
      <c r="A1972" t="s">
        <v>375</v>
      </c>
      <c r="B1972" t="s">
        <v>120</v>
      </c>
      <c r="C1972" t="s">
        <v>66</v>
      </c>
      <c r="D1972" s="3">
        <v>45764</v>
      </c>
      <c r="E1972" t="str">
        <f>VLOOKUP(B1972,'PROCV GERENTES BD'!A:B,2,0)</f>
        <v>ADMINISTRAÇÃO</v>
      </c>
      <c r="F1972" s="4" t="str">
        <f t="shared" si="180"/>
        <v>2025-04</v>
      </c>
      <c r="G1972" s="18">
        <f t="shared" si="181"/>
        <v>16</v>
      </c>
      <c r="H1972" t="str">
        <f t="shared" si="182"/>
        <v>ADMINISTRAÇÃO</v>
      </c>
      <c r="I1972" t="str">
        <f t="shared" si="183"/>
        <v>FARINELLI NUTRIMENTOS LTDA</v>
      </c>
      <c r="J1972">
        <f t="shared" si="184"/>
        <v>1</v>
      </c>
      <c r="K1972">
        <f t="shared" si="185"/>
        <v>0</v>
      </c>
    </row>
    <row r="1973" spans="1:11" x14ac:dyDescent="0.25">
      <c r="A1973" t="s">
        <v>438</v>
      </c>
      <c r="B1973" t="s">
        <v>189</v>
      </c>
      <c r="C1973" t="s">
        <v>50</v>
      </c>
      <c r="D1973" s="3">
        <v>45764</v>
      </c>
      <c r="E1973" t="str">
        <f>VLOOKUP(B1973,'PROCV GERENTES BD'!A:B,2,0)</f>
        <v>NOELI SALETE</v>
      </c>
      <c r="F1973" s="4" t="str">
        <f t="shared" si="180"/>
        <v>2025-04</v>
      </c>
      <c r="G1973" s="18">
        <f t="shared" si="181"/>
        <v>16</v>
      </c>
      <c r="H1973" t="str">
        <f t="shared" si="182"/>
        <v>NOELI SALETE</v>
      </c>
      <c r="I1973" t="str">
        <f t="shared" si="183"/>
        <v>AGRO INDUSTRIAL LAZZERI LTDA</v>
      </c>
      <c r="J1973">
        <f t="shared" si="184"/>
        <v>0</v>
      </c>
      <c r="K1973">
        <f t="shared" si="185"/>
        <v>1</v>
      </c>
    </row>
    <row r="1974" spans="1:11" x14ac:dyDescent="0.25">
      <c r="A1974" t="s">
        <v>407</v>
      </c>
      <c r="B1974" t="s">
        <v>157</v>
      </c>
      <c r="C1974" t="s">
        <v>50</v>
      </c>
      <c r="D1974" s="3">
        <v>45764</v>
      </c>
      <c r="E1974" t="str">
        <f>VLOOKUP(B1974,'PROCV GERENTES BD'!A:B,2,0)</f>
        <v>NOELI SALETE</v>
      </c>
      <c r="F1974" s="4" t="str">
        <f t="shared" si="180"/>
        <v>2025-04</v>
      </c>
      <c r="G1974" s="18">
        <f t="shared" si="181"/>
        <v>16</v>
      </c>
      <c r="H1974" t="str">
        <f t="shared" si="182"/>
        <v>NOELI SALETE</v>
      </c>
      <c r="I1974" t="str">
        <f t="shared" si="183"/>
        <v>SGAMAQ INOVACAO AGROINDUSTRIAL LTDA</v>
      </c>
      <c r="J1974">
        <f t="shared" si="184"/>
        <v>0</v>
      </c>
      <c r="K1974">
        <f t="shared" si="185"/>
        <v>1</v>
      </c>
    </row>
    <row r="1975" spans="1:11" x14ac:dyDescent="0.25">
      <c r="A1975" t="s">
        <v>389</v>
      </c>
      <c r="B1975" t="s">
        <v>136</v>
      </c>
      <c r="C1975" t="s">
        <v>66</v>
      </c>
      <c r="D1975" s="3">
        <v>45764</v>
      </c>
      <c r="E1975" t="str">
        <f>VLOOKUP(B1975,'PROCV GERENTES BD'!A:B,2,0)</f>
        <v>POENATELA</v>
      </c>
      <c r="F1975" s="4" t="str">
        <f t="shared" si="180"/>
        <v>2025-04</v>
      </c>
      <c r="G1975" s="18">
        <f t="shared" si="181"/>
        <v>16</v>
      </c>
      <c r="H1975" t="str">
        <f t="shared" si="182"/>
        <v>POENATELA</v>
      </c>
      <c r="I1975" t="str">
        <f t="shared" si="183"/>
        <v>CONQUISTA INDUSTRIA DE MOVEIS S/A</v>
      </c>
      <c r="J1975">
        <f t="shared" si="184"/>
        <v>1</v>
      </c>
      <c r="K1975">
        <f t="shared" si="185"/>
        <v>0</v>
      </c>
    </row>
    <row r="1976" spans="1:11" x14ac:dyDescent="0.25">
      <c r="A1976" t="s">
        <v>307</v>
      </c>
      <c r="B1976" t="s">
        <v>102</v>
      </c>
      <c r="C1976" t="s">
        <v>66</v>
      </c>
      <c r="D1976" s="3">
        <v>45764</v>
      </c>
      <c r="E1976" t="str">
        <f>VLOOKUP(B1976,'PROCV GERENTES BD'!A:B,2,0)</f>
        <v>POENATELA</v>
      </c>
      <c r="F1976" s="4" t="str">
        <f t="shared" si="180"/>
        <v>2025-04</v>
      </c>
      <c r="G1976" s="18">
        <f t="shared" si="181"/>
        <v>16</v>
      </c>
      <c r="H1976" t="str">
        <f t="shared" si="182"/>
        <v>POENATELA</v>
      </c>
      <c r="I1976" t="str">
        <f t="shared" si="183"/>
        <v>ECOPINUS INDUSTRIA E COMERCIO DE EMBALAGENS DE MAD</v>
      </c>
      <c r="J1976">
        <f t="shared" si="184"/>
        <v>1</v>
      </c>
      <c r="K1976">
        <f t="shared" si="185"/>
        <v>0</v>
      </c>
    </row>
    <row r="1977" spans="1:11" x14ac:dyDescent="0.25">
      <c r="A1977" t="s">
        <v>352</v>
      </c>
      <c r="B1977" t="s">
        <v>96</v>
      </c>
      <c r="C1977" t="s">
        <v>66</v>
      </c>
      <c r="D1977" s="3">
        <v>45764</v>
      </c>
      <c r="E1977" t="str">
        <f>VLOOKUP(B1977,'PROCV GERENTES BD'!A:B,2,0)</f>
        <v>POENATELA</v>
      </c>
      <c r="F1977" s="4" t="str">
        <f t="shared" si="180"/>
        <v>2025-04</v>
      </c>
      <c r="G1977" s="18">
        <f t="shared" si="181"/>
        <v>16</v>
      </c>
      <c r="H1977" t="str">
        <f t="shared" si="182"/>
        <v>POENATELA</v>
      </c>
      <c r="I1977" t="str">
        <f t="shared" si="183"/>
        <v>SUPER HARD TECNOLOGIA EM TRATAMENTO DE SUPERFICIES</v>
      </c>
      <c r="J1977">
        <f t="shared" si="184"/>
        <v>1</v>
      </c>
      <c r="K1977">
        <f t="shared" si="185"/>
        <v>0</v>
      </c>
    </row>
    <row r="1978" spans="1:11" x14ac:dyDescent="0.25">
      <c r="A1978" t="s">
        <v>475</v>
      </c>
      <c r="B1978" t="s">
        <v>232</v>
      </c>
      <c r="C1978" t="s">
        <v>66</v>
      </c>
      <c r="D1978" s="3">
        <v>45764</v>
      </c>
      <c r="E1978" t="str">
        <f>VLOOKUP(B1978,'PROCV GERENTES BD'!A:B,2,0)</f>
        <v>POENATELA</v>
      </c>
      <c r="F1978" s="4" t="str">
        <f t="shared" si="180"/>
        <v>2025-04</v>
      </c>
      <c r="G1978" s="18">
        <f t="shared" si="181"/>
        <v>16</v>
      </c>
      <c r="H1978" t="str">
        <f t="shared" si="182"/>
        <v>POENATELA</v>
      </c>
      <c r="I1978" t="str">
        <f t="shared" si="183"/>
        <v>JUATUBA MOVEIS E EMBALAGENS LTDA</v>
      </c>
      <c r="J1978">
        <f t="shared" si="184"/>
        <v>1</v>
      </c>
      <c r="K1978">
        <f t="shared" si="185"/>
        <v>0</v>
      </c>
    </row>
    <row r="1979" spans="1:11" x14ac:dyDescent="0.25">
      <c r="A1979" t="s">
        <v>76</v>
      </c>
      <c r="B1979" t="s">
        <v>77</v>
      </c>
      <c r="C1979" t="s">
        <v>50</v>
      </c>
      <c r="D1979" s="3">
        <v>45764</v>
      </c>
      <c r="E1979" t="str">
        <f>VLOOKUP(B1979,'PROCV GERENTES BD'!A:B,2,0)</f>
        <v>RAFAEL PARISE</v>
      </c>
      <c r="F1979" s="4" t="str">
        <f t="shared" si="180"/>
        <v>2025-04</v>
      </c>
      <c r="G1979" s="18">
        <f t="shared" si="181"/>
        <v>16</v>
      </c>
      <c r="H1979" t="str">
        <f t="shared" si="182"/>
        <v>RAFAEL PARISE</v>
      </c>
      <c r="I1979" t="str">
        <f t="shared" si="183"/>
        <v>UNITA AUTO PECAS LTDA EPP</v>
      </c>
      <c r="J1979">
        <f t="shared" si="184"/>
        <v>0</v>
      </c>
      <c r="K1979">
        <f t="shared" si="185"/>
        <v>1</v>
      </c>
    </row>
    <row r="1980" spans="1:11" x14ac:dyDescent="0.25">
      <c r="A1980" t="s">
        <v>457</v>
      </c>
      <c r="B1980" t="s">
        <v>214</v>
      </c>
      <c r="C1980" t="s">
        <v>50</v>
      </c>
      <c r="D1980" s="3">
        <v>45764</v>
      </c>
      <c r="E1980" t="s">
        <v>21</v>
      </c>
      <c r="F1980" s="4" t="str">
        <f t="shared" si="180"/>
        <v>2025-04</v>
      </c>
      <c r="G1980" s="18">
        <f t="shared" si="181"/>
        <v>16</v>
      </c>
      <c r="H1980" t="str">
        <f t="shared" si="182"/>
        <v xml:space="preserve">ROGERIO </v>
      </c>
      <c r="I1980" t="str">
        <f t="shared" si="183"/>
        <v>METAL STAMP INDUSTRIA E COMERCIO LTDA</v>
      </c>
      <c r="J1980">
        <f t="shared" si="184"/>
        <v>0</v>
      </c>
      <c r="K1980">
        <f t="shared" si="185"/>
        <v>1</v>
      </c>
    </row>
    <row r="1981" spans="1:11" x14ac:dyDescent="0.25">
      <c r="A1981" t="s">
        <v>326</v>
      </c>
      <c r="B1981" t="s">
        <v>122</v>
      </c>
      <c r="C1981" t="s">
        <v>66</v>
      </c>
      <c r="D1981" s="3">
        <v>45764</v>
      </c>
      <c r="E1981" t="s">
        <v>21</v>
      </c>
      <c r="F1981" s="4" t="str">
        <f t="shared" si="180"/>
        <v>2025-04</v>
      </c>
      <c r="G1981" s="18">
        <f t="shared" si="181"/>
        <v>16</v>
      </c>
      <c r="H1981" t="str">
        <f t="shared" si="182"/>
        <v xml:space="preserve">ROGERIO </v>
      </c>
      <c r="I1981" t="str">
        <f t="shared" si="183"/>
        <v>BIBE PRODUTOS INFANTIS LTDA</v>
      </c>
      <c r="J1981">
        <f t="shared" si="184"/>
        <v>1</v>
      </c>
      <c r="K1981">
        <f t="shared" si="185"/>
        <v>0</v>
      </c>
    </row>
    <row r="1982" spans="1:11" x14ac:dyDescent="0.25">
      <c r="A1982" t="s">
        <v>56</v>
      </c>
      <c r="B1982" t="s">
        <v>57</v>
      </c>
      <c r="C1982" t="s">
        <v>66</v>
      </c>
      <c r="D1982" s="3">
        <v>45764</v>
      </c>
      <c r="E1982" t="str">
        <f>VLOOKUP(B1982,'PROCV GERENTES BD'!A:B,2,0)</f>
        <v xml:space="preserve">ROGERIO </v>
      </c>
      <c r="F1982" s="4" t="str">
        <f t="shared" si="180"/>
        <v>2025-04</v>
      </c>
      <c r="G1982" s="18">
        <f t="shared" si="181"/>
        <v>16</v>
      </c>
      <c r="H1982" t="str">
        <f t="shared" si="182"/>
        <v xml:space="preserve">ROGERIO </v>
      </c>
      <c r="I1982" t="str">
        <f t="shared" si="183"/>
        <v>RODOVIEIRA TRANSPORTE LTDA</v>
      </c>
      <c r="J1982">
        <f t="shared" si="184"/>
        <v>1</v>
      </c>
      <c r="K1982">
        <f t="shared" si="185"/>
        <v>0</v>
      </c>
    </row>
    <row r="1983" spans="1:11" x14ac:dyDescent="0.25">
      <c r="A1983" t="s">
        <v>500</v>
      </c>
      <c r="B1983" t="s">
        <v>259</v>
      </c>
      <c r="C1983" t="s">
        <v>66</v>
      </c>
      <c r="D1983" s="3">
        <v>45764</v>
      </c>
      <c r="E1983" t="str">
        <f>VLOOKUP(B1983,'PROCV GERENTES BD'!A:B,2,0)</f>
        <v>SEM GERENTE</v>
      </c>
      <c r="F1983" s="4" t="str">
        <f t="shared" si="180"/>
        <v>2025-04</v>
      </c>
      <c r="G1983" s="18">
        <f t="shared" si="181"/>
        <v>16</v>
      </c>
      <c r="H1983" t="str">
        <f t="shared" si="182"/>
        <v>SEM GERENTE</v>
      </c>
      <c r="I1983" t="str">
        <f t="shared" si="183"/>
        <v>APOLO DISTRIBUIDORA LTDA</v>
      </c>
      <c r="J1983">
        <f t="shared" si="184"/>
        <v>1</v>
      </c>
      <c r="K1983">
        <f t="shared" si="185"/>
        <v>0</v>
      </c>
    </row>
    <row r="1984" spans="1:11" x14ac:dyDescent="0.25">
      <c r="A1984" t="s">
        <v>490</v>
      </c>
      <c r="B1984" t="s">
        <v>248</v>
      </c>
      <c r="C1984" t="s">
        <v>50</v>
      </c>
      <c r="D1984" s="3">
        <v>45764</v>
      </c>
      <c r="E1984" t="str">
        <f>VLOOKUP(B1984,'PROCV GERENTES BD'!A:B,2,0)</f>
        <v>PROSPECTAR</v>
      </c>
      <c r="F1984" s="4" t="str">
        <f t="shared" si="180"/>
        <v>2025-04</v>
      </c>
      <c r="G1984" s="18">
        <f t="shared" si="181"/>
        <v>16</v>
      </c>
      <c r="H1984" t="str">
        <f t="shared" si="182"/>
        <v>PROSPECTAR</v>
      </c>
      <c r="I1984" t="str">
        <f t="shared" si="183"/>
        <v>PRODUTOS PORTEIRAO COM DIST E REP LTDA EPP</v>
      </c>
      <c r="J1984">
        <f t="shared" si="184"/>
        <v>0</v>
      </c>
      <c r="K1984">
        <f t="shared" si="185"/>
        <v>1</v>
      </c>
    </row>
    <row r="1985" spans="1:11" x14ac:dyDescent="0.25">
      <c r="A1985" t="s">
        <v>331</v>
      </c>
      <c r="B1985" t="s">
        <v>144</v>
      </c>
      <c r="C1985" t="s">
        <v>50</v>
      </c>
      <c r="D1985" s="3">
        <v>45765</v>
      </c>
      <c r="E1985" t="str">
        <f>VLOOKUP(B1985,'PROCV GERENTES BD'!A:B,2,0)</f>
        <v>ADMINISTRAÇÃO</v>
      </c>
      <c r="F1985" s="4" t="str">
        <f t="shared" si="180"/>
        <v>2025-04</v>
      </c>
      <c r="G1985" s="18">
        <f t="shared" si="181"/>
        <v>16</v>
      </c>
      <c r="H1985" t="str">
        <f t="shared" si="182"/>
        <v>ADMINISTRAÇÃO</v>
      </c>
      <c r="I1985" t="str">
        <f t="shared" si="183"/>
        <v>BOM PASTOR PAPEIS LTDA EM RECUPERACAO JUDICIAL</v>
      </c>
      <c r="J1985">
        <f t="shared" si="184"/>
        <v>0</v>
      </c>
      <c r="K1985">
        <f t="shared" si="185"/>
        <v>1</v>
      </c>
    </row>
    <row r="1986" spans="1:11" x14ac:dyDescent="0.25">
      <c r="A1986" t="s">
        <v>459</v>
      </c>
      <c r="B1986" t="s">
        <v>216</v>
      </c>
      <c r="C1986" t="s">
        <v>50</v>
      </c>
      <c r="D1986" s="3">
        <v>45765</v>
      </c>
      <c r="E1986" t="str">
        <f>VLOOKUP(B1986,'PROCV GERENTES BD'!A:B,2,0)</f>
        <v>ADMINISTRAÇÃO</v>
      </c>
      <c r="F1986" s="4" t="str">
        <f t="shared" ref="F1986:F2049" si="186">YEAR(D1986)&amp;"-"&amp;TEXT(MONTH(D1986),"00")</f>
        <v>2025-04</v>
      </c>
      <c r="G1986" s="18">
        <f t="shared" ref="G1986:G2049" si="187">WEEKNUM(D1986)</f>
        <v>16</v>
      </c>
      <c r="H1986" t="str">
        <f t="shared" ref="H1986:H2049" si="188">E1986</f>
        <v>ADMINISTRAÇÃO</v>
      </c>
      <c r="I1986" t="str">
        <f t="shared" ref="I1986:I2049" si="189">B1986</f>
        <v>JABEZ SERVICOS COMPARTILHADOS LTDA ME</v>
      </c>
      <c r="J1986">
        <f t="shared" ref="J1986:J2049" si="190">IF(OR(C1986="EXCLUSAO  ANOT.INADIMPLENCIA",C1986="INCL/EXCL ANOT.INADIMPLENCIA"),1,0)</f>
        <v>0</v>
      </c>
      <c r="K1986">
        <f t="shared" ref="K1986:K2049" si="191">IF(OR(C1986="INCLUSAO  ANOT.INADIMPLENCIA",C1986="INCL/EXCL ANOT.INADIMPLENCIA"),1,0)</f>
        <v>1</v>
      </c>
    </row>
    <row r="1987" spans="1:11" x14ac:dyDescent="0.25">
      <c r="A1987" t="s">
        <v>383</v>
      </c>
      <c r="B1987" t="s">
        <v>130</v>
      </c>
      <c r="C1987" t="s">
        <v>50</v>
      </c>
      <c r="D1987" s="3">
        <v>45765</v>
      </c>
      <c r="E1987" t="str">
        <f>VLOOKUP(B1987,'PROCV GERENTES BD'!A:B,2,0)</f>
        <v>CELIO PIMENTA</v>
      </c>
      <c r="F1987" s="4" t="str">
        <f t="shared" si="186"/>
        <v>2025-04</v>
      </c>
      <c r="G1987" s="18">
        <f t="shared" si="187"/>
        <v>16</v>
      </c>
      <c r="H1987" t="str">
        <f t="shared" si="188"/>
        <v>CELIO PIMENTA</v>
      </c>
      <c r="I1987" t="str">
        <f t="shared" si="189"/>
        <v>JR X IMPORT LTDA EPP</v>
      </c>
      <c r="J1987">
        <f t="shared" si="190"/>
        <v>0</v>
      </c>
      <c r="K1987">
        <f t="shared" si="191"/>
        <v>1</v>
      </c>
    </row>
    <row r="1988" spans="1:11" x14ac:dyDescent="0.25">
      <c r="A1988" t="s">
        <v>311</v>
      </c>
      <c r="B1988" t="s">
        <v>81</v>
      </c>
      <c r="C1988" t="s">
        <v>66</v>
      </c>
      <c r="D1988" s="3">
        <v>45765</v>
      </c>
      <c r="E1988" t="str">
        <f>VLOOKUP(B1988,'PROCV GERENTES BD'!A:B,2,0)</f>
        <v>CELIO PIMENTA</v>
      </c>
      <c r="F1988" s="4" t="str">
        <f t="shared" si="186"/>
        <v>2025-04</v>
      </c>
      <c r="G1988" s="18">
        <f t="shared" si="187"/>
        <v>16</v>
      </c>
      <c r="H1988" t="str">
        <f t="shared" si="188"/>
        <v>CELIO PIMENTA</v>
      </c>
      <c r="I1988" t="str">
        <f t="shared" si="189"/>
        <v>MBIOLOG DIAGNOSTICOS LTDA</v>
      </c>
      <c r="J1988">
        <f t="shared" si="190"/>
        <v>1</v>
      </c>
      <c r="K1988">
        <f t="shared" si="191"/>
        <v>0</v>
      </c>
    </row>
    <row r="1989" spans="1:11" x14ac:dyDescent="0.25">
      <c r="A1989" t="s">
        <v>54</v>
      </c>
      <c r="B1989" t="s">
        <v>55</v>
      </c>
      <c r="C1989" t="s">
        <v>50</v>
      </c>
      <c r="D1989" s="3">
        <v>45765</v>
      </c>
      <c r="E1989" t="str">
        <f>VLOOKUP(B1989,'PROCV GERENTES BD'!A:B,2,0)</f>
        <v>CELIO PIMENTA</v>
      </c>
      <c r="F1989" s="4" t="str">
        <f t="shared" si="186"/>
        <v>2025-04</v>
      </c>
      <c r="G1989" s="18">
        <f t="shared" si="187"/>
        <v>16</v>
      </c>
      <c r="H1989" t="str">
        <f t="shared" si="188"/>
        <v>CELIO PIMENTA</v>
      </c>
      <c r="I1989" t="str">
        <f t="shared" si="189"/>
        <v>WJ CALDEIRARIA INDUSTRIA E COMERCIO LTDA ME</v>
      </c>
      <c r="J1989">
        <f t="shared" si="190"/>
        <v>0</v>
      </c>
      <c r="K1989">
        <f t="shared" si="191"/>
        <v>1</v>
      </c>
    </row>
    <row r="1990" spans="1:11" x14ac:dyDescent="0.25">
      <c r="A1990" t="s">
        <v>374</v>
      </c>
      <c r="B1990" t="s">
        <v>118</v>
      </c>
      <c r="C1990" t="s">
        <v>50</v>
      </c>
      <c r="D1990" s="3">
        <v>45765</v>
      </c>
      <c r="E1990" t="str">
        <f>VLOOKUP(B1990,'PROCV GERENTES BD'!A:B,2,0)</f>
        <v>CELIO PIMENTA</v>
      </c>
      <c r="F1990" s="4" t="str">
        <f t="shared" si="186"/>
        <v>2025-04</v>
      </c>
      <c r="G1990" s="18">
        <f t="shared" si="187"/>
        <v>16</v>
      </c>
      <c r="H1990" t="str">
        <f t="shared" si="188"/>
        <v>CELIO PIMENTA</v>
      </c>
      <c r="I1990" t="str">
        <f t="shared" si="189"/>
        <v>MINAS ALIMENTOS E FRUTAS SECAS LTDA EPP</v>
      </c>
      <c r="J1990">
        <f t="shared" si="190"/>
        <v>0</v>
      </c>
      <c r="K1990">
        <f t="shared" si="191"/>
        <v>1</v>
      </c>
    </row>
    <row r="1991" spans="1:11" x14ac:dyDescent="0.25">
      <c r="A1991" t="s">
        <v>460</v>
      </c>
      <c r="B1991" t="s">
        <v>217</v>
      </c>
      <c r="C1991" t="s">
        <v>66</v>
      </c>
      <c r="D1991" s="3">
        <v>45765</v>
      </c>
      <c r="E1991" t="str">
        <f>VLOOKUP(B1991,'PROCV GERENTES BD'!A:B,2,0)</f>
        <v>CELIO PIMENTA</v>
      </c>
      <c r="F1991" s="4" t="str">
        <f t="shared" si="186"/>
        <v>2025-04</v>
      </c>
      <c r="G1991" s="18">
        <f t="shared" si="187"/>
        <v>16</v>
      </c>
      <c r="H1991" t="str">
        <f t="shared" si="188"/>
        <v>CELIO PIMENTA</v>
      </c>
      <c r="I1991" t="str">
        <f t="shared" si="189"/>
        <v>MINAS CLEAN DISTRIBUIDORA DE PRODUTOS PARA LIMPEZA</v>
      </c>
      <c r="J1991">
        <f t="shared" si="190"/>
        <v>1</v>
      </c>
      <c r="K1991">
        <f t="shared" si="191"/>
        <v>0</v>
      </c>
    </row>
    <row r="1992" spans="1:11" x14ac:dyDescent="0.25">
      <c r="A1992" t="s">
        <v>415</v>
      </c>
      <c r="B1992" t="s">
        <v>165</v>
      </c>
      <c r="C1992" t="s">
        <v>50</v>
      </c>
      <c r="D1992" s="3">
        <v>45765</v>
      </c>
      <c r="E1992" t="str">
        <f>VLOOKUP(B1992,'PROCV GERENTES BD'!A:B,2,0)</f>
        <v>PROSPECTAR</v>
      </c>
      <c r="F1992" s="4" t="str">
        <f t="shared" si="186"/>
        <v>2025-04</v>
      </c>
      <c r="G1992" s="18">
        <f t="shared" si="187"/>
        <v>16</v>
      </c>
      <c r="H1992" t="str">
        <f t="shared" si="188"/>
        <v>PROSPECTAR</v>
      </c>
      <c r="I1992" t="str">
        <f t="shared" si="189"/>
        <v>STA SERVICOS LTDA</v>
      </c>
      <c r="J1992">
        <f t="shared" si="190"/>
        <v>0</v>
      </c>
      <c r="K1992">
        <f t="shared" si="191"/>
        <v>1</v>
      </c>
    </row>
    <row r="1993" spans="1:11" x14ac:dyDescent="0.25">
      <c r="A1993" t="s">
        <v>62</v>
      </c>
      <c r="B1993" t="s">
        <v>63</v>
      </c>
      <c r="C1993" t="s">
        <v>50</v>
      </c>
      <c r="D1993" s="3">
        <v>45765</v>
      </c>
      <c r="E1993" t="str">
        <f>VLOOKUP(B1993,'PROCV GERENTES BD'!A:B,2,0)</f>
        <v>PROSPECTAR</v>
      </c>
      <c r="F1993" s="4" t="str">
        <f t="shared" si="186"/>
        <v>2025-04</v>
      </c>
      <c r="G1993" s="18">
        <f t="shared" si="187"/>
        <v>16</v>
      </c>
      <c r="H1993" t="str">
        <f t="shared" si="188"/>
        <v>PROSPECTAR</v>
      </c>
      <c r="I1993" t="str">
        <f t="shared" si="189"/>
        <v>MAPP COM IMPORTACAO EXPORTACAO IND PRODUTOS ALIMEN</v>
      </c>
      <c r="J1993">
        <f t="shared" si="190"/>
        <v>0</v>
      </c>
      <c r="K1993">
        <f t="shared" si="191"/>
        <v>1</v>
      </c>
    </row>
    <row r="1994" spans="1:11" x14ac:dyDescent="0.25">
      <c r="A1994" t="s">
        <v>428</v>
      </c>
      <c r="B1994" t="s">
        <v>179</v>
      </c>
      <c r="C1994" t="s">
        <v>50</v>
      </c>
      <c r="D1994" s="3">
        <v>45765</v>
      </c>
      <c r="E1994" t="str">
        <f>VLOOKUP(B1994,'PROCV GERENTES BD'!A:B,2,0)</f>
        <v xml:space="preserve">MARCUS VINICIUS </v>
      </c>
      <c r="F1994" s="4" t="str">
        <f t="shared" si="186"/>
        <v>2025-04</v>
      </c>
      <c r="G1994" s="18">
        <f t="shared" si="187"/>
        <v>16</v>
      </c>
      <c r="H1994" t="str">
        <f t="shared" si="188"/>
        <v xml:space="preserve">MARCUS VINICIUS </v>
      </c>
      <c r="I1994" t="str">
        <f t="shared" si="189"/>
        <v>LABOR ELETRIC INDUSTRIA E COMERCIO UNIPESSOAL LTDA</v>
      </c>
      <c r="J1994">
        <f t="shared" si="190"/>
        <v>0</v>
      </c>
      <c r="K1994">
        <f t="shared" si="191"/>
        <v>1</v>
      </c>
    </row>
    <row r="1995" spans="1:11" x14ac:dyDescent="0.25">
      <c r="A1995" t="s">
        <v>486</v>
      </c>
      <c r="B1995" t="s">
        <v>243</v>
      </c>
      <c r="C1995" t="s">
        <v>50</v>
      </c>
      <c r="D1995" s="3">
        <v>45765</v>
      </c>
      <c r="E1995" t="str">
        <f>VLOOKUP(B1995,'PROCV GERENTES BD'!A:B,2,0)</f>
        <v>NOELI SALETE</v>
      </c>
      <c r="F1995" s="4" t="str">
        <f t="shared" si="186"/>
        <v>2025-04</v>
      </c>
      <c r="G1995" s="18">
        <f t="shared" si="187"/>
        <v>16</v>
      </c>
      <c r="H1995" t="str">
        <f t="shared" si="188"/>
        <v>NOELI SALETE</v>
      </c>
      <c r="I1995" t="str">
        <f t="shared" si="189"/>
        <v>SMARTCENTERGROUP COMERCIO DE EQUIPAMENTOS DE INFOR</v>
      </c>
      <c r="J1995">
        <f t="shared" si="190"/>
        <v>0</v>
      </c>
      <c r="K1995">
        <f t="shared" si="191"/>
        <v>1</v>
      </c>
    </row>
    <row r="1996" spans="1:11" x14ac:dyDescent="0.25">
      <c r="A1996" t="s">
        <v>438</v>
      </c>
      <c r="B1996" t="s">
        <v>189</v>
      </c>
      <c r="C1996" t="s">
        <v>50</v>
      </c>
      <c r="D1996" s="3">
        <v>45765</v>
      </c>
      <c r="E1996" t="str">
        <f>VLOOKUP(B1996,'PROCV GERENTES BD'!A:B,2,0)</f>
        <v>NOELI SALETE</v>
      </c>
      <c r="F1996" s="4" t="str">
        <f t="shared" si="186"/>
        <v>2025-04</v>
      </c>
      <c r="G1996" s="18">
        <f t="shared" si="187"/>
        <v>16</v>
      </c>
      <c r="H1996" t="str">
        <f t="shared" si="188"/>
        <v>NOELI SALETE</v>
      </c>
      <c r="I1996" t="str">
        <f t="shared" si="189"/>
        <v>AGRO INDUSTRIAL LAZZERI LTDA</v>
      </c>
      <c r="J1996">
        <f t="shared" si="190"/>
        <v>0</v>
      </c>
      <c r="K1996">
        <f t="shared" si="191"/>
        <v>1</v>
      </c>
    </row>
    <row r="1997" spans="1:11" x14ac:dyDescent="0.25">
      <c r="A1997" t="s">
        <v>307</v>
      </c>
      <c r="B1997" t="s">
        <v>102</v>
      </c>
      <c r="C1997" t="s">
        <v>66</v>
      </c>
      <c r="D1997" s="3">
        <v>45765</v>
      </c>
      <c r="E1997" t="str">
        <f>VLOOKUP(B1997,'PROCV GERENTES BD'!A:B,2,0)</f>
        <v>POENATELA</v>
      </c>
      <c r="F1997" s="4" t="str">
        <f t="shared" si="186"/>
        <v>2025-04</v>
      </c>
      <c r="G1997" s="18">
        <f t="shared" si="187"/>
        <v>16</v>
      </c>
      <c r="H1997" t="str">
        <f t="shared" si="188"/>
        <v>POENATELA</v>
      </c>
      <c r="I1997" t="str">
        <f t="shared" si="189"/>
        <v>ECOPINUS INDUSTRIA E COMERCIO DE EMBALAGENS DE MAD</v>
      </c>
      <c r="J1997">
        <f t="shared" si="190"/>
        <v>1</v>
      </c>
      <c r="K1997">
        <f t="shared" si="191"/>
        <v>0</v>
      </c>
    </row>
    <row r="1998" spans="1:11" x14ac:dyDescent="0.25">
      <c r="A1998" t="s">
        <v>420</v>
      </c>
      <c r="B1998" t="s">
        <v>170</v>
      </c>
      <c r="C1998" t="s">
        <v>66</v>
      </c>
      <c r="D1998" s="3">
        <v>45765</v>
      </c>
      <c r="E1998" t="str">
        <f>VLOOKUP(B1998,'PROCV GERENTES BD'!A:B,2,0)</f>
        <v>POENATELA</v>
      </c>
      <c r="F1998" s="4" t="str">
        <f t="shared" si="186"/>
        <v>2025-04</v>
      </c>
      <c r="G1998" s="18">
        <f t="shared" si="187"/>
        <v>16</v>
      </c>
      <c r="H1998" t="str">
        <f t="shared" si="188"/>
        <v>POENATELA</v>
      </c>
      <c r="I1998" t="str">
        <f t="shared" si="189"/>
        <v>SAVIXX COMERCIO INTERNACIONAL S/A</v>
      </c>
      <c r="J1998">
        <f t="shared" si="190"/>
        <v>1</v>
      </c>
      <c r="K1998">
        <f t="shared" si="191"/>
        <v>0</v>
      </c>
    </row>
    <row r="1999" spans="1:11" x14ac:dyDescent="0.25">
      <c r="A1999" t="s">
        <v>51</v>
      </c>
      <c r="B1999" t="s">
        <v>52</v>
      </c>
      <c r="C1999" t="s">
        <v>50</v>
      </c>
      <c r="D1999" s="3">
        <v>45765</v>
      </c>
      <c r="E1999" t="str">
        <f>VLOOKUP(B1999,'PROCV GERENTES BD'!A:B,2,0)</f>
        <v>RAFAEL PARISE</v>
      </c>
      <c r="F1999" s="4" t="str">
        <f t="shared" si="186"/>
        <v>2025-04</v>
      </c>
      <c r="G1999" s="18">
        <f t="shared" si="187"/>
        <v>16</v>
      </c>
      <c r="H1999" t="str">
        <f t="shared" si="188"/>
        <v>RAFAEL PARISE</v>
      </c>
      <c r="I1999" t="str">
        <f t="shared" si="189"/>
        <v>TDR TRANSPORTES LOGISTICA LTDA</v>
      </c>
      <c r="J1999">
        <f t="shared" si="190"/>
        <v>0</v>
      </c>
      <c r="K1999">
        <f t="shared" si="191"/>
        <v>1</v>
      </c>
    </row>
    <row r="2000" spans="1:11" x14ac:dyDescent="0.25">
      <c r="A2000" t="s">
        <v>471</v>
      </c>
      <c r="B2000" t="s">
        <v>228</v>
      </c>
      <c r="C2000" t="s">
        <v>66</v>
      </c>
      <c r="D2000" s="3">
        <v>45765</v>
      </c>
      <c r="E2000" t="str">
        <f>VLOOKUP(B2000,'PROCV GERENTES BD'!A:B,2,0)</f>
        <v>RAFAEL PARISE</v>
      </c>
      <c r="F2000" s="4" t="str">
        <f t="shared" si="186"/>
        <v>2025-04</v>
      </c>
      <c r="G2000" s="18">
        <f t="shared" si="187"/>
        <v>16</v>
      </c>
      <c r="H2000" t="str">
        <f t="shared" si="188"/>
        <v>RAFAEL PARISE</v>
      </c>
      <c r="I2000" t="str">
        <f t="shared" si="189"/>
        <v>ORNELAS TRANSPORTE E LOGISTICA LTDA</v>
      </c>
      <c r="J2000">
        <f t="shared" si="190"/>
        <v>1</v>
      </c>
      <c r="K2000">
        <f t="shared" si="191"/>
        <v>0</v>
      </c>
    </row>
    <row r="2001" spans="1:11" x14ac:dyDescent="0.25">
      <c r="A2001" t="s">
        <v>393</v>
      </c>
      <c r="B2001" t="s">
        <v>142</v>
      </c>
      <c r="C2001" t="s">
        <v>50</v>
      </c>
      <c r="D2001" s="3">
        <v>45765</v>
      </c>
      <c r="E2001" t="str">
        <f>VLOOKUP(B2001,'PROCV GERENTES BD'!A:B,2,0)</f>
        <v>ADMINISTRAÇÃO</v>
      </c>
      <c r="F2001" s="4" t="str">
        <f t="shared" si="186"/>
        <v>2025-04</v>
      </c>
      <c r="G2001" s="18">
        <f t="shared" si="187"/>
        <v>16</v>
      </c>
      <c r="H2001" t="str">
        <f t="shared" si="188"/>
        <v>ADMINISTRAÇÃO</v>
      </c>
      <c r="I2001" t="str">
        <f t="shared" si="189"/>
        <v>MONTAGEM MINAS GERAIS LTDA ME</v>
      </c>
      <c r="J2001">
        <f t="shared" si="190"/>
        <v>0</v>
      </c>
      <c r="K2001">
        <f t="shared" si="191"/>
        <v>1</v>
      </c>
    </row>
    <row r="2002" spans="1:11" x14ac:dyDescent="0.25">
      <c r="A2002" t="s">
        <v>494</v>
      </c>
      <c r="B2002" t="s">
        <v>253</v>
      </c>
      <c r="C2002" t="s">
        <v>66</v>
      </c>
      <c r="D2002" s="3">
        <v>45765</v>
      </c>
      <c r="E2002" t="str">
        <f>VLOOKUP(B2002,'PROCV GERENTES BD'!A:B,2,0)</f>
        <v>RAFAEL PARISE</v>
      </c>
      <c r="F2002" s="4" t="str">
        <f t="shared" si="186"/>
        <v>2025-04</v>
      </c>
      <c r="G2002" s="18">
        <f t="shared" si="187"/>
        <v>16</v>
      </c>
      <c r="H2002" t="str">
        <f t="shared" si="188"/>
        <v>RAFAEL PARISE</v>
      </c>
      <c r="I2002" t="str">
        <f t="shared" si="189"/>
        <v>CLAUDINEA GOMES DA SILVA VIANA 04007455694</v>
      </c>
      <c r="J2002">
        <f t="shared" si="190"/>
        <v>1</v>
      </c>
      <c r="K2002">
        <f t="shared" si="191"/>
        <v>0</v>
      </c>
    </row>
    <row r="2003" spans="1:11" x14ac:dyDescent="0.25">
      <c r="A2003" t="s">
        <v>501</v>
      </c>
      <c r="B2003" t="s">
        <v>260</v>
      </c>
      <c r="C2003" t="s">
        <v>66</v>
      </c>
      <c r="D2003" s="3">
        <v>45765</v>
      </c>
      <c r="E2003" t="str">
        <f>VLOOKUP(B2003,'PROCV GERENTES BD'!A:B,2,0)</f>
        <v>PROSPECTAR</v>
      </c>
      <c r="F2003" s="4" t="str">
        <f t="shared" si="186"/>
        <v>2025-04</v>
      </c>
      <c r="G2003" s="18">
        <f t="shared" si="187"/>
        <v>16</v>
      </c>
      <c r="H2003" t="str">
        <f t="shared" si="188"/>
        <v>PROSPECTAR</v>
      </c>
      <c r="I2003" t="str">
        <f t="shared" si="189"/>
        <v>ENGREMAT ENG PROJETO MANUTENCAO INSPECAO MONTAGENS</v>
      </c>
      <c r="J2003">
        <f t="shared" si="190"/>
        <v>1</v>
      </c>
      <c r="K2003">
        <f t="shared" si="191"/>
        <v>0</v>
      </c>
    </row>
    <row r="2004" spans="1:11" x14ac:dyDescent="0.25">
      <c r="A2004" t="s">
        <v>64</v>
      </c>
      <c r="B2004" t="s">
        <v>65</v>
      </c>
      <c r="C2004" t="s">
        <v>50</v>
      </c>
      <c r="D2004" s="3">
        <v>45765</v>
      </c>
      <c r="E2004" t="str">
        <f>VLOOKUP(B2004,'PROCV GERENTES BD'!A:B,2,0)</f>
        <v>ADMINISTRAÇÃO</v>
      </c>
      <c r="F2004" s="4" t="str">
        <f t="shared" si="186"/>
        <v>2025-04</v>
      </c>
      <c r="G2004" s="18">
        <f t="shared" si="187"/>
        <v>16</v>
      </c>
      <c r="H2004" t="str">
        <f t="shared" si="188"/>
        <v>ADMINISTRAÇÃO</v>
      </c>
      <c r="I2004" t="str">
        <f t="shared" si="189"/>
        <v>SOCIAL S/A</v>
      </c>
      <c r="J2004">
        <f t="shared" si="190"/>
        <v>0</v>
      </c>
      <c r="K2004">
        <f t="shared" si="191"/>
        <v>1</v>
      </c>
    </row>
    <row r="2005" spans="1:11" x14ac:dyDescent="0.25">
      <c r="A2005" t="s">
        <v>331</v>
      </c>
      <c r="B2005" t="s">
        <v>144</v>
      </c>
      <c r="C2005" t="s">
        <v>50</v>
      </c>
      <c r="D2005" s="3">
        <v>45770</v>
      </c>
      <c r="E2005" t="str">
        <f>VLOOKUP(B2005,'PROCV GERENTES BD'!A:B,2,0)</f>
        <v>ADMINISTRAÇÃO</v>
      </c>
      <c r="F2005" s="4" t="str">
        <f t="shared" si="186"/>
        <v>2025-04</v>
      </c>
      <c r="G2005" s="18">
        <f t="shared" si="187"/>
        <v>17</v>
      </c>
      <c r="H2005" t="str">
        <f t="shared" si="188"/>
        <v>ADMINISTRAÇÃO</v>
      </c>
      <c r="I2005" t="str">
        <f t="shared" si="189"/>
        <v>BOM PASTOR PAPEIS LTDA EM RECUPERACAO JUDICIAL</v>
      </c>
      <c r="J2005">
        <f t="shared" si="190"/>
        <v>0</v>
      </c>
      <c r="K2005">
        <f t="shared" si="191"/>
        <v>1</v>
      </c>
    </row>
    <row r="2006" spans="1:11" x14ac:dyDescent="0.25">
      <c r="A2006" t="s">
        <v>372</v>
      </c>
      <c r="B2006" t="s">
        <v>116</v>
      </c>
      <c r="C2006" t="s">
        <v>50</v>
      </c>
      <c r="D2006" s="3">
        <v>45770</v>
      </c>
      <c r="E2006" t="str">
        <f>VLOOKUP(B2006,'PROCV GERENTES BD'!A:B,2,0)</f>
        <v>ADMINISTRAÇÃO</v>
      </c>
      <c r="F2006" s="4" t="str">
        <f t="shared" si="186"/>
        <v>2025-04</v>
      </c>
      <c r="G2006" s="18">
        <f t="shared" si="187"/>
        <v>17</v>
      </c>
      <c r="H2006" t="str">
        <f t="shared" si="188"/>
        <v>ADMINISTRAÇÃO</v>
      </c>
      <c r="I2006" t="str">
        <f t="shared" si="189"/>
        <v>PREMOLDADOS MATOSINHOS LTDA EPP</v>
      </c>
      <c r="J2006">
        <f t="shared" si="190"/>
        <v>0</v>
      </c>
      <c r="K2006">
        <f t="shared" si="191"/>
        <v>1</v>
      </c>
    </row>
    <row r="2007" spans="1:11" x14ac:dyDescent="0.25">
      <c r="A2007" t="s">
        <v>311</v>
      </c>
      <c r="B2007" t="s">
        <v>81</v>
      </c>
      <c r="C2007" t="s">
        <v>66</v>
      </c>
      <c r="D2007" s="3">
        <v>45770</v>
      </c>
      <c r="E2007" t="str">
        <f>VLOOKUP(B2007,'PROCV GERENTES BD'!A:B,2,0)</f>
        <v>CELIO PIMENTA</v>
      </c>
      <c r="F2007" s="4" t="str">
        <f t="shared" si="186"/>
        <v>2025-04</v>
      </c>
      <c r="G2007" s="18">
        <f t="shared" si="187"/>
        <v>17</v>
      </c>
      <c r="H2007" t="str">
        <f t="shared" si="188"/>
        <v>CELIO PIMENTA</v>
      </c>
      <c r="I2007" t="str">
        <f t="shared" si="189"/>
        <v>MBIOLOG DIAGNOSTICOS LTDA</v>
      </c>
      <c r="J2007">
        <f t="shared" si="190"/>
        <v>1</v>
      </c>
      <c r="K2007">
        <f t="shared" si="191"/>
        <v>0</v>
      </c>
    </row>
    <row r="2008" spans="1:11" x14ac:dyDescent="0.25">
      <c r="A2008" t="s">
        <v>402</v>
      </c>
      <c r="B2008" t="s">
        <v>152</v>
      </c>
      <c r="C2008" t="s">
        <v>50</v>
      </c>
      <c r="D2008" s="3">
        <v>45770</v>
      </c>
      <c r="E2008" t="str">
        <f>VLOOKUP(B2008,'PROCV GERENTES BD'!A:B,2,0)</f>
        <v>PROSPECTAR</v>
      </c>
      <c r="F2008" s="4" t="str">
        <f t="shared" si="186"/>
        <v>2025-04</v>
      </c>
      <c r="G2008" s="18">
        <f t="shared" si="187"/>
        <v>17</v>
      </c>
      <c r="H2008" t="str">
        <f t="shared" si="188"/>
        <v>PROSPECTAR</v>
      </c>
      <c r="I2008" t="str">
        <f t="shared" si="189"/>
        <v>MOINHO DE TRIGO JM LTDA</v>
      </c>
      <c r="J2008">
        <f t="shared" si="190"/>
        <v>0</v>
      </c>
      <c r="K2008">
        <f t="shared" si="191"/>
        <v>1</v>
      </c>
    </row>
    <row r="2009" spans="1:11" x14ac:dyDescent="0.25">
      <c r="A2009" t="s">
        <v>415</v>
      </c>
      <c r="B2009" t="s">
        <v>165</v>
      </c>
      <c r="C2009" t="s">
        <v>50</v>
      </c>
      <c r="D2009" s="3">
        <v>45770</v>
      </c>
      <c r="E2009" t="str">
        <f>VLOOKUP(B2009,'PROCV GERENTES BD'!A:B,2,0)</f>
        <v>PROSPECTAR</v>
      </c>
      <c r="F2009" s="4" t="str">
        <f t="shared" si="186"/>
        <v>2025-04</v>
      </c>
      <c r="G2009" s="18">
        <f t="shared" si="187"/>
        <v>17</v>
      </c>
      <c r="H2009" t="str">
        <f t="shared" si="188"/>
        <v>PROSPECTAR</v>
      </c>
      <c r="I2009" t="str">
        <f t="shared" si="189"/>
        <v>STA SERVICOS LTDA</v>
      </c>
      <c r="J2009">
        <f t="shared" si="190"/>
        <v>0</v>
      </c>
      <c r="K2009">
        <f t="shared" si="191"/>
        <v>1</v>
      </c>
    </row>
    <row r="2010" spans="1:11" x14ac:dyDescent="0.25">
      <c r="A2010" t="s">
        <v>324</v>
      </c>
      <c r="B2010" t="s">
        <v>119</v>
      </c>
      <c r="C2010" t="s">
        <v>50</v>
      </c>
      <c r="D2010" s="3">
        <v>45770</v>
      </c>
      <c r="E2010" t="str">
        <f>VLOOKUP(B2010,'PROCV GERENTES BD'!A:B,2,0)</f>
        <v>PROSPECTAR</v>
      </c>
      <c r="F2010" s="4" t="str">
        <f t="shared" si="186"/>
        <v>2025-04</v>
      </c>
      <c r="G2010" s="18">
        <f t="shared" si="187"/>
        <v>17</v>
      </c>
      <c r="H2010" t="str">
        <f t="shared" si="188"/>
        <v>PROSPECTAR</v>
      </c>
      <c r="I2010" t="str">
        <f t="shared" si="189"/>
        <v>TRANSHENRY TRANSPORTES LTDA</v>
      </c>
      <c r="J2010">
        <f t="shared" si="190"/>
        <v>0</v>
      </c>
      <c r="K2010">
        <f t="shared" si="191"/>
        <v>1</v>
      </c>
    </row>
    <row r="2011" spans="1:11" x14ac:dyDescent="0.25">
      <c r="A2011" t="s">
        <v>412</v>
      </c>
      <c r="B2011" t="s">
        <v>162</v>
      </c>
      <c r="C2011" t="s">
        <v>50</v>
      </c>
      <c r="D2011" s="3">
        <v>45770</v>
      </c>
      <c r="E2011" t="str">
        <f>VLOOKUP(B2011,'PROCV GERENTES BD'!A:B,2,0)</f>
        <v>PROSPECTAR</v>
      </c>
      <c r="F2011" s="4" t="str">
        <f t="shared" si="186"/>
        <v>2025-04</v>
      </c>
      <c r="G2011" s="18">
        <f t="shared" si="187"/>
        <v>17</v>
      </c>
      <c r="H2011" t="str">
        <f t="shared" si="188"/>
        <v>PROSPECTAR</v>
      </c>
      <c r="I2011" t="str">
        <f t="shared" si="189"/>
        <v>MORIA PRESTACAO DE SERVICOS LTDA ME</v>
      </c>
      <c r="J2011">
        <f t="shared" si="190"/>
        <v>0</v>
      </c>
      <c r="K2011">
        <f t="shared" si="191"/>
        <v>1</v>
      </c>
    </row>
    <row r="2012" spans="1:11" x14ac:dyDescent="0.25">
      <c r="A2012" t="s">
        <v>62</v>
      </c>
      <c r="B2012" t="s">
        <v>63</v>
      </c>
      <c r="C2012" t="s">
        <v>50</v>
      </c>
      <c r="D2012" s="3">
        <v>45770</v>
      </c>
      <c r="E2012" t="str">
        <f>VLOOKUP(B2012,'PROCV GERENTES BD'!A:B,2,0)</f>
        <v>PROSPECTAR</v>
      </c>
      <c r="F2012" s="4" t="str">
        <f t="shared" si="186"/>
        <v>2025-04</v>
      </c>
      <c r="G2012" s="18">
        <f t="shared" si="187"/>
        <v>17</v>
      </c>
      <c r="H2012" t="str">
        <f t="shared" si="188"/>
        <v>PROSPECTAR</v>
      </c>
      <c r="I2012" t="str">
        <f t="shared" si="189"/>
        <v>MAPP COM IMPORTACAO EXPORTACAO IND PRODUTOS ALIMEN</v>
      </c>
      <c r="J2012">
        <f t="shared" si="190"/>
        <v>0</v>
      </c>
      <c r="K2012">
        <f t="shared" si="191"/>
        <v>1</v>
      </c>
    </row>
    <row r="2013" spans="1:11" x14ac:dyDescent="0.25">
      <c r="A2013" t="s">
        <v>443</v>
      </c>
      <c r="B2013" t="s">
        <v>194</v>
      </c>
      <c r="C2013" t="s">
        <v>50</v>
      </c>
      <c r="D2013" s="3">
        <v>45770</v>
      </c>
      <c r="E2013" t="str">
        <f>VLOOKUP(B2013,'PROCV GERENTES BD'!A:B,2,0)</f>
        <v>PROSPECTAR</v>
      </c>
      <c r="F2013" s="4" t="str">
        <f t="shared" si="186"/>
        <v>2025-04</v>
      </c>
      <c r="G2013" s="18">
        <f t="shared" si="187"/>
        <v>17</v>
      </c>
      <c r="H2013" t="str">
        <f t="shared" si="188"/>
        <v>PROSPECTAR</v>
      </c>
      <c r="I2013" t="str">
        <f t="shared" si="189"/>
        <v>ALPLAST ATACADISTA E APOIO ADMINISTRATIVO LTDA EPP</v>
      </c>
      <c r="J2013">
        <f t="shared" si="190"/>
        <v>0</v>
      </c>
      <c r="K2013">
        <f t="shared" si="191"/>
        <v>1</v>
      </c>
    </row>
    <row r="2014" spans="1:11" x14ac:dyDescent="0.25">
      <c r="A2014" t="s">
        <v>395</v>
      </c>
      <c r="B2014" t="s">
        <v>145</v>
      </c>
      <c r="C2014" t="s">
        <v>50</v>
      </c>
      <c r="D2014" s="3">
        <v>45770</v>
      </c>
      <c r="E2014" t="str">
        <f>VLOOKUP(B2014,'PROCV GERENTES BD'!A:B,2,0)</f>
        <v>MARCIO LEONEL</v>
      </c>
      <c r="F2014" s="4" t="str">
        <f t="shared" si="186"/>
        <v>2025-04</v>
      </c>
      <c r="G2014" s="18">
        <f t="shared" si="187"/>
        <v>17</v>
      </c>
      <c r="H2014" t="str">
        <f t="shared" si="188"/>
        <v>MARCIO LEONEL</v>
      </c>
      <c r="I2014" t="str">
        <f t="shared" si="189"/>
        <v>MEDICAL PRIME IMP EXPORT DISTRIB PRODUTOS MEDICOS</v>
      </c>
      <c r="J2014">
        <f t="shared" si="190"/>
        <v>0</v>
      </c>
      <c r="K2014">
        <f t="shared" si="191"/>
        <v>1</v>
      </c>
    </row>
    <row r="2015" spans="1:11" x14ac:dyDescent="0.25">
      <c r="A2015" t="s">
        <v>397</v>
      </c>
      <c r="B2015" t="s">
        <v>147</v>
      </c>
      <c r="C2015" t="s">
        <v>66</v>
      </c>
      <c r="D2015" s="3">
        <v>45770</v>
      </c>
      <c r="E2015" t="str">
        <f>VLOOKUP(B2015,'PROCV GERENTES BD'!A:B,2,0)</f>
        <v xml:space="preserve">MARCUS VINICIUS </v>
      </c>
      <c r="F2015" s="4" t="str">
        <f t="shared" si="186"/>
        <v>2025-04</v>
      </c>
      <c r="G2015" s="18">
        <f t="shared" si="187"/>
        <v>17</v>
      </c>
      <c r="H2015" t="str">
        <f t="shared" si="188"/>
        <v xml:space="preserve">MARCUS VINICIUS </v>
      </c>
      <c r="I2015" t="str">
        <f t="shared" si="189"/>
        <v>UNIVERSO INOX INDUSTRIA E COMERCIO LTDA EPP</v>
      </c>
      <c r="J2015">
        <f t="shared" si="190"/>
        <v>1</v>
      </c>
      <c r="K2015">
        <f t="shared" si="191"/>
        <v>0</v>
      </c>
    </row>
    <row r="2016" spans="1:11" x14ac:dyDescent="0.25">
      <c r="A2016" t="s">
        <v>385</v>
      </c>
      <c r="B2016" t="s">
        <v>132</v>
      </c>
      <c r="C2016" t="s">
        <v>50</v>
      </c>
      <c r="D2016" s="3">
        <v>45770</v>
      </c>
      <c r="E2016" t="str">
        <f>VLOOKUP(B2016,'PROCV GERENTES BD'!A:B,2,0)</f>
        <v xml:space="preserve">MARCUS VINICIUS </v>
      </c>
      <c r="F2016" s="4" t="str">
        <f t="shared" si="186"/>
        <v>2025-04</v>
      </c>
      <c r="G2016" s="18">
        <f t="shared" si="187"/>
        <v>17</v>
      </c>
      <c r="H2016" t="str">
        <f t="shared" si="188"/>
        <v xml:space="preserve">MARCUS VINICIUS </v>
      </c>
      <c r="I2016" t="str">
        <f t="shared" si="189"/>
        <v>RODOANEL REFORMADORA DE IMPLEMENTOS RODOVIARIOS LT</v>
      </c>
      <c r="J2016">
        <f t="shared" si="190"/>
        <v>0</v>
      </c>
      <c r="K2016">
        <f t="shared" si="191"/>
        <v>1</v>
      </c>
    </row>
    <row r="2017" spans="1:11" x14ac:dyDescent="0.25">
      <c r="A2017" t="s">
        <v>375</v>
      </c>
      <c r="B2017" t="s">
        <v>120</v>
      </c>
      <c r="C2017" t="s">
        <v>53</v>
      </c>
      <c r="D2017" s="3">
        <v>45770</v>
      </c>
      <c r="E2017" t="str">
        <f>VLOOKUP(B2017,'PROCV GERENTES BD'!A:B,2,0)</f>
        <v>ADMINISTRAÇÃO</v>
      </c>
      <c r="F2017" s="4" t="str">
        <f t="shared" si="186"/>
        <v>2025-04</v>
      </c>
      <c r="G2017" s="18">
        <f t="shared" si="187"/>
        <v>17</v>
      </c>
      <c r="H2017" t="str">
        <f t="shared" si="188"/>
        <v>ADMINISTRAÇÃO</v>
      </c>
      <c r="I2017" t="str">
        <f t="shared" si="189"/>
        <v>FARINELLI NUTRIMENTOS LTDA</v>
      </c>
      <c r="J2017">
        <f t="shared" si="190"/>
        <v>1</v>
      </c>
      <c r="K2017">
        <f t="shared" si="191"/>
        <v>1</v>
      </c>
    </row>
    <row r="2018" spans="1:11" x14ac:dyDescent="0.25">
      <c r="A2018" t="s">
        <v>419</v>
      </c>
      <c r="B2018" t="s">
        <v>199</v>
      </c>
      <c r="C2018" t="s">
        <v>50</v>
      </c>
      <c r="D2018" s="3">
        <v>45770</v>
      </c>
      <c r="E2018" t="str">
        <f>VLOOKUP(B2018,'PROCV GERENTES BD'!A:B,2,0)</f>
        <v>NOELI SALETE</v>
      </c>
      <c r="F2018" s="4" t="str">
        <f t="shared" si="186"/>
        <v>2025-04</v>
      </c>
      <c r="G2018" s="18">
        <f t="shared" si="187"/>
        <v>17</v>
      </c>
      <c r="H2018" t="str">
        <f t="shared" si="188"/>
        <v>NOELI SALETE</v>
      </c>
      <c r="I2018" t="str">
        <f t="shared" si="189"/>
        <v>GLOBAL ACO SERV PRODUTOS SIDERURGICOS LTDA RECUPER</v>
      </c>
      <c r="J2018">
        <f t="shared" si="190"/>
        <v>0</v>
      </c>
      <c r="K2018">
        <f t="shared" si="191"/>
        <v>1</v>
      </c>
    </row>
    <row r="2019" spans="1:11" x14ac:dyDescent="0.25">
      <c r="A2019" t="s">
        <v>72</v>
      </c>
      <c r="B2019" t="s">
        <v>73</v>
      </c>
      <c r="C2019" t="s">
        <v>50</v>
      </c>
      <c r="D2019" s="3">
        <v>45770</v>
      </c>
      <c r="E2019" t="str">
        <f>VLOOKUP(B2019,'PROCV GERENTES BD'!A:B,2,0)</f>
        <v>NOELI SALETE</v>
      </c>
      <c r="F2019" s="4" t="str">
        <f t="shared" si="186"/>
        <v>2025-04</v>
      </c>
      <c r="G2019" s="18">
        <f t="shared" si="187"/>
        <v>17</v>
      </c>
      <c r="H2019" t="str">
        <f t="shared" si="188"/>
        <v>NOELI SALETE</v>
      </c>
      <c r="I2019" t="str">
        <f t="shared" si="189"/>
        <v>SMARTCENTER SOLUCOES INTELIGENTES LTDA ME</v>
      </c>
      <c r="J2019">
        <f t="shared" si="190"/>
        <v>0</v>
      </c>
      <c r="K2019">
        <f t="shared" si="191"/>
        <v>1</v>
      </c>
    </row>
    <row r="2020" spans="1:11" x14ac:dyDescent="0.25">
      <c r="A2020" t="s">
        <v>400</v>
      </c>
      <c r="B2020" t="s">
        <v>150</v>
      </c>
      <c r="C2020" t="s">
        <v>50</v>
      </c>
      <c r="D2020" s="3">
        <v>45770</v>
      </c>
      <c r="E2020" t="str">
        <f>VLOOKUP(B2020,'PROCV GERENTES BD'!A:B,2,0)</f>
        <v>NOELI SALETE</v>
      </c>
      <c r="F2020" s="4" t="str">
        <f t="shared" si="186"/>
        <v>2025-04</v>
      </c>
      <c r="G2020" s="18">
        <f t="shared" si="187"/>
        <v>17</v>
      </c>
      <c r="H2020" t="str">
        <f t="shared" si="188"/>
        <v>NOELI SALETE</v>
      </c>
      <c r="I2020" t="str">
        <f t="shared" si="189"/>
        <v>POOLMAK SISTEMAS ESTRUTURAIS LTDA</v>
      </c>
      <c r="J2020">
        <f t="shared" si="190"/>
        <v>0</v>
      </c>
      <c r="K2020">
        <f t="shared" si="191"/>
        <v>1</v>
      </c>
    </row>
    <row r="2021" spans="1:11" x14ac:dyDescent="0.25">
      <c r="A2021" t="s">
        <v>486</v>
      </c>
      <c r="B2021" t="s">
        <v>243</v>
      </c>
      <c r="C2021" t="s">
        <v>50</v>
      </c>
      <c r="D2021" s="3">
        <v>45770</v>
      </c>
      <c r="E2021" t="str">
        <f>VLOOKUP(B2021,'PROCV GERENTES BD'!A:B,2,0)</f>
        <v>NOELI SALETE</v>
      </c>
      <c r="F2021" s="4" t="str">
        <f t="shared" si="186"/>
        <v>2025-04</v>
      </c>
      <c r="G2021" s="18">
        <f t="shared" si="187"/>
        <v>17</v>
      </c>
      <c r="H2021" t="str">
        <f t="shared" si="188"/>
        <v>NOELI SALETE</v>
      </c>
      <c r="I2021" t="str">
        <f t="shared" si="189"/>
        <v>SMARTCENTERGROUP COMERCIO DE EQUIPAMENTOS DE INFOR</v>
      </c>
      <c r="J2021">
        <f t="shared" si="190"/>
        <v>0</v>
      </c>
      <c r="K2021">
        <f t="shared" si="191"/>
        <v>1</v>
      </c>
    </row>
    <row r="2022" spans="1:11" x14ac:dyDescent="0.25">
      <c r="A2022" t="s">
        <v>475</v>
      </c>
      <c r="B2022" t="s">
        <v>232</v>
      </c>
      <c r="C2022" t="s">
        <v>66</v>
      </c>
      <c r="D2022" s="3">
        <v>45770</v>
      </c>
      <c r="E2022" t="str">
        <f>VLOOKUP(B2022,'PROCV GERENTES BD'!A:B,2,0)</f>
        <v>POENATELA</v>
      </c>
      <c r="F2022" s="4" t="str">
        <f t="shared" si="186"/>
        <v>2025-04</v>
      </c>
      <c r="G2022" s="18">
        <f t="shared" si="187"/>
        <v>17</v>
      </c>
      <c r="H2022" t="str">
        <f t="shared" si="188"/>
        <v>POENATELA</v>
      </c>
      <c r="I2022" t="str">
        <f t="shared" si="189"/>
        <v>JUATUBA MOVEIS E EMBALAGENS LTDA</v>
      </c>
      <c r="J2022">
        <f t="shared" si="190"/>
        <v>1</v>
      </c>
      <c r="K2022">
        <f t="shared" si="191"/>
        <v>0</v>
      </c>
    </row>
    <row r="2023" spans="1:11" x14ac:dyDescent="0.25">
      <c r="A2023" t="s">
        <v>420</v>
      </c>
      <c r="B2023" t="s">
        <v>170</v>
      </c>
      <c r="C2023" t="s">
        <v>50</v>
      </c>
      <c r="D2023" s="3">
        <v>45770</v>
      </c>
      <c r="E2023" t="str">
        <f>VLOOKUP(B2023,'PROCV GERENTES BD'!A:B,2,0)</f>
        <v>POENATELA</v>
      </c>
      <c r="F2023" s="4" t="str">
        <f t="shared" si="186"/>
        <v>2025-04</v>
      </c>
      <c r="G2023" s="18">
        <f t="shared" si="187"/>
        <v>17</v>
      </c>
      <c r="H2023" t="str">
        <f t="shared" si="188"/>
        <v>POENATELA</v>
      </c>
      <c r="I2023" t="str">
        <f t="shared" si="189"/>
        <v>SAVIXX COMERCIO INTERNACIONAL S/A</v>
      </c>
      <c r="J2023">
        <f t="shared" si="190"/>
        <v>0</v>
      </c>
      <c r="K2023">
        <f t="shared" si="191"/>
        <v>1</v>
      </c>
    </row>
    <row r="2024" spans="1:11" x14ac:dyDescent="0.25">
      <c r="A2024" t="s">
        <v>370</v>
      </c>
      <c r="B2024" t="s">
        <v>114</v>
      </c>
      <c r="C2024" t="s">
        <v>66</v>
      </c>
      <c r="D2024" s="3">
        <v>45770</v>
      </c>
      <c r="E2024" t="str">
        <f>VLOOKUP(B2024,'PROCV GERENTES BD'!A:B,2,0)</f>
        <v>POENATELA</v>
      </c>
      <c r="F2024" s="4" t="str">
        <f t="shared" si="186"/>
        <v>2025-04</v>
      </c>
      <c r="G2024" s="18">
        <f t="shared" si="187"/>
        <v>17</v>
      </c>
      <c r="H2024" t="str">
        <f t="shared" si="188"/>
        <v>POENATELA</v>
      </c>
      <c r="I2024" t="str">
        <f t="shared" si="189"/>
        <v>COOPERATIVA TRANSP AUTON CARGAS PASSAG SERVICOS LO</v>
      </c>
      <c r="J2024">
        <f t="shared" si="190"/>
        <v>1</v>
      </c>
      <c r="K2024">
        <f t="shared" si="191"/>
        <v>0</v>
      </c>
    </row>
    <row r="2025" spans="1:11" x14ac:dyDescent="0.25">
      <c r="A2025" t="s">
        <v>353</v>
      </c>
      <c r="B2025" t="s">
        <v>97</v>
      </c>
      <c r="C2025" t="s">
        <v>50</v>
      </c>
      <c r="D2025" s="3">
        <v>45770</v>
      </c>
      <c r="E2025" t="str">
        <f>VLOOKUP(B2025,'PROCV GERENTES BD'!A:B,2,0)</f>
        <v>PRISCILA METZ</v>
      </c>
      <c r="F2025" s="4" t="str">
        <f t="shared" si="186"/>
        <v>2025-04</v>
      </c>
      <c r="G2025" s="18">
        <f t="shared" si="187"/>
        <v>17</v>
      </c>
      <c r="H2025" t="str">
        <f t="shared" si="188"/>
        <v>PRISCILA METZ</v>
      </c>
      <c r="I2025" t="str">
        <f t="shared" si="189"/>
        <v>ESSENZA INDUSTRIA QUIMICA LTDA</v>
      </c>
      <c r="J2025">
        <f t="shared" si="190"/>
        <v>0</v>
      </c>
      <c r="K2025">
        <f t="shared" si="191"/>
        <v>1</v>
      </c>
    </row>
    <row r="2026" spans="1:11" x14ac:dyDescent="0.25">
      <c r="A2026" t="s">
        <v>51</v>
      </c>
      <c r="B2026" t="s">
        <v>52</v>
      </c>
      <c r="C2026" t="s">
        <v>50</v>
      </c>
      <c r="D2026" s="3">
        <v>45770</v>
      </c>
      <c r="E2026" t="str">
        <f>VLOOKUP(B2026,'PROCV GERENTES BD'!A:B,2,0)</f>
        <v>RAFAEL PARISE</v>
      </c>
      <c r="F2026" s="4" t="str">
        <f t="shared" si="186"/>
        <v>2025-04</v>
      </c>
      <c r="G2026" s="18">
        <f t="shared" si="187"/>
        <v>17</v>
      </c>
      <c r="H2026" t="str">
        <f t="shared" si="188"/>
        <v>RAFAEL PARISE</v>
      </c>
      <c r="I2026" t="str">
        <f t="shared" si="189"/>
        <v>TDR TRANSPORTES LOGISTICA LTDA</v>
      </c>
      <c r="J2026">
        <f t="shared" si="190"/>
        <v>0</v>
      </c>
      <c r="K2026">
        <f t="shared" si="191"/>
        <v>1</v>
      </c>
    </row>
    <row r="2027" spans="1:11" x14ac:dyDescent="0.25">
      <c r="A2027" t="s">
        <v>67</v>
      </c>
      <c r="B2027" t="s">
        <v>68</v>
      </c>
      <c r="C2027" t="s">
        <v>50</v>
      </c>
      <c r="D2027" s="3">
        <v>45770</v>
      </c>
      <c r="E2027" t="s">
        <v>21</v>
      </c>
      <c r="F2027" s="4" t="str">
        <f t="shared" si="186"/>
        <v>2025-04</v>
      </c>
      <c r="G2027" s="18">
        <f t="shared" si="187"/>
        <v>17</v>
      </c>
      <c r="H2027" t="str">
        <f t="shared" si="188"/>
        <v xml:space="preserve">ROGERIO </v>
      </c>
      <c r="I2027" t="str">
        <f t="shared" si="189"/>
        <v>DIOTTONI INDUSTRIA E COMERCIO DE ALIMENTOS LTDA ME</v>
      </c>
      <c r="J2027">
        <f t="shared" si="190"/>
        <v>0</v>
      </c>
      <c r="K2027">
        <f t="shared" si="191"/>
        <v>1</v>
      </c>
    </row>
    <row r="2028" spans="1:11" x14ac:dyDescent="0.25">
      <c r="A2028" t="s">
        <v>431</v>
      </c>
      <c r="B2028" t="s">
        <v>196</v>
      </c>
      <c r="C2028" t="s">
        <v>50</v>
      </c>
      <c r="D2028" s="3">
        <v>45770</v>
      </c>
      <c r="E2028" t="s">
        <v>21</v>
      </c>
      <c r="F2028" s="4" t="str">
        <f t="shared" si="186"/>
        <v>2025-04</v>
      </c>
      <c r="G2028" s="18">
        <f t="shared" si="187"/>
        <v>17</v>
      </c>
      <c r="H2028" t="str">
        <f t="shared" si="188"/>
        <v xml:space="preserve">ROGERIO </v>
      </c>
      <c r="I2028" t="str">
        <f t="shared" si="189"/>
        <v>GRF JEANS WEAR LTDA EPP</v>
      </c>
      <c r="J2028">
        <f t="shared" si="190"/>
        <v>0</v>
      </c>
      <c r="K2028">
        <f t="shared" si="191"/>
        <v>1</v>
      </c>
    </row>
    <row r="2029" spans="1:11" x14ac:dyDescent="0.25">
      <c r="A2029" t="s">
        <v>502</v>
      </c>
      <c r="B2029" t="s">
        <v>262</v>
      </c>
      <c r="C2029" t="s">
        <v>50</v>
      </c>
      <c r="D2029" s="3">
        <v>45770</v>
      </c>
      <c r="E2029" t="str">
        <f>VLOOKUP(B2029,'PROCV GERENTES BD'!A:B,2,0)</f>
        <v>ANTECIPA</v>
      </c>
      <c r="F2029" s="4" t="str">
        <f t="shared" si="186"/>
        <v>2025-04</v>
      </c>
      <c r="G2029" s="18">
        <f t="shared" si="187"/>
        <v>17</v>
      </c>
      <c r="H2029" t="str">
        <f t="shared" si="188"/>
        <v>ANTECIPA</v>
      </c>
      <c r="I2029" t="str">
        <f t="shared" si="189"/>
        <v>CONSTRUENGE ENGENHARIA E GERENCIAMENTO LTDA</v>
      </c>
      <c r="J2029">
        <f t="shared" si="190"/>
        <v>0</v>
      </c>
      <c r="K2029">
        <f t="shared" si="191"/>
        <v>1</v>
      </c>
    </row>
    <row r="2030" spans="1:11" x14ac:dyDescent="0.25">
      <c r="A2030" t="s">
        <v>484</v>
      </c>
      <c r="B2030" t="s">
        <v>245</v>
      </c>
      <c r="C2030" t="s">
        <v>50</v>
      </c>
      <c r="D2030" s="3">
        <v>45770</v>
      </c>
      <c r="E2030" t="str">
        <f>VLOOKUP(B2030,'PROCV GERENTES BD'!A:B,2,0)</f>
        <v>ADMINISTRAÇÃO</v>
      </c>
      <c r="F2030" s="4" t="str">
        <f t="shared" si="186"/>
        <v>2025-04</v>
      </c>
      <c r="G2030" s="18">
        <f t="shared" si="187"/>
        <v>17</v>
      </c>
      <c r="H2030" t="str">
        <f t="shared" si="188"/>
        <v>ADMINISTRAÇÃO</v>
      </c>
      <c r="I2030" t="str">
        <f t="shared" si="189"/>
        <v>REAL FILTROS E ACESSORIOS AUTOMOTIVOS LTDA</v>
      </c>
      <c r="J2030">
        <f t="shared" si="190"/>
        <v>0</v>
      </c>
      <c r="K2030">
        <f t="shared" si="191"/>
        <v>1</v>
      </c>
    </row>
    <row r="2031" spans="1:11" x14ac:dyDescent="0.25">
      <c r="A2031" t="s">
        <v>56</v>
      </c>
      <c r="B2031" t="s">
        <v>57</v>
      </c>
      <c r="C2031" t="s">
        <v>50</v>
      </c>
      <c r="D2031" s="3">
        <v>45770</v>
      </c>
      <c r="E2031" t="str">
        <f>VLOOKUP(B2031,'PROCV GERENTES BD'!A:B,2,0)</f>
        <v xml:space="preserve">ROGERIO </v>
      </c>
      <c r="F2031" s="4" t="str">
        <f t="shared" si="186"/>
        <v>2025-04</v>
      </c>
      <c r="G2031" s="18">
        <f t="shared" si="187"/>
        <v>17</v>
      </c>
      <c r="H2031" t="str">
        <f t="shared" si="188"/>
        <v xml:space="preserve">ROGERIO </v>
      </c>
      <c r="I2031" t="str">
        <f t="shared" si="189"/>
        <v>RODOVIEIRA TRANSPORTE LTDA</v>
      </c>
      <c r="J2031">
        <f t="shared" si="190"/>
        <v>0</v>
      </c>
      <c r="K2031">
        <f t="shared" si="191"/>
        <v>1</v>
      </c>
    </row>
    <row r="2032" spans="1:11" x14ac:dyDescent="0.25">
      <c r="A2032" t="s">
        <v>501</v>
      </c>
      <c r="B2032" t="s">
        <v>260</v>
      </c>
      <c r="C2032" t="s">
        <v>50</v>
      </c>
      <c r="D2032" s="3">
        <v>45770</v>
      </c>
      <c r="E2032" t="str">
        <f>VLOOKUP(B2032,'PROCV GERENTES BD'!A:B,2,0)</f>
        <v>PROSPECTAR</v>
      </c>
      <c r="F2032" s="4" t="str">
        <f t="shared" si="186"/>
        <v>2025-04</v>
      </c>
      <c r="G2032" s="18">
        <f t="shared" si="187"/>
        <v>17</v>
      </c>
      <c r="H2032" t="str">
        <f t="shared" si="188"/>
        <v>PROSPECTAR</v>
      </c>
      <c r="I2032" t="str">
        <f t="shared" si="189"/>
        <v>ENGREMAT ENG PROJETO MANUTENCAO INSPECAO MONTAGENS</v>
      </c>
      <c r="J2032">
        <f t="shared" si="190"/>
        <v>0</v>
      </c>
      <c r="K2032">
        <f t="shared" si="191"/>
        <v>1</v>
      </c>
    </row>
    <row r="2033" spans="1:11" x14ac:dyDescent="0.25">
      <c r="A2033" t="s">
        <v>499</v>
      </c>
      <c r="B2033" t="s">
        <v>258</v>
      </c>
      <c r="C2033" t="s">
        <v>66</v>
      </c>
      <c r="D2033" s="3">
        <v>45770</v>
      </c>
      <c r="E2033" t="str">
        <f>VLOOKUP(B2033,'PROCV GERENTES BD'!A:B,2,0)</f>
        <v>PRISCILA METZ</v>
      </c>
      <c r="F2033" s="4" t="str">
        <f t="shared" si="186"/>
        <v>2025-04</v>
      </c>
      <c r="G2033" s="18">
        <f t="shared" si="187"/>
        <v>17</v>
      </c>
      <c r="H2033" t="str">
        <f t="shared" si="188"/>
        <v>PRISCILA METZ</v>
      </c>
      <c r="I2033" t="str">
        <f t="shared" si="189"/>
        <v>PLATINUM INDUSTRIA DE CONFECCOES LTDA</v>
      </c>
      <c r="J2033">
        <f t="shared" si="190"/>
        <v>1</v>
      </c>
      <c r="K2033">
        <f t="shared" si="191"/>
        <v>0</v>
      </c>
    </row>
    <row r="2034" spans="1:11" x14ac:dyDescent="0.25">
      <c r="A2034" t="s">
        <v>64</v>
      </c>
      <c r="B2034" t="s">
        <v>65</v>
      </c>
      <c r="C2034" t="s">
        <v>50</v>
      </c>
      <c r="D2034" s="3">
        <v>45770</v>
      </c>
      <c r="E2034" t="str">
        <f>VLOOKUP(B2034,'PROCV GERENTES BD'!A:B,2,0)</f>
        <v>ADMINISTRAÇÃO</v>
      </c>
      <c r="F2034" s="4" t="str">
        <f t="shared" si="186"/>
        <v>2025-04</v>
      </c>
      <c r="G2034" s="18">
        <f t="shared" si="187"/>
        <v>17</v>
      </c>
      <c r="H2034" t="str">
        <f t="shared" si="188"/>
        <v>ADMINISTRAÇÃO</v>
      </c>
      <c r="I2034" t="str">
        <f t="shared" si="189"/>
        <v>SOCIAL S/A</v>
      </c>
      <c r="J2034">
        <f t="shared" si="190"/>
        <v>0</v>
      </c>
      <c r="K2034">
        <f t="shared" si="191"/>
        <v>1</v>
      </c>
    </row>
    <row r="2035" spans="1:11" x14ac:dyDescent="0.25">
      <c r="A2035" t="s">
        <v>497</v>
      </c>
      <c r="B2035" t="s">
        <v>257</v>
      </c>
      <c r="C2035" t="s">
        <v>50</v>
      </c>
      <c r="D2035" s="3">
        <v>45770</v>
      </c>
      <c r="E2035" t="str">
        <f>VLOOKUP(B2035,'PROCV GERENTES BD'!A:B,2,0)</f>
        <v>SEM GERENTE</v>
      </c>
      <c r="F2035" s="4" t="str">
        <f t="shared" si="186"/>
        <v>2025-04</v>
      </c>
      <c r="G2035" s="18">
        <f t="shared" si="187"/>
        <v>17</v>
      </c>
      <c r="H2035" t="str">
        <f t="shared" si="188"/>
        <v>SEM GERENTE</v>
      </c>
      <c r="I2035" t="str">
        <f t="shared" si="189"/>
        <v>OLIVEIRA E SILVA COMERCIO DE MADEIRAS E EMBALAGENS</v>
      </c>
      <c r="J2035">
        <f t="shared" si="190"/>
        <v>0</v>
      </c>
      <c r="K2035">
        <f t="shared" si="191"/>
        <v>1</v>
      </c>
    </row>
    <row r="2036" spans="1:11" x14ac:dyDescent="0.25">
      <c r="A2036" t="s">
        <v>314</v>
      </c>
      <c r="B2036" t="s">
        <v>246</v>
      </c>
      <c r="C2036" t="s">
        <v>50</v>
      </c>
      <c r="D2036" s="3">
        <v>45770</v>
      </c>
      <c r="E2036" t="str">
        <f>VLOOKUP(B2036,'PROCV GERENTES BD'!A:B,2,0)</f>
        <v xml:space="preserve">ROGERIO </v>
      </c>
      <c r="F2036" s="4" t="str">
        <f t="shared" si="186"/>
        <v>2025-04</v>
      </c>
      <c r="G2036" s="18">
        <f t="shared" si="187"/>
        <v>17</v>
      </c>
      <c r="H2036" t="str">
        <f t="shared" si="188"/>
        <v xml:space="preserve">ROGERIO </v>
      </c>
      <c r="I2036" t="str">
        <f t="shared" si="189"/>
        <v>MUTCD CENTRO DE DISTRIBUICAO DE IND FABRICANTE DE</v>
      </c>
      <c r="J2036">
        <f t="shared" si="190"/>
        <v>0</v>
      </c>
      <c r="K2036">
        <f t="shared" si="191"/>
        <v>1</v>
      </c>
    </row>
    <row r="2037" spans="1:11" x14ac:dyDescent="0.25">
      <c r="A2037" t="s">
        <v>503</v>
      </c>
      <c r="B2037" t="s">
        <v>261</v>
      </c>
      <c r="C2037" t="s">
        <v>66</v>
      </c>
      <c r="D2037" s="3">
        <v>45770</v>
      </c>
      <c r="E2037" t="str">
        <f>VLOOKUP(B2037,'PROCV GERENTES BD'!A:B,2,0)</f>
        <v>PRISCILA METZ</v>
      </c>
      <c r="F2037" s="4" t="str">
        <f t="shared" si="186"/>
        <v>2025-04</v>
      </c>
      <c r="G2037" s="18">
        <f t="shared" si="187"/>
        <v>17</v>
      </c>
      <c r="H2037" t="str">
        <f t="shared" si="188"/>
        <v>PRISCILA METZ</v>
      </c>
      <c r="I2037" t="str">
        <f t="shared" si="189"/>
        <v>ANDRADE ELETRO TECNICA LTDA EPP</v>
      </c>
      <c r="J2037">
        <f t="shared" si="190"/>
        <v>1</v>
      </c>
      <c r="K2037">
        <f t="shared" si="191"/>
        <v>0</v>
      </c>
    </row>
    <row r="2038" spans="1:11" x14ac:dyDescent="0.25">
      <c r="A2038" t="s">
        <v>331</v>
      </c>
      <c r="B2038" t="s">
        <v>144</v>
      </c>
      <c r="C2038" t="s">
        <v>50</v>
      </c>
      <c r="D2038" s="3">
        <v>45771</v>
      </c>
      <c r="E2038" t="str">
        <f>VLOOKUP(B2038,'PROCV GERENTES BD'!A:B,2,0)</f>
        <v>ADMINISTRAÇÃO</v>
      </c>
      <c r="F2038" s="4" t="str">
        <f t="shared" si="186"/>
        <v>2025-04</v>
      </c>
      <c r="G2038" s="18">
        <f t="shared" si="187"/>
        <v>17</v>
      </c>
      <c r="H2038" t="str">
        <f t="shared" si="188"/>
        <v>ADMINISTRAÇÃO</v>
      </c>
      <c r="I2038" t="str">
        <f t="shared" si="189"/>
        <v>BOM PASTOR PAPEIS LTDA EM RECUPERACAO JUDICIAL</v>
      </c>
      <c r="J2038">
        <f t="shared" si="190"/>
        <v>0</v>
      </c>
      <c r="K2038">
        <f t="shared" si="191"/>
        <v>1</v>
      </c>
    </row>
    <row r="2039" spans="1:11" x14ac:dyDescent="0.25">
      <c r="A2039" t="s">
        <v>459</v>
      </c>
      <c r="B2039" t="s">
        <v>216</v>
      </c>
      <c r="C2039" t="s">
        <v>50</v>
      </c>
      <c r="D2039" s="3">
        <v>45771</v>
      </c>
      <c r="E2039" t="str">
        <f>VLOOKUP(B2039,'PROCV GERENTES BD'!A:B,2,0)</f>
        <v>ADMINISTRAÇÃO</v>
      </c>
      <c r="F2039" s="4" t="str">
        <f t="shared" si="186"/>
        <v>2025-04</v>
      </c>
      <c r="G2039" s="18">
        <f t="shared" si="187"/>
        <v>17</v>
      </c>
      <c r="H2039" t="str">
        <f t="shared" si="188"/>
        <v>ADMINISTRAÇÃO</v>
      </c>
      <c r="I2039" t="str">
        <f t="shared" si="189"/>
        <v>JABEZ SERVICOS COMPARTILHADOS LTDA ME</v>
      </c>
      <c r="J2039">
        <f t="shared" si="190"/>
        <v>0</v>
      </c>
      <c r="K2039">
        <f t="shared" si="191"/>
        <v>1</v>
      </c>
    </row>
    <row r="2040" spans="1:11" x14ac:dyDescent="0.25">
      <c r="A2040" t="s">
        <v>379</v>
      </c>
      <c r="B2040" t="s">
        <v>126</v>
      </c>
      <c r="C2040" t="s">
        <v>50</v>
      </c>
      <c r="D2040" s="3">
        <v>45771</v>
      </c>
      <c r="E2040" t="str">
        <f>VLOOKUP(B2040,'PROCV GERENTES BD'!A:B,2,0)</f>
        <v>ADMINISTRAÇÃO</v>
      </c>
      <c r="F2040" s="4" t="str">
        <f t="shared" si="186"/>
        <v>2025-04</v>
      </c>
      <c r="G2040" s="18">
        <f t="shared" si="187"/>
        <v>17</v>
      </c>
      <c r="H2040" t="str">
        <f t="shared" si="188"/>
        <v>ADMINISTRAÇÃO</v>
      </c>
      <c r="I2040" t="str">
        <f t="shared" si="189"/>
        <v>ENXOVAIS MINAS LTDA ME</v>
      </c>
      <c r="J2040">
        <f t="shared" si="190"/>
        <v>0</v>
      </c>
      <c r="K2040">
        <f t="shared" si="191"/>
        <v>1</v>
      </c>
    </row>
    <row r="2041" spans="1:11" x14ac:dyDescent="0.25">
      <c r="A2041" t="s">
        <v>466</v>
      </c>
      <c r="B2041" t="s">
        <v>223</v>
      </c>
      <c r="C2041" t="s">
        <v>66</v>
      </c>
      <c r="D2041" s="3">
        <v>45771</v>
      </c>
      <c r="E2041" t="str">
        <f>VLOOKUP(B2041,'PROCV GERENTES BD'!A:B,2,0)</f>
        <v>CELIO PIMENTA</v>
      </c>
      <c r="F2041" s="4" t="str">
        <f t="shared" si="186"/>
        <v>2025-04</v>
      </c>
      <c r="G2041" s="18">
        <f t="shared" si="187"/>
        <v>17</v>
      </c>
      <c r="H2041" t="str">
        <f t="shared" si="188"/>
        <v>CELIO PIMENTA</v>
      </c>
      <c r="I2041" t="str">
        <f t="shared" si="189"/>
        <v>ACO X LTDA ME</v>
      </c>
      <c r="J2041">
        <f t="shared" si="190"/>
        <v>1</v>
      </c>
      <c r="K2041">
        <f t="shared" si="191"/>
        <v>0</v>
      </c>
    </row>
    <row r="2042" spans="1:11" x14ac:dyDescent="0.25">
      <c r="A2042" t="s">
        <v>383</v>
      </c>
      <c r="B2042" t="s">
        <v>130</v>
      </c>
      <c r="C2042" t="s">
        <v>66</v>
      </c>
      <c r="D2042" s="3">
        <v>45771</v>
      </c>
      <c r="E2042" t="str">
        <f>VLOOKUP(B2042,'PROCV GERENTES BD'!A:B,2,0)</f>
        <v>CELIO PIMENTA</v>
      </c>
      <c r="F2042" s="4" t="str">
        <f t="shared" si="186"/>
        <v>2025-04</v>
      </c>
      <c r="G2042" s="18">
        <f t="shared" si="187"/>
        <v>17</v>
      </c>
      <c r="H2042" t="str">
        <f t="shared" si="188"/>
        <v>CELIO PIMENTA</v>
      </c>
      <c r="I2042" t="str">
        <f t="shared" si="189"/>
        <v>JR X IMPORT LTDA EPP</v>
      </c>
      <c r="J2042">
        <f t="shared" si="190"/>
        <v>1</v>
      </c>
      <c r="K2042">
        <f t="shared" si="191"/>
        <v>0</v>
      </c>
    </row>
    <row r="2043" spans="1:11" x14ac:dyDescent="0.25">
      <c r="A2043" t="s">
        <v>324</v>
      </c>
      <c r="B2043" t="s">
        <v>119</v>
      </c>
      <c r="C2043" t="s">
        <v>50</v>
      </c>
      <c r="D2043" s="3">
        <v>45771</v>
      </c>
      <c r="E2043" t="str">
        <f>VLOOKUP(B2043,'PROCV GERENTES BD'!A:B,2,0)</f>
        <v>PROSPECTAR</v>
      </c>
      <c r="F2043" s="4" t="str">
        <f t="shared" si="186"/>
        <v>2025-04</v>
      </c>
      <c r="G2043" s="18">
        <f t="shared" si="187"/>
        <v>17</v>
      </c>
      <c r="H2043" t="str">
        <f t="shared" si="188"/>
        <v>PROSPECTAR</v>
      </c>
      <c r="I2043" t="str">
        <f t="shared" si="189"/>
        <v>TRANSHENRY TRANSPORTES LTDA</v>
      </c>
      <c r="J2043">
        <f t="shared" si="190"/>
        <v>0</v>
      </c>
      <c r="K2043">
        <f t="shared" si="191"/>
        <v>1</v>
      </c>
    </row>
    <row r="2044" spans="1:11" x14ac:dyDescent="0.25">
      <c r="A2044" t="s">
        <v>430</v>
      </c>
      <c r="B2044" t="s">
        <v>181</v>
      </c>
      <c r="C2044" t="s">
        <v>50</v>
      </c>
      <c r="D2044" s="3">
        <v>45771</v>
      </c>
      <c r="E2044" t="str">
        <f>VLOOKUP(B2044,'PROCV GERENTES BD'!A:B,2,0)</f>
        <v>PROSPECTAR</v>
      </c>
      <c r="F2044" s="4" t="str">
        <f t="shared" si="186"/>
        <v>2025-04</v>
      </c>
      <c r="G2044" s="18">
        <f t="shared" si="187"/>
        <v>17</v>
      </c>
      <c r="H2044" t="str">
        <f t="shared" si="188"/>
        <v>PROSPECTAR</v>
      </c>
      <c r="I2044" t="str">
        <f t="shared" si="189"/>
        <v>SIQUEIRA E GAIPO INDUSTRIA E MATERIAIS ESPORTIVOS</v>
      </c>
      <c r="J2044">
        <f t="shared" si="190"/>
        <v>0</v>
      </c>
      <c r="K2044">
        <f t="shared" si="191"/>
        <v>1</v>
      </c>
    </row>
    <row r="2045" spans="1:11" x14ac:dyDescent="0.25">
      <c r="A2045" t="s">
        <v>369</v>
      </c>
      <c r="B2045" t="s">
        <v>113</v>
      </c>
      <c r="C2045" t="s">
        <v>66</v>
      </c>
      <c r="D2045" s="3">
        <v>45771</v>
      </c>
      <c r="E2045" t="str">
        <f>VLOOKUP(B2045,'PROCV GERENTES BD'!A:B,2,0)</f>
        <v xml:space="preserve">MARCUS VINICIUS </v>
      </c>
      <c r="F2045" s="4" t="str">
        <f t="shared" si="186"/>
        <v>2025-04</v>
      </c>
      <c r="G2045" s="18">
        <f t="shared" si="187"/>
        <v>17</v>
      </c>
      <c r="H2045" t="str">
        <f t="shared" si="188"/>
        <v xml:space="preserve">MARCUS VINICIUS </v>
      </c>
      <c r="I2045" t="str">
        <f t="shared" si="189"/>
        <v>ISOBASE POLIESTIRENO LTDA EPP</v>
      </c>
      <c r="J2045">
        <f t="shared" si="190"/>
        <v>1</v>
      </c>
      <c r="K2045">
        <f t="shared" si="191"/>
        <v>0</v>
      </c>
    </row>
    <row r="2046" spans="1:11" x14ac:dyDescent="0.25">
      <c r="A2046" t="s">
        <v>400</v>
      </c>
      <c r="B2046" t="s">
        <v>150</v>
      </c>
      <c r="C2046" t="s">
        <v>66</v>
      </c>
      <c r="D2046" s="3">
        <v>45771</v>
      </c>
      <c r="E2046" t="str">
        <f>VLOOKUP(B2046,'PROCV GERENTES BD'!A:B,2,0)</f>
        <v>NOELI SALETE</v>
      </c>
      <c r="F2046" s="4" t="str">
        <f t="shared" si="186"/>
        <v>2025-04</v>
      </c>
      <c r="G2046" s="18">
        <f t="shared" si="187"/>
        <v>17</v>
      </c>
      <c r="H2046" t="str">
        <f t="shared" si="188"/>
        <v>NOELI SALETE</v>
      </c>
      <c r="I2046" t="str">
        <f t="shared" si="189"/>
        <v>POOLMAK SISTEMAS ESTRUTURAIS LTDA</v>
      </c>
      <c r="J2046">
        <f t="shared" si="190"/>
        <v>1</v>
      </c>
      <c r="K2046">
        <f t="shared" si="191"/>
        <v>0</v>
      </c>
    </row>
    <row r="2047" spans="1:11" x14ac:dyDescent="0.25">
      <c r="A2047" t="s">
        <v>438</v>
      </c>
      <c r="B2047" t="s">
        <v>189</v>
      </c>
      <c r="C2047" t="s">
        <v>66</v>
      </c>
      <c r="D2047" s="3">
        <v>45771</v>
      </c>
      <c r="E2047" t="str">
        <f>VLOOKUP(B2047,'PROCV GERENTES BD'!A:B,2,0)</f>
        <v>NOELI SALETE</v>
      </c>
      <c r="F2047" s="4" t="str">
        <f t="shared" si="186"/>
        <v>2025-04</v>
      </c>
      <c r="G2047" s="18">
        <f t="shared" si="187"/>
        <v>17</v>
      </c>
      <c r="H2047" t="str">
        <f t="shared" si="188"/>
        <v>NOELI SALETE</v>
      </c>
      <c r="I2047" t="str">
        <f t="shared" si="189"/>
        <v>AGRO INDUSTRIAL LAZZERI LTDA</v>
      </c>
      <c r="J2047">
        <f t="shared" si="190"/>
        <v>1</v>
      </c>
      <c r="K2047">
        <f t="shared" si="191"/>
        <v>0</v>
      </c>
    </row>
    <row r="2048" spans="1:11" x14ac:dyDescent="0.25">
      <c r="A2048" t="s">
        <v>307</v>
      </c>
      <c r="B2048" t="s">
        <v>102</v>
      </c>
      <c r="C2048" t="s">
        <v>71</v>
      </c>
      <c r="D2048" s="3">
        <v>45771</v>
      </c>
      <c r="E2048" t="str">
        <f>VLOOKUP(B2048,'PROCV GERENTES BD'!A:B,2,0)</f>
        <v>POENATELA</v>
      </c>
      <c r="F2048" s="4" t="str">
        <f t="shared" si="186"/>
        <v>2025-04</v>
      </c>
      <c r="G2048" s="18">
        <f t="shared" si="187"/>
        <v>17</v>
      </c>
      <c r="H2048" t="str">
        <f t="shared" si="188"/>
        <v>POENATELA</v>
      </c>
      <c r="I2048" t="str">
        <f t="shared" si="189"/>
        <v>ECOPINUS INDUSTRIA E COMERCIO DE EMBALAGENS DE MAD</v>
      </c>
      <c r="J2048">
        <f t="shared" si="190"/>
        <v>0</v>
      </c>
      <c r="K2048">
        <f t="shared" si="191"/>
        <v>0</v>
      </c>
    </row>
    <row r="2049" spans="1:11" x14ac:dyDescent="0.25">
      <c r="A2049" t="s">
        <v>475</v>
      </c>
      <c r="B2049" t="s">
        <v>232</v>
      </c>
      <c r="C2049" t="s">
        <v>66</v>
      </c>
      <c r="D2049" s="3">
        <v>45771</v>
      </c>
      <c r="E2049" t="str">
        <f>VLOOKUP(B2049,'PROCV GERENTES BD'!A:B,2,0)</f>
        <v>POENATELA</v>
      </c>
      <c r="F2049" s="4" t="str">
        <f t="shared" si="186"/>
        <v>2025-04</v>
      </c>
      <c r="G2049" s="18">
        <f t="shared" si="187"/>
        <v>17</v>
      </c>
      <c r="H2049" t="str">
        <f t="shared" si="188"/>
        <v>POENATELA</v>
      </c>
      <c r="I2049" t="str">
        <f t="shared" si="189"/>
        <v>JUATUBA MOVEIS E EMBALAGENS LTDA</v>
      </c>
      <c r="J2049">
        <f t="shared" si="190"/>
        <v>1</v>
      </c>
      <c r="K2049">
        <f t="shared" si="191"/>
        <v>0</v>
      </c>
    </row>
    <row r="2050" spans="1:11" x14ac:dyDescent="0.25">
      <c r="A2050" t="s">
        <v>420</v>
      </c>
      <c r="B2050" t="s">
        <v>170</v>
      </c>
      <c r="C2050" t="s">
        <v>66</v>
      </c>
      <c r="D2050" s="3">
        <v>45771</v>
      </c>
      <c r="E2050" t="str">
        <f>VLOOKUP(B2050,'PROCV GERENTES BD'!A:B,2,0)</f>
        <v>POENATELA</v>
      </c>
      <c r="F2050" s="4" t="str">
        <f t="shared" ref="F2050:F2113" si="192">YEAR(D2050)&amp;"-"&amp;TEXT(MONTH(D2050),"00")</f>
        <v>2025-04</v>
      </c>
      <c r="G2050" s="18">
        <f t="shared" ref="G2050:G2113" si="193">WEEKNUM(D2050)</f>
        <v>17</v>
      </c>
      <c r="H2050" t="str">
        <f t="shared" ref="H2050:H2113" si="194">E2050</f>
        <v>POENATELA</v>
      </c>
      <c r="I2050" t="str">
        <f t="shared" ref="I2050:I2113" si="195">B2050</f>
        <v>SAVIXX COMERCIO INTERNACIONAL S/A</v>
      </c>
      <c r="J2050">
        <f t="shared" ref="J2050:J2113" si="196">IF(OR(C2050="EXCLUSAO  ANOT.INADIMPLENCIA",C2050="INCL/EXCL ANOT.INADIMPLENCIA"),1,0)</f>
        <v>1</v>
      </c>
      <c r="K2050">
        <f t="shared" ref="K2050:K2113" si="197">IF(OR(C2050="INCLUSAO  ANOT.INADIMPLENCIA",C2050="INCL/EXCL ANOT.INADIMPLENCIA"),1,0)</f>
        <v>0</v>
      </c>
    </row>
    <row r="2051" spans="1:11" x14ac:dyDescent="0.25">
      <c r="A2051" t="s">
        <v>398</v>
      </c>
      <c r="B2051" t="s">
        <v>148</v>
      </c>
      <c r="C2051" t="s">
        <v>50</v>
      </c>
      <c r="D2051" s="3">
        <v>45771</v>
      </c>
      <c r="E2051" t="str">
        <f>VLOOKUP(B2051,'PROCV GERENTES BD'!A:B,2,0)</f>
        <v>PRISCILA METZ</v>
      </c>
      <c r="F2051" s="4" t="str">
        <f t="shared" si="192"/>
        <v>2025-04</v>
      </c>
      <c r="G2051" s="18">
        <f t="shared" si="193"/>
        <v>17</v>
      </c>
      <c r="H2051" t="str">
        <f t="shared" si="194"/>
        <v>PRISCILA METZ</v>
      </c>
      <c r="I2051" t="str">
        <f t="shared" si="195"/>
        <v>JF GOLD DISTRIBUIDORA LTDA EPP</v>
      </c>
      <c r="J2051">
        <f t="shared" si="196"/>
        <v>0</v>
      </c>
      <c r="K2051">
        <f t="shared" si="197"/>
        <v>1</v>
      </c>
    </row>
    <row r="2052" spans="1:11" x14ac:dyDescent="0.25">
      <c r="A2052" t="s">
        <v>454</v>
      </c>
      <c r="B2052" t="s">
        <v>211</v>
      </c>
      <c r="C2052" t="s">
        <v>50</v>
      </c>
      <c r="D2052" s="3">
        <v>45771</v>
      </c>
      <c r="E2052" t="str">
        <f>VLOOKUP(B2052,'PROCV GERENTES BD'!A:B,2,0)</f>
        <v>RAFAEL PARISE</v>
      </c>
      <c r="F2052" s="4" t="str">
        <f t="shared" si="192"/>
        <v>2025-04</v>
      </c>
      <c r="G2052" s="18">
        <f t="shared" si="193"/>
        <v>17</v>
      </c>
      <c r="H2052" t="str">
        <f t="shared" si="194"/>
        <v>RAFAEL PARISE</v>
      </c>
      <c r="I2052" t="str">
        <f t="shared" si="195"/>
        <v>TREGA FILHOS EMPACOTAMENTO E DISTRIBUICAO LTDA ME</v>
      </c>
      <c r="J2052">
        <f t="shared" si="196"/>
        <v>0</v>
      </c>
      <c r="K2052">
        <f t="shared" si="197"/>
        <v>1</v>
      </c>
    </row>
    <row r="2053" spans="1:11" x14ac:dyDescent="0.25">
      <c r="A2053" t="s">
        <v>325</v>
      </c>
      <c r="B2053" t="s">
        <v>138</v>
      </c>
      <c r="C2053" t="s">
        <v>50</v>
      </c>
      <c r="D2053" s="3">
        <v>45771</v>
      </c>
      <c r="E2053" t="str">
        <f>VLOOKUP(B2053,'PROCV GERENTES BD'!A:B,2,0)</f>
        <v>SACADO</v>
      </c>
      <c r="F2053" s="4" t="str">
        <f t="shared" si="192"/>
        <v>2025-04</v>
      </c>
      <c r="G2053" s="18">
        <f t="shared" si="193"/>
        <v>17</v>
      </c>
      <c r="H2053" t="str">
        <f t="shared" si="194"/>
        <v>SACADO</v>
      </c>
      <c r="I2053" t="str">
        <f t="shared" si="195"/>
        <v>ALLIAGE S A INDUSTRIAS MEDICO ODONTOLOGICA</v>
      </c>
      <c r="J2053">
        <f t="shared" si="196"/>
        <v>0</v>
      </c>
      <c r="K2053">
        <f t="shared" si="197"/>
        <v>1</v>
      </c>
    </row>
    <row r="2054" spans="1:11" x14ac:dyDescent="0.25">
      <c r="A2054" t="s">
        <v>56</v>
      </c>
      <c r="B2054" t="s">
        <v>57</v>
      </c>
      <c r="C2054" t="s">
        <v>66</v>
      </c>
      <c r="D2054" s="3">
        <v>45771</v>
      </c>
      <c r="E2054" t="str">
        <f>VLOOKUP(B2054,'PROCV GERENTES BD'!A:B,2,0)</f>
        <v xml:space="preserve">ROGERIO </v>
      </c>
      <c r="F2054" s="4" t="str">
        <f t="shared" si="192"/>
        <v>2025-04</v>
      </c>
      <c r="G2054" s="18">
        <f t="shared" si="193"/>
        <v>17</v>
      </c>
      <c r="H2054" t="str">
        <f t="shared" si="194"/>
        <v xml:space="preserve">ROGERIO </v>
      </c>
      <c r="I2054" t="str">
        <f t="shared" si="195"/>
        <v>RODOVIEIRA TRANSPORTE LTDA</v>
      </c>
      <c r="J2054">
        <f t="shared" si="196"/>
        <v>1</v>
      </c>
      <c r="K2054">
        <f t="shared" si="197"/>
        <v>0</v>
      </c>
    </row>
    <row r="2055" spans="1:11" x14ac:dyDescent="0.25">
      <c r="A2055" t="s">
        <v>64</v>
      </c>
      <c r="B2055" t="s">
        <v>65</v>
      </c>
      <c r="C2055" t="s">
        <v>50</v>
      </c>
      <c r="D2055" s="3">
        <v>45771</v>
      </c>
      <c r="E2055" t="str">
        <f>VLOOKUP(B2055,'PROCV GERENTES BD'!A:B,2,0)</f>
        <v>ADMINISTRAÇÃO</v>
      </c>
      <c r="F2055" s="4" t="str">
        <f t="shared" si="192"/>
        <v>2025-04</v>
      </c>
      <c r="G2055" s="18">
        <f t="shared" si="193"/>
        <v>17</v>
      </c>
      <c r="H2055" t="str">
        <f t="shared" si="194"/>
        <v>ADMINISTRAÇÃO</v>
      </c>
      <c r="I2055" t="str">
        <f t="shared" si="195"/>
        <v>SOCIAL S/A</v>
      </c>
      <c r="J2055">
        <f t="shared" si="196"/>
        <v>0</v>
      </c>
      <c r="K2055">
        <f t="shared" si="197"/>
        <v>1</v>
      </c>
    </row>
    <row r="2056" spans="1:11" x14ac:dyDescent="0.25">
      <c r="A2056" t="s">
        <v>497</v>
      </c>
      <c r="B2056" t="s">
        <v>257</v>
      </c>
      <c r="C2056" t="s">
        <v>50</v>
      </c>
      <c r="D2056" s="3">
        <v>45771</v>
      </c>
      <c r="E2056" t="str">
        <f>VLOOKUP(B2056,'PROCV GERENTES BD'!A:B,2,0)</f>
        <v>SEM GERENTE</v>
      </c>
      <c r="F2056" s="4" t="str">
        <f t="shared" si="192"/>
        <v>2025-04</v>
      </c>
      <c r="G2056" s="18">
        <f t="shared" si="193"/>
        <v>17</v>
      </c>
      <c r="H2056" t="str">
        <f t="shared" si="194"/>
        <v>SEM GERENTE</v>
      </c>
      <c r="I2056" t="str">
        <f t="shared" si="195"/>
        <v>OLIVEIRA E SILVA COMERCIO DE MADEIRAS E EMBALAGENS</v>
      </c>
      <c r="J2056">
        <f t="shared" si="196"/>
        <v>0</v>
      </c>
      <c r="K2056">
        <f t="shared" si="197"/>
        <v>1</v>
      </c>
    </row>
    <row r="2057" spans="1:11" x14ac:dyDescent="0.25">
      <c r="A2057" t="s">
        <v>379</v>
      </c>
      <c r="B2057" t="s">
        <v>126</v>
      </c>
      <c r="C2057" t="s">
        <v>50</v>
      </c>
      <c r="D2057" s="3">
        <v>45772</v>
      </c>
      <c r="E2057" t="str">
        <f>VLOOKUP(B2057,'PROCV GERENTES BD'!A:B,2,0)</f>
        <v>ADMINISTRAÇÃO</v>
      </c>
      <c r="F2057" s="4" t="str">
        <f t="shared" si="192"/>
        <v>2025-04</v>
      </c>
      <c r="G2057" s="18">
        <f t="shared" si="193"/>
        <v>17</v>
      </c>
      <c r="H2057" t="str">
        <f t="shared" si="194"/>
        <v>ADMINISTRAÇÃO</v>
      </c>
      <c r="I2057" t="str">
        <f t="shared" si="195"/>
        <v>ENXOVAIS MINAS LTDA ME</v>
      </c>
      <c r="J2057">
        <f t="shared" si="196"/>
        <v>0</v>
      </c>
      <c r="K2057">
        <f t="shared" si="197"/>
        <v>1</v>
      </c>
    </row>
    <row r="2058" spans="1:11" x14ac:dyDescent="0.25">
      <c r="A2058" t="s">
        <v>449</v>
      </c>
      <c r="B2058" t="s">
        <v>206</v>
      </c>
      <c r="C2058" t="s">
        <v>66</v>
      </c>
      <c r="D2058" s="3">
        <v>45772</v>
      </c>
      <c r="E2058" t="str">
        <f>VLOOKUP(B2058,'PROCV GERENTES BD'!A:B,2,0)</f>
        <v>ADMINISTRAÇÃO</v>
      </c>
      <c r="F2058" s="4" t="str">
        <f t="shared" si="192"/>
        <v>2025-04</v>
      </c>
      <c r="G2058" s="18">
        <f t="shared" si="193"/>
        <v>17</v>
      </c>
      <c r="H2058" t="str">
        <f t="shared" si="194"/>
        <v>ADMINISTRAÇÃO</v>
      </c>
      <c r="I2058" t="str">
        <f t="shared" si="195"/>
        <v>P P DISTRIBUIDORA LTDA</v>
      </c>
      <c r="J2058">
        <f t="shared" si="196"/>
        <v>1</v>
      </c>
      <c r="K2058">
        <f t="shared" si="197"/>
        <v>0</v>
      </c>
    </row>
    <row r="2059" spans="1:11" x14ac:dyDescent="0.25">
      <c r="A2059" t="s">
        <v>319</v>
      </c>
      <c r="B2059" t="s">
        <v>80</v>
      </c>
      <c r="C2059" t="s">
        <v>66</v>
      </c>
      <c r="D2059" s="3">
        <v>45772</v>
      </c>
      <c r="E2059" t="str">
        <f>VLOOKUP(B2059,'PROCV GERENTES BD'!A:B,2,0)</f>
        <v>CELIO PIMENTA</v>
      </c>
      <c r="F2059" s="4" t="str">
        <f t="shared" si="192"/>
        <v>2025-04</v>
      </c>
      <c r="G2059" s="18">
        <f t="shared" si="193"/>
        <v>17</v>
      </c>
      <c r="H2059" t="str">
        <f t="shared" si="194"/>
        <v>CELIO PIMENTA</v>
      </c>
      <c r="I2059" t="str">
        <f t="shared" si="195"/>
        <v>IMPORTEXTIL COMERCIO DE TECIDOS LTDA</v>
      </c>
      <c r="J2059">
        <f t="shared" si="196"/>
        <v>1</v>
      </c>
      <c r="K2059">
        <f t="shared" si="197"/>
        <v>0</v>
      </c>
    </row>
    <row r="2060" spans="1:11" x14ac:dyDescent="0.25">
      <c r="A2060" t="s">
        <v>324</v>
      </c>
      <c r="B2060" t="s">
        <v>119</v>
      </c>
      <c r="C2060" t="s">
        <v>66</v>
      </c>
      <c r="D2060" s="3">
        <v>45772</v>
      </c>
      <c r="E2060" t="str">
        <f>VLOOKUP(B2060,'PROCV GERENTES BD'!A:B,2,0)</f>
        <v>PROSPECTAR</v>
      </c>
      <c r="F2060" s="4" t="str">
        <f t="shared" si="192"/>
        <v>2025-04</v>
      </c>
      <c r="G2060" s="18">
        <f t="shared" si="193"/>
        <v>17</v>
      </c>
      <c r="H2060" t="str">
        <f t="shared" si="194"/>
        <v>PROSPECTAR</v>
      </c>
      <c r="I2060" t="str">
        <f t="shared" si="195"/>
        <v>TRANSHENRY TRANSPORTES LTDA</v>
      </c>
      <c r="J2060">
        <f t="shared" si="196"/>
        <v>1</v>
      </c>
      <c r="K2060">
        <f t="shared" si="197"/>
        <v>0</v>
      </c>
    </row>
    <row r="2061" spans="1:11" x14ac:dyDescent="0.25">
      <c r="A2061" t="s">
        <v>318</v>
      </c>
      <c r="B2061" t="s">
        <v>203</v>
      </c>
      <c r="C2061" t="s">
        <v>66</v>
      </c>
      <c r="D2061" s="3">
        <v>45772</v>
      </c>
      <c r="E2061" t="str">
        <f>VLOOKUP(B2061,'PROCV GERENTES BD'!A:B,2,0)</f>
        <v>JOSE ROBERTO</v>
      </c>
      <c r="F2061" s="4" t="str">
        <f t="shared" si="192"/>
        <v>2025-04</v>
      </c>
      <c r="G2061" s="18">
        <f t="shared" si="193"/>
        <v>17</v>
      </c>
      <c r="H2061" t="str">
        <f t="shared" si="194"/>
        <v>JOSE ROBERTO</v>
      </c>
      <c r="I2061" t="str">
        <f t="shared" si="195"/>
        <v>FUNDACAO DE ENSINO E PESQUISA DO SUL DE MINAS FEPE</v>
      </c>
      <c r="J2061">
        <f t="shared" si="196"/>
        <v>1</v>
      </c>
      <c r="K2061">
        <f t="shared" si="197"/>
        <v>0</v>
      </c>
    </row>
    <row r="2062" spans="1:11" x14ac:dyDescent="0.25">
      <c r="A2062" t="s">
        <v>395</v>
      </c>
      <c r="B2062" t="s">
        <v>145</v>
      </c>
      <c r="C2062" t="s">
        <v>50</v>
      </c>
      <c r="D2062" s="3">
        <v>45772</v>
      </c>
      <c r="E2062" t="str">
        <f>VLOOKUP(B2062,'PROCV GERENTES BD'!A:B,2,0)</f>
        <v>MARCIO LEONEL</v>
      </c>
      <c r="F2062" s="4" t="str">
        <f t="shared" si="192"/>
        <v>2025-04</v>
      </c>
      <c r="G2062" s="18">
        <f t="shared" si="193"/>
        <v>17</v>
      </c>
      <c r="H2062" t="str">
        <f t="shared" si="194"/>
        <v>MARCIO LEONEL</v>
      </c>
      <c r="I2062" t="str">
        <f t="shared" si="195"/>
        <v>MEDICAL PRIME IMP EXPORT DISTRIB PRODUTOS MEDICOS</v>
      </c>
      <c r="J2062">
        <f t="shared" si="196"/>
        <v>0</v>
      </c>
      <c r="K2062">
        <f t="shared" si="197"/>
        <v>1</v>
      </c>
    </row>
    <row r="2063" spans="1:11" x14ac:dyDescent="0.25">
      <c r="A2063" t="s">
        <v>60</v>
      </c>
      <c r="B2063" t="s">
        <v>61</v>
      </c>
      <c r="C2063" t="s">
        <v>50</v>
      </c>
      <c r="D2063" s="3">
        <v>45772</v>
      </c>
      <c r="E2063" t="str">
        <f>VLOOKUP(B2063,'PROCV GERENTES BD'!A:B,2,0)</f>
        <v xml:space="preserve">MARCUS VINICIUS </v>
      </c>
      <c r="F2063" s="4" t="str">
        <f t="shared" si="192"/>
        <v>2025-04</v>
      </c>
      <c r="G2063" s="18">
        <f t="shared" si="193"/>
        <v>17</v>
      </c>
      <c r="H2063" t="str">
        <f t="shared" si="194"/>
        <v xml:space="preserve">MARCUS VINICIUS </v>
      </c>
      <c r="I2063" t="str">
        <f t="shared" si="195"/>
        <v>COM IND DE CEREAIS E TRANSPORTES MACIEL LTDA</v>
      </c>
      <c r="J2063">
        <f t="shared" si="196"/>
        <v>0</v>
      </c>
      <c r="K2063">
        <f t="shared" si="197"/>
        <v>1</v>
      </c>
    </row>
    <row r="2064" spans="1:11" x14ac:dyDescent="0.25">
      <c r="A2064" t="s">
        <v>428</v>
      </c>
      <c r="B2064" t="s">
        <v>179</v>
      </c>
      <c r="C2064" t="s">
        <v>66</v>
      </c>
      <c r="D2064" s="3">
        <v>45772</v>
      </c>
      <c r="E2064" t="str">
        <f>VLOOKUP(B2064,'PROCV GERENTES BD'!A:B,2,0)</f>
        <v xml:space="preserve">MARCUS VINICIUS </v>
      </c>
      <c r="F2064" s="4" t="str">
        <f t="shared" si="192"/>
        <v>2025-04</v>
      </c>
      <c r="G2064" s="18">
        <f t="shared" si="193"/>
        <v>17</v>
      </c>
      <c r="H2064" t="str">
        <f t="shared" si="194"/>
        <v xml:space="preserve">MARCUS VINICIUS </v>
      </c>
      <c r="I2064" t="str">
        <f t="shared" si="195"/>
        <v>LABOR ELETRIC INDUSTRIA E COMERCIO UNIPESSOAL LTDA</v>
      </c>
      <c r="J2064">
        <f t="shared" si="196"/>
        <v>1</v>
      </c>
      <c r="K2064">
        <f t="shared" si="197"/>
        <v>0</v>
      </c>
    </row>
    <row r="2065" spans="1:11" x14ac:dyDescent="0.25">
      <c r="A2065" t="s">
        <v>438</v>
      </c>
      <c r="B2065" t="s">
        <v>189</v>
      </c>
      <c r="C2065" t="s">
        <v>50</v>
      </c>
      <c r="D2065" s="3">
        <v>45772</v>
      </c>
      <c r="E2065" t="str">
        <f>VLOOKUP(B2065,'PROCV GERENTES BD'!A:B,2,0)</f>
        <v>NOELI SALETE</v>
      </c>
      <c r="F2065" s="4" t="str">
        <f t="shared" si="192"/>
        <v>2025-04</v>
      </c>
      <c r="G2065" s="18">
        <f t="shared" si="193"/>
        <v>17</v>
      </c>
      <c r="H2065" t="str">
        <f t="shared" si="194"/>
        <v>NOELI SALETE</v>
      </c>
      <c r="I2065" t="str">
        <f t="shared" si="195"/>
        <v>AGRO INDUSTRIAL LAZZERI LTDA</v>
      </c>
      <c r="J2065">
        <f t="shared" si="196"/>
        <v>0</v>
      </c>
      <c r="K2065">
        <f t="shared" si="197"/>
        <v>1</v>
      </c>
    </row>
    <row r="2066" spans="1:11" x14ac:dyDescent="0.25">
      <c r="A2066" t="s">
        <v>307</v>
      </c>
      <c r="B2066" t="s">
        <v>102</v>
      </c>
      <c r="C2066" t="s">
        <v>66</v>
      </c>
      <c r="D2066" s="3">
        <v>45772</v>
      </c>
      <c r="E2066" t="str">
        <f>VLOOKUP(B2066,'PROCV GERENTES BD'!A:B,2,0)</f>
        <v>POENATELA</v>
      </c>
      <c r="F2066" s="4" t="str">
        <f t="shared" si="192"/>
        <v>2025-04</v>
      </c>
      <c r="G2066" s="18">
        <f t="shared" si="193"/>
        <v>17</v>
      </c>
      <c r="H2066" t="str">
        <f t="shared" si="194"/>
        <v>POENATELA</v>
      </c>
      <c r="I2066" t="str">
        <f t="shared" si="195"/>
        <v>ECOPINUS INDUSTRIA E COMERCIO DE EMBALAGENS DE MAD</v>
      </c>
      <c r="J2066">
        <f t="shared" si="196"/>
        <v>1</v>
      </c>
      <c r="K2066">
        <f t="shared" si="197"/>
        <v>0</v>
      </c>
    </row>
    <row r="2067" spans="1:11" x14ac:dyDescent="0.25">
      <c r="A2067" t="s">
        <v>420</v>
      </c>
      <c r="B2067" t="s">
        <v>170</v>
      </c>
      <c r="C2067" t="s">
        <v>66</v>
      </c>
      <c r="D2067" s="3">
        <v>45772</v>
      </c>
      <c r="E2067" t="str">
        <f>VLOOKUP(B2067,'PROCV GERENTES BD'!A:B,2,0)</f>
        <v>POENATELA</v>
      </c>
      <c r="F2067" s="4" t="str">
        <f t="shared" si="192"/>
        <v>2025-04</v>
      </c>
      <c r="G2067" s="18">
        <f t="shared" si="193"/>
        <v>17</v>
      </c>
      <c r="H2067" t="str">
        <f t="shared" si="194"/>
        <v>POENATELA</v>
      </c>
      <c r="I2067" t="str">
        <f t="shared" si="195"/>
        <v>SAVIXX COMERCIO INTERNACIONAL S/A</v>
      </c>
      <c r="J2067">
        <f t="shared" si="196"/>
        <v>1</v>
      </c>
      <c r="K2067">
        <f t="shared" si="197"/>
        <v>0</v>
      </c>
    </row>
    <row r="2068" spans="1:11" x14ac:dyDescent="0.25">
      <c r="A2068" t="s">
        <v>51</v>
      </c>
      <c r="B2068" t="s">
        <v>52</v>
      </c>
      <c r="C2068" t="s">
        <v>50</v>
      </c>
      <c r="D2068" s="3">
        <v>45772</v>
      </c>
      <c r="E2068" t="str">
        <f>VLOOKUP(B2068,'PROCV GERENTES BD'!A:B,2,0)</f>
        <v>RAFAEL PARISE</v>
      </c>
      <c r="F2068" s="4" t="str">
        <f t="shared" si="192"/>
        <v>2025-04</v>
      </c>
      <c r="G2068" s="18">
        <f t="shared" si="193"/>
        <v>17</v>
      </c>
      <c r="H2068" t="str">
        <f t="shared" si="194"/>
        <v>RAFAEL PARISE</v>
      </c>
      <c r="I2068" t="str">
        <f t="shared" si="195"/>
        <v>TDR TRANSPORTES LOGISTICA LTDA</v>
      </c>
      <c r="J2068">
        <f t="shared" si="196"/>
        <v>0</v>
      </c>
      <c r="K2068">
        <f t="shared" si="197"/>
        <v>1</v>
      </c>
    </row>
    <row r="2069" spans="1:11" x14ac:dyDescent="0.25">
      <c r="A2069" t="s">
        <v>457</v>
      </c>
      <c r="B2069" t="s">
        <v>214</v>
      </c>
      <c r="C2069" t="s">
        <v>66</v>
      </c>
      <c r="D2069" s="3">
        <v>45772</v>
      </c>
      <c r="E2069" t="s">
        <v>21</v>
      </c>
      <c r="F2069" s="4" t="str">
        <f t="shared" si="192"/>
        <v>2025-04</v>
      </c>
      <c r="G2069" s="18">
        <f t="shared" si="193"/>
        <v>17</v>
      </c>
      <c r="H2069" t="str">
        <f t="shared" si="194"/>
        <v xml:space="preserve">ROGERIO </v>
      </c>
      <c r="I2069" t="str">
        <f t="shared" si="195"/>
        <v>METAL STAMP INDUSTRIA E COMERCIO LTDA</v>
      </c>
      <c r="J2069">
        <f t="shared" si="196"/>
        <v>1</v>
      </c>
      <c r="K2069">
        <f t="shared" si="197"/>
        <v>0</v>
      </c>
    </row>
    <row r="2070" spans="1:11" x14ac:dyDescent="0.25">
      <c r="A2070" t="s">
        <v>461</v>
      </c>
      <c r="B2070" t="s">
        <v>218</v>
      </c>
      <c r="C2070" t="s">
        <v>50</v>
      </c>
      <c r="D2070" s="3">
        <v>45772</v>
      </c>
      <c r="E2070" t="str">
        <f>VLOOKUP(B2070,'PROCV GERENTES BD'!A:B,2,0)</f>
        <v>SACADO</v>
      </c>
      <c r="F2070" s="4" t="str">
        <f t="shared" si="192"/>
        <v>2025-04</v>
      </c>
      <c r="G2070" s="18">
        <f t="shared" si="193"/>
        <v>17</v>
      </c>
      <c r="H2070" t="str">
        <f t="shared" si="194"/>
        <v>SACADO</v>
      </c>
      <c r="I2070" t="str">
        <f t="shared" si="195"/>
        <v>KUARA COMERCIAL E EXPORTADORA DE FRUTAS LTDA</v>
      </c>
      <c r="J2070">
        <f t="shared" si="196"/>
        <v>0</v>
      </c>
      <c r="K2070">
        <f t="shared" si="197"/>
        <v>1</v>
      </c>
    </row>
    <row r="2071" spans="1:11" x14ac:dyDescent="0.25">
      <c r="A2071" t="s">
        <v>484</v>
      </c>
      <c r="B2071" t="s">
        <v>245</v>
      </c>
      <c r="C2071" t="s">
        <v>71</v>
      </c>
      <c r="D2071" s="3">
        <v>45772</v>
      </c>
      <c r="E2071" t="str">
        <f>VLOOKUP(B2071,'PROCV GERENTES BD'!A:B,2,0)</f>
        <v>ADMINISTRAÇÃO</v>
      </c>
      <c r="F2071" s="4" t="str">
        <f t="shared" si="192"/>
        <v>2025-04</v>
      </c>
      <c r="G2071" s="18">
        <f t="shared" si="193"/>
        <v>17</v>
      </c>
      <c r="H2071" t="str">
        <f t="shared" si="194"/>
        <v>ADMINISTRAÇÃO</v>
      </c>
      <c r="I2071" t="str">
        <f t="shared" si="195"/>
        <v>REAL FILTROS E ACESSORIOS AUTOMOTIVOS LTDA</v>
      </c>
      <c r="J2071">
        <f t="shared" si="196"/>
        <v>0</v>
      </c>
      <c r="K2071">
        <f t="shared" si="197"/>
        <v>0</v>
      </c>
    </row>
    <row r="2072" spans="1:11" x14ac:dyDescent="0.25">
      <c r="A2072" t="s">
        <v>389</v>
      </c>
      <c r="B2072" t="s">
        <v>263</v>
      </c>
      <c r="C2072" t="s">
        <v>328</v>
      </c>
      <c r="D2072" s="3">
        <v>45772</v>
      </c>
      <c r="E2072" t="str">
        <f>VLOOKUP(B2072,'PROCV GERENTES BD'!A:B,2,0)</f>
        <v>POENATELA</v>
      </c>
      <c r="F2072" s="4" t="str">
        <f t="shared" si="192"/>
        <v>2025-04</v>
      </c>
      <c r="G2072" s="18">
        <f t="shared" si="193"/>
        <v>17</v>
      </c>
      <c r="H2072" t="str">
        <f t="shared" si="194"/>
        <v>POENATELA</v>
      </c>
      <c r="I2072" t="str">
        <f t="shared" si="195"/>
        <v>CONQUISTA INDUSTRIA DE MOVEIS S A EM RECUPERACAO J</v>
      </c>
      <c r="J2072">
        <f t="shared" si="196"/>
        <v>0</v>
      </c>
      <c r="K2072">
        <f t="shared" si="197"/>
        <v>0</v>
      </c>
    </row>
    <row r="2073" spans="1:11" x14ac:dyDescent="0.25">
      <c r="A2073" t="s">
        <v>321</v>
      </c>
      <c r="B2073" t="s">
        <v>264</v>
      </c>
      <c r="C2073" t="s">
        <v>66</v>
      </c>
      <c r="D2073" s="3">
        <v>45772</v>
      </c>
      <c r="E2073" t="str">
        <f>VLOOKUP(B2073,'PROCV GERENTES BD'!A:B,2,0)</f>
        <v>RAFAEL PARISE</v>
      </c>
      <c r="F2073" s="4" t="str">
        <f t="shared" si="192"/>
        <v>2025-04</v>
      </c>
      <c r="G2073" s="18">
        <f t="shared" si="193"/>
        <v>17</v>
      </c>
      <c r="H2073" t="str">
        <f t="shared" si="194"/>
        <v>RAFAEL PARISE</v>
      </c>
      <c r="I2073" t="str">
        <f t="shared" si="195"/>
        <v>METALCROMO METALIZACAO E CROMO DURO INDUSTRIAL LTD</v>
      </c>
      <c r="J2073">
        <f t="shared" si="196"/>
        <v>1</v>
      </c>
      <c r="K2073">
        <f t="shared" si="197"/>
        <v>0</v>
      </c>
    </row>
    <row r="2074" spans="1:11" x14ac:dyDescent="0.25">
      <c r="A2074" t="s">
        <v>56</v>
      </c>
      <c r="B2074" t="s">
        <v>57</v>
      </c>
      <c r="C2074" t="s">
        <v>66</v>
      </c>
      <c r="D2074" s="3">
        <v>45772</v>
      </c>
      <c r="E2074" t="str">
        <f>VLOOKUP(B2074,'PROCV GERENTES BD'!A:B,2,0)</f>
        <v xml:space="preserve">ROGERIO </v>
      </c>
      <c r="F2074" s="4" t="str">
        <f t="shared" si="192"/>
        <v>2025-04</v>
      </c>
      <c r="G2074" s="18">
        <f t="shared" si="193"/>
        <v>17</v>
      </c>
      <c r="H2074" t="str">
        <f t="shared" si="194"/>
        <v xml:space="preserve">ROGERIO </v>
      </c>
      <c r="I2074" t="str">
        <f t="shared" si="195"/>
        <v>RODOVIEIRA TRANSPORTE LTDA</v>
      </c>
      <c r="J2074">
        <f t="shared" si="196"/>
        <v>1</v>
      </c>
      <c r="K2074">
        <f t="shared" si="197"/>
        <v>0</v>
      </c>
    </row>
    <row r="2075" spans="1:11" x14ac:dyDescent="0.25">
      <c r="A2075" t="s">
        <v>499</v>
      </c>
      <c r="B2075" t="s">
        <v>258</v>
      </c>
      <c r="C2075" t="s">
        <v>66</v>
      </c>
      <c r="D2075" s="3">
        <v>45772</v>
      </c>
      <c r="E2075" t="str">
        <f>VLOOKUP(B2075,'PROCV GERENTES BD'!A:B,2,0)</f>
        <v>PRISCILA METZ</v>
      </c>
      <c r="F2075" s="4" t="str">
        <f t="shared" si="192"/>
        <v>2025-04</v>
      </c>
      <c r="G2075" s="18">
        <f t="shared" si="193"/>
        <v>17</v>
      </c>
      <c r="H2075" t="str">
        <f t="shared" si="194"/>
        <v>PRISCILA METZ</v>
      </c>
      <c r="I2075" t="str">
        <f t="shared" si="195"/>
        <v>PLATINUM INDUSTRIA DE CONFECCOES LTDA</v>
      </c>
      <c r="J2075">
        <f t="shared" si="196"/>
        <v>1</v>
      </c>
      <c r="K2075">
        <f t="shared" si="197"/>
        <v>0</v>
      </c>
    </row>
    <row r="2076" spans="1:11" x14ac:dyDescent="0.25">
      <c r="A2076" t="s">
        <v>64</v>
      </c>
      <c r="B2076" t="s">
        <v>65</v>
      </c>
      <c r="C2076" t="s">
        <v>53</v>
      </c>
      <c r="D2076" s="3">
        <v>45772</v>
      </c>
      <c r="E2076" t="str">
        <f>VLOOKUP(B2076,'PROCV GERENTES BD'!A:B,2,0)</f>
        <v>ADMINISTRAÇÃO</v>
      </c>
      <c r="F2076" s="4" t="str">
        <f t="shared" si="192"/>
        <v>2025-04</v>
      </c>
      <c r="G2076" s="18">
        <f t="shared" si="193"/>
        <v>17</v>
      </c>
      <c r="H2076" t="str">
        <f t="shared" si="194"/>
        <v>ADMINISTRAÇÃO</v>
      </c>
      <c r="I2076" t="str">
        <f t="shared" si="195"/>
        <v>SOCIAL S/A</v>
      </c>
      <c r="J2076">
        <f t="shared" si="196"/>
        <v>1</v>
      </c>
      <c r="K2076">
        <f t="shared" si="197"/>
        <v>1</v>
      </c>
    </row>
    <row r="2077" spans="1:11" x14ac:dyDescent="0.25">
      <c r="A2077" t="s">
        <v>383</v>
      </c>
      <c r="B2077" t="s">
        <v>130</v>
      </c>
      <c r="C2077" t="s">
        <v>50</v>
      </c>
      <c r="D2077" s="3">
        <v>45773</v>
      </c>
      <c r="E2077" t="str">
        <f>VLOOKUP(B2077,'PROCV GERENTES BD'!A:B,2,0)</f>
        <v>CELIO PIMENTA</v>
      </c>
      <c r="F2077" s="4" t="str">
        <f t="shared" si="192"/>
        <v>2025-04</v>
      </c>
      <c r="G2077" s="18">
        <f t="shared" si="193"/>
        <v>17</v>
      </c>
      <c r="H2077" t="str">
        <f t="shared" si="194"/>
        <v>CELIO PIMENTA</v>
      </c>
      <c r="I2077" t="str">
        <f t="shared" si="195"/>
        <v>JR X IMPORT LTDA EPP</v>
      </c>
      <c r="J2077">
        <f t="shared" si="196"/>
        <v>0</v>
      </c>
      <c r="K2077">
        <f t="shared" si="197"/>
        <v>1</v>
      </c>
    </row>
    <row r="2078" spans="1:11" x14ac:dyDescent="0.25">
      <c r="A2078" t="s">
        <v>450</v>
      </c>
      <c r="B2078" t="s">
        <v>207</v>
      </c>
      <c r="C2078" t="s">
        <v>50</v>
      </c>
      <c r="D2078" s="3">
        <v>45773</v>
      </c>
      <c r="E2078" t="str">
        <f>VLOOKUP(B2078,'PROCV GERENTES BD'!A:B,2,0)</f>
        <v>CELIO PIMENTA</v>
      </c>
      <c r="F2078" s="4" t="str">
        <f t="shared" si="192"/>
        <v>2025-04</v>
      </c>
      <c r="G2078" s="18">
        <f t="shared" si="193"/>
        <v>17</v>
      </c>
      <c r="H2078" t="str">
        <f t="shared" si="194"/>
        <v>CELIO PIMENTA</v>
      </c>
      <c r="I2078" t="str">
        <f t="shared" si="195"/>
        <v>LIDER COMERCIO DE UNIFORMES E EPI S LTDA ME</v>
      </c>
      <c r="J2078">
        <f t="shared" si="196"/>
        <v>0</v>
      </c>
      <c r="K2078">
        <f t="shared" si="197"/>
        <v>1</v>
      </c>
    </row>
    <row r="2079" spans="1:11" x14ac:dyDescent="0.25">
      <c r="A2079" t="s">
        <v>358</v>
      </c>
      <c r="B2079" t="s">
        <v>104</v>
      </c>
      <c r="C2079" t="s">
        <v>50</v>
      </c>
      <c r="D2079" s="3">
        <v>45773</v>
      </c>
      <c r="E2079" t="str">
        <f>VLOOKUP(B2079,'PROCV GERENTES BD'!A:B,2,0)</f>
        <v>DIOGO AZEVEDO</v>
      </c>
      <c r="F2079" s="4" t="str">
        <f t="shared" si="192"/>
        <v>2025-04</v>
      </c>
      <c r="G2079" s="18">
        <f t="shared" si="193"/>
        <v>17</v>
      </c>
      <c r="H2079" t="str">
        <f t="shared" si="194"/>
        <v>DIOGO AZEVEDO</v>
      </c>
      <c r="I2079" t="str">
        <f t="shared" si="195"/>
        <v>INDUSTRIA E CERVEJARIA ARTESANAL DE MINAS GERAIS L</v>
      </c>
      <c r="J2079">
        <f t="shared" si="196"/>
        <v>0</v>
      </c>
      <c r="K2079">
        <f t="shared" si="197"/>
        <v>1</v>
      </c>
    </row>
    <row r="2080" spans="1:11" x14ac:dyDescent="0.25">
      <c r="A2080" t="s">
        <v>402</v>
      </c>
      <c r="B2080" t="s">
        <v>152</v>
      </c>
      <c r="C2080" t="s">
        <v>50</v>
      </c>
      <c r="D2080" s="3">
        <v>45773</v>
      </c>
      <c r="E2080" t="str">
        <f>VLOOKUP(B2080,'PROCV GERENTES BD'!A:B,2,0)</f>
        <v>PROSPECTAR</v>
      </c>
      <c r="F2080" s="4" t="str">
        <f t="shared" si="192"/>
        <v>2025-04</v>
      </c>
      <c r="G2080" s="18">
        <f t="shared" si="193"/>
        <v>17</v>
      </c>
      <c r="H2080" t="str">
        <f t="shared" si="194"/>
        <v>PROSPECTAR</v>
      </c>
      <c r="I2080" t="str">
        <f t="shared" si="195"/>
        <v>MOINHO DE TRIGO JM LTDA</v>
      </c>
      <c r="J2080">
        <f t="shared" si="196"/>
        <v>0</v>
      </c>
      <c r="K2080">
        <f t="shared" si="197"/>
        <v>1</v>
      </c>
    </row>
    <row r="2081" spans="1:11" x14ac:dyDescent="0.25">
      <c r="A2081" t="s">
        <v>324</v>
      </c>
      <c r="B2081" t="s">
        <v>119</v>
      </c>
      <c r="C2081" t="s">
        <v>50</v>
      </c>
      <c r="D2081" s="3">
        <v>45773</v>
      </c>
      <c r="E2081" t="str">
        <f>VLOOKUP(B2081,'PROCV GERENTES BD'!A:B,2,0)</f>
        <v>PROSPECTAR</v>
      </c>
      <c r="F2081" s="4" t="str">
        <f t="shared" si="192"/>
        <v>2025-04</v>
      </c>
      <c r="G2081" s="18">
        <f t="shared" si="193"/>
        <v>17</v>
      </c>
      <c r="H2081" t="str">
        <f t="shared" si="194"/>
        <v>PROSPECTAR</v>
      </c>
      <c r="I2081" t="str">
        <f t="shared" si="195"/>
        <v>TRANSHENRY TRANSPORTES LTDA</v>
      </c>
      <c r="J2081">
        <f t="shared" si="196"/>
        <v>0</v>
      </c>
      <c r="K2081">
        <f t="shared" si="197"/>
        <v>1</v>
      </c>
    </row>
    <row r="2082" spans="1:11" x14ac:dyDescent="0.25">
      <c r="A2082" t="s">
        <v>323</v>
      </c>
      <c r="B2082" t="s">
        <v>109</v>
      </c>
      <c r="C2082" t="s">
        <v>66</v>
      </c>
      <c r="D2082" s="3">
        <v>45773</v>
      </c>
      <c r="E2082" t="str">
        <f>VLOOKUP(B2082,'PROCV GERENTES BD'!A:B,2,0)</f>
        <v>PROSPECTAR</v>
      </c>
      <c r="F2082" s="4" t="str">
        <f t="shared" si="192"/>
        <v>2025-04</v>
      </c>
      <c r="G2082" s="18">
        <f t="shared" si="193"/>
        <v>17</v>
      </c>
      <c r="H2082" t="str">
        <f t="shared" si="194"/>
        <v>PROSPECTAR</v>
      </c>
      <c r="I2082" t="str">
        <f t="shared" si="195"/>
        <v>SIAP COMERCIO DE PRODUTOS AGROPECUARIOS LTDA</v>
      </c>
      <c r="J2082">
        <f t="shared" si="196"/>
        <v>1</v>
      </c>
      <c r="K2082">
        <f t="shared" si="197"/>
        <v>0</v>
      </c>
    </row>
    <row r="2083" spans="1:11" x14ac:dyDescent="0.25">
      <c r="A2083" t="s">
        <v>62</v>
      </c>
      <c r="B2083" t="s">
        <v>63</v>
      </c>
      <c r="C2083" t="s">
        <v>50</v>
      </c>
      <c r="D2083" s="3">
        <v>45773</v>
      </c>
      <c r="E2083" t="str">
        <f>VLOOKUP(B2083,'PROCV GERENTES BD'!A:B,2,0)</f>
        <v>PROSPECTAR</v>
      </c>
      <c r="F2083" s="4" t="str">
        <f t="shared" si="192"/>
        <v>2025-04</v>
      </c>
      <c r="G2083" s="18">
        <f t="shared" si="193"/>
        <v>17</v>
      </c>
      <c r="H2083" t="str">
        <f t="shared" si="194"/>
        <v>PROSPECTAR</v>
      </c>
      <c r="I2083" t="str">
        <f t="shared" si="195"/>
        <v>MAPP COM IMPORTACAO EXPORTACAO IND PRODUTOS ALIMEN</v>
      </c>
      <c r="J2083">
        <f t="shared" si="196"/>
        <v>0</v>
      </c>
      <c r="K2083">
        <f t="shared" si="197"/>
        <v>1</v>
      </c>
    </row>
    <row r="2084" spans="1:11" x14ac:dyDescent="0.25">
      <c r="A2084" t="s">
        <v>318</v>
      </c>
      <c r="B2084" t="s">
        <v>203</v>
      </c>
      <c r="C2084" t="s">
        <v>50</v>
      </c>
      <c r="D2084" s="3">
        <v>45773</v>
      </c>
      <c r="E2084" t="str">
        <f>VLOOKUP(B2084,'PROCV GERENTES BD'!A:B,2,0)</f>
        <v>JOSE ROBERTO</v>
      </c>
      <c r="F2084" s="4" t="str">
        <f t="shared" si="192"/>
        <v>2025-04</v>
      </c>
      <c r="G2084" s="18">
        <f t="shared" si="193"/>
        <v>17</v>
      </c>
      <c r="H2084" t="str">
        <f t="shared" si="194"/>
        <v>JOSE ROBERTO</v>
      </c>
      <c r="I2084" t="str">
        <f t="shared" si="195"/>
        <v>FUNDACAO DE ENSINO E PESQUISA DO SUL DE MINAS FEPE</v>
      </c>
      <c r="J2084">
        <f t="shared" si="196"/>
        <v>0</v>
      </c>
      <c r="K2084">
        <f t="shared" si="197"/>
        <v>1</v>
      </c>
    </row>
    <row r="2085" spans="1:11" x14ac:dyDescent="0.25">
      <c r="A2085" t="s">
        <v>428</v>
      </c>
      <c r="B2085" t="s">
        <v>179</v>
      </c>
      <c r="C2085" t="s">
        <v>50</v>
      </c>
      <c r="D2085" s="3">
        <v>45773</v>
      </c>
      <c r="E2085" t="str">
        <f>VLOOKUP(B2085,'PROCV GERENTES BD'!A:B,2,0)</f>
        <v xml:space="preserve">MARCUS VINICIUS </v>
      </c>
      <c r="F2085" s="4" t="str">
        <f t="shared" si="192"/>
        <v>2025-04</v>
      </c>
      <c r="G2085" s="18">
        <f t="shared" si="193"/>
        <v>17</v>
      </c>
      <c r="H2085" t="str">
        <f t="shared" si="194"/>
        <v xml:space="preserve">MARCUS VINICIUS </v>
      </c>
      <c r="I2085" t="str">
        <f t="shared" si="195"/>
        <v>LABOR ELETRIC INDUSTRIA E COMERCIO UNIPESSOAL LTDA</v>
      </c>
      <c r="J2085">
        <f t="shared" si="196"/>
        <v>0</v>
      </c>
      <c r="K2085">
        <f t="shared" si="197"/>
        <v>1</v>
      </c>
    </row>
    <row r="2086" spans="1:11" x14ac:dyDescent="0.25">
      <c r="A2086" t="s">
        <v>375</v>
      </c>
      <c r="B2086" t="s">
        <v>120</v>
      </c>
      <c r="C2086" t="s">
        <v>50</v>
      </c>
      <c r="D2086" s="3">
        <v>45773</v>
      </c>
      <c r="E2086" t="str">
        <f>VLOOKUP(B2086,'PROCV GERENTES BD'!A:B,2,0)</f>
        <v>ADMINISTRAÇÃO</v>
      </c>
      <c r="F2086" s="4" t="str">
        <f t="shared" si="192"/>
        <v>2025-04</v>
      </c>
      <c r="G2086" s="18">
        <f t="shared" si="193"/>
        <v>17</v>
      </c>
      <c r="H2086" t="str">
        <f t="shared" si="194"/>
        <v>ADMINISTRAÇÃO</v>
      </c>
      <c r="I2086" t="str">
        <f t="shared" si="195"/>
        <v>FARINELLI NUTRIMENTOS LTDA</v>
      </c>
      <c r="J2086">
        <f t="shared" si="196"/>
        <v>0</v>
      </c>
      <c r="K2086">
        <f t="shared" si="197"/>
        <v>1</v>
      </c>
    </row>
    <row r="2087" spans="1:11" x14ac:dyDescent="0.25">
      <c r="A2087" t="s">
        <v>72</v>
      </c>
      <c r="B2087" t="s">
        <v>73</v>
      </c>
      <c r="C2087" t="s">
        <v>50</v>
      </c>
      <c r="D2087" s="3">
        <v>45773</v>
      </c>
      <c r="E2087" t="str">
        <f>VLOOKUP(B2087,'PROCV GERENTES BD'!A:B,2,0)</f>
        <v>NOELI SALETE</v>
      </c>
      <c r="F2087" s="4" t="str">
        <f t="shared" si="192"/>
        <v>2025-04</v>
      </c>
      <c r="G2087" s="18">
        <f t="shared" si="193"/>
        <v>17</v>
      </c>
      <c r="H2087" t="str">
        <f t="shared" si="194"/>
        <v>NOELI SALETE</v>
      </c>
      <c r="I2087" t="str">
        <f t="shared" si="195"/>
        <v>SMARTCENTER SOLUCOES INTELIGENTES LTDA ME</v>
      </c>
      <c r="J2087">
        <f t="shared" si="196"/>
        <v>0</v>
      </c>
      <c r="K2087">
        <f t="shared" si="197"/>
        <v>1</v>
      </c>
    </row>
    <row r="2088" spans="1:11" x14ac:dyDescent="0.25">
      <c r="A2088" t="s">
        <v>486</v>
      </c>
      <c r="B2088" t="s">
        <v>243</v>
      </c>
      <c r="C2088" t="s">
        <v>50</v>
      </c>
      <c r="D2088" s="3">
        <v>45773</v>
      </c>
      <c r="E2088" t="str">
        <f>VLOOKUP(B2088,'PROCV GERENTES BD'!A:B,2,0)</f>
        <v>NOELI SALETE</v>
      </c>
      <c r="F2088" s="4" t="str">
        <f t="shared" si="192"/>
        <v>2025-04</v>
      </c>
      <c r="G2088" s="18">
        <f t="shared" si="193"/>
        <v>17</v>
      </c>
      <c r="H2088" t="str">
        <f t="shared" si="194"/>
        <v>NOELI SALETE</v>
      </c>
      <c r="I2088" t="str">
        <f t="shared" si="195"/>
        <v>SMARTCENTERGROUP COMERCIO DE EQUIPAMENTOS DE INFOR</v>
      </c>
      <c r="J2088">
        <f t="shared" si="196"/>
        <v>0</v>
      </c>
      <c r="K2088">
        <f t="shared" si="197"/>
        <v>1</v>
      </c>
    </row>
    <row r="2089" spans="1:11" x14ac:dyDescent="0.25">
      <c r="A2089" t="s">
        <v>438</v>
      </c>
      <c r="B2089" t="s">
        <v>189</v>
      </c>
      <c r="C2089" t="s">
        <v>50</v>
      </c>
      <c r="D2089" s="3">
        <v>45773</v>
      </c>
      <c r="E2089" t="str">
        <f>VLOOKUP(B2089,'PROCV GERENTES BD'!A:B,2,0)</f>
        <v>NOELI SALETE</v>
      </c>
      <c r="F2089" s="4" t="str">
        <f t="shared" si="192"/>
        <v>2025-04</v>
      </c>
      <c r="G2089" s="18">
        <f t="shared" si="193"/>
        <v>17</v>
      </c>
      <c r="H2089" t="str">
        <f t="shared" si="194"/>
        <v>NOELI SALETE</v>
      </c>
      <c r="I2089" t="str">
        <f t="shared" si="195"/>
        <v>AGRO INDUSTRIAL LAZZERI LTDA</v>
      </c>
      <c r="J2089">
        <f t="shared" si="196"/>
        <v>0</v>
      </c>
      <c r="K2089">
        <f t="shared" si="197"/>
        <v>1</v>
      </c>
    </row>
    <row r="2090" spans="1:11" x14ac:dyDescent="0.25">
      <c r="A2090" t="s">
        <v>483</v>
      </c>
      <c r="B2090" t="s">
        <v>240</v>
      </c>
      <c r="C2090" t="s">
        <v>50</v>
      </c>
      <c r="D2090" s="3">
        <v>45773</v>
      </c>
      <c r="E2090" t="str">
        <f>VLOOKUP(B2090,'PROCV GERENTES BD'!A:B,2,0)</f>
        <v>PRISCILA METZ</v>
      </c>
      <c r="F2090" s="4" t="str">
        <f t="shared" si="192"/>
        <v>2025-04</v>
      </c>
      <c r="G2090" s="18">
        <f t="shared" si="193"/>
        <v>17</v>
      </c>
      <c r="H2090" t="str">
        <f t="shared" si="194"/>
        <v>PRISCILA METZ</v>
      </c>
      <c r="I2090" t="str">
        <f t="shared" si="195"/>
        <v>A 8 ENGENHARIA LTDA ME</v>
      </c>
      <c r="J2090">
        <f t="shared" si="196"/>
        <v>0</v>
      </c>
      <c r="K2090">
        <f t="shared" si="197"/>
        <v>1</v>
      </c>
    </row>
    <row r="2091" spans="1:11" x14ac:dyDescent="0.25">
      <c r="A2091" t="s">
        <v>51</v>
      </c>
      <c r="B2091" t="s">
        <v>52</v>
      </c>
      <c r="C2091" t="s">
        <v>50</v>
      </c>
      <c r="D2091" s="3">
        <v>45773</v>
      </c>
      <c r="E2091" t="str">
        <f>VLOOKUP(B2091,'PROCV GERENTES BD'!A:B,2,0)</f>
        <v>RAFAEL PARISE</v>
      </c>
      <c r="F2091" s="4" t="str">
        <f t="shared" si="192"/>
        <v>2025-04</v>
      </c>
      <c r="G2091" s="18">
        <f t="shared" si="193"/>
        <v>17</v>
      </c>
      <c r="H2091" t="str">
        <f t="shared" si="194"/>
        <v>RAFAEL PARISE</v>
      </c>
      <c r="I2091" t="str">
        <f t="shared" si="195"/>
        <v>TDR TRANSPORTES LOGISTICA LTDA</v>
      </c>
      <c r="J2091">
        <f t="shared" si="196"/>
        <v>0</v>
      </c>
      <c r="K2091">
        <f t="shared" si="197"/>
        <v>1</v>
      </c>
    </row>
    <row r="2092" spans="1:11" x14ac:dyDescent="0.25">
      <c r="A2092" t="s">
        <v>454</v>
      </c>
      <c r="B2092" t="s">
        <v>211</v>
      </c>
      <c r="C2092" t="s">
        <v>50</v>
      </c>
      <c r="D2092" s="3">
        <v>45773</v>
      </c>
      <c r="E2092" t="str">
        <f>VLOOKUP(B2092,'PROCV GERENTES BD'!A:B,2,0)</f>
        <v>RAFAEL PARISE</v>
      </c>
      <c r="F2092" s="4" t="str">
        <f t="shared" si="192"/>
        <v>2025-04</v>
      </c>
      <c r="G2092" s="18">
        <f t="shared" si="193"/>
        <v>17</v>
      </c>
      <c r="H2092" t="str">
        <f t="shared" si="194"/>
        <v>RAFAEL PARISE</v>
      </c>
      <c r="I2092" t="str">
        <f t="shared" si="195"/>
        <v>TREGA FILHOS EMPACOTAMENTO E DISTRIBUICAO LTDA ME</v>
      </c>
      <c r="J2092">
        <f t="shared" si="196"/>
        <v>0</v>
      </c>
      <c r="K2092">
        <f t="shared" si="197"/>
        <v>1</v>
      </c>
    </row>
    <row r="2093" spans="1:11" x14ac:dyDescent="0.25">
      <c r="A2093" t="s">
        <v>67</v>
      </c>
      <c r="B2093" t="s">
        <v>68</v>
      </c>
      <c r="C2093" t="s">
        <v>50</v>
      </c>
      <c r="D2093" s="3">
        <v>45773</v>
      </c>
      <c r="E2093" t="s">
        <v>21</v>
      </c>
      <c r="F2093" s="4" t="str">
        <f t="shared" si="192"/>
        <v>2025-04</v>
      </c>
      <c r="G2093" s="18">
        <f t="shared" si="193"/>
        <v>17</v>
      </c>
      <c r="H2093" t="str">
        <f t="shared" si="194"/>
        <v xml:space="preserve">ROGERIO </v>
      </c>
      <c r="I2093" t="str">
        <f t="shared" si="195"/>
        <v>DIOTTONI INDUSTRIA E COMERCIO DE ALIMENTOS LTDA ME</v>
      </c>
      <c r="J2093">
        <f t="shared" si="196"/>
        <v>0</v>
      </c>
      <c r="K2093">
        <f t="shared" si="197"/>
        <v>1</v>
      </c>
    </row>
    <row r="2094" spans="1:11" x14ac:dyDescent="0.25">
      <c r="A2094" t="s">
        <v>447</v>
      </c>
      <c r="B2094" t="s">
        <v>200</v>
      </c>
      <c r="C2094" t="s">
        <v>50</v>
      </c>
      <c r="D2094" s="3">
        <v>45773</v>
      </c>
      <c r="E2094" t="s">
        <v>21</v>
      </c>
      <c r="F2094" s="4" t="str">
        <f t="shared" si="192"/>
        <v>2025-04</v>
      </c>
      <c r="G2094" s="18">
        <f t="shared" si="193"/>
        <v>17</v>
      </c>
      <c r="H2094" t="str">
        <f t="shared" si="194"/>
        <v xml:space="preserve">ROGERIO </v>
      </c>
      <c r="I2094" t="str">
        <f t="shared" si="195"/>
        <v>ORTHOSIDE INDUSTRIA E COMERCIO LTDA EPP</v>
      </c>
      <c r="J2094">
        <f t="shared" si="196"/>
        <v>0</v>
      </c>
      <c r="K2094">
        <f t="shared" si="197"/>
        <v>1</v>
      </c>
    </row>
    <row r="2095" spans="1:11" x14ac:dyDescent="0.25">
      <c r="A2095" t="s">
        <v>362</v>
      </c>
      <c r="B2095" t="s">
        <v>107</v>
      </c>
      <c r="C2095" t="s">
        <v>50</v>
      </c>
      <c r="D2095" s="3">
        <v>45773</v>
      </c>
      <c r="E2095" t="s">
        <v>21</v>
      </c>
      <c r="F2095" s="4" t="str">
        <f t="shared" si="192"/>
        <v>2025-04</v>
      </c>
      <c r="G2095" s="18">
        <f t="shared" si="193"/>
        <v>17</v>
      </c>
      <c r="H2095" t="str">
        <f t="shared" si="194"/>
        <v xml:space="preserve">ROGERIO </v>
      </c>
      <c r="I2095" t="str">
        <f t="shared" si="195"/>
        <v>EVOLUTION MACHINES LTDA ME</v>
      </c>
      <c r="J2095">
        <f t="shared" si="196"/>
        <v>0</v>
      </c>
      <c r="K2095">
        <f t="shared" si="197"/>
        <v>1</v>
      </c>
    </row>
    <row r="2096" spans="1:11" x14ac:dyDescent="0.25">
      <c r="A2096" t="s">
        <v>64</v>
      </c>
      <c r="B2096" t="s">
        <v>65</v>
      </c>
      <c r="C2096" t="s">
        <v>50</v>
      </c>
      <c r="D2096" s="3">
        <v>45773</v>
      </c>
      <c r="E2096" t="str">
        <f>VLOOKUP(B2096,'PROCV GERENTES BD'!A:B,2,0)</f>
        <v>ADMINISTRAÇÃO</v>
      </c>
      <c r="F2096" s="4" t="str">
        <f t="shared" si="192"/>
        <v>2025-04</v>
      </c>
      <c r="G2096" s="18">
        <f t="shared" si="193"/>
        <v>17</v>
      </c>
      <c r="H2096" t="str">
        <f t="shared" si="194"/>
        <v>ADMINISTRAÇÃO</v>
      </c>
      <c r="I2096" t="str">
        <f t="shared" si="195"/>
        <v>SOCIAL S/A</v>
      </c>
      <c r="J2096">
        <f t="shared" si="196"/>
        <v>0</v>
      </c>
      <c r="K2096">
        <f t="shared" si="197"/>
        <v>1</v>
      </c>
    </row>
    <row r="2097" spans="1:11" x14ac:dyDescent="0.25">
      <c r="A2097" t="s">
        <v>497</v>
      </c>
      <c r="B2097" t="s">
        <v>257</v>
      </c>
      <c r="C2097" t="s">
        <v>50</v>
      </c>
      <c r="D2097" s="3">
        <v>45773</v>
      </c>
      <c r="E2097" t="str">
        <f>VLOOKUP(B2097,'PROCV GERENTES BD'!A:B,2,0)</f>
        <v>SEM GERENTE</v>
      </c>
      <c r="F2097" s="4" t="str">
        <f t="shared" si="192"/>
        <v>2025-04</v>
      </c>
      <c r="G2097" s="18">
        <f t="shared" si="193"/>
        <v>17</v>
      </c>
      <c r="H2097" t="str">
        <f t="shared" si="194"/>
        <v>SEM GERENTE</v>
      </c>
      <c r="I2097" t="str">
        <f t="shared" si="195"/>
        <v>OLIVEIRA E SILVA COMERCIO DE MADEIRAS E EMBALAGENS</v>
      </c>
      <c r="J2097">
        <f t="shared" si="196"/>
        <v>0</v>
      </c>
      <c r="K2097">
        <f t="shared" si="197"/>
        <v>1</v>
      </c>
    </row>
    <row r="2098" spans="1:11" x14ac:dyDescent="0.25">
      <c r="A2098" t="s">
        <v>304</v>
      </c>
      <c r="B2098" t="s">
        <v>123</v>
      </c>
      <c r="C2098" t="s">
        <v>66</v>
      </c>
      <c r="D2098" s="3">
        <v>45776</v>
      </c>
      <c r="E2098" t="str">
        <f>VLOOKUP(B2098,'PROCV GERENTES BD'!A:B,2,0)</f>
        <v>ADMINISTRAÇÃO</v>
      </c>
      <c r="F2098" s="4" t="str">
        <f t="shared" si="192"/>
        <v>2025-04</v>
      </c>
      <c r="G2098" s="18">
        <f t="shared" si="193"/>
        <v>18</v>
      </c>
      <c r="H2098" t="str">
        <f t="shared" si="194"/>
        <v>ADMINISTRAÇÃO</v>
      </c>
      <c r="I2098" t="str">
        <f t="shared" si="195"/>
        <v>VIC LOGISTICA LTDA EM RECUPERACAO JUDICIAL</v>
      </c>
      <c r="J2098">
        <f t="shared" si="196"/>
        <v>1</v>
      </c>
      <c r="K2098">
        <f t="shared" si="197"/>
        <v>0</v>
      </c>
    </row>
    <row r="2099" spans="1:11" x14ac:dyDescent="0.25">
      <c r="A2099" t="s">
        <v>372</v>
      </c>
      <c r="B2099" t="s">
        <v>116</v>
      </c>
      <c r="C2099" t="s">
        <v>50</v>
      </c>
      <c r="D2099" s="3">
        <v>45776</v>
      </c>
      <c r="E2099" t="str">
        <f>VLOOKUP(B2099,'PROCV GERENTES BD'!A:B,2,0)</f>
        <v>ADMINISTRAÇÃO</v>
      </c>
      <c r="F2099" s="4" t="str">
        <f t="shared" si="192"/>
        <v>2025-04</v>
      </c>
      <c r="G2099" s="18">
        <f t="shared" si="193"/>
        <v>18</v>
      </c>
      <c r="H2099" t="str">
        <f t="shared" si="194"/>
        <v>ADMINISTRAÇÃO</v>
      </c>
      <c r="I2099" t="str">
        <f t="shared" si="195"/>
        <v>PREMOLDADOS MATOSINHOS LTDA EPP</v>
      </c>
      <c r="J2099">
        <f t="shared" si="196"/>
        <v>0</v>
      </c>
      <c r="K2099">
        <f t="shared" si="197"/>
        <v>1</v>
      </c>
    </row>
    <row r="2100" spans="1:11" x14ac:dyDescent="0.25">
      <c r="A2100" t="s">
        <v>311</v>
      </c>
      <c r="B2100" t="s">
        <v>81</v>
      </c>
      <c r="C2100" t="s">
        <v>50</v>
      </c>
      <c r="D2100" s="3">
        <v>45776</v>
      </c>
      <c r="E2100" t="str">
        <f>VLOOKUP(B2100,'PROCV GERENTES BD'!A:B,2,0)</f>
        <v>CELIO PIMENTA</v>
      </c>
      <c r="F2100" s="4" t="str">
        <f t="shared" si="192"/>
        <v>2025-04</v>
      </c>
      <c r="G2100" s="18">
        <f t="shared" si="193"/>
        <v>18</v>
      </c>
      <c r="H2100" t="str">
        <f t="shared" si="194"/>
        <v>CELIO PIMENTA</v>
      </c>
      <c r="I2100" t="str">
        <f t="shared" si="195"/>
        <v>MBIOLOG DIAGNOSTICOS LTDA</v>
      </c>
      <c r="J2100">
        <f t="shared" si="196"/>
        <v>0</v>
      </c>
      <c r="K2100">
        <f t="shared" si="197"/>
        <v>1</v>
      </c>
    </row>
    <row r="2101" spans="1:11" x14ac:dyDescent="0.25">
      <c r="A2101" t="s">
        <v>358</v>
      </c>
      <c r="B2101" t="s">
        <v>104</v>
      </c>
      <c r="C2101" t="s">
        <v>50</v>
      </c>
      <c r="D2101" s="3">
        <v>45776</v>
      </c>
      <c r="E2101" t="str">
        <f>VLOOKUP(B2101,'PROCV GERENTES BD'!A:B,2,0)</f>
        <v>DIOGO AZEVEDO</v>
      </c>
      <c r="F2101" s="4" t="str">
        <f t="shared" si="192"/>
        <v>2025-04</v>
      </c>
      <c r="G2101" s="18">
        <f t="shared" si="193"/>
        <v>18</v>
      </c>
      <c r="H2101" t="str">
        <f t="shared" si="194"/>
        <v>DIOGO AZEVEDO</v>
      </c>
      <c r="I2101" t="str">
        <f t="shared" si="195"/>
        <v>INDUSTRIA E CERVEJARIA ARTESANAL DE MINAS GERAIS L</v>
      </c>
      <c r="J2101">
        <f t="shared" si="196"/>
        <v>0</v>
      </c>
      <c r="K2101">
        <f t="shared" si="197"/>
        <v>1</v>
      </c>
    </row>
    <row r="2102" spans="1:11" x14ac:dyDescent="0.25">
      <c r="A2102" t="s">
        <v>467</v>
      </c>
      <c r="B2102" t="s">
        <v>224</v>
      </c>
      <c r="C2102" t="s">
        <v>50</v>
      </c>
      <c r="D2102" s="3">
        <v>45776</v>
      </c>
      <c r="E2102" t="str">
        <f>VLOOKUP(B2102,'PROCV GERENTES BD'!A:B,2,0)</f>
        <v>DIOGO AZEVEDO</v>
      </c>
      <c r="F2102" s="4" t="str">
        <f t="shared" si="192"/>
        <v>2025-04</v>
      </c>
      <c r="G2102" s="18">
        <f t="shared" si="193"/>
        <v>18</v>
      </c>
      <c r="H2102" t="str">
        <f t="shared" si="194"/>
        <v>DIOGO AZEVEDO</v>
      </c>
      <c r="I2102" t="str">
        <f t="shared" si="195"/>
        <v>VGS COMERCIO DE EMBALAGENS DE MADEIRAS LTDA ME</v>
      </c>
      <c r="J2102">
        <f t="shared" si="196"/>
        <v>0</v>
      </c>
      <c r="K2102">
        <f t="shared" si="197"/>
        <v>1</v>
      </c>
    </row>
    <row r="2103" spans="1:11" x14ac:dyDescent="0.25">
      <c r="A2103" t="s">
        <v>411</v>
      </c>
      <c r="B2103" t="s">
        <v>161</v>
      </c>
      <c r="C2103" t="s">
        <v>50</v>
      </c>
      <c r="D2103" s="3">
        <v>45776</v>
      </c>
      <c r="E2103" t="str">
        <f>VLOOKUP(B2103,'PROCV GERENTES BD'!A:B,2,0)</f>
        <v>PROSPECTAR</v>
      </c>
      <c r="F2103" s="4" t="str">
        <f t="shared" si="192"/>
        <v>2025-04</v>
      </c>
      <c r="G2103" s="18">
        <f t="shared" si="193"/>
        <v>18</v>
      </c>
      <c r="H2103" t="str">
        <f t="shared" si="194"/>
        <v>PROSPECTAR</v>
      </c>
      <c r="I2103" t="str">
        <f t="shared" si="195"/>
        <v>ESCUDO VIGILANCIA E SEGURANCA LTDA EM RECUPERACAO</v>
      </c>
      <c r="J2103">
        <f t="shared" si="196"/>
        <v>0</v>
      </c>
      <c r="K2103">
        <f t="shared" si="197"/>
        <v>1</v>
      </c>
    </row>
    <row r="2104" spans="1:11" x14ac:dyDescent="0.25">
      <c r="A2104" t="s">
        <v>410</v>
      </c>
      <c r="B2104" t="s">
        <v>160</v>
      </c>
      <c r="C2104" t="s">
        <v>50</v>
      </c>
      <c r="D2104" s="3">
        <v>45776</v>
      </c>
      <c r="E2104" t="str">
        <f>VLOOKUP(B2104,'PROCV GERENTES BD'!A:B,2,0)</f>
        <v>PROSPECTAR</v>
      </c>
      <c r="F2104" s="4" t="str">
        <f t="shared" si="192"/>
        <v>2025-04</v>
      </c>
      <c r="G2104" s="18">
        <f t="shared" si="193"/>
        <v>18</v>
      </c>
      <c r="H2104" t="str">
        <f t="shared" si="194"/>
        <v>PROSPECTAR</v>
      </c>
      <c r="I2104" t="str">
        <f t="shared" si="195"/>
        <v>ESCUDO ADMINISTRACAO E SERVICOS LTDA EM RECUPERACA</v>
      </c>
      <c r="J2104">
        <f t="shared" si="196"/>
        <v>0</v>
      </c>
      <c r="K2104">
        <f t="shared" si="197"/>
        <v>1</v>
      </c>
    </row>
    <row r="2105" spans="1:11" x14ac:dyDescent="0.25">
      <c r="A2105" t="s">
        <v>324</v>
      </c>
      <c r="B2105" t="s">
        <v>119</v>
      </c>
      <c r="C2105" t="s">
        <v>50</v>
      </c>
      <c r="D2105" s="3">
        <v>45776</v>
      </c>
      <c r="E2105" t="str">
        <f>VLOOKUP(B2105,'PROCV GERENTES BD'!A:B,2,0)</f>
        <v>PROSPECTAR</v>
      </c>
      <c r="F2105" s="4" t="str">
        <f t="shared" si="192"/>
        <v>2025-04</v>
      </c>
      <c r="G2105" s="18">
        <f t="shared" si="193"/>
        <v>18</v>
      </c>
      <c r="H2105" t="str">
        <f t="shared" si="194"/>
        <v>PROSPECTAR</v>
      </c>
      <c r="I2105" t="str">
        <f t="shared" si="195"/>
        <v>TRANSHENRY TRANSPORTES LTDA</v>
      </c>
      <c r="J2105">
        <f t="shared" si="196"/>
        <v>0</v>
      </c>
      <c r="K2105">
        <f t="shared" si="197"/>
        <v>1</v>
      </c>
    </row>
    <row r="2106" spans="1:11" x14ac:dyDescent="0.25">
      <c r="A2106" t="s">
        <v>323</v>
      </c>
      <c r="B2106" t="s">
        <v>109</v>
      </c>
      <c r="C2106" t="s">
        <v>50</v>
      </c>
      <c r="D2106" s="3">
        <v>45776</v>
      </c>
      <c r="E2106" t="str">
        <f>VLOOKUP(B2106,'PROCV GERENTES BD'!A:B,2,0)</f>
        <v>PROSPECTAR</v>
      </c>
      <c r="F2106" s="4" t="str">
        <f t="shared" si="192"/>
        <v>2025-04</v>
      </c>
      <c r="G2106" s="18">
        <f t="shared" si="193"/>
        <v>18</v>
      </c>
      <c r="H2106" t="str">
        <f t="shared" si="194"/>
        <v>PROSPECTAR</v>
      </c>
      <c r="I2106" t="str">
        <f t="shared" si="195"/>
        <v>SIAP COMERCIO DE PRODUTOS AGROPECUARIOS LTDA</v>
      </c>
      <c r="J2106">
        <f t="shared" si="196"/>
        <v>0</v>
      </c>
      <c r="K2106">
        <f t="shared" si="197"/>
        <v>1</v>
      </c>
    </row>
    <row r="2107" spans="1:11" x14ac:dyDescent="0.25">
      <c r="A2107" t="s">
        <v>412</v>
      </c>
      <c r="B2107" t="s">
        <v>162</v>
      </c>
      <c r="C2107" t="s">
        <v>50</v>
      </c>
      <c r="D2107" s="3">
        <v>45776</v>
      </c>
      <c r="E2107" t="str">
        <f>VLOOKUP(B2107,'PROCV GERENTES BD'!A:B,2,0)</f>
        <v>PROSPECTAR</v>
      </c>
      <c r="F2107" s="4" t="str">
        <f t="shared" si="192"/>
        <v>2025-04</v>
      </c>
      <c r="G2107" s="18">
        <f t="shared" si="193"/>
        <v>18</v>
      </c>
      <c r="H2107" t="str">
        <f t="shared" si="194"/>
        <v>PROSPECTAR</v>
      </c>
      <c r="I2107" t="str">
        <f t="shared" si="195"/>
        <v>MORIA PRESTACAO DE SERVICOS LTDA ME</v>
      </c>
      <c r="J2107">
        <f t="shared" si="196"/>
        <v>0</v>
      </c>
      <c r="K2107">
        <f t="shared" si="197"/>
        <v>1</v>
      </c>
    </row>
    <row r="2108" spans="1:11" x14ac:dyDescent="0.25">
      <c r="A2108" t="s">
        <v>62</v>
      </c>
      <c r="B2108" t="s">
        <v>63</v>
      </c>
      <c r="C2108" t="s">
        <v>50</v>
      </c>
      <c r="D2108" s="3">
        <v>45776</v>
      </c>
      <c r="E2108" t="str">
        <f>VLOOKUP(B2108,'PROCV GERENTES BD'!A:B,2,0)</f>
        <v>PROSPECTAR</v>
      </c>
      <c r="F2108" s="4" t="str">
        <f t="shared" si="192"/>
        <v>2025-04</v>
      </c>
      <c r="G2108" s="18">
        <f t="shared" si="193"/>
        <v>18</v>
      </c>
      <c r="H2108" t="str">
        <f t="shared" si="194"/>
        <v>PROSPECTAR</v>
      </c>
      <c r="I2108" t="str">
        <f t="shared" si="195"/>
        <v>MAPP COM IMPORTACAO EXPORTACAO IND PRODUTOS ALIMEN</v>
      </c>
      <c r="J2108">
        <f t="shared" si="196"/>
        <v>0</v>
      </c>
      <c r="K2108">
        <f t="shared" si="197"/>
        <v>1</v>
      </c>
    </row>
    <row r="2109" spans="1:11" x14ac:dyDescent="0.25">
      <c r="A2109" t="s">
        <v>385</v>
      </c>
      <c r="B2109" t="s">
        <v>132</v>
      </c>
      <c r="C2109" t="s">
        <v>50</v>
      </c>
      <c r="D2109" s="3">
        <v>45776</v>
      </c>
      <c r="E2109" t="str">
        <f>VLOOKUP(B2109,'PROCV GERENTES BD'!A:B,2,0)</f>
        <v xml:space="preserve">MARCUS VINICIUS </v>
      </c>
      <c r="F2109" s="4" t="str">
        <f t="shared" si="192"/>
        <v>2025-04</v>
      </c>
      <c r="G2109" s="18">
        <f t="shared" si="193"/>
        <v>18</v>
      </c>
      <c r="H2109" t="str">
        <f t="shared" si="194"/>
        <v xml:space="preserve">MARCUS VINICIUS </v>
      </c>
      <c r="I2109" t="str">
        <f t="shared" si="195"/>
        <v>RODOANEL REFORMADORA DE IMPLEMENTOS RODOVIARIOS LT</v>
      </c>
      <c r="J2109">
        <f t="shared" si="196"/>
        <v>0</v>
      </c>
      <c r="K2109">
        <f t="shared" si="197"/>
        <v>1</v>
      </c>
    </row>
    <row r="2110" spans="1:11" x14ac:dyDescent="0.25">
      <c r="A2110" t="s">
        <v>369</v>
      </c>
      <c r="B2110" t="s">
        <v>113</v>
      </c>
      <c r="C2110" t="s">
        <v>50</v>
      </c>
      <c r="D2110" s="3">
        <v>45776</v>
      </c>
      <c r="E2110" t="str">
        <f>VLOOKUP(B2110,'PROCV GERENTES BD'!A:B,2,0)</f>
        <v xml:space="preserve">MARCUS VINICIUS </v>
      </c>
      <c r="F2110" s="4" t="str">
        <f t="shared" si="192"/>
        <v>2025-04</v>
      </c>
      <c r="G2110" s="18">
        <f t="shared" si="193"/>
        <v>18</v>
      </c>
      <c r="H2110" t="str">
        <f t="shared" si="194"/>
        <v xml:space="preserve">MARCUS VINICIUS </v>
      </c>
      <c r="I2110" t="str">
        <f t="shared" si="195"/>
        <v>ISOBASE POLIESTIRENO LTDA EPP</v>
      </c>
      <c r="J2110">
        <f t="shared" si="196"/>
        <v>0</v>
      </c>
      <c r="K2110">
        <f t="shared" si="197"/>
        <v>1</v>
      </c>
    </row>
    <row r="2111" spans="1:11" x14ac:dyDescent="0.25">
      <c r="A2111" t="s">
        <v>428</v>
      </c>
      <c r="B2111" t="s">
        <v>179</v>
      </c>
      <c r="C2111" t="s">
        <v>50</v>
      </c>
      <c r="D2111" s="3">
        <v>45776</v>
      </c>
      <c r="E2111" t="str">
        <f>VLOOKUP(B2111,'PROCV GERENTES BD'!A:B,2,0)</f>
        <v xml:space="preserve">MARCUS VINICIUS </v>
      </c>
      <c r="F2111" s="4" t="str">
        <f t="shared" si="192"/>
        <v>2025-04</v>
      </c>
      <c r="G2111" s="18">
        <f t="shared" si="193"/>
        <v>18</v>
      </c>
      <c r="H2111" t="str">
        <f t="shared" si="194"/>
        <v xml:space="preserve">MARCUS VINICIUS </v>
      </c>
      <c r="I2111" t="str">
        <f t="shared" si="195"/>
        <v>LABOR ELETRIC INDUSTRIA E COMERCIO UNIPESSOAL LTDA</v>
      </c>
      <c r="J2111">
        <f t="shared" si="196"/>
        <v>0</v>
      </c>
      <c r="K2111">
        <f t="shared" si="197"/>
        <v>1</v>
      </c>
    </row>
    <row r="2112" spans="1:11" x14ac:dyDescent="0.25">
      <c r="A2112" t="s">
        <v>375</v>
      </c>
      <c r="B2112" t="s">
        <v>120</v>
      </c>
      <c r="C2112" t="s">
        <v>66</v>
      </c>
      <c r="D2112" s="3">
        <v>45776</v>
      </c>
      <c r="E2112" t="str">
        <f>VLOOKUP(B2112,'PROCV GERENTES BD'!A:B,2,0)</f>
        <v>ADMINISTRAÇÃO</v>
      </c>
      <c r="F2112" s="4" t="str">
        <f t="shared" si="192"/>
        <v>2025-04</v>
      </c>
      <c r="G2112" s="18">
        <f t="shared" si="193"/>
        <v>18</v>
      </c>
      <c r="H2112" t="str">
        <f t="shared" si="194"/>
        <v>ADMINISTRAÇÃO</v>
      </c>
      <c r="I2112" t="str">
        <f t="shared" si="195"/>
        <v>FARINELLI NUTRIMENTOS LTDA</v>
      </c>
      <c r="J2112">
        <f t="shared" si="196"/>
        <v>1</v>
      </c>
      <c r="K2112">
        <f t="shared" si="197"/>
        <v>0</v>
      </c>
    </row>
    <row r="2113" spans="1:11" x14ac:dyDescent="0.25">
      <c r="A2113" t="s">
        <v>72</v>
      </c>
      <c r="B2113" t="s">
        <v>73</v>
      </c>
      <c r="C2113" t="s">
        <v>50</v>
      </c>
      <c r="D2113" s="3">
        <v>45776</v>
      </c>
      <c r="E2113" t="str">
        <f>VLOOKUP(B2113,'PROCV GERENTES BD'!A:B,2,0)</f>
        <v>NOELI SALETE</v>
      </c>
      <c r="F2113" s="4" t="str">
        <f t="shared" si="192"/>
        <v>2025-04</v>
      </c>
      <c r="G2113" s="18">
        <f t="shared" si="193"/>
        <v>18</v>
      </c>
      <c r="H2113" t="str">
        <f t="shared" si="194"/>
        <v>NOELI SALETE</v>
      </c>
      <c r="I2113" t="str">
        <f t="shared" si="195"/>
        <v>SMARTCENTER SOLUCOES INTELIGENTES LTDA ME</v>
      </c>
      <c r="J2113">
        <f t="shared" si="196"/>
        <v>0</v>
      </c>
      <c r="K2113">
        <f t="shared" si="197"/>
        <v>1</v>
      </c>
    </row>
    <row r="2114" spans="1:11" x14ac:dyDescent="0.25">
      <c r="A2114" t="s">
        <v>486</v>
      </c>
      <c r="B2114" t="s">
        <v>243</v>
      </c>
      <c r="C2114" t="s">
        <v>50</v>
      </c>
      <c r="D2114" s="3">
        <v>45776</v>
      </c>
      <c r="E2114" t="str">
        <f>VLOOKUP(B2114,'PROCV GERENTES BD'!A:B,2,0)</f>
        <v>NOELI SALETE</v>
      </c>
      <c r="F2114" s="4" t="str">
        <f t="shared" ref="F2114:F2177" si="198">YEAR(D2114)&amp;"-"&amp;TEXT(MONTH(D2114),"00")</f>
        <v>2025-04</v>
      </c>
      <c r="G2114" s="18">
        <f t="shared" ref="G2114:G2177" si="199">WEEKNUM(D2114)</f>
        <v>18</v>
      </c>
      <c r="H2114" t="str">
        <f t="shared" ref="H2114:H2177" si="200">E2114</f>
        <v>NOELI SALETE</v>
      </c>
      <c r="I2114" t="str">
        <f t="shared" ref="I2114:I2177" si="201">B2114</f>
        <v>SMARTCENTERGROUP COMERCIO DE EQUIPAMENTOS DE INFOR</v>
      </c>
      <c r="J2114">
        <f t="shared" ref="J2114:J2177" si="202">IF(OR(C2114="EXCLUSAO  ANOT.INADIMPLENCIA",C2114="INCL/EXCL ANOT.INADIMPLENCIA"),1,0)</f>
        <v>0</v>
      </c>
      <c r="K2114">
        <f t="shared" ref="K2114:K2177" si="203">IF(OR(C2114="INCLUSAO  ANOT.INADIMPLENCIA",C2114="INCL/EXCL ANOT.INADIMPLENCIA"),1,0)</f>
        <v>1</v>
      </c>
    </row>
    <row r="2115" spans="1:11" x14ac:dyDescent="0.25">
      <c r="A2115" t="s">
        <v>51</v>
      </c>
      <c r="B2115" t="s">
        <v>52</v>
      </c>
      <c r="C2115" t="s">
        <v>66</v>
      </c>
      <c r="D2115" s="3">
        <v>45776</v>
      </c>
      <c r="E2115" t="str">
        <f>VLOOKUP(B2115,'PROCV GERENTES BD'!A:B,2,0)</f>
        <v>RAFAEL PARISE</v>
      </c>
      <c r="F2115" s="4" t="str">
        <f t="shared" si="198"/>
        <v>2025-04</v>
      </c>
      <c r="G2115" s="18">
        <f t="shared" si="199"/>
        <v>18</v>
      </c>
      <c r="H2115" t="str">
        <f t="shared" si="200"/>
        <v>RAFAEL PARISE</v>
      </c>
      <c r="I2115" t="str">
        <f t="shared" si="201"/>
        <v>TDR TRANSPORTES LOGISTICA LTDA</v>
      </c>
      <c r="J2115">
        <f t="shared" si="202"/>
        <v>1</v>
      </c>
      <c r="K2115">
        <f t="shared" si="203"/>
        <v>0</v>
      </c>
    </row>
    <row r="2116" spans="1:11" x14ac:dyDescent="0.25">
      <c r="A2116" t="s">
        <v>76</v>
      </c>
      <c r="B2116" t="s">
        <v>77</v>
      </c>
      <c r="C2116" t="s">
        <v>50</v>
      </c>
      <c r="D2116" s="3">
        <v>45776</v>
      </c>
      <c r="E2116" t="str">
        <f>VLOOKUP(B2116,'PROCV GERENTES BD'!A:B,2,0)</f>
        <v>RAFAEL PARISE</v>
      </c>
      <c r="F2116" s="4" t="str">
        <f t="shared" si="198"/>
        <v>2025-04</v>
      </c>
      <c r="G2116" s="18">
        <f t="shared" si="199"/>
        <v>18</v>
      </c>
      <c r="H2116" t="str">
        <f t="shared" si="200"/>
        <v>RAFAEL PARISE</v>
      </c>
      <c r="I2116" t="str">
        <f t="shared" si="201"/>
        <v>UNITA AUTO PECAS LTDA EPP</v>
      </c>
      <c r="J2116">
        <f t="shared" si="202"/>
        <v>0</v>
      </c>
      <c r="K2116">
        <f t="shared" si="203"/>
        <v>1</v>
      </c>
    </row>
    <row r="2117" spans="1:11" x14ac:dyDescent="0.25">
      <c r="A2117" t="s">
        <v>67</v>
      </c>
      <c r="B2117" t="s">
        <v>68</v>
      </c>
      <c r="C2117" t="s">
        <v>50</v>
      </c>
      <c r="D2117" s="3">
        <v>45776</v>
      </c>
      <c r="E2117" t="s">
        <v>21</v>
      </c>
      <c r="F2117" s="4" t="str">
        <f t="shared" si="198"/>
        <v>2025-04</v>
      </c>
      <c r="G2117" s="18">
        <f t="shared" si="199"/>
        <v>18</v>
      </c>
      <c r="H2117" t="str">
        <f t="shared" si="200"/>
        <v xml:space="preserve">ROGERIO </v>
      </c>
      <c r="I2117" t="str">
        <f t="shared" si="201"/>
        <v>DIOTTONI INDUSTRIA E COMERCIO DE ALIMENTOS LTDA ME</v>
      </c>
      <c r="J2117">
        <f t="shared" si="202"/>
        <v>0</v>
      </c>
      <c r="K2117">
        <f t="shared" si="203"/>
        <v>1</v>
      </c>
    </row>
    <row r="2118" spans="1:11" x14ac:dyDescent="0.25">
      <c r="A2118" t="s">
        <v>447</v>
      </c>
      <c r="B2118" t="s">
        <v>200</v>
      </c>
      <c r="C2118" t="s">
        <v>53</v>
      </c>
      <c r="D2118" s="3">
        <v>45776</v>
      </c>
      <c r="E2118" t="s">
        <v>21</v>
      </c>
      <c r="F2118" s="4" t="str">
        <f t="shared" si="198"/>
        <v>2025-04</v>
      </c>
      <c r="G2118" s="18">
        <f t="shared" si="199"/>
        <v>18</v>
      </c>
      <c r="H2118" t="str">
        <f t="shared" si="200"/>
        <v xml:space="preserve">ROGERIO </v>
      </c>
      <c r="I2118" t="str">
        <f t="shared" si="201"/>
        <v>ORTHOSIDE INDUSTRIA E COMERCIO LTDA EPP</v>
      </c>
      <c r="J2118">
        <f t="shared" si="202"/>
        <v>1</v>
      </c>
      <c r="K2118">
        <f t="shared" si="203"/>
        <v>1</v>
      </c>
    </row>
    <row r="2119" spans="1:11" x14ac:dyDescent="0.25">
      <c r="A2119" t="s">
        <v>56</v>
      </c>
      <c r="B2119" t="s">
        <v>57</v>
      </c>
      <c r="C2119" t="s">
        <v>50</v>
      </c>
      <c r="D2119" s="3">
        <v>45776</v>
      </c>
      <c r="E2119" t="str">
        <f>VLOOKUP(B2119,'PROCV GERENTES BD'!A:B,2,0)</f>
        <v xml:space="preserve">ROGERIO </v>
      </c>
      <c r="F2119" s="4" t="str">
        <f t="shared" si="198"/>
        <v>2025-04</v>
      </c>
      <c r="G2119" s="18">
        <f t="shared" si="199"/>
        <v>18</v>
      </c>
      <c r="H2119" t="str">
        <f t="shared" si="200"/>
        <v xml:space="preserve">ROGERIO </v>
      </c>
      <c r="I2119" t="str">
        <f t="shared" si="201"/>
        <v>RODOVIEIRA TRANSPORTE LTDA</v>
      </c>
      <c r="J2119">
        <f t="shared" si="202"/>
        <v>0</v>
      </c>
      <c r="K2119">
        <f t="shared" si="203"/>
        <v>1</v>
      </c>
    </row>
    <row r="2120" spans="1:11" x14ac:dyDescent="0.25">
      <c r="A2120" t="s">
        <v>314</v>
      </c>
      <c r="B2120" t="s">
        <v>246</v>
      </c>
      <c r="C2120" t="s">
        <v>50</v>
      </c>
      <c r="D2120" s="3">
        <v>45776</v>
      </c>
      <c r="E2120" t="str">
        <f>VLOOKUP(B2120,'PROCV GERENTES BD'!A:B,2,0)</f>
        <v xml:space="preserve">ROGERIO </v>
      </c>
      <c r="F2120" s="4" t="str">
        <f t="shared" si="198"/>
        <v>2025-04</v>
      </c>
      <c r="G2120" s="18">
        <f t="shared" si="199"/>
        <v>18</v>
      </c>
      <c r="H2120" t="str">
        <f t="shared" si="200"/>
        <v xml:space="preserve">ROGERIO </v>
      </c>
      <c r="I2120" t="str">
        <f t="shared" si="201"/>
        <v>MUTCD CENTRO DE DISTRIBUICAO DE IND FABRICANTE DE</v>
      </c>
      <c r="J2120">
        <f t="shared" si="202"/>
        <v>0</v>
      </c>
      <c r="K2120">
        <f t="shared" si="203"/>
        <v>1</v>
      </c>
    </row>
    <row r="2121" spans="1:11" x14ac:dyDescent="0.25">
      <c r="A2121" t="s">
        <v>498</v>
      </c>
      <c r="B2121" t="s">
        <v>256</v>
      </c>
      <c r="C2121" t="s">
        <v>50</v>
      </c>
      <c r="D2121" s="3">
        <v>45776</v>
      </c>
      <c r="E2121" t="str">
        <f>VLOOKUP(B2121,'PROCV GERENTES BD'!A:B,2,0)</f>
        <v>CELIO PIMENTA</v>
      </c>
      <c r="F2121" s="4" t="str">
        <f t="shared" si="198"/>
        <v>2025-04</v>
      </c>
      <c r="G2121" s="18">
        <f t="shared" si="199"/>
        <v>18</v>
      </c>
      <c r="H2121" t="str">
        <f t="shared" si="200"/>
        <v>CELIO PIMENTA</v>
      </c>
      <c r="I2121" t="str">
        <f t="shared" si="201"/>
        <v>SEU TRATOR LTDA EPP</v>
      </c>
      <c r="J2121">
        <f t="shared" si="202"/>
        <v>0</v>
      </c>
      <c r="K2121">
        <f t="shared" si="203"/>
        <v>1</v>
      </c>
    </row>
    <row r="2122" spans="1:11" x14ac:dyDescent="0.25">
      <c r="A2122" t="s">
        <v>503</v>
      </c>
      <c r="B2122" t="s">
        <v>261</v>
      </c>
      <c r="C2122" t="s">
        <v>50</v>
      </c>
      <c r="D2122" s="3">
        <v>45776</v>
      </c>
      <c r="E2122" t="str">
        <f>VLOOKUP(B2122,'PROCV GERENTES BD'!A:B,2,0)</f>
        <v>PRISCILA METZ</v>
      </c>
      <c r="F2122" s="4" t="str">
        <f t="shared" si="198"/>
        <v>2025-04</v>
      </c>
      <c r="G2122" s="18">
        <f t="shared" si="199"/>
        <v>18</v>
      </c>
      <c r="H2122" t="str">
        <f t="shared" si="200"/>
        <v>PRISCILA METZ</v>
      </c>
      <c r="I2122" t="str">
        <f t="shared" si="201"/>
        <v>ANDRADE ELETRO TECNICA LTDA EPP</v>
      </c>
      <c r="J2122">
        <f t="shared" si="202"/>
        <v>0</v>
      </c>
      <c r="K2122">
        <f t="shared" si="203"/>
        <v>1</v>
      </c>
    </row>
    <row r="2123" spans="1:11" x14ac:dyDescent="0.25">
      <c r="A2123" t="s">
        <v>504</v>
      </c>
      <c r="B2123" t="s">
        <v>265</v>
      </c>
      <c r="C2123" t="s">
        <v>50</v>
      </c>
      <c r="D2123" s="3">
        <v>45776</v>
      </c>
      <c r="E2123" t="str">
        <f>VLOOKUP(B2123,'PROCV GERENTES BD'!A:B,2,0)</f>
        <v>NOELI SALETE</v>
      </c>
      <c r="F2123" s="4" t="str">
        <f t="shared" si="198"/>
        <v>2025-04</v>
      </c>
      <c r="G2123" s="18">
        <f t="shared" si="199"/>
        <v>18</v>
      </c>
      <c r="H2123" t="str">
        <f t="shared" si="200"/>
        <v>NOELI SALETE</v>
      </c>
      <c r="I2123" t="str">
        <f t="shared" si="201"/>
        <v>TRANSPORTES TRANS BERTIN LTDA</v>
      </c>
      <c r="J2123">
        <f t="shared" si="202"/>
        <v>0</v>
      </c>
      <c r="K2123">
        <f t="shared" si="203"/>
        <v>1</v>
      </c>
    </row>
    <row r="2124" spans="1:11" x14ac:dyDescent="0.25">
      <c r="A2124" t="s">
        <v>54</v>
      </c>
      <c r="B2124" t="s">
        <v>55</v>
      </c>
      <c r="C2124" t="s">
        <v>50</v>
      </c>
      <c r="D2124" s="3">
        <v>45777</v>
      </c>
      <c r="E2124" t="str">
        <f>VLOOKUP(B2124,'PROCV GERENTES BD'!A:B,2,0)</f>
        <v>CELIO PIMENTA</v>
      </c>
      <c r="F2124" s="4" t="str">
        <f t="shared" si="198"/>
        <v>2025-04</v>
      </c>
      <c r="G2124" s="18">
        <f t="shared" si="199"/>
        <v>18</v>
      </c>
      <c r="H2124" t="str">
        <f t="shared" si="200"/>
        <v>CELIO PIMENTA</v>
      </c>
      <c r="I2124" t="str">
        <f t="shared" si="201"/>
        <v>WJ CALDEIRARIA INDUSTRIA E COMERCIO LTDA ME</v>
      </c>
      <c r="J2124">
        <f t="shared" si="202"/>
        <v>0</v>
      </c>
      <c r="K2124">
        <f t="shared" si="203"/>
        <v>1</v>
      </c>
    </row>
    <row r="2125" spans="1:11" x14ac:dyDescent="0.25">
      <c r="A2125" t="s">
        <v>358</v>
      </c>
      <c r="B2125" t="s">
        <v>104</v>
      </c>
      <c r="C2125" t="s">
        <v>66</v>
      </c>
      <c r="D2125" s="3">
        <v>45777</v>
      </c>
      <c r="E2125" t="str">
        <f>VLOOKUP(B2125,'PROCV GERENTES BD'!A:B,2,0)</f>
        <v>DIOGO AZEVEDO</v>
      </c>
      <c r="F2125" s="4" t="str">
        <f t="shared" si="198"/>
        <v>2025-04</v>
      </c>
      <c r="G2125" s="18">
        <f t="shared" si="199"/>
        <v>18</v>
      </c>
      <c r="H2125" t="str">
        <f t="shared" si="200"/>
        <v>DIOGO AZEVEDO</v>
      </c>
      <c r="I2125" t="str">
        <f t="shared" si="201"/>
        <v>INDUSTRIA E CERVEJARIA ARTESANAL DE MINAS GERAIS L</v>
      </c>
      <c r="J2125">
        <f t="shared" si="202"/>
        <v>1</v>
      </c>
      <c r="K2125">
        <f t="shared" si="203"/>
        <v>0</v>
      </c>
    </row>
    <row r="2126" spans="1:11" x14ac:dyDescent="0.25">
      <c r="A2126" t="s">
        <v>415</v>
      </c>
      <c r="B2126" t="s">
        <v>165</v>
      </c>
      <c r="C2126" t="s">
        <v>66</v>
      </c>
      <c r="D2126" s="3">
        <v>45777</v>
      </c>
      <c r="E2126" t="str">
        <f>VLOOKUP(B2126,'PROCV GERENTES BD'!A:B,2,0)</f>
        <v>PROSPECTAR</v>
      </c>
      <c r="F2126" s="4" t="str">
        <f t="shared" si="198"/>
        <v>2025-04</v>
      </c>
      <c r="G2126" s="18">
        <f t="shared" si="199"/>
        <v>18</v>
      </c>
      <c r="H2126" t="str">
        <f t="shared" si="200"/>
        <v>PROSPECTAR</v>
      </c>
      <c r="I2126" t="str">
        <f t="shared" si="201"/>
        <v>STA SERVICOS LTDA</v>
      </c>
      <c r="J2126">
        <f t="shared" si="202"/>
        <v>1</v>
      </c>
      <c r="K2126">
        <f t="shared" si="203"/>
        <v>0</v>
      </c>
    </row>
    <row r="2127" spans="1:11" x14ac:dyDescent="0.25">
      <c r="A2127" t="s">
        <v>323</v>
      </c>
      <c r="B2127" t="s">
        <v>109</v>
      </c>
      <c r="C2127" t="s">
        <v>66</v>
      </c>
      <c r="D2127" s="3">
        <v>45777</v>
      </c>
      <c r="E2127" t="str">
        <f>VLOOKUP(B2127,'PROCV GERENTES BD'!A:B,2,0)</f>
        <v>PROSPECTAR</v>
      </c>
      <c r="F2127" s="4" t="str">
        <f t="shared" si="198"/>
        <v>2025-04</v>
      </c>
      <c r="G2127" s="18">
        <f t="shared" si="199"/>
        <v>18</v>
      </c>
      <c r="H2127" t="str">
        <f t="shared" si="200"/>
        <v>PROSPECTAR</v>
      </c>
      <c r="I2127" t="str">
        <f t="shared" si="201"/>
        <v>SIAP COMERCIO DE PRODUTOS AGROPECUARIOS LTDA</v>
      </c>
      <c r="J2127">
        <f t="shared" si="202"/>
        <v>1</v>
      </c>
      <c r="K2127">
        <f t="shared" si="203"/>
        <v>0</v>
      </c>
    </row>
    <row r="2128" spans="1:11" x14ac:dyDescent="0.25">
      <c r="A2128" t="s">
        <v>412</v>
      </c>
      <c r="B2128" t="s">
        <v>162</v>
      </c>
      <c r="C2128" t="s">
        <v>50</v>
      </c>
      <c r="D2128" s="3">
        <v>45777</v>
      </c>
      <c r="E2128" t="str">
        <f>VLOOKUP(B2128,'PROCV GERENTES BD'!A:B,2,0)</f>
        <v>PROSPECTAR</v>
      </c>
      <c r="F2128" s="4" t="str">
        <f t="shared" si="198"/>
        <v>2025-04</v>
      </c>
      <c r="G2128" s="18">
        <f t="shared" si="199"/>
        <v>18</v>
      </c>
      <c r="H2128" t="str">
        <f t="shared" si="200"/>
        <v>PROSPECTAR</v>
      </c>
      <c r="I2128" t="str">
        <f t="shared" si="201"/>
        <v>MORIA PRESTACAO DE SERVICOS LTDA ME</v>
      </c>
      <c r="J2128">
        <f t="shared" si="202"/>
        <v>0</v>
      </c>
      <c r="K2128">
        <f t="shared" si="203"/>
        <v>1</v>
      </c>
    </row>
    <row r="2129" spans="1:11" x14ac:dyDescent="0.25">
      <c r="A2129" t="s">
        <v>72</v>
      </c>
      <c r="B2129" t="s">
        <v>73</v>
      </c>
      <c r="C2129" t="s">
        <v>53</v>
      </c>
      <c r="D2129" s="3">
        <v>45777</v>
      </c>
      <c r="E2129" t="str">
        <f>VLOOKUP(B2129,'PROCV GERENTES BD'!A:B,2,0)</f>
        <v>NOELI SALETE</v>
      </c>
      <c r="F2129" s="4" t="str">
        <f t="shared" si="198"/>
        <v>2025-04</v>
      </c>
      <c r="G2129" s="18">
        <f t="shared" si="199"/>
        <v>18</v>
      </c>
      <c r="H2129" t="str">
        <f t="shared" si="200"/>
        <v>NOELI SALETE</v>
      </c>
      <c r="I2129" t="str">
        <f t="shared" si="201"/>
        <v>SMARTCENTER SOLUCOES INTELIGENTES LTDA ME</v>
      </c>
      <c r="J2129">
        <f t="shared" si="202"/>
        <v>1</v>
      </c>
      <c r="K2129">
        <f t="shared" si="203"/>
        <v>1</v>
      </c>
    </row>
    <row r="2130" spans="1:11" x14ac:dyDescent="0.25">
      <c r="A2130" t="s">
        <v>486</v>
      </c>
      <c r="B2130" t="s">
        <v>243</v>
      </c>
      <c r="C2130" t="s">
        <v>50</v>
      </c>
      <c r="D2130" s="3">
        <v>45777</v>
      </c>
      <c r="E2130" t="str">
        <f>VLOOKUP(B2130,'PROCV GERENTES BD'!A:B,2,0)</f>
        <v>NOELI SALETE</v>
      </c>
      <c r="F2130" s="4" t="str">
        <f t="shared" si="198"/>
        <v>2025-04</v>
      </c>
      <c r="G2130" s="18">
        <f t="shared" si="199"/>
        <v>18</v>
      </c>
      <c r="H2130" t="str">
        <f t="shared" si="200"/>
        <v>NOELI SALETE</v>
      </c>
      <c r="I2130" t="str">
        <f t="shared" si="201"/>
        <v>SMARTCENTERGROUP COMERCIO DE EQUIPAMENTOS DE INFOR</v>
      </c>
      <c r="J2130">
        <f t="shared" si="202"/>
        <v>0</v>
      </c>
      <c r="K2130">
        <f t="shared" si="203"/>
        <v>1</v>
      </c>
    </row>
    <row r="2131" spans="1:11" x14ac:dyDescent="0.25">
      <c r="A2131" t="s">
        <v>475</v>
      </c>
      <c r="B2131" t="s">
        <v>232</v>
      </c>
      <c r="C2131" t="s">
        <v>66</v>
      </c>
      <c r="D2131" s="3">
        <v>45777</v>
      </c>
      <c r="E2131" t="str">
        <f>VLOOKUP(B2131,'PROCV GERENTES BD'!A:B,2,0)</f>
        <v>POENATELA</v>
      </c>
      <c r="F2131" s="4" t="str">
        <f t="shared" si="198"/>
        <v>2025-04</v>
      </c>
      <c r="G2131" s="18">
        <f t="shared" si="199"/>
        <v>18</v>
      </c>
      <c r="H2131" t="str">
        <f t="shared" si="200"/>
        <v>POENATELA</v>
      </c>
      <c r="I2131" t="str">
        <f t="shared" si="201"/>
        <v>JUATUBA MOVEIS E EMBALAGENS LTDA</v>
      </c>
      <c r="J2131">
        <f t="shared" si="202"/>
        <v>1</v>
      </c>
      <c r="K2131">
        <f t="shared" si="203"/>
        <v>0</v>
      </c>
    </row>
    <row r="2132" spans="1:11" x14ac:dyDescent="0.25">
      <c r="A2132" t="s">
        <v>370</v>
      </c>
      <c r="B2132" t="s">
        <v>114</v>
      </c>
      <c r="C2132" t="s">
        <v>66</v>
      </c>
      <c r="D2132" s="3">
        <v>45777</v>
      </c>
      <c r="E2132" t="str">
        <f>VLOOKUP(B2132,'PROCV GERENTES BD'!A:B,2,0)</f>
        <v>POENATELA</v>
      </c>
      <c r="F2132" s="4" t="str">
        <f t="shared" si="198"/>
        <v>2025-04</v>
      </c>
      <c r="G2132" s="18">
        <f t="shared" si="199"/>
        <v>18</v>
      </c>
      <c r="H2132" t="str">
        <f t="shared" si="200"/>
        <v>POENATELA</v>
      </c>
      <c r="I2132" t="str">
        <f t="shared" si="201"/>
        <v>COOPERATIVA TRANSP AUTON CARGAS PASSAG SERVICOS LO</v>
      </c>
      <c r="J2132">
        <f t="shared" si="202"/>
        <v>1</v>
      </c>
      <c r="K2132">
        <f t="shared" si="203"/>
        <v>0</v>
      </c>
    </row>
    <row r="2133" spans="1:11" x14ac:dyDescent="0.25">
      <c r="A2133" t="s">
        <v>353</v>
      </c>
      <c r="B2133" t="s">
        <v>97</v>
      </c>
      <c r="C2133" t="s">
        <v>50</v>
      </c>
      <c r="D2133" s="3">
        <v>45777</v>
      </c>
      <c r="E2133" t="str">
        <f>VLOOKUP(B2133,'PROCV GERENTES BD'!A:B,2,0)</f>
        <v>PRISCILA METZ</v>
      </c>
      <c r="F2133" s="4" t="str">
        <f t="shared" si="198"/>
        <v>2025-04</v>
      </c>
      <c r="G2133" s="18">
        <f t="shared" si="199"/>
        <v>18</v>
      </c>
      <c r="H2133" t="str">
        <f t="shared" si="200"/>
        <v>PRISCILA METZ</v>
      </c>
      <c r="I2133" t="str">
        <f t="shared" si="201"/>
        <v>ESSENZA INDUSTRIA QUIMICA LTDA</v>
      </c>
      <c r="J2133">
        <f t="shared" si="202"/>
        <v>0</v>
      </c>
      <c r="K2133">
        <f t="shared" si="203"/>
        <v>1</v>
      </c>
    </row>
    <row r="2134" spans="1:11" x14ac:dyDescent="0.25">
      <c r="A2134" t="s">
        <v>67</v>
      </c>
      <c r="B2134" t="s">
        <v>68</v>
      </c>
      <c r="C2134" t="s">
        <v>50</v>
      </c>
      <c r="D2134" s="3">
        <v>45777</v>
      </c>
      <c r="E2134" t="s">
        <v>21</v>
      </c>
      <c r="F2134" s="4" t="str">
        <f t="shared" si="198"/>
        <v>2025-04</v>
      </c>
      <c r="G2134" s="18">
        <f t="shared" si="199"/>
        <v>18</v>
      </c>
      <c r="H2134" t="str">
        <f t="shared" si="200"/>
        <v xml:space="preserve">ROGERIO </v>
      </c>
      <c r="I2134" t="str">
        <f t="shared" si="201"/>
        <v>DIOTTONI INDUSTRIA E COMERCIO DE ALIMENTOS LTDA ME</v>
      </c>
      <c r="J2134">
        <f t="shared" si="202"/>
        <v>0</v>
      </c>
      <c r="K2134">
        <f t="shared" si="203"/>
        <v>1</v>
      </c>
    </row>
    <row r="2135" spans="1:11" x14ac:dyDescent="0.25">
      <c r="A2135" t="s">
        <v>306</v>
      </c>
      <c r="B2135" t="s">
        <v>266</v>
      </c>
      <c r="C2135" t="s">
        <v>66</v>
      </c>
      <c r="D2135" s="3">
        <v>45777</v>
      </c>
      <c r="E2135" t="str">
        <f>VLOOKUP(B2135,'PROCV GERENTES BD'!A:B,2,0)</f>
        <v>CAIO</v>
      </c>
      <c r="F2135" s="4" t="str">
        <f t="shared" si="198"/>
        <v>2025-04</v>
      </c>
      <c r="G2135" s="18">
        <f t="shared" si="199"/>
        <v>18</v>
      </c>
      <c r="H2135" t="str">
        <f t="shared" si="200"/>
        <v>CAIO</v>
      </c>
      <c r="I2135" t="str">
        <f t="shared" si="201"/>
        <v>MECALD MECANICA E CALDEIRARIA LTDA EPP</v>
      </c>
      <c r="J2135">
        <f t="shared" si="202"/>
        <v>1</v>
      </c>
      <c r="K2135">
        <f t="shared" si="203"/>
        <v>0</v>
      </c>
    </row>
    <row r="2136" spans="1:11" x14ac:dyDescent="0.25">
      <c r="A2136" t="s">
        <v>499</v>
      </c>
      <c r="B2136" t="s">
        <v>258</v>
      </c>
      <c r="C2136" t="s">
        <v>66</v>
      </c>
      <c r="D2136" s="3">
        <v>45777</v>
      </c>
      <c r="E2136" t="str">
        <f>VLOOKUP(B2136,'PROCV GERENTES BD'!A:B,2,0)</f>
        <v>PRISCILA METZ</v>
      </c>
      <c r="F2136" s="4" t="str">
        <f t="shared" si="198"/>
        <v>2025-04</v>
      </c>
      <c r="G2136" s="18">
        <f t="shared" si="199"/>
        <v>18</v>
      </c>
      <c r="H2136" t="str">
        <f t="shared" si="200"/>
        <v>PRISCILA METZ</v>
      </c>
      <c r="I2136" t="str">
        <f t="shared" si="201"/>
        <v>PLATINUM INDUSTRIA DE CONFECCOES LTDA</v>
      </c>
      <c r="J2136">
        <f t="shared" si="202"/>
        <v>1</v>
      </c>
      <c r="K2136">
        <f t="shared" si="203"/>
        <v>0</v>
      </c>
    </row>
    <row r="2137" spans="1:11" x14ac:dyDescent="0.25">
      <c r="A2137" t="s">
        <v>64</v>
      </c>
      <c r="B2137" t="s">
        <v>65</v>
      </c>
      <c r="C2137" t="s">
        <v>53</v>
      </c>
      <c r="D2137" s="3">
        <v>45777</v>
      </c>
      <c r="E2137" t="str">
        <f>VLOOKUP(B2137,'PROCV GERENTES BD'!A:B,2,0)</f>
        <v>ADMINISTRAÇÃO</v>
      </c>
      <c r="F2137" s="4" t="str">
        <f t="shared" si="198"/>
        <v>2025-04</v>
      </c>
      <c r="G2137" s="18">
        <f t="shared" si="199"/>
        <v>18</v>
      </c>
      <c r="H2137" t="str">
        <f t="shared" si="200"/>
        <v>ADMINISTRAÇÃO</v>
      </c>
      <c r="I2137" t="str">
        <f t="shared" si="201"/>
        <v>SOCIAL S/A</v>
      </c>
      <c r="J2137">
        <f t="shared" si="202"/>
        <v>1</v>
      </c>
      <c r="K2137">
        <f t="shared" si="203"/>
        <v>1</v>
      </c>
    </row>
    <row r="2138" spans="1:11" x14ac:dyDescent="0.25">
      <c r="A2138" t="s">
        <v>505</v>
      </c>
      <c r="B2138" t="s">
        <v>267</v>
      </c>
      <c r="C2138" t="s">
        <v>50</v>
      </c>
      <c r="D2138" s="3">
        <v>45777</v>
      </c>
      <c r="E2138" t="str">
        <f>VLOOKUP(B2138,'PROCV GERENTES BD'!A:B,2,0)</f>
        <v>PRISCILA METZ</v>
      </c>
      <c r="F2138" s="4" t="str">
        <f t="shared" si="198"/>
        <v>2025-04</v>
      </c>
      <c r="G2138" s="18">
        <f t="shared" si="199"/>
        <v>18</v>
      </c>
      <c r="H2138" t="str">
        <f t="shared" si="200"/>
        <v>PRISCILA METZ</v>
      </c>
      <c r="I2138" t="str">
        <f t="shared" si="201"/>
        <v>REAL DISTRIBUIDORA DE PRODUTOS PARA MARMORARIA LTD</v>
      </c>
      <c r="J2138">
        <f t="shared" si="202"/>
        <v>0</v>
      </c>
      <c r="K2138">
        <f t="shared" si="203"/>
        <v>1</v>
      </c>
    </row>
    <row r="2139" spans="1:11" x14ac:dyDescent="0.25">
      <c r="A2139" t="s">
        <v>488</v>
      </c>
      <c r="B2139" t="s">
        <v>247</v>
      </c>
      <c r="C2139" t="s">
        <v>50</v>
      </c>
      <c r="D2139" s="3">
        <v>45777</v>
      </c>
      <c r="E2139" t="str">
        <f>VLOOKUP(B2139,'PROCV GERENTES BD'!A:B,2,0)</f>
        <v>CELIO PIMENTA</v>
      </c>
      <c r="F2139" s="4" t="str">
        <f t="shared" si="198"/>
        <v>2025-04</v>
      </c>
      <c r="G2139" s="18">
        <f t="shared" si="199"/>
        <v>18</v>
      </c>
      <c r="H2139" t="str">
        <f t="shared" si="200"/>
        <v>CELIO PIMENTA</v>
      </c>
      <c r="I2139" t="str">
        <f t="shared" si="201"/>
        <v>AZ HIDRAULICA USINAGEM LTDA EPP</v>
      </c>
      <c r="J2139">
        <f t="shared" si="202"/>
        <v>0</v>
      </c>
      <c r="K2139">
        <f t="shared" si="203"/>
        <v>1</v>
      </c>
    </row>
    <row r="2140" spans="1:11" x14ac:dyDescent="0.25">
      <c r="A2140" t="s">
        <v>504</v>
      </c>
      <c r="B2140" t="s">
        <v>265</v>
      </c>
      <c r="C2140" t="s">
        <v>66</v>
      </c>
      <c r="D2140" s="3">
        <v>45777</v>
      </c>
      <c r="E2140" t="str">
        <f>VLOOKUP(B2140,'PROCV GERENTES BD'!A:B,2,0)</f>
        <v>NOELI SALETE</v>
      </c>
      <c r="F2140" s="4" t="str">
        <f t="shared" si="198"/>
        <v>2025-04</v>
      </c>
      <c r="G2140" s="18">
        <f t="shared" si="199"/>
        <v>18</v>
      </c>
      <c r="H2140" t="str">
        <f t="shared" si="200"/>
        <v>NOELI SALETE</v>
      </c>
      <c r="I2140" t="str">
        <f t="shared" si="201"/>
        <v>TRANSPORTES TRANS BERTIN LTDA</v>
      </c>
      <c r="J2140">
        <f t="shared" si="202"/>
        <v>1</v>
      </c>
      <c r="K2140">
        <f t="shared" si="203"/>
        <v>0</v>
      </c>
    </row>
    <row r="2141" spans="1:11" x14ac:dyDescent="0.25">
      <c r="A2141" t="s">
        <v>321</v>
      </c>
      <c r="B2141" t="s">
        <v>264</v>
      </c>
      <c r="C2141" t="s">
        <v>327</v>
      </c>
      <c r="D2141" s="6">
        <v>45778</v>
      </c>
      <c r="E2141" t="str">
        <f>VLOOKUP(B2141,'PROCV GERENTES BD'!A:B,2,0)</f>
        <v>RAFAEL PARISE</v>
      </c>
      <c r="F2141" s="4" t="str">
        <f t="shared" si="198"/>
        <v>2025-05</v>
      </c>
      <c r="G2141" s="18">
        <f t="shared" si="199"/>
        <v>18</v>
      </c>
      <c r="H2141" t="str">
        <f t="shared" si="200"/>
        <v>RAFAEL PARISE</v>
      </c>
      <c r="I2141" t="str">
        <f t="shared" si="201"/>
        <v>METALCROMO METALIZACAO E CROMO DURO INDUSTRIAL LTD</v>
      </c>
      <c r="J2141">
        <f t="shared" si="202"/>
        <v>0</v>
      </c>
      <c r="K2141">
        <f t="shared" si="203"/>
        <v>0</v>
      </c>
    </row>
    <row r="2142" spans="1:11" x14ac:dyDescent="0.25">
      <c r="A2142" t="s">
        <v>321</v>
      </c>
      <c r="B2142" t="s">
        <v>264</v>
      </c>
      <c r="C2142" t="s">
        <v>329</v>
      </c>
      <c r="D2142" s="6">
        <v>45778</v>
      </c>
      <c r="E2142" t="str">
        <f>VLOOKUP(B2142,'PROCV GERENTES BD'!A:B,2,0)</f>
        <v>RAFAEL PARISE</v>
      </c>
      <c r="F2142" s="4" t="str">
        <f t="shared" si="198"/>
        <v>2025-05</v>
      </c>
      <c r="G2142" s="18">
        <f t="shared" si="199"/>
        <v>18</v>
      </c>
      <c r="H2142" t="str">
        <f t="shared" si="200"/>
        <v>RAFAEL PARISE</v>
      </c>
      <c r="I2142" t="str">
        <f t="shared" si="201"/>
        <v>METALCROMO METALIZACAO E CROMO DURO INDUSTRIAL LTD</v>
      </c>
      <c r="J2142">
        <f t="shared" si="202"/>
        <v>0</v>
      </c>
      <c r="K2142">
        <f t="shared" si="203"/>
        <v>0</v>
      </c>
    </row>
    <row r="2143" spans="1:11" x14ac:dyDescent="0.25">
      <c r="A2143" t="s">
        <v>353</v>
      </c>
      <c r="B2143" t="s">
        <v>97</v>
      </c>
      <c r="C2143" t="s">
        <v>329</v>
      </c>
      <c r="D2143" s="6">
        <v>45778</v>
      </c>
      <c r="E2143" t="str">
        <f>VLOOKUP(B2143,'PROCV GERENTES BD'!A:B,2,0)</f>
        <v>PRISCILA METZ</v>
      </c>
      <c r="F2143" s="4" t="str">
        <f t="shared" si="198"/>
        <v>2025-05</v>
      </c>
      <c r="G2143" s="18">
        <f t="shared" si="199"/>
        <v>18</v>
      </c>
      <c r="H2143" t="str">
        <f t="shared" si="200"/>
        <v>PRISCILA METZ</v>
      </c>
      <c r="I2143" t="str">
        <f t="shared" si="201"/>
        <v>ESSENZA INDUSTRIA QUIMICA LTDA</v>
      </c>
      <c r="J2143">
        <f t="shared" si="202"/>
        <v>0</v>
      </c>
      <c r="K2143">
        <f t="shared" si="203"/>
        <v>0</v>
      </c>
    </row>
    <row r="2144" spans="1:11" x14ac:dyDescent="0.25">
      <c r="A2144" t="s">
        <v>502</v>
      </c>
      <c r="B2144" t="s">
        <v>262</v>
      </c>
      <c r="C2144" t="s">
        <v>50</v>
      </c>
      <c r="D2144" s="6">
        <v>45780</v>
      </c>
      <c r="E2144" t="str">
        <f>VLOOKUP(B2144,'PROCV GERENTES BD'!A:B,2,0)</f>
        <v>ANTECIPA</v>
      </c>
      <c r="F2144" s="4" t="str">
        <f t="shared" si="198"/>
        <v>2025-05</v>
      </c>
      <c r="G2144" s="18">
        <f t="shared" si="199"/>
        <v>18</v>
      </c>
      <c r="H2144" t="str">
        <f t="shared" si="200"/>
        <v>ANTECIPA</v>
      </c>
      <c r="I2144" t="str">
        <f t="shared" si="201"/>
        <v>CONSTRUENGE ENGENHARIA E GERENCIAMENTO LTDA</v>
      </c>
      <c r="J2144">
        <f t="shared" si="202"/>
        <v>0</v>
      </c>
      <c r="K2144">
        <f t="shared" si="203"/>
        <v>1</v>
      </c>
    </row>
    <row r="2145" spans="1:11" x14ac:dyDescent="0.25">
      <c r="A2145" t="s">
        <v>311</v>
      </c>
      <c r="B2145" t="s">
        <v>81</v>
      </c>
      <c r="C2145" t="s">
        <v>66</v>
      </c>
      <c r="D2145" s="6">
        <v>45780</v>
      </c>
      <c r="E2145" t="str">
        <f>VLOOKUP(B2145,'PROCV GERENTES BD'!A:B,2,0)</f>
        <v>CELIO PIMENTA</v>
      </c>
      <c r="F2145" s="4" t="str">
        <f t="shared" si="198"/>
        <v>2025-05</v>
      </c>
      <c r="G2145" s="18">
        <f t="shared" si="199"/>
        <v>18</v>
      </c>
      <c r="H2145" t="str">
        <f t="shared" si="200"/>
        <v>CELIO PIMENTA</v>
      </c>
      <c r="I2145" t="str">
        <f t="shared" si="201"/>
        <v>MBIOLOG DIAGNOSTICOS LTDA</v>
      </c>
      <c r="J2145">
        <f t="shared" si="202"/>
        <v>1</v>
      </c>
      <c r="K2145">
        <f t="shared" si="203"/>
        <v>0</v>
      </c>
    </row>
    <row r="2146" spans="1:11" x14ac:dyDescent="0.25">
      <c r="A2146" t="s">
        <v>324</v>
      </c>
      <c r="B2146" t="s">
        <v>119</v>
      </c>
      <c r="C2146" t="s">
        <v>66</v>
      </c>
      <c r="D2146" s="6">
        <v>45780</v>
      </c>
      <c r="E2146" t="str">
        <f>VLOOKUP(B2146,'PROCV GERENTES BD'!A:B,2,0)</f>
        <v>PROSPECTAR</v>
      </c>
      <c r="F2146" s="4" t="str">
        <f t="shared" si="198"/>
        <v>2025-05</v>
      </c>
      <c r="G2146" s="18">
        <f t="shared" si="199"/>
        <v>18</v>
      </c>
      <c r="H2146" t="str">
        <f t="shared" si="200"/>
        <v>PROSPECTAR</v>
      </c>
      <c r="I2146" t="str">
        <f t="shared" si="201"/>
        <v>TRANSHENRY TRANSPORTES LTDA</v>
      </c>
      <c r="J2146">
        <f t="shared" si="202"/>
        <v>1</v>
      </c>
      <c r="K2146">
        <f t="shared" si="203"/>
        <v>0</v>
      </c>
    </row>
    <row r="2147" spans="1:11" x14ac:dyDescent="0.25">
      <c r="A2147" t="s">
        <v>54</v>
      </c>
      <c r="B2147" t="s">
        <v>55</v>
      </c>
      <c r="C2147" t="s">
        <v>50</v>
      </c>
      <c r="D2147" s="6">
        <v>45780</v>
      </c>
      <c r="E2147" t="str">
        <f>VLOOKUP(B2147,'PROCV GERENTES BD'!A:B,2,0)</f>
        <v>CELIO PIMENTA</v>
      </c>
      <c r="F2147" s="4" t="str">
        <f t="shared" si="198"/>
        <v>2025-05</v>
      </c>
      <c r="G2147" s="18">
        <f t="shared" si="199"/>
        <v>18</v>
      </c>
      <c r="H2147" t="str">
        <f t="shared" si="200"/>
        <v>CELIO PIMENTA</v>
      </c>
      <c r="I2147" t="str">
        <f t="shared" si="201"/>
        <v>WJ CALDEIRARIA INDUSTRIA E COMERCIO LTDA ME</v>
      </c>
      <c r="J2147">
        <f t="shared" si="202"/>
        <v>0</v>
      </c>
      <c r="K2147">
        <f t="shared" si="203"/>
        <v>1</v>
      </c>
    </row>
    <row r="2148" spans="1:11" x14ac:dyDescent="0.25">
      <c r="A2148" t="s">
        <v>506</v>
      </c>
      <c r="B2148" t="s">
        <v>268</v>
      </c>
      <c r="C2148" t="s">
        <v>66</v>
      </c>
      <c r="D2148" s="6">
        <v>45780</v>
      </c>
      <c r="E2148" t="str">
        <f>VLOOKUP(B2148,'PROCV GERENTES BD'!A:B,2,0)</f>
        <v>CAIO</v>
      </c>
      <c r="F2148" s="4" t="str">
        <f t="shared" si="198"/>
        <v>2025-05</v>
      </c>
      <c r="G2148" s="18">
        <f t="shared" si="199"/>
        <v>18</v>
      </c>
      <c r="H2148" t="str">
        <f t="shared" si="200"/>
        <v>CAIO</v>
      </c>
      <c r="I2148" t="str">
        <f t="shared" si="201"/>
        <v>BEECORP BEM ESTAR CORPORATIVO LTDA ME</v>
      </c>
      <c r="J2148">
        <f t="shared" si="202"/>
        <v>1</v>
      </c>
      <c r="K2148">
        <f t="shared" si="203"/>
        <v>0</v>
      </c>
    </row>
    <row r="2149" spans="1:11" x14ac:dyDescent="0.25">
      <c r="A2149" t="s">
        <v>507</v>
      </c>
      <c r="B2149" t="s">
        <v>269</v>
      </c>
      <c r="C2149" t="s">
        <v>329</v>
      </c>
      <c r="D2149" s="6">
        <v>45780</v>
      </c>
      <c r="E2149" t="str">
        <f>VLOOKUP(B2149,'PROCV GERENTES BD'!A:B,2,0)</f>
        <v>LIBER</v>
      </c>
      <c r="F2149" s="4" t="str">
        <f t="shared" si="198"/>
        <v>2025-05</v>
      </c>
      <c r="G2149" s="18">
        <f t="shared" si="199"/>
        <v>18</v>
      </c>
      <c r="H2149" t="str">
        <f t="shared" si="200"/>
        <v>LIBER</v>
      </c>
      <c r="I2149" t="str">
        <f t="shared" si="201"/>
        <v>ALPHA DISTRIBUIDORA DE PECAS LTDA ME</v>
      </c>
      <c r="J2149">
        <f t="shared" si="202"/>
        <v>0</v>
      </c>
      <c r="K2149">
        <f t="shared" si="203"/>
        <v>0</v>
      </c>
    </row>
    <row r="2150" spans="1:11" x14ac:dyDescent="0.25">
      <c r="A2150" t="s">
        <v>358</v>
      </c>
      <c r="B2150" t="s">
        <v>104</v>
      </c>
      <c r="C2150" t="s">
        <v>66</v>
      </c>
      <c r="D2150" s="6">
        <v>45780</v>
      </c>
      <c r="E2150" t="str">
        <f>VLOOKUP(B2150,'PROCV GERENTES BD'!A:B,2,0)</f>
        <v>DIOGO AZEVEDO</v>
      </c>
      <c r="F2150" s="4" t="str">
        <f t="shared" si="198"/>
        <v>2025-05</v>
      </c>
      <c r="G2150" s="18">
        <f t="shared" si="199"/>
        <v>18</v>
      </c>
      <c r="H2150" t="str">
        <f t="shared" si="200"/>
        <v>DIOGO AZEVEDO</v>
      </c>
      <c r="I2150" t="str">
        <f t="shared" si="201"/>
        <v>INDUSTRIA E CERVEJARIA ARTESANAL DE MINAS GERAIS L</v>
      </c>
      <c r="J2150">
        <f t="shared" si="202"/>
        <v>1</v>
      </c>
      <c r="K2150">
        <f t="shared" si="203"/>
        <v>0</v>
      </c>
    </row>
    <row r="2151" spans="1:11" x14ac:dyDescent="0.25">
      <c r="A2151" t="s">
        <v>56</v>
      </c>
      <c r="B2151" t="s">
        <v>57</v>
      </c>
      <c r="C2151" t="s">
        <v>66</v>
      </c>
      <c r="D2151" s="6">
        <v>45780</v>
      </c>
      <c r="E2151" t="str">
        <f>VLOOKUP(B2151,'PROCV GERENTES BD'!A:B,2,0)</f>
        <v xml:space="preserve">ROGERIO </v>
      </c>
      <c r="F2151" s="4" t="str">
        <f t="shared" si="198"/>
        <v>2025-05</v>
      </c>
      <c r="G2151" s="18">
        <f t="shared" si="199"/>
        <v>18</v>
      </c>
      <c r="H2151" t="str">
        <f t="shared" si="200"/>
        <v xml:space="preserve">ROGERIO </v>
      </c>
      <c r="I2151" t="str">
        <f t="shared" si="201"/>
        <v>RODOVIEIRA TRANSPORTE LTDA</v>
      </c>
      <c r="J2151">
        <f t="shared" si="202"/>
        <v>1</v>
      </c>
      <c r="K2151">
        <f t="shared" si="203"/>
        <v>0</v>
      </c>
    </row>
    <row r="2152" spans="1:11" x14ac:dyDescent="0.25">
      <c r="A2152" t="s">
        <v>319</v>
      </c>
      <c r="B2152" t="s">
        <v>80</v>
      </c>
      <c r="C2152" t="s">
        <v>50</v>
      </c>
      <c r="D2152" s="6">
        <v>45780</v>
      </c>
      <c r="E2152" t="str">
        <f>VLOOKUP(B2152,'PROCV GERENTES BD'!A:B,2,0)</f>
        <v>CELIO PIMENTA</v>
      </c>
      <c r="F2152" s="4" t="str">
        <f t="shared" si="198"/>
        <v>2025-05</v>
      </c>
      <c r="G2152" s="18">
        <f t="shared" si="199"/>
        <v>18</v>
      </c>
      <c r="H2152" t="str">
        <f t="shared" si="200"/>
        <v>CELIO PIMENTA</v>
      </c>
      <c r="I2152" t="str">
        <f t="shared" si="201"/>
        <v>IMPORTEXTIL COMERCIO DE TECIDOS LTDA</v>
      </c>
      <c r="J2152">
        <f t="shared" si="202"/>
        <v>0</v>
      </c>
      <c r="K2152">
        <f t="shared" si="203"/>
        <v>1</v>
      </c>
    </row>
    <row r="2153" spans="1:11" x14ac:dyDescent="0.25">
      <c r="A2153" t="s">
        <v>318</v>
      </c>
      <c r="B2153" t="s">
        <v>203</v>
      </c>
      <c r="C2153" t="s">
        <v>66</v>
      </c>
      <c r="D2153" s="6">
        <v>45780</v>
      </c>
      <c r="E2153" t="str">
        <f>VLOOKUP(B2153,'PROCV GERENTES BD'!A:B,2,0)</f>
        <v>JOSE ROBERTO</v>
      </c>
      <c r="F2153" s="4" t="str">
        <f t="shared" si="198"/>
        <v>2025-05</v>
      </c>
      <c r="G2153" s="18">
        <f t="shared" si="199"/>
        <v>18</v>
      </c>
      <c r="H2153" t="str">
        <f t="shared" si="200"/>
        <v>JOSE ROBERTO</v>
      </c>
      <c r="I2153" t="str">
        <f t="shared" si="201"/>
        <v>FUNDACAO DE ENSINO E PESQUISA DO SUL DE MINAS FEPE</v>
      </c>
      <c r="J2153">
        <f t="shared" si="202"/>
        <v>1</v>
      </c>
      <c r="K2153">
        <f t="shared" si="203"/>
        <v>0</v>
      </c>
    </row>
    <row r="2154" spans="1:11" x14ac:dyDescent="0.25">
      <c r="A2154" t="s">
        <v>372</v>
      </c>
      <c r="B2154" t="s">
        <v>116</v>
      </c>
      <c r="C2154" t="s">
        <v>50</v>
      </c>
      <c r="D2154" s="6">
        <v>45780</v>
      </c>
      <c r="E2154" t="str">
        <f>VLOOKUP(B2154,'PROCV GERENTES BD'!A:B,2,0)</f>
        <v>ADMINISTRAÇÃO</v>
      </c>
      <c r="F2154" s="4" t="str">
        <f t="shared" si="198"/>
        <v>2025-05</v>
      </c>
      <c r="G2154" s="18">
        <f t="shared" si="199"/>
        <v>18</v>
      </c>
      <c r="H2154" t="str">
        <f t="shared" si="200"/>
        <v>ADMINISTRAÇÃO</v>
      </c>
      <c r="I2154" t="str">
        <f t="shared" si="201"/>
        <v>PREMOLDADOS MATOSINHOS LTDA EPP</v>
      </c>
      <c r="J2154">
        <f t="shared" si="202"/>
        <v>0</v>
      </c>
      <c r="K2154">
        <f t="shared" si="203"/>
        <v>1</v>
      </c>
    </row>
    <row r="2155" spans="1:11" x14ac:dyDescent="0.25">
      <c r="A2155" t="s">
        <v>353</v>
      </c>
      <c r="B2155" t="s">
        <v>97</v>
      </c>
      <c r="C2155" t="s">
        <v>50</v>
      </c>
      <c r="D2155" s="6">
        <v>45780</v>
      </c>
      <c r="E2155" t="str">
        <f>VLOOKUP(B2155,'PROCV GERENTES BD'!A:B,2,0)</f>
        <v>PRISCILA METZ</v>
      </c>
      <c r="F2155" s="4" t="str">
        <f t="shared" si="198"/>
        <v>2025-05</v>
      </c>
      <c r="G2155" s="18">
        <f t="shared" si="199"/>
        <v>18</v>
      </c>
      <c r="H2155" t="str">
        <f t="shared" si="200"/>
        <v>PRISCILA METZ</v>
      </c>
      <c r="I2155" t="str">
        <f t="shared" si="201"/>
        <v>ESSENZA INDUSTRIA QUIMICA LTDA</v>
      </c>
      <c r="J2155">
        <f t="shared" si="202"/>
        <v>0</v>
      </c>
      <c r="K2155">
        <f t="shared" si="203"/>
        <v>1</v>
      </c>
    </row>
    <row r="2156" spans="1:11" x14ac:dyDescent="0.25">
      <c r="A2156" t="s">
        <v>426</v>
      </c>
      <c r="B2156" t="s">
        <v>177</v>
      </c>
      <c r="C2156" t="s">
        <v>50</v>
      </c>
      <c r="D2156" s="6">
        <v>45780</v>
      </c>
      <c r="E2156" t="str">
        <f>VLOOKUP(B2156,'PROCV GERENTES BD'!A:B,2,0)</f>
        <v>WHELKYA IRIS</v>
      </c>
      <c r="F2156" s="4" t="str">
        <f t="shared" si="198"/>
        <v>2025-05</v>
      </c>
      <c r="G2156" s="18">
        <f t="shared" si="199"/>
        <v>18</v>
      </c>
      <c r="H2156" t="str">
        <f t="shared" si="200"/>
        <v>WHELKYA IRIS</v>
      </c>
      <c r="I2156" t="str">
        <f t="shared" si="201"/>
        <v>JFIX INDUSTRIA QUIMICA LTDA ME</v>
      </c>
      <c r="J2156">
        <f t="shared" si="202"/>
        <v>0</v>
      </c>
      <c r="K2156">
        <f t="shared" si="203"/>
        <v>1</v>
      </c>
    </row>
    <row r="2157" spans="1:11" x14ac:dyDescent="0.25">
      <c r="A2157" t="s">
        <v>62</v>
      </c>
      <c r="B2157" t="s">
        <v>63</v>
      </c>
      <c r="C2157" t="s">
        <v>66</v>
      </c>
      <c r="D2157" s="6">
        <v>45780</v>
      </c>
      <c r="E2157" t="str">
        <f>VLOOKUP(B2157,'PROCV GERENTES BD'!A:B,2,0)</f>
        <v>PROSPECTAR</v>
      </c>
      <c r="F2157" s="4" t="str">
        <f t="shared" si="198"/>
        <v>2025-05</v>
      </c>
      <c r="G2157" s="18">
        <f t="shared" si="199"/>
        <v>18</v>
      </c>
      <c r="H2157" t="str">
        <f t="shared" si="200"/>
        <v>PROSPECTAR</v>
      </c>
      <c r="I2157" t="str">
        <f t="shared" si="201"/>
        <v>MAPP COM IMPORTACAO EXPORTACAO IND PRODUTOS ALIMEN</v>
      </c>
      <c r="J2157">
        <f t="shared" si="202"/>
        <v>1</v>
      </c>
      <c r="K2157">
        <f t="shared" si="203"/>
        <v>0</v>
      </c>
    </row>
    <row r="2158" spans="1:11" x14ac:dyDescent="0.25">
      <c r="A2158" t="s">
        <v>64</v>
      </c>
      <c r="B2158" t="s">
        <v>65</v>
      </c>
      <c r="C2158" t="s">
        <v>53</v>
      </c>
      <c r="D2158" s="6">
        <v>45780</v>
      </c>
      <c r="E2158" t="str">
        <f>VLOOKUP(B2158,'PROCV GERENTES BD'!A:B,2,0)</f>
        <v>ADMINISTRAÇÃO</v>
      </c>
      <c r="F2158" s="4" t="str">
        <f t="shared" si="198"/>
        <v>2025-05</v>
      </c>
      <c r="G2158" s="18">
        <f t="shared" si="199"/>
        <v>18</v>
      </c>
      <c r="H2158" t="str">
        <f t="shared" si="200"/>
        <v>ADMINISTRAÇÃO</v>
      </c>
      <c r="I2158" t="str">
        <f t="shared" si="201"/>
        <v>SOCIAL S/A</v>
      </c>
      <c r="J2158">
        <f t="shared" si="202"/>
        <v>1</v>
      </c>
      <c r="K2158">
        <f t="shared" si="203"/>
        <v>1</v>
      </c>
    </row>
    <row r="2159" spans="1:11" x14ac:dyDescent="0.25">
      <c r="A2159" t="s">
        <v>67</v>
      </c>
      <c r="B2159" t="s">
        <v>68</v>
      </c>
      <c r="C2159" t="s">
        <v>53</v>
      </c>
      <c r="D2159" s="6">
        <v>45780</v>
      </c>
      <c r="E2159" t="str">
        <f>VLOOKUP(B2159,'PROCV GERENTES BD'!A:B,2,0)</f>
        <v xml:space="preserve">ROGERIO </v>
      </c>
      <c r="F2159" s="4" t="str">
        <f t="shared" si="198"/>
        <v>2025-05</v>
      </c>
      <c r="G2159" s="18">
        <f t="shared" si="199"/>
        <v>18</v>
      </c>
      <c r="H2159" t="str">
        <f t="shared" si="200"/>
        <v xml:space="preserve">ROGERIO </v>
      </c>
      <c r="I2159" t="str">
        <f t="shared" si="201"/>
        <v>DIOTTONI INDUSTRIA E COMERCIO DE ALIMENTOS LTDA ME</v>
      </c>
      <c r="J2159">
        <f t="shared" si="202"/>
        <v>1</v>
      </c>
      <c r="K2159">
        <f t="shared" si="203"/>
        <v>1</v>
      </c>
    </row>
    <row r="2160" spans="1:11" x14ac:dyDescent="0.25">
      <c r="A2160" t="s">
        <v>72</v>
      </c>
      <c r="B2160" t="s">
        <v>73</v>
      </c>
      <c r="C2160" t="s">
        <v>66</v>
      </c>
      <c r="D2160" s="6">
        <v>45780</v>
      </c>
      <c r="E2160" t="str">
        <f>VLOOKUP(B2160,'PROCV GERENTES BD'!A:B,2,0)</f>
        <v>NOELI SALETE</v>
      </c>
      <c r="F2160" s="4" t="str">
        <f t="shared" si="198"/>
        <v>2025-05</v>
      </c>
      <c r="G2160" s="18">
        <f t="shared" si="199"/>
        <v>18</v>
      </c>
      <c r="H2160" t="str">
        <f t="shared" si="200"/>
        <v>NOELI SALETE</v>
      </c>
      <c r="I2160" t="str">
        <f t="shared" si="201"/>
        <v>SMARTCENTER SOLUCOES INTELIGENTES LTDA ME</v>
      </c>
      <c r="J2160">
        <f t="shared" si="202"/>
        <v>1</v>
      </c>
      <c r="K2160">
        <f t="shared" si="203"/>
        <v>0</v>
      </c>
    </row>
    <row r="2161" spans="1:11" x14ac:dyDescent="0.25">
      <c r="A2161" t="s">
        <v>74</v>
      </c>
      <c r="B2161" t="s">
        <v>75</v>
      </c>
      <c r="C2161" t="s">
        <v>50</v>
      </c>
      <c r="D2161" s="6">
        <v>45780</v>
      </c>
      <c r="E2161" t="str">
        <f>VLOOKUP(B2161,'PROCV GERENTES BD'!A:B,2,0)</f>
        <v>CAIO</v>
      </c>
      <c r="F2161" s="4" t="str">
        <f t="shared" si="198"/>
        <v>2025-05</v>
      </c>
      <c r="G2161" s="18">
        <f t="shared" si="199"/>
        <v>18</v>
      </c>
      <c r="H2161" t="str">
        <f t="shared" si="200"/>
        <v>CAIO</v>
      </c>
      <c r="I2161" t="str">
        <f t="shared" si="201"/>
        <v>TP DISTRIBUIDORA DE PECAS LTDA EPP</v>
      </c>
      <c r="J2161">
        <f t="shared" si="202"/>
        <v>0</v>
      </c>
      <c r="K2161">
        <f t="shared" si="203"/>
        <v>1</v>
      </c>
    </row>
    <row r="2162" spans="1:11" x14ac:dyDescent="0.25">
      <c r="A2162" t="s">
        <v>315</v>
      </c>
      <c r="B2162" t="s">
        <v>270</v>
      </c>
      <c r="C2162" t="s">
        <v>66</v>
      </c>
      <c r="D2162" s="6">
        <v>45780</v>
      </c>
      <c r="E2162" t="str">
        <f>VLOOKUP(B2162,'PROCV GERENTES BD'!A:B,2,0)</f>
        <v>SEM GERENTE</v>
      </c>
      <c r="F2162" s="4" t="str">
        <f t="shared" si="198"/>
        <v>2025-05</v>
      </c>
      <c r="G2162" s="18">
        <f t="shared" si="199"/>
        <v>18</v>
      </c>
      <c r="H2162" t="str">
        <f t="shared" si="200"/>
        <v>SEM GERENTE</v>
      </c>
      <c r="I2162" t="str">
        <f t="shared" si="201"/>
        <v>FAC INDUSTRIA E SERVICOS LTDA ME</v>
      </c>
      <c r="J2162">
        <f t="shared" si="202"/>
        <v>1</v>
      </c>
      <c r="K2162">
        <f t="shared" si="203"/>
        <v>0</v>
      </c>
    </row>
    <row r="2163" spans="1:11" x14ac:dyDescent="0.25">
      <c r="A2163" t="s">
        <v>314</v>
      </c>
      <c r="B2163" t="s">
        <v>246</v>
      </c>
      <c r="C2163" t="s">
        <v>66</v>
      </c>
      <c r="D2163" s="6">
        <v>45780</v>
      </c>
      <c r="E2163" t="str">
        <f>VLOOKUP(B2163,'PROCV GERENTES BD'!A:B,2,0)</f>
        <v xml:space="preserve">ROGERIO </v>
      </c>
      <c r="F2163" s="4" t="str">
        <f t="shared" si="198"/>
        <v>2025-05</v>
      </c>
      <c r="G2163" s="18">
        <f t="shared" si="199"/>
        <v>18</v>
      </c>
      <c r="H2163" t="str">
        <f t="shared" si="200"/>
        <v xml:space="preserve">ROGERIO </v>
      </c>
      <c r="I2163" t="str">
        <f t="shared" si="201"/>
        <v>MUTCD CENTRO DE DISTRIBUICAO DE IND FABRICANTE DE</v>
      </c>
      <c r="J2163">
        <f t="shared" si="202"/>
        <v>1</v>
      </c>
      <c r="K2163">
        <f t="shared" si="203"/>
        <v>0</v>
      </c>
    </row>
    <row r="2164" spans="1:11" x14ac:dyDescent="0.25">
      <c r="A2164" t="s">
        <v>498</v>
      </c>
      <c r="B2164" t="s">
        <v>256</v>
      </c>
      <c r="C2164" t="s">
        <v>53</v>
      </c>
      <c r="D2164" s="6">
        <v>45780</v>
      </c>
      <c r="E2164" t="str">
        <f>VLOOKUP(B2164,'PROCV GERENTES BD'!A:B,2,0)</f>
        <v>CELIO PIMENTA</v>
      </c>
      <c r="F2164" s="4" t="str">
        <f t="shared" si="198"/>
        <v>2025-05</v>
      </c>
      <c r="G2164" s="18">
        <f t="shared" si="199"/>
        <v>18</v>
      </c>
      <c r="H2164" t="str">
        <f t="shared" si="200"/>
        <v>CELIO PIMENTA</v>
      </c>
      <c r="I2164" t="str">
        <f t="shared" si="201"/>
        <v>SEU TRATOR LTDA EPP</v>
      </c>
      <c r="J2164">
        <f t="shared" si="202"/>
        <v>1</v>
      </c>
      <c r="K2164">
        <f t="shared" si="203"/>
        <v>1</v>
      </c>
    </row>
    <row r="2165" spans="1:11" x14ac:dyDescent="0.25">
      <c r="A2165" t="s">
        <v>463</v>
      </c>
      <c r="B2165" t="s">
        <v>220</v>
      </c>
      <c r="C2165" t="s">
        <v>50</v>
      </c>
      <c r="D2165" s="6">
        <v>45780</v>
      </c>
      <c r="E2165" t="str">
        <f>VLOOKUP(B2165,'PROCV GERENTES BD'!A:B,2,0)</f>
        <v>ADMINISTRAÇÃO</v>
      </c>
      <c r="F2165" s="4" t="str">
        <f t="shared" si="198"/>
        <v>2025-05</v>
      </c>
      <c r="G2165" s="18">
        <f t="shared" si="199"/>
        <v>18</v>
      </c>
      <c r="H2165" t="str">
        <f t="shared" si="200"/>
        <v>ADMINISTRAÇÃO</v>
      </c>
      <c r="I2165" t="str">
        <f t="shared" si="201"/>
        <v>A C ESPORTES S A F</v>
      </c>
      <c r="J2165">
        <f t="shared" si="202"/>
        <v>0</v>
      </c>
      <c r="K2165">
        <f t="shared" si="203"/>
        <v>1</v>
      </c>
    </row>
    <row r="2166" spans="1:11" x14ac:dyDescent="0.25">
      <c r="A2166" t="s">
        <v>447</v>
      </c>
      <c r="B2166" t="s">
        <v>200</v>
      </c>
      <c r="C2166" t="s">
        <v>66</v>
      </c>
      <c r="D2166" s="6">
        <v>45780</v>
      </c>
      <c r="E2166" t="str">
        <f>VLOOKUP(B2166,'PROCV GERENTES BD'!A:B,2,0)</f>
        <v xml:space="preserve">ROGERIO </v>
      </c>
      <c r="F2166" s="4" t="str">
        <f t="shared" si="198"/>
        <v>2025-05</v>
      </c>
      <c r="G2166" s="18">
        <f t="shared" si="199"/>
        <v>18</v>
      </c>
      <c r="H2166" t="str">
        <f t="shared" si="200"/>
        <v xml:space="preserve">ROGERIO </v>
      </c>
      <c r="I2166" t="str">
        <f t="shared" si="201"/>
        <v>ORTHOSIDE INDUSTRIA E COMERCIO LTDA EPP</v>
      </c>
      <c r="J2166">
        <f t="shared" si="202"/>
        <v>1</v>
      </c>
      <c r="K2166">
        <f t="shared" si="203"/>
        <v>0</v>
      </c>
    </row>
    <row r="2167" spans="1:11" x14ac:dyDescent="0.25">
      <c r="A2167" t="s">
        <v>375</v>
      </c>
      <c r="B2167" t="s">
        <v>120</v>
      </c>
      <c r="C2167" t="s">
        <v>66</v>
      </c>
      <c r="D2167" s="6">
        <v>45782</v>
      </c>
      <c r="E2167" t="str">
        <f>VLOOKUP(B2167,'PROCV GERENTES BD'!A:B,2,0)</f>
        <v>ADMINISTRAÇÃO</v>
      </c>
      <c r="F2167" s="4" t="str">
        <f t="shared" si="198"/>
        <v>2025-05</v>
      </c>
      <c r="G2167" s="18">
        <f t="shared" si="199"/>
        <v>19</v>
      </c>
      <c r="H2167" t="str">
        <f t="shared" si="200"/>
        <v>ADMINISTRAÇÃO</v>
      </c>
      <c r="I2167" t="str">
        <f t="shared" si="201"/>
        <v>FARINELLI NUTRIMENTOS LTDA</v>
      </c>
      <c r="J2167">
        <f t="shared" si="202"/>
        <v>1</v>
      </c>
      <c r="K2167">
        <f t="shared" si="203"/>
        <v>0</v>
      </c>
    </row>
    <row r="2168" spans="1:11" x14ac:dyDescent="0.25">
      <c r="A2168" t="s">
        <v>415</v>
      </c>
      <c r="B2168" t="s">
        <v>165</v>
      </c>
      <c r="C2168" t="s">
        <v>66</v>
      </c>
      <c r="D2168" s="6">
        <v>45782</v>
      </c>
      <c r="E2168" t="str">
        <f>VLOOKUP(B2168,'PROCV GERENTES BD'!A:B,2,0)</f>
        <v>PROSPECTAR</v>
      </c>
      <c r="F2168" s="4" t="str">
        <f t="shared" si="198"/>
        <v>2025-05</v>
      </c>
      <c r="G2168" s="18">
        <f t="shared" si="199"/>
        <v>19</v>
      </c>
      <c r="H2168" t="str">
        <f t="shared" si="200"/>
        <v>PROSPECTAR</v>
      </c>
      <c r="I2168" t="str">
        <f t="shared" si="201"/>
        <v>STA SERVICOS LTDA</v>
      </c>
      <c r="J2168">
        <f t="shared" si="202"/>
        <v>1</v>
      </c>
      <c r="K2168">
        <f t="shared" si="203"/>
        <v>0</v>
      </c>
    </row>
    <row r="2169" spans="1:11" x14ac:dyDescent="0.25">
      <c r="A2169" t="s">
        <v>482</v>
      </c>
      <c r="B2169" t="s">
        <v>239</v>
      </c>
      <c r="C2169" t="s">
        <v>66</v>
      </c>
      <c r="D2169" s="6">
        <v>45782</v>
      </c>
      <c r="E2169" t="str">
        <f>VLOOKUP(B2169,'PROCV GERENTES BD'!A:B,2,0)</f>
        <v>RAFAEL PARISE</v>
      </c>
      <c r="F2169" s="4" t="str">
        <f t="shared" si="198"/>
        <v>2025-05</v>
      </c>
      <c r="G2169" s="18">
        <f t="shared" si="199"/>
        <v>19</v>
      </c>
      <c r="H2169" t="str">
        <f t="shared" si="200"/>
        <v>RAFAEL PARISE</v>
      </c>
      <c r="I2169" t="str">
        <f t="shared" si="201"/>
        <v>RENOVAR AGRICOLA LTDA</v>
      </c>
      <c r="J2169">
        <f t="shared" si="202"/>
        <v>1</v>
      </c>
      <c r="K2169">
        <f t="shared" si="203"/>
        <v>0</v>
      </c>
    </row>
    <row r="2170" spans="1:11" x14ac:dyDescent="0.25">
      <c r="A2170" t="s">
        <v>324</v>
      </c>
      <c r="B2170" t="s">
        <v>119</v>
      </c>
      <c r="C2170" t="s">
        <v>66</v>
      </c>
      <c r="D2170" s="6">
        <v>45782</v>
      </c>
      <c r="E2170" t="str">
        <f>VLOOKUP(B2170,'PROCV GERENTES BD'!A:B,2,0)</f>
        <v>PROSPECTAR</v>
      </c>
      <c r="F2170" s="4" t="str">
        <f t="shared" si="198"/>
        <v>2025-05</v>
      </c>
      <c r="G2170" s="18">
        <f t="shared" si="199"/>
        <v>19</v>
      </c>
      <c r="H2170" t="str">
        <f t="shared" si="200"/>
        <v>PROSPECTAR</v>
      </c>
      <c r="I2170" t="str">
        <f t="shared" si="201"/>
        <v>TRANSHENRY TRANSPORTES LTDA</v>
      </c>
      <c r="J2170">
        <f t="shared" si="202"/>
        <v>1</v>
      </c>
      <c r="K2170">
        <f t="shared" si="203"/>
        <v>0</v>
      </c>
    </row>
    <row r="2171" spans="1:11" x14ac:dyDescent="0.25">
      <c r="A2171" t="s">
        <v>323</v>
      </c>
      <c r="B2171" t="s">
        <v>109</v>
      </c>
      <c r="C2171" t="s">
        <v>66</v>
      </c>
      <c r="D2171" s="6">
        <v>45782</v>
      </c>
      <c r="E2171" t="str">
        <f>VLOOKUP(B2171,'PROCV GERENTES BD'!A:B,2,0)</f>
        <v>PROSPECTAR</v>
      </c>
      <c r="F2171" s="4" t="str">
        <f t="shared" si="198"/>
        <v>2025-05</v>
      </c>
      <c r="G2171" s="18">
        <f t="shared" si="199"/>
        <v>19</v>
      </c>
      <c r="H2171" t="str">
        <f t="shared" si="200"/>
        <v>PROSPECTAR</v>
      </c>
      <c r="I2171" t="str">
        <f t="shared" si="201"/>
        <v>SIAP COMERCIO DE PRODUTOS AGROPECUARIOS LTDA</v>
      </c>
      <c r="J2171">
        <f t="shared" si="202"/>
        <v>1</v>
      </c>
      <c r="K2171">
        <f t="shared" si="203"/>
        <v>0</v>
      </c>
    </row>
    <row r="2172" spans="1:11" x14ac:dyDescent="0.25">
      <c r="A2172" t="s">
        <v>54</v>
      </c>
      <c r="B2172" t="s">
        <v>55</v>
      </c>
      <c r="C2172" t="s">
        <v>50</v>
      </c>
      <c r="D2172" s="6">
        <v>45782</v>
      </c>
      <c r="E2172" t="str">
        <f>VLOOKUP(B2172,'PROCV GERENTES BD'!A:B,2,0)</f>
        <v>CELIO PIMENTA</v>
      </c>
      <c r="F2172" s="4" t="str">
        <f t="shared" si="198"/>
        <v>2025-05</v>
      </c>
      <c r="G2172" s="18">
        <f t="shared" si="199"/>
        <v>19</v>
      </c>
      <c r="H2172" t="str">
        <f t="shared" si="200"/>
        <v>CELIO PIMENTA</v>
      </c>
      <c r="I2172" t="str">
        <f t="shared" si="201"/>
        <v>WJ CALDEIRARIA INDUSTRIA E COMERCIO LTDA ME</v>
      </c>
      <c r="J2172">
        <f t="shared" si="202"/>
        <v>0</v>
      </c>
      <c r="K2172">
        <f t="shared" si="203"/>
        <v>1</v>
      </c>
    </row>
    <row r="2173" spans="1:11" x14ac:dyDescent="0.25">
      <c r="A2173" t="s">
        <v>506</v>
      </c>
      <c r="B2173" t="s">
        <v>268</v>
      </c>
      <c r="C2173" t="s">
        <v>66</v>
      </c>
      <c r="D2173" s="6">
        <v>45782</v>
      </c>
      <c r="E2173" t="str">
        <f>VLOOKUP(B2173,'PROCV GERENTES BD'!A:B,2,0)</f>
        <v>CAIO</v>
      </c>
      <c r="F2173" s="4" t="str">
        <f t="shared" si="198"/>
        <v>2025-05</v>
      </c>
      <c r="G2173" s="18">
        <f t="shared" si="199"/>
        <v>19</v>
      </c>
      <c r="H2173" t="str">
        <f t="shared" si="200"/>
        <v>CAIO</v>
      </c>
      <c r="I2173" t="str">
        <f t="shared" si="201"/>
        <v>BEECORP BEM ESTAR CORPORATIVO LTDA ME</v>
      </c>
      <c r="J2173">
        <f t="shared" si="202"/>
        <v>1</v>
      </c>
      <c r="K2173">
        <f t="shared" si="203"/>
        <v>0</v>
      </c>
    </row>
    <row r="2174" spans="1:11" x14ac:dyDescent="0.25">
      <c r="A2174" t="s">
        <v>56</v>
      </c>
      <c r="B2174" t="s">
        <v>57</v>
      </c>
      <c r="C2174" t="s">
        <v>66</v>
      </c>
      <c r="D2174" s="6">
        <v>45782</v>
      </c>
      <c r="E2174" t="str">
        <f>VLOOKUP(B2174,'PROCV GERENTES BD'!A:B,2,0)</f>
        <v xml:space="preserve">ROGERIO </v>
      </c>
      <c r="F2174" s="4" t="str">
        <f t="shared" si="198"/>
        <v>2025-05</v>
      </c>
      <c r="G2174" s="18">
        <f t="shared" si="199"/>
        <v>19</v>
      </c>
      <c r="H2174" t="str">
        <f t="shared" si="200"/>
        <v xml:space="preserve">ROGERIO </v>
      </c>
      <c r="I2174" t="str">
        <f t="shared" si="201"/>
        <v>RODOVIEIRA TRANSPORTE LTDA</v>
      </c>
      <c r="J2174">
        <f t="shared" si="202"/>
        <v>1</v>
      </c>
      <c r="K2174">
        <f t="shared" si="203"/>
        <v>0</v>
      </c>
    </row>
    <row r="2175" spans="1:11" x14ac:dyDescent="0.25">
      <c r="A2175" t="s">
        <v>355</v>
      </c>
      <c r="B2175" t="s">
        <v>100</v>
      </c>
      <c r="C2175" t="s">
        <v>66</v>
      </c>
      <c r="D2175" s="6">
        <v>45782</v>
      </c>
      <c r="E2175" t="str">
        <f>VLOOKUP(B2175,'PROCV GERENTES BD'!A:B,2,0)</f>
        <v>ADMINISTRAÇÃO</v>
      </c>
      <c r="F2175" s="4" t="str">
        <f t="shared" si="198"/>
        <v>2025-05</v>
      </c>
      <c r="G2175" s="18">
        <f t="shared" si="199"/>
        <v>19</v>
      </c>
      <c r="H2175" t="str">
        <f t="shared" si="200"/>
        <v>ADMINISTRAÇÃO</v>
      </c>
      <c r="I2175" t="str">
        <f t="shared" si="201"/>
        <v>DECISION DESENVOLVIMENTO DE SISTEMAS LTDA</v>
      </c>
      <c r="J2175">
        <f t="shared" si="202"/>
        <v>1</v>
      </c>
      <c r="K2175">
        <f t="shared" si="203"/>
        <v>0</v>
      </c>
    </row>
    <row r="2176" spans="1:11" x14ac:dyDescent="0.25">
      <c r="A2176" t="s">
        <v>412</v>
      </c>
      <c r="B2176" t="s">
        <v>162</v>
      </c>
      <c r="C2176" t="s">
        <v>50</v>
      </c>
      <c r="D2176" s="6">
        <v>45782</v>
      </c>
      <c r="E2176" t="str">
        <f>VLOOKUP(B2176,'PROCV GERENTES BD'!A:B,2,0)</f>
        <v>PROSPECTAR</v>
      </c>
      <c r="F2176" s="4" t="str">
        <f t="shared" si="198"/>
        <v>2025-05</v>
      </c>
      <c r="G2176" s="18">
        <f t="shared" si="199"/>
        <v>19</v>
      </c>
      <c r="H2176" t="str">
        <f t="shared" si="200"/>
        <v>PROSPECTAR</v>
      </c>
      <c r="I2176" t="str">
        <f t="shared" si="201"/>
        <v>MORIA PRESTACAO DE SERVICOS LTDA ME</v>
      </c>
      <c r="J2176">
        <f t="shared" si="202"/>
        <v>0</v>
      </c>
      <c r="K2176">
        <f t="shared" si="203"/>
        <v>1</v>
      </c>
    </row>
    <row r="2177" spans="1:11" x14ac:dyDescent="0.25">
      <c r="A2177" t="s">
        <v>420</v>
      </c>
      <c r="B2177" t="s">
        <v>170</v>
      </c>
      <c r="C2177" t="s">
        <v>66</v>
      </c>
      <c r="D2177" s="6">
        <v>45782</v>
      </c>
      <c r="E2177" t="str">
        <f>VLOOKUP(B2177,'PROCV GERENTES BD'!A:B,2,0)</f>
        <v>POENATELA</v>
      </c>
      <c r="F2177" s="4" t="str">
        <f t="shared" si="198"/>
        <v>2025-05</v>
      </c>
      <c r="G2177" s="18">
        <f t="shared" si="199"/>
        <v>19</v>
      </c>
      <c r="H2177" t="str">
        <f t="shared" si="200"/>
        <v>POENATELA</v>
      </c>
      <c r="I2177" t="str">
        <f t="shared" si="201"/>
        <v>SAVIXX COMERCIO INTERNACIONAL S/A</v>
      </c>
      <c r="J2177">
        <f t="shared" si="202"/>
        <v>1</v>
      </c>
      <c r="K2177">
        <f t="shared" si="203"/>
        <v>0</v>
      </c>
    </row>
    <row r="2178" spans="1:11" x14ac:dyDescent="0.25">
      <c r="A2178" t="s">
        <v>64</v>
      </c>
      <c r="B2178" t="s">
        <v>65</v>
      </c>
      <c r="C2178" t="s">
        <v>53</v>
      </c>
      <c r="D2178" s="6">
        <v>45782</v>
      </c>
      <c r="E2178" t="str">
        <f>VLOOKUP(B2178,'PROCV GERENTES BD'!A:B,2,0)</f>
        <v>ADMINISTRAÇÃO</v>
      </c>
      <c r="F2178" s="4" t="str">
        <f t="shared" ref="F2178:F2241" si="204">YEAR(D2178)&amp;"-"&amp;TEXT(MONTH(D2178),"00")</f>
        <v>2025-05</v>
      </c>
      <c r="G2178" s="18">
        <f t="shared" ref="G2178:G2241" si="205">WEEKNUM(D2178)</f>
        <v>19</v>
      </c>
      <c r="H2178" t="str">
        <f t="shared" ref="H2178:H2241" si="206">E2178</f>
        <v>ADMINISTRAÇÃO</v>
      </c>
      <c r="I2178" t="str">
        <f t="shared" ref="I2178:I2241" si="207">B2178</f>
        <v>SOCIAL S/A</v>
      </c>
      <c r="J2178">
        <f t="shared" ref="J2178:J2241" si="208">IF(OR(C2178="EXCLUSAO  ANOT.INADIMPLENCIA",C2178="INCL/EXCL ANOT.INADIMPLENCIA"),1,0)</f>
        <v>1</v>
      </c>
      <c r="K2178">
        <f t="shared" ref="K2178:K2241" si="209">IF(OR(C2178="INCLUSAO  ANOT.INADIMPLENCIA",C2178="INCL/EXCL ANOT.INADIMPLENCIA"),1,0)</f>
        <v>1</v>
      </c>
    </row>
    <row r="2179" spans="1:11" x14ac:dyDescent="0.25">
      <c r="A2179" t="s">
        <v>508</v>
      </c>
      <c r="B2179" t="s">
        <v>271</v>
      </c>
      <c r="C2179" t="s">
        <v>66</v>
      </c>
      <c r="D2179" s="6">
        <v>45782</v>
      </c>
      <c r="E2179" t="str">
        <f>VLOOKUP(B2179,'PROCV GERENTES BD'!A:B,2,0)</f>
        <v>PRISCILA METZ</v>
      </c>
      <c r="F2179" s="4" t="str">
        <f t="shared" si="204"/>
        <v>2025-05</v>
      </c>
      <c r="G2179" s="18">
        <f t="shared" si="205"/>
        <v>19</v>
      </c>
      <c r="H2179" t="str">
        <f t="shared" si="206"/>
        <v>PRISCILA METZ</v>
      </c>
      <c r="I2179" t="str">
        <f t="shared" si="207"/>
        <v>TUBOLARES VITORIA INDUSTRIA E COMERCIO LTDA ME</v>
      </c>
      <c r="J2179">
        <f t="shared" si="208"/>
        <v>1</v>
      </c>
      <c r="K2179">
        <f t="shared" si="209"/>
        <v>0</v>
      </c>
    </row>
    <row r="2180" spans="1:11" x14ac:dyDescent="0.25">
      <c r="A2180" t="s">
        <v>394</v>
      </c>
      <c r="B2180" t="s">
        <v>143</v>
      </c>
      <c r="C2180" t="s">
        <v>66</v>
      </c>
      <c r="D2180" s="6">
        <v>45782</v>
      </c>
      <c r="E2180" t="str">
        <f>VLOOKUP(B2180,'PROCV GERENTES BD'!A:B,2,0)</f>
        <v>NOELI SALETE</v>
      </c>
      <c r="F2180" s="4" t="str">
        <f t="shared" si="204"/>
        <v>2025-05</v>
      </c>
      <c r="G2180" s="18">
        <f t="shared" si="205"/>
        <v>19</v>
      </c>
      <c r="H2180" t="str">
        <f t="shared" si="206"/>
        <v>NOELI SALETE</v>
      </c>
      <c r="I2180" t="str">
        <f t="shared" si="207"/>
        <v>ALBERTO H DA SILVA ME</v>
      </c>
      <c r="J2180">
        <f t="shared" si="208"/>
        <v>1</v>
      </c>
      <c r="K2180">
        <f t="shared" si="209"/>
        <v>0</v>
      </c>
    </row>
    <row r="2181" spans="1:11" x14ac:dyDescent="0.25">
      <c r="A2181" t="s">
        <v>457</v>
      </c>
      <c r="B2181" t="s">
        <v>214</v>
      </c>
      <c r="C2181" t="s">
        <v>66</v>
      </c>
      <c r="D2181" s="6">
        <v>45782</v>
      </c>
      <c r="E2181" t="str">
        <f>VLOOKUP(B2181,'PROCV GERENTES BD'!A:B,2,0)</f>
        <v xml:space="preserve">ROGERIO </v>
      </c>
      <c r="F2181" s="4" t="str">
        <f t="shared" si="204"/>
        <v>2025-05</v>
      </c>
      <c r="G2181" s="18">
        <f t="shared" si="205"/>
        <v>19</v>
      </c>
      <c r="H2181" t="str">
        <f t="shared" si="206"/>
        <v xml:space="preserve">ROGERIO </v>
      </c>
      <c r="I2181" t="str">
        <f t="shared" si="207"/>
        <v>METAL STAMP INDUSTRIA E COMERCIO LTDA</v>
      </c>
      <c r="J2181">
        <f t="shared" si="208"/>
        <v>1</v>
      </c>
      <c r="K2181">
        <f t="shared" si="209"/>
        <v>0</v>
      </c>
    </row>
    <row r="2182" spans="1:11" x14ac:dyDescent="0.25">
      <c r="A2182" t="s">
        <v>407</v>
      </c>
      <c r="B2182" t="s">
        <v>157</v>
      </c>
      <c r="C2182" t="s">
        <v>66</v>
      </c>
      <c r="D2182" s="6">
        <v>45782</v>
      </c>
      <c r="E2182" t="str">
        <f>VLOOKUP(B2182,'PROCV GERENTES BD'!A:B,2,0)</f>
        <v>NOELI SALETE</v>
      </c>
      <c r="F2182" s="4" t="str">
        <f t="shared" si="204"/>
        <v>2025-05</v>
      </c>
      <c r="G2182" s="18">
        <f t="shared" si="205"/>
        <v>19</v>
      </c>
      <c r="H2182" t="str">
        <f t="shared" si="206"/>
        <v>NOELI SALETE</v>
      </c>
      <c r="I2182" t="str">
        <f t="shared" si="207"/>
        <v>SGAMAQ INOVACAO AGROINDUSTRIAL LTDA</v>
      </c>
      <c r="J2182">
        <f t="shared" si="208"/>
        <v>1</v>
      </c>
      <c r="K2182">
        <f t="shared" si="209"/>
        <v>0</v>
      </c>
    </row>
    <row r="2183" spans="1:11" x14ac:dyDescent="0.25">
      <c r="A2183" t="s">
        <v>375</v>
      </c>
      <c r="B2183" t="s">
        <v>120</v>
      </c>
      <c r="C2183" t="s">
        <v>66</v>
      </c>
      <c r="D2183" s="6">
        <v>45783</v>
      </c>
      <c r="E2183" t="str">
        <f>VLOOKUP(B2183,'PROCV GERENTES BD'!A:B,2,0)</f>
        <v>ADMINISTRAÇÃO</v>
      </c>
      <c r="F2183" s="4" t="str">
        <f t="shared" si="204"/>
        <v>2025-05</v>
      </c>
      <c r="G2183" s="18">
        <f t="shared" si="205"/>
        <v>19</v>
      </c>
      <c r="H2183" t="str">
        <f t="shared" si="206"/>
        <v>ADMINISTRAÇÃO</v>
      </c>
      <c r="I2183" t="str">
        <f t="shared" si="207"/>
        <v>FARINELLI NUTRIMENTOS LTDA</v>
      </c>
      <c r="J2183">
        <f t="shared" si="208"/>
        <v>1</v>
      </c>
      <c r="K2183">
        <f t="shared" si="209"/>
        <v>0</v>
      </c>
    </row>
    <row r="2184" spans="1:11" x14ac:dyDescent="0.25">
      <c r="A2184" t="s">
        <v>324</v>
      </c>
      <c r="B2184" t="s">
        <v>119</v>
      </c>
      <c r="C2184" t="s">
        <v>53</v>
      </c>
      <c r="D2184" s="6">
        <v>45783</v>
      </c>
      <c r="E2184" t="str">
        <f>VLOOKUP(B2184,'PROCV GERENTES BD'!A:B,2,0)</f>
        <v>PROSPECTAR</v>
      </c>
      <c r="F2184" s="4" t="str">
        <f t="shared" si="204"/>
        <v>2025-05</v>
      </c>
      <c r="G2184" s="18">
        <f t="shared" si="205"/>
        <v>19</v>
      </c>
      <c r="H2184" t="str">
        <f t="shared" si="206"/>
        <v>PROSPECTAR</v>
      </c>
      <c r="I2184" t="str">
        <f t="shared" si="207"/>
        <v>TRANSHENRY TRANSPORTES LTDA</v>
      </c>
      <c r="J2184">
        <f t="shared" si="208"/>
        <v>1</v>
      </c>
      <c r="K2184">
        <f t="shared" si="209"/>
        <v>1</v>
      </c>
    </row>
    <row r="2185" spans="1:11" x14ac:dyDescent="0.25">
      <c r="A2185" t="s">
        <v>51</v>
      </c>
      <c r="B2185" t="s">
        <v>52</v>
      </c>
      <c r="C2185" t="s">
        <v>50</v>
      </c>
      <c r="D2185" s="6">
        <v>45783</v>
      </c>
      <c r="E2185" t="str">
        <f>VLOOKUP(B2185,'PROCV GERENTES BD'!A:B,2,0)</f>
        <v>RAFAEL PARISE</v>
      </c>
      <c r="F2185" s="4" t="str">
        <f t="shared" si="204"/>
        <v>2025-05</v>
      </c>
      <c r="G2185" s="18">
        <f t="shared" si="205"/>
        <v>19</v>
      </c>
      <c r="H2185" t="str">
        <f t="shared" si="206"/>
        <v>RAFAEL PARISE</v>
      </c>
      <c r="I2185" t="str">
        <f t="shared" si="207"/>
        <v>TDR TRANSPORTES LOGISTICA LTDA</v>
      </c>
      <c r="J2185">
        <f t="shared" si="208"/>
        <v>0</v>
      </c>
      <c r="K2185">
        <f t="shared" si="209"/>
        <v>1</v>
      </c>
    </row>
    <row r="2186" spans="1:11" x14ac:dyDescent="0.25">
      <c r="A2186" t="s">
        <v>54</v>
      </c>
      <c r="B2186" t="s">
        <v>55</v>
      </c>
      <c r="C2186" t="s">
        <v>50</v>
      </c>
      <c r="D2186" s="6">
        <v>45783</v>
      </c>
      <c r="E2186" t="str">
        <f>VLOOKUP(B2186,'PROCV GERENTES BD'!A:B,2,0)</f>
        <v>CELIO PIMENTA</v>
      </c>
      <c r="F2186" s="4" t="str">
        <f t="shared" si="204"/>
        <v>2025-05</v>
      </c>
      <c r="G2186" s="18">
        <f t="shared" si="205"/>
        <v>19</v>
      </c>
      <c r="H2186" t="str">
        <f t="shared" si="206"/>
        <v>CELIO PIMENTA</v>
      </c>
      <c r="I2186" t="str">
        <f t="shared" si="207"/>
        <v>WJ CALDEIRARIA INDUSTRIA E COMERCIO LTDA ME</v>
      </c>
      <c r="J2186">
        <f t="shared" si="208"/>
        <v>0</v>
      </c>
      <c r="K2186">
        <f t="shared" si="209"/>
        <v>1</v>
      </c>
    </row>
    <row r="2187" spans="1:11" x14ac:dyDescent="0.25">
      <c r="A2187" t="s">
        <v>358</v>
      </c>
      <c r="B2187" t="s">
        <v>104</v>
      </c>
      <c r="C2187" t="s">
        <v>66</v>
      </c>
      <c r="D2187" s="6">
        <v>45783</v>
      </c>
      <c r="E2187" t="str">
        <f>VLOOKUP(B2187,'PROCV GERENTES BD'!A:B,2,0)</f>
        <v>DIOGO AZEVEDO</v>
      </c>
      <c r="F2187" s="4" t="str">
        <f t="shared" si="204"/>
        <v>2025-05</v>
      </c>
      <c r="G2187" s="18">
        <f t="shared" si="205"/>
        <v>19</v>
      </c>
      <c r="H2187" t="str">
        <f t="shared" si="206"/>
        <v>DIOGO AZEVEDO</v>
      </c>
      <c r="I2187" t="str">
        <f t="shared" si="207"/>
        <v>INDUSTRIA E CERVEJARIA ARTESANAL DE MINAS GERAIS L</v>
      </c>
      <c r="J2187">
        <f t="shared" si="208"/>
        <v>1</v>
      </c>
      <c r="K2187">
        <f t="shared" si="209"/>
        <v>0</v>
      </c>
    </row>
    <row r="2188" spans="1:11" x14ac:dyDescent="0.25">
      <c r="A2188" t="s">
        <v>480</v>
      </c>
      <c r="B2188" t="s">
        <v>237</v>
      </c>
      <c r="C2188" t="s">
        <v>50</v>
      </c>
      <c r="D2188" s="6">
        <v>45783</v>
      </c>
      <c r="E2188" t="str">
        <f>VLOOKUP(B2188,'PROCV GERENTES BD'!A:B,2,0)</f>
        <v>POENATELA</v>
      </c>
      <c r="F2188" s="4" t="str">
        <f t="shared" si="204"/>
        <v>2025-05</v>
      </c>
      <c r="G2188" s="18">
        <f t="shared" si="205"/>
        <v>19</v>
      </c>
      <c r="H2188" t="str">
        <f t="shared" si="206"/>
        <v>POENATELA</v>
      </c>
      <c r="I2188" t="str">
        <f t="shared" si="207"/>
        <v>PARANAIBA FERTILIZANTES IND E COM LTDA EM RECUPERA</v>
      </c>
      <c r="J2188">
        <f t="shared" si="208"/>
        <v>0</v>
      </c>
      <c r="K2188">
        <f t="shared" si="209"/>
        <v>1</v>
      </c>
    </row>
    <row r="2189" spans="1:11" x14ac:dyDescent="0.25">
      <c r="A2189" t="s">
        <v>395</v>
      </c>
      <c r="B2189" t="s">
        <v>145</v>
      </c>
      <c r="C2189" t="s">
        <v>66</v>
      </c>
      <c r="D2189" s="6">
        <v>45783</v>
      </c>
      <c r="E2189" t="str">
        <f>VLOOKUP(B2189,'PROCV GERENTES BD'!A:B,2,0)</f>
        <v>MARCIO LEONEL</v>
      </c>
      <c r="F2189" s="4" t="str">
        <f t="shared" si="204"/>
        <v>2025-05</v>
      </c>
      <c r="G2189" s="18">
        <f t="shared" si="205"/>
        <v>19</v>
      </c>
      <c r="H2189" t="str">
        <f t="shared" si="206"/>
        <v>MARCIO LEONEL</v>
      </c>
      <c r="I2189" t="str">
        <f t="shared" si="207"/>
        <v>MEDICAL PRIME IMP EXPORT DISTRIB PRODUTOS MEDICOS</v>
      </c>
      <c r="J2189">
        <f t="shared" si="208"/>
        <v>1</v>
      </c>
      <c r="K2189">
        <f t="shared" si="209"/>
        <v>0</v>
      </c>
    </row>
    <row r="2190" spans="1:11" x14ac:dyDescent="0.25">
      <c r="A2190" t="s">
        <v>56</v>
      </c>
      <c r="B2190" t="s">
        <v>57</v>
      </c>
      <c r="C2190" t="s">
        <v>66</v>
      </c>
      <c r="D2190" s="6">
        <v>45783</v>
      </c>
      <c r="E2190" t="str">
        <f>VLOOKUP(B2190,'PROCV GERENTES BD'!A:B,2,0)</f>
        <v xml:space="preserve">ROGERIO </v>
      </c>
      <c r="F2190" s="4" t="str">
        <f t="shared" si="204"/>
        <v>2025-05</v>
      </c>
      <c r="G2190" s="18">
        <f t="shared" si="205"/>
        <v>19</v>
      </c>
      <c r="H2190" t="str">
        <f t="shared" si="206"/>
        <v xml:space="preserve">ROGERIO </v>
      </c>
      <c r="I2190" t="str">
        <f t="shared" si="207"/>
        <v>RODOVIEIRA TRANSPORTE LTDA</v>
      </c>
      <c r="J2190">
        <f t="shared" si="208"/>
        <v>1</v>
      </c>
      <c r="K2190">
        <f t="shared" si="209"/>
        <v>0</v>
      </c>
    </row>
    <row r="2191" spans="1:11" x14ac:dyDescent="0.25">
      <c r="A2191" t="s">
        <v>318</v>
      </c>
      <c r="B2191" t="s">
        <v>203</v>
      </c>
      <c r="C2191" t="s">
        <v>53</v>
      </c>
      <c r="D2191" s="6">
        <v>45783</v>
      </c>
      <c r="E2191" t="str">
        <f>VLOOKUP(B2191,'PROCV GERENTES BD'!A:B,2,0)</f>
        <v>JOSE ROBERTO</v>
      </c>
      <c r="F2191" s="4" t="str">
        <f t="shared" si="204"/>
        <v>2025-05</v>
      </c>
      <c r="G2191" s="18">
        <f t="shared" si="205"/>
        <v>19</v>
      </c>
      <c r="H2191" t="str">
        <f t="shared" si="206"/>
        <v>JOSE ROBERTO</v>
      </c>
      <c r="I2191" t="str">
        <f t="shared" si="207"/>
        <v>FUNDACAO DE ENSINO E PESQUISA DO SUL DE MINAS FEPE</v>
      </c>
      <c r="J2191">
        <f t="shared" si="208"/>
        <v>1</v>
      </c>
      <c r="K2191">
        <f t="shared" si="209"/>
        <v>1</v>
      </c>
    </row>
    <row r="2192" spans="1:11" x14ac:dyDescent="0.25">
      <c r="A2192" t="s">
        <v>412</v>
      </c>
      <c r="B2192" t="s">
        <v>162</v>
      </c>
      <c r="C2192" t="s">
        <v>50</v>
      </c>
      <c r="D2192" s="6">
        <v>45783</v>
      </c>
      <c r="E2192" t="str">
        <f>VLOOKUP(B2192,'PROCV GERENTES BD'!A:B,2,0)</f>
        <v>PROSPECTAR</v>
      </c>
      <c r="F2192" s="4" t="str">
        <f t="shared" si="204"/>
        <v>2025-05</v>
      </c>
      <c r="G2192" s="18">
        <f t="shared" si="205"/>
        <v>19</v>
      </c>
      <c r="H2192" t="str">
        <f t="shared" si="206"/>
        <v>PROSPECTAR</v>
      </c>
      <c r="I2192" t="str">
        <f t="shared" si="207"/>
        <v>MORIA PRESTACAO DE SERVICOS LTDA ME</v>
      </c>
      <c r="J2192">
        <f t="shared" si="208"/>
        <v>0</v>
      </c>
      <c r="K2192">
        <f t="shared" si="209"/>
        <v>1</v>
      </c>
    </row>
    <row r="2193" spans="1:11" x14ac:dyDescent="0.25">
      <c r="A2193" t="s">
        <v>62</v>
      </c>
      <c r="B2193" t="s">
        <v>63</v>
      </c>
      <c r="C2193" t="s">
        <v>50</v>
      </c>
      <c r="D2193" s="6">
        <v>45783</v>
      </c>
      <c r="E2193" t="str">
        <f>VLOOKUP(B2193,'PROCV GERENTES BD'!A:B,2,0)</f>
        <v>PROSPECTAR</v>
      </c>
      <c r="F2193" s="4" t="str">
        <f t="shared" si="204"/>
        <v>2025-05</v>
      </c>
      <c r="G2193" s="18">
        <f t="shared" si="205"/>
        <v>19</v>
      </c>
      <c r="H2193" t="str">
        <f t="shared" si="206"/>
        <v>PROSPECTAR</v>
      </c>
      <c r="I2193" t="str">
        <f t="shared" si="207"/>
        <v>MAPP COM IMPORTACAO EXPORTACAO IND PRODUTOS ALIMEN</v>
      </c>
      <c r="J2193">
        <f t="shared" si="208"/>
        <v>0</v>
      </c>
      <c r="K2193">
        <f t="shared" si="209"/>
        <v>1</v>
      </c>
    </row>
    <row r="2194" spans="1:11" x14ac:dyDescent="0.25">
      <c r="A2194" t="s">
        <v>64</v>
      </c>
      <c r="B2194" t="s">
        <v>65</v>
      </c>
      <c r="C2194" t="s">
        <v>53</v>
      </c>
      <c r="D2194" s="6">
        <v>45783</v>
      </c>
      <c r="E2194" t="str">
        <f>VLOOKUP(B2194,'PROCV GERENTES BD'!A:B,2,0)</f>
        <v>ADMINISTRAÇÃO</v>
      </c>
      <c r="F2194" s="4" t="str">
        <f t="shared" si="204"/>
        <v>2025-05</v>
      </c>
      <c r="G2194" s="18">
        <f t="shared" si="205"/>
        <v>19</v>
      </c>
      <c r="H2194" t="str">
        <f t="shared" si="206"/>
        <v>ADMINISTRAÇÃO</v>
      </c>
      <c r="I2194" t="str">
        <f t="shared" si="207"/>
        <v>SOCIAL S/A</v>
      </c>
      <c r="J2194">
        <f t="shared" si="208"/>
        <v>1</v>
      </c>
      <c r="K2194">
        <f t="shared" si="209"/>
        <v>1</v>
      </c>
    </row>
    <row r="2195" spans="1:11" x14ac:dyDescent="0.25">
      <c r="A2195" t="s">
        <v>428</v>
      </c>
      <c r="B2195" t="s">
        <v>179</v>
      </c>
      <c r="C2195" t="s">
        <v>50</v>
      </c>
      <c r="D2195" s="6">
        <v>45783</v>
      </c>
      <c r="E2195" t="str">
        <f>VLOOKUP(B2195,'PROCV GERENTES BD'!A:B,2,0)</f>
        <v xml:space="preserve">MARCUS VINICIUS </v>
      </c>
      <c r="F2195" s="4" t="str">
        <f t="shared" si="204"/>
        <v>2025-05</v>
      </c>
      <c r="G2195" s="18">
        <f t="shared" si="205"/>
        <v>19</v>
      </c>
      <c r="H2195" t="str">
        <f t="shared" si="206"/>
        <v xml:space="preserve">MARCUS VINICIUS </v>
      </c>
      <c r="I2195" t="str">
        <f t="shared" si="207"/>
        <v>LABOR ELETRIC INDUSTRIA E COMERCIO UNIPESSOAL LTDA</v>
      </c>
      <c r="J2195">
        <f t="shared" si="208"/>
        <v>0</v>
      </c>
      <c r="K2195">
        <f t="shared" si="209"/>
        <v>1</v>
      </c>
    </row>
    <row r="2196" spans="1:11" x14ac:dyDescent="0.25">
      <c r="A2196" t="s">
        <v>72</v>
      </c>
      <c r="B2196" t="s">
        <v>73</v>
      </c>
      <c r="C2196" t="s">
        <v>50</v>
      </c>
      <c r="D2196" s="6">
        <v>45783</v>
      </c>
      <c r="E2196" t="str">
        <f>VLOOKUP(B2196,'PROCV GERENTES BD'!A:B,2,0)</f>
        <v>NOELI SALETE</v>
      </c>
      <c r="F2196" s="4" t="str">
        <f t="shared" si="204"/>
        <v>2025-05</v>
      </c>
      <c r="G2196" s="18">
        <f t="shared" si="205"/>
        <v>19</v>
      </c>
      <c r="H2196" t="str">
        <f t="shared" si="206"/>
        <v>NOELI SALETE</v>
      </c>
      <c r="I2196" t="str">
        <f t="shared" si="207"/>
        <v>SMARTCENTER SOLUCOES INTELIGENTES LTDA ME</v>
      </c>
      <c r="J2196">
        <f t="shared" si="208"/>
        <v>0</v>
      </c>
      <c r="K2196">
        <f t="shared" si="209"/>
        <v>1</v>
      </c>
    </row>
    <row r="2197" spans="1:11" x14ac:dyDescent="0.25">
      <c r="A2197" t="s">
        <v>370</v>
      </c>
      <c r="B2197" t="s">
        <v>114</v>
      </c>
      <c r="C2197" t="s">
        <v>50</v>
      </c>
      <c r="D2197" s="6">
        <v>45783</v>
      </c>
      <c r="E2197" t="str">
        <f>VLOOKUP(B2197,'PROCV GERENTES BD'!A:B,2,0)</f>
        <v>POENATELA</v>
      </c>
      <c r="F2197" s="4" t="str">
        <f t="shared" si="204"/>
        <v>2025-05</v>
      </c>
      <c r="G2197" s="18">
        <f t="shared" si="205"/>
        <v>19</v>
      </c>
      <c r="H2197" t="str">
        <f t="shared" si="206"/>
        <v>POENATELA</v>
      </c>
      <c r="I2197" t="str">
        <f t="shared" si="207"/>
        <v>COOPERATIVA TRANSP AUTON CARGAS PASSAG SERVICOS LO</v>
      </c>
      <c r="J2197">
        <f t="shared" si="208"/>
        <v>0</v>
      </c>
      <c r="K2197">
        <f t="shared" si="209"/>
        <v>1</v>
      </c>
    </row>
    <row r="2198" spans="1:11" x14ac:dyDescent="0.25">
      <c r="A2198" t="s">
        <v>314</v>
      </c>
      <c r="B2198" t="s">
        <v>246</v>
      </c>
      <c r="C2198" t="s">
        <v>50</v>
      </c>
      <c r="D2198" s="6">
        <v>45783</v>
      </c>
      <c r="E2198" t="str">
        <f>VLOOKUP(B2198,'PROCV GERENTES BD'!A:B,2,0)</f>
        <v xml:space="preserve">ROGERIO </v>
      </c>
      <c r="F2198" s="4" t="str">
        <f t="shared" si="204"/>
        <v>2025-05</v>
      </c>
      <c r="G2198" s="18">
        <f t="shared" si="205"/>
        <v>19</v>
      </c>
      <c r="H2198" t="str">
        <f t="shared" si="206"/>
        <v xml:space="preserve">ROGERIO </v>
      </c>
      <c r="I2198" t="str">
        <f t="shared" si="207"/>
        <v>MUTCD CENTRO DE DISTRIBUICAO DE IND FABRICANTE DE</v>
      </c>
      <c r="J2198">
        <f t="shared" si="208"/>
        <v>0</v>
      </c>
      <c r="K2198">
        <f t="shared" si="209"/>
        <v>1</v>
      </c>
    </row>
    <row r="2199" spans="1:11" x14ac:dyDescent="0.25">
      <c r="A2199" t="s">
        <v>486</v>
      </c>
      <c r="B2199" t="s">
        <v>243</v>
      </c>
      <c r="C2199" t="s">
        <v>50</v>
      </c>
      <c r="D2199" s="6">
        <v>45783</v>
      </c>
      <c r="E2199" t="str">
        <f>VLOOKUP(B2199,'PROCV GERENTES BD'!A:B,2,0)</f>
        <v>NOELI SALETE</v>
      </c>
      <c r="F2199" s="4" t="str">
        <f t="shared" si="204"/>
        <v>2025-05</v>
      </c>
      <c r="G2199" s="18">
        <f t="shared" si="205"/>
        <v>19</v>
      </c>
      <c r="H2199" t="str">
        <f t="shared" si="206"/>
        <v>NOELI SALETE</v>
      </c>
      <c r="I2199" t="str">
        <f t="shared" si="207"/>
        <v>SMARTCENTERGROUP COMERCIO DE EQUIPAMENTOS DE INFOR</v>
      </c>
      <c r="J2199">
        <f t="shared" si="208"/>
        <v>0</v>
      </c>
      <c r="K2199">
        <f t="shared" si="209"/>
        <v>1</v>
      </c>
    </row>
    <row r="2200" spans="1:11" x14ac:dyDescent="0.25">
      <c r="A2200" t="s">
        <v>325</v>
      </c>
      <c r="B2200" t="s">
        <v>138</v>
      </c>
      <c r="C2200" t="s">
        <v>50</v>
      </c>
      <c r="D2200" s="6">
        <v>45783</v>
      </c>
      <c r="E2200" t="str">
        <f>VLOOKUP(B2200,'PROCV GERENTES BD'!A:B,2,0)</f>
        <v>SACADO</v>
      </c>
      <c r="F2200" s="4" t="str">
        <f t="shared" si="204"/>
        <v>2025-05</v>
      </c>
      <c r="G2200" s="18">
        <f t="shared" si="205"/>
        <v>19</v>
      </c>
      <c r="H2200" t="str">
        <f t="shared" si="206"/>
        <v>SACADO</v>
      </c>
      <c r="I2200" t="str">
        <f t="shared" si="207"/>
        <v>ALLIAGE S A INDUSTRIAS MEDICO ODONTOLOGICA</v>
      </c>
      <c r="J2200">
        <f t="shared" si="208"/>
        <v>0</v>
      </c>
      <c r="K2200">
        <f t="shared" si="209"/>
        <v>1</v>
      </c>
    </row>
    <row r="2201" spans="1:11" x14ac:dyDescent="0.25">
      <c r="A2201" t="s">
        <v>509</v>
      </c>
      <c r="B2201" t="s">
        <v>272</v>
      </c>
      <c r="C2201" t="s">
        <v>50</v>
      </c>
      <c r="D2201" s="6">
        <v>45783</v>
      </c>
      <c r="E2201" t="str">
        <f>VLOOKUP(B2201,'PROCV GERENTES BD'!A:B,2,0)</f>
        <v>CELIO PIMENTA</v>
      </c>
      <c r="F2201" s="4" t="str">
        <f t="shared" si="204"/>
        <v>2025-05</v>
      </c>
      <c r="G2201" s="18">
        <f t="shared" si="205"/>
        <v>19</v>
      </c>
      <c r="H2201" t="str">
        <f t="shared" si="206"/>
        <v>CELIO PIMENTA</v>
      </c>
      <c r="I2201" t="str">
        <f t="shared" si="207"/>
        <v>AVIAMENTOS CENTRAL LTDA ME</v>
      </c>
      <c r="J2201">
        <f t="shared" si="208"/>
        <v>0</v>
      </c>
      <c r="K2201">
        <f t="shared" si="209"/>
        <v>1</v>
      </c>
    </row>
    <row r="2202" spans="1:11" x14ac:dyDescent="0.25">
      <c r="A2202" t="s">
        <v>304</v>
      </c>
      <c r="B2202" t="s">
        <v>123</v>
      </c>
      <c r="C2202" t="s">
        <v>50</v>
      </c>
      <c r="D2202" s="6">
        <v>45784</v>
      </c>
      <c r="E2202" t="str">
        <f>VLOOKUP(B2202,'PROCV GERENTES BD'!A:B,2,0)</f>
        <v>ADMINISTRAÇÃO</v>
      </c>
      <c r="F2202" s="4" t="str">
        <f t="shared" si="204"/>
        <v>2025-05</v>
      </c>
      <c r="G2202" s="18">
        <f t="shared" si="205"/>
        <v>19</v>
      </c>
      <c r="H2202" t="str">
        <f t="shared" si="206"/>
        <v>ADMINISTRAÇÃO</v>
      </c>
      <c r="I2202" t="str">
        <f t="shared" si="207"/>
        <v>VIC LOGISTICA LTDA EM RECUPERACAO JUDICIAL</v>
      </c>
      <c r="J2202">
        <f t="shared" si="208"/>
        <v>0</v>
      </c>
      <c r="K2202">
        <f t="shared" si="209"/>
        <v>1</v>
      </c>
    </row>
    <row r="2203" spans="1:11" x14ac:dyDescent="0.25">
      <c r="A2203" t="s">
        <v>324</v>
      </c>
      <c r="B2203" t="s">
        <v>119</v>
      </c>
      <c r="C2203" t="s">
        <v>50</v>
      </c>
      <c r="D2203" s="6">
        <v>45784</v>
      </c>
      <c r="E2203" t="str">
        <f>VLOOKUP(B2203,'PROCV GERENTES BD'!A:B,2,0)</f>
        <v>PROSPECTAR</v>
      </c>
      <c r="F2203" s="4" t="str">
        <f t="shared" si="204"/>
        <v>2025-05</v>
      </c>
      <c r="G2203" s="18">
        <f t="shared" si="205"/>
        <v>19</v>
      </c>
      <c r="H2203" t="str">
        <f t="shared" si="206"/>
        <v>PROSPECTAR</v>
      </c>
      <c r="I2203" t="str">
        <f t="shared" si="207"/>
        <v>TRANSHENRY TRANSPORTES LTDA</v>
      </c>
      <c r="J2203">
        <f t="shared" si="208"/>
        <v>0</v>
      </c>
      <c r="K2203">
        <f t="shared" si="209"/>
        <v>1</v>
      </c>
    </row>
    <row r="2204" spans="1:11" x14ac:dyDescent="0.25">
      <c r="A2204" t="s">
        <v>54</v>
      </c>
      <c r="B2204" t="s">
        <v>55</v>
      </c>
      <c r="C2204" t="s">
        <v>50</v>
      </c>
      <c r="D2204" s="6">
        <v>45784</v>
      </c>
      <c r="E2204" t="str">
        <f>VLOOKUP(B2204,'PROCV GERENTES BD'!A:B,2,0)</f>
        <v>CELIO PIMENTA</v>
      </c>
      <c r="F2204" s="4" t="str">
        <f t="shared" si="204"/>
        <v>2025-05</v>
      </c>
      <c r="G2204" s="18">
        <f t="shared" si="205"/>
        <v>19</v>
      </c>
      <c r="H2204" t="str">
        <f t="shared" si="206"/>
        <v>CELIO PIMENTA</v>
      </c>
      <c r="I2204" t="str">
        <f t="shared" si="207"/>
        <v>WJ CALDEIRARIA INDUSTRIA E COMERCIO LTDA ME</v>
      </c>
      <c r="J2204">
        <f t="shared" si="208"/>
        <v>0</v>
      </c>
      <c r="K2204">
        <f t="shared" si="209"/>
        <v>1</v>
      </c>
    </row>
    <row r="2205" spans="1:11" x14ac:dyDescent="0.25">
      <c r="A2205" t="s">
        <v>331</v>
      </c>
      <c r="B2205" t="s">
        <v>144</v>
      </c>
      <c r="C2205" t="s">
        <v>66</v>
      </c>
      <c r="D2205" s="6">
        <v>45784</v>
      </c>
      <c r="E2205" t="str">
        <f>VLOOKUP(B2205,'PROCV GERENTES BD'!A:B,2,0)</f>
        <v>ADMINISTRAÇÃO</v>
      </c>
      <c r="F2205" s="4" t="str">
        <f t="shared" si="204"/>
        <v>2025-05</v>
      </c>
      <c r="G2205" s="18">
        <f t="shared" si="205"/>
        <v>19</v>
      </c>
      <c r="H2205" t="str">
        <f t="shared" si="206"/>
        <v>ADMINISTRAÇÃO</v>
      </c>
      <c r="I2205" t="str">
        <f t="shared" si="207"/>
        <v>BOM PASTOR PAPEIS LTDA EM RECUPERACAO JUDICIAL</v>
      </c>
      <c r="J2205">
        <f t="shared" si="208"/>
        <v>1</v>
      </c>
      <c r="K2205">
        <f t="shared" si="209"/>
        <v>0</v>
      </c>
    </row>
    <row r="2206" spans="1:11" x14ac:dyDescent="0.25">
      <c r="A2206" t="s">
        <v>480</v>
      </c>
      <c r="B2206" t="s">
        <v>237</v>
      </c>
      <c r="C2206" t="s">
        <v>50</v>
      </c>
      <c r="D2206" s="6">
        <v>45784</v>
      </c>
      <c r="E2206" t="str">
        <f>VLOOKUP(B2206,'PROCV GERENTES BD'!A:B,2,0)</f>
        <v>POENATELA</v>
      </c>
      <c r="F2206" s="4" t="str">
        <f t="shared" si="204"/>
        <v>2025-05</v>
      </c>
      <c r="G2206" s="18">
        <f t="shared" si="205"/>
        <v>19</v>
      </c>
      <c r="H2206" t="str">
        <f t="shared" si="206"/>
        <v>POENATELA</v>
      </c>
      <c r="I2206" t="str">
        <f t="shared" si="207"/>
        <v>PARANAIBA FERTILIZANTES IND E COM LTDA EM RECUPERA</v>
      </c>
      <c r="J2206">
        <f t="shared" si="208"/>
        <v>0</v>
      </c>
      <c r="K2206">
        <f t="shared" si="209"/>
        <v>1</v>
      </c>
    </row>
    <row r="2207" spans="1:11" x14ac:dyDescent="0.25">
      <c r="A2207" t="s">
        <v>319</v>
      </c>
      <c r="B2207" t="s">
        <v>80</v>
      </c>
      <c r="C2207" t="s">
        <v>50</v>
      </c>
      <c r="D2207" s="6">
        <v>45784</v>
      </c>
      <c r="E2207" t="str">
        <f>VLOOKUP(B2207,'PROCV GERENTES BD'!A:B,2,0)</f>
        <v>CELIO PIMENTA</v>
      </c>
      <c r="F2207" s="4" t="str">
        <f t="shared" si="204"/>
        <v>2025-05</v>
      </c>
      <c r="G2207" s="18">
        <f t="shared" si="205"/>
        <v>19</v>
      </c>
      <c r="H2207" t="str">
        <f t="shared" si="206"/>
        <v>CELIO PIMENTA</v>
      </c>
      <c r="I2207" t="str">
        <f t="shared" si="207"/>
        <v>IMPORTEXTIL COMERCIO DE TECIDOS LTDA</v>
      </c>
      <c r="J2207">
        <f t="shared" si="208"/>
        <v>0</v>
      </c>
      <c r="K2207">
        <f t="shared" si="209"/>
        <v>1</v>
      </c>
    </row>
    <row r="2208" spans="1:11" x14ac:dyDescent="0.25">
      <c r="A2208" t="s">
        <v>58</v>
      </c>
      <c r="B2208" t="s">
        <v>59</v>
      </c>
      <c r="C2208" t="s">
        <v>50</v>
      </c>
      <c r="D2208" s="6">
        <v>45784</v>
      </c>
      <c r="E2208" t="str">
        <f>VLOOKUP(B2208,'PROCV GERENTES BD'!A:B,2,0)</f>
        <v>ADMINISTRAÇÃO</v>
      </c>
      <c r="F2208" s="4" t="str">
        <f t="shared" si="204"/>
        <v>2025-05</v>
      </c>
      <c r="G2208" s="18">
        <f t="shared" si="205"/>
        <v>19</v>
      </c>
      <c r="H2208" t="str">
        <f t="shared" si="206"/>
        <v>ADMINISTRAÇÃO</v>
      </c>
      <c r="I2208" t="str">
        <f t="shared" si="207"/>
        <v>BIOTECH LOGISTICA LTDA</v>
      </c>
      <c r="J2208">
        <f t="shared" si="208"/>
        <v>0</v>
      </c>
      <c r="K2208">
        <f t="shared" si="209"/>
        <v>1</v>
      </c>
    </row>
    <row r="2209" spans="1:11" x14ac:dyDescent="0.25">
      <c r="A2209" t="s">
        <v>318</v>
      </c>
      <c r="B2209" t="s">
        <v>203</v>
      </c>
      <c r="C2209" t="s">
        <v>50</v>
      </c>
      <c r="D2209" s="6">
        <v>45784</v>
      </c>
      <c r="E2209" t="str">
        <f>VLOOKUP(B2209,'PROCV GERENTES BD'!A:B,2,0)</f>
        <v>JOSE ROBERTO</v>
      </c>
      <c r="F2209" s="4" t="str">
        <f t="shared" si="204"/>
        <v>2025-05</v>
      </c>
      <c r="G2209" s="18">
        <f t="shared" si="205"/>
        <v>19</v>
      </c>
      <c r="H2209" t="str">
        <f t="shared" si="206"/>
        <v>JOSE ROBERTO</v>
      </c>
      <c r="I2209" t="str">
        <f t="shared" si="207"/>
        <v>FUNDACAO DE ENSINO E PESQUISA DO SUL DE MINAS FEPE</v>
      </c>
      <c r="J2209">
        <f t="shared" si="208"/>
        <v>0</v>
      </c>
      <c r="K2209">
        <f t="shared" si="209"/>
        <v>1</v>
      </c>
    </row>
    <row r="2210" spans="1:11" x14ac:dyDescent="0.25">
      <c r="A2210" t="s">
        <v>353</v>
      </c>
      <c r="B2210" t="s">
        <v>97</v>
      </c>
      <c r="C2210" t="s">
        <v>50</v>
      </c>
      <c r="D2210" s="6">
        <v>45784</v>
      </c>
      <c r="E2210" t="str">
        <f>VLOOKUP(B2210,'PROCV GERENTES BD'!A:B,2,0)</f>
        <v>PRISCILA METZ</v>
      </c>
      <c r="F2210" s="4" t="str">
        <f t="shared" si="204"/>
        <v>2025-05</v>
      </c>
      <c r="G2210" s="18">
        <f t="shared" si="205"/>
        <v>19</v>
      </c>
      <c r="H2210" t="str">
        <f t="shared" si="206"/>
        <v>PRISCILA METZ</v>
      </c>
      <c r="I2210" t="str">
        <f t="shared" si="207"/>
        <v>ESSENZA INDUSTRIA QUIMICA LTDA</v>
      </c>
      <c r="J2210">
        <f t="shared" si="208"/>
        <v>0</v>
      </c>
      <c r="K2210">
        <f t="shared" si="209"/>
        <v>1</v>
      </c>
    </row>
    <row r="2211" spans="1:11" x14ac:dyDescent="0.25">
      <c r="A2211" t="s">
        <v>426</v>
      </c>
      <c r="B2211" t="s">
        <v>177</v>
      </c>
      <c r="C2211" t="s">
        <v>50</v>
      </c>
      <c r="D2211" s="6">
        <v>45784</v>
      </c>
      <c r="E2211" t="str">
        <f>VLOOKUP(B2211,'PROCV GERENTES BD'!A:B,2,0)</f>
        <v>WHELKYA IRIS</v>
      </c>
      <c r="F2211" s="4" t="str">
        <f t="shared" si="204"/>
        <v>2025-05</v>
      </c>
      <c r="G2211" s="18">
        <f t="shared" si="205"/>
        <v>19</v>
      </c>
      <c r="H2211" t="str">
        <f t="shared" si="206"/>
        <v>WHELKYA IRIS</v>
      </c>
      <c r="I2211" t="str">
        <f t="shared" si="207"/>
        <v>JFIX INDUSTRIA QUIMICA LTDA ME</v>
      </c>
      <c r="J2211">
        <f t="shared" si="208"/>
        <v>0</v>
      </c>
      <c r="K2211">
        <f t="shared" si="209"/>
        <v>1</v>
      </c>
    </row>
    <row r="2212" spans="1:11" x14ac:dyDescent="0.25">
      <c r="A2212" t="s">
        <v>60</v>
      </c>
      <c r="B2212" t="s">
        <v>61</v>
      </c>
      <c r="C2212" t="s">
        <v>50</v>
      </c>
      <c r="D2212" s="6">
        <v>45784</v>
      </c>
      <c r="E2212" t="str">
        <f>VLOOKUP(B2212,'PROCV GERENTES BD'!A:B,2,0)</f>
        <v xml:space="preserve">MARCUS VINICIUS </v>
      </c>
      <c r="F2212" s="4" t="str">
        <f t="shared" si="204"/>
        <v>2025-05</v>
      </c>
      <c r="G2212" s="18">
        <f t="shared" si="205"/>
        <v>19</v>
      </c>
      <c r="H2212" t="str">
        <f t="shared" si="206"/>
        <v xml:space="preserve">MARCUS VINICIUS </v>
      </c>
      <c r="I2212" t="str">
        <f t="shared" si="207"/>
        <v>COM IND DE CEREAIS E TRANSPORTES MACIEL LTDA</v>
      </c>
      <c r="J2212">
        <f t="shared" si="208"/>
        <v>0</v>
      </c>
      <c r="K2212">
        <f t="shared" si="209"/>
        <v>1</v>
      </c>
    </row>
    <row r="2213" spans="1:11" x14ac:dyDescent="0.25">
      <c r="A2213" t="s">
        <v>499</v>
      </c>
      <c r="B2213" t="s">
        <v>258</v>
      </c>
      <c r="C2213" t="s">
        <v>66</v>
      </c>
      <c r="D2213" s="6">
        <v>45784</v>
      </c>
      <c r="E2213" t="str">
        <f>VLOOKUP(B2213,'PROCV GERENTES BD'!A:B,2,0)</f>
        <v>PRISCILA METZ</v>
      </c>
      <c r="F2213" s="4" t="str">
        <f t="shared" si="204"/>
        <v>2025-05</v>
      </c>
      <c r="G2213" s="18">
        <f t="shared" si="205"/>
        <v>19</v>
      </c>
      <c r="H2213" t="str">
        <f t="shared" si="206"/>
        <v>PRISCILA METZ</v>
      </c>
      <c r="I2213" t="str">
        <f t="shared" si="207"/>
        <v>PLATINUM INDUSTRIA DE CONFECCOES LTDA</v>
      </c>
      <c r="J2213">
        <f t="shared" si="208"/>
        <v>1</v>
      </c>
      <c r="K2213">
        <f t="shared" si="209"/>
        <v>0</v>
      </c>
    </row>
    <row r="2214" spans="1:11" x14ac:dyDescent="0.25">
      <c r="A2214" t="s">
        <v>62</v>
      </c>
      <c r="B2214" t="s">
        <v>63</v>
      </c>
      <c r="C2214" t="s">
        <v>53</v>
      </c>
      <c r="D2214" s="6">
        <v>45784</v>
      </c>
      <c r="E2214" t="str">
        <f>VLOOKUP(B2214,'PROCV GERENTES BD'!A:B,2,0)</f>
        <v>PROSPECTAR</v>
      </c>
      <c r="F2214" s="4" t="str">
        <f t="shared" si="204"/>
        <v>2025-05</v>
      </c>
      <c r="G2214" s="18">
        <f t="shared" si="205"/>
        <v>19</v>
      </c>
      <c r="H2214" t="str">
        <f t="shared" si="206"/>
        <v>PROSPECTAR</v>
      </c>
      <c r="I2214" t="str">
        <f t="shared" si="207"/>
        <v>MAPP COM IMPORTACAO EXPORTACAO IND PRODUTOS ALIMEN</v>
      </c>
      <c r="J2214">
        <f t="shared" si="208"/>
        <v>1</v>
      </c>
      <c r="K2214">
        <f t="shared" si="209"/>
        <v>1</v>
      </c>
    </row>
    <row r="2215" spans="1:11" x14ac:dyDescent="0.25">
      <c r="A2215" t="s">
        <v>64</v>
      </c>
      <c r="B2215" t="s">
        <v>65</v>
      </c>
      <c r="C2215" t="s">
        <v>53</v>
      </c>
      <c r="D2215" s="6">
        <v>45784</v>
      </c>
      <c r="E2215" t="str">
        <f>VLOOKUP(B2215,'PROCV GERENTES BD'!A:B,2,0)</f>
        <v>ADMINISTRAÇÃO</v>
      </c>
      <c r="F2215" s="4" t="str">
        <f t="shared" si="204"/>
        <v>2025-05</v>
      </c>
      <c r="G2215" s="18">
        <f t="shared" si="205"/>
        <v>19</v>
      </c>
      <c r="H2215" t="str">
        <f t="shared" si="206"/>
        <v>ADMINISTRAÇÃO</v>
      </c>
      <c r="I2215" t="str">
        <f t="shared" si="207"/>
        <v>SOCIAL S/A</v>
      </c>
      <c r="J2215">
        <f t="shared" si="208"/>
        <v>1</v>
      </c>
      <c r="K2215">
        <f t="shared" si="209"/>
        <v>1</v>
      </c>
    </row>
    <row r="2216" spans="1:11" x14ac:dyDescent="0.25">
      <c r="A2216" t="s">
        <v>67</v>
      </c>
      <c r="B2216" t="s">
        <v>68</v>
      </c>
      <c r="C2216" t="s">
        <v>50</v>
      </c>
      <c r="D2216" s="6">
        <v>45784</v>
      </c>
      <c r="E2216" t="str">
        <f>VLOOKUP(B2216,'PROCV GERENTES BD'!A:B,2,0)</f>
        <v xml:space="preserve">ROGERIO </v>
      </c>
      <c r="F2216" s="4" t="str">
        <f t="shared" si="204"/>
        <v>2025-05</v>
      </c>
      <c r="G2216" s="18">
        <f t="shared" si="205"/>
        <v>19</v>
      </c>
      <c r="H2216" t="str">
        <f t="shared" si="206"/>
        <v xml:space="preserve">ROGERIO </v>
      </c>
      <c r="I2216" t="str">
        <f t="shared" si="207"/>
        <v>DIOTTONI INDUSTRIA E COMERCIO DE ALIMENTOS LTDA ME</v>
      </c>
      <c r="J2216">
        <f t="shared" si="208"/>
        <v>0</v>
      </c>
      <c r="K2216">
        <f t="shared" si="209"/>
        <v>1</v>
      </c>
    </row>
    <row r="2217" spans="1:11" x14ac:dyDescent="0.25">
      <c r="A2217" t="s">
        <v>505</v>
      </c>
      <c r="B2217" t="s">
        <v>267</v>
      </c>
      <c r="C2217" t="s">
        <v>66</v>
      </c>
      <c r="D2217" s="6">
        <v>45784</v>
      </c>
      <c r="E2217" t="str">
        <f>VLOOKUP(B2217,'PROCV GERENTES BD'!A:B,2,0)</f>
        <v>PRISCILA METZ</v>
      </c>
      <c r="F2217" s="4" t="str">
        <f t="shared" si="204"/>
        <v>2025-05</v>
      </c>
      <c r="G2217" s="18">
        <f t="shared" si="205"/>
        <v>19</v>
      </c>
      <c r="H2217" t="str">
        <f t="shared" si="206"/>
        <v>PRISCILA METZ</v>
      </c>
      <c r="I2217" t="str">
        <f t="shared" si="207"/>
        <v>REAL DISTRIBUIDORA DE PRODUTOS PARA MARMORARIA LTD</v>
      </c>
      <c r="J2217">
        <f t="shared" si="208"/>
        <v>1</v>
      </c>
      <c r="K2217">
        <f t="shared" si="209"/>
        <v>0</v>
      </c>
    </row>
    <row r="2218" spans="1:11" x14ac:dyDescent="0.25">
      <c r="A2218" t="s">
        <v>492</v>
      </c>
      <c r="B2218" t="s">
        <v>251</v>
      </c>
      <c r="C2218" t="s">
        <v>50</v>
      </c>
      <c r="D2218" s="6">
        <v>45784</v>
      </c>
      <c r="E2218" t="str">
        <f>VLOOKUP(B2218,'PROCV GERENTES BD'!A:B,2,0)</f>
        <v>PROSPECTAR</v>
      </c>
      <c r="F2218" s="4" t="str">
        <f t="shared" si="204"/>
        <v>2025-05</v>
      </c>
      <c r="G2218" s="18">
        <f t="shared" si="205"/>
        <v>19</v>
      </c>
      <c r="H2218" t="str">
        <f t="shared" si="206"/>
        <v>PROSPECTAR</v>
      </c>
      <c r="I2218" t="str">
        <f t="shared" si="207"/>
        <v>JANE FIGUEIRA CONFECCOES LTDA ME</v>
      </c>
      <c r="J2218">
        <f t="shared" si="208"/>
        <v>0</v>
      </c>
      <c r="K2218">
        <f t="shared" si="209"/>
        <v>1</v>
      </c>
    </row>
    <row r="2219" spans="1:11" x14ac:dyDescent="0.25">
      <c r="A2219" t="s">
        <v>521</v>
      </c>
      <c r="B2219" t="s">
        <v>286</v>
      </c>
      <c r="C2219" t="s">
        <v>50</v>
      </c>
      <c r="D2219" s="6">
        <v>45794</v>
      </c>
      <c r="E2219" t="str">
        <f>VLOOKUP(B2219,'PROCV GERENTES BD'!A:B,2,0)</f>
        <v>CELIO PIMENTA</v>
      </c>
      <c r="F2219" s="4" t="str">
        <f t="shared" si="204"/>
        <v>2025-05</v>
      </c>
      <c r="G2219" s="18">
        <f t="shared" si="205"/>
        <v>20</v>
      </c>
      <c r="H2219" t="str">
        <f t="shared" si="206"/>
        <v>CELIO PIMENTA</v>
      </c>
      <c r="I2219" t="str">
        <f t="shared" si="207"/>
        <v>LINGERIE E CIA LTDA ME</v>
      </c>
      <c r="J2219">
        <f t="shared" si="208"/>
        <v>0</v>
      </c>
      <c r="K2219">
        <f t="shared" si="209"/>
        <v>1</v>
      </c>
    </row>
    <row r="2220" spans="1:11" x14ac:dyDescent="0.25">
      <c r="A2220" t="s">
        <v>511</v>
      </c>
      <c r="B2220" t="s">
        <v>274</v>
      </c>
      <c r="C2220" t="s">
        <v>50</v>
      </c>
      <c r="D2220" s="6">
        <v>45784</v>
      </c>
      <c r="E2220" t="str">
        <f>VLOOKUP(B2220,'PROCV GERENTES BD'!A:B,2,0)</f>
        <v>RAFAEL PARISE</v>
      </c>
      <c r="F2220" s="4" t="str">
        <f t="shared" si="204"/>
        <v>2025-05</v>
      </c>
      <c r="G2220" s="18">
        <f t="shared" si="205"/>
        <v>19</v>
      </c>
      <c r="H2220" t="str">
        <f t="shared" si="206"/>
        <v>RAFAEL PARISE</v>
      </c>
      <c r="I2220" t="str">
        <f t="shared" si="207"/>
        <v>ARTE FINAL INDUSTRIA E COMERCIO DE COURO LTDA</v>
      </c>
      <c r="J2220">
        <f t="shared" si="208"/>
        <v>0</v>
      </c>
      <c r="K2220">
        <f t="shared" si="209"/>
        <v>1</v>
      </c>
    </row>
    <row r="2221" spans="1:11" x14ac:dyDescent="0.25">
      <c r="A2221" t="s">
        <v>324</v>
      </c>
      <c r="B2221" t="s">
        <v>119</v>
      </c>
      <c r="C2221" t="s">
        <v>66</v>
      </c>
      <c r="D2221" s="6">
        <v>45785</v>
      </c>
      <c r="E2221" t="str">
        <f>VLOOKUP(B2221,'PROCV GERENTES BD'!A:B,2,0)</f>
        <v>PROSPECTAR</v>
      </c>
      <c r="F2221" s="4" t="str">
        <f t="shared" si="204"/>
        <v>2025-05</v>
      </c>
      <c r="G2221" s="18">
        <f t="shared" si="205"/>
        <v>19</v>
      </c>
      <c r="H2221" t="str">
        <f t="shared" si="206"/>
        <v>PROSPECTAR</v>
      </c>
      <c r="I2221" t="str">
        <f t="shared" si="207"/>
        <v>TRANSHENRY TRANSPORTES LTDA</v>
      </c>
      <c r="J2221">
        <f t="shared" si="208"/>
        <v>1</v>
      </c>
      <c r="K2221">
        <f t="shared" si="209"/>
        <v>0</v>
      </c>
    </row>
    <row r="2222" spans="1:11" x14ac:dyDescent="0.25">
      <c r="A2222" t="s">
        <v>331</v>
      </c>
      <c r="B2222" t="s">
        <v>144</v>
      </c>
      <c r="C2222" t="s">
        <v>50</v>
      </c>
      <c r="D2222" s="6">
        <v>45785</v>
      </c>
      <c r="E2222" t="str">
        <f>VLOOKUP(B2222,'PROCV GERENTES BD'!A:B,2,0)</f>
        <v>ADMINISTRAÇÃO</v>
      </c>
      <c r="F2222" s="4" t="str">
        <f t="shared" si="204"/>
        <v>2025-05</v>
      </c>
      <c r="G2222" s="18">
        <f t="shared" si="205"/>
        <v>19</v>
      </c>
      <c r="H2222" t="str">
        <f t="shared" si="206"/>
        <v>ADMINISTRAÇÃO</v>
      </c>
      <c r="I2222" t="str">
        <f t="shared" si="207"/>
        <v>BOM PASTOR PAPEIS LTDA EM RECUPERACAO JUDICIAL</v>
      </c>
      <c r="J2222">
        <f t="shared" si="208"/>
        <v>0</v>
      </c>
      <c r="K2222">
        <f t="shared" si="209"/>
        <v>1</v>
      </c>
    </row>
    <row r="2223" spans="1:11" x14ac:dyDescent="0.25">
      <c r="A2223" t="s">
        <v>480</v>
      </c>
      <c r="B2223" t="s">
        <v>237</v>
      </c>
      <c r="C2223" t="s">
        <v>66</v>
      </c>
      <c r="D2223" s="6">
        <v>45785</v>
      </c>
      <c r="E2223" t="str">
        <f>VLOOKUP(B2223,'PROCV GERENTES BD'!A:B,2,0)</f>
        <v>POENATELA</v>
      </c>
      <c r="F2223" s="4" t="str">
        <f t="shared" si="204"/>
        <v>2025-05</v>
      </c>
      <c r="G2223" s="18">
        <f t="shared" si="205"/>
        <v>19</v>
      </c>
      <c r="H2223" t="str">
        <f t="shared" si="206"/>
        <v>POENATELA</v>
      </c>
      <c r="I2223" t="str">
        <f t="shared" si="207"/>
        <v>PARANAIBA FERTILIZANTES IND E COM LTDA EM RECUPERA</v>
      </c>
      <c r="J2223">
        <f t="shared" si="208"/>
        <v>1</v>
      </c>
      <c r="K2223">
        <f t="shared" si="209"/>
        <v>0</v>
      </c>
    </row>
    <row r="2224" spans="1:11" x14ac:dyDescent="0.25">
      <c r="A2224" t="s">
        <v>319</v>
      </c>
      <c r="B2224" t="s">
        <v>80</v>
      </c>
      <c r="C2224" t="s">
        <v>50</v>
      </c>
      <c r="D2224" s="6">
        <v>45785</v>
      </c>
      <c r="E2224" t="str">
        <f>VLOOKUP(B2224,'PROCV GERENTES BD'!A:B,2,0)</f>
        <v>CELIO PIMENTA</v>
      </c>
      <c r="F2224" s="4" t="str">
        <f t="shared" si="204"/>
        <v>2025-05</v>
      </c>
      <c r="G2224" s="18">
        <f t="shared" si="205"/>
        <v>19</v>
      </c>
      <c r="H2224" t="str">
        <f t="shared" si="206"/>
        <v>CELIO PIMENTA</v>
      </c>
      <c r="I2224" t="str">
        <f t="shared" si="207"/>
        <v>IMPORTEXTIL COMERCIO DE TECIDOS LTDA</v>
      </c>
      <c r="J2224">
        <f t="shared" si="208"/>
        <v>0</v>
      </c>
      <c r="K2224">
        <f t="shared" si="209"/>
        <v>1</v>
      </c>
    </row>
    <row r="2225" spans="1:11" x14ac:dyDescent="0.25">
      <c r="A2225" t="s">
        <v>58</v>
      </c>
      <c r="B2225" t="s">
        <v>59</v>
      </c>
      <c r="C2225" t="s">
        <v>50</v>
      </c>
      <c r="D2225" s="6">
        <v>45785</v>
      </c>
      <c r="E2225" t="str">
        <f>VLOOKUP(B2225,'PROCV GERENTES BD'!A:B,2,0)</f>
        <v>ADMINISTRAÇÃO</v>
      </c>
      <c r="F2225" s="4" t="str">
        <f t="shared" si="204"/>
        <v>2025-05</v>
      </c>
      <c r="G2225" s="18">
        <f t="shared" si="205"/>
        <v>19</v>
      </c>
      <c r="H2225" t="str">
        <f t="shared" si="206"/>
        <v>ADMINISTRAÇÃO</v>
      </c>
      <c r="I2225" t="str">
        <f t="shared" si="207"/>
        <v>BIOTECH LOGISTICA LTDA</v>
      </c>
      <c r="J2225">
        <f t="shared" si="208"/>
        <v>0</v>
      </c>
      <c r="K2225">
        <f t="shared" si="209"/>
        <v>1</v>
      </c>
    </row>
    <row r="2226" spans="1:11" x14ac:dyDescent="0.25">
      <c r="A2226" t="s">
        <v>318</v>
      </c>
      <c r="B2226" t="s">
        <v>203</v>
      </c>
      <c r="C2226" t="s">
        <v>66</v>
      </c>
      <c r="D2226" s="6">
        <v>45785</v>
      </c>
      <c r="E2226" t="str">
        <f>VLOOKUP(B2226,'PROCV GERENTES BD'!A:B,2,0)</f>
        <v>JOSE ROBERTO</v>
      </c>
      <c r="F2226" s="4" t="str">
        <f t="shared" si="204"/>
        <v>2025-05</v>
      </c>
      <c r="G2226" s="18">
        <f t="shared" si="205"/>
        <v>19</v>
      </c>
      <c r="H2226" t="str">
        <f t="shared" si="206"/>
        <v>JOSE ROBERTO</v>
      </c>
      <c r="I2226" t="str">
        <f t="shared" si="207"/>
        <v>FUNDACAO DE ENSINO E PESQUISA DO SUL DE MINAS FEPE</v>
      </c>
      <c r="J2226">
        <f t="shared" si="208"/>
        <v>1</v>
      </c>
      <c r="K2226">
        <f t="shared" si="209"/>
        <v>0</v>
      </c>
    </row>
    <row r="2227" spans="1:11" x14ac:dyDescent="0.25">
      <c r="A2227" t="s">
        <v>64</v>
      </c>
      <c r="B2227" t="s">
        <v>65</v>
      </c>
      <c r="C2227" t="s">
        <v>50</v>
      </c>
      <c r="D2227" s="6">
        <v>45785</v>
      </c>
      <c r="E2227" t="str">
        <f>VLOOKUP(B2227,'PROCV GERENTES BD'!A:B,2,0)</f>
        <v>ADMINISTRAÇÃO</v>
      </c>
      <c r="F2227" s="4" t="str">
        <f t="shared" si="204"/>
        <v>2025-05</v>
      </c>
      <c r="G2227" s="18">
        <f t="shared" si="205"/>
        <v>19</v>
      </c>
      <c r="H2227" t="str">
        <f t="shared" si="206"/>
        <v>ADMINISTRAÇÃO</v>
      </c>
      <c r="I2227" t="str">
        <f t="shared" si="207"/>
        <v>SOCIAL S/A</v>
      </c>
      <c r="J2227">
        <f t="shared" si="208"/>
        <v>0</v>
      </c>
      <c r="K2227">
        <f t="shared" si="209"/>
        <v>1</v>
      </c>
    </row>
    <row r="2228" spans="1:11" x14ac:dyDescent="0.25">
      <c r="A2228" t="s">
        <v>442</v>
      </c>
      <c r="B2228" t="s">
        <v>193</v>
      </c>
      <c r="C2228" t="s">
        <v>50</v>
      </c>
      <c r="D2228" s="6">
        <v>45785</v>
      </c>
      <c r="E2228" t="str">
        <f>VLOOKUP(B2228,'PROCV GERENTES BD'!A:B,2,0)</f>
        <v>CELIO PIMENTA</v>
      </c>
      <c r="F2228" s="4" t="str">
        <f t="shared" si="204"/>
        <v>2025-05</v>
      </c>
      <c r="G2228" s="18">
        <f t="shared" si="205"/>
        <v>19</v>
      </c>
      <c r="H2228" t="str">
        <f t="shared" si="206"/>
        <v>CELIO PIMENTA</v>
      </c>
      <c r="I2228" t="str">
        <f t="shared" si="207"/>
        <v>CIA TEXTIL LTDA ME</v>
      </c>
      <c r="J2228">
        <f t="shared" si="208"/>
        <v>0</v>
      </c>
      <c r="K2228">
        <f t="shared" si="209"/>
        <v>1</v>
      </c>
    </row>
    <row r="2229" spans="1:11" x14ac:dyDescent="0.25">
      <c r="A2229" t="s">
        <v>67</v>
      </c>
      <c r="B2229" t="s">
        <v>68</v>
      </c>
      <c r="C2229" t="s">
        <v>50</v>
      </c>
      <c r="D2229" s="6">
        <v>45785</v>
      </c>
      <c r="E2229" t="str">
        <f>VLOOKUP(B2229,'PROCV GERENTES BD'!A:B,2,0)</f>
        <v xml:space="preserve">ROGERIO </v>
      </c>
      <c r="F2229" s="4" t="str">
        <f t="shared" si="204"/>
        <v>2025-05</v>
      </c>
      <c r="G2229" s="18">
        <f t="shared" si="205"/>
        <v>19</v>
      </c>
      <c r="H2229" t="str">
        <f t="shared" si="206"/>
        <v xml:space="preserve">ROGERIO </v>
      </c>
      <c r="I2229" t="str">
        <f t="shared" si="207"/>
        <v>DIOTTONI INDUSTRIA E COMERCIO DE ALIMENTOS LTDA ME</v>
      </c>
      <c r="J2229">
        <f t="shared" si="208"/>
        <v>0</v>
      </c>
      <c r="K2229">
        <f t="shared" si="209"/>
        <v>1</v>
      </c>
    </row>
    <row r="2230" spans="1:11" x14ac:dyDescent="0.25">
      <c r="A2230" t="s">
        <v>490</v>
      </c>
      <c r="B2230" t="s">
        <v>248</v>
      </c>
      <c r="C2230" t="s">
        <v>50</v>
      </c>
      <c r="D2230" s="6">
        <v>45785</v>
      </c>
      <c r="E2230" t="str">
        <f>VLOOKUP(B2230,'PROCV GERENTES BD'!A:B,2,0)</f>
        <v>PROSPECTAR</v>
      </c>
      <c r="F2230" s="4" t="str">
        <f t="shared" si="204"/>
        <v>2025-05</v>
      </c>
      <c r="G2230" s="18">
        <f t="shared" si="205"/>
        <v>19</v>
      </c>
      <c r="H2230" t="str">
        <f t="shared" si="206"/>
        <v>PROSPECTAR</v>
      </c>
      <c r="I2230" t="str">
        <f t="shared" si="207"/>
        <v>PRODUTOS PORTEIRAO COM DIST E REP LTDA EPP</v>
      </c>
      <c r="J2230">
        <f t="shared" si="208"/>
        <v>0</v>
      </c>
      <c r="K2230">
        <f t="shared" si="209"/>
        <v>1</v>
      </c>
    </row>
    <row r="2231" spans="1:11" x14ac:dyDescent="0.25">
      <c r="A2231" t="s">
        <v>509</v>
      </c>
      <c r="B2231" t="s">
        <v>272</v>
      </c>
      <c r="C2231" t="s">
        <v>66</v>
      </c>
      <c r="D2231" s="6">
        <v>45785</v>
      </c>
      <c r="E2231" t="str">
        <f>VLOOKUP(B2231,'PROCV GERENTES BD'!A:B,2,0)</f>
        <v>CELIO PIMENTA</v>
      </c>
      <c r="F2231" s="4" t="str">
        <f t="shared" si="204"/>
        <v>2025-05</v>
      </c>
      <c r="G2231" s="18">
        <f t="shared" si="205"/>
        <v>19</v>
      </c>
      <c r="H2231" t="str">
        <f t="shared" si="206"/>
        <v>CELIO PIMENTA</v>
      </c>
      <c r="I2231" t="str">
        <f t="shared" si="207"/>
        <v>AVIAMENTOS CENTRAL LTDA ME</v>
      </c>
      <c r="J2231">
        <f t="shared" si="208"/>
        <v>1</v>
      </c>
      <c r="K2231">
        <f t="shared" si="209"/>
        <v>0</v>
      </c>
    </row>
    <row r="2232" spans="1:11" x14ac:dyDescent="0.25">
      <c r="A2232" t="s">
        <v>476</v>
      </c>
      <c r="B2232" t="s">
        <v>233</v>
      </c>
      <c r="C2232" t="s">
        <v>50</v>
      </c>
      <c r="D2232" s="6">
        <v>45786</v>
      </c>
      <c r="E2232" t="str">
        <f>VLOOKUP(B2232,'PROCV GERENTES BD'!A:B,2,0)</f>
        <v>PRISCILA METZ</v>
      </c>
      <c r="F2232" s="4" t="str">
        <f t="shared" si="204"/>
        <v>2025-05</v>
      </c>
      <c r="G2232" s="18">
        <f t="shared" si="205"/>
        <v>19</v>
      </c>
      <c r="H2232" t="str">
        <f t="shared" si="206"/>
        <v>PRISCILA METZ</v>
      </c>
      <c r="I2232" t="str">
        <f t="shared" si="207"/>
        <v>TERRAPLAST INDUSTRIA E COMERCIO DE EQUIPAMENTOS DE</v>
      </c>
      <c r="J2232">
        <f t="shared" si="208"/>
        <v>0</v>
      </c>
      <c r="K2232">
        <f t="shared" si="209"/>
        <v>1</v>
      </c>
    </row>
    <row r="2233" spans="1:11" x14ac:dyDescent="0.25">
      <c r="A2233" t="s">
        <v>323</v>
      </c>
      <c r="B2233" t="s">
        <v>109</v>
      </c>
      <c r="C2233" t="s">
        <v>66</v>
      </c>
      <c r="D2233" s="6">
        <v>45786</v>
      </c>
      <c r="E2233" t="str">
        <f>VLOOKUP(B2233,'PROCV GERENTES BD'!A:B,2,0)</f>
        <v>PROSPECTAR</v>
      </c>
      <c r="F2233" s="4" t="str">
        <f t="shared" si="204"/>
        <v>2025-05</v>
      </c>
      <c r="G2233" s="18">
        <f t="shared" si="205"/>
        <v>19</v>
      </c>
      <c r="H2233" t="str">
        <f t="shared" si="206"/>
        <v>PROSPECTAR</v>
      </c>
      <c r="I2233" t="str">
        <f t="shared" si="207"/>
        <v>SIAP COMERCIO DE PRODUTOS AGROPECUARIOS LTDA</v>
      </c>
      <c r="J2233">
        <f t="shared" si="208"/>
        <v>1</v>
      </c>
      <c r="K2233">
        <f t="shared" si="209"/>
        <v>0</v>
      </c>
    </row>
    <row r="2234" spans="1:11" x14ac:dyDescent="0.25">
      <c r="A2234" t="s">
        <v>331</v>
      </c>
      <c r="B2234" t="s">
        <v>144</v>
      </c>
      <c r="C2234" t="s">
        <v>66</v>
      </c>
      <c r="D2234" s="6">
        <v>45786</v>
      </c>
      <c r="E2234" t="str">
        <f>VLOOKUP(B2234,'PROCV GERENTES BD'!A:B,2,0)</f>
        <v>ADMINISTRAÇÃO</v>
      </c>
      <c r="F2234" s="4" t="str">
        <f t="shared" si="204"/>
        <v>2025-05</v>
      </c>
      <c r="G2234" s="18">
        <f t="shared" si="205"/>
        <v>19</v>
      </c>
      <c r="H2234" t="str">
        <f t="shared" si="206"/>
        <v>ADMINISTRAÇÃO</v>
      </c>
      <c r="I2234" t="str">
        <f t="shared" si="207"/>
        <v>BOM PASTOR PAPEIS LTDA EM RECUPERACAO JUDICIAL</v>
      </c>
      <c r="J2234">
        <f t="shared" si="208"/>
        <v>1</v>
      </c>
      <c r="K2234">
        <f t="shared" si="209"/>
        <v>0</v>
      </c>
    </row>
    <row r="2235" spans="1:11" x14ac:dyDescent="0.25">
      <c r="A2235" t="s">
        <v>56</v>
      </c>
      <c r="B2235" t="s">
        <v>57</v>
      </c>
      <c r="C2235" t="s">
        <v>50</v>
      </c>
      <c r="D2235" s="6">
        <v>45786</v>
      </c>
      <c r="E2235" t="str">
        <f>VLOOKUP(B2235,'PROCV GERENTES BD'!A:B,2,0)</f>
        <v xml:space="preserve">ROGERIO </v>
      </c>
      <c r="F2235" s="4" t="str">
        <f t="shared" si="204"/>
        <v>2025-05</v>
      </c>
      <c r="G2235" s="18">
        <f t="shared" si="205"/>
        <v>19</v>
      </c>
      <c r="H2235" t="str">
        <f t="shared" si="206"/>
        <v xml:space="preserve">ROGERIO </v>
      </c>
      <c r="I2235" t="str">
        <f t="shared" si="207"/>
        <v>RODOVIEIRA TRANSPORTE LTDA</v>
      </c>
      <c r="J2235">
        <f t="shared" si="208"/>
        <v>0</v>
      </c>
      <c r="K2235">
        <f t="shared" si="209"/>
        <v>1</v>
      </c>
    </row>
    <row r="2236" spans="1:11" x14ac:dyDescent="0.25">
      <c r="A2236" t="s">
        <v>319</v>
      </c>
      <c r="B2236" t="s">
        <v>80</v>
      </c>
      <c r="C2236" t="s">
        <v>50</v>
      </c>
      <c r="D2236" s="6">
        <v>45786</v>
      </c>
      <c r="E2236" t="str">
        <f>VLOOKUP(B2236,'PROCV GERENTES BD'!A:B,2,0)</f>
        <v>CELIO PIMENTA</v>
      </c>
      <c r="F2236" s="4" t="str">
        <f t="shared" si="204"/>
        <v>2025-05</v>
      </c>
      <c r="G2236" s="18">
        <f t="shared" si="205"/>
        <v>19</v>
      </c>
      <c r="H2236" t="str">
        <f t="shared" si="206"/>
        <v>CELIO PIMENTA</v>
      </c>
      <c r="I2236" t="str">
        <f t="shared" si="207"/>
        <v>IMPORTEXTIL COMERCIO DE TECIDOS LTDA</v>
      </c>
      <c r="J2236">
        <f t="shared" si="208"/>
        <v>0</v>
      </c>
      <c r="K2236">
        <f t="shared" si="209"/>
        <v>1</v>
      </c>
    </row>
    <row r="2237" spans="1:11" x14ac:dyDescent="0.25">
      <c r="A2237" t="s">
        <v>318</v>
      </c>
      <c r="B2237" t="s">
        <v>203</v>
      </c>
      <c r="C2237" t="s">
        <v>66</v>
      </c>
      <c r="D2237" s="6">
        <v>45786</v>
      </c>
      <c r="E2237" t="str">
        <f>VLOOKUP(B2237,'PROCV GERENTES BD'!A:B,2,0)</f>
        <v>JOSE ROBERTO</v>
      </c>
      <c r="F2237" s="4" t="str">
        <f t="shared" si="204"/>
        <v>2025-05</v>
      </c>
      <c r="G2237" s="18">
        <f t="shared" si="205"/>
        <v>19</v>
      </c>
      <c r="H2237" t="str">
        <f t="shared" si="206"/>
        <v>JOSE ROBERTO</v>
      </c>
      <c r="I2237" t="str">
        <f t="shared" si="207"/>
        <v>FUNDACAO DE ENSINO E PESQUISA DO SUL DE MINAS FEPE</v>
      </c>
      <c r="J2237">
        <f t="shared" si="208"/>
        <v>1</v>
      </c>
      <c r="K2237">
        <f t="shared" si="209"/>
        <v>0</v>
      </c>
    </row>
    <row r="2238" spans="1:11" x14ac:dyDescent="0.25">
      <c r="A2238" t="s">
        <v>372</v>
      </c>
      <c r="B2238" t="s">
        <v>116</v>
      </c>
      <c r="C2238" t="s">
        <v>66</v>
      </c>
      <c r="D2238" s="6">
        <v>45786</v>
      </c>
      <c r="E2238" t="str">
        <f>VLOOKUP(B2238,'PROCV GERENTES BD'!A:B,2,0)</f>
        <v>ADMINISTRAÇÃO</v>
      </c>
      <c r="F2238" s="4" t="str">
        <f t="shared" si="204"/>
        <v>2025-05</v>
      </c>
      <c r="G2238" s="18">
        <f t="shared" si="205"/>
        <v>19</v>
      </c>
      <c r="H2238" t="str">
        <f t="shared" si="206"/>
        <v>ADMINISTRAÇÃO</v>
      </c>
      <c r="I2238" t="str">
        <f t="shared" si="207"/>
        <v>PREMOLDADOS MATOSINHOS LTDA EPP</v>
      </c>
      <c r="J2238">
        <f t="shared" si="208"/>
        <v>1</v>
      </c>
      <c r="K2238">
        <f t="shared" si="209"/>
        <v>0</v>
      </c>
    </row>
    <row r="2239" spans="1:11" x14ac:dyDescent="0.25">
      <c r="A2239" t="s">
        <v>353</v>
      </c>
      <c r="B2239" t="s">
        <v>97</v>
      </c>
      <c r="C2239" t="s">
        <v>50</v>
      </c>
      <c r="D2239" s="6">
        <v>45786</v>
      </c>
      <c r="E2239" t="str">
        <f>VLOOKUP(B2239,'PROCV GERENTES BD'!A:B,2,0)</f>
        <v>PRISCILA METZ</v>
      </c>
      <c r="F2239" s="4" t="str">
        <f t="shared" si="204"/>
        <v>2025-05</v>
      </c>
      <c r="G2239" s="18">
        <f t="shared" si="205"/>
        <v>19</v>
      </c>
      <c r="H2239" t="str">
        <f t="shared" si="206"/>
        <v>PRISCILA METZ</v>
      </c>
      <c r="I2239" t="str">
        <f t="shared" si="207"/>
        <v>ESSENZA INDUSTRIA QUIMICA LTDA</v>
      </c>
      <c r="J2239">
        <f t="shared" si="208"/>
        <v>0</v>
      </c>
      <c r="K2239">
        <f t="shared" si="209"/>
        <v>1</v>
      </c>
    </row>
    <row r="2240" spans="1:11" x14ac:dyDescent="0.25">
      <c r="A2240" t="s">
        <v>420</v>
      </c>
      <c r="B2240" t="s">
        <v>170</v>
      </c>
      <c r="C2240" t="s">
        <v>66</v>
      </c>
      <c r="D2240" s="6">
        <v>45786</v>
      </c>
      <c r="E2240" t="str">
        <f>VLOOKUP(B2240,'PROCV GERENTES BD'!A:B,2,0)</f>
        <v>POENATELA</v>
      </c>
      <c r="F2240" s="4" t="str">
        <f t="shared" si="204"/>
        <v>2025-05</v>
      </c>
      <c r="G2240" s="18">
        <f t="shared" si="205"/>
        <v>19</v>
      </c>
      <c r="H2240" t="str">
        <f t="shared" si="206"/>
        <v>POENATELA</v>
      </c>
      <c r="I2240" t="str">
        <f t="shared" si="207"/>
        <v>SAVIXX COMERCIO INTERNACIONAL S/A</v>
      </c>
      <c r="J2240">
        <f t="shared" si="208"/>
        <v>1</v>
      </c>
      <c r="K2240">
        <f t="shared" si="209"/>
        <v>0</v>
      </c>
    </row>
    <row r="2241" spans="1:11" x14ac:dyDescent="0.25">
      <c r="A2241" t="s">
        <v>461</v>
      </c>
      <c r="B2241" t="s">
        <v>218</v>
      </c>
      <c r="C2241" t="s">
        <v>66</v>
      </c>
      <c r="D2241" s="6">
        <v>45786</v>
      </c>
      <c r="E2241" t="str">
        <f>VLOOKUP(B2241,'PROCV GERENTES BD'!A:B,2,0)</f>
        <v>SACADO</v>
      </c>
      <c r="F2241" s="4" t="str">
        <f t="shared" si="204"/>
        <v>2025-05</v>
      </c>
      <c r="G2241" s="18">
        <f t="shared" si="205"/>
        <v>19</v>
      </c>
      <c r="H2241" t="str">
        <f t="shared" si="206"/>
        <v>SACADO</v>
      </c>
      <c r="I2241" t="str">
        <f t="shared" si="207"/>
        <v>KUARA COMERCIAL E EXPORTADORA DE FRUTAS LTDA</v>
      </c>
      <c r="J2241">
        <f t="shared" si="208"/>
        <v>1</v>
      </c>
      <c r="K2241">
        <f t="shared" si="209"/>
        <v>0</v>
      </c>
    </row>
    <row r="2242" spans="1:11" x14ac:dyDescent="0.25">
      <c r="A2242" t="s">
        <v>379</v>
      </c>
      <c r="B2242" t="s">
        <v>126</v>
      </c>
      <c r="C2242" t="s">
        <v>66</v>
      </c>
      <c r="D2242" s="6">
        <v>45786</v>
      </c>
      <c r="E2242" t="str">
        <f>VLOOKUP(B2242,'PROCV GERENTES BD'!A:B,2,0)</f>
        <v>ADMINISTRAÇÃO</v>
      </c>
      <c r="F2242" s="4" t="str">
        <f t="shared" ref="F2242:F2305" si="210">YEAR(D2242)&amp;"-"&amp;TEXT(MONTH(D2242),"00")</f>
        <v>2025-05</v>
      </c>
      <c r="G2242" s="18">
        <f t="shared" ref="G2242:G2305" si="211">WEEKNUM(D2242)</f>
        <v>19</v>
      </c>
      <c r="H2242" t="str">
        <f t="shared" ref="H2242:H2305" si="212">E2242</f>
        <v>ADMINISTRAÇÃO</v>
      </c>
      <c r="I2242" t="str">
        <f t="shared" ref="I2242:I2305" si="213">B2242</f>
        <v>ENXOVAIS MINAS LTDA ME</v>
      </c>
      <c r="J2242">
        <f t="shared" ref="J2242:J2305" si="214">IF(OR(C2242="EXCLUSAO  ANOT.INADIMPLENCIA",C2242="INCL/EXCL ANOT.INADIMPLENCIA"),1,0)</f>
        <v>1</v>
      </c>
      <c r="K2242">
        <f t="shared" ref="K2242:K2305" si="215">IF(OR(C2242="INCLUSAO  ANOT.INADIMPLENCIA",C2242="INCL/EXCL ANOT.INADIMPLENCIA"),1,0)</f>
        <v>0</v>
      </c>
    </row>
    <row r="2243" spans="1:11" x14ac:dyDescent="0.25">
      <c r="A2243" t="s">
        <v>324</v>
      </c>
      <c r="B2243" t="s">
        <v>119</v>
      </c>
      <c r="C2243" t="s">
        <v>50</v>
      </c>
      <c r="D2243" s="6">
        <v>45787</v>
      </c>
      <c r="E2243" t="str">
        <f>VLOOKUP(B2243,'PROCV GERENTES BD'!A:B,2,0)</f>
        <v>PROSPECTAR</v>
      </c>
      <c r="F2243" s="4" t="str">
        <f t="shared" si="210"/>
        <v>2025-05</v>
      </c>
      <c r="G2243" s="18">
        <f t="shared" si="211"/>
        <v>19</v>
      </c>
      <c r="H2243" t="str">
        <f t="shared" si="212"/>
        <v>PROSPECTAR</v>
      </c>
      <c r="I2243" t="str">
        <f t="shared" si="213"/>
        <v>TRANSHENRY TRANSPORTES LTDA</v>
      </c>
      <c r="J2243">
        <f t="shared" si="214"/>
        <v>0</v>
      </c>
      <c r="K2243">
        <f t="shared" si="215"/>
        <v>1</v>
      </c>
    </row>
    <row r="2244" spans="1:11" x14ac:dyDescent="0.25">
      <c r="A2244" t="s">
        <v>486</v>
      </c>
      <c r="B2244" t="s">
        <v>243</v>
      </c>
      <c r="C2244" t="s">
        <v>50</v>
      </c>
      <c r="D2244" s="6">
        <v>45787</v>
      </c>
      <c r="E2244" t="str">
        <f>VLOOKUP(B2244,'PROCV GERENTES BD'!A:B,2,0)</f>
        <v>NOELI SALETE</v>
      </c>
      <c r="F2244" s="4" t="str">
        <f t="shared" si="210"/>
        <v>2025-05</v>
      </c>
      <c r="G2244" s="18">
        <f t="shared" si="211"/>
        <v>19</v>
      </c>
      <c r="H2244" t="str">
        <f t="shared" si="212"/>
        <v>NOELI SALETE</v>
      </c>
      <c r="I2244" t="str">
        <f t="shared" si="213"/>
        <v>SMARTCENTERGROUP COMERCIO DE EQUIPAMENTOS DE INFOR</v>
      </c>
      <c r="J2244">
        <f t="shared" si="214"/>
        <v>0</v>
      </c>
      <c r="K2244">
        <f t="shared" si="215"/>
        <v>1</v>
      </c>
    </row>
    <row r="2245" spans="1:11" x14ac:dyDescent="0.25">
      <c r="A2245" t="s">
        <v>512</v>
      </c>
      <c r="B2245" t="s">
        <v>276</v>
      </c>
      <c r="C2245" t="s">
        <v>66</v>
      </c>
      <c r="D2245" s="6">
        <v>45787</v>
      </c>
      <c r="E2245" t="str">
        <f>VLOOKUP(B2245,'PROCV GERENTES BD'!A:B,2,0)</f>
        <v>ADMINISTRAÇÃO</v>
      </c>
      <c r="F2245" s="4" t="str">
        <f t="shared" si="210"/>
        <v>2025-05</v>
      </c>
      <c r="G2245" s="18">
        <f t="shared" si="211"/>
        <v>19</v>
      </c>
      <c r="H2245" t="str">
        <f t="shared" si="212"/>
        <v>ADMINISTRAÇÃO</v>
      </c>
      <c r="I2245" t="str">
        <f t="shared" si="213"/>
        <v>FILIPE AUGUSTO DO CARMO GUSMAO LTDA ME</v>
      </c>
      <c r="J2245">
        <f t="shared" si="214"/>
        <v>1</v>
      </c>
      <c r="K2245">
        <f t="shared" si="215"/>
        <v>0</v>
      </c>
    </row>
    <row r="2246" spans="1:11" x14ac:dyDescent="0.25">
      <c r="A2246" t="s">
        <v>370</v>
      </c>
      <c r="B2246" t="s">
        <v>114</v>
      </c>
      <c r="C2246" t="s">
        <v>66</v>
      </c>
      <c r="D2246" s="6">
        <v>45787</v>
      </c>
      <c r="E2246" t="str">
        <f>VLOOKUP(B2246,'PROCV GERENTES BD'!A:B,2,0)</f>
        <v>POENATELA</v>
      </c>
      <c r="F2246" s="4" t="str">
        <f t="shared" si="210"/>
        <v>2025-05</v>
      </c>
      <c r="G2246" s="18">
        <f t="shared" si="211"/>
        <v>19</v>
      </c>
      <c r="H2246" t="str">
        <f t="shared" si="212"/>
        <v>POENATELA</v>
      </c>
      <c r="I2246" t="str">
        <f t="shared" si="213"/>
        <v>COOPERATIVA TRANSP AUTON CARGAS PASSAG SERVICOS LO</v>
      </c>
      <c r="J2246">
        <f t="shared" si="214"/>
        <v>1</v>
      </c>
      <c r="K2246">
        <f t="shared" si="215"/>
        <v>0</v>
      </c>
    </row>
    <row r="2247" spans="1:11" x14ac:dyDescent="0.25">
      <c r="A2247" t="s">
        <v>450</v>
      </c>
      <c r="B2247" t="s">
        <v>207</v>
      </c>
      <c r="C2247" t="s">
        <v>50</v>
      </c>
      <c r="D2247" s="6">
        <v>45787</v>
      </c>
      <c r="E2247" t="str">
        <f>VLOOKUP(B2247,'PROCV GERENTES BD'!A:B,2,0)</f>
        <v>CELIO PIMENTA</v>
      </c>
      <c r="F2247" s="4" t="str">
        <f t="shared" si="210"/>
        <v>2025-05</v>
      </c>
      <c r="G2247" s="18">
        <f t="shared" si="211"/>
        <v>19</v>
      </c>
      <c r="H2247" t="str">
        <f t="shared" si="212"/>
        <v>CELIO PIMENTA</v>
      </c>
      <c r="I2247" t="str">
        <f t="shared" si="213"/>
        <v>LIDER COMERCIO DE UNIFORMES E EPI S LTDA ME</v>
      </c>
      <c r="J2247">
        <f t="shared" si="214"/>
        <v>0</v>
      </c>
      <c r="K2247">
        <f t="shared" si="215"/>
        <v>1</v>
      </c>
    </row>
    <row r="2248" spans="1:11" x14ac:dyDescent="0.25">
      <c r="A2248" t="s">
        <v>72</v>
      </c>
      <c r="B2248" t="s">
        <v>73</v>
      </c>
      <c r="C2248" t="s">
        <v>50</v>
      </c>
      <c r="D2248" s="6">
        <v>45787</v>
      </c>
      <c r="E2248" t="str">
        <f>VLOOKUP(B2248,'PROCV GERENTES BD'!A:B,2,0)</f>
        <v>NOELI SALETE</v>
      </c>
      <c r="F2248" s="4" t="str">
        <f t="shared" si="210"/>
        <v>2025-05</v>
      </c>
      <c r="G2248" s="18">
        <f t="shared" si="211"/>
        <v>19</v>
      </c>
      <c r="H2248" t="str">
        <f t="shared" si="212"/>
        <v>NOELI SALETE</v>
      </c>
      <c r="I2248" t="str">
        <f t="shared" si="213"/>
        <v>SMARTCENTER SOLUCOES INTELIGENTES LTDA ME</v>
      </c>
      <c r="J2248">
        <f t="shared" si="214"/>
        <v>0</v>
      </c>
      <c r="K2248">
        <f t="shared" si="215"/>
        <v>1</v>
      </c>
    </row>
    <row r="2249" spans="1:11" x14ac:dyDescent="0.25">
      <c r="A2249" t="s">
        <v>369</v>
      </c>
      <c r="B2249" t="s">
        <v>113</v>
      </c>
      <c r="C2249" t="s">
        <v>50</v>
      </c>
      <c r="D2249" s="6">
        <v>45787</v>
      </c>
      <c r="E2249" t="str">
        <f>VLOOKUP(B2249,'PROCV GERENTES BD'!A:B,2,0)</f>
        <v xml:space="preserve">MARCUS VINICIUS </v>
      </c>
      <c r="F2249" s="4" t="str">
        <f t="shared" si="210"/>
        <v>2025-05</v>
      </c>
      <c r="G2249" s="18">
        <f t="shared" si="211"/>
        <v>19</v>
      </c>
      <c r="H2249" t="str">
        <f t="shared" si="212"/>
        <v xml:space="preserve">MARCUS VINICIUS </v>
      </c>
      <c r="I2249" t="str">
        <f t="shared" si="213"/>
        <v>ISOBASE POLIESTIRENO LTDA EPP</v>
      </c>
      <c r="J2249">
        <f t="shared" si="214"/>
        <v>0</v>
      </c>
      <c r="K2249">
        <f t="shared" si="215"/>
        <v>1</v>
      </c>
    </row>
    <row r="2250" spans="1:11" x14ac:dyDescent="0.25">
      <c r="A2250" t="s">
        <v>67</v>
      </c>
      <c r="B2250" t="s">
        <v>68</v>
      </c>
      <c r="C2250" t="s">
        <v>50</v>
      </c>
      <c r="D2250" s="6">
        <v>45787</v>
      </c>
      <c r="E2250" t="str">
        <f>VLOOKUP(B2250,'PROCV GERENTES BD'!A:B,2,0)</f>
        <v xml:space="preserve">ROGERIO </v>
      </c>
      <c r="F2250" s="4" t="str">
        <f t="shared" si="210"/>
        <v>2025-05</v>
      </c>
      <c r="G2250" s="18">
        <f t="shared" si="211"/>
        <v>19</v>
      </c>
      <c r="H2250" t="str">
        <f t="shared" si="212"/>
        <v xml:space="preserve">ROGERIO </v>
      </c>
      <c r="I2250" t="str">
        <f t="shared" si="213"/>
        <v>DIOTTONI INDUSTRIA E COMERCIO DE ALIMENTOS LTDA ME</v>
      </c>
      <c r="J2250">
        <f t="shared" si="214"/>
        <v>0</v>
      </c>
      <c r="K2250">
        <f t="shared" si="215"/>
        <v>1</v>
      </c>
    </row>
    <row r="2251" spans="1:11" x14ac:dyDescent="0.25">
      <c r="A2251" t="s">
        <v>442</v>
      </c>
      <c r="B2251" t="s">
        <v>193</v>
      </c>
      <c r="C2251" t="s">
        <v>66</v>
      </c>
      <c r="D2251" s="6">
        <v>45787</v>
      </c>
      <c r="E2251" t="str">
        <f>VLOOKUP(B2251,'PROCV GERENTES BD'!A:B,2,0)</f>
        <v>CELIO PIMENTA</v>
      </c>
      <c r="F2251" s="4" t="str">
        <f t="shared" si="210"/>
        <v>2025-05</v>
      </c>
      <c r="G2251" s="18">
        <f t="shared" si="211"/>
        <v>19</v>
      </c>
      <c r="H2251" t="str">
        <f t="shared" si="212"/>
        <v>CELIO PIMENTA</v>
      </c>
      <c r="I2251" t="str">
        <f t="shared" si="213"/>
        <v>CIA TEXTIL LTDA ME</v>
      </c>
      <c r="J2251">
        <f t="shared" si="214"/>
        <v>1</v>
      </c>
      <c r="K2251">
        <f t="shared" si="215"/>
        <v>0</v>
      </c>
    </row>
    <row r="2252" spans="1:11" x14ac:dyDescent="0.25">
      <c r="A2252" t="s">
        <v>64</v>
      </c>
      <c r="B2252" t="s">
        <v>65</v>
      </c>
      <c r="C2252" t="s">
        <v>50</v>
      </c>
      <c r="D2252" s="6">
        <v>45787</v>
      </c>
      <c r="E2252" t="str">
        <f>VLOOKUP(B2252,'PROCV GERENTES BD'!A:B,2,0)</f>
        <v>ADMINISTRAÇÃO</v>
      </c>
      <c r="F2252" s="4" t="str">
        <f t="shared" si="210"/>
        <v>2025-05</v>
      </c>
      <c r="G2252" s="18">
        <f t="shared" si="211"/>
        <v>19</v>
      </c>
      <c r="H2252" t="str">
        <f t="shared" si="212"/>
        <v>ADMINISTRAÇÃO</v>
      </c>
      <c r="I2252" t="str">
        <f t="shared" si="213"/>
        <v>SOCIAL S/A</v>
      </c>
      <c r="J2252">
        <f t="shared" si="214"/>
        <v>0</v>
      </c>
      <c r="K2252">
        <f t="shared" si="215"/>
        <v>1</v>
      </c>
    </row>
    <row r="2253" spans="1:11" x14ac:dyDescent="0.25">
      <c r="A2253" t="s">
        <v>62</v>
      </c>
      <c r="B2253" t="s">
        <v>63</v>
      </c>
      <c r="C2253" t="s">
        <v>50</v>
      </c>
      <c r="D2253" s="6">
        <v>45787</v>
      </c>
      <c r="E2253" t="str">
        <f>VLOOKUP(B2253,'PROCV GERENTES BD'!A:B,2,0)</f>
        <v>PROSPECTAR</v>
      </c>
      <c r="F2253" s="4" t="str">
        <f t="shared" si="210"/>
        <v>2025-05</v>
      </c>
      <c r="G2253" s="18">
        <f t="shared" si="211"/>
        <v>19</v>
      </c>
      <c r="H2253" t="str">
        <f t="shared" si="212"/>
        <v>PROSPECTAR</v>
      </c>
      <c r="I2253" t="str">
        <f t="shared" si="213"/>
        <v>MAPP COM IMPORTACAO EXPORTACAO IND PRODUTOS ALIMEN</v>
      </c>
      <c r="J2253">
        <f t="shared" si="214"/>
        <v>0</v>
      </c>
      <c r="K2253">
        <f t="shared" si="215"/>
        <v>1</v>
      </c>
    </row>
    <row r="2254" spans="1:11" x14ac:dyDescent="0.25">
      <c r="A2254" t="s">
        <v>60</v>
      </c>
      <c r="B2254" t="s">
        <v>61</v>
      </c>
      <c r="C2254" t="s">
        <v>50</v>
      </c>
      <c r="D2254" s="6">
        <v>45787</v>
      </c>
      <c r="E2254" t="str">
        <f>VLOOKUP(B2254,'PROCV GERENTES BD'!A:B,2,0)</f>
        <v xml:space="preserve">MARCUS VINICIUS </v>
      </c>
      <c r="F2254" s="4" t="str">
        <f t="shared" si="210"/>
        <v>2025-05</v>
      </c>
      <c r="G2254" s="18">
        <f t="shared" si="211"/>
        <v>19</v>
      </c>
      <c r="H2254" t="str">
        <f t="shared" si="212"/>
        <v xml:space="preserve">MARCUS VINICIUS </v>
      </c>
      <c r="I2254" t="str">
        <f t="shared" si="213"/>
        <v>COM IND DE CEREAIS E TRANSPORTES MACIEL LTDA</v>
      </c>
      <c r="J2254">
        <f t="shared" si="214"/>
        <v>0</v>
      </c>
      <c r="K2254">
        <f t="shared" si="215"/>
        <v>1</v>
      </c>
    </row>
    <row r="2255" spans="1:11" x14ac:dyDescent="0.25">
      <c r="A2255" t="s">
        <v>353</v>
      </c>
      <c r="B2255" t="s">
        <v>97</v>
      </c>
      <c r="C2255" t="s">
        <v>50</v>
      </c>
      <c r="D2255" s="6">
        <v>45787</v>
      </c>
      <c r="E2255" t="str">
        <f>VLOOKUP(B2255,'PROCV GERENTES BD'!A:B,2,0)</f>
        <v>PRISCILA METZ</v>
      </c>
      <c r="F2255" s="4" t="str">
        <f t="shared" si="210"/>
        <v>2025-05</v>
      </c>
      <c r="G2255" s="18">
        <f t="shared" si="211"/>
        <v>19</v>
      </c>
      <c r="H2255" t="str">
        <f t="shared" si="212"/>
        <v>PRISCILA METZ</v>
      </c>
      <c r="I2255" t="str">
        <f t="shared" si="213"/>
        <v>ESSENZA INDUSTRIA QUIMICA LTDA</v>
      </c>
      <c r="J2255">
        <f t="shared" si="214"/>
        <v>0</v>
      </c>
      <c r="K2255">
        <f t="shared" si="215"/>
        <v>1</v>
      </c>
    </row>
    <row r="2256" spans="1:11" x14ac:dyDescent="0.25">
      <c r="A2256" t="s">
        <v>513</v>
      </c>
      <c r="B2256" t="s">
        <v>275</v>
      </c>
      <c r="C2256" t="s">
        <v>50</v>
      </c>
      <c r="D2256" s="6">
        <v>45787</v>
      </c>
      <c r="E2256" t="str">
        <f>VLOOKUP(B2256,'PROCV GERENTES BD'!A:B,2,0)</f>
        <v>ALISSON DE SOUZA LIMA</v>
      </c>
      <c r="F2256" s="4" t="str">
        <f t="shared" si="210"/>
        <v>2025-05</v>
      </c>
      <c r="G2256" s="18">
        <f t="shared" si="211"/>
        <v>19</v>
      </c>
      <c r="H2256" t="str">
        <f t="shared" si="212"/>
        <v>ALISSON DE SOUZA LIMA</v>
      </c>
      <c r="I2256" t="str">
        <f t="shared" si="213"/>
        <v>COMERCIAL JLX DISTRIBUIDORA LTDA ME</v>
      </c>
      <c r="J2256">
        <f t="shared" si="214"/>
        <v>0</v>
      </c>
      <c r="K2256">
        <f t="shared" si="215"/>
        <v>1</v>
      </c>
    </row>
    <row r="2257" spans="1:11" x14ac:dyDescent="0.25">
      <c r="A2257" t="s">
        <v>319</v>
      </c>
      <c r="B2257" t="s">
        <v>80</v>
      </c>
      <c r="C2257" t="s">
        <v>50</v>
      </c>
      <c r="D2257" s="6">
        <v>45787</v>
      </c>
      <c r="E2257" t="str">
        <f>VLOOKUP(B2257,'PROCV GERENTES BD'!A:B,2,0)</f>
        <v>CELIO PIMENTA</v>
      </c>
      <c r="F2257" s="4" t="str">
        <f t="shared" si="210"/>
        <v>2025-05</v>
      </c>
      <c r="G2257" s="18">
        <f t="shared" si="211"/>
        <v>19</v>
      </c>
      <c r="H2257" t="str">
        <f t="shared" si="212"/>
        <v>CELIO PIMENTA</v>
      </c>
      <c r="I2257" t="str">
        <f t="shared" si="213"/>
        <v>IMPORTEXTIL COMERCIO DE TECIDOS LTDA</v>
      </c>
      <c r="J2257">
        <f t="shared" si="214"/>
        <v>0</v>
      </c>
      <c r="K2257">
        <f t="shared" si="215"/>
        <v>1</v>
      </c>
    </row>
    <row r="2258" spans="1:11" x14ac:dyDescent="0.25">
      <c r="A2258" t="s">
        <v>56</v>
      </c>
      <c r="B2258" t="s">
        <v>57</v>
      </c>
      <c r="C2258" t="s">
        <v>50</v>
      </c>
      <c r="D2258" s="6">
        <v>45787</v>
      </c>
      <c r="E2258" t="str">
        <f>VLOOKUP(B2258,'PROCV GERENTES BD'!A:B,2,0)</f>
        <v xml:space="preserve">ROGERIO </v>
      </c>
      <c r="F2258" s="4" t="str">
        <f t="shared" si="210"/>
        <v>2025-05</v>
      </c>
      <c r="G2258" s="18">
        <f t="shared" si="211"/>
        <v>19</v>
      </c>
      <c r="H2258" t="str">
        <f t="shared" si="212"/>
        <v xml:space="preserve">ROGERIO </v>
      </c>
      <c r="I2258" t="str">
        <f t="shared" si="213"/>
        <v>RODOVIEIRA TRANSPORTE LTDA</v>
      </c>
      <c r="J2258">
        <f t="shared" si="214"/>
        <v>0</v>
      </c>
      <c r="K2258">
        <f t="shared" si="215"/>
        <v>1</v>
      </c>
    </row>
    <row r="2259" spans="1:11" x14ac:dyDescent="0.25">
      <c r="A2259" t="s">
        <v>331</v>
      </c>
      <c r="B2259" t="s">
        <v>144</v>
      </c>
      <c r="C2259" t="s">
        <v>50</v>
      </c>
      <c r="D2259" s="6">
        <v>45787</v>
      </c>
      <c r="E2259" t="str">
        <f>VLOOKUP(B2259,'PROCV GERENTES BD'!A:B,2,0)</f>
        <v>ADMINISTRAÇÃO</v>
      </c>
      <c r="F2259" s="4" t="str">
        <f t="shared" si="210"/>
        <v>2025-05</v>
      </c>
      <c r="G2259" s="18">
        <f t="shared" si="211"/>
        <v>19</v>
      </c>
      <c r="H2259" t="str">
        <f t="shared" si="212"/>
        <v>ADMINISTRAÇÃO</v>
      </c>
      <c r="I2259" t="str">
        <f t="shared" si="213"/>
        <v>BOM PASTOR PAPEIS LTDA EM RECUPERACAO JUDICIAL</v>
      </c>
      <c r="J2259">
        <f t="shared" si="214"/>
        <v>0</v>
      </c>
      <c r="K2259">
        <f t="shared" si="215"/>
        <v>1</v>
      </c>
    </row>
    <row r="2260" spans="1:11" x14ac:dyDescent="0.25">
      <c r="A2260" t="s">
        <v>51</v>
      </c>
      <c r="B2260" t="s">
        <v>52</v>
      </c>
      <c r="C2260" t="s">
        <v>50</v>
      </c>
      <c r="D2260" s="6">
        <v>45787</v>
      </c>
      <c r="E2260" t="str">
        <f>VLOOKUP(B2260,'PROCV GERENTES BD'!A:B,2,0)</f>
        <v>RAFAEL PARISE</v>
      </c>
      <c r="F2260" s="4" t="str">
        <f t="shared" si="210"/>
        <v>2025-05</v>
      </c>
      <c r="G2260" s="18">
        <f t="shared" si="211"/>
        <v>19</v>
      </c>
      <c r="H2260" t="str">
        <f t="shared" si="212"/>
        <v>RAFAEL PARISE</v>
      </c>
      <c r="I2260" t="str">
        <f t="shared" si="213"/>
        <v>TDR TRANSPORTES LOGISTICA LTDA</v>
      </c>
      <c r="J2260">
        <f t="shared" si="214"/>
        <v>0</v>
      </c>
      <c r="K2260">
        <f t="shared" si="215"/>
        <v>1</v>
      </c>
    </row>
    <row r="2261" spans="1:11" x14ac:dyDescent="0.25">
      <c r="A2261" t="s">
        <v>490</v>
      </c>
      <c r="B2261" t="s">
        <v>248</v>
      </c>
      <c r="C2261" t="s">
        <v>66</v>
      </c>
      <c r="D2261" s="6">
        <v>45787</v>
      </c>
      <c r="E2261" t="str">
        <f>VLOOKUP(B2261,'PROCV GERENTES BD'!A:B,2,0)</f>
        <v>PROSPECTAR</v>
      </c>
      <c r="F2261" s="4" t="str">
        <f t="shared" si="210"/>
        <v>2025-05</v>
      </c>
      <c r="G2261" s="18">
        <f t="shared" si="211"/>
        <v>19</v>
      </c>
      <c r="H2261" t="str">
        <f t="shared" si="212"/>
        <v>PROSPECTAR</v>
      </c>
      <c r="I2261" t="str">
        <f t="shared" si="213"/>
        <v>PRODUTOS PORTEIRAO COM DIST E REP LTDA EPP</v>
      </c>
      <c r="J2261">
        <f t="shared" si="214"/>
        <v>1</v>
      </c>
      <c r="K2261">
        <f t="shared" si="215"/>
        <v>0</v>
      </c>
    </row>
    <row r="2262" spans="1:11" x14ac:dyDescent="0.25">
      <c r="A2262" t="s">
        <v>326</v>
      </c>
      <c r="B2262" t="s">
        <v>122</v>
      </c>
      <c r="C2262" t="s">
        <v>50</v>
      </c>
      <c r="D2262" s="6">
        <v>45787</v>
      </c>
      <c r="E2262" t="str">
        <f>VLOOKUP(B2262,'PROCV GERENTES BD'!A:B,2,0)</f>
        <v xml:space="preserve">ROGERIO </v>
      </c>
      <c r="F2262" s="4" t="str">
        <f t="shared" si="210"/>
        <v>2025-05</v>
      </c>
      <c r="G2262" s="18">
        <f t="shared" si="211"/>
        <v>19</v>
      </c>
      <c r="H2262" t="str">
        <f t="shared" si="212"/>
        <v xml:space="preserve">ROGERIO </v>
      </c>
      <c r="I2262" t="str">
        <f t="shared" si="213"/>
        <v>BIBE PRODUTOS INFANTIS LTDA</v>
      </c>
      <c r="J2262">
        <f t="shared" si="214"/>
        <v>0</v>
      </c>
      <c r="K2262">
        <f t="shared" si="215"/>
        <v>1</v>
      </c>
    </row>
    <row r="2263" spans="1:11" x14ac:dyDescent="0.25">
      <c r="A2263" t="s">
        <v>375</v>
      </c>
      <c r="B2263" t="s">
        <v>120</v>
      </c>
      <c r="C2263" t="s">
        <v>66</v>
      </c>
      <c r="D2263" s="6">
        <v>45790</v>
      </c>
      <c r="E2263" t="str">
        <f>VLOOKUP(B2263,'PROCV GERENTES BD'!A:B,2,0)</f>
        <v>ADMINISTRAÇÃO</v>
      </c>
      <c r="F2263" s="4" t="str">
        <f t="shared" si="210"/>
        <v>2025-05</v>
      </c>
      <c r="G2263" s="18">
        <f t="shared" si="211"/>
        <v>20</v>
      </c>
      <c r="H2263" t="str">
        <f t="shared" si="212"/>
        <v>ADMINISTRAÇÃO</v>
      </c>
      <c r="I2263" t="str">
        <f t="shared" si="213"/>
        <v>FARINELLI NUTRIMENTOS LTDA</v>
      </c>
      <c r="J2263">
        <f t="shared" si="214"/>
        <v>1</v>
      </c>
      <c r="K2263">
        <f t="shared" si="215"/>
        <v>0</v>
      </c>
    </row>
    <row r="2264" spans="1:11" x14ac:dyDescent="0.25">
      <c r="A2264" t="s">
        <v>447</v>
      </c>
      <c r="B2264" t="s">
        <v>200</v>
      </c>
      <c r="C2264" t="s">
        <v>50</v>
      </c>
      <c r="D2264" s="6">
        <v>45790</v>
      </c>
      <c r="E2264" t="str">
        <f>VLOOKUP(B2264,'PROCV GERENTES BD'!A:B,2,0)</f>
        <v xml:space="preserve">ROGERIO </v>
      </c>
      <c r="F2264" s="4" t="str">
        <f t="shared" si="210"/>
        <v>2025-05</v>
      </c>
      <c r="G2264" s="18">
        <f t="shared" si="211"/>
        <v>20</v>
      </c>
      <c r="H2264" t="str">
        <f t="shared" si="212"/>
        <v xml:space="preserve">ROGERIO </v>
      </c>
      <c r="I2264" t="str">
        <f t="shared" si="213"/>
        <v>ORTHOSIDE INDUSTRIA E COMERCIO LTDA EPP</v>
      </c>
      <c r="J2264">
        <f t="shared" si="214"/>
        <v>0</v>
      </c>
      <c r="K2264">
        <f t="shared" si="215"/>
        <v>1</v>
      </c>
    </row>
    <row r="2265" spans="1:11" x14ac:dyDescent="0.25">
      <c r="A2265" t="s">
        <v>503</v>
      </c>
      <c r="B2265" t="s">
        <v>261</v>
      </c>
      <c r="C2265" t="s">
        <v>66</v>
      </c>
      <c r="D2265" s="6">
        <v>45790</v>
      </c>
      <c r="E2265" t="str">
        <f>VLOOKUP(B2265,'PROCV GERENTES BD'!A:B,2,0)</f>
        <v>PRISCILA METZ</v>
      </c>
      <c r="F2265" s="4" t="str">
        <f t="shared" si="210"/>
        <v>2025-05</v>
      </c>
      <c r="G2265" s="18">
        <f t="shared" si="211"/>
        <v>20</v>
      </c>
      <c r="H2265" t="str">
        <f t="shared" si="212"/>
        <v>PRISCILA METZ</v>
      </c>
      <c r="I2265" t="str">
        <f t="shared" si="213"/>
        <v>ANDRADE ELETRO TECNICA LTDA EPP</v>
      </c>
      <c r="J2265">
        <f t="shared" si="214"/>
        <v>1</v>
      </c>
      <c r="K2265">
        <f t="shared" si="215"/>
        <v>0</v>
      </c>
    </row>
    <row r="2266" spans="1:11" x14ac:dyDescent="0.25">
      <c r="A2266" t="s">
        <v>467</v>
      </c>
      <c r="B2266" t="s">
        <v>224</v>
      </c>
      <c r="C2266" t="s">
        <v>50</v>
      </c>
      <c r="D2266" s="6">
        <v>45790</v>
      </c>
      <c r="E2266" t="str">
        <f>VLOOKUP(B2266,'PROCV GERENTES BD'!A:B,2,0)</f>
        <v>DIOGO AZEVEDO</v>
      </c>
      <c r="F2266" s="4" t="str">
        <f t="shared" si="210"/>
        <v>2025-05</v>
      </c>
      <c r="G2266" s="18">
        <f t="shared" si="211"/>
        <v>20</v>
      </c>
      <c r="H2266" t="str">
        <f t="shared" si="212"/>
        <v>DIOGO AZEVEDO</v>
      </c>
      <c r="I2266" t="str">
        <f t="shared" si="213"/>
        <v>VGS COMERCIO DE EMBALAGENS DE MADEIRAS LTDA ME</v>
      </c>
      <c r="J2266">
        <f t="shared" si="214"/>
        <v>0</v>
      </c>
      <c r="K2266">
        <f t="shared" si="215"/>
        <v>1</v>
      </c>
    </row>
    <row r="2267" spans="1:11" x14ac:dyDescent="0.25">
      <c r="A2267" t="s">
        <v>490</v>
      </c>
      <c r="B2267" t="s">
        <v>248</v>
      </c>
      <c r="C2267" t="s">
        <v>66</v>
      </c>
      <c r="D2267" s="6">
        <v>45790</v>
      </c>
      <c r="E2267" t="str">
        <f>VLOOKUP(B2267,'PROCV GERENTES BD'!A:B,2,0)</f>
        <v>PROSPECTAR</v>
      </c>
      <c r="F2267" s="4" t="str">
        <f t="shared" si="210"/>
        <v>2025-05</v>
      </c>
      <c r="G2267" s="18">
        <f t="shared" si="211"/>
        <v>20</v>
      </c>
      <c r="H2267" t="str">
        <f t="shared" si="212"/>
        <v>PROSPECTAR</v>
      </c>
      <c r="I2267" t="str">
        <f t="shared" si="213"/>
        <v>PRODUTOS PORTEIRAO COM DIST E REP LTDA EPP</v>
      </c>
      <c r="J2267">
        <f t="shared" si="214"/>
        <v>1</v>
      </c>
      <c r="K2267">
        <f t="shared" si="215"/>
        <v>0</v>
      </c>
    </row>
    <row r="2268" spans="1:11" x14ac:dyDescent="0.25">
      <c r="A2268" t="s">
        <v>514</v>
      </c>
      <c r="B2268" t="s">
        <v>278</v>
      </c>
      <c r="C2268" t="s">
        <v>50</v>
      </c>
      <c r="D2268" s="6">
        <v>45790</v>
      </c>
      <c r="E2268" t="str">
        <f>VLOOKUP(B2268,'PROCV GERENTES BD'!A:B,2,0)</f>
        <v>PROSPER</v>
      </c>
      <c r="F2268" s="4" t="str">
        <f t="shared" si="210"/>
        <v>2025-05</v>
      </c>
      <c r="G2268" s="18">
        <f t="shared" si="211"/>
        <v>20</v>
      </c>
      <c r="H2268" t="str">
        <f t="shared" si="212"/>
        <v>PROSPER</v>
      </c>
      <c r="I2268" t="str">
        <f t="shared" si="213"/>
        <v>MAIS PURA AGUA MINERAL LTDA EPP</v>
      </c>
      <c r="J2268">
        <f t="shared" si="214"/>
        <v>0</v>
      </c>
      <c r="K2268">
        <f t="shared" si="215"/>
        <v>1</v>
      </c>
    </row>
    <row r="2269" spans="1:11" x14ac:dyDescent="0.25">
      <c r="A2269" t="s">
        <v>486</v>
      </c>
      <c r="B2269" t="s">
        <v>243</v>
      </c>
      <c r="C2269" t="s">
        <v>50</v>
      </c>
      <c r="D2269" s="6">
        <v>45790</v>
      </c>
      <c r="E2269" t="str">
        <f>VLOOKUP(B2269,'PROCV GERENTES BD'!A:B,2,0)</f>
        <v>NOELI SALETE</v>
      </c>
      <c r="F2269" s="4" t="str">
        <f t="shared" si="210"/>
        <v>2025-05</v>
      </c>
      <c r="G2269" s="18">
        <f t="shared" si="211"/>
        <v>20</v>
      </c>
      <c r="H2269" t="str">
        <f t="shared" si="212"/>
        <v>NOELI SALETE</v>
      </c>
      <c r="I2269" t="str">
        <f t="shared" si="213"/>
        <v>SMARTCENTERGROUP COMERCIO DE EQUIPAMENTOS DE INFOR</v>
      </c>
      <c r="J2269">
        <f t="shared" si="214"/>
        <v>0</v>
      </c>
      <c r="K2269">
        <f t="shared" si="215"/>
        <v>1</v>
      </c>
    </row>
    <row r="2270" spans="1:11" x14ac:dyDescent="0.25">
      <c r="A2270" t="s">
        <v>314</v>
      </c>
      <c r="B2270" t="s">
        <v>246</v>
      </c>
      <c r="C2270" t="s">
        <v>50</v>
      </c>
      <c r="D2270" s="6">
        <v>45790</v>
      </c>
      <c r="E2270" t="str">
        <f>VLOOKUP(B2270,'PROCV GERENTES BD'!A:B,2,0)</f>
        <v xml:space="preserve">ROGERIO </v>
      </c>
      <c r="F2270" s="4" t="str">
        <f t="shared" si="210"/>
        <v>2025-05</v>
      </c>
      <c r="G2270" s="18">
        <f t="shared" si="211"/>
        <v>20</v>
      </c>
      <c r="H2270" t="str">
        <f t="shared" si="212"/>
        <v xml:space="preserve">ROGERIO </v>
      </c>
      <c r="I2270" t="str">
        <f t="shared" si="213"/>
        <v>MUTCD CENTRO DE DISTRIBUICAO DE IND FABRICANTE DE</v>
      </c>
      <c r="J2270">
        <f t="shared" si="214"/>
        <v>0</v>
      </c>
      <c r="K2270">
        <f t="shared" si="215"/>
        <v>1</v>
      </c>
    </row>
    <row r="2271" spans="1:11" x14ac:dyDescent="0.25">
      <c r="A2271" t="s">
        <v>72</v>
      </c>
      <c r="B2271" t="s">
        <v>73</v>
      </c>
      <c r="C2271" t="s">
        <v>50</v>
      </c>
      <c r="D2271" s="6">
        <v>45790</v>
      </c>
      <c r="E2271" t="str">
        <f>VLOOKUP(B2271,'PROCV GERENTES BD'!A:B,2,0)</f>
        <v>NOELI SALETE</v>
      </c>
      <c r="F2271" s="4" t="str">
        <f t="shared" si="210"/>
        <v>2025-05</v>
      </c>
      <c r="G2271" s="18">
        <f t="shared" si="211"/>
        <v>20</v>
      </c>
      <c r="H2271" t="str">
        <f t="shared" si="212"/>
        <v>NOELI SALETE</v>
      </c>
      <c r="I2271" t="str">
        <f t="shared" si="213"/>
        <v>SMARTCENTER SOLUCOES INTELIGENTES LTDA ME</v>
      </c>
      <c r="J2271">
        <f t="shared" si="214"/>
        <v>0</v>
      </c>
      <c r="K2271">
        <f t="shared" si="215"/>
        <v>1</v>
      </c>
    </row>
    <row r="2272" spans="1:11" x14ac:dyDescent="0.25">
      <c r="A2272" t="s">
        <v>515</v>
      </c>
      <c r="B2272" t="s">
        <v>277</v>
      </c>
      <c r="C2272" t="s">
        <v>50</v>
      </c>
      <c r="D2272" s="6">
        <v>45790</v>
      </c>
      <c r="E2272" t="str">
        <f>VLOOKUP(B2272,'PROCV GERENTES BD'!A:B,2,0)</f>
        <v>ALISSON DE SOUZA LIMA</v>
      </c>
      <c r="F2272" s="4" t="str">
        <f t="shared" si="210"/>
        <v>2025-05</v>
      </c>
      <c r="G2272" s="18">
        <f t="shared" si="211"/>
        <v>20</v>
      </c>
      <c r="H2272" t="str">
        <f t="shared" si="212"/>
        <v>ALISSON DE SOUZA LIMA</v>
      </c>
      <c r="I2272" t="str">
        <f t="shared" si="213"/>
        <v>COMERCIAL GTS INFORMATICA LTDA EPP</v>
      </c>
      <c r="J2272">
        <f t="shared" si="214"/>
        <v>0</v>
      </c>
      <c r="K2272">
        <f t="shared" si="215"/>
        <v>1</v>
      </c>
    </row>
    <row r="2273" spans="1:11" x14ac:dyDescent="0.25">
      <c r="A2273" t="s">
        <v>487</v>
      </c>
      <c r="B2273" t="s">
        <v>244</v>
      </c>
      <c r="C2273" t="s">
        <v>50</v>
      </c>
      <c r="D2273" s="6">
        <v>45790</v>
      </c>
      <c r="E2273" t="str">
        <f>VLOOKUP(B2273,'PROCV GERENTES BD'!A:B,2,0)</f>
        <v xml:space="preserve">ROGERIO </v>
      </c>
      <c r="F2273" s="4" t="str">
        <f t="shared" si="210"/>
        <v>2025-05</v>
      </c>
      <c r="G2273" s="18">
        <f t="shared" si="211"/>
        <v>20</v>
      </c>
      <c r="H2273" t="str">
        <f t="shared" si="212"/>
        <v xml:space="preserve">ROGERIO </v>
      </c>
      <c r="I2273" t="str">
        <f t="shared" si="213"/>
        <v>MUNDO AGRO COMERCIO E DISTRIBUICAO DE CALCADOS LTD</v>
      </c>
      <c r="J2273">
        <f t="shared" si="214"/>
        <v>0</v>
      </c>
      <c r="K2273">
        <f t="shared" si="215"/>
        <v>1</v>
      </c>
    </row>
    <row r="2274" spans="1:11" x14ac:dyDescent="0.25">
      <c r="A2274" t="s">
        <v>64</v>
      </c>
      <c r="B2274" t="s">
        <v>65</v>
      </c>
      <c r="C2274" t="s">
        <v>50</v>
      </c>
      <c r="D2274" s="6">
        <v>45790</v>
      </c>
      <c r="E2274" t="str">
        <f>VLOOKUP(B2274,'PROCV GERENTES BD'!A:B,2,0)</f>
        <v>ADMINISTRAÇÃO</v>
      </c>
      <c r="F2274" s="4" t="str">
        <f t="shared" si="210"/>
        <v>2025-05</v>
      </c>
      <c r="G2274" s="18">
        <f t="shared" si="211"/>
        <v>20</v>
      </c>
      <c r="H2274" t="str">
        <f t="shared" si="212"/>
        <v>ADMINISTRAÇÃO</v>
      </c>
      <c r="I2274" t="str">
        <f t="shared" si="213"/>
        <v>SOCIAL S/A</v>
      </c>
      <c r="J2274">
        <f t="shared" si="214"/>
        <v>0</v>
      </c>
      <c r="K2274">
        <f t="shared" si="215"/>
        <v>1</v>
      </c>
    </row>
    <row r="2275" spans="1:11" x14ac:dyDescent="0.25">
      <c r="A2275" t="s">
        <v>353</v>
      </c>
      <c r="B2275" t="s">
        <v>97</v>
      </c>
      <c r="C2275" t="s">
        <v>50</v>
      </c>
      <c r="D2275" s="6">
        <v>45790</v>
      </c>
      <c r="E2275" t="str">
        <f>VLOOKUP(B2275,'PROCV GERENTES BD'!A:B,2,0)</f>
        <v>PRISCILA METZ</v>
      </c>
      <c r="F2275" s="4" t="str">
        <f t="shared" si="210"/>
        <v>2025-05</v>
      </c>
      <c r="G2275" s="18">
        <f t="shared" si="211"/>
        <v>20</v>
      </c>
      <c r="H2275" t="str">
        <f t="shared" si="212"/>
        <v>PRISCILA METZ</v>
      </c>
      <c r="I2275" t="str">
        <f t="shared" si="213"/>
        <v>ESSENZA INDUSTRIA QUIMICA LTDA</v>
      </c>
      <c r="J2275">
        <f t="shared" si="214"/>
        <v>0</v>
      </c>
      <c r="K2275">
        <f t="shared" si="215"/>
        <v>1</v>
      </c>
    </row>
    <row r="2276" spans="1:11" x14ac:dyDescent="0.25">
      <c r="A2276" t="s">
        <v>58</v>
      </c>
      <c r="B2276" t="s">
        <v>59</v>
      </c>
      <c r="C2276" t="s">
        <v>50</v>
      </c>
      <c r="D2276" s="6">
        <v>45790</v>
      </c>
      <c r="E2276" t="str">
        <f>VLOOKUP(B2276,'PROCV GERENTES BD'!A:B,2,0)</f>
        <v>ADMINISTRAÇÃO</v>
      </c>
      <c r="F2276" s="4" t="str">
        <f t="shared" si="210"/>
        <v>2025-05</v>
      </c>
      <c r="G2276" s="18">
        <f t="shared" si="211"/>
        <v>20</v>
      </c>
      <c r="H2276" t="str">
        <f t="shared" si="212"/>
        <v>ADMINISTRAÇÃO</v>
      </c>
      <c r="I2276" t="str">
        <f t="shared" si="213"/>
        <v>BIOTECH LOGISTICA LTDA</v>
      </c>
      <c r="J2276">
        <f t="shared" si="214"/>
        <v>0</v>
      </c>
      <c r="K2276">
        <f t="shared" si="215"/>
        <v>1</v>
      </c>
    </row>
    <row r="2277" spans="1:11" x14ac:dyDescent="0.25">
      <c r="A2277" t="s">
        <v>513</v>
      </c>
      <c r="B2277" t="s">
        <v>275</v>
      </c>
      <c r="C2277" t="s">
        <v>50</v>
      </c>
      <c r="D2277" s="6">
        <v>45790</v>
      </c>
      <c r="E2277" t="str">
        <f>VLOOKUP(B2277,'PROCV GERENTES BD'!A:B,2,0)</f>
        <v>ALISSON DE SOUZA LIMA</v>
      </c>
      <c r="F2277" s="4" t="str">
        <f t="shared" si="210"/>
        <v>2025-05</v>
      </c>
      <c r="G2277" s="18">
        <f t="shared" si="211"/>
        <v>20</v>
      </c>
      <c r="H2277" t="str">
        <f t="shared" si="212"/>
        <v>ALISSON DE SOUZA LIMA</v>
      </c>
      <c r="I2277" t="str">
        <f t="shared" si="213"/>
        <v>COMERCIAL JLX DISTRIBUIDORA LTDA ME</v>
      </c>
      <c r="J2277">
        <f t="shared" si="214"/>
        <v>0</v>
      </c>
      <c r="K2277">
        <f t="shared" si="215"/>
        <v>1</v>
      </c>
    </row>
    <row r="2278" spans="1:11" x14ac:dyDescent="0.25">
      <c r="A2278" t="s">
        <v>56</v>
      </c>
      <c r="B2278" t="s">
        <v>57</v>
      </c>
      <c r="C2278" t="s">
        <v>50</v>
      </c>
      <c r="D2278" s="6">
        <v>45790</v>
      </c>
      <c r="E2278" t="str">
        <f>VLOOKUP(B2278,'PROCV GERENTES BD'!A:B,2,0)</f>
        <v xml:space="preserve">ROGERIO </v>
      </c>
      <c r="F2278" s="4" t="str">
        <f t="shared" si="210"/>
        <v>2025-05</v>
      </c>
      <c r="G2278" s="18">
        <f t="shared" si="211"/>
        <v>20</v>
      </c>
      <c r="H2278" t="str">
        <f t="shared" si="212"/>
        <v xml:space="preserve">ROGERIO </v>
      </c>
      <c r="I2278" t="str">
        <f t="shared" si="213"/>
        <v>RODOVIEIRA TRANSPORTE LTDA</v>
      </c>
      <c r="J2278">
        <f t="shared" si="214"/>
        <v>0</v>
      </c>
      <c r="K2278">
        <f t="shared" si="215"/>
        <v>1</v>
      </c>
    </row>
    <row r="2279" spans="1:11" x14ac:dyDescent="0.25">
      <c r="A2279" t="s">
        <v>331</v>
      </c>
      <c r="B2279" t="s">
        <v>144</v>
      </c>
      <c r="C2279" t="s">
        <v>50</v>
      </c>
      <c r="D2279" s="6">
        <v>45790</v>
      </c>
      <c r="E2279" t="str">
        <f>VLOOKUP(B2279,'PROCV GERENTES BD'!A:B,2,0)</f>
        <v>ADMINISTRAÇÃO</v>
      </c>
      <c r="F2279" s="4" t="str">
        <f t="shared" si="210"/>
        <v>2025-05</v>
      </c>
      <c r="G2279" s="18">
        <f t="shared" si="211"/>
        <v>20</v>
      </c>
      <c r="H2279" t="str">
        <f t="shared" si="212"/>
        <v>ADMINISTRAÇÃO</v>
      </c>
      <c r="I2279" t="str">
        <f t="shared" si="213"/>
        <v>BOM PASTOR PAPEIS LTDA EM RECUPERACAO JUDICIAL</v>
      </c>
      <c r="J2279">
        <f t="shared" si="214"/>
        <v>0</v>
      </c>
      <c r="K2279">
        <f t="shared" si="215"/>
        <v>1</v>
      </c>
    </row>
    <row r="2280" spans="1:11" x14ac:dyDescent="0.25">
      <c r="A2280" t="s">
        <v>54</v>
      </c>
      <c r="B2280" t="s">
        <v>55</v>
      </c>
      <c r="C2280" t="s">
        <v>50</v>
      </c>
      <c r="D2280" s="6">
        <v>45790</v>
      </c>
      <c r="E2280" t="str">
        <f>VLOOKUP(B2280,'PROCV GERENTES BD'!A:B,2,0)</f>
        <v>CELIO PIMENTA</v>
      </c>
      <c r="F2280" s="4" t="str">
        <f t="shared" si="210"/>
        <v>2025-05</v>
      </c>
      <c r="G2280" s="18">
        <f t="shared" si="211"/>
        <v>20</v>
      </c>
      <c r="H2280" t="str">
        <f t="shared" si="212"/>
        <v>CELIO PIMENTA</v>
      </c>
      <c r="I2280" t="str">
        <f t="shared" si="213"/>
        <v>WJ CALDEIRARIA INDUSTRIA E COMERCIO LTDA ME</v>
      </c>
      <c r="J2280">
        <f t="shared" si="214"/>
        <v>0</v>
      </c>
      <c r="K2280">
        <f t="shared" si="215"/>
        <v>1</v>
      </c>
    </row>
    <row r="2281" spans="1:11" x14ac:dyDescent="0.25">
      <c r="A2281" t="s">
        <v>307</v>
      </c>
      <c r="B2281" t="s">
        <v>102</v>
      </c>
      <c r="C2281" t="s">
        <v>66</v>
      </c>
      <c r="D2281" s="6">
        <v>45790</v>
      </c>
      <c r="E2281" t="str">
        <f>VLOOKUP(B2281,'PROCV GERENTES BD'!A:B,2,0)</f>
        <v>POENATELA</v>
      </c>
      <c r="F2281" s="4" t="str">
        <f t="shared" si="210"/>
        <v>2025-05</v>
      </c>
      <c r="G2281" s="18">
        <f t="shared" si="211"/>
        <v>20</v>
      </c>
      <c r="H2281" t="str">
        <f t="shared" si="212"/>
        <v>POENATELA</v>
      </c>
      <c r="I2281" t="str">
        <f t="shared" si="213"/>
        <v>ECOPINUS INDUSTRIA E COMERCIO DE EMBALAGENS DE MAD</v>
      </c>
      <c r="J2281">
        <f t="shared" si="214"/>
        <v>1</v>
      </c>
      <c r="K2281">
        <f t="shared" si="215"/>
        <v>0</v>
      </c>
    </row>
    <row r="2282" spans="1:11" x14ac:dyDescent="0.25">
      <c r="A2282" t="s">
        <v>324</v>
      </c>
      <c r="B2282" t="s">
        <v>119</v>
      </c>
      <c r="C2282" t="s">
        <v>50</v>
      </c>
      <c r="D2282" s="6">
        <v>45790</v>
      </c>
      <c r="E2282" t="str">
        <f>VLOOKUP(B2282,'PROCV GERENTES BD'!A:B,2,0)</f>
        <v>PROSPECTAR</v>
      </c>
      <c r="F2282" s="4" t="str">
        <f t="shared" si="210"/>
        <v>2025-05</v>
      </c>
      <c r="G2282" s="18">
        <f t="shared" si="211"/>
        <v>20</v>
      </c>
      <c r="H2282" t="str">
        <f t="shared" si="212"/>
        <v>PROSPECTAR</v>
      </c>
      <c r="I2282" t="str">
        <f t="shared" si="213"/>
        <v>TRANSHENRY TRANSPORTES LTDA</v>
      </c>
      <c r="J2282">
        <f t="shared" si="214"/>
        <v>0</v>
      </c>
      <c r="K2282">
        <f t="shared" si="215"/>
        <v>1</v>
      </c>
    </row>
    <row r="2283" spans="1:11" x14ac:dyDescent="0.25">
      <c r="A2283" t="s">
        <v>311</v>
      </c>
      <c r="B2283" t="s">
        <v>81</v>
      </c>
      <c r="C2283" t="s">
        <v>66</v>
      </c>
      <c r="D2283" s="6">
        <v>45790</v>
      </c>
      <c r="E2283" t="str">
        <f>VLOOKUP(B2283,'PROCV GERENTES BD'!A:B,2,0)</f>
        <v>CELIO PIMENTA</v>
      </c>
      <c r="F2283" s="4" t="str">
        <f t="shared" si="210"/>
        <v>2025-05</v>
      </c>
      <c r="G2283" s="18">
        <f t="shared" si="211"/>
        <v>20</v>
      </c>
      <c r="H2283" t="str">
        <f t="shared" si="212"/>
        <v>CELIO PIMENTA</v>
      </c>
      <c r="I2283" t="str">
        <f t="shared" si="213"/>
        <v>MBIOLOG DIAGNOSTICOS LTDA</v>
      </c>
      <c r="J2283">
        <f t="shared" si="214"/>
        <v>1</v>
      </c>
      <c r="K2283">
        <f t="shared" si="215"/>
        <v>0</v>
      </c>
    </row>
    <row r="2284" spans="1:11" x14ac:dyDescent="0.25">
      <c r="A2284" t="s">
        <v>62</v>
      </c>
      <c r="B2284" t="s">
        <v>63</v>
      </c>
      <c r="C2284" t="s">
        <v>50</v>
      </c>
      <c r="D2284" s="6">
        <v>45790</v>
      </c>
      <c r="E2284" t="str">
        <f>VLOOKUP(B2284,'PROCV GERENTES BD'!A:B,2,0)</f>
        <v>PROSPECTAR</v>
      </c>
      <c r="F2284" s="4" t="str">
        <f t="shared" si="210"/>
        <v>2025-05</v>
      </c>
      <c r="G2284" s="18">
        <f t="shared" si="211"/>
        <v>20</v>
      </c>
      <c r="H2284" t="str">
        <f t="shared" si="212"/>
        <v>PROSPECTAR</v>
      </c>
      <c r="I2284" t="str">
        <f t="shared" si="213"/>
        <v>MAPP COM IMPORTACAO EXPORTACAO IND PRODUTOS ALIMEN</v>
      </c>
      <c r="J2284">
        <f t="shared" si="214"/>
        <v>0</v>
      </c>
      <c r="K2284">
        <f t="shared" si="215"/>
        <v>1</v>
      </c>
    </row>
    <row r="2285" spans="1:11" x14ac:dyDescent="0.25">
      <c r="A2285" t="s">
        <v>326</v>
      </c>
      <c r="B2285" t="s">
        <v>122</v>
      </c>
      <c r="C2285" t="s">
        <v>50</v>
      </c>
      <c r="D2285" s="6">
        <v>45790</v>
      </c>
      <c r="E2285" t="str">
        <f>VLOOKUP(B2285,'PROCV GERENTES BD'!A:B,2,0)</f>
        <v xml:space="preserve">ROGERIO </v>
      </c>
      <c r="F2285" s="4" t="str">
        <f t="shared" si="210"/>
        <v>2025-05</v>
      </c>
      <c r="G2285" s="18">
        <f t="shared" si="211"/>
        <v>20</v>
      </c>
      <c r="H2285" t="str">
        <f t="shared" si="212"/>
        <v xml:space="preserve">ROGERIO </v>
      </c>
      <c r="I2285" t="str">
        <f t="shared" si="213"/>
        <v>BIBE PRODUTOS INFANTIS LTDA</v>
      </c>
      <c r="J2285">
        <f t="shared" si="214"/>
        <v>0</v>
      </c>
      <c r="K2285">
        <f t="shared" si="215"/>
        <v>1</v>
      </c>
    </row>
    <row r="2286" spans="1:11" x14ac:dyDescent="0.25">
      <c r="A2286" t="s">
        <v>466</v>
      </c>
      <c r="B2286" t="s">
        <v>223</v>
      </c>
      <c r="C2286" t="s">
        <v>50</v>
      </c>
      <c r="D2286" s="6">
        <v>45791</v>
      </c>
      <c r="E2286" t="str">
        <f>VLOOKUP(B2286,'PROCV GERENTES BD'!A:B,2,0)</f>
        <v>CELIO PIMENTA</v>
      </c>
      <c r="F2286" s="4" t="str">
        <f t="shared" si="210"/>
        <v>2025-05</v>
      </c>
      <c r="G2286" s="18">
        <f t="shared" si="211"/>
        <v>20</v>
      </c>
      <c r="H2286" t="str">
        <f t="shared" si="212"/>
        <v>CELIO PIMENTA</v>
      </c>
      <c r="I2286" t="str">
        <f t="shared" si="213"/>
        <v>ACO X LTDA ME</v>
      </c>
      <c r="J2286">
        <f t="shared" si="214"/>
        <v>0</v>
      </c>
      <c r="K2286">
        <f t="shared" si="215"/>
        <v>1</v>
      </c>
    </row>
    <row r="2287" spans="1:11" x14ac:dyDescent="0.25">
      <c r="A2287" t="s">
        <v>379</v>
      </c>
      <c r="B2287" t="s">
        <v>126</v>
      </c>
      <c r="C2287" t="s">
        <v>50</v>
      </c>
      <c r="D2287" s="6">
        <v>45791</v>
      </c>
      <c r="E2287" t="str">
        <f>VLOOKUP(B2287,'PROCV GERENTES BD'!A:B,2,0)</f>
        <v>ADMINISTRAÇÃO</v>
      </c>
      <c r="F2287" s="4" t="str">
        <f t="shared" si="210"/>
        <v>2025-05</v>
      </c>
      <c r="G2287" s="18">
        <f t="shared" si="211"/>
        <v>20</v>
      </c>
      <c r="H2287" t="str">
        <f t="shared" si="212"/>
        <v>ADMINISTRAÇÃO</v>
      </c>
      <c r="I2287" t="str">
        <f t="shared" si="213"/>
        <v>ENXOVAIS MINAS LTDA ME</v>
      </c>
      <c r="J2287">
        <f t="shared" si="214"/>
        <v>0</v>
      </c>
      <c r="K2287">
        <f t="shared" si="215"/>
        <v>1</v>
      </c>
    </row>
    <row r="2288" spans="1:11" x14ac:dyDescent="0.25">
      <c r="A2288" t="s">
        <v>467</v>
      </c>
      <c r="B2288" t="s">
        <v>224</v>
      </c>
      <c r="C2288" t="s">
        <v>50</v>
      </c>
      <c r="D2288" s="6">
        <v>45791</v>
      </c>
      <c r="E2288" t="str">
        <f>VLOOKUP(B2288,'PROCV GERENTES BD'!A:B,2,0)</f>
        <v>DIOGO AZEVEDO</v>
      </c>
      <c r="F2288" s="4" t="str">
        <f t="shared" si="210"/>
        <v>2025-05</v>
      </c>
      <c r="G2288" s="18">
        <f t="shared" si="211"/>
        <v>20</v>
      </c>
      <c r="H2288" t="str">
        <f t="shared" si="212"/>
        <v>DIOGO AZEVEDO</v>
      </c>
      <c r="I2288" t="str">
        <f t="shared" si="213"/>
        <v>VGS COMERCIO DE EMBALAGENS DE MADEIRAS LTDA ME</v>
      </c>
      <c r="J2288">
        <f t="shared" si="214"/>
        <v>0</v>
      </c>
      <c r="K2288">
        <f t="shared" si="215"/>
        <v>1</v>
      </c>
    </row>
    <row r="2289" spans="1:11" x14ac:dyDescent="0.25">
      <c r="A2289" t="s">
        <v>490</v>
      </c>
      <c r="B2289" t="s">
        <v>248</v>
      </c>
      <c r="C2289" t="s">
        <v>50</v>
      </c>
      <c r="D2289" s="6">
        <v>45791</v>
      </c>
      <c r="E2289" t="str">
        <f>VLOOKUP(B2289,'PROCV GERENTES BD'!A:B,2,0)</f>
        <v>PROSPECTAR</v>
      </c>
      <c r="F2289" s="4" t="str">
        <f t="shared" si="210"/>
        <v>2025-05</v>
      </c>
      <c r="G2289" s="18">
        <f t="shared" si="211"/>
        <v>20</v>
      </c>
      <c r="H2289" t="str">
        <f t="shared" si="212"/>
        <v>PROSPECTAR</v>
      </c>
      <c r="I2289" t="str">
        <f t="shared" si="213"/>
        <v>PRODUTOS PORTEIRAO COM DIST E REP LTDA EPP</v>
      </c>
      <c r="J2289">
        <f t="shared" si="214"/>
        <v>0</v>
      </c>
      <c r="K2289">
        <f t="shared" si="215"/>
        <v>1</v>
      </c>
    </row>
    <row r="2290" spans="1:11" x14ac:dyDescent="0.25">
      <c r="A2290" t="s">
        <v>486</v>
      </c>
      <c r="B2290" t="s">
        <v>243</v>
      </c>
      <c r="C2290" t="s">
        <v>50</v>
      </c>
      <c r="D2290" s="6">
        <v>45791</v>
      </c>
      <c r="E2290" t="str">
        <f>VLOOKUP(B2290,'PROCV GERENTES BD'!A:B,2,0)</f>
        <v>NOELI SALETE</v>
      </c>
      <c r="F2290" s="4" t="str">
        <f t="shared" si="210"/>
        <v>2025-05</v>
      </c>
      <c r="G2290" s="18">
        <f t="shared" si="211"/>
        <v>20</v>
      </c>
      <c r="H2290" t="str">
        <f t="shared" si="212"/>
        <v>NOELI SALETE</v>
      </c>
      <c r="I2290" t="str">
        <f t="shared" si="213"/>
        <v>SMARTCENTERGROUP COMERCIO DE EQUIPAMENTOS DE INFOR</v>
      </c>
      <c r="J2290">
        <f t="shared" si="214"/>
        <v>0</v>
      </c>
      <c r="K2290">
        <f t="shared" si="215"/>
        <v>1</v>
      </c>
    </row>
    <row r="2291" spans="1:11" x14ac:dyDescent="0.25">
      <c r="A2291" t="s">
        <v>314</v>
      </c>
      <c r="B2291" t="s">
        <v>246</v>
      </c>
      <c r="C2291" t="s">
        <v>50</v>
      </c>
      <c r="D2291" s="6">
        <v>45791</v>
      </c>
      <c r="E2291" t="str">
        <f>VLOOKUP(B2291,'PROCV GERENTES BD'!A:B,2,0)</f>
        <v xml:space="preserve">ROGERIO </v>
      </c>
      <c r="F2291" s="4" t="str">
        <f t="shared" si="210"/>
        <v>2025-05</v>
      </c>
      <c r="G2291" s="18">
        <f t="shared" si="211"/>
        <v>20</v>
      </c>
      <c r="H2291" t="str">
        <f t="shared" si="212"/>
        <v xml:space="preserve">ROGERIO </v>
      </c>
      <c r="I2291" t="str">
        <f t="shared" si="213"/>
        <v>MUTCD CENTRO DE DISTRIBUICAO DE IND FABRICANTE DE</v>
      </c>
      <c r="J2291">
        <f t="shared" si="214"/>
        <v>0</v>
      </c>
      <c r="K2291">
        <f t="shared" si="215"/>
        <v>1</v>
      </c>
    </row>
    <row r="2292" spans="1:11" x14ac:dyDescent="0.25">
      <c r="A2292" t="s">
        <v>74</v>
      </c>
      <c r="B2292" t="s">
        <v>75</v>
      </c>
      <c r="C2292" t="s">
        <v>66</v>
      </c>
      <c r="D2292" s="6">
        <v>45791</v>
      </c>
      <c r="E2292" t="str">
        <f>VLOOKUP(B2292,'PROCV GERENTES BD'!A:B,2,0)</f>
        <v>CAIO</v>
      </c>
      <c r="F2292" s="4" t="str">
        <f t="shared" si="210"/>
        <v>2025-05</v>
      </c>
      <c r="G2292" s="18">
        <f t="shared" si="211"/>
        <v>20</v>
      </c>
      <c r="H2292" t="str">
        <f t="shared" si="212"/>
        <v>CAIO</v>
      </c>
      <c r="I2292" t="str">
        <f t="shared" si="213"/>
        <v>TP DISTRIBUIDORA DE PECAS LTDA EPP</v>
      </c>
      <c r="J2292">
        <f t="shared" si="214"/>
        <v>1</v>
      </c>
      <c r="K2292">
        <f t="shared" si="215"/>
        <v>0</v>
      </c>
    </row>
    <row r="2293" spans="1:11" x14ac:dyDescent="0.25">
      <c r="A2293" t="s">
        <v>72</v>
      </c>
      <c r="B2293" t="s">
        <v>73</v>
      </c>
      <c r="C2293" t="s">
        <v>50</v>
      </c>
      <c r="D2293" s="6">
        <v>45791</v>
      </c>
      <c r="E2293" t="str">
        <f>VLOOKUP(B2293,'PROCV GERENTES BD'!A:B,2,0)</f>
        <v>NOELI SALETE</v>
      </c>
      <c r="F2293" s="4" t="str">
        <f t="shared" si="210"/>
        <v>2025-05</v>
      </c>
      <c r="G2293" s="18">
        <f t="shared" si="211"/>
        <v>20</v>
      </c>
      <c r="H2293" t="str">
        <f t="shared" si="212"/>
        <v>NOELI SALETE</v>
      </c>
      <c r="I2293" t="str">
        <f t="shared" si="213"/>
        <v>SMARTCENTER SOLUCOES INTELIGENTES LTDA ME</v>
      </c>
      <c r="J2293">
        <f t="shared" si="214"/>
        <v>0</v>
      </c>
      <c r="K2293">
        <f t="shared" si="215"/>
        <v>1</v>
      </c>
    </row>
    <row r="2294" spans="1:11" x14ac:dyDescent="0.25">
      <c r="A2294" t="s">
        <v>428</v>
      </c>
      <c r="B2294" t="s">
        <v>179</v>
      </c>
      <c r="C2294" t="s">
        <v>53</v>
      </c>
      <c r="D2294" s="6">
        <v>45791</v>
      </c>
      <c r="E2294" t="str">
        <f>VLOOKUP(B2294,'PROCV GERENTES BD'!A:B,2,0)</f>
        <v xml:space="preserve">MARCUS VINICIUS </v>
      </c>
      <c r="F2294" s="4" t="str">
        <f t="shared" si="210"/>
        <v>2025-05</v>
      </c>
      <c r="G2294" s="18">
        <f t="shared" si="211"/>
        <v>20</v>
      </c>
      <c r="H2294" t="str">
        <f t="shared" si="212"/>
        <v xml:space="preserve">MARCUS VINICIUS </v>
      </c>
      <c r="I2294" t="str">
        <f t="shared" si="213"/>
        <v>LABOR ELETRIC INDUSTRIA E COMERCIO UNIPESSOAL LTDA</v>
      </c>
      <c r="J2294">
        <f t="shared" si="214"/>
        <v>1</v>
      </c>
      <c r="K2294">
        <f t="shared" si="215"/>
        <v>1</v>
      </c>
    </row>
    <row r="2295" spans="1:11" x14ac:dyDescent="0.25">
      <c r="A2295" t="s">
        <v>516</v>
      </c>
      <c r="B2295" t="s">
        <v>279</v>
      </c>
      <c r="C2295" t="s">
        <v>50</v>
      </c>
      <c r="D2295" s="6">
        <v>45791</v>
      </c>
      <c r="E2295" t="str">
        <f>VLOOKUP(B2295,'PROCV GERENTES BD'!A:B,2,0)</f>
        <v xml:space="preserve">ROGERIO </v>
      </c>
      <c r="F2295" s="4" t="str">
        <f t="shared" si="210"/>
        <v>2025-05</v>
      </c>
      <c r="G2295" s="18">
        <f t="shared" si="211"/>
        <v>20</v>
      </c>
      <c r="H2295" t="str">
        <f t="shared" si="212"/>
        <v xml:space="preserve">ROGERIO </v>
      </c>
      <c r="I2295" t="str">
        <f t="shared" si="213"/>
        <v>MUNDYSERVICE COMERCIO DE PECAS E ASSISTENCIA TECNI</v>
      </c>
      <c r="J2295">
        <f t="shared" si="214"/>
        <v>0</v>
      </c>
      <c r="K2295">
        <f t="shared" si="215"/>
        <v>1</v>
      </c>
    </row>
    <row r="2296" spans="1:11" x14ac:dyDescent="0.25">
      <c r="A2296" t="s">
        <v>64</v>
      </c>
      <c r="B2296" t="s">
        <v>65</v>
      </c>
      <c r="C2296" t="s">
        <v>50</v>
      </c>
      <c r="D2296" s="6">
        <v>45791</v>
      </c>
      <c r="E2296" t="str">
        <f>VLOOKUP(B2296,'PROCV GERENTES BD'!A:B,2,0)</f>
        <v>ADMINISTRAÇÃO</v>
      </c>
      <c r="F2296" s="4" t="str">
        <f t="shared" si="210"/>
        <v>2025-05</v>
      </c>
      <c r="G2296" s="18">
        <f t="shared" si="211"/>
        <v>20</v>
      </c>
      <c r="H2296" t="str">
        <f t="shared" si="212"/>
        <v>ADMINISTRAÇÃO</v>
      </c>
      <c r="I2296" t="str">
        <f t="shared" si="213"/>
        <v>SOCIAL S/A</v>
      </c>
      <c r="J2296">
        <f t="shared" si="214"/>
        <v>0</v>
      </c>
      <c r="K2296">
        <f t="shared" si="215"/>
        <v>1</v>
      </c>
    </row>
    <row r="2297" spans="1:11" x14ac:dyDescent="0.25">
      <c r="A2297" t="s">
        <v>62</v>
      </c>
      <c r="B2297" t="s">
        <v>63</v>
      </c>
      <c r="C2297" t="s">
        <v>50</v>
      </c>
      <c r="D2297" s="6">
        <v>45791</v>
      </c>
      <c r="E2297" t="str">
        <f>VLOOKUP(B2297,'PROCV GERENTES BD'!A:B,2,0)</f>
        <v>PROSPECTAR</v>
      </c>
      <c r="F2297" s="4" t="str">
        <f t="shared" si="210"/>
        <v>2025-05</v>
      </c>
      <c r="G2297" s="18">
        <f t="shared" si="211"/>
        <v>20</v>
      </c>
      <c r="H2297" t="str">
        <f t="shared" si="212"/>
        <v>PROSPECTAR</v>
      </c>
      <c r="I2297" t="str">
        <f t="shared" si="213"/>
        <v>MAPP COM IMPORTACAO EXPORTACAO IND PRODUTOS ALIMEN</v>
      </c>
      <c r="J2297">
        <f t="shared" si="214"/>
        <v>0</v>
      </c>
      <c r="K2297">
        <f t="shared" si="215"/>
        <v>1</v>
      </c>
    </row>
    <row r="2298" spans="1:11" x14ac:dyDescent="0.25">
      <c r="A2298" t="s">
        <v>499</v>
      </c>
      <c r="B2298" t="s">
        <v>258</v>
      </c>
      <c r="C2298" t="s">
        <v>66</v>
      </c>
      <c r="D2298" s="6">
        <v>45791</v>
      </c>
      <c r="E2298" t="str">
        <f>VLOOKUP(B2298,'PROCV GERENTES BD'!A:B,2,0)</f>
        <v>PRISCILA METZ</v>
      </c>
      <c r="F2298" s="4" t="str">
        <f t="shared" si="210"/>
        <v>2025-05</v>
      </c>
      <c r="G2298" s="18">
        <f t="shared" si="211"/>
        <v>20</v>
      </c>
      <c r="H2298" t="str">
        <f t="shared" si="212"/>
        <v>PRISCILA METZ</v>
      </c>
      <c r="I2298" t="str">
        <f t="shared" si="213"/>
        <v>PLATINUM INDUSTRIA DE CONFECCOES LTDA</v>
      </c>
      <c r="J2298">
        <f t="shared" si="214"/>
        <v>1</v>
      </c>
      <c r="K2298">
        <f t="shared" si="215"/>
        <v>0</v>
      </c>
    </row>
    <row r="2299" spans="1:11" x14ac:dyDescent="0.25">
      <c r="A2299" t="s">
        <v>317</v>
      </c>
      <c r="B2299" t="s">
        <v>280</v>
      </c>
      <c r="C2299" t="s">
        <v>50</v>
      </c>
      <c r="D2299" s="6">
        <v>45791</v>
      </c>
      <c r="E2299" t="str">
        <f>VLOOKUP(B2299,'PROCV GERENTES BD'!A:B,2,0)</f>
        <v>PROSPECTAR</v>
      </c>
      <c r="F2299" s="4" t="str">
        <f t="shared" si="210"/>
        <v>2025-05</v>
      </c>
      <c r="G2299" s="18">
        <f t="shared" si="211"/>
        <v>20</v>
      </c>
      <c r="H2299" t="str">
        <f t="shared" si="212"/>
        <v>PROSPECTAR</v>
      </c>
      <c r="I2299" t="str">
        <f t="shared" si="213"/>
        <v>STA TECHCANA LTDA</v>
      </c>
      <c r="J2299">
        <f t="shared" si="214"/>
        <v>0</v>
      </c>
      <c r="K2299">
        <f t="shared" si="215"/>
        <v>1</v>
      </c>
    </row>
    <row r="2300" spans="1:11" x14ac:dyDescent="0.25">
      <c r="A2300" t="s">
        <v>353</v>
      </c>
      <c r="B2300" t="s">
        <v>97</v>
      </c>
      <c r="C2300" t="s">
        <v>50</v>
      </c>
      <c r="D2300" s="6">
        <v>45791</v>
      </c>
      <c r="E2300" t="str">
        <f>VLOOKUP(B2300,'PROCV GERENTES BD'!A:B,2,0)</f>
        <v>PRISCILA METZ</v>
      </c>
      <c r="F2300" s="4" t="str">
        <f t="shared" si="210"/>
        <v>2025-05</v>
      </c>
      <c r="G2300" s="18">
        <f t="shared" si="211"/>
        <v>20</v>
      </c>
      <c r="H2300" t="str">
        <f t="shared" si="212"/>
        <v>PRISCILA METZ</v>
      </c>
      <c r="I2300" t="str">
        <f t="shared" si="213"/>
        <v>ESSENZA INDUSTRIA QUIMICA LTDA</v>
      </c>
      <c r="J2300">
        <f t="shared" si="214"/>
        <v>0</v>
      </c>
      <c r="K2300">
        <f t="shared" si="215"/>
        <v>1</v>
      </c>
    </row>
    <row r="2301" spans="1:11" x14ac:dyDescent="0.25">
      <c r="A2301" t="s">
        <v>56</v>
      </c>
      <c r="B2301" t="s">
        <v>57</v>
      </c>
      <c r="C2301" t="s">
        <v>53</v>
      </c>
      <c r="D2301" s="6">
        <v>45791</v>
      </c>
      <c r="E2301" t="str">
        <f>VLOOKUP(B2301,'PROCV GERENTES BD'!A:B,2,0)</f>
        <v xml:space="preserve">ROGERIO </v>
      </c>
      <c r="F2301" s="4" t="str">
        <f t="shared" si="210"/>
        <v>2025-05</v>
      </c>
      <c r="G2301" s="18">
        <f t="shared" si="211"/>
        <v>20</v>
      </c>
      <c r="H2301" t="str">
        <f t="shared" si="212"/>
        <v xml:space="preserve">ROGERIO </v>
      </c>
      <c r="I2301" t="str">
        <f t="shared" si="213"/>
        <v>RODOVIEIRA TRANSPORTE LTDA</v>
      </c>
      <c r="J2301">
        <f t="shared" si="214"/>
        <v>1</v>
      </c>
      <c r="K2301">
        <f t="shared" si="215"/>
        <v>1</v>
      </c>
    </row>
    <row r="2302" spans="1:11" x14ac:dyDescent="0.25">
      <c r="A2302" t="s">
        <v>358</v>
      </c>
      <c r="B2302" t="s">
        <v>104</v>
      </c>
      <c r="C2302" t="s">
        <v>50</v>
      </c>
      <c r="D2302" s="6">
        <v>45791</v>
      </c>
      <c r="E2302" t="str">
        <f>VLOOKUP(B2302,'PROCV GERENTES BD'!A:B,2,0)</f>
        <v>DIOGO AZEVEDO</v>
      </c>
      <c r="F2302" s="4" t="str">
        <f t="shared" si="210"/>
        <v>2025-05</v>
      </c>
      <c r="G2302" s="18">
        <f t="shared" si="211"/>
        <v>20</v>
      </c>
      <c r="H2302" t="str">
        <f t="shared" si="212"/>
        <v>DIOGO AZEVEDO</v>
      </c>
      <c r="I2302" t="str">
        <f t="shared" si="213"/>
        <v>INDUSTRIA E CERVEJARIA ARTESANAL DE MINAS GERAIS L</v>
      </c>
      <c r="J2302">
        <f t="shared" si="214"/>
        <v>0</v>
      </c>
      <c r="K2302">
        <f t="shared" si="215"/>
        <v>1</v>
      </c>
    </row>
    <row r="2303" spans="1:11" x14ac:dyDescent="0.25">
      <c r="A2303" t="s">
        <v>517</v>
      </c>
      <c r="B2303" t="s">
        <v>281</v>
      </c>
      <c r="C2303" t="s">
        <v>50</v>
      </c>
      <c r="D2303" s="6">
        <v>45791</v>
      </c>
      <c r="E2303" t="str">
        <f>VLOOKUP(B2303,'PROCV GERENTES BD'!A:B,2,0)</f>
        <v>CAIO</v>
      </c>
      <c r="F2303" s="4" t="str">
        <f t="shared" si="210"/>
        <v>2025-05</v>
      </c>
      <c r="G2303" s="18">
        <f t="shared" si="211"/>
        <v>20</v>
      </c>
      <c r="H2303" t="str">
        <f t="shared" si="212"/>
        <v>CAIO</v>
      </c>
      <c r="I2303" t="str">
        <f t="shared" si="213"/>
        <v>DLTX INDUSTRIA E COMERCIO LTDA EPP</v>
      </c>
      <c r="J2303">
        <f t="shared" si="214"/>
        <v>0</v>
      </c>
      <c r="K2303">
        <f t="shared" si="215"/>
        <v>1</v>
      </c>
    </row>
    <row r="2304" spans="1:11" x14ac:dyDescent="0.25">
      <c r="A2304" t="s">
        <v>321</v>
      </c>
      <c r="B2304" t="s">
        <v>264</v>
      </c>
      <c r="C2304" t="s">
        <v>50</v>
      </c>
      <c r="D2304" s="6">
        <v>45791</v>
      </c>
      <c r="E2304" t="str">
        <f>VLOOKUP(B2304,'PROCV GERENTES BD'!A:B,2,0)</f>
        <v>RAFAEL PARISE</v>
      </c>
      <c r="F2304" s="4" t="str">
        <f t="shared" si="210"/>
        <v>2025-05</v>
      </c>
      <c r="G2304" s="18">
        <f t="shared" si="211"/>
        <v>20</v>
      </c>
      <c r="H2304" t="str">
        <f t="shared" si="212"/>
        <v>RAFAEL PARISE</v>
      </c>
      <c r="I2304" t="str">
        <f t="shared" si="213"/>
        <v>METALCROMO METALIZACAO E CROMO DURO INDUSTRIAL LTD</v>
      </c>
      <c r="J2304">
        <f t="shared" si="214"/>
        <v>0</v>
      </c>
      <c r="K2304">
        <f t="shared" si="215"/>
        <v>1</v>
      </c>
    </row>
    <row r="2305" spans="1:11" x14ac:dyDescent="0.25">
      <c r="A2305" t="s">
        <v>393</v>
      </c>
      <c r="B2305" t="s">
        <v>142</v>
      </c>
      <c r="C2305" t="s">
        <v>66</v>
      </c>
      <c r="D2305" s="6">
        <v>45791</v>
      </c>
      <c r="E2305" t="str">
        <f>VLOOKUP(B2305,'PROCV GERENTES BD'!A:B,2,0)</f>
        <v>ADMINISTRAÇÃO</v>
      </c>
      <c r="F2305" s="4" t="str">
        <f t="shared" si="210"/>
        <v>2025-05</v>
      </c>
      <c r="G2305" s="18">
        <f t="shared" si="211"/>
        <v>20</v>
      </c>
      <c r="H2305" t="str">
        <f t="shared" si="212"/>
        <v>ADMINISTRAÇÃO</v>
      </c>
      <c r="I2305" t="str">
        <f t="shared" si="213"/>
        <v>MONTAGEM MINAS GERAIS LTDA ME</v>
      </c>
      <c r="J2305">
        <f t="shared" si="214"/>
        <v>1</v>
      </c>
      <c r="K2305">
        <f t="shared" si="215"/>
        <v>0</v>
      </c>
    </row>
    <row r="2306" spans="1:11" x14ac:dyDescent="0.25">
      <c r="A2306" t="s">
        <v>54</v>
      </c>
      <c r="B2306" t="s">
        <v>55</v>
      </c>
      <c r="C2306" t="s">
        <v>50</v>
      </c>
      <c r="D2306" s="6">
        <v>45791</v>
      </c>
      <c r="E2306" t="str">
        <f>VLOOKUP(B2306,'PROCV GERENTES BD'!A:B,2,0)</f>
        <v>CELIO PIMENTA</v>
      </c>
      <c r="F2306" s="4" t="str">
        <f t="shared" ref="F2306:F2369" si="216">YEAR(D2306)&amp;"-"&amp;TEXT(MONTH(D2306),"00")</f>
        <v>2025-05</v>
      </c>
      <c r="G2306" s="18">
        <f t="shared" ref="G2306:G2369" si="217">WEEKNUM(D2306)</f>
        <v>20</v>
      </c>
      <c r="H2306" t="str">
        <f t="shared" ref="H2306:H2369" si="218">E2306</f>
        <v>CELIO PIMENTA</v>
      </c>
      <c r="I2306" t="str">
        <f t="shared" ref="I2306:I2369" si="219">B2306</f>
        <v>WJ CALDEIRARIA INDUSTRIA E COMERCIO LTDA ME</v>
      </c>
      <c r="J2306">
        <f t="shared" ref="J2306:J2369" si="220">IF(OR(C2306="EXCLUSAO  ANOT.INADIMPLENCIA",C2306="INCL/EXCL ANOT.INADIMPLENCIA"),1,0)</f>
        <v>0</v>
      </c>
      <c r="K2306">
        <f t="shared" ref="K2306:K2369" si="221">IF(OR(C2306="INCLUSAO  ANOT.INADIMPLENCIA",C2306="INCL/EXCL ANOT.INADIMPLENCIA"),1,0)</f>
        <v>1</v>
      </c>
    </row>
    <row r="2307" spans="1:11" x14ac:dyDescent="0.25">
      <c r="A2307" t="s">
        <v>307</v>
      </c>
      <c r="B2307" t="s">
        <v>102</v>
      </c>
      <c r="C2307" t="s">
        <v>50</v>
      </c>
      <c r="D2307" s="6">
        <v>45791</v>
      </c>
      <c r="E2307" t="str">
        <f>VLOOKUP(B2307,'PROCV GERENTES BD'!A:B,2,0)</f>
        <v>POENATELA</v>
      </c>
      <c r="F2307" s="4" t="str">
        <f t="shared" si="216"/>
        <v>2025-05</v>
      </c>
      <c r="G2307" s="18">
        <f t="shared" si="217"/>
        <v>20</v>
      </c>
      <c r="H2307" t="str">
        <f t="shared" si="218"/>
        <v>POENATELA</v>
      </c>
      <c r="I2307" t="str">
        <f t="shared" si="219"/>
        <v>ECOPINUS INDUSTRIA E COMERCIO DE EMBALAGENS DE MAD</v>
      </c>
      <c r="J2307">
        <f t="shared" si="220"/>
        <v>0</v>
      </c>
      <c r="K2307">
        <f t="shared" si="221"/>
        <v>1</v>
      </c>
    </row>
    <row r="2308" spans="1:11" x14ac:dyDescent="0.25">
      <c r="A2308" t="s">
        <v>51</v>
      </c>
      <c r="B2308" t="s">
        <v>52</v>
      </c>
      <c r="C2308" t="s">
        <v>50</v>
      </c>
      <c r="D2308" s="6">
        <v>45791</v>
      </c>
      <c r="E2308" t="str">
        <f>VLOOKUP(B2308,'PROCV GERENTES BD'!A:B,2,0)</f>
        <v>RAFAEL PARISE</v>
      </c>
      <c r="F2308" s="4" t="str">
        <f t="shared" si="216"/>
        <v>2025-05</v>
      </c>
      <c r="G2308" s="18">
        <f t="shared" si="217"/>
        <v>20</v>
      </c>
      <c r="H2308" t="str">
        <f t="shared" si="218"/>
        <v>RAFAEL PARISE</v>
      </c>
      <c r="I2308" t="str">
        <f t="shared" si="219"/>
        <v>TDR TRANSPORTES LOGISTICA LTDA</v>
      </c>
      <c r="J2308">
        <f t="shared" si="220"/>
        <v>0</v>
      </c>
      <c r="K2308">
        <f t="shared" si="221"/>
        <v>1</v>
      </c>
    </row>
    <row r="2309" spans="1:11" x14ac:dyDescent="0.25">
      <c r="A2309" t="s">
        <v>324</v>
      </c>
      <c r="B2309" t="s">
        <v>119</v>
      </c>
      <c r="C2309" t="s">
        <v>50</v>
      </c>
      <c r="D2309" s="6">
        <v>45791</v>
      </c>
      <c r="E2309" t="str">
        <f>VLOOKUP(B2309,'PROCV GERENTES BD'!A:B,2,0)</f>
        <v>PROSPECTAR</v>
      </c>
      <c r="F2309" s="4" t="str">
        <f t="shared" si="216"/>
        <v>2025-05</v>
      </c>
      <c r="G2309" s="18">
        <f t="shared" si="217"/>
        <v>20</v>
      </c>
      <c r="H2309" t="str">
        <f t="shared" si="218"/>
        <v>PROSPECTAR</v>
      </c>
      <c r="I2309" t="str">
        <f t="shared" si="219"/>
        <v>TRANSHENRY TRANSPORTES LTDA</v>
      </c>
      <c r="J2309">
        <f t="shared" si="220"/>
        <v>0</v>
      </c>
      <c r="K2309">
        <f t="shared" si="221"/>
        <v>1</v>
      </c>
    </row>
    <row r="2310" spans="1:11" x14ac:dyDescent="0.25">
      <c r="A2310" t="s">
        <v>306</v>
      </c>
      <c r="B2310" t="s">
        <v>266</v>
      </c>
      <c r="C2310" t="s">
        <v>50</v>
      </c>
      <c r="D2310" s="6">
        <v>45791</v>
      </c>
      <c r="E2310" t="str">
        <f>VLOOKUP(B2310,'PROCV GERENTES BD'!A:B,2,0)</f>
        <v>CAIO</v>
      </c>
      <c r="F2310" s="4" t="str">
        <f t="shared" si="216"/>
        <v>2025-05</v>
      </c>
      <c r="G2310" s="18">
        <f t="shared" si="217"/>
        <v>20</v>
      </c>
      <c r="H2310" t="str">
        <f t="shared" si="218"/>
        <v>CAIO</v>
      </c>
      <c r="I2310" t="str">
        <f t="shared" si="219"/>
        <v>MECALD MECANICA E CALDEIRARIA LTDA EPP</v>
      </c>
      <c r="J2310">
        <f t="shared" si="220"/>
        <v>0</v>
      </c>
      <c r="K2310">
        <f t="shared" si="221"/>
        <v>1</v>
      </c>
    </row>
    <row r="2311" spans="1:11" x14ac:dyDescent="0.25">
      <c r="A2311" t="s">
        <v>305</v>
      </c>
      <c r="B2311" t="s">
        <v>141</v>
      </c>
      <c r="C2311" t="s">
        <v>66</v>
      </c>
      <c r="D2311" s="6">
        <v>45791</v>
      </c>
      <c r="E2311" t="str">
        <f>VLOOKUP(B2311,'PROCV GERENTES BD'!A:B,2,0)</f>
        <v>NOELI SALETE</v>
      </c>
      <c r="F2311" s="4" t="str">
        <f t="shared" si="216"/>
        <v>2025-05</v>
      </c>
      <c r="G2311" s="18">
        <f t="shared" si="217"/>
        <v>20</v>
      </c>
      <c r="H2311" t="str">
        <f t="shared" si="218"/>
        <v>NOELI SALETE</v>
      </c>
      <c r="I2311" t="str">
        <f t="shared" si="219"/>
        <v>JMS EMBALAGENS INDUSTRIAIS LTDA</v>
      </c>
      <c r="J2311">
        <f t="shared" si="220"/>
        <v>1</v>
      </c>
      <c r="K2311">
        <f t="shared" si="221"/>
        <v>0</v>
      </c>
    </row>
    <row r="2312" spans="1:11" x14ac:dyDescent="0.25">
      <c r="A2312" t="s">
        <v>325</v>
      </c>
      <c r="B2312" t="s">
        <v>138</v>
      </c>
      <c r="C2312" t="s">
        <v>66</v>
      </c>
      <c r="D2312" s="6">
        <v>45791</v>
      </c>
      <c r="E2312" t="str">
        <f>VLOOKUP(B2312,'PROCV GERENTES BD'!A:B,2,0)</f>
        <v>SACADO</v>
      </c>
      <c r="F2312" s="4" t="str">
        <f t="shared" si="216"/>
        <v>2025-05</v>
      </c>
      <c r="G2312" s="18">
        <f t="shared" si="217"/>
        <v>20</v>
      </c>
      <c r="H2312" t="str">
        <f t="shared" si="218"/>
        <v>SACADO</v>
      </c>
      <c r="I2312" t="str">
        <f t="shared" si="219"/>
        <v>ALLIAGE S A INDUSTRIAS MEDICO ODONTOLOGICA</v>
      </c>
      <c r="J2312">
        <f t="shared" si="220"/>
        <v>1</v>
      </c>
      <c r="K2312">
        <f t="shared" si="221"/>
        <v>0</v>
      </c>
    </row>
    <row r="2313" spans="1:11" x14ac:dyDescent="0.25">
      <c r="A2313" t="s">
        <v>521</v>
      </c>
      <c r="B2313" t="s">
        <v>286</v>
      </c>
      <c r="C2313" t="s">
        <v>50</v>
      </c>
      <c r="D2313" s="6">
        <v>45797</v>
      </c>
      <c r="E2313" t="str">
        <f>VLOOKUP(B2313,'PROCV GERENTES BD'!A:B,2,0)</f>
        <v>CELIO PIMENTA</v>
      </c>
      <c r="F2313" s="4" t="str">
        <f t="shared" si="216"/>
        <v>2025-05</v>
      </c>
      <c r="G2313" s="18">
        <f t="shared" si="217"/>
        <v>21</v>
      </c>
      <c r="H2313" t="str">
        <f t="shared" si="218"/>
        <v>CELIO PIMENTA</v>
      </c>
      <c r="I2313" t="str">
        <f t="shared" si="219"/>
        <v>LINGERIE E CIA LTDA ME</v>
      </c>
      <c r="J2313">
        <f t="shared" si="220"/>
        <v>0</v>
      </c>
      <c r="K2313">
        <f t="shared" si="221"/>
        <v>1</v>
      </c>
    </row>
    <row r="2314" spans="1:11" x14ac:dyDescent="0.25">
      <c r="A2314" t="s">
        <v>311</v>
      </c>
      <c r="B2314" t="s">
        <v>81</v>
      </c>
      <c r="C2314" t="s">
        <v>50</v>
      </c>
      <c r="D2314" s="6">
        <v>45792</v>
      </c>
      <c r="E2314" t="str">
        <f>VLOOKUP(B2314,'PROCV GERENTES BD'!A:B,2,0)</f>
        <v>CELIO PIMENTA</v>
      </c>
      <c r="F2314" s="4" t="str">
        <f t="shared" si="216"/>
        <v>2025-05</v>
      </c>
      <c r="G2314" s="18">
        <f t="shared" si="217"/>
        <v>20</v>
      </c>
      <c r="H2314" t="str">
        <f t="shared" si="218"/>
        <v>CELIO PIMENTA</v>
      </c>
      <c r="I2314" t="str">
        <f t="shared" si="219"/>
        <v>MBIOLOG DIAGNOSTICOS LTDA</v>
      </c>
      <c r="J2314">
        <f t="shared" si="220"/>
        <v>0</v>
      </c>
      <c r="K2314">
        <f t="shared" si="221"/>
        <v>1</v>
      </c>
    </row>
    <row r="2315" spans="1:11" x14ac:dyDescent="0.25">
      <c r="A2315" t="s">
        <v>324</v>
      </c>
      <c r="B2315" t="s">
        <v>119</v>
      </c>
      <c r="C2315" t="s">
        <v>66</v>
      </c>
      <c r="D2315" s="6">
        <v>45792</v>
      </c>
      <c r="E2315" t="str">
        <f>VLOOKUP(B2315,'PROCV GERENTES BD'!A:B,2,0)</f>
        <v>PROSPECTAR</v>
      </c>
      <c r="F2315" s="4" t="str">
        <f t="shared" si="216"/>
        <v>2025-05</v>
      </c>
      <c r="G2315" s="18">
        <f t="shared" si="217"/>
        <v>20</v>
      </c>
      <c r="H2315" t="str">
        <f t="shared" si="218"/>
        <v>PROSPECTAR</v>
      </c>
      <c r="I2315" t="str">
        <f t="shared" si="219"/>
        <v>TRANSHENRY TRANSPORTES LTDA</v>
      </c>
      <c r="J2315">
        <f t="shared" si="220"/>
        <v>1</v>
      </c>
      <c r="K2315">
        <f t="shared" si="221"/>
        <v>0</v>
      </c>
    </row>
    <row r="2316" spans="1:11" x14ac:dyDescent="0.25">
      <c r="A2316" t="s">
        <v>51</v>
      </c>
      <c r="B2316" t="s">
        <v>52</v>
      </c>
      <c r="C2316" t="s">
        <v>50</v>
      </c>
      <c r="D2316" s="6">
        <v>45792</v>
      </c>
      <c r="E2316" t="str">
        <f>VLOOKUP(B2316,'PROCV GERENTES BD'!A:B,2,0)</f>
        <v>RAFAEL PARISE</v>
      </c>
      <c r="F2316" s="4" t="str">
        <f t="shared" si="216"/>
        <v>2025-05</v>
      </c>
      <c r="G2316" s="18">
        <f t="shared" si="217"/>
        <v>20</v>
      </c>
      <c r="H2316" t="str">
        <f t="shared" si="218"/>
        <v>RAFAEL PARISE</v>
      </c>
      <c r="I2316" t="str">
        <f t="shared" si="219"/>
        <v>TDR TRANSPORTES LOGISTICA LTDA</v>
      </c>
      <c r="J2316">
        <f t="shared" si="220"/>
        <v>0</v>
      </c>
      <c r="K2316">
        <f t="shared" si="221"/>
        <v>1</v>
      </c>
    </row>
    <row r="2317" spans="1:11" x14ac:dyDescent="0.25">
      <c r="A2317" t="s">
        <v>387</v>
      </c>
      <c r="B2317" t="s">
        <v>134</v>
      </c>
      <c r="C2317" t="s">
        <v>50</v>
      </c>
      <c r="D2317" s="6">
        <v>45792</v>
      </c>
      <c r="E2317" t="str">
        <f>VLOOKUP(B2317,'PROCV GERENTES BD'!A:B,2,0)</f>
        <v>RAFAEL PARISE</v>
      </c>
      <c r="F2317" s="4" t="str">
        <f t="shared" si="216"/>
        <v>2025-05</v>
      </c>
      <c r="G2317" s="18">
        <f t="shared" si="217"/>
        <v>20</v>
      </c>
      <c r="H2317" t="str">
        <f t="shared" si="218"/>
        <v>RAFAEL PARISE</v>
      </c>
      <c r="I2317" t="str">
        <f t="shared" si="219"/>
        <v>MAIS DISTRIBUIDORA LTDA</v>
      </c>
      <c r="J2317">
        <f t="shared" si="220"/>
        <v>0</v>
      </c>
      <c r="K2317">
        <f t="shared" si="221"/>
        <v>1</v>
      </c>
    </row>
    <row r="2318" spans="1:11" x14ac:dyDescent="0.25">
      <c r="A2318" t="s">
        <v>54</v>
      </c>
      <c r="B2318" t="s">
        <v>55</v>
      </c>
      <c r="C2318" t="s">
        <v>50</v>
      </c>
      <c r="D2318" s="6">
        <v>45792</v>
      </c>
      <c r="E2318" t="str">
        <f>VLOOKUP(B2318,'PROCV GERENTES BD'!A:B,2,0)</f>
        <v>CELIO PIMENTA</v>
      </c>
      <c r="F2318" s="4" t="str">
        <f t="shared" si="216"/>
        <v>2025-05</v>
      </c>
      <c r="G2318" s="18">
        <f t="shared" si="217"/>
        <v>20</v>
      </c>
      <c r="H2318" t="str">
        <f t="shared" si="218"/>
        <v>CELIO PIMENTA</v>
      </c>
      <c r="I2318" t="str">
        <f t="shared" si="219"/>
        <v>WJ CALDEIRARIA INDUSTRIA E COMERCIO LTDA ME</v>
      </c>
      <c r="J2318">
        <f t="shared" si="220"/>
        <v>0</v>
      </c>
      <c r="K2318">
        <f t="shared" si="221"/>
        <v>1</v>
      </c>
    </row>
    <row r="2319" spans="1:11" x14ac:dyDescent="0.25">
      <c r="A2319" t="s">
        <v>320</v>
      </c>
      <c r="B2319" t="s">
        <v>205</v>
      </c>
      <c r="C2319" t="s">
        <v>50</v>
      </c>
      <c r="D2319" s="6">
        <v>45792</v>
      </c>
      <c r="E2319" t="str">
        <f>VLOOKUP(B2319,'PROCV GERENTES BD'!A:B,2,0)</f>
        <v xml:space="preserve">MARCUS VINICIUS </v>
      </c>
      <c r="F2319" s="4" t="str">
        <f t="shared" si="216"/>
        <v>2025-05</v>
      </c>
      <c r="G2319" s="18">
        <f t="shared" si="217"/>
        <v>20</v>
      </c>
      <c r="H2319" t="str">
        <f t="shared" si="218"/>
        <v xml:space="preserve">MARCUS VINICIUS </v>
      </c>
      <c r="I2319" t="str">
        <f t="shared" si="219"/>
        <v>COMERCIAL GODINHO FERREIRA LTDA</v>
      </c>
      <c r="J2319">
        <f t="shared" si="220"/>
        <v>0</v>
      </c>
      <c r="K2319">
        <f t="shared" si="221"/>
        <v>1</v>
      </c>
    </row>
    <row r="2320" spans="1:11" x14ac:dyDescent="0.25">
      <c r="A2320" t="s">
        <v>56</v>
      </c>
      <c r="B2320" t="s">
        <v>57</v>
      </c>
      <c r="C2320" t="s">
        <v>50</v>
      </c>
      <c r="D2320" s="6">
        <v>45792</v>
      </c>
      <c r="E2320" t="str">
        <f>VLOOKUP(B2320,'PROCV GERENTES BD'!A:B,2,0)</f>
        <v xml:space="preserve">ROGERIO </v>
      </c>
      <c r="F2320" s="4" t="str">
        <f t="shared" si="216"/>
        <v>2025-05</v>
      </c>
      <c r="G2320" s="18">
        <f t="shared" si="217"/>
        <v>20</v>
      </c>
      <c r="H2320" t="str">
        <f t="shared" si="218"/>
        <v xml:space="preserve">ROGERIO </v>
      </c>
      <c r="I2320" t="str">
        <f t="shared" si="219"/>
        <v>RODOVIEIRA TRANSPORTE LTDA</v>
      </c>
      <c r="J2320">
        <f t="shared" si="220"/>
        <v>0</v>
      </c>
      <c r="K2320">
        <f t="shared" si="221"/>
        <v>1</v>
      </c>
    </row>
    <row r="2321" spans="1:11" x14ac:dyDescent="0.25">
      <c r="A2321" t="s">
        <v>513</v>
      </c>
      <c r="B2321" t="s">
        <v>275</v>
      </c>
      <c r="C2321" t="s">
        <v>50</v>
      </c>
      <c r="D2321" s="6">
        <v>45792</v>
      </c>
      <c r="E2321" t="str">
        <f>VLOOKUP(B2321,'PROCV GERENTES BD'!A:B,2,0)</f>
        <v>ALISSON DE SOUZA LIMA</v>
      </c>
      <c r="F2321" s="4" t="str">
        <f t="shared" si="216"/>
        <v>2025-05</v>
      </c>
      <c r="G2321" s="18">
        <f t="shared" si="217"/>
        <v>20</v>
      </c>
      <c r="H2321" t="str">
        <f t="shared" si="218"/>
        <v>ALISSON DE SOUZA LIMA</v>
      </c>
      <c r="I2321" t="str">
        <f t="shared" si="219"/>
        <v>COMERCIAL JLX DISTRIBUIDORA LTDA ME</v>
      </c>
      <c r="J2321">
        <f t="shared" si="220"/>
        <v>0</v>
      </c>
      <c r="K2321">
        <f t="shared" si="221"/>
        <v>1</v>
      </c>
    </row>
    <row r="2322" spans="1:11" x14ac:dyDescent="0.25">
      <c r="A2322" t="s">
        <v>353</v>
      </c>
      <c r="B2322" t="s">
        <v>97</v>
      </c>
      <c r="C2322" t="s">
        <v>66</v>
      </c>
      <c r="D2322" s="6">
        <v>45792</v>
      </c>
      <c r="E2322" t="str">
        <f>VLOOKUP(B2322,'PROCV GERENTES BD'!A:B,2,0)</f>
        <v>PRISCILA METZ</v>
      </c>
      <c r="F2322" s="4" t="str">
        <f t="shared" si="216"/>
        <v>2025-05</v>
      </c>
      <c r="G2322" s="18">
        <f t="shared" si="217"/>
        <v>20</v>
      </c>
      <c r="H2322" t="str">
        <f t="shared" si="218"/>
        <v>PRISCILA METZ</v>
      </c>
      <c r="I2322" t="str">
        <f t="shared" si="219"/>
        <v>ESSENZA INDUSTRIA QUIMICA LTDA</v>
      </c>
      <c r="J2322">
        <f t="shared" si="220"/>
        <v>1</v>
      </c>
      <c r="K2322">
        <f t="shared" si="221"/>
        <v>0</v>
      </c>
    </row>
    <row r="2323" spans="1:11" x14ac:dyDescent="0.25">
      <c r="A2323" t="s">
        <v>352</v>
      </c>
      <c r="B2323" t="s">
        <v>96</v>
      </c>
      <c r="C2323" t="s">
        <v>50</v>
      </c>
      <c r="D2323" s="6">
        <v>45792</v>
      </c>
      <c r="E2323" t="str">
        <f>VLOOKUP(B2323,'PROCV GERENTES BD'!A:B,2,0)</f>
        <v>POENATELA</v>
      </c>
      <c r="F2323" s="4" t="str">
        <f t="shared" si="216"/>
        <v>2025-05</v>
      </c>
      <c r="G2323" s="18">
        <f t="shared" si="217"/>
        <v>20</v>
      </c>
      <c r="H2323" t="str">
        <f t="shared" si="218"/>
        <v>POENATELA</v>
      </c>
      <c r="I2323" t="str">
        <f t="shared" si="219"/>
        <v>SUPER HARD TECNOLOGIA EM TRATAMENTO DE SUPERFICIES</v>
      </c>
      <c r="J2323">
        <f t="shared" si="220"/>
        <v>0</v>
      </c>
      <c r="K2323">
        <f t="shared" si="221"/>
        <v>1</v>
      </c>
    </row>
    <row r="2324" spans="1:11" x14ac:dyDescent="0.25">
      <c r="A2324" t="s">
        <v>62</v>
      </c>
      <c r="B2324" t="s">
        <v>63</v>
      </c>
      <c r="C2324" t="s">
        <v>50</v>
      </c>
      <c r="D2324" s="6">
        <v>45792</v>
      </c>
      <c r="E2324" t="str">
        <f>VLOOKUP(B2324,'PROCV GERENTES BD'!A:B,2,0)</f>
        <v>PROSPECTAR</v>
      </c>
      <c r="F2324" s="4" t="str">
        <f t="shared" si="216"/>
        <v>2025-05</v>
      </c>
      <c r="G2324" s="18">
        <f t="shared" si="217"/>
        <v>20</v>
      </c>
      <c r="H2324" t="str">
        <f t="shared" si="218"/>
        <v>PROSPECTAR</v>
      </c>
      <c r="I2324" t="str">
        <f t="shared" si="219"/>
        <v>MAPP COM IMPORTACAO EXPORTACAO IND PRODUTOS ALIMEN</v>
      </c>
      <c r="J2324">
        <f t="shared" si="220"/>
        <v>0</v>
      </c>
      <c r="K2324">
        <f t="shared" si="221"/>
        <v>1</v>
      </c>
    </row>
    <row r="2325" spans="1:11" x14ac:dyDescent="0.25">
      <c r="A2325" t="s">
        <v>64</v>
      </c>
      <c r="B2325" t="s">
        <v>65</v>
      </c>
      <c r="C2325" t="s">
        <v>50</v>
      </c>
      <c r="D2325" s="6">
        <v>45792</v>
      </c>
      <c r="E2325" t="str">
        <f>VLOOKUP(B2325,'PROCV GERENTES BD'!A:B,2,0)</f>
        <v>ADMINISTRAÇÃO</v>
      </c>
      <c r="F2325" s="4" t="str">
        <f t="shared" si="216"/>
        <v>2025-05</v>
      </c>
      <c r="G2325" s="18">
        <f t="shared" si="217"/>
        <v>20</v>
      </c>
      <c r="H2325" t="str">
        <f t="shared" si="218"/>
        <v>ADMINISTRAÇÃO</v>
      </c>
      <c r="I2325" t="str">
        <f t="shared" si="219"/>
        <v>SOCIAL S/A</v>
      </c>
      <c r="J2325">
        <f t="shared" si="220"/>
        <v>0</v>
      </c>
      <c r="K2325">
        <f t="shared" si="221"/>
        <v>1</v>
      </c>
    </row>
    <row r="2326" spans="1:11" x14ac:dyDescent="0.25">
      <c r="A2326" t="s">
        <v>315</v>
      </c>
      <c r="B2326" t="s">
        <v>270</v>
      </c>
      <c r="C2326" t="s">
        <v>50</v>
      </c>
      <c r="D2326" s="6">
        <v>45792</v>
      </c>
      <c r="E2326" t="str">
        <f>VLOOKUP(B2326,'PROCV GERENTES BD'!A:B,2,0)</f>
        <v>SEM GERENTE</v>
      </c>
      <c r="F2326" s="4" t="str">
        <f t="shared" si="216"/>
        <v>2025-05</v>
      </c>
      <c r="G2326" s="18">
        <f t="shared" si="217"/>
        <v>20</v>
      </c>
      <c r="H2326" t="str">
        <f t="shared" si="218"/>
        <v>SEM GERENTE</v>
      </c>
      <c r="I2326" t="str">
        <f t="shared" si="219"/>
        <v>FAC INDUSTRIA E SERVICOS LTDA ME</v>
      </c>
      <c r="J2326">
        <f t="shared" si="220"/>
        <v>0</v>
      </c>
      <c r="K2326">
        <f t="shared" si="221"/>
        <v>1</v>
      </c>
    </row>
    <row r="2327" spans="1:11" x14ac:dyDescent="0.25">
      <c r="A2327" t="s">
        <v>435</v>
      </c>
      <c r="B2327" t="s">
        <v>186</v>
      </c>
      <c r="C2327" t="s">
        <v>50</v>
      </c>
      <c r="D2327" s="6">
        <v>45792</v>
      </c>
      <c r="E2327" t="str">
        <f>VLOOKUP(B2327,'PROCV GERENTES BD'!A:B,2,0)</f>
        <v>ADMINISTRAÇÃO</v>
      </c>
      <c r="F2327" s="4" t="str">
        <f t="shared" si="216"/>
        <v>2025-05</v>
      </c>
      <c r="G2327" s="18">
        <f t="shared" si="217"/>
        <v>20</v>
      </c>
      <c r="H2327" t="str">
        <f t="shared" si="218"/>
        <v>ADMINISTRAÇÃO</v>
      </c>
      <c r="I2327" t="str">
        <f t="shared" si="219"/>
        <v>CALDEM CONSTRUCOES MECANICAS LTDA EPP</v>
      </c>
      <c r="J2327">
        <f t="shared" si="220"/>
        <v>0</v>
      </c>
      <c r="K2327">
        <f t="shared" si="221"/>
        <v>1</v>
      </c>
    </row>
    <row r="2328" spans="1:11" x14ac:dyDescent="0.25">
      <c r="A2328" t="s">
        <v>498</v>
      </c>
      <c r="B2328" t="s">
        <v>256</v>
      </c>
      <c r="C2328" t="s">
        <v>66</v>
      </c>
      <c r="D2328" s="6">
        <v>45792</v>
      </c>
      <c r="E2328" t="str">
        <f>VLOOKUP(B2328,'PROCV GERENTES BD'!A:B,2,0)</f>
        <v>CELIO PIMENTA</v>
      </c>
      <c r="F2328" s="4" t="str">
        <f t="shared" si="216"/>
        <v>2025-05</v>
      </c>
      <c r="G2328" s="18">
        <f t="shared" si="217"/>
        <v>20</v>
      </c>
      <c r="H2328" t="str">
        <f t="shared" si="218"/>
        <v>CELIO PIMENTA</v>
      </c>
      <c r="I2328" t="str">
        <f t="shared" si="219"/>
        <v>SEU TRATOR LTDA EPP</v>
      </c>
      <c r="J2328">
        <f t="shared" si="220"/>
        <v>1</v>
      </c>
      <c r="K2328">
        <f t="shared" si="221"/>
        <v>0</v>
      </c>
    </row>
    <row r="2329" spans="1:11" x14ac:dyDescent="0.25">
      <c r="A2329" t="s">
        <v>467</v>
      </c>
      <c r="B2329" t="s">
        <v>224</v>
      </c>
      <c r="C2329" t="s">
        <v>50</v>
      </c>
      <c r="D2329" s="6">
        <v>45792</v>
      </c>
      <c r="E2329" t="str">
        <f>VLOOKUP(B2329,'PROCV GERENTES BD'!A:B,2,0)</f>
        <v>DIOGO AZEVEDO</v>
      </c>
      <c r="F2329" s="4" t="str">
        <f t="shared" si="216"/>
        <v>2025-05</v>
      </c>
      <c r="G2329" s="18">
        <f t="shared" si="217"/>
        <v>20</v>
      </c>
      <c r="H2329" t="str">
        <f t="shared" si="218"/>
        <v>DIOGO AZEVEDO</v>
      </c>
      <c r="I2329" t="str">
        <f t="shared" si="219"/>
        <v>VGS COMERCIO DE EMBALAGENS DE MADEIRAS LTDA ME</v>
      </c>
      <c r="J2329">
        <f t="shared" si="220"/>
        <v>0</v>
      </c>
      <c r="K2329">
        <f t="shared" si="221"/>
        <v>1</v>
      </c>
    </row>
    <row r="2330" spans="1:11" x14ac:dyDescent="0.25">
      <c r="A2330" t="s">
        <v>383</v>
      </c>
      <c r="B2330" t="s">
        <v>130</v>
      </c>
      <c r="C2330" t="s">
        <v>50</v>
      </c>
      <c r="D2330" s="6">
        <v>45793</v>
      </c>
      <c r="E2330" t="str">
        <f>VLOOKUP(B2330,'PROCV GERENTES BD'!A:B,2,0)</f>
        <v>CELIO PIMENTA</v>
      </c>
      <c r="F2330" s="4" t="str">
        <f t="shared" si="216"/>
        <v>2025-05</v>
      </c>
      <c r="G2330" s="18">
        <f t="shared" si="217"/>
        <v>20</v>
      </c>
      <c r="H2330" t="str">
        <f t="shared" si="218"/>
        <v>CELIO PIMENTA</v>
      </c>
      <c r="I2330" t="str">
        <f t="shared" si="219"/>
        <v>JR X IMPORT LTDA EPP</v>
      </c>
      <c r="J2330">
        <f t="shared" si="220"/>
        <v>0</v>
      </c>
      <c r="K2330">
        <f t="shared" si="221"/>
        <v>1</v>
      </c>
    </row>
    <row r="2331" spans="1:11" x14ac:dyDescent="0.25">
      <c r="A2331" t="s">
        <v>315</v>
      </c>
      <c r="B2331" t="s">
        <v>270</v>
      </c>
      <c r="C2331" t="s">
        <v>50</v>
      </c>
      <c r="D2331" s="6">
        <v>45793</v>
      </c>
      <c r="E2331" t="str">
        <f>VLOOKUP(B2331,'PROCV GERENTES BD'!A:B,2,0)</f>
        <v>SEM GERENTE</v>
      </c>
      <c r="F2331" s="4" t="str">
        <f t="shared" si="216"/>
        <v>2025-05</v>
      </c>
      <c r="G2331" s="18">
        <f t="shared" si="217"/>
        <v>20</v>
      </c>
      <c r="H2331" t="str">
        <f t="shared" si="218"/>
        <v>SEM GERENTE</v>
      </c>
      <c r="I2331" t="str">
        <f t="shared" si="219"/>
        <v>FAC INDUSTRIA E SERVICOS LTDA ME</v>
      </c>
      <c r="J2331">
        <f t="shared" si="220"/>
        <v>0</v>
      </c>
      <c r="K2331">
        <f t="shared" si="221"/>
        <v>1</v>
      </c>
    </row>
    <row r="2332" spans="1:11" x14ac:dyDescent="0.25">
      <c r="A2332" t="s">
        <v>370</v>
      </c>
      <c r="B2332" t="s">
        <v>114</v>
      </c>
      <c r="C2332" t="s">
        <v>66</v>
      </c>
      <c r="D2332" s="6">
        <v>45793</v>
      </c>
      <c r="E2332" t="str">
        <f>VLOOKUP(B2332,'PROCV GERENTES BD'!A:B,2,0)</f>
        <v>POENATELA</v>
      </c>
      <c r="F2332" s="4" t="str">
        <f t="shared" si="216"/>
        <v>2025-05</v>
      </c>
      <c r="G2332" s="18">
        <f t="shared" si="217"/>
        <v>20</v>
      </c>
      <c r="H2332" t="str">
        <f t="shared" si="218"/>
        <v>POENATELA</v>
      </c>
      <c r="I2332" t="str">
        <f t="shared" si="219"/>
        <v>COOPERATIVA TRANSP AUTON CARGAS PASSAG SERVICOS LO</v>
      </c>
      <c r="J2332">
        <f t="shared" si="220"/>
        <v>1</v>
      </c>
      <c r="K2332">
        <f t="shared" si="221"/>
        <v>0</v>
      </c>
    </row>
    <row r="2333" spans="1:11" x14ac:dyDescent="0.25">
      <c r="A2333" t="s">
        <v>516</v>
      </c>
      <c r="B2333" t="s">
        <v>279</v>
      </c>
      <c r="C2333" t="s">
        <v>66</v>
      </c>
      <c r="D2333" s="6">
        <v>45793</v>
      </c>
      <c r="E2333" t="str">
        <f>VLOOKUP(B2333,'PROCV GERENTES BD'!A:B,2,0)</f>
        <v xml:space="preserve">ROGERIO </v>
      </c>
      <c r="F2333" s="4" t="str">
        <f t="shared" si="216"/>
        <v>2025-05</v>
      </c>
      <c r="G2333" s="18">
        <f t="shared" si="217"/>
        <v>20</v>
      </c>
      <c r="H2333" t="str">
        <f t="shared" si="218"/>
        <v xml:space="preserve">ROGERIO </v>
      </c>
      <c r="I2333" t="str">
        <f t="shared" si="219"/>
        <v>MUNDYSERVICE COMERCIO DE PECAS E ASSISTENCIA TECNI</v>
      </c>
      <c r="J2333">
        <f t="shared" si="220"/>
        <v>1</v>
      </c>
      <c r="K2333">
        <f t="shared" si="221"/>
        <v>0</v>
      </c>
    </row>
    <row r="2334" spans="1:11" x14ac:dyDescent="0.25">
      <c r="A2334" t="s">
        <v>518</v>
      </c>
      <c r="B2334" t="s">
        <v>282</v>
      </c>
      <c r="C2334" t="s">
        <v>50</v>
      </c>
      <c r="D2334" s="6">
        <v>45793</v>
      </c>
      <c r="E2334" t="str">
        <f>VLOOKUP(B2334,'PROCV GERENTES BD'!A:B,2,0)</f>
        <v>ANTECIPA</v>
      </c>
      <c r="F2334" s="4" t="str">
        <f t="shared" si="216"/>
        <v>2025-05</v>
      </c>
      <c r="G2334" s="18">
        <f t="shared" si="217"/>
        <v>20</v>
      </c>
      <c r="H2334" t="str">
        <f t="shared" si="218"/>
        <v>ANTECIPA</v>
      </c>
      <c r="I2334" t="str">
        <f t="shared" si="219"/>
        <v>CENTRAL DE SUPRIMENTOS INDUSTRIAIS LTDA EPP</v>
      </c>
      <c r="J2334">
        <f t="shared" si="220"/>
        <v>0</v>
      </c>
      <c r="K2334">
        <f t="shared" si="221"/>
        <v>1</v>
      </c>
    </row>
    <row r="2335" spans="1:11" x14ac:dyDescent="0.25">
      <c r="A2335" t="s">
        <v>64</v>
      </c>
      <c r="B2335" t="s">
        <v>65</v>
      </c>
      <c r="C2335" t="s">
        <v>66</v>
      </c>
      <c r="D2335" s="6">
        <v>45793</v>
      </c>
      <c r="E2335" t="str">
        <f>VLOOKUP(B2335,'PROCV GERENTES BD'!A:B,2,0)</f>
        <v>ADMINISTRAÇÃO</v>
      </c>
      <c r="F2335" s="4" t="str">
        <f t="shared" si="216"/>
        <v>2025-05</v>
      </c>
      <c r="G2335" s="18">
        <f t="shared" si="217"/>
        <v>20</v>
      </c>
      <c r="H2335" t="str">
        <f t="shared" si="218"/>
        <v>ADMINISTRAÇÃO</v>
      </c>
      <c r="I2335" t="str">
        <f t="shared" si="219"/>
        <v>SOCIAL S/A</v>
      </c>
      <c r="J2335">
        <f t="shared" si="220"/>
        <v>1</v>
      </c>
      <c r="K2335">
        <f t="shared" si="221"/>
        <v>0</v>
      </c>
    </row>
    <row r="2336" spans="1:11" x14ac:dyDescent="0.25">
      <c r="A2336" t="s">
        <v>62</v>
      </c>
      <c r="B2336" t="s">
        <v>63</v>
      </c>
      <c r="C2336" t="s">
        <v>50</v>
      </c>
      <c r="D2336" s="6">
        <v>45793</v>
      </c>
      <c r="E2336" t="str">
        <f>VLOOKUP(B2336,'PROCV GERENTES BD'!A:B,2,0)</f>
        <v>PROSPECTAR</v>
      </c>
      <c r="F2336" s="4" t="str">
        <f t="shared" si="216"/>
        <v>2025-05</v>
      </c>
      <c r="G2336" s="18">
        <f t="shared" si="217"/>
        <v>20</v>
      </c>
      <c r="H2336" t="str">
        <f t="shared" si="218"/>
        <v>PROSPECTAR</v>
      </c>
      <c r="I2336" t="str">
        <f t="shared" si="219"/>
        <v>MAPP COM IMPORTACAO EXPORTACAO IND PRODUTOS ALIMEN</v>
      </c>
      <c r="J2336">
        <f t="shared" si="220"/>
        <v>0</v>
      </c>
      <c r="K2336">
        <f t="shared" si="221"/>
        <v>1</v>
      </c>
    </row>
    <row r="2337" spans="1:11" x14ac:dyDescent="0.25">
      <c r="A2337" t="s">
        <v>519</v>
      </c>
      <c r="B2337" t="s">
        <v>283</v>
      </c>
      <c r="C2337" t="s">
        <v>50</v>
      </c>
      <c r="D2337" s="6">
        <v>45793</v>
      </c>
      <c r="E2337" t="str">
        <f>VLOOKUP(B2337,'PROCV GERENTES BD'!A:B,2,0)</f>
        <v>DALVA</v>
      </c>
      <c r="F2337" s="4" t="str">
        <f t="shared" si="216"/>
        <v>2025-05</v>
      </c>
      <c r="G2337" s="18">
        <f t="shared" si="217"/>
        <v>20</v>
      </c>
      <c r="H2337" t="str">
        <f t="shared" si="218"/>
        <v>DALVA</v>
      </c>
      <c r="I2337" t="str">
        <f t="shared" si="219"/>
        <v>LTA USINAGEM LTDA EPP</v>
      </c>
      <c r="J2337">
        <f t="shared" si="220"/>
        <v>0</v>
      </c>
      <c r="K2337">
        <f t="shared" si="221"/>
        <v>1</v>
      </c>
    </row>
    <row r="2338" spans="1:11" x14ac:dyDescent="0.25">
      <c r="A2338" t="s">
        <v>352</v>
      </c>
      <c r="B2338" t="s">
        <v>96</v>
      </c>
      <c r="C2338" t="s">
        <v>66</v>
      </c>
      <c r="D2338" s="6">
        <v>45793</v>
      </c>
      <c r="E2338" t="str">
        <f>VLOOKUP(B2338,'PROCV GERENTES BD'!A:B,2,0)</f>
        <v>POENATELA</v>
      </c>
      <c r="F2338" s="4" t="str">
        <f t="shared" si="216"/>
        <v>2025-05</v>
      </c>
      <c r="G2338" s="18">
        <f t="shared" si="217"/>
        <v>20</v>
      </c>
      <c r="H2338" t="str">
        <f t="shared" si="218"/>
        <v>POENATELA</v>
      </c>
      <c r="I2338" t="str">
        <f t="shared" si="219"/>
        <v>SUPER HARD TECNOLOGIA EM TRATAMENTO DE SUPERFICIES</v>
      </c>
      <c r="J2338">
        <f t="shared" si="220"/>
        <v>1</v>
      </c>
      <c r="K2338">
        <f t="shared" si="221"/>
        <v>0</v>
      </c>
    </row>
    <row r="2339" spans="1:11" x14ac:dyDescent="0.25">
      <c r="A2339" t="s">
        <v>513</v>
      </c>
      <c r="B2339" t="s">
        <v>275</v>
      </c>
      <c r="C2339" t="s">
        <v>50</v>
      </c>
      <c r="D2339" s="6">
        <v>45793</v>
      </c>
      <c r="E2339" t="str">
        <f>VLOOKUP(B2339,'PROCV GERENTES BD'!A:B,2,0)</f>
        <v>ALISSON DE SOUZA LIMA</v>
      </c>
      <c r="F2339" s="4" t="str">
        <f t="shared" si="216"/>
        <v>2025-05</v>
      </c>
      <c r="G2339" s="18">
        <f t="shared" si="217"/>
        <v>20</v>
      </c>
      <c r="H2339" t="str">
        <f t="shared" si="218"/>
        <v>ALISSON DE SOUZA LIMA</v>
      </c>
      <c r="I2339" t="str">
        <f t="shared" si="219"/>
        <v>COMERCIAL JLX DISTRIBUIDORA LTDA ME</v>
      </c>
      <c r="J2339">
        <f t="shared" si="220"/>
        <v>0</v>
      </c>
      <c r="K2339">
        <f t="shared" si="221"/>
        <v>1</v>
      </c>
    </row>
    <row r="2340" spans="1:11" x14ac:dyDescent="0.25">
      <c r="A2340" t="s">
        <v>319</v>
      </c>
      <c r="B2340" t="s">
        <v>80</v>
      </c>
      <c r="C2340" t="s">
        <v>50</v>
      </c>
      <c r="D2340" s="6">
        <v>45793</v>
      </c>
      <c r="E2340" t="str">
        <f>VLOOKUP(B2340,'PROCV GERENTES BD'!A:B,2,0)</f>
        <v>CELIO PIMENTA</v>
      </c>
      <c r="F2340" s="4" t="str">
        <f t="shared" si="216"/>
        <v>2025-05</v>
      </c>
      <c r="G2340" s="18">
        <f t="shared" si="217"/>
        <v>20</v>
      </c>
      <c r="H2340" t="str">
        <f t="shared" si="218"/>
        <v>CELIO PIMENTA</v>
      </c>
      <c r="I2340" t="str">
        <f t="shared" si="219"/>
        <v>IMPORTEXTIL COMERCIO DE TECIDOS LTDA</v>
      </c>
      <c r="J2340">
        <f t="shared" si="220"/>
        <v>0</v>
      </c>
      <c r="K2340">
        <f t="shared" si="221"/>
        <v>1</v>
      </c>
    </row>
    <row r="2341" spans="1:11" x14ac:dyDescent="0.25">
      <c r="A2341" t="s">
        <v>308</v>
      </c>
      <c r="B2341" t="s">
        <v>284</v>
      </c>
      <c r="C2341" t="s">
        <v>50</v>
      </c>
      <c r="D2341" s="6">
        <v>45793</v>
      </c>
      <c r="E2341" t="str">
        <f>VLOOKUP(B2341,'PROCV GERENTES BD'!A:B,2,0)</f>
        <v>CAIO</v>
      </c>
      <c r="F2341" s="4" t="str">
        <f t="shared" si="216"/>
        <v>2025-05</v>
      </c>
      <c r="G2341" s="18">
        <f t="shared" si="217"/>
        <v>20</v>
      </c>
      <c r="H2341" t="str">
        <f t="shared" si="218"/>
        <v>CAIO</v>
      </c>
      <c r="I2341" t="str">
        <f t="shared" si="219"/>
        <v>GLOBALMAX INDUSTRIA PLASTICA S/A</v>
      </c>
      <c r="J2341">
        <f t="shared" si="220"/>
        <v>0</v>
      </c>
      <c r="K2341">
        <f t="shared" si="221"/>
        <v>1</v>
      </c>
    </row>
    <row r="2342" spans="1:11" x14ac:dyDescent="0.25">
      <c r="A2342" t="s">
        <v>387</v>
      </c>
      <c r="B2342" t="s">
        <v>134</v>
      </c>
      <c r="C2342" t="s">
        <v>50</v>
      </c>
      <c r="D2342" s="6">
        <v>45793</v>
      </c>
      <c r="E2342" t="str">
        <f>VLOOKUP(B2342,'PROCV GERENTES BD'!A:B,2,0)</f>
        <v>RAFAEL PARISE</v>
      </c>
      <c r="F2342" s="4" t="str">
        <f t="shared" si="216"/>
        <v>2025-05</v>
      </c>
      <c r="G2342" s="18">
        <f t="shared" si="217"/>
        <v>20</v>
      </c>
      <c r="H2342" t="str">
        <f t="shared" si="218"/>
        <v>RAFAEL PARISE</v>
      </c>
      <c r="I2342" t="str">
        <f t="shared" si="219"/>
        <v>MAIS DISTRIBUIDORA LTDA</v>
      </c>
      <c r="J2342">
        <f t="shared" si="220"/>
        <v>0</v>
      </c>
      <c r="K2342">
        <f t="shared" si="221"/>
        <v>1</v>
      </c>
    </row>
    <row r="2343" spans="1:11" x14ac:dyDescent="0.25">
      <c r="A2343" t="s">
        <v>385</v>
      </c>
      <c r="B2343" t="s">
        <v>132</v>
      </c>
      <c r="C2343" t="s">
        <v>50</v>
      </c>
      <c r="D2343" s="6">
        <v>45793</v>
      </c>
      <c r="E2343" t="str">
        <f>VLOOKUP(B2343,'PROCV GERENTES BD'!A:B,2,0)</f>
        <v xml:space="preserve">MARCUS VINICIUS </v>
      </c>
      <c r="F2343" s="4" t="str">
        <f t="shared" si="216"/>
        <v>2025-05</v>
      </c>
      <c r="G2343" s="18">
        <f t="shared" si="217"/>
        <v>20</v>
      </c>
      <c r="H2343" t="str">
        <f t="shared" si="218"/>
        <v xml:space="preserve">MARCUS VINICIUS </v>
      </c>
      <c r="I2343" t="str">
        <f t="shared" si="219"/>
        <v>RODOANEL REFORMADORA DE IMPLEMENTOS RODOVIARIOS LT</v>
      </c>
      <c r="J2343">
        <f t="shared" si="220"/>
        <v>0</v>
      </c>
      <c r="K2343">
        <f t="shared" si="221"/>
        <v>1</v>
      </c>
    </row>
    <row r="2344" spans="1:11" x14ac:dyDescent="0.25">
      <c r="A2344" t="s">
        <v>324</v>
      </c>
      <c r="B2344" t="s">
        <v>119</v>
      </c>
      <c r="C2344" t="s">
        <v>50</v>
      </c>
      <c r="D2344" s="6">
        <v>45793</v>
      </c>
      <c r="E2344" t="str">
        <f>VLOOKUP(B2344,'PROCV GERENTES BD'!A:B,2,0)</f>
        <v>PROSPECTAR</v>
      </c>
      <c r="F2344" s="4" t="str">
        <f t="shared" si="216"/>
        <v>2025-05</v>
      </c>
      <c r="G2344" s="18">
        <f t="shared" si="217"/>
        <v>20</v>
      </c>
      <c r="H2344" t="str">
        <f t="shared" si="218"/>
        <v>PROSPECTAR</v>
      </c>
      <c r="I2344" t="str">
        <f t="shared" si="219"/>
        <v>TRANSHENRY TRANSPORTES LTDA</v>
      </c>
      <c r="J2344">
        <f t="shared" si="220"/>
        <v>0</v>
      </c>
      <c r="K2344">
        <f t="shared" si="221"/>
        <v>1</v>
      </c>
    </row>
    <row r="2345" spans="1:11" x14ac:dyDescent="0.25">
      <c r="A2345" t="s">
        <v>415</v>
      </c>
      <c r="B2345" t="s">
        <v>165</v>
      </c>
      <c r="C2345" t="s">
        <v>66</v>
      </c>
      <c r="D2345" s="6">
        <v>45793</v>
      </c>
      <c r="E2345" t="str">
        <f>VLOOKUP(B2345,'PROCV GERENTES BD'!A:B,2,0)</f>
        <v>PROSPECTAR</v>
      </c>
      <c r="F2345" s="4" t="str">
        <f t="shared" si="216"/>
        <v>2025-05</v>
      </c>
      <c r="G2345" s="18">
        <f t="shared" si="217"/>
        <v>20</v>
      </c>
      <c r="H2345" t="str">
        <f t="shared" si="218"/>
        <v>PROSPECTAR</v>
      </c>
      <c r="I2345" t="str">
        <f t="shared" si="219"/>
        <v>STA SERVICOS LTDA</v>
      </c>
      <c r="J2345">
        <f t="shared" si="220"/>
        <v>1</v>
      </c>
      <c r="K2345">
        <f t="shared" si="221"/>
        <v>0</v>
      </c>
    </row>
    <row r="2346" spans="1:11" x14ac:dyDescent="0.25">
      <c r="A2346" t="s">
        <v>520</v>
      </c>
      <c r="B2346" t="s">
        <v>285</v>
      </c>
      <c r="C2346" t="s">
        <v>328</v>
      </c>
      <c r="D2346" s="6">
        <v>45793</v>
      </c>
      <c r="E2346" t="str">
        <f>VLOOKUP(B2346,'PROCV GERENTES BD'!A:B,2,0)</f>
        <v>PROSPECTAR</v>
      </c>
      <c r="F2346" s="4" t="str">
        <f t="shared" si="216"/>
        <v>2025-05</v>
      </c>
      <c r="G2346" s="18">
        <f t="shared" si="217"/>
        <v>20</v>
      </c>
      <c r="H2346" t="str">
        <f t="shared" si="218"/>
        <v>PROSPECTAR</v>
      </c>
      <c r="I2346" t="str">
        <f t="shared" si="219"/>
        <v>NUTRIBEM SAL E RACOES LTDA</v>
      </c>
      <c r="J2346">
        <f t="shared" si="220"/>
        <v>0</v>
      </c>
      <c r="K2346">
        <f t="shared" si="221"/>
        <v>0</v>
      </c>
    </row>
    <row r="2347" spans="1:11" x14ac:dyDescent="0.25">
      <c r="A2347" t="s">
        <v>314</v>
      </c>
      <c r="B2347" t="s">
        <v>246</v>
      </c>
      <c r="C2347" t="s">
        <v>66</v>
      </c>
      <c r="D2347" s="6">
        <v>45793</v>
      </c>
      <c r="E2347" t="str">
        <f>VLOOKUP(B2347,'PROCV GERENTES BD'!A:B,2,0)</f>
        <v xml:space="preserve">ROGERIO </v>
      </c>
      <c r="F2347" s="4" t="str">
        <f t="shared" si="216"/>
        <v>2025-05</v>
      </c>
      <c r="G2347" s="18">
        <f t="shared" si="217"/>
        <v>20</v>
      </c>
      <c r="H2347" t="str">
        <f t="shared" si="218"/>
        <v xml:space="preserve">ROGERIO </v>
      </c>
      <c r="I2347" t="str">
        <f t="shared" si="219"/>
        <v>MUTCD CENTRO DE DISTRIBUICAO DE IND FABRICANTE DE</v>
      </c>
      <c r="J2347">
        <f t="shared" si="220"/>
        <v>1</v>
      </c>
      <c r="K2347">
        <f t="shared" si="221"/>
        <v>0</v>
      </c>
    </row>
    <row r="2348" spans="1:11" x14ac:dyDescent="0.25">
      <c r="A2348" t="s">
        <v>466</v>
      </c>
      <c r="B2348" t="s">
        <v>223</v>
      </c>
      <c r="C2348" t="s">
        <v>50</v>
      </c>
      <c r="D2348" s="6">
        <v>45794</v>
      </c>
      <c r="E2348" t="str">
        <f>VLOOKUP(B2348,'PROCV GERENTES BD'!A:B,2,0)</f>
        <v>CELIO PIMENTA</v>
      </c>
      <c r="F2348" s="4" t="str">
        <f t="shared" si="216"/>
        <v>2025-05</v>
      </c>
      <c r="G2348" s="18">
        <f t="shared" si="217"/>
        <v>20</v>
      </c>
      <c r="H2348" t="str">
        <f t="shared" si="218"/>
        <v>CELIO PIMENTA</v>
      </c>
      <c r="I2348" t="str">
        <f t="shared" si="219"/>
        <v>ACO X LTDA ME</v>
      </c>
      <c r="J2348">
        <f t="shared" si="220"/>
        <v>0</v>
      </c>
      <c r="K2348">
        <f t="shared" si="221"/>
        <v>1</v>
      </c>
    </row>
    <row r="2349" spans="1:11" x14ac:dyDescent="0.25">
      <c r="A2349" t="s">
        <v>479</v>
      </c>
      <c r="B2349" t="s">
        <v>236</v>
      </c>
      <c r="C2349" t="s">
        <v>66</v>
      </c>
      <c r="D2349" s="6">
        <v>45794</v>
      </c>
      <c r="E2349" t="str">
        <f>VLOOKUP(B2349,'PROCV GERENTES BD'!A:B,2,0)</f>
        <v>PROSPECTAR</v>
      </c>
      <c r="F2349" s="4" t="str">
        <f t="shared" si="216"/>
        <v>2025-05</v>
      </c>
      <c r="G2349" s="18">
        <f t="shared" si="217"/>
        <v>20</v>
      </c>
      <c r="H2349" t="str">
        <f t="shared" si="218"/>
        <v>PROSPECTAR</v>
      </c>
      <c r="I2349" t="str">
        <f t="shared" si="219"/>
        <v>ONFARM BRASIL LTDA ME</v>
      </c>
      <c r="J2349">
        <f t="shared" si="220"/>
        <v>1</v>
      </c>
      <c r="K2349">
        <f t="shared" si="221"/>
        <v>0</v>
      </c>
    </row>
    <row r="2350" spans="1:11" x14ac:dyDescent="0.25">
      <c r="A2350" t="s">
        <v>463</v>
      </c>
      <c r="B2350" t="s">
        <v>220</v>
      </c>
      <c r="C2350" t="s">
        <v>50</v>
      </c>
      <c r="D2350" s="6">
        <v>45794</v>
      </c>
      <c r="E2350" t="str">
        <f>VLOOKUP(B2350,'PROCV GERENTES BD'!A:B,2,0)</f>
        <v>ADMINISTRAÇÃO</v>
      </c>
      <c r="F2350" s="4" t="str">
        <f t="shared" si="216"/>
        <v>2025-05</v>
      </c>
      <c r="G2350" s="18">
        <f t="shared" si="217"/>
        <v>20</v>
      </c>
      <c r="H2350" t="str">
        <f t="shared" si="218"/>
        <v>ADMINISTRAÇÃO</v>
      </c>
      <c r="I2350" t="str">
        <f t="shared" si="219"/>
        <v>A C ESPORTES S A F</v>
      </c>
      <c r="J2350">
        <f t="shared" si="220"/>
        <v>0</v>
      </c>
      <c r="K2350">
        <f t="shared" si="221"/>
        <v>1</v>
      </c>
    </row>
    <row r="2351" spans="1:11" x14ac:dyDescent="0.25">
      <c r="A2351" t="s">
        <v>314</v>
      </c>
      <c r="B2351" t="s">
        <v>246</v>
      </c>
      <c r="C2351" t="s">
        <v>66</v>
      </c>
      <c r="D2351" s="6">
        <v>45794</v>
      </c>
      <c r="E2351" t="str">
        <f>VLOOKUP(B2351,'PROCV GERENTES BD'!A:B,2,0)</f>
        <v xml:space="preserve">ROGERIO </v>
      </c>
      <c r="F2351" s="4" t="str">
        <f t="shared" si="216"/>
        <v>2025-05</v>
      </c>
      <c r="G2351" s="18">
        <f t="shared" si="217"/>
        <v>20</v>
      </c>
      <c r="H2351" t="str">
        <f t="shared" si="218"/>
        <v xml:space="preserve">ROGERIO </v>
      </c>
      <c r="I2351" t="str">
        <f t="shared" si="219"/>
        <v>MUTCD CENTRO DE DISTRIBUICAO DE IND FABRICANTE DE</v>
      </c>
      <c r="J2351">
        <f t="shared" si="220"/>
        <v>1</v>
      </c>
      <c r="K2351">
        <f t="shared" si="221"/>
        <v>0</v>
      </c>
    </row>
    <row r="2352" spans="1:11" x14ac:dyDescent="0.25">
      <c r="A2352" t="s">
        <v>370</v>
      </c>
      <c r="B2352" t="s">
        <v>114</v>
      </c>
      <c r="C2352" t="s">
        <v>50</v>
      </c>
      <c r="D2352" s="6">
        <v>45794</v>
      </c>
      <c r="E2352" t="str">
        <f>VLOOKUP(B2352,'PROCV GERENTES BD'!A:B,2,0)</f>
        <v>POENATELA</v>
      </c>
      <c r="F2352" s="4" t="str">
        <f t="shared" si="216"/>
        <v>2025-05</v>
      </c>
      <c r="G2352" s="18">
        <f t="shared" si="217"/>
        <v>20</v>
      </c>
      <c r="H2352" t="str">
        <f t="shared" si="218"/>
        <v>POENATELA</v>
      </c>
      <c r="I2352" t="str">
        <f t="shared" si="219"/>
        <v>COOPERATIVA TRANSP AUTON CARGAS PASSAG SERVICOS LO</v>
      </c>
      <c r="J2352">
        <f t="shared" si="220"/>
        <v>0</v>
      </c>
      <c r="K2352">
        <f t="shared" si="221"/>
        <v>1</v>
      </c>
    </row>
    <row r="2353" spans="1:11" x14ac:dyDescent="0.25">
      <c r="A2353" t="s">
        <v>72</v>
      </c>
      <c r="B2353" t="s">
        <v>73</v>
      </c>
      <c r="C2353" t="s">
        <v>50</v>
      </c>
      <c r="D2353" s="6">
        <v>45794</v>
      </c>
      <c r="E2353" t="str">
        <f>VLOOKUP(B2353,'PROCV GERENTES BD'!A:B,2,0)</f>
        <v>NOELI SALETE</v>
      </c>
      <c r="F2353" s="4" t="str">
        <f t="shared" si="216"/>
        <v>2025-05</v>
      </c>
      <c r="G2353" s="18">
        <f t="shared" si="217"/>
        <v>20</v>
      </c>
      <c r="H2353" t="str">
        <f t="shared" si="218"/>
        <v>NOELI SALETE</v>
      </c>
      <c r="I2353" t="str">
        <f t="shared" si="219"/>
        <v>SMARTCENTER SOLUCOES INTELIGENTES LTDA ME</v>
      </c>
      <c r="J2353">
        <f t="shared" si="220"/>
        <v>0</v>
      </c>
      <c r="K2353">
        <f t="shared" si="221"/>
        <v>1</v>
      </c>
    </row>
    <row r="2354" spans="1:11" x14ac:dyDescent="0.25">
      <c r="A2354" t="s">
        <v>515</v>
      </c>
      <c r="B2354" t="s">
        <v>277</v>
      </c>
      <c r="C2354" t="s">
        <v>66</v>
      </c>
      <c r="D2354" s="6">
        <v>45794</v>
      </c>
      <c r="E2354" t="str">
        <f>VLOOKUP(B2354,'PROCV GERENTES BD'!A:B,2,0)</f>
        <v>ALISSON DE SOUZA LIMA</v>
      </c>
      <c r="F2354" s="4" t="str">
        <f t="shared" si="216"/>
        <v>2025-05</v>
      </c>
      <c r="G2354" s="18">
        <f t="shared" si="217"/>
        <v>20</v>
      </c>
      <c r="H2354" t="str">
        <f t="shared" si="218"/>
        <v>ALISSON DE SOUZA LIMA</v>
      </c>
      <c r="I2354" t="str">
        <f t="shared" si="219"/>
        <v>COMERCIAL GTS INFORMATICA LTDA EPP</v>
      </c>
      <c r="J2354">
        <f t="shared" si="220"/>
        <v>1</v>
      </c>
      <c r="K2354">
        <f t="shared" si="221"/>
        <v>0</v>
      </c>
    </row>
    <row r="2355" spans="1:11" x14ac:dyDescent="0.25">
      <c r="A2355" t="s">
        <v>515</v>
      </c>
      <c r="B2355" t="s">
        <v>277</v>
      </c>
      <c r="C2355" t="s">
        <v>71</v>
      </c>
      <c r="D2355" s="6">
        <v>45794</v>
      </c>
      <c r="E2355" t="str">
        <f>VLOOKUP(B2355,'PROCV GERENTES BD'!A:B,2,0)</f>
        <v>ALISSON DE SOUZA LIMA</v>
      </c>
      <c r="F2355" s="4" t="str">
        <f t="shared" si="216"/>
        <v>2025-05</v>
      </c>
      <c r="G2355" s="18">
        <f t="shared" si="217"/>
        <v>20</v>
      </c>
      <c r="H2355" t="str">
        <f t="shared" si="218"/>
        <v>ALISSON DE SOUZA LIMA</v>
      </c>
      <c r="I2355" t="str">
        <f t="shared" si="219"/>
        <v>COMERCIAL GTS INFORMATICA LTDA EPP</v>
      </c>
      <c r="J2355">
        <f t="shared" si="220"/>
        <v>0</v>
      </c>
      <c r="K2355">
        <f t="shared" si="221"/>
        <v>0</v>
      </c>
    </row>
    <row r="2356" spans="1:11" x14ac:dyDescent="0.25">
      <c r="A2356" t="s">
        <v>64</v>
      </c>
      <c r="B2356" t="s">
        <v>65</v>
      </c>
      <c r="C2356" t="s">
        <v>50</v>
      </c>
      <c r="D2356" s="6">
        <v>45794</v>
      </c>
      <c r="E2356" t="str">
        <f>VLOOKUP(B2356,'PROCV GERENTES BD'!A:B,2,0)</f>
        <v>ADMINISTRAÇÃO</v>
      </c>
      <c r="F2356" s="4" t="str">
        <f t="shared" si="216"/>
        <v>2025-05</v>
      </c>
      <c r="G2356" s="18">
        <f t="shared" si="217"/>
        <v>20</v>
      </c>
      <c r="H2356" t="str">
        <f t="shared" si="218"/>
        <v>ADMINISTRAÇÃO</v>
      </c>
      <c r="I2356" t="str">
        <f t="shared" si="219"/>
        <v>SOCIAL S/A</v>
      </c>
      <c r="J2356">
        <f t="shared" si="220"/>
        <v>0</v>
      </c>
      <c r="K2356">
        <f t="shared" si="221"/>
        <v>1</v>
      </c>
    </row>
    <row r="2357" spans="1:11" x14ac:dyDescent="0.25">
      <c r="A2357" t="s">
        <v>62</v>
      </c>
      <c r="B2357" t="s">
        <v>63</v>
      </c>
      <c r="C2357" t="s">
        <v>50</v>
      </c>
      <c r="D2357" s="6">
        <v>45794</v>
      </c>
      <c r="E2357" t="str">
        <f>VLOOKUP(B2357,'PROCV GERENTES BD'!A:B,2,0)</f>
        <v>PROSPECTAR</v>
      </c>
      <c r="F2357" s="4" t="str">
        <f t="shared" si="216"/>
        <v>2025-05</v>
      </c>
      <c r="G2357" s="18">
        <f t="shared" si="217"/>
        <v>20</v>
      </c>
      <c r="H2357" t="str">
        <f t="shared" si="218"/>
        <v>PROSPECTAR</v>
      </c>
      <c r="I2357" t="str">
        <f t="shared" si="219"/>
        <v>MAPP COM IMPORTACAO EXPORTACAO IND PRODUTOS ALIMEN</v>
      </c>
      <c r="J2357">
        <f t="shared" si="220"/>
        <v>0</v>
      </c>
      <c r="K2357">
        <f t="shared" si="221"/>
        <v>1</v>
      </c>
    </row>
    <row r="2358" spans="1:11" x14ac:dyDescent="0.25">
      <c r="A2358" t="s">
        <v>310</v>
      </c>
      <c r="B2358" t="s">
        <v>204</v>
      </c>
      <c r="C2358" t="s">
        <v>50</v>
      </c>
      <c r="D2358" s="6">
        <v>45794</v>
      </c>
      <c r="E2358" t="str">
        <f>VLOOKUP(B2358,'PROCV GERENTES BD'!A:B,2,0)</f>
        <v xml:space="preserve">MARCUS VINICIUS </v>
      </c>
      <c r="F2358" s="4" t="str">
        <f t="shared" si="216"/>
        <v>2025-05</v>
      </c>
      <c r="G2358" s="18">
        <f t="shared" si="217"/>
        <v>20</v>
      </c>
      <c r="H2358" t="str">
        <f t="shared" si="218"/>
        <v xml:space="preserve">MARCUS VINICIUS </v>
      </c>
      <c r="I2358" t="str">
        <f t="shared" si="219"/>
        <v>INDUSTRIA E COMERCIO DE CHURRASQUEIRAS BOM JESUS L</v>
      </c>
      <c r="J2358">
        <f t="shared" si="220"/>
        <v>0</v>
      </c>
      <c r="K2358">
        <f t="shared" si="221"/>
        <v>1</v>
      </c>
    </row>
    <row r="2359" spans="1:11" x14ac:dyDescent="0.25">
      <c r="A2359" t="s">
        <v>60</v>
      </c>
      <c r="B2359" t="s">
        <v>61</v>
      </c>
      <c r="C2359" t="s">
        <v>50</v>
      </c>
      <c r="D2359" s="6">
        <v>45794</v>
      </c>
      <c r="E2359" t="str">
        <f>VLOOKUP(B2359,'PROCV GERENTES BD'!A:B,2,0)</f>
        <v xml:space="preserve">MARCUS VINICIUS </v>
      </c>
      <c r="F2359" s="4" t="str">
        <f t="shared" si="216"/>
        <v>2025-05</v>
      </c>
      <c r="G2359" s="18">
        <f t="shared" si="217"/>
        <v>20</v>
      </c>
      <c r="H2359" t="str">
        <f t="shared" si="218"/>
        <v xml:space="preserve">MARCUS VINICIUS </v>
      </c>
      <c r="I2359" t="str">
        <f t="shared" si="219"/>
        <v>COM IND DE CEREAIS E TRANSPORTES MACIEL LTDA</v>
      </c>
      <c r="J2359">
        <f t="shared" si="220"/>
        <v>0</v>
      </c>
      <c r="K2359">
        <f t="shared" si="221"/>
        <v>1</v>
      </c>
    </row>
    <row r="2360" spans="1:11" x14ac:dyDescent="0.25">
      <c r="A2360" t="s">
        <v>353</v>
      </c>
      <c r="B2360" t="s">
        <v>97</v>
      </c>
      <c r="C2360" t="s">
        <v>50</v>
      </c>
      <c r="D2360" s="6">
        <v>45794</v>
      </c>
      <c r="E2360" t="str">
        <f>VLOOKUP(B2360,'PROCV GERENTES BD'!A:B,2,0)</f>
        <v>PRISCILA METZ</v>
      </c>
      <c r="F2360" s="4" t="str">
        <f t="shared" si="216"/>
        <v>2025-05</v>
      </c>
      <c r="G2360" s="18">
        <f t="shared" si="217"/>
        <v>20</v>
      </c>
      <c r="H2360" t="str">
        <f t="shared" si="218"/>
        <v>PRISCILA METZ</v>
      </c>
      <c r="I2360" t="str">
        <f t="shared" si="219"/>
        <v>ESSENZA INDUSTRIA QUIMICA LTDA</v>
      </c>
      <c r="J2360">
        <f t="shared" si="220"/>
        <v>0</v>
      </c>
      <c r="K2360">
        <f t="shared" si="221"/>
        <v>1</v>
      </c>
    </row>
    <row r="2361" spans="1:11" x14ac:dyDescent="0.25">
      <c r="A2361" t="s">
        <v>372</v>
      </c>
      <c r="B2361" t="s">
        <v>116</v>
      </c>
      <c r="C2361" t="s">
        <v>50</v>
      </c>
      <c r="D2361" s="6">
        <v>45794</v>
      </c>
      <c r="E2361" t="str">
        <f>VLOOKUP(B2361,'PROCV GERENTES BD'!A:B,2,0)</f>
        <v>ADMINISTRAÇÃO</v>
      </c>
      <c r="F2361" s="4" t="str">
        <f t="shared" si="216"/>
        <v>2025-05</v>
      </c>
      <c r="G2361" s="18">
        <f t="shared" si="217"/>
        <v>20</v>
      </c>
      <c r="H2361" t="str">
        <f t="shared" si="218"/>
        <v>ADMINISTRAÇÃO</v>
      </c>
      <c r="I2361" t="str">
        <f t="shared" si="219"/>
        <v>PREMOLDADOS MATOSINHOS LTDA EPP</v>
      </c>
      <c r="J2361">
        <f t="shared" si="220"/>
        <v>0</v>
      </c>
      <c r="K2361">
        <f t="shared" si="221"/>
        <v>1</v>
      </c>
    </row>
    <row r="2362" spans="1:11" x14ac:dyDescent="0.25">
      <c r="A2362" t="s">
        <v>58</v>
      </c>
      <c r="B2362" t="s">
        <v>59</v>
      </c>
      <c r="C2362" t="s">
        <v>50</v>
      </c>
      <c r="D2362" s="6">
        <v>45794</v>
      </c>
      <c r="E2362" t="str">
        <f>VLOOKUP(B2362,'PROCV GERENTES BD'!A:B,2,0)</f>
        <v>ADMINISTRAÇÃO</v>
      </c>
      <c r="F2362" s="4" t="str">
        <f t="shared" si="216"/>
        <v>2025-05</v>
      </c>
      <c r="G2362" s="18">
        <f t="shared" si="217"/>
        <v>20</v>
      </c>
      <c r="H2362" t="str">
        <f t="shared" si="218"/>
        <v>ADMINISTRAÇÃO</v>
      </c>
      <c r="I2362" t="str">
        <f t="shared" si="219"/>
        <v>BIOTECH LOGISTICA LTDA</v>
      </c>
      <c r="J2362">
        <f t="shared" si="220"/>
        <v>0</v>
      </c>
      <c r="K2362">
        <f t="shared" si="221"/>
        <v>1</v>
      </c>
    </row>
    <row r="2363" spans="1:11" x14ac:dyDescent="0.25">
      <c r="A2363" t="s">
        <v>513</v>
      </c>
      <c r="B2363" t="s">
        <v>275</v>
      </c>
      <c r="C2363" t="s">
        <v>50</v>
      </c>
      <c r="D2363" s="6">
        <v>45794</v>
      </c>
      <c r="E2363" t="str">
        <f>VLOOKUP(B2363,'PROCV GERENTES BD'!A:B,2,0)</f>
        <v>ALISSON DE SOUZA LIMA</v>
      </c>
      <c r="F2363" s="4" t="str">
        <f t="shared" si="216"/>
        <v>2025-05</v>
      </c>
      <c r="G2363" s="18">
        <f t="shared" si="217"/>
        <v>20</v>
      </c>
      <c r="H2363" t="str">
        <f t="shared" si="218"/>
        <v>ALISSON DE SOUZA LIMA</v>
      </c>
      <c r="I2363" t="str">
        <f t="shared" si="219"/>
        <v>COMERCIAL JLX DISTRIBUIDORA LTDA ME</v>
      </c>
      <c r="J2363">
        <f t="shared" si="220"/>
        <v>0</v>
      </c>
      <c r="K2363">
        <f t="shared" si="221"/>
        <v>1</v>
      </c>
    </row>
    <row r="2364" spans="1:11" x14ac:dyDescent="0.25">
      <c r="A2364" t="s">
        <v>319</v>
      </c>
      <c r="B2364" t="s">
        <v>80</v>
      </c>
      <c r="C2364" t="s">
        <v>50</v>
      </c>
      <c r="D2364" s="6">
        <v>45794</v>
      </c>
      <c r="E2364" t="str">
        <f>VLOOKUP(B2364,'PROCV GERENTES BD'!A:B,2,0)</f>
        <v>CELIO PIMENTA</v>
      </c>
      <c r="F2364" s="4" t="str">
        <f t="shared" si="216"/>
        <v>2025-05</v>
      </c>
      <c r="G2364" s="18">
        <f t="shared" si="217"/>
        <v>20</v>
      </c>
      <c r="H2364" t="str">
        <f t="shared" si="218"/>
        <v>CELIO PIMENTA</v>
      </c>
      <c r="I2364" t="str">
        <f t="shared" si="219"/>
        <v>IMPORTEXTIL COMERCIO DE TECIDOS LTDA</v>
      </c>
      <c r="J2364">
        <f t="shared" si="220"/>
        <v>0</v>
      </c>
      <c r="K2364">
        <f t="shared" si="221"/>
        <v>1</v>
      </c>
    </row>
    <row r="2365" spans="1:11" x14ac:dyDescent="0.25">
      <c r="A2365" t="s">
        <v>480</v>
      </c>
      <c r="B2365" t="s">
        <v>237</v>
      </c>
      <c r="C2365" t="s">
        <v>66</v>
      </c>
      <c r="D2365" s="6">
        <v>45794</v>
      </c>
      <c r="E2365" t="str">
        <f>VLOOKUP(B2365,'PROCV GERENTES BD'!A:B,2,0)</f>
        <v>POENATELA</v>
      </c>
      <c r="F2365" s="4" t="str">
        <f t="shared" si="216"/>
        <v>2025-05</v>
      </c>
      <c r="G2365" s="18">
        <f t="shared" si="217"/>
        <v>20</v>
      </c>
      <c r="H2365" t="str">
        <f t="shared" si="218"/>
        <v>POENATELA</v>
      </c>
      <c r="I2365" t="str">
        <f t="shared" si="219"/>
        <v>PARANAIBA FERTILIZANTES IND E COM LTDA EM RECUPERA</v>
      </c>
      <c r="J2365">
        <f t="shared" si="220"/>
        <v>1</v>
      </c>
      <c r="K2365">
        <f t="shared" si="221"/>
        <v>0</v>
      </c>
    </row>
    <row r="2366" spans="1:11" x14ac:dyDescent="0.25">
      <c r="A2366" t="s">
        <v>358</v>
      </c>
      <c r="B2366" t="s">
        <v>104</v>
      </c>
      <c r="C2366" t="s">
        <v>50</v>
      </c>
      <c r="D2366" s="6">
        <v>45794</v>
      </c>
      <c r="E2366" t="str">
        <f>VLOOKUP(B2366,'PROCV GERENTES BD'!A:B,2,0)</f>
        <v>DIOGO AZEVEDO</v>
      </c>
      <c r="F2366" s="4" t="str">
        <f t="shared" si="216"/>
        <v>2025-05</v>
      </c>
      <c r="G2366" s="18">
        <f t="shared" si="217"/>
        <v>20</v>
      </c>
      <c r="H2366" t="str">
        <f t="shared" si="218"/>
        <v>DIOGO AZEVEDO</v>
      </c>
      <c r="I2366" t="str">
        <f t="shared" si="219"/>
        <v>INDUSTRIA E CERVEJARIA ARTESANAL DE MINAS GERAIS L</v>
      </c>
      <c r="J2366">
        <f t="shared" si="220"/>
        <v>0</v>
      </c>
      <c r="K2366">
        <f t="shared" si="221"/>
        <v>1</v>
      </c>
    </row>
    <row r="2367" spans="1:11" x14ac:dyDescent="0.25">
      <c r="A2367" t="s">
        <v>361</v>
      </c>
      <c r="B2367" t="s">
        <v>106</v>
      </c>
      <c r="C2367" t="s">
        <v>50</v>
      </c>
      <c r="D2367" s="6">
        <v>45794</v>
      </c>
      <c r="E2367" t="str">
        <f>VLOOKUP(B2367,'PROCV GERENTES BD'!A:B,2,0)</f>
        <v>PRISCILA METZ</v>
      </c>
      <c r="F2367" s="4" t="str">
        <f t="shared" si="216"/>
        <v>2025-05</v>
      </c>
      <c r="G2367" s="18">
        <f t="shared" si="217"/>
        <v>20</v>
      </c>
      <c r="H2367" t="str">
        <f t="shared" si="218"/>
        <v>PRISCILA METZ</v>
      </c>
      <c r="I2367" t="str">
        <f t="shared" si="219"/>
        <v>HERBAMED LABORATORIO NUTRACEUTICO LTDA</v>
      </c>
      <c r="J2367">
        <f t="shared" si="220"/>
        <v>0</v>
      </c>
      <c r="K2367">
        <f t="shared" si="221"/>
        <v>1</v>
      </c>
    </row>
    <row r="2368" spans="1:11" x14ac:dyDescent="0.25">
      <c r="A2368" t="s">
        <v>387</v>
      </c>
      <c r="B2368" t="s">
        <v>134</v>
      </c>
      <c r="C2368" t="s">
        <v>50</v>
      </c>
      <c r="D2368" s="6">
        <v>45794</v>
      </c>
      <c r="E2368" t="str">
        <f>VLOOKUP(B2368,'PROCV GERENTES BD'!A:B,2,0)</f>
        <v>RAFAEL PARISE</v>
      </c>
      <c r="F2368" s="4" t="str">
        <f t="shared" si="216"/>
        <v>2025-05</v>
      </c>
      <c r="G2368" s="18">
        <f t="shared" si="217"/>
        <v>20</v>
      </c>
      <c r="H2368" t="str">
        <f t="shared" si="218"/>
        <v>RAFAEL PARISE</v>
      </c>
      <c r="I2368" t="str">
        <f t="shared" si="219"/>
        <v>MAIS DISTRIBUIDORA LTDA</v>
      </c>
      <c r="J2368">
        <f t="shared" si="220"/>
        <v>0</v>
      </c>
      <c r="K2368">
        <f t="shared" si="221"/>
        <v>1</v>
      </c>
    </row>
    <row r="2369" spans="1:11" x14ac:dyDescent="0.25">
      <c r="A2369" t="s">
        <v>307</v>
      </c>
      <c r="B2369" t="s">
        <v>102</v>
      </c>
      <c r="C2369" t="s">
        <v>71</v>
      </c>
      <c r="D2369" s="6">
        <v>45794</v>
      </c>
      <c r="E2369" t="str">
        <f>VLOOKUP(B2369,'PROCV GERENTES BD'!A:B,2,0)</f>
        <v>POENATELA</v>
      </c>
      <c r="F2369" s="4" t="str">
        <f t="shared" si="216"/>
        <v>2025-05</v>
      </c>
      <c r="G2369" s="18">
        <f t="shared" si="217"/>
        <v>20</v>
      </c>
      <c r="H2369" t="str">
        <f t="shared" si="218"/>
        <v>POENATELA</v>
      </c>
      <c r="I2369" t="str">
        <f t="shared" si="219"/>
        <v>ECOPINUS INDUSTRIA E COMERCIO DE EMBALAGENS DE MAD</v>
      </c>
      <c r="J2369">
        <f t="shared" si="220"/>
        <v>0</v>
      </c>
      <c r="K2369">
        <f t="shared" si="221"/>
        <v>0</v>
      </c>
    </row>
    <row r="2370" spans="1:11" x14ac:dyDescent="0.25">
      <c r="A2370" t="s">
        <v>385</v>
      </c>
      <c r="B2370" t="s">
        <v>132</v>
      </c>
      <c r="C2370" t="s">
        <v>50</v>
      </c>
      <c r="D2370" s="6">
        <v>45794</v>
      </c>
      <c r="E2370" t="str">
        <f>VLOOKUP(B2370,'PROCV GERENTES BD'!A:B,2,0)</f>
        <v xml:space="preserve">MARCUS VINICIUS </v>
      </c>
      <c r="F2370" s="4" t="str">
        <f t="shared" ref="F2370:F2433" si="222">YEAR(D2370)&amp;"-"&amp;TEXT(MONTH(D2370),"00")</f>
        <v>2025-05</v>
      </c>
      <c r="G2370" s="18">
        <f t="shared" ref="G2370:G2433" si="223">WEEKNUM(D2370)</f>
        <v>20</v>
      </c>
      <c r="H2370" t="str">
        <f t="shared" ref="H2370:H2433" si="224">E2370</f>
        <v xml:space="preserve">MARCUS VINICIUS </v>
      </c>
      <c r="I2370" t="str">
        <f t="shared" ref="I2370:I2433" si="225">B2370</f>
        <v>RODOANEL REFORMADORA DE IMPLEMENTOS RODOVIARIOS LT</v>
      </c>
      <c r="J2370">
        <f t="shared" ref="J2370:J2433" si="226">IF(OR(C2370="EXCLUSAO  ANOT.INADIMPLENCIA",C2370="INCL/EXCL ANOT.INADIMPLENCIA"),1,0)</f>
        <v>0</v>
      </c>
      <c r="K2370">
        <f t="shared" ref="K2370:K2433" si="227">IF(OR(C2370="INCLUSAO  ANOT.INADIMPLENCIA",C2370="INCL/EXCL ANOT.INADIMPLENCIA"),1,0)</f>
        <v>1</v>
      </c>
    </row>
    <row r="2371" spans="1:11" x14ac:dyDescent="0.25">
      <c r="A2371" t="s">
        <v>51</v>
      </c>
      <c r="B2371" t="s">
        <v>52</v>
      </c>
      <c r="C2371" t="s">
        <v>50</v>
      </c>
      <c r="D2371" s="6">
        <v>45794</v>
      </c>
      <c r="E2371" t="str">
        <f>VLOOKUP(B2371,'PROCV GERENTES BD'!A:B,2,0)</f>
        <v>RAFAEL PARISE</v>
      </c>
      <c r="F2371" s="4" t="str">
        <f t="shared" si="222"/>
        <v>2025-05</v>
      </c>
      <c r="G2371" s="18">
        <f t="shared" si="223"/>
        <v>20</v>
      </c>
      <c r="H2371" t="str">
        <f t="shared" si="224"/>
        <v>RAFAEL PARISE</v>
      </c>
      <c r="I2371" t="str">
        <f t="shared" si="225"/>
        <v>TDR TRANSPORTES LOGISTICA LTDA</v>
      </c>
      <c r="J2371">
        <f t="shared" si="226"/>
        <v>0</v>
      </c>
      <c r="K2371">
        <f t="shared" si="227"/>
        <v>1</v>
      </c>
    </row>
    <row r="2372" spans="1:11" x14ac:dyDescent="0.25">
      <c r="A2372" t="s">
        <v>503</v>
      </c>
      <c r="B2372" t="s">
        <v>261</v>
      </c>
      <c r="C2372" t="s">
        <v>66</v>
      </c>
      <c r="D2372" s="6">
        <v>45794</v>
      </c>
      <c r="E2372" t="str">
        <f>VLOOKUP(B2372,'PROCV GERENTES BD'!A:B,2,0)</f>
        <v>PRISCILA METZ</v>
      </c>
      <c r="F2372" s="4" t="str">
        <f t="shared" si="222"/>
        <v>2025-05</v>
      </c>
      <c r="G2372" s="18">
        <f t="shared" si="223"/>
        <v>20</v>
      </c>
      <c r="H2372" t="str">
        <f t="shared" si="224"/>
        <v>PRISCILA METZ</v>
      </c>
      <c r="I2372" t="str">
        <f t="shared" si="225"/>
        <v>ANDRADE ELETRO TECNICA LTDA EPP</v>
      </c>
      <c r="J2372">
        <f t="shared" si="226"/>
        <v>1</v>
      </c>
      <c r="K2372">
        <f t="shared" si="227"/>
        <v>0</v>
      </c>
    </row>
    <row r="2373" spans="1:11" x14ac:dyDescent="0.25">
      <c r="A2373" t="s">
        <v>521</v>
      </c>
      <c r="B2373" t="s">
        <v>286</v>
      </c>
      <c r="C2373" t="s">
        <v>66</v>
      </c>
      <c r="D2373" s="6">
        <v>45800</v>
      </c>
      <c r="E2373" t="str">
        <f>VLOOKUP(B2373,'PROCV GERENTES BD'!A:B,2,0)</f>
        <v>CELIO PIMENTA</v>
      </c>
      <c r="F2373" s="4" t="str">
        <f t="shared" si="222"/>
        <v>2025-05</v>
      </c>
      <c r="G2373" s="18">
        <f t="shared" si="223"/>
        <v>21</v>
      </c>
      <c r="H2373" t="str">
        <f t="shared" si="224"/>
        <v>CELIO PIMENTA</v>
      </c>
      <c r="I2373" t="str">
        <f t="shared" si="225"/>
        <v>LINGERIE E CIA LTDA ME</v>
      </c>
      <c r="J2373">
        <f t="shared" si="226"/>
        <v>1</v>
      </c>
      <c r="K2373">
        <f t="shared" si="227"/>
        <v>0</v>
      </c>
    </row>
    <row r="2374" spans="1:11" x14ac:dyDescent="0.25">
      <c r="A2374" t="s">
        <v>489</v>
      </c>
      <c r="B2374" t="s">
        <v>287</v>
      </c>
      <c r="C2374" t="s">
        <v>328</v>
      </c>
      <c r="D2374" s="6">
        <v>45796</v>
      </c>
      <c r="E2374" t="str">
        <f>VLOOKUP(B2374,'PROCV GERENTES BD'!A:B,2,0)</f>
        <v>PROSPECTAR</v>
      </c>
      <c r="F2374" s="4" t="str">
        <f t="shared" si="222"/>
        <v>2025-05</v>
      </c>
      <c r="G2374" s="18">
        <f t="shared" si="223"/>
        <v>21</v>
      </c>
      <c r="H2374" t="str">
        <f t="shared" si="224"/>
        <v>PROSPECTAR</v>
      </c>
      <c r="I2374" t="str">
        <f t="shared" si="225"/>
        <v>SAFRA AGRICOLA E PECUARIA LTDA</v>
      </c>
      <c r="J2374">
        <f t="shared" si="226"/>
        <v>0</v>
      </c>
      <c r="K2374">
        <f t="shared" si="227"/>
        <v>0</v>
      </c>
    </row>
    <row r="2375" spans="1:11" x14ac:dyDescent="0.25">
      <c r="A2375" t="s">
        <v>489</v>
      </c>
      <c r="B2375" t="s">
        <v>287</v>
      </c>
      <c r="C2375" t="s">
        <v>71</v>
      </c>
      <c r="D2375" s="6">
        <v>45796</v>
      </c>
      <c r="E2375" t="str">
        <f>VLOOKUP(B2375,'PROCV GERENTES BD'!A:B,2,0)</f>
        <v>PROSPECTAR</v>
      </c>
      <c r="F2375" s="4" t="str">
        <f t="shared" si="222"/>
        <v>2025-05</v>
      </c>
      <c r="G2375" s="18">
        <f t="shared" si="223"/>
        <v>21</v>
      </c>
      <c r="H2375" t="str">
        <f t="shared" si="224"/>
        <v>PROSPECTAR</v>
      </c>
      <c r="I2375" t="str">
        <f t="shared" si="225"/>
        <v>SAFRA AGRICOLA E PECUARIA LTDA</v>
      </c>
      <c r="J2375">
        <f t="shared" si="226"/>
        <v>0</v>
      </c>
      <c r="K2375">
        <f t="shared" si="227"/>
        <v>0</v>
      </c>
    </row>
    <row r="2376" spans="1:11" x14ac:dyDescent="0.25">
      <c r="A2376" t="s">
        <v>473</v>
      </c>
      <c r="B2376" t="s">
        <v>230</v>
      </c>
      <c r="C2376" t="s">
        <v>71</v>
      </c>
      <c r="D2376" s="6">
        <v>45796</v>
      </c>
      <c r="E2376" t="str">
        <f>VLOOKUP(B2376,'PROCV GERENTES BD'!A:B,2,0)</f>
        <v>ADMINISTRAÇÃO</v>
      </c>
      <c r="F2376" s="4" t="str">
        <f t="shared" si="222"/>
        <v>2025-05</v>
      </c>
      <c r="G2376" s="18">
        <f t="shared" si="223"/>
        <v>21</v>
      </c>
      <c r="H2376" t="str">
        <f t="shared" si="224"/>
        <v>ADMINISTRAÇÃO</v>
      </c>
      <c r="I2376" t="str">
        <f t="shared" si="225"/>
        <v>ALTAG NEGOCIOS AGRICOLAS LTDA</v>
      </c>
      <c r="J2376">
        <f t="shared" si="226"/>
        <v>0</v>
      </c>
      <c r="K2376">
        <f t="shared" si="227"/>
        <v>0</v>
      </c>
    </row>
    <row r="2377" spans="1:11" x14ac:dyDescent="0.25">
      <c r="A2377" t="s">
        <v>375</v>
      </c>
      <c r="B2377" t="s">
        <v>120</v>
      </c>
      <c r="C2377" t="s">
        <v>66</v>
      </c>
      <c r="D2377" s="6">
        <v>45797</v>
      </c>
      <c r="E2377" t="str">
        <f>VLOOKUP(B2377,'PROCV GERENTES BD'!A:B,2,0)</f>
        <v>ADMINISTRAÇÃO</v>
      </c>
      <c r="F2377" s="4" t="str">
        <f t="shared" si="222"/>
        <v>2025-05</v>
      </c>
      <c r="G2377" s="18">
        <f t="shared" si="223"/>
        <v>21</v>
      </c>
      <c r="H2377" t="str">
        <f t="shared" si="224"/>
        <v>ADMINISTRAÇÃO</v>
      </c>
      <c r="I2377" t="str">
        <f t="shared" si="225"/>
        <v>FARINELLI NUTRIMENTOS LTDA</v>
      </c>
      <c r="J2377">
        <f t="shared" si="226"/>
        <v>1</v>
      </c>
      <c r="K2377">
        <f t="shared" si="227"/>
        <v>0</v>
      </c>
    </row>
    <row r="2378" spans="1:11" x14ac:dyDescent="0.25">
      <c r="A2378" t="s">
        <v>60</v>
      </c>
      <c r="B2378" t="s">
        <v>61</v>
      </c>
      <c r="C2378" t="s">
        <v>50</v>
      </c>
      <c r="D2378" s="6">
        <v>45797</v>
      </c>
      <c r="E2378" t="str">
        <f>VLOOKUP(B2378,'PROCV GERENTES BD'!A:B,2,0)</f>
        <v xml:space="preserve">MARCUS VINICIUS </v>
      </c>
      <c r="F2378" s="4" t="str">
        <f t="shared" si="222"/>
        <v>2025-05</v>
      </c>
      <c r="G2378" s="18">
        <f t="shared" si="223"/>
        <v>21</v>
      </c>
      <c r="H2378" t="str">
        <f t="shared" si="224"/>
        <v xml:space="preserve">MARCUS VINICIUS </v>
      </c>
      <c r="I2378" t="str">
        <f t="shared" si="225"/>
        <v>COM IND DE CEREAIS E TRANSPORTES MACIEL LTDA</v>
      </c>
      <c r="J2378">
        <f t="shared" si="226"/>
        <v>0</v>
      </c>
      <c r="K2378">
        <f t="shared" si="227"/>
        <v>1</v>
      </c>
    </row>
    <row r="2379" spans="1:11" x14ac:dyDescent="0.25">
      <c r="A2379" t="s">
        <v>310</v>
      </c>
      <c r="B2379" t="s">
        <v>204</v>
      </c>
      <c r="C2379" t="s">
        <v>66</v>
      </c>
      <c r="D2379" s="6">
        <v>45797</v>
      </c>
      <c r="E2379" t="str">
        <f>VLOOKUP(B2379,'PROCV GERENTES BD'!A:B,2,0)</f>
        <v xml:space="preserve">MARCUS VINICIUS </v>
      </c>
      <c r="F2379" s="4" t="str">
        <f t="shared" si="222"/>
        <v>2025-05</v>
      </c>
      <c r="G2379" s="18">
        <f t="shared" si="223"/>
        <v>21</v>
      </c>
      <c r="H2379" t="str">
        <f t="shared" si="224"/>
        <v xml:space="preserve">MARCUS VINICIUS </v>
      </c>
      <c r="I2379" t="str">
        <f t="shared" si="225"/>
        <v>INDUSTRIA E COMERCIO DE CHURRASQUEIRAS BOM JESUS L</v>
      </c>
      <c r="J2379">
        <f t="shared" si="226"/>
        <v>1</v>
      </c>
      <c r="K2379">
        <f t="shared" si="227"/>
        <v>0</v>
      </c>
    </row>
    <row r="2380" spans="1:11" x14ac:dyDescent="0.25">
      <c r="A2380" t="s">
        <v>62</v>
      </c>
      <c r="B2380" t="s">
        <v>63</v>
      </c>
      <c r="C2380" t="s">
        <v>50</v>
      </c>
      <c r="D2380" s="6">
        <v>45797</v>
      </c>
      <c r="E2380" t="str">
        <f>VLOOKUP(B2380,'PROCV GERENTES BD'!A:B,2,0)</f>
        <v>PROSPECTAR</v>
      </c>
      <c r="F2380" s="4" t="str">
        <f t="shared" si="222"/>
        <v>2025-05</v>
      </c>
      <c r="G2380" s="18">
        <f t="shared" si="223"/>
        <v>21</v>
      </c>
      <c r="H2380" t="str">
        <f t="shared" si="224"/>
        <v>PROSPECTAR</v>
      </c>
      <c r="I2380" t="str">
        <f t="shared" si="225"/>
        <v>MAPP COM IMPORTACAO EXPORTACAO IND PRODUTOS ALIMEN</v>
      </c>
      <c r="J2380">
        <f t="shared" si="226"/>
        <v>0</v>
      </c>
      <c r="K2380">
        <f t="shared" si="227"/>
        <v>1</v>
      </c>
    </row>
    <row r="2381" spans="1:11" x14ac:dyDescent="0.25">
      <c r="A2381" t="s">
        <v>64</v>
      </c>
      <c r="B2381" t="s">
        <v>65</v>
      </c>
      <c r="C2381" t="s">
        <v>66</v>
      </c>
      <c r="D2381" s="6">
        <v>45797</v>
      </c>
      <c r="E2381" t="str">
        <f>VLOOKUP(B2381,'PROCV GERENTES BD'!A:B,2,0)</f>
        <v>ADMINISTRAÇÃO</v>
      </c>
      <c r="F2381" s="4" t="str">
        <f t="shared" si="222"/>
        <v>2025-05</v>
      </c>
      <c r="G2381" s="18">
        <f t="shared" si="223"/>
        <v>21</v>
      </c>
      <c r="H2381" t="str">
        <f t="shared" si="224"/>
        <v>ADMINISTRAÇÃO</v>
      </c>
      <c r="I2381" t="str">
        <f t="shared" si="225"/>
        <v>SOCIAL S/A</v>
      </c>
      <c r="J2381">
        <f t="shared" si="226"/>
        <v>1</v>
      </c>
      <c r="K2381">
        <f t="shared" si="227"/>
        <v>0</v>
      </c>
    </row>
    <row r="2382" spans="1:11" x14ac:dyDescent="0.25">
      <c r="A2382" t="s">
        <v>448</v>
      </c>
      <c r="B2382" t="s">
        <v>201</v>
      </c>
      <c r="C2382" t="s">
        <v>50</v>
      </c>
      <c r="D2382" s="6">
        <v>45797</v>
      </c>
      <c r="E2382" t="str">
        <f>VLOOKUP(B2382,'PROCV GERENTES BD'!A:B,2,0)</f>
        <v>PRISCILA METZ</v>
      </c>
      <c r="F2382" s="4" t="str">
        <f t="shared" si="222"/>
        <v>2025-05</v>
      </c>
      <c r="G2382" s="18">
        <f t="shared" si="223"/>
        <v>21</v>
      </c>
      <c r="H2382" t="str">
        <f t="shared" si="224"/>
        <v>PRISCILA METZ</v>
      </c>
      <c r="I2382" t="str">
        <f t="shared" si="225"/>
        <v>M TRATORES LTDA EPP</v>
      </c>
      <c r="J2382">
        <f t="shared" si="226"/>
        <v>0</v>
      </c>
      <c r="K2382">
        <f t="shared" si="227"/>
        <v>1</v>
      </c>
    </row>
    <row r="2383" spans="1:11" x14ac:dyDescent="0.25">
      <c r="A2383" t="s">
        <v>515</v>
      </c>
      <c r="B2383" t="s">
        <v>277</v>
      </c>
      <c r="C2383" t="s">
        <v>66</v>
      </c>
      <c r="D2383" s="6">
        <v>45797</v>
      </c>
      <c r="E2383" t="str">
        <f>VLOOKUP(B2383,'PROCV GERENTES BD'!A:B,2,0)</f>
        <v>ALISSON DE SOUZA LIMA</v>
      </c>
      <c r="F2383" s="4" t="str">
        <f t="shared" si="222"/>
        <v>2025-05</v>
      </c>
      <c r="G2383" s="18">
        <f t="shared" si="223"/>
        <v>21</v>
      </c>
      <c r="H2383" t="str">
        <f t="shared" si="224"/>
        <v>ALISSON DE SOUZA LIMA</v>
      </c>
      <c r="I2383" t="str">
        <f t="shared" si="225"/>
        <v>COMERCIAL GTS INFORMATICA LTDA EPP</v>
      </c>
      <c r="J2383">
        <f t="shared" si="226"/>
        <v>1</v>
      </c>
      <c r="K2383">
        <f t="shared" si="227"/>
        <v>0</v>
      </c>
    </row>
    <row r="2384" spans="1:11" x14ac:dyDescent="0.25">
      <c r="A2384" t="s">
        <v>317</v>
      </c>
      <c r="B2384" t="s">
        <v>280</v>
      </c>
      <c r="C2384" t="s">
        <v>50</v>
      </c>
      <c r="D2384" s="6">
        <v>45797</v>
      </c>
      <c r="E2384" t="str">
        <f>VLOOKUP(B2384,'PROCV GERENTES BD'!A:B,2,0)</f>
        <v>PROSPECTAR</v>
      </c>
      <c r="F2384" s="4" t="str">
        <f t="shared" si="222"/>
        <v>2025-05</v>
      </c>
      <c r="G2384" s="18">
        <f t="shared" si="223"/>
        <v>21</v>
      </c>
      <c r="H2384" t="str">
        <f t="shared" si="224"/>
        <v>PROSPECTAR</v>
      </c>
      <c r="I2384" t="str">
        <f t="shared" si="225"/>
        <v>STA TECHCANA LTDA</v>
      </c>
      <c r="J2384">
        <f t="shared" si="226"/>
        <v>0</v>
      </c>
      <c r="K2384">
        <f t="shared" si="227"/>
        <v>1</v>
      </c>
    </row>
    <row r="2385" spans="1:11" x14ac:dyDescent="0.25">
      <c r="A2385" t="s">
        <v>72</v>
      </c>
      <c r="B2385" t="s">
        <v>73</v>
      </c>
      <c r="C2385" t="s">
        <v>50</v>
      </c>
      <c r="D2385" s="6">
        <v>45797</v>
      </c>
      <c r="E2385" t="str">
        <f>VLOOKUP(B2385,'PROCV GERENTES BD'!A:B,2,0)</f>
        <v>NOELI SALETE</v>
      </c>
      <c r="F2385" s="4" t="str">
        <f t="shared" si="222"/>
        <v>2025-05</v>
      </c>
      <c r="G2385" s="18">
        <f t="shared" si="223"/>
        <v>21</v>
      </c>
      <c r="H2385" t="str">
        <f t="shared" si="224"/>
        <v>NOELI SALETE</v>
      </c>
      <c r="I2385" t="str">
        <f t="shared" si="225"/>
        <v>SMARTCENTER SOLUCOES INTELIGENTES LTDA ME</v>
      </c>
      <c r="J2385">
        <f t="shared" si="226"/>
        <v>0</v>
      </c>
      <c r="K2385">
        <f t="shared" si="227"/>
        <v>1</v>
      </c>
    </row>
    <row r="2386" spans="1:11" x14ac:dyDescent="0.25">
      <c r="A2386" t="s">
        <v>76</v>
      </c>
      <c r="B2386" t="s">
        <v>77</v>
      </c>
      <c r="C2386" t="s">
        <v>50</v>
      </c>
      <c r="D2386" s="6">
        <v>45797</v>
      </c>
      <c r="E2386" t="str">
        <f>VLOOKUP(B2386,'PROCV GERENTES BD'!A:B,2,0)</f>
        <v>RAFAEL PARISE</v>
      </c>
      <c r="F2386" s="4" t="str">
        <f t="shared" si="222"/>
        <v>2025-05</v>
      </c>
      <c r="G2386" s="18">
        <f t="shared" si="223"/>
        <v>21</v>
      </c>
      <c r="H2386" t="str">
        <f t="shared" si="224"/>
        <v>RAFAEL PARISE</v>
      </c>
      <c r="I2386" t="str">
        <f t="shared" si="225"/>
        <v>UNITA AUTO PECAS LTDA EPP</v>
      </c>
      <c r="J2386">
        <f t="shared" si="226"/>
        <v>0</v>
      </c>
      <c r="K2386">
        <f t="shared" si="227"/>
        <v>1</v>
      </c>
    </row>
    <row r="2387" spans="1:11" x14ac:dyDescent="0.25">
      <c r="A2387" t="s">
        <v>314</v>
      </c>
      <c r="B2387" t="s">
        <v>246</v>
      </c>
      <c r="C2387" t="s">
        <v>66</v>
      </c>
      <c r="D2387" s="6">
        <v>45797</v>
      </c>
      <c r="E2387" t="str">
        <f>VLOOKUP(B2387,'PROCV GERENTES BD'!A:B,2,0)</f>
        <v xml:space="preserve">ROGERIO </v>
      </c>
      <c r="F2387" s="4" t="str">
        <f t="shared" si="222"/>
        <v>2025-05</v>
      </c>
      <c r="G2387" s="18">
        <f t="shared" si="223"/>
        <v>21</v>
      </c>
      <c r="H2387" t="str">
        <f t="shared" si="224"/>
        <v xml:space="preserve">ROGERIO </v>
      </c>
      <c r="I2387" t="str">
        <f t="shared" si="225"/>
        <v>MUTCD CENTRO DE DISTRIBUICAO DE IND FABRICANTE DE</v>
      </c>
      <c r="J2387">
        <f t="shared" si="226"/>
        <v>1</v>
      </c>
      <c r="K2387">
        <f t="shared" si="227"/>
        <v>0</v>
      </c>
    </row>
    <row r="2388" spans="1:11" x14ac:dyDescent="0.25">
      <c r="A2388" t="s">
        <v>486</v>
      </c>
      <c r="B2388" t="s">
        <v>243</v>
      </c>
      <c r="C2388" t="s">
        <v>50</v>
      </c>
      <c r="D2388" s="6">
        <v>45797</v>
      </c>
      <c r="E2388" t="str">
        <f>VLOOKUP(B2388,'PROCV GERENTES BD'!A:B,2,0)</f>
        <v>NOELI SALETE</v>
      </c>
      <c r="F2388" s="4" t="str">
        <f t="shared" si="222"/>
        <v>2025-05</v>
      </c>
      <c r="G2388" s="18">
        <f t="shared" si="223"/>
        <v>21</v>
      </c>
      <c r="H2388" t="str">
        <f t="shared" si="224"/>
        <v>NOELI SALETE</v>
      </c>
      <c r="I2388" t="str">
        <f t="shared" si="225"/>
        <v>SMARTCENTERGROUP COMERCIO DE EQUIPAMENTOS DE INFOR</v>
      </c>
      <c r="J2388">
        <f t="shared" si="226"/>
        <v>0</v>
      </c>
      <c r="K2388">
        <f t="shared" si="227"/>
        <v>1</v>
      </c>
    </row>
    <row r="2389" spans="1:11" x14ac:dyDescent="0.25">
      <c r="A2389" t="s">
        <v>503</v>
      </c>
      <c r="B2389" t="s">
        <v>261</v>
      </c>
      <c r="C2389" t="s">
        <v>66</v>
      </c>
      <c r="D2389" s="6">
        <v>45797</v>
      </c>
      <c r="E2389" t="str">
        <f>VLOOKUP(B2389,'PROCV GERENTES BD'!A:B,2,0)</f>
        <v>PRISCILA METZ</v>
      </c>
      <c r="F2389" s="4" t="str">
        <f t="shared" si="222"/>
        <v>2025-05</v>
      </c>
      <c r="G2389" s="18">
        <f t="shared" si="223"/>
        <v>21</v>
      </c>
      <c r="H2389" t="str">
        <f t="shared" si="224"/>
        <v>PRISCILA METZ</v>
      </c>
      <c r="I2389" t="str">
        <f t="shared" si="225"/>
        <v>ANDRADE ELETRO TECNICA LTDA EPP</v>
      </c>
      <c r="J2389">
        <f t="shared" si="226"/>
        <v>1</v>
      </c>
      <c r="K2389">
        <f t="shared" si="227"/>
        <v>0</v>
      </c>
    </row>
    <row r="2390" spans="1:11" x14ac:dyDescent="0.25">
      <c r="A2390" t="s">
        <v>521</v>
      </c>
      <c r="B2390" t="s">
        <v>286</v>
      </c>
      <c r="C2390" t="s">
        <v>50</v>
      </c>
      <c r="D2390" s="6">
        <v>45804</v>
      </c>
      <c r="E2390" t="str">
        <f>VLOOKUP(B2390,'PROCV GERENTES BD'!A:B,2,0)</f>
        <v>CELIO PIMENTA</v>
      </c>
      <c r="F2390" s="4" t="str">
        <f t="shared" si="222"/>
        <v>2025-05</v>
      </c>
      <c r="G2390" s="18">
        <f t="shared" si="223"/>
        <v>22</v>
      </c>
      <c r="H2390" t="str">
        <f t="shared" si="224"/>
        <v>CELIO PIMENTA</v>
      </c>
      <c r="I2390" t="str">
        <f t="shared" si="225"/>
        <v>LINGERIE E CIA LTDA ME</v>
      </c>
      <c r="J2390">
        <f t="shared" si="226"/>
        <v>0</v>
      </c>
      <c r="K2390">
        <f t="shared" si="227"/>
        <v>1</v>
      </c>
    </row>
    <row r="2391" spans="1:11" x14ac:dyDescent="0.25">
      <c r="A2391" t="s">
        <v>521</v>
      </c>
      <c r="B2391" t="s">
        <v>286</v>
      </c>
      <c r="C2391" t="s">
        <v>66</v>
      </c>
      <c r="D2391" s="6">
        <v>45806</v>
      </c>
      <c r="E2391" t="str">
        <f>VLOOKUP(B2391,'PROCV GERENTES BD'!A:B,2,0)</f>
        <v>CELIO PIMENTA</v>
      </c>
      <c r="F2391" s="4" t="str">
        <f t="shared" si="222"/>
        <v>2025-05</v>
      </c>
      <c r="G2391" s="18">
        <f t="shared" si="223"/>
        <v>22</v>
      </c>
      <c r="H2391" t="str">
        <f t="shared" si="224"/>
        <v>CELIO PIMENTA</v>
      </c>
      <c r="I2391" t="str">
        <f t="shared" si="225"/>
        <v>LINGERIE E CIA LTDA ME</v>
      </c>
      <c r="J2391">
        <f t="shared" si="226"/>
        <v>1</v>
      </c>
      <c r="K2391">
        <f t="shared" si="227"/>
        <v>0</v>
      </c>
    </row>
    <row r="2392" spans="1:11" x14ac:dyDescent="0.25">
      <c r="A2392" t="s">
        <v>370</v>
      </c>
      <c r="B2392" t="s">
        <v>114</v>
      </c>
      <c r="C2392" t="s">
        <v>50</v>
      </c>
      <c r="D2392" s="6">
        <v>45797</v>
      </c>
      <c r="E2392" t="str">
        <f>VLOOKUP(B2392,'PROCV GERENTES BD'!A:B,2,0)</f>
        <v>POENATELA</v>
      </c>
      <c r="F2392" s="4" t="str">
        <f t="shared" si="222"/>
        <v>2025-05</v>
      </c>
      <c r="G2392" s="18">
        <f t="shared" si="223"/>
        <v>21</v>
      </c>
      <c r="H2392" t="str">
        <f t="shared" si="224"/>
        <v>POENATELA</v>
      </c>
      <c r="I2392" t="str">
        <f t="shared" si="225"/>
        <v>COOPERATIVA TRANSP AUTON CARGAS PASSAG SERVICOS LO</v>
      </c>
      <c r="J2392">
        <f t="shared" si="226"/>
        <v>0</v>
      </c>
      <c r="K2392">
        <f t="shared" si="227"/>
        <v>1</v>
      </c>
    </row>
    <row r="2393" spans="1:11" x14ac:dyDescent="0.25">
      <c r="A2393" t="s">
        <v>326</v>
      </c>
      <c r="B2393" t="s">
        <v>122</v>
      </c>
      <c r="C2393" t="s">
        <v>53</v>
      </c>
      <c r="D2393" s="6">
        <v>45797</v>
      </c>
      <c r="E2393" t="str">
        <f>VLOOKUP(B2393,'PROCV GERENTES BD'!A:B,2,0)</f>
        <v xml:space="preserve">ROGERIO </v>
      </c>
      <c r="F2393" s="4" t="str">
        <f t="shared" si="222"/>
        <v>2025-05</v>
      </c>
      <c r="G2393" s="18">
        <f t="shared" si="223"/>
        <v>21</v>
      </c>
      <c r="H2393" t="str">
        <f t="shared" si="224"/>
        <v xml:space="preserve">ROGERIO </v>
      </c>
      <c r="I2393" t="str">
        <f t="shared" si="225"/>
        <v>BIBE PRODUTOS INFANTIS LTDA</v>
      </c>
      <c r="J2393">
        <f t="shared" si="226"/>
        <v>1</v>
      </c>
      <c r="K2393">
        <f t="shared" si="227"/>
        <v>1</v>
      </c>
    </row>
    <row r="2394" spans="1:11" x14ac:dyDescent="0.25">
      <c r="A2394" t="s">
        <v>412</v>
      </c>
      <c r="B2394" t="s">
        <v>162</v>
      </c>
      <c r="C2394" t="s">
        <v>50</v>
      </c>
      <c r="D2394" s="6">
        <v>45797</v>
      </c>
      <c r="E2394" t="str">
        <f>VLOOKUP(B2394,'PROCV GERENTES BD'!A:B,2,0)</f>
        <v>PROSPECTAR</v>
      </c>
      <c r="F2394" s="4" t="str">
        <f t="shared" si="222"/>
        <v>2025-05</v>
      </c>
      <c r="G2394" s="18">
        <f t="shared" si="223"/>
        <v>21</v>
      </c>
      <c r="H2394" t="str">
        <f t="shared" si="224"/>
        <v>PROSPECTAR</v>
      </c>
      <c r="I2394" t="str">
        <f t="shared" si="225"/>
        <v>MORIA PRESTACAO DE SERVICOS LTDA ME</v>
      </c>
      <c r="J2394">
        <f t="shared" si="226"/>
        <v>0</v>
      </c>
      <c r="K2394">
        <f t="shared" si="227"/>
        <v>1</v>
      </c>
    </row>
    <row r="2395" spans="1:11" x14ac:dyDescent="0.25">
      <c r="A2395" t="s">
        <v>353</v>
      </c>
      <c r="B2395" t="s">
        <v>97</v>
      </c>
      <c r="C2395" t="s">
        <v>50</v>
      </c>
      <c r="D2395" s="6">
        <v>45797</v>
      </c>
      <c r="E2395" t="str">
        <f>VLOOKUP(B2395,'PROCV GERENTES BD'!A:B,2,0)</f>
        <v>PRISCILA METZ</v>
      </c>
      <c r="F2395" s="4" t="str">
        <f t="shared" si="222"/>
        <v>2025-05</v>
      </c>
      <c r="G2395" s="18">
        <f t="shared" si="223"/>
        <v>21</v>
      </c>
      <c r="H2395" t="str">
        <f t="shared" si="224"/>
        <v>PRISCILA METZ</v>
      </c>
      <c r="I2395" t="str">
        <f t="shared" si="225"/>
        <v>ESSENZA INDUSTRIA QUIMICA LTDA</v>
      </c>
      <c r="J2395">
        <f t="shared" si="226"/>
        <v>0</v>
      </c>
      <c r="K2395">
        <f t="shared" si="227"/>
        <v>1</v>
      </c>
    </row>
    <row r="2396" spans="1:11" x14ac:dyDescent="0.25">
      <c r="A2396" t="s">
        <v>485</v>
      </c>
      <c r="B2396" t="s">
        <v>242</v>
      </c>
      <c r="C2396" t="s">
        <v>50</v>
      </c>
      <c r="D2396" s="6">
        <v>45797</v>
      </c>
      <c r="E2396" t="str">
        <f>VLOOKUP(B2396,'PROCV GERENTES BD'!A:B,2,0)</f>
        <v>PROSPECTAR</v>
      </c>
      <c r="F2396" s="4" t="str">
        <f t="shared" si="222"/>
        <v>2025-05</v>
      </c>
      <c r="G2396" s="18">
        <f t="shared" si="223"/>
        <v>21</v>
      </c>
      <c r="H2396" t="str">
        <f t="shared" si="224"/>
        <v>PROSPECTAR</v>
      </c>
      <c r="I2396" t="str">
        <f t="shared" si="225"/>
        <v>GOIARTE SOLUCOES CONSTRUTIVAS EM CONCRETO LTDA</v>
      </c>
      <c r="J2396">
        <f t="shared" si="226"/>
        <v>0</v>
      </c>
      <c r="K2396">
        <f t="shared" si="227"/>
        <v>1</v>
      </c>
    </row>
    <row r="2397" spans="1:11" x14ac:dyDescent="0.25">
      <c r="A2397" t="s">
        <v>522</v>
      </c>
      <c r="B2397" t="s">
        <v>290</v>
      </c>
      <c r="C2397" t="s">
        <v>66</v>
      </c>
      <c r="D2397" s="6">
        <v>45797</v>
      </c>
      <c r="E2397" t="str">
        <f>VLOOKUP(B2397,'PROCV GERENTES BD'!A:B,2,0)</f>
        <v>CAIO</v>
      </c>
      <c r="F2397" s="4" t="str">
        <f t="shared" si="222"/>
        <v>2025-05</v>
      </c>
      <c r="G2397" s="18">
        <f t="shared" si="223"/>
        <v>21</v>
      </c>
      <c r="H2397" t="str">
        <f t="shared" si="224"/>
        <v>CAIO</v>
      </c>
      <c r="I2397" t="str">
        <f t="shared" si="225"/>
        <v>C V T O IND E COM LTDA EPP</v>
      </c>
      <c r="J2397">
        <f t="shared" si="226"/>
        <v>1</v>
      </c>
      <c r="K2397">
        <f t="shared" si="227"/>
        <v>0</v>
      </c>
    </row>
    <row r="2398" spans="1:11" x14ac:dyDescent="0.25">
      <c r="A2398" t="s">
        <v>476</v>
      </c>
      <c r="B2398" t="s">
        <v>233</v>
      </c>
      <c r="C2398" t="s">
        <v>66</v>
      </c>
      <c r="D2398" s="6">
        <v>45797</v>
      </c>
      <c r="E2398" t="str">
        <f>VLOOKUP(B2398,'PROCV GERENTES BD'!A:B,2,0)</f>
        <v>PRISCILA METZ</v>
      </c>
      <c r="F2398" s="4" t="str">
        <f t="shared" si="222"/>
        <v>2025-05</v>
      </c>
      <c r="G2398" s="18">
        <f t="shared" si="223"/>
        <v>21</v>
      </c>
      <c r="H2398" t="str">
        <f t="shared" si="224"/>
        <v>PRISCILA METZ</v>
      </c>
      <c r="I2398" t="str">
        <f t="shared" si="225"/>
        <v>TERRAPLAST INDUSTRIA E COMERCIO DE EQUIPAMENTOS DE</v>
      </c>
      <c r="J2398">
        <f t="shared" si="226"/>
        <v>1</v>
      </c>
      <c r="K2398">
        <f t="shared" si="227"/>
        <v>0</v>
      </c>
    </row>
    <row r="2399" spans="1:11" x14ac:dyDescent="0.25">
      <c r="A2399" t="s">
        <v>523</v>
      </c>
      <c r="B2399" t="s">
        <v>288</v>
      </c>
      <c r="C2399" t="s">
        <v>53</v>
      </c>
      <c r="D2399" s="6">
        <v>45797</v>
      </c>
      <c r="E2399" t="str">
        <f>VLOOKUP(B2399,'PROCV GERENTES BD'!A:B,2,0)</f>
        <v>ADMINISTRAÇÃO</v>
      </c>
      <c r="F2399" s="4" t="str">
        <f t="shared" si="222"/>
        <v>2025-05</v>
      </c>
      <c r="G2399" s="18">
        <f t="shared" si="223"/>
        <v>21</v>
      </c>
      <c r="H2399" t="str">
        <f t="shared" si="224"/>
        <v>ADMINISTRAÇÃO</v>
      </c>
      <c r="I2399" t="str">
        <f t="shared" si="225"/>
        <v>REFRACONT BRASIL LTDA</v>
      </c>
      <c r="J2399">
        <f t="shared" si="226"/>
        <v>1</v>
      </c>
      <c r="K2399">
        <f t="shared" si="227"/>
        <v>1</v>
      </c>
    </row>
    <row r="2400" spans="1:11" x14ac:dyDescent="0.25">
      <c r="A2400" t="s">
        <v>524</v>
      </c>
      <c r="B2400" t="s">
        <v>289</v>
      </c>
      <c r="C2400" t="s">
        <v>50</v>
      </c>
      <c r="D2400" s="6">
        <v>45797</v>
      </c>
      <c r="E2400" t="str">
        <f>VLOOKUP(B2400,'PROCV GERENTES BD'!A:B,2,0)</f>
        <v>DALVA</v>
      </c>
      <c r="F2400" s="4" t="str">
        <f t="shared" si="222"/>
        <v>2025-05</v>
      </c>
      <c r="G2400" s="18">
        <f t="shared" si="223"/>
        <v>21</v>
      </c>
      <c r="H2400" t="str">
        <f t="shared" si="224"/>
        <v>DALVA</v>
      </c>
      <c r="I2400" t="str">
        <f t="shared" si="225"/>
        <v>FRAITECH INTELIGENCIA EM AUTOMACAO LTDA</v>
      </c>
      <c r="J2400">
        <f t="shared" si="226"/>
        <v>0</v>
      </c>
      <c r="K2400">
        <f t="shared" si="227"/>
        <v>1</v>
      </c>
    </row>
    <row r="2401" spans="1:11" x14ac:dyDescent="0.25">
      <c r="A2401" t="s">
        <v>324</v>
      </c>
      <c r="B2401" t="s">
        <v>119</v>
      </c>
      <c r="C2401" t="s">
        <v>50</v>
      </c>
      <c r="D2401" s="6">
        <v>45797</v>
      </c>
      <c r="E2401" t="str">
        <f>VLOOKUP(B2401,'PROCV GERENTES BD'!A:B,2,0)</f>
        <v>PROSPECTAR</v>
      </c>
      <c r="F2401" s="4" t="str">
        <f t="shared" si="222"/>
        <v>2025-05</v>
      </c>
      <c r="G2401" s="18">
        <f t="shared" si="223"/>
        <v>21</v>
      </c>
      <c r="H2401" t="str">
        <f t="shared" si="224"/>
        <v>PROSPECTAR</v>
      </c>
      <c r="I2401" t="str">
        <f t="shared" si="225"/>
        <v>TRANSHENRY TRANSPORTES LTDA</v>
      </c>
      <c r="J2401">
        <f t="shared" si="226"/>
        <v>0</v>
      </c>
      <c r="K2401">
        <f t="shared" si="227"/>
        <v>1</v>
      </c>
    </row>
    <row r="2402" spans="1:11" x14ac:dyDescent="0.25">
      <c r="A2402" t="s">
        <v>352</v>
      </c>
      <c r="B2402" t="s">
        <v>96</v>
      </c>
      <c r="C2402" t="s">
        <v>50</v>
      </c>
      <c r="D2402" s="6">
        <v>45797</v>
      </c>
      <c r="E2402" t="str">
        <f>VLOOKUP(B2402,'PROCV GERENTES BD'!A:B,2,0)</f>
        <v>POENATELA</v>
      </c>
      <c r="F2402" s="4" t="str">
        <f t="shared" si="222"/>
        <v>2025-05</v>
      </c>
      <c r="G2402" s="18">
        <f t="shared" si="223"/>
        <v>21</v>
      </c>
      <c r="H2402" t="str">
        <f t="shared" si="224"/>
        <v>POENATELA</v>
      </c>
      <c r="I2402" t="str">
        <f t="shared" si="225"/>
        <v>SUPER HARD TECNOLOGIA EM TRATAMENTO DE SUPERFICIES</v>
      </c>
      <c r="J2402">
        <f t="shared" si="226"/>
        <v>0</v>
      </c>
      <c r="K2402">
        <f t="shared" si="227"/>
        <v>1</v>
      </c>
    </row>
    <row r="2403" spans="1:11" x14ac:dyDescent="0.25">
      <c r="A2403" t="s">
        <v>323</v>
      </c>
      <c r="B2403" t="s">
        <v>109</v>
      </c>
      <c r="C2403" t="s">
        <v>50</v>
      </c>
      <c r="D2403" s="6">
        <v>45797</v>
      </c>
      <c r="E2403" t="str">
        <f>VLOOKUP(B2403,'PROCV GERENTES BD'!A:B,2,0)</f>
        <v>PROSPECTAR</v>
      </c>
      <c r="F2403" s="4" t="str">
        <f t="shared" si="222"/>
        <v>2025-05</v>
      </c>
      <c r="G2403" s="18">
        <f t="shared" si="223"/>
        <v>21</v>
      </c>
      <c r="H2403" t="str">
        <f t="shared" si="224"/>
        <v>PROSPECTAR</v>
      </c>
      <c r="I2403" t="str">
        <f t="shared" si="225"/>
        <v>SIAP COMERCIO DE PRODUTOS AGROPECUARIOS LTDA</v>
      </c>
      <c r="J2403">
        <f t="shared" si="226"/>
        <v>0</v>
      </c>
      <c r="K2403">
        <f t="shared" si="227"/>
        <v>1</v>
      </c>
    </row>
    <row r="2404" spans="1:11" x14ac:dyDescent="0.25">
      <c r="A2404" t="s">
        <v>363</v>
      </c>
      <c r="B2404" t="s">
        <v>108</v>
      </c>
      <c r="C2404" t="s">
        <v>66</v>
      </c>
      <c r="D2404" s="6">
        <v>45797</v>
      </c>
      <c r="E2404" t="str">
        <f>VLOOKUP(B2404,'PROCV GERENTES BD'!A:B,2,0)</f>
        <v>ANDERSON FRAGA</v>
      </c>
      <c r="F2404" s="4" t="str">
        <f t="shared" si="222"/>
        <v>2025-05</v>
      </c>
      <c r="G2404" s="18">
        <f t="shared" si="223"/>
        <v>21</v>
      </c>
      <c r="H2404" t="str">
        <f t="shared" si="224"/>
        <v>ANDERSON FRAGA</v>
      </c>
      <c r="I2404" t="str">
        <f t="shared" si="225"/>
        <v>AMP INDUSTRIA E COMERCIO DE CONDUTORES LTDA</v>
      </c>
      <c r="J2404">
        <f t="shared" si="226"/>
        <v>1</v>
      </c>
      <c r="K2404">
        <f t="shared" si="227"/>
        <v>0</v>
      </c>
    </row>
    <row r="2405" spans="1:11" x14ac:dyDescent="0.25">
      <c r="A2405" t="s">
        <v>54</v>
      </c>
      <c r="B2405" t="s">
        <v>55</v>
      </c>
      <c r="C2405" t="s">
        <v>50</v>
      </c>
      <c r="D2405" s="6">
        <v>45797</v>
      </c>
      <c r="E2405" t="str">
        <f>VLOOKUP(B2405,'PROCV GERENTES BD'!A:B,2,0)</f>
        <v>CELIO PIMENTA</v>
      </c>
      <c r="F2405" s="4" t="str">
        <f t="shared" si="222"/>
        <v>2025-05</v>
      </c>
      <c r="G2405" s="18">
        <f t="shared" si="223"/>
        <v>21</v>
      </c>
      <c r="H2405" t="str">
        <f t="shared" si="224"/>
        <v>CELIO PIMENTA</v>
      </c>
      <c r="I2405" t="str">
        <f t="shared" si="225"/>
        <v>WJ CALDEIRARIA INDUSTRIA E COMERCIO LTDA ME</v>
      </c>
      <c r="J2405">
        <f t="shared" si="226"/>
        <v>0</v>
      </c>
      <c r="K2405">
        <f t="shared" si="227"/>
        <v>1</v>
      </c>
    </row>
    <row r="2406" spans="1:11" x14ac:dyDescent="0.25">
      <c r="A2406" t="s">
        <v>56</v>
      </c>
      <c r="B2406" t="s">
        <v>57</v>
      </c>
      <c r="C2406" t="s">
        <v>66</v>
      </c>
      <c r="D2406" s="6">
        <v>45797</v>
      </c>
      <c r="E2406" t="str">
        <f>VLOOKUP(B2406,'PROCV GERENTES BD'!A:B,2,0)</f>
        <v xml:space="preserve">ROGERIO </v>
      </c>
      <c r="F2406" s="4" t="str">
        <f t="shared" si="222"/>
        <v>2025-05</v>
      </c>
      <c r="G2406" s="18">
        <f t="shared" si="223"/>
        <v>21</v>
      </c>
      <c r="H2406" t="str">
        <f t="shared" si="224"/>
        <v xml:space="preserve">ROGERIO </v>
      </c>
      <c r="I2406" t="str">
        <f t="shared" si="225"/>
        <v>RODOVIEIRA TRANSPORTE LTDA</v>
      </c>
      <c r="J2406">
        <f t="shared" si="226"/>
        <v>1</v>
      </c>
      <c r="K2406">
        <f t="shared" si="227"/>
        <v>0</v>
      </c>
    </row>
    <row r="2407" spans="1:11" x14ac:dyDescent="0.25">
      <c r="A2407" t="s">
        <v>513</v>
      </c>
      <c r="B2407" t="s">
        <v>275</v>
      </c>
      <c r="C2407" t="s">
        <v>50</v>
      </c>
      <c r="D2407" s="6">
        <v>45797</v>
      </c>
      <c r="E2407" t="str">
        <f>VLOOKUP(B2407,'PROCV GERENTES BD'!A:B,2,0)</f>
        <v>ALISSON DE SOUZA LIMA</v>
      </c>
      <c r="F2407" s="4" t="str">
        <f t="shared" si="222"/>
        <v>2025-05</v>
      </c>
      <c r="G2407" s="18">
        <f t="shared" si="223"/>
        <v>21</v>
      </c>
      <c r="H2407" t="str">
        <f t="shared" si="224"/>
        <v>ALISSON DE SOUZA LIMA</v>
      </c>
      <c r="I2407" t="str">
        <f t="shared" si="225"/>
        <v>COMERCIAL JLX DISTRIBUIDORA LTDA ME</v>
      </c>
      <c r="J2407">
        <f t="shared" si="226"/>
        <v>0</v>
      </c>
      <c r="K2407">
        <f t="shared" si="227"/>
        <v>1</v>
      </c>
    </row>
    <row r="2408" spans="1:11" x14ac:dyDescent="0.25">
      <c r="A2408" t="s">
        <v>58</v>
      </c>
      <c r="B2408" t="s">
        <v>59</v>
      </c>
      <c r="C2408" t="s">
        <v>50</v>
      </c>
      <c r="D2408" s="6">
        <v>45797</v>
      </c>
      <c r="E2408" t="str">
        <f>VLOOKUP(B2408,'PROCV GERENTES BD'!A:B,2,0)</f>
        <v>ADMINISTRAÇÃO</v>
      </c>
      <c r="F2408" s="4" t="str">
        <f t="shared" si="222"/>
        <v>2025-05</v>
      </c>
      <c r="G2408" s="18">
        <f t="shared" si="223"/>
        <v>21</v>
      </c>
      <c r="H2408" t="str">
        <f t="shared" si="224"/>
        <v>ADMINISTRAÇÃO</v>
      </c>
      <c r="I2408" t="str">
        <f t="shared" si="225"/>
        <v>BIOTECH LOGISTICA LTDA</v>
      </c>
      <c r="J2408">
        <f t="shared" si="226"/>
        <v>0</v>
      </c>
      <c r="K2408">
        <f t="shared" si="227"/>
        <v>1</v>
      </c>
    </row>
    <row r="2409" spans="1:11" x14ac:dyDescent="0.25">
      <c r="A2409" t="s">
        <v>372</v>
      </c>
      <c r="B2409" t="s">
        <v>116</v>
      </c>
      <c r="C2409" t="s">
        <v>50</v>
      </c>
      <c r="D2409" s="6">
        <v>45797</v>
      </c>
      <c r="E2409" t="str">
        <f>VLOOKUP(B2409,'PROCV GERENTES BD'!A:B,2,0)</f>
        <v>ADMINISTRAÇÃO</v>
      </c>
      <c r="F2409" s="4" t="str">
        <f t="shared" si="222"/>
        <v>2025-05</v>
      </c>
      <c r="G2409" s="18">
        <f t="shared" si="223"/>
        <v>21</v>
      </c>
      <c r="H2409" t="str">
        <f t="shared" si="224"/>
        <v>ADMINISTRAÇÃO</v>
      </c>
      <c r="I2409" t="str">
        <f t="shared" si="225"/>
        <v>PREMOLDADOS MATOSINHOS LTDA EPP</v>
      </c>
      <c r="J2409">
        <f t="shared" si="226"/>
        <v>0</v>
      </c>
      <c r="K2409">
        <f t="shared" si="227"/>
        <v>1</v>
      </c>
    </row>
    <row r="2410" spans="1:11" x14ac:dyDescent="0.25">
      <c r="A2410" t="s">
        <v>51</v>
      </c>
      <c r="B2410" t="s">
        <v>52</v>
      </c>
      <c r="C2410" t="s">
        <v>50</v>
      </c>
      <c r="D2410" s="6">
        <v>45797</v>
      </c>
      <c r="E2410" t="str">
        <f>VLOOKUP(B2410,'PROCV GERENTES BD'!A:B,2,0)</f>
        <v>RAFAEL PARISE</v>
      </c>
      <c r="F2410" s="4" t="str">
        <f t="shared" si="222"/>
        <v>2025-05</v>
      </c>
      <c r="G2410" s="18">
        <f t="shared" si="223"/>
        <v>21</v>
      </c>
      <c r="H2410" t="str">
        <f t="shared" si="224"/>
        <v>RAFAEL PARISE</v>
      </c>
      <c r="I2410" t="str">
        <f t="shared" si="225"/>
        <v>TDR TRANSPORTES LOGISTICA LTDA</v>
      </c>
      <c r="J2410">
        <f t="shared" si="226"/>
        <v>0</v>
      </c>
      <c r="K2410">
        <f t="shared" si="227"/>
        <v>1</v>
      </c>
    </row>
    <row r="2411" spans="1:11" x14ac:dyDescent="0.25">
      <c r="A2411" t="s">
        <v>504</v>
      </c>
      <c r="B2411" t="s">
        <v>265</v>
      </c>
      <c r="C2411" t="s">
        <v>50</v>
      </c>
      <c r="D2411" s="6">
        <v>45797</v>
      </c>
      <c r="E2411" t="str">
        <f>VLOOKUP(B2411,'PROCV GERENTES BD'!A:B,2,0)</f>
        <v>NOELI SALETE</v>
      </c>
      <c r="F2411" s="4" t="str">
        <f t="shared" si="222"/>
        <v>2025-05</v>
      </c>
      <c r="G2411" s="18">
        <f t="shared" si="223"/>
        <v>21</v>
      </c>
      <c r="H2411" t="str">
        <f t="shared" si="224"/>
        <v>NOELI SALETE</v>
      </c>
      <c r="I2411" t="str">
        <f t="shared" si="225"/>
        <v>TRANSPORTES TRANS BERTIN LTDA</v>
      </c>
      <c r="J2411">
        <f t="shared" si="226"/>
        <v>0</v>
      </c>
      <c r="K2411">
        <f t="shared" si="227"/>
        <v>1</v>
      </c>
    </row>
    <row r="2412" spans="1:11" x14ac:dyDescent="0.25">
      <c r="A2412" t="s">
        <v>375</v>
      </c>
      <c r="B2412" t="s">
        <v>120</v>
      </c>
      <c r="C2412" t="s">
        <v>66</v>
      </c>
      <c r="D2412" s="6">
        <v>45798</v>
      </c>
      <c r="E2412" t="str">
        <f>VLOOKUP(B2412,'PROCV GERENTES BD'!A:B,2,0)</f>
        <v>ADMINISTRAÇÃO</v>
      </c>
      <c r="F2412" s="4" t="str">
        <f t="shared" si="222"/>
        <v>2025-05</v>
      </c>
      <c r="G2412" s="18">
        <f t="shared" si="223"/>
        <v>21</v>
      </c>
      <c r="H2412" t="str">
        <f t="shared" si="224"/>
        <v>ADMINISTRAÇÃO</v>
      </c>
      <c r="I2412" t="str">
        <f t="shared" si="225"/>
        <v>FARINELLI NUTRIMENTOS LTDA</v>
      </c>
      <c r="J2412">
        <f t="shared" si="226"/>
        <v>1</v>
      </c>
      <c r="K2412">
        <f t="shared" si="227"/>
        <v>0</v>
      </c>
    </row>
    <row r="2413" spans="1:11" x14ac:dyDescent="0.25">
      <c r="A2413" t="s">
        <v>486</v>
      </c>
      <c r="B2413" t="s">
        <v>243</v>
      </c>
      <c r="C2413" t="s">
        <v>50</v>
      </c>
      <c r="D2413" s="6">
        <v>45798</v>
      </c>
      <c r="E2413" t="str">
        <f>VLOOKUP(B2413,'PROCV GERENTES BD'!A:B,2,0)</f>
        <v>NOELI SALETE</v>
      </c>
      <c r="F2413" s="4" t="str">
        <f t="shared" si="222"/>
        <v>2025-05</v>
      </c>
      <c r="G2413" s="18">
        <f t="shared" si="223"/>
        <v>21</v>
      </c>
      <c r="H2413" t="str">
        <f t="shared" si="224"/>
        <v>NOELI SALETE</v>
      </c>
      <c r="I2413" t="str">
        <f t="shared" si="225"/>
        <v>SMARTCENTERGROUP COMERCIO DE EQUIPAMENTOS DE INFOR</v>
      </c>
      <c r="J2413">
        <f t="shared" si="226"/>
        <v>0</v>
      </c>
      <c r="K2413">
        <f t="shared" si="227"/>
        <v>1</v>
      </c>
    </row>
    <row r="2414" spans="1:11" x14ac:dyDescent="0.25">
      <c r="A2414" t="s">
        <v>314</v>
      </c>
      <c r="B2414" t="s">
        <v>246</v>
      </c>
      <c r="C2414" t="s">
        <v>66</v>
      </c>
      <c r="D2414" s="6">
        <v>45798</v>
      </c>
      <c r="E2414" t="str">
        <f>VLOOKUP(B2414,'PROCV GERENTES BD'!A:B,2,0)</f>
        <v xml:space="preserve">ROGERIO </v>
      </c>
      <c r="F2414" s="4" t="str">
        <f t="shared" si="222"/>
        <v>2025-05</v>
      </c>
      <c r="G2414" s="18">
        <f t="shared" si="223"/>
        <v>21</v>
      </c>
      <c r="H2414" t="str">
        <f t="shared" si="224"/>
        <v xml:space="preserve">ROGERIO </v>
      </c>
      <c r="I2414" t="str">
        <f t="shared" si="225"/>
        <v>MUTCD CENTRO DE DISTRIBUICAO DE IND FABRICANTE DE</v>
      </c>
      <c r="J2414">
        <f t="shared" si="226"/>
        <v>1</v>
      </c>
      <c r="K2414">
        <f t="shared" si="227"/>
        <v>0</v>
      </c>
    </row>
    <row r="2415" spans="1:11" x14ac:dyDescent="0.25">
      <c r="A2415" t="s">
        <v>370</v>
      </c>
      <c r="B2415" t="s">
        <v>114</v>
      </c>
      <c r="C2415" t="s">
        <v>66</v>
      </c>
      <c r="D2415" s="6">
        <v>45798</v>
      </c>
      <c r="E2415" t="str">
        <f>VLOOKUP(B2415,'PROCV GERENTES BD'!A:B,2,0)</f>
        <v>POENATELA</v>
      </c>
      <c r="F2415" s="4" t="str">
        <f t="shared" si="222"/>
        <v>2025-05</v>
      </c>
      <c r="G2415" s="18">
        <f t="shared" si="223"/>
        <v>21</v>
      </c>
      <c r="H2415" t="str">
        <f t="shared" si="224"/>
        <v>POENATELA</v>
      </c>
      <c r="I2415" t="str">
        <f t="shared" si="225"/>
        <v>COOPERATIVA TRANSP AUTON CARGAS PASSAG SERVICOS LO</v>
      </c>
      <c r="J2415">
        <f t="shared" si="226"/>
        <v>1</v>
      </c>
      <c r="K2415">
        <f t="shared" si="227"/>
        <v>0</v>
      </c>
    </row>
    <row r="2416" spans="1:11" x14ac:dyDescent="0.25">
      <c r="A2416" t="s">
        <v>72</v>
      </c>
      <c r="B2416" t="s">
        <v>73</v>
      </c>
      <c r="C2416" t="s">
        <v>50</v>
      </c>
      <c r="D2416" s="6">
        <v>45798</v>
      </c>
      <c r="E2416" t="str">
        <f>VLOOKUP(B2416,'PROCV GERENTES BD'!A:B,2,0)</f>
        <v>NOELI SALETE</v>
      </c>
      <c r="F2416" s="4" t="str">
        <f t="shared" si="222"/>
        <v>2025-05</v>
      </c>
      <c r="G2416" s="18">
        <f t="shared" si="223"/>
        <v>21</v>
      </c>
      <c r="H2416" t="str">
        <f t="shared" si="224"/>
        <v>NOELI SALETE</v>
      </c>
      <c r="I2416" t="str">
        <f t="shared" si="225"/>
        <v>SMARTCENTER SOLUCOES INTELIGENTES LTDA ME</v>
      </c>
      <c r="J2416">
        <f t="shared" si="226"/>
        <v>0</v>
      </c>
      <c r="K2416">
        <f t="shared" si="227"/>
        <v>1</v>
      </c>
    </row>
    <row r="2417" spans="1:11" x14ac:dyDescent="0.25">
      <c r="A2417" t="s">
        <v>515</v>
      </c>
      <c r="B2417" t="s">
        <v>277</v>
      </c>
      <c r="C2417" t="s">
        <v>66</v>
      </c>
      <c r="D2417" s="6">
        <v>45798</v>
      </c>
      <c r="E2417" t="str">
        <f>VLOOKUP(B2417,'PROCV GERENTES BD'!A:B,2,0)</f>
        <v>ALISSON DE SOUZA LIMA</v>
      </c>
      <c r="F2417" s="4" t="str">
        <f t="shared" si="222"/>
        <v>2025-05</v>
      </c>
      <c r="G2417" s="18">
        <f t="shared" si="223"/>
        <v>21</v>
      </c>
      <c r="H2417" t="str">
        <f t="shared" si="224"/>
        <v>ALISSON DE SOUZA LIMA</v>
      </c>
      <c r="I2417" t="str">
        <f t="shared" si="225"/>
        <v>COMERCIAL GTS INFORMATICA LTDA EPP</v>
      </c>
      <c r="J2417">
        <f t="shared" si="226"/>
        <v>1</v>
      </c>
      <c r="K2417">
        <f t="shared" si="227"/>
        <v>0</v>
      </c>
    </row>
    <row r="2418" spans="1:11" x14ac:dyDescent="0.25">
      <c r="A2418" t="s">
        <v>64</v>
      </c>
      <c r="B2418" t="s">
        <v>65</v>
      </c>
      <c r="C2418" t="s">
        <v>50</v>
      </c>
      <c r="D2418" s="6">
        <v>45798</v>
      </c>
      <c r="E2418" t="str">
        <f>VLOOKUP(B2418,'PROCV GERENTES BD'!A:B,2,0)</f>
        <v>ADMINISTRAÇÃO</v>
      </c>
      <c r="F2418" s="4" t="str">
        <f t="shared" si="222"/>
        <v>2025-05</v>
      </c>
      <c r="G2418" s="18">
        <f t="shared" si="223"/>
        <v>21</v>
      </c>
      <c r="H2418" t="str">
        <f t="shared" si="224"/>
        <v>ADMINISTRAÇÃO</v>
      </c>
      <c r="I2418" t="str">
        <f t="shared" si="225"/>
        <v>SOCIAL S/A</v>
      </c>
      <c r="J2418">
        <f t="shared" si="226"/>
        <v>0</v>
      </c>
      <c r="K2418">
        <f t="shared" si="227"/>
        <v>1</v>
      </c>
    </row>
    <row r="2419" spans="1:11" x14ac:dyDescent="0.25">
      <c r="A2419" t="s">
        <v>62</v>
      </c>
      <c r="B2419" t="s">
        <v>63</v>
      </c>
      <c r="C2419" t="s">
        <v>50</v>
      </c>
      <c r="D2419" s="6">
        <v>45798</v>
      </c>
      <c r="E2419" t="str">
        <f>VLOOKUP(B2419,'PROCV GERENTES BD'!A:B,2,0)</f>
        <v>PROSPECTAR</v>
      </c>
      <c r="F2419" s="4" t="str">
        <f t="shared" si="222"/>
        <v>2025-05</v>
      </c>
      <c r="G2419" s="18">
        <f t="shared" si="223"/>
        <v>21</v>
      </c>
      <c r="H2419" t="str">
        <f t="shared" si="224"/>
        <v>PROSPECTAR</v>
      </c>
      <c r="I2419" t="str">
        <f t="shared" si="225"/>
        <v>MAPP COM IMPORTACAO EXPORTACAO IND PRODUTOS ALIMEN</v>
      </c>
      <c r="J2419">
        <f t="shared" si="226"/>
        <v>0</v>
      </c>
      <c r="K2419">
        <f t="shared" si="227"/>
        <v>1</v>
      </c>
    </row>
    <row r="2420" spans="1:11" x14ac:dyDescent="0.25">
      <c r="A2420" t="s">
        <v>475</v>
      </c>
      <c r="B2420" t="s">
        <v>232</v>
      </c>
      <c r="C2420" t="s">
        <v>66</v>
      </c>
      <c r="D2420" s="6">
        <v>45798</v>
      </c>
      <c r="E2420" t="str">
        <f>VLOOKUP(B2420,'PROCV GERENTES BD'!A:B,2,0)</f>
        <v>POENATELA</v>
      </c>
      <c r="F2420" s="4" t="str">
        <f t="shared" si="222"/>
        <v>2025-05</v>
      </c>
      <c r="G2420" s="18">
        <f t="shared" si="223"/>
        <v>21</v>
      </c>
      <c r="H2420" t="str">
        <f t="shared" si="224"/>
        <v>POENATELA</v>
      </c>
      <c r="I2420" t="str">
        <f t="shared" si="225"/>
        <v>JUATUBA MOVEIS E EMBALAGENS LTDA</v>
      </c>
      <c r="J2420">
        <f t="shared" si="226"/>
        <v>1</v>
      </c>
      <c r="K2420">
        <f t="shared" si="227"/>
        <v>0</v>
      </c>
    </row>
    <row r="2421" spans="1:11" x14ac:dyDescent="0.25">
      <c r="A2421" t="s">
        <v>412</v>
      </c>
      <c r="B2421" t="s">
        <v>162</v>
      </c>
      <c r="C2421" t="s">
        <v>50</v>
      </c>
      <c r="D2421" s="6">
        <v>45798</v>
      </c>
      <c r="E2421" t="str">
        <f>VLOOKUP(B2421,'PROCV GERENTES BD'!A:B,2,0)</f>
        <v>PROSPECTAR</v>
      </c>
      <c r="F2421" s="4" t="str">
        <f t="shared" si="222"/>
        <v>2025-05</v>
      </c>
      <c r="G2421" s="18">
        <f t="shared" si="223"/>
        <v>21</v>
      </c>
      <c r="H2421" t="str">
        <f t="shared" si="224"/>
        <v>PROSPECTAR</v>
      </c>
      <c r="I2421" t="str">
        <f t="shared" si="225"/>
        <v>MORIA PRESTACAO DE SERVICOS LTDA ME</v>
      </c>
      <c r="J2421">
        <f t="shared" si="226"/>
        <v>0</v>
      </c>
      <c r="K2421">
        <f t="shared" si="227"/>
        <v>1</v>
      </c>
    </row>
    <row r="2422" spans="1:11" x14ac:dyDescent="0.25">
      <c r="A2422" t="s">
        <v>426</v>
      </c>
      <c r="B2422" t="s">
        <v>177</v>
      </c>
      <c r="C2422" t="s">
        <v>50</v>
      </c>
      <c r="D2422" s="6">
        <v>45798</v>
      </c>
      <c r="E2422" t="str">
        <f>VLOOKUP(B2422,'PROCV GERENTES BD'!A:B,2,0)</f>
        <v>WHELKYA IRIS</v>
      </c>
      <c r="F2422" s="4" t="str">
        <f t="shared" si="222"/>
        <v>2025-05</v>
      </c>
      <c r="G2422" s="18">
        <f t="shared" si="223"/>
        <v>21</v>
      </c>
      <c r="H2422" t="str">
        <f t="shared" si="224"/>
        <v>WHELKYA IRIS</v>
      </c>
      <c r="I2422" t="str">
        <f t="shared" si="225"/>
        <v>JFIX INDUSTRIA QUIMICA LTDA ME</v>
      </c>
      <c r="J2422">
        <f t="shared" si="226"/>
        <v>0</v>
      </c>
      <c r="K2422">
        <f t="shared" si="227"/>
        <v>1</v>
      </c>
    </row>
    <row r="2423" spans="1:11" x14ac:dyDescent="0.25">
      <c r="A2423" t="s">
        <v>372</v>
      </c>
      <c r="B2423" t="s">
        <v>116</v>
      </c>
      <c r="C2423" t="s">
        <v>50</v>
      </c>
      <c r="D2423" s="6">
        <v>45798</v>
      </c>
      <c r="E2423" t="str">
        <f>VLOOKUP(B2423,'PROCV GERENTES BD'!A:B,2,0)</f>
        <v>ADMINISTRAÇÃO</v>
      </c>
      <c r="F2423" s="4" t="str">
        <f t="shared" si="222"/>
        <v>2025-05</v>
      </c>
      <c r="G2423" s="18">
        <f t="shared" si="223"/>
        <v>21</v>
      </c>
      <c r="H2423" t="str">
        <f t="shared" si="224"/>
        <v>ADMINISTRAÇÃO</v>
      </c>
      <c r="I2423" t="str">
        <f t="shared" si="225"/>
        <v>PREMOLDADOS MATOSINHOS LTDA EPP</v>
      </c>
      <c r="J2423">
        <f t="shared" si="226"/>
        <v>0</v>
      </c>
      <c r="K2423">
        <f t="shared" si="227"/>
        <v>1</v>
      </c>
    </row>
    <row r="2424" spans="1:11" x14ac:dyDescent="0.25">
      <c r="A2424" t="s">
        <v>318</v>
      </c>
      <c r="B2424" t="s">
        <v>203</v>
      </c>
      <c r="C2424" t="s">
        <v>66</v>
      </c>
      <c r="D2424" s="6">
        <v>45798</v>
      </c>
      <c r="E2424" t="str">
        <f>VLOOKUP(B2424,'PROCV GERENTES BD'!A:B,2,0)</f>
        <v>JOSE ROBERTO</v>
      </c>
      <c r="F2424" s="4" t="str">
        <f t="shared" si="222"/>
        <v>2025-05</v>
      </c>
      <c r="G2424" s="18">
        <f t="shared" si="223"/>
        <v>21</v>
      </c>
      <c r="H2424" t="str">
        <f t="shared" si="224"/>
        <v>JOSE ROBERTO</v>
      </c>
      <c r="I2424" t="str">
        <f t="shared" si="225"/>
        <v>FUNDACAO DE ENSINO E PESQUISA DO SUL DE MINAS FEPE</v>
      </c>
      <c r="J2424">
        <f t="shared" si="226"/>
        <v>1</v>
      </c>
      <c r="K2424">
        <f t="shared" si="227"/>
        <v>0</v>
      </c>
    </row>
    <row r="2425" spans="1:11" x14ac:dyDescent="0.25">
      <c r="A2425" t="s">
        <v>501</v>
      </c>
      <c r="B2425" t="s">
        <v>260</v>
      </c>
      <c r="C2425" t="s">
        <v>50</v>
      </c>
      <c r="D2425" s="6">
        <v>45798</v>
      </c>
      <c r="E2425" t="str">
        <f>VLOOKUP(B2425,'PROCV GERENTES BD'!A:B,2,0)</f>
        <v>PROSPECTAR</v>
      </c>
      <c r="F2425" s="4" t="str">
        <f t="shared" si="222"/>
        <v>2025-05</v>
      </c>
      <c r="G2425" s="18">
        <f t="shared" si="223"/>
        <v>21</v>
      </c>
      <c r="H2425" t="str">
        <f t="shared" si="224"/>
        <v>PROSPECTAR</v>
      </c>
      <c r="I2425" t="str">
        <f t="shared" si="225"/>
        <v>ENGREMAT ENG PROJETO MANUTENCAO INSPECAO MONTAGENS</v>
      </c>
      <c r="J2425">
        <f t="shared" si="226"/>
        <v>0</v>
      </c>
      <c r="K2425">
        <f t="shared" si="227"/>
        <v>1</v>
      </c>
    </row>
    <row r="2426" spans="1:11" x14ac:dyDescent="0.25">
      <c r="A2426" t="s">
        <v>513</v>
      </c>
      <c r="B2426" t="s">
        <v>275</v>
      </c>
      <c r="C2426" t="s">
        <v>53</v>
      </c>
      <c r="D2426" s="6">
        <v>45798</v>
      </c>
      <c r="E2426" t="str">
        <f>VLOOKUP(B2426,'PROCV GERENTES BD'!A:B,2,0)</f>
        <v>ALISSON DE SOUZA LIMA</v>
      </c>
      <c r="F2426" s="4" t="str">
        <f t="shared" si="222"/>
        <v>2025-05</v>
      </c>
      <c r="G2426" s="18">
        <f t="shared" si="223"/>
        <v>21</v>
      </c>
      <c r="H2426" t="str">
        <f t="shared" si="224"/>
        <v>ALISSON DE SOUZA LIMA</v>
      </c>
      <c r="I2426" t="str">
        <f t="shared" si="225"/>
        <v>COMERCIAL JLX DISTRIBUIDORA LTDA ME</v>
      </c>
      <c r="J2426">
        <f t="shared" si="226"/>
        <v>1</v>
      </c>
      <c r="K2426">
        <f t="shared" si="227"/>
        <v>1</v>
      </c>
    </row>
    <row r="2427" spans="1:11" x14ac:dyDescent="0.25">
      <c r="A2427" t="s">
        <v>319</v>
      </c>
      <c r="B2427" t="s">
        <v>80</v>
      </c>
      <c r="C2427" t="s">
        <v>50</v>
      </c>
      <c r="D2427" s="6">
        <v>45798</v>
      </c>
      <c r="E2427" t="str">
        <f>VLOOKUP(B2427,'PROCV GERENTES BD'!A:B,2,0)</f>
        <v>CELIO PIMENTA</v>
      </c>
      <c r="F2427" s="4" t="str">
        <f t="shared" si="222"/>
        <v>2025-05</v>
      </c>
      <c r="G2427" s="18">
        <f t="shared" si="223"/>
        <v>21</v>
      </c>
      <c r="H2427" t="str">
        <f t="shared" si="224"/>
        <v>CELIO PIMENTA</v>
      </c>
      <c r="I2427" t="str">
        <f t="shared" si="225"/>
        <v>IMPORTEXTIL COMERCIO DE TECIDOS LTDA</v>
      </c>
      <c r="J2427">
        <f t="shared" si="226"/>
        <v>0</v>
      </c>
      <c r="K2427">
        <f t="shared" si="227"/>
        <v>1</v>
      </c>
    </row>
    <row r="2428" spans="1:11" x14ac:dyDescent="0.25">
      <c r="A2428" t="s">
        <v>56</v>
      </c>
      <c r="B2428" t="s">
        <v>57</v>
      </c>
      <c r="C2428" t="s">
        <v>50</v>
      </c>
      <c r="D2428" s="6">
        <v>45798</v>
      </c>
      <c r="E2428" t="str">
        <f>VLOOKUP(B2428,'PROCV GERENTES BD'!A:B,2,0)</f>
        <v xml:space="preserve">ROGERIO </v>
      </c>
      <c r="F2428" s="4" t="str">
        <f t="shared" si="222"/>
        <v>2025-05</v>
      </c>
      <c r="G2428" s="18">
        <f t="shared" si="223"/>
        <v>21</v>
      </c>
      <c r="H2428" t="str">
        <f t="shared" si="224"/>
        <v xml:space="preserve">ROGERIO </v>
      </c>
      <c r="I2428" t="str">
        <f t="shared" si="225"/>
        <v>RODOVIEIRA TRANSPORTE LTDA</v>
      </c>
      <c r="J2428">
        <f t="shared" si="226"/>
        <v>0</v>
      </c>
      <c r="K2428">
        <f t="shared" si="227"/>
        <v>1</v>
      </c>
    </row>
    <row r="2429" spans="1:11" x14ac:dyDescent="0.25">
      <c r="A2429" t="s">
        <v>320</v>
      </c>
      <c r="B2429" t="s">
        <v>205</v>
      </c>
      <c r="C2429" t="s">
        <v>50</v>
      </c>
      <c r="D2429" s="6">
        <v>45798</v>
      </c>
      <c r="E2429" t="str">
        <f>VLOOKUP(B2429,'PROCV GERENTES BD'!A:B,2,0)</f>
        <v xml:space="preserve">MARCUS VINICIUS </v>
      </c>
      <c r="F2429" s="4" t="str">
        <f t="shared" si="222"/>
        <v>2025-05</v>
      </c>
      <c r="G2429" s="18">
        <f t="shared" si="223"/>
        <v>21</v>
      </c>
      <c r="H2429" t="str">
        <f t="shared" si="224"/>
        <v xml:space="preserve">MARCUS VINICIUS </v>
      </c>
      <c r="I2429" t="str">
        <f t="shared" si="225"/>
        <v>COMERCIAL GODINHO FERREIRA LTDA</v>
      </c>
      <c r="J2429">
        <f t="shared" si="226"/>
        <v>0</v>
      </c>
      <c r="K2429">
        <f t="shared" si="227"/>
        <v>1</v>
      </c>
    </row>
    <row r="2430" spans="1:11" x14ac:dyDescent="0.25">
      <c r="A2430" t="s">
        <v>331</v>
      </c>
      <c r="B2430" t="s">
        <v>144</v>
      </c>
      <c r="C2430" t="s">
        <v>50</v>
      </c>
      <c r="D2430" s="6">
        <v>45798</v>
      </c>
      <c r="E2430" t="str">
        <f>VLOOKUP(B2430,'PROCV GERENTES BD'!A:B,2,0)</f>
        <v>ADMINISTRAÇÃO</v>
      </c>
      <c r="F2430" s="4" t="str">
        <f t="shared" si="222"/>
        <v>2025-05</v>
      </c>
      <c r="G2430" s="18">
        <f t="shared" si="223"/>
        <v>21</v>
      </c>
      <c r="H2430" t="str">
        <f t="shared" si="224"/>
        <v>ADMINISTRAÇÃO</v>
      </c>
      <c r="I2430" t="str">
        <f t="shared" si="225"/>
        <v>BOM PASTOR PAPEIS LTDA EM RECUPERACAO JUDICIAL</v>
      </c>
      <c r="J2430">
        <f t="shared" si="226"/>
        <v>0</v>
      </c>
      <c r="K2430">
        <f t="shared" si="227"/>
        <v>1</v>
      </c>
    </row>
    <row r="2431" spans="1:11" x14ac:dyDescent="0.25">
      <c r="A2431" t="s">
        <v>51</v>
      </c>
      <c r="B2431" t="s">
        <v>52</v>
      </c>
      <c r="C2431" t="s">
        <v>50</v>
      </c>
      <c r="D2431" s="6">
        <v>45798</v>
      </c>
      <c r="E2431" t="str">
        <f>VLOOKUP(B2431,'PROCV GERENTES BD'!A:B,2,0)</f>
        <v>RAFAEL PARISE</v>
      </c>
      <c r="F2431" s="4" t="str">
        <f t="shared" si="222"/>
        <v>2025-05</v>
      </c>
      <c r="G2431" s="18">
        <f t="shared" si="223"/>
        <v>21</v>
      </c>
      <c r="H2431" t="str">
        <f t="shared" si="224"/>
        <v>RAFAEL PARISE</v>
      </c>
      <c r="I2431" t="str">
        <f t="shared" si="225"/>
        <v>TDR TRANSPORTES LOGISTICA LTDA</v>
      </c>
      <c r="J2431">
        <f t="shared" si="226"/>
        <v>0</v>
      </c>
      <c r="K2431">
        <f t="shared" si="227"/>
        <v>1</v>
      </c>
    </row>
    <row r="2432" spans="1:11" x14ac:dyDescent="0.25">
      <c r="A2432" t="s">
        <v>323</v>
      </c>
      <c r="B2432" t="s">
        <v>109</v>
      </c>
      <c r="C2432" t="s">
        <v>50</v>
      </c>
      <c r="D2432" s="6">
        <v>45798</v>
      </c>
      <c r="E2432" t="str">
        <f>VLOOKUP(B2432,'PROCV GERENTES BD'!A:B,2,0)</f>
        <v>PROSPECTAR</v>
      </c>
      <c r="F2432" s="4" t="str">
        <f t="shared" si="222"/>
        <v>2025-05</v>
      </c>
      <c r="G2432" s="18">
        <f t="shared" si="223"/>
        <v>21</v>
      </c>
      <c r="H2432" t="str">
        <f t="shared" si="224"/>
        <v>PROSPECTAR</v>
      </c>
      <c r="I2432" t="str">
        <f t="shared" si="225"/>
        <v>SIAP COMERCIO DE PRODUTOS AGROPECUARIOS LTDA</v>
      </c>
      <c r="J2432">
        <f t="shared" si="226"/>
        <v>0</v>
      </c>
      <c r="K2432">
        <f t="shared" si="227"/>
        <v>1</v>
      </c>
    </row>
    <row r="2433" spans="1:11" x14ac:dyDescent="0.25">
      <c r="A2433" t="s">
        <v>324</v>
      </c>
      <c r="B2433" t="s">
        <v>119</v>
      </c>
      <c r="C2433" t="s">
        <v>66</v>
      </c>
      <c r="D2433" s="6">
        <v>45798</v>
      </c>
      <c r="E2433" t="str">
        <f>VLOOKUP(B2433,'PROCV GERENTES BD'!A:B,2,0)</f>
        <v>PROSPECTAR</v>
      </c>
      <c r="F2433" s="4" t="str">
        <f t="shared" si="222"/>
        <v>2025-05</v>
      </c>
      <c r="G2433" s="18">
        <f t="shared" si="223"/>
        <v>21</v>
      </c>
      <c r="H2433" t="str">
        <f t="shared" si="224"/>
        <v>PROSPECTAR</v>
      </c>
      <c r="I2433" t="str">
        <f t="shared" si="225"/>
        <v>TRANSHENRY TRANSPORTES LTDA</v>
      </c>
      <c r="J2433">
        <f t="shared" si="226"/>
        <v>1</v>
      </c>
      <c r="K2433">
        <f t="shared" si="227"/>
        <v>0</v>
      </c>
    </row>
    <row r="2434" spans="1:11" x14ac:dyDescent="0.25">
      <c r="A2434" t="s">
        <v>523</v>
      </c>
      <c r="B2434" t="s">
        <v>288</v>
      </c>
      <c r="C2434" t="s">
        <v>66</v>
      </c>
      <c r="D2434" s="6">
        <v>45798</v>
      </c>
      <c r="E2434" t="str">
        <f>VLOOKUP(B2434,'PROCV GERENTES BD'!A:B,2,0)</f>
        <v>ADMINISTRAÇÃO</v>
      </c>
      <c r="F2434" s="4" t="str">
        <f t="shared" ref="F2434:F2497" si="228">YEAR(D2434)&amp;"-"&amp;TEXT(MONTH(D2434),"00")</f>
        <v>2025-05</v>
      </c>
      <c r="G2434" s="18">
        <f t="shared" ref="G2434:G2497" si="229">WEEKNUM(D2434)</f>
        <v>21</v>
      </c>
      <c r="H2434" t="str">
        <f t="shared" ref="H2434:H2497" si="230">E2434</f>
        <v>ADMINISTRAÇÃO</v>
      </c>
      <c r="I2434" t="str">
        <f t="shared" ref="I2434:I2497" si="231">B2434</f>
        <v>REFRACONT BRASIL LTDA</v>
      </c>
      <c r="J2434">
        <f t="shared" ref="J2434:J2497" si="232">IF(OR(C2434="EXCLUSAO  ANOT.INADIMPLENCIA",C2434="INCL/EXCL ANOT.INADIMPLENCIA"),1,0)</f>
        <v>1</v>
      </c>
      <c r="K2434">
        <f t="shared" ref="K2434:K2497" si="233">IF(OR(C2434="INCLUSAO  ANOT.INADIMPLENCIA",C2434="INCL/EXCL ANOT.INADIMPLENCIA"),1,0)</f>
        <v>0</v>
      </c>
    </row>
    <row r="2435" spans="1:11" x14ac:dyDescent="0.25">
      <c r="A2435" t="s">
        <v>368</v>
      </c>
      <c r="B2435" t="s">
        <v>111</v>
      </c>
      <c r="C2435" t="s">
        <v>50</v>
      </c>
      <c r="D2435" s="6">
        <v>45798</v>
      </c>
      <c r="E2435" t="str">
        <f>VLOOKUP(B2435,'PROCV GERENTES BD'!A:B,2,0)</f>
        <v>ADMINISTRAÇÃO</v>
      </c>
      <c r="F2435" s="4" t="str">
        <f t="shared" si="228"/>
        <v>2025-05</v>
      </c>
      <c r="G2435" s="18">
        <f t="shared" si="229"/>
        <v>21</v>
      </c>
      <c r="H2435" t="str">
        <f t="shared" si="230"/>
        <v>ADMINISTRAÇÃO</v>
      </c>
      <c r="I2435" t="str">
        <f t="shared" si="231"/>
        <v>ARTECAL ELETROCENTROS S/A</v>
      </c>
      <c r="J2435">
        <f t="shared" si="232"/>
        <v>0</v>
      </c>
      <c r="K2435">
        <f t="shared" si="233"/>
        <v>1</v>
      </c>
    </row>
    <row r="2436" spans="1:11" x14ac:dyDescent="0.25">
      <c r="A2436" t="s">
        <v>460</v>
      </c>
      <c r="B2436" t="s">
        <v>217</v>
      </c>
      <c r="C2436" t="s">
        <v>328</v>
      </c>
      <c r="D2436" s="6">
        <v>45798</v>
      </c>
      <c r="E2436" t="str">
        <f>VLOOKUP(B2436,'PROCV GERENTES BD'!A:B,2,0)</f>
        <v>CELIO PIMENTA</v>
      </c>
      <c r="F2436" s="4" t="str">
        <f t="shared" si="228"/>
        <v>2025-05</v>
      </c>
      <c r="G2436" s="18">
        <f t="shared" si="229"/>
        <v>21</v>
      </c>
      <c r="H2436" t="str">
        <f t="shared" si="230"/>
        <v>CELIO PIMENTA</v>
      </c>
      <c r="I2436" t="str">
        <f t="shared" si="231"/>
        <v>MINAS CLEAN DISTRIBUIDORA DE PRODUTOS PARA LIMPEZA</v>
      </c>
      <c r="J2436">
        <f t="shared" si="232"/>
        <v>0</v>
      </c>
      <c r="K2436">
        <f t="shared" si="233"/>
        <v>0</v>
      </c>
    </row>
    <row r="2437" spans="1:11" x14ac:dyDescent="0.25">
      <c r="A2437" t="s">
        <v>503</v>
      </c>
      <c r="B2437" t="s">
        <v>261</v>
      </c>
      <c r="C2437" t="s">
        <v>66</v>
      </c>
      <c r="D2437" s="6">
        <v>45798</v>
      </c>
      <c r="E2437" t="str">
        <f>VLOOKUP(B2437,'PROCV GERENTES BD'!A:B,2,0)</f>
        <v>PRISCILA METZ</v>
      </c>
      <c r="F2437" s="4" t="str">
        <f t="shared" si="228"/>
        <v>2025-05</v>
      </c>
      <c r="G2437" s="18">
        <f t="shared" si="229"/>
        <v>21</v>
      </c>
      <c r="H2437" t="str">
        <f t="shared" si="230"/>
        <v>PRISCILA METZ</v>
      </c>
      <c r="I2437" t="str">
        <f t="shared" si="231"/>
        <v>ANDRADE ELETRO TECNICA LTDA EPP</v>
      </c>
      <c r="J2437">
        <f t="shared" si="232"/>
        <v>1</v>
      </c>
      <c r="K2437">
        <f t="shared" si="233"/>
        <v>0</v>
      </c>
    </row>
    <row r="2438" spans="1:11" x14ac:dyDescent="0.25">
      <c r="A2438" t="s">
        <v>502</v>
      </c>
      <c r="B2438" t="s">
        <v>262</v>
      </c>
      <c r="C2438" t="s">
        <v>50</v>
      </c>
      <c r="D2438" s="6">
        <v>45799</v>
      </c>
      <c r="E2438" t="str">
        <f>VLOOKUP(B2438,'PROCV GERENTES BD'!A:B,2,0)</f>
        <v>ANTECIPA</v>
      </c>
      <c r="F2438" s="4" t="str">
        <f t="shared" si="228"/>
        <v>2025-05</v>
      </c>
      <c r="G2438" s="18">
        <f t="shared" si="229"/>
        <v>21</v>
      </c>
      <c r="H2438" t="str">
        <f t="shared" si="230"/>
        <v>ANTECIPA</v>
      </c>
      <c r="I2438" t="str">
        <f t="shared" si="231"/>
        <v>CONSTRUENGE ENGENHARIA E GERENCIAMENTO LTDA</v>
      </c>
      <c r="J2438">
        <f t="shared" si="232"/>
        <v>0</v>
      </c>
      <c r="K2438">
        <f t="shared" si="233"/>
        <v>1</v>
      </c>
    </row>
    <row r="2439" spans="1:11" x14ac:dyDescent="0.25">
      <c r="A2439" t="s">
        <v>467</v>
      </c>
      <c r="B2439" t="s">
        <v>224</v>
      </c>
      <c r="C2439" t="s">
        <v>66</v>
      </c>
      <c r="D2439" s="6">
        <v>45799</v>
      </c>
      <c r="E2439" t="str">
        <f>VLOOKUP(B2439,'PROCV GERENTES BD'!A:B,2,0)</f>
        <v>DIOGO AZEVEDO</v>
      </c>
      <c r="F2439" s="4" t="str">
        <f t="shared" si="228"/>
        <v>2025-05</v>
      </c>
      <c r="G2439" s="18">
        <f t="shared" si="229"/>
        <v>21</v>
      </c>
      <c r="H2439" t="str">
        <f t="shared" si="230"/>
        <v>DIOGO AZEVEDO</v>
      </c>
      <c r="I2439" t="str">
        <f t="shared" si="231"/>
        <v>VGS COMERCIO DE EMBALAGENS DE MADEIRAS LTDA ME</v>
      </c>
      <c r="J2439">
        <f t="shared" si="232"/>
        <v>1</v>
      </c>
      <c r="K2439">
        <f t="shared" si="233"/>
        <v>0</v>
      </c>
    </row>
    <row r="2440" spans="1:11" x14ac:dyDescent="0.25">
      <c r="A2440" t="s">
        <v>490</v>
      </c>
      <c r="B2440" t="s">
        <v>248</v>
      </c>
      <c r="C2440" t="s">
        <v>66</v>
      </c>
      <c r="D2440" s="6">
        <v>45799</v>
      </c>
      <c r="E2440" t="str">
        <f>VLOOKUP(B2440,'PROCV GERENTES BD'!A:B,2,0)</f>
        <v>PROSPECTAR</v>
      </c>
      <c r="F2440" s="4" t="str">
        <f t="shared" si="228"/>
        <v>2025-05</v>
      </c>
      <c r="G2440" s="18">
        <f t="shared" si="229"/>
        <v>21</v>
      </c>
      <c r="H2440" t="str">
        <f t="shared" si="230"/>
        <v>PROSPECTAR</v>
      </c>
      <c r="I2440" t="str">
        <f t="shared" si="231"/>
        <v>PRODUTOS PORTEIRAO COM DIST E REP LTDA EPP</v>
      </c>
      <c r="J2440">
        <f t="shared" si="232"/>
        <v>1</v>
      </c>
      <c r="K2440">
        <f t="shared" si="233"/>
        <v>0</v>
      </c>
    </row>
    <row r="2441" spans="1:11" x14ac:dyDescent="0.25">
      <c r="A2441" t="s">
        <v>514</v>
      </c>
      <c r="B2441" t="s">
        <v>278</v>
      </c>
      <c r="C2441" t="s">
        <v>66</v>
      </c>
      <c r="D2441" s="6">
        <v>45799</v>
      </c>
      <c r="E2441" t="str">
        <f>VLOOKUP(B2441,'PROCV GERENTES BD'!A:B,2,0)</f>
        <v>PROSPER</v>
      </c>
      <c r="F2441" s="4" t="str">
        <f t="shared" si="228"/>
        <v>2025-05</v>
      </c>
      <c r="G2441" s="18">
        <f t="shared" si="229"/>
        <v>21</v>
      </c>
      <c r="H2441" t="str">
        <f t="shared" si="230"/>
        <v>PROSPER</v>
      </c>
      <c r="I2441" t="str">
        <f t="shared" si="231"/>
        <v>MAIS PURA AGUA MINERAL LTDA EPP</v>
      </c>
      <c r="J2441">
        <f t="shared" si="232"/>
        <v>1</v>
      </c>
      <c r="K2441">
        <f t="shared" si="233"/>
        <v>0</v>
      </c>
    </row>
    <row r="2442" spans="1:11" x14ac:dyDescent="0.25">
      <c r="A2442" t="s">
        <v>399</v>
      </c>
      <c r="B2442" t="s">
        <v>149</v>
      </c>
      <c r="C2442" t="s">
        <v>329</v>
      </c>
      <c r="D2442" s="6">
        <v>45799</v>
      </c>
      <c r="E2442" t="str">
        <f>VLOOKUP(B2442,'PROCV GERENTES BD'!A:B,2,0)</f>
        <v>ADMINISTRAÇÃO</v>
      </c>
      <c r="F2442" s="4" t="str">
        <f t="shared" si="228"/>
        <v>2025-05</v>
      </c>
      <c r="G2442" s="18">
        <f t="shared" si="229"/>
        <v>21</v>
      </c>
      <c r="H2442" t="str">
        <f t="shared" si="230"/>
        <v>ADMINISTRAÇÃO</v>
      </c>
      <c r="I2442" t="str">
        <f t="shared" si="231"/>
        <v>ALPS FOMENTO MERCANTIL LTDA</v>
      </c>
      <c r="J2442">
        <f t="shared" si="232"/>
        <v>0</v>
      </c>
      <c r="K2442">
        <f t="shared" si="233"/>
        <v>0</v>
      </c>
    </row>
    <row r="2443" spans="1:11" x14ac:dyDescent="0.25">
      <c r="A2443" t="s">
        <v>76</v>
      </c>
      <c r="B2443" t="s">
        <v>77</v>
      </c>
      <c r="C2443" t="s">
        <v>66</v>
      </c>
      <c r="D2443" s="6">
        <v>45799</v>
      </c>
      <c r="E2443" t="str">
        <f>VLOOKUP(B2443,'PROCV GERENTES BD'!A:B,2,0)</f>
        <v>RAFAEL PARISE</v>
      </c>
      <c r="F2443" s="4" t="str">
        <f t="shared" si="228"/>
        <v>2025-05</v>
      </c>
      <c r="G2443" s="18">
        <f t="shared" si="229"/>
        <v>21</v>
      </c>
      <c r="H2443" t="str">
        <f t="shared" si="230"/>
        <v>RAFAEL PARISE</v>
      </c>
      <c r="I2443" t="str">
        <f t="shared" si="231"/>
        <v>UNITA AUTO PECAS LTDA EPP</v>
      </c>
      <c r="J2443">
        <f t="shared" si="232"/>
        <v>1</v>
      </c>
      <c r="K2443">
        <f t="shared" si="233"/>
        <v>0</v>
      </c>
    </row>
    <row r="2444" spans="1:11" x14ac:dyDescent="0.25">
      <c r="A2444" t="s">
        <v>370</v>
      </c>
      <c r="B2444" t="s">
        <v>114</v>
      </c>
      <c r="C2444" t="s">
        <v>50</v>
      </c>
      <c r="D2444" s="6">
        <v>45799</v>
      </c>
      <c r="E2444" t="str">
        <f>VLOOKUP(B2444,'PROCV GERENTES BD'!A:B,2,0)</f>
        <v>POENATELA</v>
      </c>
      <c r="F2444" s="4" t="str">
        <f t="shared" si="228"/>
        <v>2025-05</v>
      </c>
      <c r="G2444" s="18">
        <f t="shared" si="229"/>
        <v>21</v>
      </c>
      <c r="H2444" t="str">
        <f t="shared" si="230"/>
        <v>POENATELA</v>
      </c>
      <c r="I2444" t="str">
        <f t="shared" si="231"/>
        <v>COOPERATIVA TRANSP AUTON CARGAS PASSAG SERVICOS LO</v>
      </c>
      <c r="J2444">
        <f t="shared" si="232"/>
        <v>0</v>
      </c>
      <c r="K2444">
        <f t="shared" si="233"/>
        <v>1</v>
      </c>
    </row>
    <row r="2445" spans="1:11" x14ac:dyDescent="0.25">
      <c r="A2445" t="s">
        <v>64</v>
      </c>
      <c r="B2445" t="s">
        <v>65</v>
      </c>
      <c r="C2445" t="s">
        <v>50</v>
      </c>
      <c r="D2445" s="6">
        <v>45799</v>
      </c>
      <c r="E2445" t="str">
        <f>VLOOKUP(B2445,'PROCV GERENTES BD'!A:B,2,0)</f>
        <v>ADMINISTRAÇÃO</v>
      </c>
      <c r="F2445" s="4" t="str">
        <f t="shared" si="228"/>
        <v>2025-05</v>
      </c>
      <c r="G2445" s="18">
        <f t="shared" si="229"/>
        <v>21</v>
      </c>
      <c r="H2445" t="str">
        <f t="shared" si="230"/>
        <v>ADMINISTRAÇÃO</v>
      </c>
      <c r="I2445" t="str">
        <f t="shared" si="231"/>
        <v>SOCIAL S/A</v>
      </c>
      <c r="J2445">
        <f t="shared" si="232"/>
        <v>0</v>
      </c>
      <c r="K2445">
        <f t="shared" si="233"/>
        <v>1</v>
      </c>
    </row>
    <row r="2446" spans="1:11" x14ac:dyDescent="0.25">
      <c r="A2446" t="s">
        <v>499</v>
      </c>
      <c r="B2446" t="s">
        <v>258</v>
      </c>
      <c r="C2446" t="s">
        <v>50</v>
      </c>
      <c r="D2446" s="6">
        <v>45799</v>
      </c>
      <c r="E2446" t="str">
        <f>VLOOKUP(B2446,'PROCV GERENTES BD'!A:B,2,0)</f>
        <v>PRISCILA METZ</v>
      </c>
      <c r="F2446" s="4" t="str">
        <f t="shared" si="228"/>
        <v>2025-05</v>
      </c>
      <c r="G2446" s="18">
        <f t="shared" si="229"/>
        <v>21</v>
      </c>
      <c r="H2446" t="str">
        <f t="shared" si="230"/>
        <v>PRISCILA METZ</v>
      </c>
      <c r="I2446" t="str">
        <f t="shared" si="231"/>
        <v>PLATINUM INDUSTRIA DE CONFECCOES LTDA</v>
      </c>
      <c r="J2446">
        <f t="shared" si="232"/>
        <v>0</v>
      </c>
      <c r="K2446">
        <f t="shared" si="233"/>
        <v>1</v>
      </c>
    </row>
    <row r="2447" spans="1:11" x14ac:dyDescent="0.25">
      <c r="A2447" t="s">
        <v>412</v>
      </c>
      <c r="B2447" t="s">
        <v>162</v>
      </c>
      <c r="C2447" t="s">
        <v>66</v>
      </c>
      <c r="D2447" s="6">
        <v>45799</v>
      </c>
      <c r="E2447" t="str">
        <f>VLOOKUP(B2447,'PROCV GERENTES BD'!A:B,2,0)</f>
        <v>PROSPECTAR</v>
      </c>
      <c r="F2447" s="4" t="str">
        <f t="shared" si="228"/>
        <v>2025-05</v>
      </c>
      <c r="G2447" s="18">
        <f t="shared" si="229"/>
        <v>21</v>
      </c>
      <c r="H2447" t="str">
        <f t="shared" si="230"/>
        <v>PROSPECTAR</v>
      </c>
      <c r="I2447" t="str">
        <f t="shared" si="231"/>
        <v>MORIA PRESTACAO DE SERVICOS LTDA ME</v>
      </c>
      <c r="J2447">
        <f t="shared" si="232"/>
        <v>1</v>
      </c>
      <c r="K2447">
        <f t="shared" si="233"/>
        <v>0</v>
      </c>
    </row>
    <row r="2448" spans="1:11" x14ac:dyDescent="0.25">
      <c r="A2448" t="s">
        <v>353</v>
      </c>
      <c r="B2448" t="s">
        <v>97</v>
      </c>
      <c r="C2448" t="s">
        <v>50</v>
      </c>
      <c r="D2448" s="6">
        <v>45799</v>
      </c>
      <c r="E2448" t="str">
        <f>VLOOKUP(B2448,'PROCV GERENTES BD'!A:B,2,0)</f>
        <v>PRISCILA METZ</v>
      </c>
      <c r="F2448" s="4" t="str">
        <f t="shared" si="228"/>
        <v>2025-05</v>
      </c>
      <c r="G2448" s="18">
        <f t="shared" si="229"/>
        <v>21</v>
      </c>
      <c r="H2448" t="str">
        <f t="shared" si="230"/>
        <v>PRISCILA METZ</v>
      </c>
      <c r="I2448" t="str">
        <f t="shared" si="231"/>
        <v>ESSENZA INDUSTRIA QUIMICA LTDA</v>
      </c>
      <c r="J2448">
        <f t="shared" si="232"/>
        <v>0</v>
      </c>
      <c r="K2448">
        <f t="shared" si="233"/>
        <v>1</v>
      </c>
    </row>
    <row r="2449" spans="1:11" x14ac:dyDescent="0.25">
      <c r="A2449" t="s">
        <v>309</v>
      </c>
      <c r="B2449" t="s">
        <v>291</v>
      </c>
      <c r="C2449" t="s">
        <v>50</v>
      </c>
      <c r="D2449" s="6">
        <v>45799</v>
      </c>
      <c r="E2449" t="str">
        <f>VLOOKUP(B2449,'PROCV GERENTES BD'!A:B,2,0)</f>
        <v>ANTECIPA</v>
      </c>
      <c r="F2449" s="4" t="str">
        <f t="shared" si="228"/>
        <v>2025-05</v>
      </c>
      <c r="G2449" s="18">
        <f t="shared" si="229"/>
        <v>21</v>
      </c>
      <c r="H2449" t="str">
        <f t="shared" si="230"/>
        <v>ANTECIPA</v>
      </c>
      <c r="I2449" t="str">
        <f t="shared" si="231"/>
        <v>CENTRAL DO M R O COMERCIAL IMPORTACOES E SERVICOS</v>
      </c>
      <c r="J2449">
        <f t="shared" si="232"/>
        <v>0</v>
      </c>
      <c r="K2449">
        <f t="shared" si="233"/>
        <v>1</v>
      </c>
    </row>
    <row r="2450" spans="1:11" x14ac:dyDescent="0.25">
      <c r="A2450" t="s">
        <v>58</v>
      </c>
      <c r="B2450" t="s">
        <v>59</v>
      </c>
      <c r="C2450" t="s">
        <v>50</v>
      </c>
      <c r="D2450" s="6">
        <v>45799</v>
      </c>
      <c r="E2450" t="str">
        <f>VLOOKUP(B2450,'PROCV GERENTES BD'!A:B,2,0)</f>
        <v>ADMINISTRAÇÃO</v>
      </c>
      <c r="F2450" s="4" t="str">
        <f t="shared" si="228"/>
        <v>2025-05</v>
      </c>
      <c r="G2450" s="18">
        <f t="shared" si="229"/>
        <v>21</v>
      </c>
      <c r="H2450" t="str">
        <f t="shared" si="230"/>
        <v>ADMINISTRAÇÃO</v>
      </c>
      <c r="I2450" t="str">
        <f t="shared" si="231"/>
        <v>BIOTECH LOGISTICA LTDA</v>
      </c>
      <c r="J2450">
        <f t="shared" si="232"/>
        <v>0</v>
      </c>
      <c r="K2450">
        <f t="shared" si="233"/>
        <v>1</v>
      </c>
    </row>
    <row r="2451" spans="1:11" x14ac:dyDescent="0.25">
      <c r="A2451" t="s">
        <v>513</v>
      </c>
      <c r="B2451" t="s">
        <v>275</v>
      </c>
      <c r="C2451" t="s">
        <v>50</v>
      </c>
      <c r="D2451" s="6">
        <v>45799</v>
      </c>
      <c r="E2451" t="str">
        <f>VLOOKUP(B2451,'PROCV GERENTES BD'!A:B,2,0)</f>
        <v>ALISSON DE SOUZA LIMA</v>
      </c>
      <c r="F2451" s="4" t="str">
        <f t="shared" si="228"/>
        <v>2025-05</v>
      </c>
      <c r="G2451" s="18">
        <f t="shared" si="229"/>
        <v>21</v>
      </c>
      <c r="H2451" t="str">
        <f t="shared" si="230"/>
        <v>ALISSON DE SOUZA LIMA</v>
      </c>
      <c r="I2451" t="str">
        <f t="shared" si="231"/>
        <v>COMERCIAL JLX DISTRIBUIDORA LTDA ME</v>
      </c>
      <c r="J2451">
        <f t="shared" si="232"/>
        <v>0</v>
      </c>
      <c r="K2451">
        <f t="shared" si="233"/>
        <v>1</v>
      </c>
    </row>
    <row r="2452" spans="1:11" x14ac:dyDescent="0.25">
      <c r="A2452" t="s">
        <v>56</v>
      </c>
      <c r="B2452" t="s">
        <v>57</v>
      </c>
      <c r="C2452" t="s">
        <v>66</v>
      </c>
      <c r="D2452" s="6">
        <v>45799</v>
      </c>
      <c r="E2452" t="str">
        <f>VLOOKUP(B2452,'PROCV GERENTES BD'!A:B,2,0)</f>
        <v xml:space="preserve">ROGERIO </v>
      </c>
      <c r="F2452" s="4" t="str">
        <f t="shared" si="228"/>
        <v>2025-05</v>
      </c>
      <c r="G2452" s="18">
        <f t="shared" si="229"/>
        <v>21</v>
      </c>
      <c r="H2452" t="str">
        <f t="shared" si="230"/>
        <v xml:space="preserve">ROGERIO </v>
      </c>
      <c r="I2452" t="str">
        <f t="shared" si="231"/>
        <v>RODOVIEIRA TRANSPORTE LTDA</v>
      </c>
      <c r="J2452">
        <f t="shared" si="232"/>
        <v>1</v>
      </c>
      <c r="K2452">
        <f t="shared" si="233"/>
        <v>0</v>
      </c>
    </row>
    <row r="2453" spans="1:11" x14ac:dyDescent="0.25">
      <c r="A2453" t="s">
        <v>387</v>
      </c>
      <c r="B2453" t="s">
        <v>134</v>
      </c>
      <c r="C2453" t="s">
        <v>50</v>
      </c>
      <c r="D2453" s="6">
        <v>45799</v>
      </c>
      <c r="E2453" t="str">
        <f>VLOOKUP(B2453,'PROCV GERENTES BD'!A:B,2,0)</f>
        <v>RAFAEL PARISE</v>
      </c>
      <c r="F2453" s="4" t="str">
        <f t="shared" si="228"/>
        <v>2025-05</v>
      </c>
      <c r="G2453" s="18">
        <f t="shared" si="229"/>
        <v>21</v>
      </c>
      <c r="H2453" t="str">
        <f t="shared" si="230"/>
        <v>RAFAEL PARISE</v>
      </c>
      <c r="I2453" t="str">
        <f t="shared" si="231"/>
        <v>MAIS DISTRIBUIDORA LTDA</v>
      </c>
      <c r="J2453">
        <f t="shared" si="232"/>
        <v>0</v>
      </c>
      <c r="K2453">
        <f t="shared" si="233"/>
        <v>1</v>
      </c>
    </row>
    <row r="2454" spans="1:11" x14ac:dyDescent="0.25">
      <c r="A2454" t="s">
        <v>525</v>
      </c>
      <c r="B2454" t="s">
        <v>292</v>
      </c>
      <c r="C2454" t="s">
        <v>71</v>
      </c>
      <c r="D2454" s="6">
        <v>45799</v>
      </c>
      <c r="E2454" t="str">
        <f>VLOOKUP(B2454,'PROCV GERENTES BD'!A:B,2,0)</f>
        <v>ALISSON DE SOUZA LIMA</v>
      </c>
      <c r="F2454" s="4" t="str">
        <f t="shared" si="228"/>
        <v>2025-05</v>
      </c>
      <c r="G2454" s="18">
        <f t="shared" si="229"/>
        <v>21</v>
      </c>
      <c r="H2454" t="str">
        <f t="shared" si="230"/>
        <v>ALISSON DE SOUZA LIMA</v>
      </c>
      <c r="I2454" t="str">
        <f t="shared" si="231"/>
        <v>GALLE INDUSTRIA E COMERCIO DE TINTAS E VERNIZES LT</v>
      </c>
      <c r="J2454">
        <f t="shared" si="232"/>
        <v>0</v>
      </c>
      <c r="K2454">
        <f t="shared" si="233"/>
        <v>0</v>
      </c>
    </row>
    <row r="2455" spans="1:11" x14ac:dyDescent="0.25">
      <c r="A2455" t="s">
        <v>526</v>
      </c>
      <c r="B2455" t="s">
        <v>293</v>
      </c>
      <c r="C2455" t="s">
        <v>50</v>
      </c>
      <c r="D2455" s="6">
        <v>45799</v>
      </c>
      <c r="E2455" t="str">
        <f>VLOOKUP(B2455,'PROCV GERENTES BD'!A:B,2,0)</f>
        <v>DALVA</v>
      </c>
      <c r="F2455" s="4" t="str">
        <f t="shared" si="228"/>
        <v>2025-05</v>
      </c>
      <c r="G2455" s="18">
        <f t="shared" si="229"/>
        <v>21</v>
      </c>
      <c r="H2455" t="str">
        <f t="shared" si="230"/>
        <v>DALVA</v>
      </c>
      <c r="I2455" t="str">
        <f t="shared" si="231"/>
        <v>COMERCIAL PROGRESSO LTDA EPP</v>
      </c>
      <c r="J2455">
        <f t="shared" si="232"/>
        <v>0</v>
      </c>
      <c r="K2455">
        <f t="shared" si="233"/>
        <v>1</v>
      </c>
    </row>
    <row r="2456" spans="1:11" x14ac:dyDescent="0.25">
      <c r="A2456" t="s">
        <v>503</v>
      </c>
      <c r="B2456" t="s">
        <v>261</v>
      </c>
      <c r="C2456" t="s">
        <v>66</v>
      </c>
      <c r="D2456" s="6">
        <v>45799</v>
      </c>
      <c r="E2456" t="str">
        <f>VLOOKUP(B2456,'PROCV GERENTES BD'!A:B,2,0)</f>
        <v>PRISCILA METZ</v>
      </c>
      <c r="F2456" s="4" t="str">
        <f t="shared" si="228"/>
        <v>2025-05</v>
      </c>
      <c r="G2456" s="18">
        <f t="shared" si="229"/>
        <v>21</v>
      </c>
      <c r="H2456" t="str">
        <f t="shared" si="230"/>
        <v>PRISCILA METZ</v>
      </c>
      <c r="I2456" t="str">
        <f t="shared" si="231"/>
        <v>ANDRADE ELETRO TECNICA LTDA EPP</v>
      </c>
      <c r="J2456">
        <f t="shared" si="232"/>
        <v>1</v>
      </c>
      <c r="K2456">
        <f t="shared" si="233"/>
        <v>0</v>
      </c>
    </row>
    <row r="2457" spans="1:11" x14ac:dyDescent="0.25">
      <c r="A2457" t="s">
        <v>504</v>
      </c>
      <c r="B2457" t="s">
        <v>265</v>
      </c>
      <c r="C2457" t="s">
        <v>66</v>
      </c>
      <c r="D2457" s="6">
        <v>45799</v>
      </c>
      <c r="E2457" t="str">
        <f>VLOOKUP(B2457,'PROCV GERENTES BD'!A:B,2,0)</f>
        <v>NOELI SALETE</v>
      </c>
      <c r="F2457" s="4" t="str">
        <f t="shared" si="228"/>
        <v>2025-05</v>
      </c>
      <c r="G2457" s="18">
        <f t="shared" si="229"/>
        <v>21</v>
      </c>
      <c r="H2457" t="str">
        <f t="shared" si="230"/>
        <v>NOELI SALETE</v>
      </c>
      <c r="I2457" t="str">
        <f t="shared" si="231"/>
        <v>TRANSPORTES TRANS BERTIN LTDA</v>
      </c>
      <c r="J2457">
        <f t="shared" si="232"/>
        <v>1</v>
      </c>
      <c r="K2457">
        <f t="shared" si="233"/>
        <v>0</v>
      </c>
    </row>
    <row r="2458" spans="1:11" x14ac:dyDescent="0.25">
      <c r="A2458" t="s">
        <v>485</v>
      </c>
      <c r="B2458" t="s">
        <v>242</v>
      </c>
      <c r="C2458" t="s">
        <v>66</v>
      </c>
      <c r="D2458" s="6">
        <v>45800</v>
      </c>
      <c r="E2458" t="str">
        <f>VLOOKUP(B2458,'PROCV GERENTES BD'!A:B,2,0)</f>
        <v>PROSPECTAR</v>
      </c>
      <c r="F2458" s="4" t="str">
        <f t="shared" si="228"/>
        <v>2025-05</v>
      </c>
      <c r="G2458" s="18">
        <f t="shared" si="229"/>
        <v>21</v>
      </c>
      <c r="H2458" t="str">
        <f t="shared" si="230"/>
        <v>PROSPECTAR</v>
      </c>
      <c r="I2458" t="str">
        <f t="shared" si="231"/>
        <v>GOIARTE SOLUCOES CONSTRUTIVAS EM CONCRETO LTDA</v>
      </c>
      <c r="J2458">
        <f t="shared" si="232"/>
        <v>1</v>
      </c>
      <c r="K2458">
        <f t="shared" si="233"/>
        <v>0</v>
      </c>
    </row>
    <row r="2459" spans="1:11" x14ac:dyDescent="0.25">
      <c r="A2459" t="s">
        <v>490</v>
      </c>
      <c r="B2459" t="s">
        <v>248</v>
      </c>
      <c r="C2459" t="s">
        <v>66</v>
      </c>
      <c r="D2459" s="6">
        <v>45800</v>
      </c>
      <c r="E2459" t="str">
        <f>VLOOKUP(B2459,'PROCV GERENTES BD'!A:B,2,0)</f>
        <v>PROSPECTAR</v>
      </c>
      <c r="F2459" s="4" t="str">
        <f t="shared" si="228"/>
        <v>2025-05</v>
      </c>
      <c r="G2459" s="18">
        <f t="shared" si="229"/>
        <v>21</v>
      </c>
      <c r="H2459" t="str">
        <f t="shared" si="230"/>
        <v>PROSPECTAR</v>
      </c>
      <c r="I2459" t="str">
        <f t="shared" si="231"/>
        <v>PRODUTOS PORTEIRAO COM DIST E REP LTDA EPP</v>
      </c>
      <c r="J2459">
        <f t="shared" si="232"/>
        <v>1</v>
      </c>
      <c r="K2459">
        <f t="shared" si="233"/>
        <v>0</v>
      </c>
    </row>
    <row r="2460" spans="1:11" x14ac:dyDescent="0.25">
      <c r="A2460" t="s">
        <v>435</v>
      </c>
      <c r="B2460" t="s">
        <v>186</v>
      </c>
      <c r="C2460" t="s">
        <v>66</v>
      </c>
      <c r="D2460" s="6">
        <v>45800</v>
      </c>
      <c r="E2460" t="str">
        <f>VLOOKUP(B2460,'PROCV GERENTES BD'!A:B,2,0)</f>
        <v>ADMINISTRAÇÃO</v>
      </c>
      <c r="F2460" s="4" t="str">
        <f t="shared" si="228"/>
        <v>2025-05</v>
      </c>
      <c r="G2460" s="18">
        <f t="shared" si="229"/>
        <v>21</v>
      </c>
      <c r="H2460" t="str">
        <f t="shared" si="230"/>
        <v>ADMINISTRAÇÃO</v>
      </c>
      <c r="I2460" t="str">
        <f t="shared" si="231"/>
        <v>CALDEM CONSTRUCOES MECANICAS LTDA EPP</v>
      </c>
      <c r="J2460">
        <f t="shared" si="232"/>
        <v>1</v>
      </c>
      <c r="K2460">
        <f t="shared" si="233"/>
        <v>0</v>
      </c>
    </row>
    <row r="2461" spans="1:11" x14ac:dyDescent="0.25">
      <c r="A2461" t="s">
        <v>444</v>
      </c>
      <c r="B2461" t="s">
        <v>195</v>
      </c>
      <c r="C2461" t="s">
        <v>50</v>
      </c>
      <c r="D2461" s="6">
        <v>45800</v>
      </c>
      <c r="E2461" t="str">
        <f>VLOOKUP(B2461,'PROCV GERENTES BD'!A:B,2,0)</f>
        <v>RAFAEL PARISE</v>
      </c>
      <c r="F2461" s="4" t="str">
        <f t="shared" si="228"/>
        <v>2025-05</v>
      </c>
      <c r="G2461" s="18">
        <f t="shared" si="229"/>
        <v>21</v>
      </c>
      <c r="H2461" t="str">
        <f t="shared" si="230"/>
        <v>RAFAEL PARISE</v>
      </c>
      <c r="I2461" t="str">
        <f t="shared" si="231"/>
        <v>GEDIBOR RUBBER POLYURETHANE LTDA EPP</v>
      </c>
      <c r="J2461">
        <f t="shared" si="232"/>
        <v>0</v>
      </c>
      <c r="K2461">
        <f t="shared" si="233"/>
        <v>1</v>
      </c>
    </row>
    <row r="2462" spans="1:11" x14ac:dyDescent="0.25">
      <c r="A2462" t="s">
        <v>315</v>
      </c>
      <c r="B2462" t="s">
        <v>270</v>
      </c>
      <c r="C2462" t="s">
        <v>50</v>
      </c>
      <c r="D2462" s="6">
        <v>45800</v>
      </c>
      <c r="E2462" t="str">
        <f>VLOOKUP(B2462,'PROCV GERENTES BD'!A:B,2,0)</f>
        <v>SEM GERENTE</v>
      </c>
      <c r="F2462" s="4" t="str">
        <f t="shared" si="228"/>
        <v>2025-05</v>
      </c>
      <c r="G2462" s="18">
        <f t="shared" si="229"/>
        <v>21</v>
      </c>
      <c r="H2462" t="str">
        <f t="shared" si="230"/>
        <v>SEM GERENTE</v>
      </c>
      <c r="I2462" t="str">
        <f t="shared" si="231"/>
        <v>FAC INDUSTRIA E SERVICOS LTDA ME</v>
      </c>
      <c r="J2462">
        <f t="shared" si="232"/>
        <v>0</v>
      </c>
      <c r="K2462">
        <f t="shared" si="233"/>
        <v>1</v>
      </c>
    </row>
    <row r="2463" spans="1:11" x14ac:dyDescent="0.25">
      <c r="A2463" t="s">
        <v>76</v>
      </c>
      <c r="B2463" t="s">
        <v>77</v>
      </c>
      <c r="C2463" t="s">
        <v>71</v>
      </c>
      <c r="D2463" s="6">
        <v>45800</v>
      </c>
      <c r="E2463" t="str">
        <f>VLOOKUP(B2463,'PROCV GERENTES BD'!A:B,2,0)</f>
        <v>RAFAEL PARISE</v>
      </c>
      <c r="F2463" s="4" t="str">
        <f t="shared" si="228"/>
        <v>2025-05</v>
      </c>
      <c r="G2463" s="18">
        <f t="shared" si="229"/>
        <v>21</v>
      </c>
      <c r="H2463" t="str">
        <f t="shared" si="230"/>
        <v>RAFAEL PARISE</v>
      </c>
      <c r="I2463" t="str">
        <f t="shared" si="231"/>
        <v>UNITA AUTO PECAS LTDA EPP</v>
      </c>
      <c r="J2463">
        <f t="shared" si="232"/>
        <v>0</v>
      </c>
      <c r="K2463">
        <f t="shared" si="233"/>
        <v>0</v>
      </c>
    </row>
    <row r="2464" spans="1:11" x14ac:dyDescent="0.25">
      <c r="A2464" t="s">
        <v>428</v>
      </c>
      <c r="B2464" t="s">
        <v>179</v>
      </c>
      <c r="C2464" t="s">
        <v>50</v>
      </c>
      <c r="D2464" s="6">
        <v>45800</v>
      </c>
      <c r="E2464" t="str">
        <f>VLOOKUP(B2464,'PROCV GERENTES BD'!A:B,2,0)</f>
        <v xml:space="preserve">MARCUS VINICIUS </v>
      </c>
      <c r="F2464" s="4" t="str">
        <f t="shared" si="228"/>
        <v>2025-05</v>
      </c>
      <c r="G2464" s="18">
        <f t="shared" si="229"/>
        <v>21</v>
      </c>
      <c r="H2464" t="str">
        <f t="shared" si="230"/>
        <v xml:space="preserve">MARCUS VINICIUS </v>
      </c>
      <c r="I2464" t="str">
        <f t="shared" si="231"/>
        <v>LABOR ELETRIC INDUSTRIA E COMERCIO UNIPESSOAL LTDA</v>
      </c>
      <c r="J2464">
        <f t="shared" si="232"/>
        <v>0</v>
      </c>
      <c r="K2464">
        <f t="shared" si="233"/>
        <v>1</v>
      </c>
    </row>
    <row r="2465" spans="1:11" x14ac:dyDescent="0.25">
      <c r="A2465" t="s">
        <v>369</v>
      </c>
      <c r="B2465" t="s">
        <v>113</v>
      </c>
      <c r="C2465" t="s">
        <v>50</v>
      </c>
      <c r="D2465" s="6">
        <v>45800</v>
      </c>
      <c r="E2465" t="str">
        <f>VLOOKUP(B2465,'PROCV GERENTES BD'!A:B,2,0)</f>
        <v xml:space="preserve">MARCUS VINICIUS </v>
      </c>
      <c r="F2465" s="4" t="str">
        <f t="shared" si="228"/>
        <v>2025-05</v>
      </c>
      <c r="G2465" s="18">
        <f t="shared" si="229"/>
        <v>21</v>
      </c>
      <c r="H2465" t="str">
        <f t="shared" si="230"/>
        <v xml:space="preserve">MARCUS VINICIUS </v>
      </c>
      <c r="I2465" t="str">
        <f t="shared" si="231"/>
        <v>ISOBASE POLIESTIRENO LTDA EPP</v>
      </c>
      <c r="J2465">
        <f t="shared" si="232"/>
        <v>0</v>
      </c>
      <c r="K2465">
        <f t="shared" si="233"/>
        <v>1</v>
      </c>
    </row>
    <row r="2466" spans="1:11" x14ac:dyDescent="0.25">
      <c r="A2466" t="s">
        <v>515</v>
      </c>
      <c r="B2466" t="s">
        <v>277</v>
      </c>
      <c r="C2466" t="s">
        <v>66</v>
      </c>
      <c r="D2466" s="6">
        <v>45800</v>
      </c>
      <c r="E2466" t="str">
        <f>VLOOKUP(B2466,'PROCV GERENTES BD'!A:B,2,0)</f>
        <v>ALISSON DE SOUZA LIMA</v>
      </c>
      <c r="F2466" s="4" t="str">
        <f t="shared" si="228"/>
        <v>2025-05</v>
      </c>
      <c r="G2466" s="18">
        <f t="shared" si="229"/>
        <v>21</v>
      </c>
      <c r="H2466" t="str">
        <f t="shared" si="230"/>
        <v>ALISSON DE SOUZA LIMA</v>
      </c>
      <c r="I2466" t="str">
        <f t="shared" si="231"/>
        <v>COMERCIAL GTS INFORMATICA LTDA EPP</v>
      </c>
      <c r="J2466">
        <f t="shared" si="232"/>
        <v>1</v>
      </c>
      <c r="K2466">
        <f t="shared" si="233"/>
        <v>0</v>
      </c>
    </row>
    <row r="2467" spans="1:11" x14ac:dyDescent="0.25">
      <c r="A2467" t="s">
        <v>448</v>
      </c>
      <c r="B2467" t="s">
        <v>201</v>
      </c>
      <c r="C2467" t="s">
        <v>66</v>
      </c>
      <c r="D2467" s="6">
        <v>45800</v>
      </c>
      <c r="E2467" t="str">
        <f>VLOOKUP(B2467,'PROCV GERENTES BD'!A:B,2,0)</f>
        <v>PRISCILA METZ</v>
      </c>
      <c r="F2467" s="4" t="str">
        <f t="shared" si="228"/>
        <v>2025-05</v>
      </c>
      <c r="G2467" s="18">
        <f t="shared" si="229"/>
        <v>21</v>
      </c>
      <c r="H2467" t="str">
        <f t="shared" si="230"/>
        <v>PRISCILA METZ</v>
      </c>
      <c r="I2467" t="str">
        <f t="shared" si="231"/>
        <v>M TRATORES LTDA EPP</v>
      </c>
      <c r="J2467">
        <f t="shared" si="232"/>
        <v>1</v>
      </c>
      <c r="K2467">
        <f t="shared" si="233"/>
        <v>0</v>
      </c>
    </row>
    <row r="2468" spans="1:11" x14ac:dyDescent="0.25">
      <c r="A2468" t="s">
        <v>64</v>
      </c>
      <c r="B2468" t="s">
        <v>65</v>
      </c>
      <c r="C2468" t="s">
        <v>66</v>
      </c>
      <c r="D2468" s="6">
        <v>45800</v>
      </c>
      <c r="E2468" t="str">
        <f>VLOOKUP(B2468,'PROCV GERENTES BD'!A:B,2,0)</f>
        <v>ADMINISTRAÇÃO</v>
      </c>
      <c r="F2468" s="4" t="str">
        <f t="shared" si="228"/>
        <v>2025-05</v>
      </c>
      <c r="G2468" s="18">
        <f t="shared" si="229"/>
        <v>21</v>
      </c>
      <c r="H2468" t="str">
        <f t="shared" si="230"/>
        <v>ADMINISTRAÇÃO</v>
      </c>
      <c r="I2468" t="str">
        <f t="shared" si="231"/>
        <v>SOCIAL S/A</v>
      </c>
      <c r="J2468">
        <f t="shared" si="232"/>
        <v>1</v>
      </c>
      <c r="K2468">
        <f t="shared" si="233"/>
        <v>0</v>
      </c>
    </row>
    <row r="2469" spans="1:11" x14ac:dyDescent="0.25">
      <c r="A2469" t="s">
        <v>60</v>
      </c>
      <c r="B2469" t="s">
        <v>61</v>
      </c>
      <c r="C2469" t="s">
        <v>50</v>
      </c>
      <c r="D2469" s="6">
        <v>45800</v>
      </c>
      <c r="E2469" t="str">
        <f>VLOOKUP(B2469,'PROCV GERENTES BD'!A:B,2,0)</f>
        <v xml:space="preserve">MARCUS VINICIUS </v>
      </c>
      <c r="F2469" s="4" t="str">
        <f t="shared" si="228"/>
        <v>2025-05</v>
      </c>
      <c r="G2469" s="18">
        <f t="shared" si="229"/>
        <v>21</v>
      </c>
      <c r="H2469" t="str">
        <f t="shared" si="230"/>
        <v xml:space="preserve">MARCUS VINICIUS </v>
      </c>
      <c r="I2469" t="str">
        <f t="shared" si="231"/>
        <v>COM IND DE CEREAIS E TRANSPORTES MACIEL LTDA</v>
      </c>
      <c r="J2469">
        <f t="shared" si="232"/>
        <v>0</v>
      </c>
      <c r="K2469">
        <f t="shared" si="233"/>
        <v>1</v>
      </c>
    </row>
    <row r="2470" spans="1:11" x14ac:dyDescent="0.25">
      <c r="A2470" t="s">
        <v>475</v>
      </c>
      <c r="B2470" t="s">
        <v>232</v>
      </c>
      <c r="C2470" t="s">
        <v>66</v>
      </c>
      <c r="D2470" s="6">
        <v>45800</v>
      </c>
      <c r="E2470" t="str">
        <f>VLOOKUP(B2470,'PROCV GERENTES BD'!A:B,2,0)</f>
        <v>POENATELA</v>
      </c>
      <c r="F2470" s="4" t="str">
        <f t="shared" si="228"/>
        <v>2025-05</v>
      </c>
      <c r="G2470" s="18">
        <f t="shared" si="229"/>
        <v>21</v>
      </c>
      <c r="H2470" t="str">
        <f t="shared" si="230"/>
        <v>POENATELA</v>
      </c>
      <c r="I2470" t="str">
        <f t="shared" si="231"/>
        <v>JUATUBA MOVEIS E EMBALAGENS LTDA</v>
      </c>
      <c r="J2470">
        <f t="shared" si="232"/>
        <v>1</v>
      </c>
      <c r="K2470">
        <f t="shared" si="233"/>
        <v>0</v>
      </c>
    </row>
    <row r="2471" spans="1:11" x14ac:dyDescent="0.25">
      <c r="A2471" t="s">
        <v>58</v>
      </c>
      <c r="B2471" t="s">
        <v>59</v>
      </c>
      <c r="C2471" t="s">
        <v>66</v>
      </c>
      <c r="D2471" s="6">
        <v>45800</v>
      </c>
      <c r="E2471" t="str">
        <f>VLOOKUP(B2471,'PROCV GERENTES BD'!A:B,2,0)</f>
        <v>ADMINISTRAÇÃO</v>
      </c>
      <c r="F2471" s="4" t="str">
        <f t="shared" si="228"/>
        <v>2025-05</v>
      </c>
      <c r="G2471" s="18">
        <f t="shared" si="229"/>
        <v>21</v>
      </c>
      <c r="H2471" t="str">
        <f t="shared" si="230"/>
        <v>ADMINISTRAÇÃO</v>
      </c>
      <c r="I2471" t="str">
        <f t="shared" si="231"/>
        <v>BIOTECH LOGISTICA LTDA</v>
      </c>
      <c r="J2471">
        <f t="shared" si="232"/>
        <v>1</v>
      </c>
      <c r="K2471">
        <f t="shared" si="233"/>
        <v>0</v>
      </c>
    </row>
    <row r="2472" spans="1:11" x14ac:dyDescent="0.25">
      <c r="A2472" t="s">
        <v>513</v>
      </c>
      <c r="B2472" t="s">
        <v>275</v>
      </c>
      <c r="C2472" t="s">
        <v>50</v>
      </c>
      <c r="D2472" s="6">
        <v>45800</v>
      </c>
      <c r="E2472" t="str">
        <f>VLOOKUP(B2472,'PROCV GERENTES BD'!A:B,2,0)</f>
        <v>ALISSON DE SOUZA LIMA</v>
      </c>
      <c r="F2472" s="4" t="str">
        <f t="shared" si="228"/>
        <v>2025-05</v>
      </c>
      <c r="G2472" s="18">
        <f t="shared" si="229"/>
        <v>21</v>
      </c>
      <c r="H2472" t="str">
        <f t="shared" si="230"/>
        <v>ALISSON DE SOUZA LIMA</v>
      </c>
      <c r="I2472" t="str">
        <f t="shared" si="231"/>
        <v>COMERCIAL JLX DISTRIBUIDORA LTDA ME</v>
      </c>
      <c r="J2472">
        <f t="shared" si="232"/>
        <v>0</v>
      </c>
      <c r="K2472">
        <f t="shared" si="233"/>
        <v>1</v>
      </c>
    </row>
    <row r="2473" spans="1:11" x14ac:dyDescent="0.25">
      <c r="A2473" t="s">
        <v>319</v>
      </c>
      <c r="B2473" t="s">
        <v>80</v>
      </c>
      <c r="C2473" t="s">
        <v>50</v>
      </c>
      <c r="D2473" s="6">
        <v>45800</v>
      </c>
      <c r="E2473" t="str">
        <f>VLOOKUP(B2473,'PROCV GERENTES BD'!A:B,2,0)</f>
        <v>CELIO PIMENTA</v>
      </c>
      <c r="F2473" s="4" t="str">
        <f t="shared" si="228"/>
        <v>2025-05</v>
      </c>
      <c r="G2473" s="18">
        <f t="shared" si="229"/>
        <v>21</v>
      </c>
      <c r="H2473" t="str">
        <f t="shared" si="230"/>
        <v>CELIO PIMENTA</v>
      </c>
      <c r="I2473" t="str">
        <f t="shared" si="231"/>
        <v>IMPORTEXTIL COMERCIO DE TECIDOS LTDA</v>
      </c>
      <c r="J2473">
        <f t="shared" si="232"/>
        <v>0</v>
      </c>
      <c r="K2473">
        <f t="shared" si="233"/>
        <v>1</v>
      </c>
    </row>
    <row r="2474" spans="1:11" x14ac:dyDescent="0.25">
      <c r="A2474" t="s">
        <v>56</v>
      </c>
      <c r="B2474" t="s">
        <v>57</v>
      </c>
      <c r="C2474" t="s">
        <v>66</v>
      </c>
      <c r="D2474" s="6">
        <v>45800</v>
      </c>
      <c r="E2474" t="str">
        <f>VLOOKUP(B2474,'PROCV GERENTES BD'!A:B,2,0)</f>
        <v xml:space="preserve">ROGERIO </v>
      </c>
      <c r="F2474" s="4" t="str">
        <f t="shared" si="228"/>
        <v>2025-05</v>
      </c>
      <c r="G2474" s="18">
        <f t="shared" si="229"/>
        <v>21</v>
      </c>
      <c r="H2474" t="str">
        <f t="shared" si="230"/>
        <v xml:space="preserve">ROGERIO </v>
      </c>
      <c r="I2474" t="str">
        <f t="shared" si="231"/>
        <v>RODOVIEIRA TRANSPORTE LTDA</v>
      </c>
      <c r="J2474">
        <f t="shared" si="232"/>
        <v>1</v>
      </c>
      <c r="K2474">
        <f t="shared" si="233"/>
        <v>0</v>
      </c>
    </row>
    <row r="2475" spans="1:11" x14ac:dyDescent="0.25">
      <c r="A2475" t="s">
        <v>527</v>
      </c>
      <c r="B2475" t="s">
        <v>295</v>
      </c>
      <c r="C2475" t="s">
        <v>50</v>
      </c>
      <c r="D2475" s="6">
        <v>45800</v>
      </c>
      <c r="E2475" t="str">
        <f>VLOOKUP(B2475,'PROCV GERENTES BD'!A:B,2,0)</f>
        <v>PRISCILA METZ</v>
      </c>
      <c r="F2475" s="4" t="str">
        <f t="shared" si="228"/>
        <v>2025-05</v>
      </c>
      <c r="G2475" s="18">
        <f t="shared" si="229"/>
        <v>21</v>
      </c>
      <c r="H2475" t="str">
        <f t="shared" si="230"/>
        <v>PRISCILA METZ</v>
      </c>
      <c r="I2475" t="str">
        <f t="shared" si="231"/>
        <v>BETEL UNIFORMES PROFISSIONAIS LTDA ME</v>
      </c>
      <c r="J2475">
        <f t="shared" si="232"/>
        <v>0</v>
      </c>
      <c r="K2475">
        <f t="shared" si="233"/>
        <v>1</v>
      </c>
    </row>
    <row r="2476" spans="1:11" x14ac:dyDescent="0.25">
      <c r="A2476" t="s">
        <v>331</v>
      </c>
      <c r="B2476" t="s">
        <v>144</v>
      </c>
      <c r="C2476" t="s">
        <v>50</v>
      </c>
      <c r="D2476" s="6">
        <v>45800</v>
      </c>
      <c r="E2476" t="str">
        <f>VLOOKUP(B2476,'PROCV GERENTES BD'!A:B,2,0)</f>
        <v>ADMINISTRAÇÃO</v>
      </c>
      <c r="F2476" s="4" t="str">
        <f t="shared" si="228"/>
        <v>2025-05</v>
      </c>
      <c r="G2476" s="18">
        <f t="shared" si="229"/>
        <v>21</v>
      </c>
      <c r="H2476" t="str">
        <f t="shared" si="230"/>
        <v>ADMINISTRAÇÃO</v>
      </c>
      <c r="I2476" t="str">
        <f t="shared" si="231"/>
        <v>BOM PASTOR PAPEIS LTDA EM RECUPERACAO JUDICIAL</v>
      </c>
      <c r="J2476">
        <f t="shared" si="232"/>
        <v>0</v>
      </c>
      <c r="K2476">
        <f t="shared" si="233"/>
        <v>1</v>
      </c>
    </row>
    <row r="2477" spans="1:11" x14ac:dyDescent="0.25">
      <c r="A2477" t="s">
        <v>358</v>
      </c>
      <c r="B2477" t="s">
        <v>104</v>
      </c>
      <c r="C2477" t="s">
        <v>66</v>
      </c>
      <c r="D2477" s="6">
        <v>45800</v>
      </c>
      <c r="E2477" t="str">
        <f>VLOOKUP(B2477,'PROCV GERENTES BD'!A:B,2,0)</f>
        <v>DIOGO AZEVEDO</v>
      </c>
      <c r="F2477" s="4" t="str">
        <f t="shared" si="228"/>
        <v>2025-05</v>
      </c>
      <c r="G2477" s="18">
        <f t="shared" si="229"/>
        <v>21</v>
      </c>
      <c r="H2477" t="str">
        <f t="shared" si="230"/>
        <v>DIOGO AZEVEDO</v>
      </c>
      <c r="I2477" t="str">
        <f t="shared" si="231"/>
        <v>INDUSTRIA E CERVEJARIA ARTESANAL DE MINAS GERAIS L</v>
      </c>
      <c r="J2477">
        <f t="shared" si="232"/>
        <v>1</v>
      </c>
      <c r="K2477">
        <f t="shared" si="233"/>
        <v>0</v>
      </c>
    </row>
    <row r="2478" spans="1:11" x14ac:dyDescent="0.25">
      <c r="A2478" t="s">
        <v>517</v>
      </c>
      <c r="B2478" t="s">
        <v>281</v>
      </c>
      <c r="C2478" t="s">
        <v>66</v>
      </c>
      <c r="D2478" s="6">
        <v>45800</v>
      </c>
      <c r="E2478" t="str">
        <f>VLOOKUP(B2478,'PROCV GERENTES BD'!A:B,2,0)</f>
        <v>CAIO</v>
      </c>
      <c r="F2478" s="4" t="str">
        <f t="shared" si="228"/>
        <v>2025-05</v>
      </c>
      <c r="G2478" s="18">
        <f t="shared" si="229"/>
        <v>21</v>
      </c>
      <c r="H2478" t="str">
        <f t="shared" si="230"/>
        <v>CAIO</v>
      </c>
      <c r="I2478" t="str">
        <f t="shared" si="231"/>
        <v>DLTX INDUSTRIA E COMERCIO LTDA EPP</v>
      </c>
      <c r="J2478">
        <f t="shared" si="232"/>
        <v>1</v>
      </c>
      <c r="K2478">
        <f t="shared" si="233"/>
        <v>0</v>
      </c>
    </row>
    <row r="2479" spans="1:11" x14ac:dyDescent="0.25">
      <c r="A2479" t="s">
        <v>322</v>
      </c>
      <c r="B2479" t="s">
        <v>294</v>
      </c>
      <c r="C2479" t="s">
        <v>66</v>
      </c>
      <c r="D2479" s="6">
        <v>45800</v>
      </c>
      <c r="E2479" t="str">
        <f>VLOOKUP(B2479,'PROCV GERENTES BD'!A:B,2,0)</f>
        <v>CAIO</v>
      </c>
      <c r="F2479" s="4" t="str">
        <f t="shared" si="228"/>
        <v>2025-05</v>
      </c>
      <c r="G2479" s="18">
        <f t="shared" si="229"/>
        <v>21</v>
      </c>
      <c r="H2479" t="str">
        <f t="shared" si="230"/>
        <v>CAIO</v>
      </c>
      <c r="I2479" t="str">
        <f t="shared" si="231"/>
        <v>LAF COMERCIAL LTDA ME</v>
      </c>
      <c r="J2479">
        <f t="shared" si="232"/>
        <v>1</v>
      </c>
      <c r="K2479">
        <f t="shared" si="233"/>
        <v>0</v>
      </c>
    </row>
    <row r="2480" spans="1:11" x14ac:dyDescent="0.25">
      <c r="A2480" t="s">
        <v>307</v>
      </c>
      <c r="B2480" t="s">
        <v>102</v>
      </c>
      <c r="C2480" t="s">
        <v>66</v>
      </c>
      <c r="D2480" s="6">
        <v>45800</v>
      </c>
      <c r="E2480" t="str">
        <f>VLOOKUP(B2480,'PROCV GERENTES BD'!A:B,2,0)</f>
        <v>POENATELA</v>
      </c>
      <c r="F2480" s="4" t="str">
        <f t="shared" si="228"/>
        <v>2025-05</v>
      </c>
      <c r="G2480" s="18">
        <f t="shared" si="229"/>
        <v>21</v>
      </c>
      <c r="H2480" t="str">
        <f t="shared" si="230"/>
        <v>POENATELA</v>
      </c>
      <c r="I2480" t="str">
        <f t="shared" si="231"/>
        <v>ECOPINUS INDUSTRIA E COMERCIO DE EMBALAGENS DE MAD</v>
      </c>
      <c r="J2480">
        <f t="shared" si="232"/>
        <v>1</v>
      </c>
      <c r="K2480">
        <f t="shared" si="233"/>
        <v>0</v>
      </c>
    </row>
    <row r="2481" spans="1:11" x14ac:dyDescent="0.25">
      <c r="A2481" t="s">
        <v>528</v>
      </c>
      <c r="B2481" t="s">
        <v>296</v>
      </c>
      <c r="C2481" t="s">
        <v>50</v>
      </c>
      <c r="D2481" s="6">
        <v>45800</v>
      </c>
      <c r="E2481" t="str">
        <f>VLOOKUP(B2481,'PROCV GERENTES BD'!A:B,2,0)</f>
        <v>CAIO</v>
      </c>
      <c r="F2481" s="4" t="str">
        <f t="shared" si="228"/>
        <v>2025-05</v>
      </c>
      <c r="G2481" s="18">
        <f t="shared" si="229"/>
        <v>21</v>
      </c>
      <c r="H2481" t="str">
        <f t="shared" si="230"/>
        <v>CAIO</v>
      </c>
      <c r="I2481" t="str">
        <f t="shared" si="231"/>
        <v>TERRA PECAS GENUINAS LTDA EPP</v>
      </c>
      <c r="J2481">
        <f t="shared" si="232"/>
        <v>0</v>
      </c>
      <c r="K2481">
        <f t="shared" si="233"/>
        <v>1</v>
      </c>
    </row>
    <row r="2482" spans="1:11" x14ac:dyDescent="0.25">
      <c r="A2482" t="s">
        <v>324</v>
      </c>
      <c r="B2482" t="s">
        <v>119</v>
      </c>
      <c r="C2482" t="s">
        <v>50</v>
      </c>
      <c r="D2482" s="6">
        <v>45800</v>
      </c>
      <c r="E2482" t="str">
        <f>VLOOKUP(B2482,'PROCV GERENTES BD'!A:B,2,0)</f>
        <v>PROSPECTAR</v>
      </c>
      <c r="F2482" s="4" t="str">
        <f t="shared" si="228"/>
        <v>2025-05</v>
      </c>
      <c r="G2482" s="18">
        <f t="shared" si="229"/>
        <v>21</v>
      </c>
      <c r="H2482" t="str">
        <f t="shared" si="230"/>
        <v>PROSPECTAR</v>
      </c>
      <c r="I2482" t="str">
        <f t="shared" si="231"/>
        <v>TRANSHENRY TRANSPORTES LTDA</v>
      </c>
      <c r="J2482">
        <f t="shared" si="232"/>
        <v>0</v>
      </c>
      <c r="K2482">
        <f t="shared" si="233"/>
        <v>1</v>
      </c>
    </row>
    <row r="2483" spans="1:11" x14ac:dyDescent="0.25">
      <c r="A2483" t="s">
        <v>523</v>
      </c>
      <c r="B2483" t="s">
        <v>288</v>
      </c>
      <c r="C2483" t="s">
        <v>71</v>
      </c>
      <c r="D2483" s="6">
        <v>45800</v>
      </c>
      <c r="E2483" t="str">
        <f>VLOOKUP(B2483,'PROCV GERENTES BD'!A:B,2,0)</f>
        <v>ADMINISTRAÇÃO</v>
      </c>
      <c r="F2483" s="4" t="str">
        <f t="shared" si="228"/>
        <v>2025-05</v>
      </c>
      <c r="G2483" s="18">
        <f t="shared" si="229"/>
        <v>21</v>
      </c>
      <c r="H2483" t="str">
        <f t="shared" si="230"/>
        <v>ADMINISTRAÇÃO</v>
      </c>
      <c r="I2483" t="str">
        <f t="shared" si="231"/>
        <v>REFRACONT BRASIL LTDA</v>
      </c>
      <c r="J2483">
        <f t="shared" si="232"/>
        <v>0</v>
      </c>
      <c r="K2483">
        <f t="shared" si="233"/>
        <v>0</v>
      </c>
    </row>
    <row r="2484" spans="1:11" x14ac:dyDescent="0.25">
      <c r="A2484" t="s">
        <v>487</v>
      </c>
      <c r="B2484" t="s">
        <v>244</v>
      </c>
      <c r="C2484" t="s">
        <v>66</v>
      </c>
      <c r="D2484" s="6">
        <v>45800</v>
      </c>
      <c r="E2484" t="str">
        <f>VLOOKUP(B2484,'PROCV GERENTES BD'!A:B,2,0)</f>
        <v xml:space="preserve">ROGERIO </v>
      </c>
      <c r="F2484" s="4" t="str">
        <f t="shared" si="228"/>
        <v>2025-05</v>
      </c>
      <c r="G2484" s="18">
        <f t="shared" si="229"/>
        <v>21</v>
      </c>
      <c r="H2484" t="str">
        <f t="shared" si="230"/>
        <v xml:space="preserve">ROGERIO </v>
      </c>
      <c r="I2484" t="str">
        <f t="shared" si="231"/>
        <v>MUNDO AGRO COMERCIO E DISTRIBUICAO DE CALCADOS LTD</v>
      </c>
      <c r="J2484">
        <f t="shared" si="232"/>
        <v>1</v>
      </c>
      <c r="K2484">
        <f t="shared" si="233"/>
        <v>0</v>
      </c>
    </row>
    <row r="2485" spans="1:11" x14ac:dyDescent="0.25">
      <c r="A2485" t="s">
        <v>383</v>
      </c>
      <c r="B2485" t="s">
        <v>130</v>
      </c>
      <c r="C2485" t="s">
        <v>50</v>
      </c>
      <c r="D2485" s="6">
        <v>45801</v>
      </c>
      <c r="E2485" t="str">
        <f>VLOOKUP(B2485,'PROCV GERENTES BD'!A:B,2,0)</f>
        <v>CELIO PIMENTA</v>
      </c>
      <c r="F2485" s="4" t="str">
        <f t="shared" si="228"/>
        <v>2025-05</v>
      </c>
      <c r="G2485" s="18">
        <f t="shared" si="229"/>
        <v>21</v>
      </c>
      <c r="H2485" t="str">
        <f t="shared" si="230"/>
        <v>CELIO PIMENTA</v>
      </c>
      <c r="I2485" t="str">
        <f t="shared" si="231"/>
        <v>JR X IMPORT LTDA EPP</v>
      </c>
      <c r="J2485">
        <f t="shared" si="232"/>
        <v>0</v>
      </c>
      <c r="K2485">
        <f t="shared" si="233"/>
        <v>1</v>
      </c>
    </row>
    <row r="2486" spans="1:11" x14ac:dyDescent="0.25">
      <c r="A2486" t="s">
        <v>324</v>
      </c>
      <c r="B2486" t="s">
        <v>119</v>
      </c>
      <c r="C2486" t="s">
        <v>53</v>
      </c>
      <c r="D2486" s="6">
        <v>45801</v>
      </c>
      <c r="E2486" t="str">
        <f>VLOOKUP(B2486,'PROCV GERENTES BD'!A:B,2,0)</f>
        <v>PROSPECTAR</v>
      </c>
      <c r="F2486" s="4" t="str">
        <f t="shared" si="228"/>
        <v>2025-05</v>
      </c>
      <c r="G2486" s="18">
        <f t="shared" si="229"/>
        <v>21</v>
      </c>
      <c r="H2486" t="str">
        <f t="shared" si="230"/>
        <v>PROSPECTAR</v>
      </c>
      <c r="I2486" t="str">
        <f t="shared" si="231"/>
        <v>TRANSHENRY TRANSPORTES LTDA</v>
      </c>
      <c r="J2486">
        <f t="shared" si="232"/>
        <v>1</v>
      </c>
      <c r="K2486">
        <f t="shared" si="233"/>
        <v>1</v>
      </c>
    </row>
    <row r="2487" spans="1:11" x14ac:dyDescent="0.25">
      <c r="A2487" t="s">
        <v>51</v>
      </c>
      <c r="B2487" t="s">
        <v>52</v>
      </c>
      <c r="C2487" t="s">
        <v>50</v>
      </c>
      <c r="D2487" s="6">
        <v>45801</v>
      </c>
      <c r="E2487" t="str">
        <f>VLOOKUP(B2487,'PROCV GERENTES BD'!A:B,2,0)</f>
        <v>RAFAEL PARISE</v>
      </c>
      <c r="F2487" s="4" t="str">
        <f t="shared" si="228"/>
        <v>2025-05</v>
      </c>
      <c r="G2487" s="18">
        <f t="shared" si="229"/>
        <v>21</v>
      </c>
      <c r="H2487" t="str">
        <f t="shared" si="230"/>
        <v>RAFAEL PARISE</v>
      </c>
      <c r="I2487" t="str">
        <f t="shared" si="231"/>
        <v>TDR TRANSPORTES LOGISTICA LTDA</v>
      </c>
      <c r="J2487">
        <f t="shared" si="232"/>
        <v>0</v>
      </c>
      <c r="K2487">
        <f t="shared" si="233"/>
        <v>1</v>
      </c>
    </row>
    <row r="2488" spans="1:11" x14ac:dyDescent="0.25">
      <c r="A2488" t="s">
        <v>58</v>
      </c>
      <c r="B2488" t="s">
        <v>59</v>
      </c>
      <c r="C2488" t="s">
        <v>53</v>
      </c>
      <c r="D2488" s="6">
        <v>45801</v>
      </c>
      <c r="E2488" t="str">
        <f>VLOOKUP(B2488,'PROCV GERENTES BD'!A:B,2,0)</f>
        <v>ADMINISTRAÇÃO</v>
      </c>
      <c r="F2488" s="4" t="str">
        <f t="shared" si="228"/>
        <v>2025-05</v>
      </c>
      <c r="G2488" s="18">
        <f t="shared" si="229"/>
        <v>21</v>
      </c>
      <c r="H2488" t="str">
        <f t="shared" si="230"/>
        <v>ADMINISTRAÇÃO</v>
      </c>
      <c r="I2488" t="str">
        <f t="shared" si="231"/>
        <v>BIOTECH LOGISTICA LTDA</v>
      </c>
      <c r="J2488">
        <f t="shared" si="232"/>
        <v>1</v>
      </c>
      <c r="K2488">
        <f t="shared" si="233"/>
        <v>1</v>
      </c>
    </row>
    <row r="2489" spans="1:11" x14ac:dyDescent="0.25">
      <c r="A2489" t="s">
        <v>378</v>
      </c>
      <c r="B2489" t="s">
        <v>125</v>
      </c>
      <c r="C2489" t="s">
        <v>66</v>
      </c>
      <c r="D2489" s="6">
        <v>45801</v>
      </c>
      <c r="E2489" t="str">
        <f>VLOOKUP(B2489,'PROCV GERENTES BD'!A:B,2,0)</f>
        <v>CELIO PIMENTA</v>
      </c>
      <c r="F2489" s="4" t="str">
        <f t="shared" si="228"/>
        <v>2025-05</v>
      </c>
      <c r="G2489" s="18">
        <f t="shared" si="229"/>
        <v>21</v>
      </c>
      <c r="H2489" t="str">
        <f t="shared" si="230"/>
        <v>CELIO PIMENTA</v>
      </c>
      <c r="I2489" t="str">
        <f t="shared" si="231"/>
        <v>PHOENIX LOG TRANSPORTES LTDA EPP</v>
      </c>
      <c r="J2489">
        <f t="shared" si="232"/>
        <v>1</v>
      </c>
      <c r="K2489">
        <f t="shared" si="233"/>
        <v>0</v>
      </c>
    </row>
    <row r="2490" spans="1:11" x14ac:dyDescent="0.25">
      <c r="A2490" t="s">
        <v>60</v>
      </c>
      <c r="B2490" t="s">
        <v>61</v>
      </c>
      <c r="C2490" t="s">
        <v>50</v>
      </c>
      <c r="D2490" s="6">
        <v>45801</v>
      </c>
      <c r="E2490" t="str">
        <f>VLOOKUP(B2490,'PROCV GERENTES BD'!A:B,2,0)</f>
        <v xml:space="preserve">MARCUS VINICIUS </v>
      </c>
      <c r="F2490" s="4" t="str">
        <f t="shared" si="228"/>
        <v>2025-05</v>
      </c>
      <c r="G2490" s="18">
        <f t="shared" si="229"/>
        <v>21</v>
      </c>
      <c r="H2490" t="str">
        <f t="shared" si="230"/>
        <v xml:space="preserve">MARCUS VINICIUS </v>
      </c>
      <c r="I2490" t="str">
        <f t="shared" si="231"/>
        <v>COM IND DE CEREAIS E TRANSPORTES MACIEL LTDA</v>
      </c>
      <c r="J2490">
        <f t="shared" si="232"/>
        <v>0</v>
      </c>
      <c r="K2490">
        <f t="shared" si="233"/>
        <v>1</v>
      </c>
    </row>
    <row r="2491" spans="1:11" x14ac:dyDescent="0.25">
      <c r="A2491" t="s">
        <v>64</v>
      </c>
      <c r="B2491" t="s">
        <v>65</v>
      </c>
      <c r="C2491" t="s">
        <v>50</v>
      </c>
      <c r="D2491" s="6">
        <v>45801</v>
      </c>
      <c r="E2491" t="str">
        <f>VLOOKUP(B2491,'PROCV GERENTES BD'!A:B,2,0)</f>
        <v>ADMINISTRAÇÃO</v>
      </c>
      <c r="F2491" s="4" t="str">
        <f t="shared" si="228"/>
        <v>2025-05</v>
      </c>
      <c r="G2491" s="18">
        <f t="shared" si="229"/>
        <v>21</v>
      </c>
      <c r="H2491" t="str">
        <f t="shared" si="230"/>
        <v>ADMINISTRAÇÃO</v>
      </c>
      <c r="I2491" t="str">
        <f t="shared" si="231"/>
        <v>SOCIAL S/A</v>
      </c>
      <c r="J2491">
        <f t="shared" si="232"/>
        <v>0</v>
      </c>
      <c r="K2491">
        <f t="shared" si="233"/>
        <v>1</v>
      </c>
    </row>
    <row r="2492" spans="1:11" x14ac:dyDescent="0.25">
      <c r="A2492" t="s">
        <v>67</v>
      </c>
      <c r="B2492" t="s">
        <v>68</v>
      </c>
      <c r="C2492" t="s">
        <v>50</v>
      </c>
      <c r="D2492" s="6">
        <v>45801</v>
      </c>
      <c r="E2492" t="str">
        <f>VLOOKUP(B2492,'PROCV GERENTES BD'!A:B,2,0)</f>
        <v xml:space="preserve">ROGERIO </v>
      </c>
      <c r="F2492" s="4" t="str">
        <f t="shared" si="228"/>
        <v>2025-05</v>
      </c>
      <c r="G2492" s="18">
        <f t="shared" si="229"/>
        <v>21</v>
      </c>
      <c r="H2492" t="str">
        <f t="shared" si="230"/>
        <v xml:space="preserve">ROGERIO </v>
      </c>
      <c r="I2492" t="str">
        <f t="shared" si="231"/>
        <v>DIOTTONI INDUSTRIA E COMERCIO DE ALIMENTOS LTDA ME</v>
      </c>
      <c r="J2492">
        <f t="shared" si="232"/>
        <v>0</v>
      </c>
      <c r="K2492">
        <f t="shared" si="233"/>
        <v>1</v>
      </c>
    </row>
    <row r="2493" spans="1:11" x14ac:dyDescent="0.25">
      <c r="A2493" t="s">
        <v>76</v>
      </c>
      <c r="B2493" t="s">
        <v>77</v>
      </c>
      <c r="C2493" t="s">
        <v>66</v>
      </c>
      <c r="D2493" s="6">
        <v>45801</v>
      </c>
      <c r="E2493" t="str">
        <f>VLOOKUP(B2493,'PROCV GERENTES BD'!A:B,2,0)</f>
        <v>RAFAEL PARISE</v>
      </c>
      <c r="F2493" s="4" t="str">
        <f t="shared" si="228"/>
        <v>2025-05</v>
      </c>
      <c r="G2493" s="18">
        <f t="shared" si="229"/>
        <v>21</v>
      </c>
      <c r="H2493" t="str">
        <f t="shared" si="230"/>
        <v>RAFAEL PARISE</v>
      </c>
      <c r="I2493" t="str">
        <f t="shared" si="231"/>
        <v>UNITA AUTO PECAS LTDA EPP</v>
      </c>
      <c r="J2493">
        <f t="shared" si="232"/>
        <v>1</v>
      </c>
      <c r="K2493">
        <f t="shared" si="233"/>
        <v>0</v>
      </c>
    </row>
    <row r="2494" spans="1:11" x14ac:dyDescent="0.25">
      <c r="A2494" t="s">
        <v>416</v>
      </c>
      <c r="B2494" t="s">
        <v>166</v>
      </c>
      <c r="C2494" t="s">
        <v>50</v>
      </c>
      <c r="D2494" s="6">
        <v>45801</v>
      </c>
      <c r="E2494" t="str">
        <f>VLOOKUP(B2494,'PROCV GERENTES BD'!A:B,2,0)</f>
        <v xml:space="preserve">ROGERIO </v>
      </c>
      <c r="F2494" s="4" t="str">
        <f t="shared" si="228"/>
        <v>2025-05</v>
      </c>
      <c r="G2494" s="18">
        <f t="shared" si="229"/>
        <v>21</v>
      </c>
      <c r="H2494" t="str">
        <f t="shared" si="230"/>
        <v xml:space="preserve">ROGERIO </v>
      </c>
      <c r="I2494" t="str">
        <f t="shared" si="231"/>
        <v>LUCCI ILUMINACAO LTDA EPP</v>
      </c>
      <c r="J2494">
        <f t="shared" si="232"/>
        <v>0</v>
      </c>
      <c r="K2494">
        <f t="shared" si="233"/>
        <v>1</v>
      </c>
    </row>
    <row r="2495" spans="1:11" x14ac:dyDescent="0.25">
      <c r="A2495" t="s">
        <v>478</v>
      </c>
      <c r="B2495" t="s">
        <v>235</v>
      </c>
      <c r="C2495" t="s">
        <v>66</v>
      </c>
      <c r="D2495" s="6">
        <v>45801</v>
      </c>
      <c r="E2495" t="str">
        <f>VLOOKUP(B2495,'PROCV GERENTES BD'!A:B,2,0)</f>
        <v>PROSPECTAR</v>
      </c>
      <c r="F2495" s="4" t="str">
        <f t="shared" si="228"/>
        <v>2025-05</v>
      </c>
      <c r="G2495" s="18">
        <f t="shared" si="229"/>
        <v>21</v>
      </c>
      <c r="H2495" t="str">
        <f t="shared" si="230"/>
        <v>PROSPECTAR</v>
      </c>
      <c r="I2495" t="str">
        <f t="shared" si="231"/>
        <v>NUTRIENS FERTIL LTDA ME</v>
      </c>
      <c r="J2495">
        <f t="shared" si="232"/>
        <v>1</v>
      </c>
      <c r="K2495">
        <f t="shared" si="233"/>
        <v>0</v>
      </c>
    </row>
    <row r="2496" spans="1:11" x14ac:dyDescent="0.25">
      <c r="A2496" t="s">
        <v>314</v>
      </c>
      <c r="B2496" t="s">
        <v>246</v>
      </c>
      <c r="C2496" t="s">
        <v>66</v>
      </c>
      <c r="D2496" s="6">
        <v>45801</v>
      </c>
      <c r="E2496" t="str">
        <f>VLOOKUP(B2496,'PROCV GERENTES BD'!A:B,2,0)</f>
        <v xml:space="preserve">ROGERIO </v>
      </c>
      <c r="F2496" s="4" t="str">
        <f t="shared" si="228"/>
        <v>2025-05</v>
      </c>
      <c r="G2496" s="18">
        <f t="shared" si="229"/>
        <v>21</v>
      </c>
      <c r="H2496" t="str">
        <f t="shared" si="230"/>
        <v xml:space="preserve">ROGERIO </v>
      </c>
      <c r="I2496" t="str">
        <f t="shared" si="231"/>
        <v>MUTCD CENTRO DE DISTRIBUICAO DE IND FABRICANTE DE</v>
      </c>
      <c r="J2496">
        <f t="shared" si="232"/>
        <v>1</v>
      </c>
      <c r="K2496">
        <f t="shared" si="233"/>
        <v>0</v>
      </c>
    </row>
    <row r="2497" spans="1:11" x14ac:dyDescent="0.25">
      <c r="A2497" t="s">
        <v>486</v>
      </c>
      <c r="B2497" t="s">
        <v>243</v>
      </c>
      <c r="C2497" t="s">
        <v>50</v>
      </c>
      <c r="D2497" s="6">
        <v>45801</v>
      </c>
      <c r="E2497" t="str">
        <f>VLOOKUP(B2497,'PROCV GERENTES BD'!A:B,2,0)</f>
        <v>NOELI SALETE</v>
      </c>
      <c r="F2497" s="4" t="str">
        <f t="shared" si="228"/>
        <v>2025-05</v>
      </c>
      <c r="G2497" s="18">
        <f t="shared" si="229"/>
        <v>21</v>
      </c>
      <c r="H2497" t="str">
        <f t="shared" si="230"/>
        <v>NOELI SALETE</v>
      </c>
      <c r="I2497" t="str">
        <f t="shared" si="231"/>
        <v>SMARTCENTERGROUP COMERCIO DE EQUIPAMENTOS DE INFOR</v>
      </c>
      <c r="J2497">
        <f t="shared" si="232"/>
        <v>0</v>
      </c>
      <c r="K2497">
        <f t="shared" si="233"/>
        <v>1</v>
      </c>
    </row>
    <row r="2498" spans="1:11" x14ac:dyDescent="0.25">
      <c r="A2498" t="s">
        <v>510</v>
      </c>
      <c r="B2498" t="s">
        <v>273</v>
      </c>
      <c r="C2498" t="s">
        <v>50</v>
      </c>
      <c r="D2498" s="6">
        <v>45784</v>
      </c>
      <c r="E2498" t="str">
        <f>VLOOKUP(B2498,'PROCV GERENTES BD'!A:B,2,0)</f>
        <v>CELIO PIMENTA</v>
      </c>
      <c r="F2498" s="4" t="str">
        <f t="shared" ref="F2498:F2561" si="234">YEAR(D2498)&amp;"-"&amp;TEXT(MONTH(D2498),"00")</f>
        <v>2025-05</v>
      </c>
      <c r="G2498" s="18">
        <f t="shared" ref="G2498:G2561" si="235">WEEKNUM(D2498)</f>
        <v>19</v>
      </c>
      <c r="H2498" t="str">
        <f t="shared" ref="H2498:H2561" si="236">E2498</f>
        <v>CELIO PIMENTA</v>
      </c>
      <c r="I2498" t="str">
        <f t="shared" ref="I2498:I2561" si="237">B2498</f>
        <v>PRADO MOREIRA TEXTIL LTDA ME</v>
      </c>
      <c r="J2498">
        <f t="shared" ref="J2498:J2561" si="238">IF(OR(C2498="EXCLUSAO  ANOT.INADIMPLENCIA",C2498="INCL/EXCL ANOT.INADIMPLENCIA"),1,0)</f>
        <v>0</v>
      </c>
      <c r="K2498">
        <f t="shared" ref="K2498:K2561" si="239">IF(OR(C2498="INCLUSAO  ANOT.INADIMPLENCIA",C2498="INCL/EXCL ANOT.INADIMPLENCIA"),1,0)</f>
        <v>1</v>
      </c>
    </row>
    <row r="2499" spans="1:11" x14ac:dyDescent="0.25">
      <c r="A2499" t="s">
        <v>529</v>
      </c>
      <c r="B2499" t="s">
        <v>297</v>
      </c>
      <c r="C2499" t="s">
        <v>50</v>
      </c>
      <c r="D2499" s="6">
        <v>45804</v>
      </c>
      <c r="E2499" t="str">
        <f>VLOOKUP(B2499,'PROCV GERENTES BD'!A:B,2,0)</f>
        <v>ANDRE CUNHA</v>
      </c>
      <c r="F2499" s="4" t="str">
        <f t="shared" si="234"/>
        <v>2025-05</v>
      </c>
      <c r="G2499" s="18">
        <f t="shared" si="235"/>
        <v>22</v>
      </c>
      <c r="H2499" t="str">
        <f t="shared" si="236"/>
        <v>ANDRE CUNHA</v>
      </c>
      <c r="I2499" t="str">
        <f t="shared" si="237"/>
        <v>REVPACK TECNOLOGIA E COMERCIO DE COMPONENTES PLAST</v>
      </c>
      <c r="J2499">
        <f t="shared" si="238"/>
        <v>0</v>
      </c>
      <c r="K2499">
        <f t="shared" si="239"/>
        <v>1</v>
      </c>
    </row>
    <row r="2500" spans="1:11" x14ac:dyDescent="0.25">
      <c r="A2500" t="s">
        <v>487</v>
      </c>
      <c r="B2500" t="s">
        <v>244</v>
      </c>
      <c r="C2500" t="s">
        <v>50</v>
      </c>
      <c r="D2500" s="6">
        <v>45804</v>
      </c>
      <c r="E2500" t="str">
        <f>VLOOKUP(B2500,'PROCV GERENTES BD'!A:B,2,0)</f>
        <v xml:space="preserve">ROGERIO </v>
      </c>
      <c r="F2500" s="4" t="str">
        <f t="shared" si="234"/>
        <v>2025-05</v>
      </c>
      <c r="G2500" s="18">
        <f t="shared" si="235"/>
        <v>22</v>
      </c>
      <c r="H2500" t="str">
        <f t="shared" si="236"/>
        <v xml:space="preserve">ROGERIO </v>
      </c>
      <c r="I2500" t="str">
        <f t="shared" si="237"/>
        <v>MUNDO AGRO COMERCIO E DISTRIBUICAO DE CALCADOS LTD</v>
      </c>
      <c r="J2500">
        <f t="shared" si="238"/>
        <v>0</v>
      </c>
      <c r="K2500">
        <f t="shared" si="239"/>
        <v>1</v>
      </c>
    </row>
    <row r="2501" spans="1:11" x14ac:dyDescent="0.25">
      <c r="A2501" t="s">
        <v>463</v>
      </c>
      <c r="B2501" t="s">
        <v>220</v>
      </c>
      <c r="C2501" t="s">
        <v>66</v>
      </c>
      <c r="D2501" s="6">
        <v>45804</v>
      </c>
      <c r="E2501" t="str">
        <f>VLOOKUP(B2501,'PROCV GERENTES BD'!A:B,2,0)</f>
        <v>ADMINISTRAÇÃO</v>
      </c>
      <c r="F2501" s="4" t="str">
        <f t="shared" si="234"/>
        <v>2025-05</v>
      </c>
      <c r="G2501" s="18">
        <f t="shared" si="235"/>
        <v>22</v>
      </c>
      <c r="H2501" t="str">
        <f t="shared" si="236"/>
        <v>ADMINISTRAÇÃO</v>
      </c>
      <c r="I2501" t="str">
        <f t="shared" si="237"/>
        <v>A C ESPORTES S A F</v>
      </c>
      <c r="J2501">
        <f t="shared" si="238"/>
        <v>1</v>
      </c>
      <c r="K2501">
        <f t="shared" si="239"/>
        <v>0</v>
      </c>
    </row>
    <row r="2502" spans="1:11" x14ac:dyDescent="0.25">
      <c r="A2502" t="s">
        <v>314</v>
      </c>
      <c r="B2502" t="s">
        <v>246</v>
      </c>
      <c r="C2502" t="s">
        <v>50</v>
      </c>
      <c r="D2502" s="6">
        <v>45804</v>
      </c>
      <c r="E2502" t="str">
        <f>VLOOKUP(B2502,'PROCV GERENTES BD'!A:B,2,0)</f>
        <v xml:space="preserve">ROGERIO </v>
      </c>
      <c r="F2502" s="4" t="str">
        <f t="shared" si="234"/>
        <v>2025-05</v>
      </c>
      <c r="G2502" s="18">
        <f t="shared" si="235"/>
        <v>22</v>
      </c>
      <c r="H2502" t="str">
        <f t="shared" si="236"/>
        <v xml:space="preserve">ROGERIO </v>
      </c>
      <c r="I2502" t="str">
        <f t="shared" si="237"/>
        <v>MUTCD CENTRO DE DISTRIBUICAO DE IND FABRICANTE DE</v>
      </c>
      <c r="J2502">
        <f t="shared" si="238"/>
        <v>0</v>
      </c>
      <c r="K2502">
        <f t="shared" si="239"/>
        <v>1</v>
      </c>
    </row>
    <row r="2503" spans="1:11" x14ac:dyDescent="0.25">
      <c r="A2503" t="s">
        <v>76</v>
      </c>
      <c r="B2503" t="s">
        <v>77</v>
      </c>
      <c r="C2503" t="s">
        <v>50</v>
      </c>
      <c r="D2503" s="6">
        <v>45804</v>
      </c>
      <c r="E2503" t="str">
        <f>VLOOKUP(B2503,'PROCV GERENTES BD'!A:B,2,0)</f>
        <v>RAFAEL PARISE</v>
      </c>
      <c r="F2503" s="4" t="str">
        <f t="shared" si="234"/>
        <v>2025-05</v>
      </c>
      <c r="G2503" s="18">
        <f t="shared" si="235"/>
        <v>22</v>
      </c>
      <c r="H2503" t="str">
        <f t="shared" si="236"/>
        <v>RAFAEL PARISE</v>
      </c>
      <c r="I2503" t="str">
        <f t="shared" si="237"/>
        <v>UNITA AUTO PECAS LTDA EPP</v>
      </c>
      <c r="J2503">
        <f t="shared" si="238"/>
        <v>0</v>
      </c>
      <c r="K2503">
        <f t="shared" si="239"/>
        <v>1</v>
      </c>
    </row>
    <row r="2504" spans="1:11" x14ac:dyDescent="0.25">
      <c r="A2504" t="s">
        <v>370</v>
      </c>
      <c r="B2504" t="s">
        <v>114</v>
      </c>
      <c r="C2504" t="s">
        <v>53</v>
      </c>
      <c r="D2504" s="6">
        <v>45804</v>
      </c>
      <c r="E2504" t="str">
        <f>VLOOKUP(B2504,'PROCV GERENTES BD'!A:B,2,0)</f>
        <v>POENATELA</v>
      </c>
      <c r="F2504" s="4" t="str">
        <f t="shared" si="234"/>
        <v>2025-05</v>
      </c>
      <c r="G2504" s="18">
        <f t="shared" si="235"/>
        <v>22</v>
      </c>
      <c r="H2504" t="str">
        <f t="shared" si="236"/>
        <v>POENATELA</v>
      </c>
      <c r="I2504" t="str">
        <f t="shared" si="237"/>
        <v>COOPERATIVA TRANSP AUTON CARGAS PASSAG SERVICOS LO</v>
      </c>
      <c r="J2504">
        <f t="shared" si="238"/>
        <v>1</v>
      </c>
      <c r="K2504">
        <f t="shared" si="239"/>
        <v>1</v>
      </c>
    </row>
    <row r="2505" spans="1:11" x14ac:dyDescent="0.25">
      <c r="A2505" t="s">
        <v>450</v>
      </c>
      <c r="B2505" t="s">
        <v>207</v>
      </c>
      <c r="C2505" t="s">
        <v>66</v>
      </c>
      <c r="D2505" s="6">
        <v>45804</v>
      </c>
      <c r="E2505" t="str">
        <f>VLOOKUP(B2505,'PROCV GERENTES BD'!A:B,2,0)</f>
        <v>CELIO PIMENTA</v>
      </c>
      <c r="F2505" s="4" t="str">
        <f t="shared" si="234"/>
        <v>2025-05</v>
      </c>
      <c r="G2505" s="18">
        <f t="shared" si="235"/>
        <v>22</v>
      </c>
      <c r="H2505" t="str">
        <f t="shared" si="236"/>
        <v>CELIO PIMENTA</v>
      </c>
      <c r="I2505" t="str">
        <f t="shared" si="237"/>
        <v>LIDER COMERCIO DE UNIFORMES E EPI S LTDA ME</v>
      </c>
      <c r="J2505">
        <f t="shared" si="238"/>
        <v>1</v>
      </c>
      <c r="K2505">
        <f t="shared" si="239"/>
        <v>0</v>
      </c>
    </row>
    <row r="2506" spans="1:11" x14ac:dyDescent="0.25">
      <c r="A2506" t="s">
        <v>72</v>
      </c>
      <c r="B2506" t="s">
        <v>73</v>
      </c>
      <c r="C2506" t="s">
        <v>50</v>
      </c>
      <c r="D2506" s="6">
        <v>45804</v>
      </c>
      <c r="E2506" t="str">
        <f>VLOOKUP(B2506,'PROCV GERENTES BD'!A:B,2,0)</f>
        <v>NOELI SALETE</v>
      </c>
      <c r="F2506" s="4" t="str">
        <f t="shared" si="234"/>
        <v>2025-05</v>
      </c>
      <c r="G2506" s="18">
        <f t="shared" si="235"/>
        <v>22</v>
      </c>
      <c r="H2506" t="str">
        <f t="shared" si="236"/>
        <v>NOELI SALETE</v>
      </c>
      <c r="I2506" t="str">
        <f t="shared" si="237"/>
        <v>SMARTCENTER SOLUCOES INTELIGENTES LTDA ME</v>
      </c>
      <c r="J2506">
        <f t="shared" si="238"/>
        <v>0</v>
      </c>
      <c r="K2506">
        <f t="shared" si="239"/>
        <v>1</v>
      </c>
    </row>
    <row r="2507" spans="1:11" x14ac:dyDescent="0.25">
      <c r="A2507" t="s">
        <v>67</v>
      </c>
      <c r="B2507" t="s">
        <v>68</v>
      </c>
      <c r="C2507" t="s">
        <v>50</v>
      </c>
      <c r="D2507" s="6">
        <v>45804</v>
      </c>
      <c r="E2507" t="str">
        <f>VLOOKUP(B2507,'PROCV GERENTES BD'!A:B,2,0)</f>
        <v xml:space="preserve">ROGERIO </v>
      </c>
      <c r="F2507" s="4" t="str">
        <f t="shared" si="234"/>
        <v>2025-05</v>
      </c>
      <c r="G2507" s="18">
        <f t="shared" si="235"/>
        <v>22</v>
      </c>
      <c r="H2507" t="str">
        <f t="shared" si="236"/>
        <v xml:space="preserve">ROGERIO </v>
      </c>
      <c r="I2507" t="str">
        <f t="shared" si="237"/>
        <v>DIOTTONI INDUSTRIA E COMERCIO DE ALIMENTOS LTDA ME</v>
      </c>
      <c r="J2507">
        <f t="shared" si="238"/>
        <v>0</v>
      </c>
      <c r="K2507">
        <f t="shared" si="239"/>
        <v>1</v>
      </c>
    </row>
    <row r="2508" spans="1:11" x14ac:dyDescent="0.25">
      <c r="A2508" t="s">
        <v>64</v>
      </c>
      <c r="B2508" t="s">
        <v>65</v>
      </c>
      <c r="C2508" t="s">
        <v>50</v>
      </c>
      <c r="D2508" s="6">
        <v>45804</v>
      </c>
      <c r="E2508" t="str">
        <f>VLOOKUP(B2508,'PROCV GERENTES BD'!A:B,2,0)</f>
        <v>ADMINISTRAÇÃO</v>
      </c>
      <c r="F2508" s="4" t="str">
        <f t="shared" si="234"/>
        <v>2025-05</v>
      </c>
      <c r="G2508" s="18">
        <f t="shared" si="235"/>
        <v>22</v>
      </c>
      <c r="H2508" t="str">
        <f t="shared" si="236"/>
        <v>ADMINISTRAÇÃO</v>
      </c>
      <c r="I2508" t="str">
        <f t="shared" si="237"/>
        <v>SOCIAL S/A</v>
      </c>
      <c r="J2508">
        <f t="shared" si="238"/>
        <v>0</v>
      </c>
      <c r="K2508">
        <f t="shared" si="239"/>
        <v>1</v>
      </c>
    </row>
    <row r="2509" spans="1:11" x14ac:dyDescent="0.25">
      <c r="A2509" t="s">
        <v>62</v>
      </c>
      <c r="B2509" t="s">
        <v>63</v>
      </c>
      <c r="C2509" t="s">
        <v>50</v>
      </c>
      <c r="D2509" s="6">
        <v>45804</v>
      </c>
      <c r="E2509" t="str">
        <f>VLOOKUP(B2509,'PROCV GERENTES BD'!A:B,2,0)</f>
        <v>PROSPECTAR</v>
      </c>
      <c r="F2509" s="4" t="str">
        <f t="shared" si="234"/>
        <v>2025-05</v>
      </c>
      <c r="G2509" s="18">
        <f t="shared" si="235"/>
        <v>22</v>
      </c>
      <c r="H2509" t="str">
        <f t="shared" si="236"/>
        <v>PROSPECTAR</v>
      </c>
      <c r="I2509" t="str">
        <f t="shared" si="237"/>
        <v>MAPP COM IMPORTACAO EXPORTACAO IND PRODUTOS ALIMEN</v>
      </c>
      <c r="J2509">
        <f t="shared" si="238"/>
        <v>0</v>
      </c>
      <c r="K2509">
        <f t="shared" si="239"/>
        <v>1</v>
      </c>
    </row>
    <row r="2510" spans="1:11" x14ac:dyDescent="0.25">
      <c r="A2510" t="s">
        <v>499</v>
      </c>
      <c r="B2510" t="s">
        <v>258</v>
      </c>
      <c r="C2510" t="s">
        <v>50</v>
      </c>
      <c r="D2510" s="6">
        <v>45804</v>
      </c>
      <c r="E2510" t="str">
        <f>VLOOKUP(B2510,'PROCV GERENTES BD'!A:B,2,0)</f>
        <v>PRISCILA METZ</v>
      </c>
      <c r="F2510" s="4" t="str">
        <f t="shared" si="234"/>
        <v>2025-05</v>
      </c>
      <c r="G2510" s="18">
        <f t="shared" si="235"/>
        <v>22</v>
      </c>
      <c r="H2510" t="str">
        <f t="shared" si="236"/>
        <v>PRISCILA METZ</v>
      </c>
      <c r="I2510" t="str">
        <f t="shared" si="237"/>
        <v>PLATINUM INDUSTRIA DE CONFECCOES LTDA</v>
      </c>
      <c r="J2510">
        <f t="shared" si="238"/>
        <v>0</v>
      </c>
      <c r="K2510">
        <f t="shared" si="239"/>
        <v>1</v>
      </c>
    </row>
    <row r="2511" spans="1:11" x14ac:dyDescent="0.25">
      <c r="A2511" t="s">
        <v>60</v>
      </c>
      <c r="B2511" t="s">
        <v>61</v>
      </c>
      <c r="C2511" t="s">
        <v>50</v>
      </c>
      <c r="D2511" s="6">
        <v>45804</v>
      </c>
      <c r="E2511" t="str">
        <f>VLOOKUP(B2511,'PROCV GERENTES BD'!A:B,2,0)</f>
        <v xml:space="preserve">MARCUS VINICIUS </v>
      </c>
      <c r="F2511" s="4" t="str">
        <f t="shared" si="234"/>
        <v>2025-05</v>
      </c>
      <c r="G2511" s="18">
        <f t="shared" si="235"/>
        <v>22</v>
      </c>
      <c r="H2511" t="str">
        <f t="shared" si="236"/>
        <v xml:space="preserve">MARCUS VINICIUS </v>
      </c>
      <c r="I2511" t="str">
        <f t="shared" si="237"/>
        <v>COM IND DE CEREAIS E TRANSPORTES MACIEL LTDA</v>
      </c>
      <c r="J2511">
        <f t="shared" si="238"/>
        <v>0</v>
      </c>
      <c r="K2511">
        <f t="shared" si="239"/>
        <v>1</v>
      </c>
    </row>
    <row r="2512" spans="1:11" x14ac:dyDescent="0.25">
      <c r="A2512" t="s">
        <v>475</v>
      </c>
      <c r="B2512" t="s">
        <v>232</v>
      </c>
      <c r="C2512" t="s">
        <v>66</v>
      </c>
      <c r="D2512" s="6">
        <v>45804</v>
      </c>
      <c r="E2512" t="str">
        <f>VLOOKUP(B2512,'PROCV GERENTES BD'!A:B,2,0)</f>
        <v>POENATELA</v>
      </c>
      <c r="F2512" s="4" t="str">
        <f t="shared" si="234"/>
        <v>2025-05</v>
      </c>
      <c r="G2512" s="18">
        <f t="shared" si="235"/>
        <v>22</v>
      </c>
      <c r="H2512" t="str">
        <f t="shared" si="236"/>
        <v>POENATELA</v>
      </c>
      <c r="I2512" t="str">
        <f t="shared" si="237"/>
        <v>JUATUBA MOVEIS E EMBALAGENS LTDA</v>
      </c>
      <c r="J2512">
        <f t="shared" si="238"/>
        <v>1</v>
      </c>
      <c r="K2512">
        <f t="shared" si="239"/>
        <v>0</v>
      </c>
    </row>
    <row r="2513" spans="1:11" x14ac:dyDescent="0.25">
      <c r="A2513" t="s">
        <v>353</v>
      </c>
      <c r="B2513" t="s">
        <v>97</v>
      </c>
      <c r="C2513" t="s">
        <v>50</v>
      </c>
      <c r="D2513" s="6">
        <v>45804</v>
      </c>
      <c r="E2513" t="str">
        <f>VLOOKUP(B2513,'PROCV GERENTES BD'!A:B,2,0)</f>
        <v>PRISCILA METZ</v>
      </c>
      <c r="F2513" s="4" t="str">
        <f t="shared" si="234"/>
        <v>2025-05</v>
      </c>
      <c r="G2513" s="18">
        <f t="shared" si="235"/>
        <v>22</v>
      </c>
      <c r="H2513" t="str">
        <f t="shared" si="236"/>
        <v>PRISCILA METZ</v>
      </c>
      <c r="I2513" t="str">
        <f t="shared" si="237"/>
        <v>ESSENZA INDUSTRIA QUIMICA LTDA</v>
      </c>
      <c r="J2513">
        <f t="shared" si="238"/>
        <v>0</v>
      </c>
      <c r="K2513">
        <f t="shared" si="239"/>
        <v>1</v>
      </c>
    </row>
    <row r="2514" spans="1:11" x14ac:dyDescent="0.25">
      <c r="A2514" t="s">
        <v>530</v>
      </c>
      <c r="B2514" t="s">
        <v>298</v>
      </c>
      <c r="C2514" t="s">
        <v>50</v>
      </c>
      <c r="D2514" s="6">
        <v>45804</v>
      </c>
      <c r="E2514" t="str">
        <f>VLOOKUP(B2514,'PROCV GERENTES BD'!A:B,2,0)</f>
        <v>ALISSON DE SOUZA LIMA</v>
      </c>
      <c r="F2514" s="4" t="str">
        <f t="shared" si="234"/>
        <v>2025-05</v>
      </c>
      <c r="G2514" s="18">
        <f t="shared" si="235"/>
        <v>22</v>
      </c>
      <c r="H2514" t="str">
        <f t="shared" si="236"/>
        <v>ALISSON DE SOUZA LIMA</v>
      </c>
      <c r="I2514" t="str">
        <f t="shared" si="237"/>
        <v>ANGIOMEDIC COMERCIO DE MATERIAL MEDICO HOSPITALAR</v>
      </c>
      <c r="J2514">
        <f t="shared" si="238"/>
        <v>0</v>
      </c>
      <c r="K2514">
        <f t="shared" si="239"/>
        <v>1</v>
      </c>
    </row>
    <row r="2515" spans="1:11" x14ac:dyDescent="0.25">
      <c r="A2515" t="s">
        <v>513</v>
      </c>
      <c r="B2515" t="s">
        <v>275</v>
      </c>
      <c r="C2515" t="s">
        <v>50</v>
      </c>
      <c r="D2515" s="6">
        <v>45804</v>
      </c>
      <c r="E2515" t="str">
        <f>VLOOKUP(B2515,'PROCV GERENTES BD'!A:B,2,0)</f>
        <v>ALISSON DE SOUZA LIMA</v>
      </c>
      <c r="F2515" s="4" t="str">
        <f t="shared" si="234"/>
        <v>2025-05</v>
      </c>
      <c r="G2515" s="18">
        <f t="shared" si="235"/>
        <v>22</v>
      </c>
      <c r="H2515" t="str">
        <f t="shared" si="236"/>
        <v>ALISSON DE SOUZA LIMA</v>
      </c>
      <c r="I2515" t="str">
        <f t="shared" si="237"/>
        <v>COMERCIAL JLX DISTRIBUIDORA LTDA ME</v>
      </c>
      <c r="J2515">
        <f t="shared" si="238"/>
        <v>0</v>
      </c>
      <c r="K2515">
        <f t="shared" si="239"/>
        <v>1</v>
      </c>
    </row>
    <row r="2516" spans="1:11" x14ac:dyDescent="0.25">
      <c r="A2516" t="s">
        <v>319</v>
      </c>
      <c r="B2516" t="s">
        <v>80</v>
      </c>
      <c r="C2516" t="s">
        <v>50</v>
      </c>
      <c r="D2516" s="6">
        <v>45804</v>
      </c>
      <c r="E2516" t="str">
        <f>VLOOKUP(B2516,'PROCV GERENTES BD'!A:B,2,0)</f>
        <v>CELIO PIMENTA</v>
      </c>
      <c r="F2516" s="4" t="str">
        <f t="shared" si="234"/>
        <v>2025-05</v>
      </c>
      <c r="G2516" s="18">
        <f t="shared" si="235"/>
        <v>22</v>
      </c>
      <c r="H2516" t="str">
        <f t="shared" si="236"/>
        <v>CELIO PIMENTA</v>
      </c>
      <c r="I2516" t="str">
        <f t="shared" si="237"/>
        <v>IMPORTEXTIL COMERCIO DE TECIDOS LTDA</v>
      </c>
      <c r="J2516">
        <f t="shared" si="238"/>
        <v>0</v>
      </c>
      <c r="K2516">
        <f t="shared" si="239"/>
        <v>1</v>
      </c>
    </row>
    <row r="2517" spans="1:11" x14ac:dyDescent="0.25">
      <c r="A2517" t="s">
        <v>331</v>
      </c>
      <c r="B2517" t="s">
        <v>144</v>
      </c>
      <c r="C2517" t="s">
        <v>50</v>
      </c>
      <c r="D2517" s="6">
        <v>45804</v>
      </c>
      <c r="E2517" t="str">
        <f>VLOOKUP(B2517,'PROCV GERENTES BD'!A:B,2,0)</f>
        <v>ADMINISTRAÇÃO</v>
      </c>
      <c r="F2517" s="4" t="str">
        <f t="shared" si="234"/>
        <v>2025-05</v>
      </c>
      <c r="G2517" s="18">
        <f t="shared" si="235"/>
        <v>22</v>
      </c>
      <c r="H2517" t="str">
        <f t="shared" si="236"/>
        <v>ADMINISTRAÇÃO</v>
      </c>
      <c r="I2517" t="str">
        <f t="shared" si="237"/>
        <v>BOM PASTOR PAPEIS LTDA EM RECUPERACAO JUDICIAL</v>
      </c>
      <c r="J2517">
        <f t="shared" si="238"/>
        <v>0</v>
      </c>
      <c r="K2517">
        <f t="shared" si="239"/>
        <v>1</v>
      </c>
    </row>
    <row r="2518" spans="1:11" x14ac:dyDescent="0.25">
      <c r="A2518" t="s">
        <v>358</v>
      </c>
      <c r="B2518" t="s">
        <v>104</v>
      </c>
      <c r="C2518" t="s">
        <v>50</v>
      </c>
      <c r="D2518" s="6">
        <v>45804</v>
      </c>
      <c r="E2518" t="str">
        <f>VLOOKUP(B2518,'PROCV GERENTES BD'!A:B,2,0)</f>
        <v>DIOGO AZEVEDO</v>
      </c>
      <c r="F2518" s="4" t="str">
        <f t="shared" si="234"/>
        <v>2025-05</v>
      </c>
      <c r="G2518" s="18">
        <f t="shared" si="235"/>
        <v>22</v>
      </c>
      <c r="H2518" t="str">
        <f t="shared" si="236"/>
        <v>DIOGO AZEVEDO</v>
      </c>
      <c r="I2518" t="str">
        <f t="shared" si="237"/>
        <v>INDUSTRIA E CERVEJARIA ARTESANAL DE MINAS GERAIS L</v>
      </c>
      <c r="J2518">
        <f t="shared" si="238"/>
        <v>0</v>
      </c>
      <c r="K2518">
        <f t="shared" si="239"/>
        <v>1</v>
      </c>
    </row>
    <row r="2519" spans="1:11" x14ac:dyDescent="0.25">
      <c r="A2519" t="s">
        <v>361</v>
      </c>
      <c r="B2519" t="s">
        <v>106</v>
      </c>
      <c r="C2519" t="s">
        <v>66</v>
      </c>
      <c r="D2519" s="6">
        <v>45804</v>
      </c>
      <c r="E2519" t="str">
        <f>VLOOKUP(B2519,'PROCV GERENTES BD'!A:B,2,0)</f>
        <v>PRISCILA METZ</v>
      </c>
      <c r="F2519" s="4" t="str">
        <f t="shared" si="234"/>
        <v>2025-05</v>
      </c>
      <c r="G2519" s="18">
        <f t="shared" si="235"/>
        <v>22</v>
      </c>
      <c r="H2519" t="str">
        <f t="shared" si="236"/>
        <v>PRISCILA METZ</v>
      </c>
      <c r="I2519" t="str">
        <f t="shared" si="237"/>
        <v>HERBAMED LABORATORIO NUTRACEUTICO LTDA</v>
      </c>
      <c r="J2519">
        <f t="shared" si="238"/>
        <v>1</v>
      </c>
      <c r="K2519">
        <f t="shared" si="239"/>
        <v>0</v>
      </c>
    </row>
    <row r="2520" spans="1:11" x14ac:dyDescent="0.25">
      <c r="A2520" t="s">
        <v>308</v>
      </c>
      <c r="B2520" t="s">
        <v>284</v>
      </c>
      <c r="C2520" t="s">
        <v>50</v>
      </c>
      <c r="D2520" s="6">
        <v>45804</v>
      </c>
      <c r="E2520" t="str">
        <f>VLOOKUP(B2520,'PROCV GERENTES BD'!A:B,2,0)</f>
        <v>CAIO</v>
      </c>
      <c r="F2520" s="4" t="str">
        <f t="shared" si="234"/>
        <v>2025-05</v>
      </c>
      <c r="G2520" s="18">
        <f t="shared" si="235"/>
        <v>22</v>
      </c>
      <c r="H2520" t="str">
        <f t="shared" si="236"/>
        <v>CAIO</v>
      </c>
      <c r="I2520" t="str">
        <f t="shared" si="237"/>
        <v>GLOBALMAX INDUSTRIA PLASTICA S/A</v>
      </c>
      <c r="J2520">
        <f t="shared" si="238"/>
        <v>0</v>
      </c>
      <c r="K2520">
        <f t="shared" si="239"/>
        <v>1</v>
      </c>
    </row>
    <row r="2521" spans="1:11" x14ac:dyDescent="0.25">
      <c r="A2521" t="s">
        <v>54</v>
      </c>
      <c r="B2521" t="s">
        <v>55</v>
      </c>
      <c r="C2521" t="s">
        <v>66</v>
      </c>
      <c r="D2521" s="6">
        <v>45804</v>
      </c>
      <c r="E2521" t="str">
        <f>VLOOKUP(B2521,'PROCV GERENTES BD'!A:B,2,0)</f>
        <v>CELIO PIMENTA</v>
      </c>
      <c r="F2521" s="4" t="str">
        <f t="shared" si="234"/>
        <v>2025-05</v>
      </c>
      <c r="G2521" s="18">
        <f t="shared" si="235"/>
        <v>22</v>
      </c>
      <c r="H2521" t="str">
        <f t="shared" si="236"/>
        <v>CELIO PIMENTA</v>
      </c>
      <c r="I2521" t="str">
        <f t="shared" si="237"/>
        <v>WJ CALDEIRARIA INDUSTRIA E COMERCIO LTDA ME</v>
      </c>
      <c r="J2521">
        <f t="shared" si="238"/>
        <v>1</v>
      </c>
      <c r="K2521">
        <f t="shared" si="239"/>
        <v>0</v>
      </c>
    </row>
    <row r="2522" spans="1:11" x14ac:dyDescent="0.25">
      <c r="A2522" t="s">
        <v>51</v>
      </c>
      <c r="B2522" t="s">
        <v>52</v>
      </c>
      <c r="C2522" t="s">
        <v>50</v>
      </c>
      <c r="D2522" s="6">
        <v>45804</v>
      </c>
      <c r="E2522" t="str">
        <f>VLOOKUP(B2522,'PROCV GERENTES BD'!A:B,2,0)</f>
        <v>RAFAEL PARISE</v>
      </c>
      <c r="F2522" s="4" t="str">
        <f t="shared" si="234"/>
        <v>2025-05</v>
      </c>
      <c r="G2522" s="18">
        <f t="shared" si="235"/>
        <v>22</v>
      </c>
      <c r="H2522" t="str">
        <f t="shared" si="236"/>
        <v>RAFAEL PARISE</v>
      </c>
      <c r="I2522" t="str">
        <f t="shared" si="237"/>
        <v>TDR TRANSPORTES LOGISTICA LTDA</v>
      </c>
      <c r="J2522">
        <f t="shared" si="238"/>
        <v>0</v>
      </c>
      <c r="K2522">
        <f t="shared" si="239"/>
        <v>1</v>
      </c>
    </row>
    <row r="2523" spans="1:11" x14ac:dyDescent="0.25">
      <c r="A2523" t="s">
        <v>324</v>
      </c>
      <c r="B2523" t="s">
        <v>119</v>
      </c>
      <c r="C2523" t="s">
        <v>53</v>
      </c>
      <c r="D2523" s="6">
        <v>45804</v>
      </c>
      <c r="E2523" t="str">
        <f>VLOOKUP(B2523,'PROCV GERENTES BD'!A:B,2,0)</f>
        <v>PROSPECTAR</v>
      </c>
      <c r="F2523" s="4" t="str">
        <f t="shared" si="234"/>
        <v>2025-05</v>
      </c>
      <c r="G2523" s="18">
        <f t="shared" si="235"/>
        <v>22</v>
      </c>
      <c r="H2523" t="str">
        <f t="shared" si="236"/>
        <v>PROSPECTAR</v>
      </c>
      <c r="I2523" t="str">
        <f t="shared" si="237"/>
        <v>TRANSHENRY TRANSPORTES LTDA</v>
      </c>
      <c r="J2523">
        <f t="shared" si="238"/>
        <v>1</v>
      </c>
      <c r="K2523">
        <f t="shared" si="239"/>
        <v>1</v>
      </c>
    </row>
    <row r="2524" spans="1:11" x14ac:dyDescent="0.25">
      <c r="A2524" t="s">
        <v>306</v>
      </c>
      <c r="B2524" t="s">
        <v>266</v>
      </c>
      <c r="C2524" t="s">
        <v>50</v>
      </c>
      <c r="D2524" s="6">
        <v>45804</v>
      </c>
      <c r="E2524" t="str">
        <f>VLOOKUP(B2524,'PROCV GERENTES BD'!A:B,2,0)</f>
        <v>CAIO</v>
      </c>
      <c r="F2524" s="4" t="str">
        <f t="shared" si="234"/>
        <v>2025-05</v>
      </c>
      <c r="G2524" s="18">
        <f t="shared" si="235"/>
        <v>22</v>
      </c>
      <c r="H2524" t="str">
        <f t="shared" si="236"/>
        <v>CAIO</v>
      </c>
      <c r="I2524" t="str">
        <f t="shared" si="237"/>
        <v>MECALD MECANICA E CALDEIRARIA LTDA EPP</v>
      </c>
      <c r="J2524">
        <f t="shared" si="238"/>
        <v>0</v>
      </c>
      <c r="K2524">
        <f t="shared" si="239"/>
        <v>1</v>
      </c>
    </row>
    <row r="2525" spans="1:11" x14ac:dyDescent="0.25">
      <c r="A2525" t="s">
        <v>524</v>
      </c>
      <c r="B2525" t="s">
        <v>289</v>
      </c>
      <c r="C2525" t="s">
        <v>50</v>
      </c>
      <c r="D2525" s="6">
        <v>45804</v>
      </c>
      <c r="E2525" t="str">
        <f>VLOOKUP(B2525,'PROCV GERENTES BD'!A:B,2,0)</f>
        <v>DALVA</v>
      </c>
      <c r="F2525" s="4" t="str">
        <f t="shared" si="234"/>
        <v>2025-05</v>
      </c>
      <c r="G2525" s="18">
        <f t="shared" si="235"/>
        <v>22</v>
      </c>
      <c r="H2525" t="str">
        <f t="shared" si="236"/>
        <v>DALVA</v>
      </c>
      <c r="I2525" t="str">
        <f t="shared" si="237"/>
        <v>FRAITECH INTELIGENCIA EM AUTOMACAO LTDA</v>
      </c>
      <c r="J2525">
        <f t="shared" si="238"/>
        <v>0</v>
      </c>
      <c r="K2525">
        <f t="shared" si="239"/>
        <v>1</v>
      </c>
    </row>
    <row r="2526" spans="1:11" x14ac:dyDescent="0.25">
      <c r="A2526" t="s">
        <v>304</v>
      </c>
      <c r="B2526" t="s">
        <v>123</v>
      </c>
      <c r="C2526" t="s">
        <v>66</v>
      </c>
      <c r="D2526" s="6">
        <v>45804</v>
      </c>
      <c r="E2526" t="str">
        <f>VLOOKUP(B2526,'PROCV GERENTES BD'!A:B,2,0)</f>
        <v>ADMINISTRAÇÃO</v>
      </c>
      <c r="F2526" s="4" t="str">
        <f t="shared" si="234"/>
        <v>2025-05</v>
      </c>
      <c r="G2526" s="18">
        <f t="shared" si="235"/>
        <v>22</v>
      </c>
      <c r="H2526" t="str">
        <f t="shared" si="236"/>
        <v>ADMINISTRAÇÃO</v>
      </c>
      <c r="I2526" t="str">
        <f t="shared" si="237"/>
        <v>VIC LOGISTICA LTDA EM RECUPERACAO JUDICIAL</v>
      </c>
      <c r="J2526">
        <f t="shared" si="238"/>
        <v>1</v>
      </c>
      <c r="K2526">
        <f t="shared" si="239"/>
        <v>0</v>
      </c>
    </row>
    <row r="2527" spans="1:11" x14ac:dyDescent="0.25">
      <c r="A2527" t="s">
        <v>510</v>
      </c>
      <c r="B2527" t="s">
        <v>273</v>
      </c>
      <c r="C2527" t="s">
        <v>66</v>
      </c>
      <c r="D2527" s="6">
        <v>45791</v>
      </c>
      <c r="E2527" t="str">
        <f>VLOOKUP(B2527,'PROCV GERENTES BD'!A:B,2,0)</f>
        <v>CELIO PIMENTA</v>
      </c>
      <c r="F2527" s="4" t="str">
        <f t="shared" si="234"/>
        <v>2025-05</v>
      </c>
      <c r="G2527" s="18">
        <f t="shared" si="235"/>
        <v>20</v>
      </c>
      <c r="H2527" t="str">
        <f t="shared" si="236"/>
        <v>CELIO PIMENTA</v>
      </c>
      <c r="I2527" t="str">
        <f t="shared" si="237"/>
        <v>PRADO MOREIRA TEXTIL LTDA ME</v>
      </c>
      <c r="J2527">
        <f t="shared" si="238"/>
        <v>1</v>
      </c>
      <c r="K2527">
        <f t="shared" si="239"/>
        <v>0</v>
      </c>
    </row>
    <row r="2528" spans="1:11" x14ac:dyDescent="0.25">
      <c r="A2528" t="s">
        <v>510</v>
      </c>
      <c r="B2528" t="s">
        <v>273</v>
      </c>
      <c r="C2528" t="s">
        <v>50</v>
      </c>
      <c r="D2528" s="6">
        <v>45797</v>
      </c>
      <c r="E2528" t="str">
        <f>VLOOKUP(B2528,'PROCV GERENTES BD'!A:B,2,0)</f>
        <v>CELIO PIMENTA</v>
      </c>
      <c r="F2528" s="4" t="str">
        <f t="shared" si="234"/>
        <v>2025-05</v>
      </c>
      <c r="G2528" s="18">
        <f t="shared" si="235"/>
        <v>21</v>
      </c>
      <c r="H2528" t="str">
        <f t="shared" si="236"/>
        <v>CELIO PIMENTA</v>
      </c>
      <c r="I2528" t="str">
        <f t="shared" si="237"/>
        <v>PRADO MOREIRA TEXTIL LTDA ME</v>
      </c>
      <c r="J2528">
        <f t="shared" si="238"/>
        <v>0</v>
      </c>
      <c r="K2528">
        <f t="shared" si="239"/>
        <v>1</v>
      </c>
    </row>
    <row r="2529" spans="1:11" x14ac:dyDescent="0.25">
      <c r="A2529" t="s">
        <v>375</v>
      </c>
      <c r="B2529" t="s">
        <v>120</v>
      </c>
      <c r="C2529" t="s">
        <v>66</v>
      </c>
      <c r="D2529" s="6">
        <v>45805</v>
      </c>
      <c r="E2529" t="str">
        <f>VLOOKUP(B2529,'PROCV GERENTES BD'!A:B,2,0)</f>
        <v>ADMINISTRAÇÃO</v>
      </c>
      <c r="F2529" s="4" t="str">
        <f t="shared" si="234"/>
        <v>2025-05</v>
      </c>
      <c r="G2529" s="18">
        <f t="shared" si="235"/>
        <v>22</v>
      </c>
      <c r="H2529" t="str">
        <f t="shared" si="236"/>
        <v>ADMINISTRAÇÃO</v>
      </c>
      <c r="I2529" t="str">
        <f t="shared" si="237"/>
        <v>FARINELLI NUTRIMENTOS LTDA</v>
      </c>
      <c r="J2529">
        <f t="shared" si="238"/>
        <v>1</v>
      </c>
      <c r="K2529">
        <f t="shared" si="239"/>
        <v>0</v>
      </c>
    </row>
    <row r="2530" spans="1:11" x14ac:dyDescent="0.25">
      <c r="A2530" t="s">
        <v>460</v>
      </c>
      <c r="B2530" t="s">
        <v>217</v>
      </c>
      <c r="C2530" t="s">
        <v>50</v>
      </c>
      <c r="D2530" s="6">
        <v>45805</v>
      </c>
      <c r="E2530" t="str">
        <f>VLOOKUP(B2530,'PROCV GERENTES BD'!A:B,2,0)</f>
        <v>CELIO PIMENTA</v>
      </c>
      <c r="F2530" s="4" t="str">
        <f t="shared" si="234"/>
        <v>2025-05</v>
      </c>
      <c r="G2530" s="18">
        <f t="shared" si="235"/>
        <v>22</v>
      </c>
      <c r="H2530" t="str">
        <f t="shared" si="236"/>
        <v>CELIO PIMENTA</v>
      </c>
      <c r="I2530" t="str">
        <f t="shared" si="237"/>
        <v>MINAS CLEAN DISTRIBUIDORA DE PRODUTOS PARA LIMPEZA</v>
      </c>
      <c r="J2530">
        <f t="shared" si="238"/>
        <v>0</v>
      </c>
      <c r="K2530">
        <f t="shared" si="239"/>
        <v>1</v>
      </c>
    </row>
    <row r="2531" spans="1:11" x14ac:dyDescent="0.25">
      <c r="A2531" t="s">
        <v>314</v>
      </c>
      <c r="B2531" t="s">
        <v>246</v>
      </c>
      <c r="C2531" t="s">
        <v>50</v>
      </c>
      <c r="D2531" s="6">
        <v>45805</v>
      </c>
      <c r="E2531" t="str">
        <f>VLOOKUP(B2531,'PROCV GERENTES BD'!A:B,2,0)</f>
        <v xml:space="preserve">ROGERIO </v>
      </c>
      <c r="F2531" s="4" t="str">
        <f t="shared" si="234"/>
        <v>2025-05</v>
      </c>
      <c r="G2531" s="18">
        <f t="shared" si="235"/>
        <v>22</v>
      </c>
      <c r="H2531" t="str">
        <f t="shared" si="236"/>
        <v xml:space="preserve">ROGERIO </v>
      </c>
      <c r="I2531" t="str">
        <f t="shared" si="237"/>
        <v>MUTCD CENTRO DE DISTRIBUICAO DE IND FABRICANTE DE</v>
      </c>
      <c r="J2531">
        <f t="shared" si="238"/>
        <v>0</v>
      </c>
      <c r="K2531">
        <f t="shared" si="239"/>
        <v>1</v>
      </c>
    </row>
    <row r="2532" spans="1:11" x14ac:dyDescent="0.25">
      <c r="A2532" t="s">
        <v>76</v>
      </c>
      <c r="B2532" t="s">
        <v>77</v>
      </c>
      <c r="C2532" t="s">
        <v>66</v>
      </c>
      <c r="D2532" s="6">
        <v>45805</v>
      </c>
      <c r="E2532" t="str">
        <f>VLOOKUP(B2532,'PROCV GERENTES BD'!A:B,2,0)</f>
        <v>RAFAEL PARISE</v>
      </c>
      <c r="F2532" s="4" t="str">
        <f t="shared" si="234"/>
        <v>2025-05</v>
      </c>
      <c r="G2532" s="18">
        <f t="shared" si="235"/>
        <v>22</v>
      </c>
      <c r="H2532" t="str">
        <f t="shared" si="236"/>
        <v>RAFAEL PARISE</v>
      </c>
      <c r="I2532" t="str">
        <f t="shared" si="237"/>
        <v>UNITA AUTO PECAS LTDA EPP</v>
      </c>
      <c r="J2532">
        <f t="shared" si="238"/>
        <v>1</v>
      </c>
      <c r="K2532">
        <f t="shared" si="239"/>
        <v>0</v>
      </c>
    </row>
    <row r="2533" spans="1:11" x14ac:dyDescent="0.25">
      <c r="A2533" t="s">
        <v>74</v>
      </c>
      <c r="B2533" t="s">
        <v>75</v>
      </c>
      <c r="C2533" t="s">
        <v>50</v>
      </c>
      <c r="D2533" s="6">
        <v>45805</v>
      </c>
      <c r="E2533" t="str">
        <f>VLOOKUP(B2533,'PROCV GERENTES BD'!A:B,2,0)</f>
        <v>CAIO</v>
      </c>
      <c r="F2533" s="4" t="str">
        <f t="shared" si="234"/>
        <v>2025-05</v>
      </c>
      <c r="G2533" s="18">
        <f t="shared" si="235"/>
        <v>22</v>
      </c>
      <c r="H2533" t="str">
        <f t="shared" si="236"/>
        <v>CAIO</v>
      </c>
      <c r="I2533" t="str">
        <f t="shared" si="237"/>
        <v>TP DISTRIBUIDORA DE PECAS LTDA EPP</v>
      </c>
      <c r="J2533">
        <f t="shared" si="238"/>
        <v>0</v>
      </c>
      <c r="K2533">
        <f t="shared" si="239"/>
        <v>1</v>
      </c>
    </row>
    <row r="2534" spans="1:11" x14ac:dyDescent="0.25">
      <c r="A2534" t="s">
        <v>72</v>
      </c>
      <c r="B2534" t="s">
        <v>73</v>
      </c>
      <c r="C2534" t="s">
        <v>50</v>
      </c>
      <c r="D2534" s="6">
        <v>45805</v>
      </c>
      <c r="E2534" t="str">
        <f>VLOOKUP(B2534,'PROCV GERENTES BD'!A:B,2,0)</f>
        <v>NOELI SALETE</v>
      </c>
      <c r="F2534" s="4" t="str">
        <f t="shared" si="234"/>
        <v>2025-05</v>
      </c>
      <c r="G2534" s="18">
        <f t="shared" si="235"/>
        <v>22</v>
      </c>
      <c r="H2534" t="str">
        <f t="shared" si="236"/>
        <v>NOELI SALETE</v>
      </c>
      <c r="I2534" t="str">
        <f t="shared" si="237"/>
        <v>SMARTCENTER SOLUCOES INTELIGENTES LTDA ME</v>
      </c>
      <c r="J2534">
        <f t="shared" si="238"/>
        <v>0</v>
      </c>
      <c r="K2534">
        <f t="shared" si="239"/>
        <v>1</v>
      </c>
    </row>
    <row r="2535" spans="1:11" x14ac:dyDescent="0.25">
      <c r="A2535" t="s">
        <v>62</v>
      </c>
      <c r="B2535" t="s">
        <v>63</v>
      </c>
      <c r="C2535" t="s">
        <v>50</v>
      </c>
      <c r="D2535" s="6">
        <v>45805</v>
      </c>
      <c r="E2535" t="str">
        <f>VLOOKUP(B2535,'PROCV GERENTES BD'!A:B,2,0)</f>
        <v>PROSPECTAR</v>
      </c>
      <c r="F2535" s="4" t="str">
        <f t="shared" si="234"/>
        <v>2025-05</v>
      </c>
      <c r="G2535" s="18">
        <f t="shared" si="235"/>
        <v>22</v>
      </c>
      <c r="H2535" t="str">
        <f t="shared" si="236"/>
        <v>PROSPECTAR</v>
      </c>
      <c r="I2535" t="str">
        <f t="shared" si="237"/>
        <v>MAPP COM IMPORTACAO EXPORTACAO IND PRODUTOS ALIMEN</v>
      </c>
      <c r="J2535">
        <f t="shared" si="238"/>
        <v>0</v>
      </c>
      <c r="K2535">
        <f t="shared" si="239"/>
        <v>1</v>
      </c>
    </row>
    <row r="2536" spans="1:11" x14ac:dyDescent="0.25">
      <c r="A2536" t="s">
        <v>499</v>
      </c>
      <c r="B2536" t="s">
        <v>258</v>
      </c>
      <c r="C2536" t="s">
        <v>50</v>
      </c>
      <c r="D2536" s="6">
        <v>45805</v>
      </c>
      <c r="E2536" t="str">
        <f>VLOOKUP(B2536,'PROCV GERENTES BD'!A:B,2,0)</f>
        <v>PRISCILA METZ</v>
      </c>
      <c r="F2536" s="4" t="str">
        <f t="shared" si="234"/>
        <v>2025-05</v>
      </c>
      <c r="G2536" s="18">
        <f t="shared" si="235"/>
        <v>22</v>
      </c>
      <c r="H2536" t="str">
        <f t="shared" si="236"/>
        <v>PRISCILA METZ</v>
      </c>
      <c r="I2536" t="str">
        <f t="shared" si="237"/>
        <v>PLATINUM INDUSTRIA DE CONFECCOES LTDA</v>
      </c>
      <c r="J2536">
        <f t="shared" si="238"/>
        <v>0</v>
      </c>
      <c r="K2536">
        <f t="shared" si="239"/>
        <v>1</v>
      </c>
    </row>
    <row r="2537" spans="1:11" x14ac:dyDescent="0.25">
      <c r="A2537" t="s">
        <v>60</v>
      </c>
      <c r="B2537" t="s">
        <v>61</v>
      </c>
      <c r="C2537" t="s">
        <v>50</v>
      </c>
      <c r="D2537" s="6">
        <v>45805</v>
      </c>
      <c r="E2537" t="str">
        <f>VLOOKUP(B2537,'PROCV GERENTES BD'!A:B,2,0)</f>
        <v xml:space="preserve">MARCUS VINICIUS </v>
      </c>
      <c r="F2537" s="4" t="str">
        <f t="shared" si="234"/>
        <v>2025-05</v>
      </c>
      <c r="G2537" s="18">
        <f t="shared" si="235"/>
        <v>22</v>
      </c>
      <c r="H2537" t="str">
        <f t="shared" si="236"/>
        <v xml:space="preserve">MARCUS VINICIUS </v>
      </c>
      <c r="I2537" t="str">
        <f t="shared" si="237"/>
        <v>COM IND DE CEREAIS E TRANSPORTES MACIEL LTDA</v>
      </c>
      <c r="J2537">
        <f t="shared" si="238"/>
        <v>0</v>
      </c>
      <c r="K2537">
        <f t="shared" si="239"/>
        <v>1</v>
      </c>
    </row>
    <row r="2538" spans="1:11" x14ac:dyDescent="0.25">
      <c r="A2538" t="s">
        <v>352</v>
      </c>
      <c r="B2538" t="s">
        <v>96</v>
      </c>
      <c r="C2538" t="s">
        <v>50</v>
      </c>
      <c r="D2538" s="6">
        <v>45805</v>
      </c>
      <c r="E2538" t="str">
        <f>VLOOKUP(B2538,'PROCV GERENTES BD'!A:B,2,0)</f>
        <v>POENATELA</v>
      </c>
      <c r="F2538" s="4" t="str">
        <f t="shared" si="234"/>
        <v>2025-05</v>
      </c>
      <c r="G2538" s="18">
        <f t="shared" si="235"/>
        <v>22</v>
      </c>
      <c r="H2538" t="str">
        <f t="shared" si="236"/>
        <v>POENATELA</v>
      </c>
      <c r="I2538" t="str">
        <f t="shared" si="237"/>
        <v>SUPER HARD TECNOLOGIA EM TRATAMENTO DE SUPERFICIES</v>
      </c>
      <c r="J2538">
        <f t="shared" si="238"/>
        <v>0</v>
      </c>
      <c r="K2538">
        <f t="shared" si="239"/>
        <v>1</v>
      </c>
    </row>
    <row r="2539" spans="1:11" x14ac:dyDescent="0.25">
      <c r="A2539" t="s">
        <v>501</v>
      </c>
      <c r="B2539" t="s">
        <v>260</v>
      </c>
      <c r="C2539" t="s">
        <v>50</v>
      </c>
      <c r="D2539" s="6">
        <v>45805</v>
      </c>
      <c r="E2539" t="str">
        <f>VLOOKUP(B2539,'PROCV GERENTES BD'!A:B,2,0)</f>
        <v>PROSPECTAR</v>
      </c>
      <c r="F2539" s="4" t="str">
        <f t="shared" si="234"/>
        <v>2025-05</v>
      </c>
      <c r="G2539" s="18">
        <f t="shared" si="235"/>
        <v>22</v>
      </c>
      <c r="H2539" t="str">
        <f t="shared" si="236"/>
        <v>PROSPECTAR</v>
      </c>
      <c r="I2539" t="str">
        <f t="shared" si="237"/>
        <v>ENGREMAT ENG PROJETO MANUTENCAO INSPECAO MONTAGENS</v>
      </c>
      <c r="J2539">
        <f t="shared" si="238"/>
        <v>0</v>
      </c>
      <c r="K2539">
        <f t="shared" si="239"/>
        <v>1</v>
      </c>
    </row>
    <row r="2540" spans="1:11" x14ac:dyDescent="0.25">
      <c r="A2540" t="s">
        <v>513</v>
      </c>
      <c r="B2540" t="s">
        <v>275</v>
      </c>
      <c r="C2540" t="s">
        <v>50</v>
      </c>
      <c r="D2540" s="6">
        <v>45805</v>
      </c>
      <c r="E2540" t="str">
        <f>VLOOKUP(B2540,'PROCV GERENTES BD'!A:B,2,0)</f>
        <v>ALISSON DE SOUZA LIMA</v>
      </c>
      <c r="F2540" s="4" t="str">
        <f t="shared" si="234"/>
        <v>2025-05</v>
      </c>
      <c r="G2540" s="18">
        <f t="shared" si="235"/>
        <v>22</v>
      </c>
      <c r="H2540" t="str">
        <f t="shared" si="236"/>
        <v>ALISSON DE SOUZA LIMA</v>
      </c>
      <c r="I2540" t="str">
        <f t="shared" si="237"/>
        <v>COMERCIAL JLX DISTRIBUIDORA LTDA ME</v>
      </c>
      <c r="J2540">
        <f t="shared" si="238"/>
        <v>0</v>
      </c>
      <c r="K2540">
        <f t="shared" si="239"/>
        <v>1</v>
      </c>
    </row>
    <row r="2541" spans="1:11" x14ac:dyDescent="0.25">
      <c r="A2541" t="s">
        <v>319</v>
      </c>
      <c r="B2541" t="s">
        <v>80</v>
      </c>
      <c r="C2541" t="s">
        <v>50</v>
      </c>
      <c r="D2541" s="6">
        <v>45805</v>
      </c>
      <c r="E2541" t="str">
        <f>VLOOKUP(B2541,'PROCV GERENTES BD'!A:B,2,0)</f>
        <v>CELIO PIMENTA</v>
      </c>
      <c r="F2541" s="4" t="str">
        <f t="shared" si="234"/>
        <v>2025-05</v>
      </c>
      <c r="G2541" s="18">
        <f t="shared" si="235"/>
        <v>22</v>
      </c>
      <c r="H2541" t="str">
        <f t="shared" si="236"/>
        <v>CELIO PIMENTA</v>
      </c>
      <c r="I2541" t="str">
        <f t="shared" si="237"/>
        <v>IMPORTEXTIL COMERCIO DE TECIDOS LTDA</v>
      </c>
      <c r="J2541">
        <f t="shared" si="238"/>
        <v>0</v>
      </c>
      <c r="K2541">
        <f t="shared" si="239"/>
        <v>1</v>
      </c>
    </row>
    <row r="2542" spans="1:11" x14ac:dyDescent="0.25">
      <c r="A2542" t="s">
        <v>56</v>
      </c>
      <c r="B2542" t="s">
        <v>57</v>
      </c>
      <c r="C2542" t="s">
        <v>66</v>
      </c>
      <c r="D2542" s="6">
        <v>45805</v>
      </c>
      <c r="E2542" t="str">
        <f>VLOOKUP(B2542,'PROCV GERENTES BD'!A:B,2,0)</f>
        <v xml:space="preserve">ROGERIO </v>
      </c>
      <c r="F2542" s="4" t="str">
        <f t="shared" si="234"/>
        <v>2025-05</v>
      </c>
      <c r="G2542" s="18">
        <f t="shared" si="235"/>
        <v>22</v>
      </c>
      <c r="H2542" t="str">
        <f t="shared" si="236"/>
        <v xml:space="preserve">ROGERIO </v>
      </c>
      <c r="I2542" t="str">
        <f t="shared" si="237"/>
        <v>RODOVIEIRA TRANSPORTE LTDA</v>
      </c>
      <c r="J2542">
        <f t="shared" si="238"/>
        <v>1</v>
      </c>
      <c r="K2542">
        <f t="shared" si="239"/>
        <v>0</v>
      </c>
    </row>
    <row r="2543" spans="1:11" x14ac:dyDescent="0.25">
      <c r="A2543" t="s">
        <v>331</v>
      </c>
      <c r="B2543" t="s">
        <v>144</v>
      </c>
      <c r="C2543" t="s">
        <v>50</v>
      </c>
      <c r="D2543" s="6">
        <v>45805</v>
      </c>
      <c r="E2543" t="str">
        <f>VLOOKUP(B2543,'PROCV GERENTES BD'!A:B,2,0)</f>
        <v>ADMINISTRAÇÃO</v>
      </c>
      <c r="F2543" s="4" t="str">
        <f t="shared" si="234"/>
        <v>2025-05</v>
      </c>
      <c r="G2543" s="18">
        <f t="shared" si="235"/>
        <v>22</v>
      </c>
      <c r="H2543" t="str">
        <f t="shared" si="236"/>
        <v>ADMINISTRAÇÃO</v>
      </c>
      <c r="I2543" t="str">
        <f t="shared" si="237"/>
        <v>BOM PASTOR PAPEIS LTDA EM RECUPERACAO JUDICIAL</v>
      </c>
      <c r="J2543">
        <f t="shared" si="238"/>
        <v>0</v>
      </c>
      <c r="K2543">
        <f t="shared" si="239"/>
        <v>1</v>
      </c>
    </row>
    <row r="2544" spans="1:11" x14ac:dyDescent="0.25">
      <c r="A2544" t="s">
        <v>51</v>
      </c>
      <c r="B2544" t="s">
        <v>52</v>
      </c>
      <c r="C2544" t="s">
        <v>50</v>
      </c>
      <c r="D2544" s="6">
        <v>45805</v>
      </c>
      <c r="E2544" t="str">
        <f>VLOOKUP(B2544,'PROCV GERENTES BD'!A:B,2,0)</f>
        <v>RAFAEL PARISE</v>
      </c>
      <c r="F2544" s="4" t="str">
        <f t="shared" si="234"/>
        <v>2025-05</v>
      </c>
      <c r="G2544" s="18">
        <f t="shared" si="235"/>
        <v>22</v>
      </c>
      <c r="H2544" t="str">
        <f t="shared" si="236"/>
        <v>RAFAEL PARISE</v>
      </c>
      <c r="I2544" t="str">
        <f t="shared" si="237"/>
        <v>TDR TRANSPORTES LOGISTICA LTDA</v>
      </c>
      <c r="J2544">
        <f t="shared" si="238"/>
        <v>0</v>
      </c>
      <c r="K2544">
        <f t="shared" si="239"/>
        <v>1</v>
      </c>
    </row>
    <row r="2545" spans="1:11" x14ac:dyDescent="0.25">
      <c r="A2545" t="s">
        <v>324</v>
      </c>
      <c r="B2545" t="s">
        <v>119</v>
      </c>
      <c r="C2545" t="s">
        <v>50</v>
      </c>
      <c r="D2545" s="6">
        <v>45805</v>
      </c>
      <c r="E2545" t="str">
        <f>VLOOKUP(B2545,'PROCV GERENTES BD'!A:B,2,0)</f>
        <v>PROSPECTAR</v>
      </c>
      <c r="F2545" s="4" t="str">
        <f t="shared" si="234"/>
        <v>2025-05</v>
      </c>
      <c r="G2545" s="18">
        <f t="shared" si="235"/>
        <v>22</v>
      </c>
      <c r="H2545" t="str">
        <f t="shared" si="236"/>
        <v>PROSPECTAR</v>
      </c>
      <c r="I2545" t="str">
        <f t="shared" si="237"/>
        <v>TRANSHENRY TRANSPORTES LTDA</v>
      </c>
      <c r="J2545">
        <f t="shared" si="238"/>
        <v>0</v>
      </c>
      <c r="K2545">
        <f t="shared" si="239"/>
        <v>1</v>
      </c>
    </row>
    <row r="2546" spans="1:11" x14ac:dyDescent="0.25">
      <c r="A2546" t="s">
        <v>523</v>
      </c>
      <c r="B2546" t="s">
        <v>288</v>
      </c>
      <c r="C2546" t="s">
        <v>50</v>
      </c>
      <c r="D2546" s="6">
        <v>45805</v>
      </c>
      <c r="E2546" t="str">
        <f>VLOOKUP(B2546,'PROCV GERENTES BD'!A:B,2,0)</f>
        <v>ADMINISTRAÇÃO</v>
      </c>
      <c r="F2546" s="4" t="str">
        <f t="shared" si="234"/>
        <v>2025-05</v>
      </c>
      <c r="G2546" s="18">
        <f t="shared" si="235"/>
        <v>22</v>
      </c>
      <c r="H2546" t="str">
        <f t="shared" si="236"/>
        <v>ADMINISTRAÇÃO</v>
      </c>
      <c r="I2546" t="str">
        <f t="shared" si="237"/>
        <v>REFRACONT BRASIL LTDA</v>
      </c>
      <c r="J2546">
        <f t="shared" si="238"/>
        <v>0</v>
      </c>
      <c r="K2546">
        <f t="shared" si="239"/>
        <v>1</v>
      </c>
    </row>
    <row r="2547" spans="1:11" x14ac:dyDescent="0.25">
      <c r="A2547" t="s">
        <v>311</v>
      </c>
      <c r="B2547" t="s">
        <v>81</v>
      </c>
      <c r="C2547" t="s">
        <v>50</v>
      </c>
      <c r="D2547" s="6">
        <v>45805</v>
      </c>
      <c r="E2547" t="str">
        <f>VLOOKUP(B2547,'PROCV GERENTES BD'!A:B,2,0)</f>
        <v>CELIO PIMENTA</v>
      </c>
      <c r="F2547" s="4" t="str">
        <f t="shared" si="234"/>
        <v>2025-05</v>
      </c>
      <c r="G2547" s="18">
        <f t="shared" si="235"/>
        <v>22</v>
      </c>
      <c r="H2547" t="str">
        <f t="shared" si="236"/>
        <v>CELIO PIMENTA</v>
      </c>
      <c r="I2547" t="str">
        <f t="shared" si="237"/>
        <v>MBIOLOG DIAGNOSTICOS LTDA</v>
      </c>
      <c r="J2547">
        <f t="shared" si="238"/>
        <v>0</v>
      </c>
      <c r="K2547">
        <f t="shared" si="239"/>
        <v>1</v>
      </c>
    </row>
    <row r="2548" spans="1:11" x14ac:dyDescent="0.25">
      <c r="A2548" t="s">
        <v>529</v>
      </c>
      <c r="B2548" t="s">
        <v>297</v>
      </c>
      <c r="C2548" t="s">
        <v>66</v>
      </c>
      <c r="D2548" s="6">
        <v>45805</v>
      </c>
      <c r="E2548" t="str">
        <f>VLOOKUP(B2548,'PROCV GERENTES BD'!A:B,2,0)</f>
        <v>ANDRE CUNHA</v>
      </c>
      <c r="F2548" s="4" t="str">
        <f t="shared" si="234"/>
        <v>2025-05</v>
      </c>
      <c r="G2548" s="18">
        <f t="shared" si="235"/>
        <v>22</v>
      </c>
      <c r="H2548" t="str">
        <f t="shared" si="236"/>
        <v>ANDRE CUNHA</v>
      </c>
      <c r="I2548" t="str">
        <f t="shared" si="237"/>
        <v>REVPACK TECNOLOGIA E COMERCIO DE COMPONENTES PLAST</v>
      </c>
      <c r="J2548">
        <f t="shared" si="238"/>
        <v>1</v>
      </c>
      <c r="K2548">
        <f t="shared" si="239"/>
        <v>0</v>
      </c>
    </row>
    <row r="2549" spans="1:11" x14ac:dyDescent="0.25">
      <c r="A2549" t="s">
        <v>379</v>
      </c>
      <c r="B2549" t="s">
        <v>126</v>
      </c>
      <c r="C2549" t="s">
        <v>50</v>
      </c>
      <c r="D2549" s="6">
        <v>45805</v>
      </c>
      <c r="E2549" t="str">
        <f>VLOOKUP(B2549,'PROCV GERENTES BD'!A:B,2,0)</f>
        <v>ADMINISTRAÇÃO</v>
      </c>
      <c r="F2549" s="4" t="str">
        <f t="shared" si="234"/>
        <v>2025-05</v>
      </c>
      <c r="G2549" s="18">
        <f t="shared" si="235"/>
        <v>22</v>
      </c>
      <c r="H2549" t="str">
        <f t="shared" si="236"/>
        <v>ADMINISTRAÇÃO</v>
      </c>
      <c r="I2549" t="str">
        <f t="shared" si="237"/>
        <v>ENXOVAIS MINAS LTDA ME</v>
      </c>
      <c r="J2549">
        <f t="shared" si="238"/>
        <v>0</v>
      </c>
      <c r="K2549">
        <f t="shared" si="239"/>
        <v>1</v>
      </c>
    </row>
    <row r="2550" spans="1:11" x14ac:dyDescent="0.25">
      <c r="A2550" t="s">
        <v>447</v>
      </c>
      <c r="B2550" t="s">
        <v>200</v>
      </c>
      <c r="C2550" t="s">
        <v>50</v>
      </c>
      <c r="D2550" s="6">
        <v>45805</v>
      </c>
      <c r="E2550" t="str">
        <f>VLOOKUP(B2550,'PROCV GERENTES BD'!A:B,2,0)</f>
        <v xml:space="preserve">ROGERIO </v>
      </c>
      <c r="F2550" s="4" t="str">
        <f t="shared" si="234"/>
        <v>2025-05</v>
      </c>
      <c r="G2550" s="18">
        <f t="shared" si="235"/>
        <v>22</v>
      </c>
      <c r="H2550" t="str">
        <f t="shared" si="236"/>
        <v xml:space="preserve">ROGERIO </v>
      </c>
      <c r="I2550" t="str">
        <f t="shared" si="237"/>
        <v>ORTHOSIDE INDUSTRIA E COMERCIO LTDA EPP</v>
      </c>
      <c r="J2550">
        <f t="shared" si="238"/>
        <v>0</v>
      </c>
      <c r="K2550">
        <f t="shared" si="239"/>
        <v>1</v>
      </c>
    </row>
    <row r="2551" spans="1:11" x14ac:dyDescent="0.25">
      <c r="A2551" t="s">
        <v>502</v>
      </c>
      <c r="B2551" t="s">
        <v>262</v>
      </c>
      <c r="C2551" t="s">
        <v>66</v>
      </c>
      <c r="D2551" s="6">
        <v>45806</v>
      </c>
      <c r="E2551" t="str">
        <f>VLOOKUP(B2551,'PROCV GERENTES BD'!A:B,2,0)</f>
        <v>ANTECIPA</v>
      </c>
      <c r="F2551" s="4" t="str">
        <f t="shared" si="234"/>
        <v>2025-05</v>
      </c>
      <c r="G2551" s="18">
        <f t="shared" si="235"/>
        <v>22</v>
      </c>
      <c r="H2551" t="str">
        <f t="shared" si="236"/>
        <v>ANTECIPA</v>
      </c>
      <c r="I2551" t="str">
        <f t="shared" si="237"/>
        <v>CONSTRUENGE ENGENHARIA E GERENCIAMENTO LTDA</v>
      </c>
      <c r="J2551">
        <f t="shared" si="238"/>
        <v>1</v>
      </c>
      <c r="K2551">
        <f t="shared" si="239"/>
        <v>0</v>
      </c>
    </row>
    <row r="2552" spans="1:11" x14ac:dyDescent="0.25">
      <c r="A2552" t="s">
        <v>314</v>
      </c>
      <c r="B2552" t="s">
        <v>246</v>
      </c>
      <c r="C2552" t="s">
        <v>66</v>
      </c>
      <c r="D2552" s="6">
        <v>45806</v>
      </c>
      <c r="E2552" t="str">
        <f>VLOOKUP(B2552,'PROCV GERENTES BD'!A:B,2,0)</f>
        <v xml:space="preserve">ROGERIO </v>
      </c>
      <c r="F2552" s="4" t="str">
        <f t="shared" si="234"/>
        <v>2025-05</v>
      </c>
      <c r="G2552" s="18">
        <f t="shared" si="235"/>
        <v>22</v>
      </c>
      <c r="H2552" t="str">
        <f t="shared" si="236"/>
        <v xml:space="preserve">ROGERIO </v>
      </c>
      <c r="I2552" t="str">
        <f t="shared" si="237"/>
        <v>MUTCD CENTRO DE DISTRIBUICAO DE IND FABRICANTE DE</v>
      </c>
      <c r="J2552">
        <f t="shared" si="238"/>
        <v>1</v>
      </c>
      <c r="K2552">
        <f t="shared" si="239"/>
        <v>0</v>
      </c>
    </row>
    <row r="2553" spans="1:11" x14ac:dyDescent="0.25">
      <c r="A2553" t="s">
        <v>315</v>
      </c>
      <c r="B2553" t="s">
        <v>270</v>
      </c>
      <c r="C2553" t="s">
        <v>66</v>
      </c>
      <c r="D2553" s="6">
        <v>45806</v>
      </c>
      <c r="E2553" t="str">
        <f>VLOOKUP(B2553,'PROCV GERENTES BD'!A:B,2,0)</f>
        <v>SEM GERENTE</v>
      </c>
      <c r="F2553" s="4" t="str">
        <f t="shared" si="234"/>
        <v>2025-05</v>
      </c>
      <c r="G2553" s="18">
        <f t="shared" si="235"/>
        <v>22</v>
      </c>
      <c r="H2553" t="str">
        <f t="shared" si="236"/>
        <v>SEM GERENTE</v>
      </c>
      <c r="I2553" t="str">
        <f t="shared" si="237"/>
        <v>FAC INDUSTRIA E SERVICOS LTDA ME</v>
      </c>
      <c r="J2553">
        <f t="shared" si="238"/>
        <v>1</v>
      </c>
      <c r="K2553">
        <f t="shared" si="239"/>
        <v>0</v>
      </c>
    </row>
    <row r="2554" spans="1:11" x14ac:dyDescent="0.25">
      <c r="A2554" t="s">
        <v>518</v>
      </c>
      <c r="B2554" t="s">
        <v>282</v>
      </c>
      <c r="C2554" t="s">
        <v>50</v>
      </c>
      <c r="D2554" s="6">
        <v>45806</v>
      </c>
      <c r="E2554" t="str">
        <f>VLOOKUP(B2554,'PROCV GERENTES BD'!A:B,2,0)</f>
        <v>ANTECIPA</v>
      </c>
      <c r="F2554" s="4" t="str">
        <f t="shared" si="234"/>
        <v>2025-05</v>
      </c>
      <c r="G2554" s="18">
        <f t="shared" si="235"/>
        <v>22</v>
      </c>
      <c r="H2554" t="str">
        <f t="shared" si="236"/>
        <v>ANTECIPA</v>
      </c>
      <c r="I2554" t="str">
        <f t="shared" si="237"/>
        <v>CENTRAL DE SUPRIMENTOS INDUSTRIAIS LTDA EPP</v>
      </c>
      <c r="J2554">
        <f t="shared" si="238"/>
        <v>0</v>
      </c>
      <c r="K2554">
        <f t="shared" si="239"/>
        <v>1</v>
      </c>
    </row>
    <row r="2555" spans="1:11" x14ac:dyDescent="0.25">
      <c r="A2555" t="s">
        <v>67</v>
      </c>
      <c r="B2555" t="s">
        <v>68</v>
      </c>
      <c r="C2555" t="s">
        <v>50</v>
      </c>
      <c r="D2555" s="6">
        <v>45806</v>
      </c>
      <c r="E2555" t="str">
        <f>VLOOKUP(B2555,'PROCV GERENTES BD'!A:B,2,0)</f>
        <v xml:space="preserve">ROGERIO </v>
      </c>
      <c r="F2555" s="4" t="str">
        <f t="shared" si="234"/>
        <v>2025-05</v>
      </c>
      <c r="G2555" s="18">
        <f t="shared" si="235"/>
        <v>22</v>
      </c>
      <c r="H2555" t="str">
        <f t="shared" si="236"/>
        <v xml:space="preserve">ROGERIO </v>
      </c>
      <c r="I2555" t="str">
        <f t="shared" si="237"/>
        <v>DIOTTONI INDUSTRIA E COMERCIO DE ALIMENTOS LTDA ME</v>
      </c>
      <c r="J2555">
        <f t="shared" si="238"/>
        <v>0</v>
      </c>
      <c r="K2555">
        <f t="shared" si="239"/>
        <v>1</v>
      </c>
    </row>
    <row r="2556" spans="1:11" x14ac:dyDescent="0.25">
      <c r="A2556" t="s">
        <v>64</v>
      </c>
      <c r="B2556" t="s">
        <v>65</v>
      </c>
      <c r="C2556" t="s">
        <v>50</v>
      </c>
      <c r="D2556" s="6">
        <v>45806</v>
      </c>
      <c r="E2556" t="str">
        <f>VLOOKUP(B2556,'PROCV GERENTES BD'!A:B,2,0)</f>
        <v>ADMINISTRAÇÃO</v>
      </c>
      <c r="F2556" s="4" t="str">
        <f t="shared" si="234"/>
        <v>2025-05</v>
      </c>
      <c r="G2556" s="18">
        <f t="shared" si="235"/>
        <v>22</v>
      </c>
      <c r="H2556" t="str">
        <f t="shared" si="236"/>
        <v>ADMINISTRAÇÃO</v>
      </c>
      <c r="I2556" t="str">
        <f t="shared" si="237"/>
        <v>SOCIAL S/A</v>
      </c>
      <c r="J2556">
        <f t="shared" si="238"/>
        <v>0</v>
      </c>
      <c r="K2556">
        <f t="shared" si="239"/>
        <v>1</v>
      </c>
    </row>
    <row r="2557" spans="1:11" x14ac:dyDescent="0.25">
      <c r="A2557" t="s">
        <v>62</v>
      </c>
      <c r="B2557" t="s">
        <v>63</v>
      </c>
      <c r="C2557" t="s">
        <v>66</v>
      </c>
      <c r="D2557" s="6">
        <v>45806</v>
      </c>
      <c r="E2557" t="str">
        <f>VLOOKUP(B2557,'PROCV GERENTES BD'!A:B,2,0)</f>
        <v>PROSPECTAR</v>
      </c>
      <c r="F2557" s="4" t="str">
        <f t="shared" si="234"/>
        <v>2025-05</v>
      </c>
      <c r="G2557" s="18">
        <f t="shared" si="235"/>
        <v>22</v>
      </c>
      <c r="H2557" t="str">
        <f t="shared" si="236"/>
        <v>PROSPECTAR</v>
      </c>
      <c r="I2557" t="str">
        <f t="shared" si="237"/>
        <v>MAPP COM IMPORTACAO EXPORTACAO IND PRODUTOS ALIMEN</v>
      </c>
      <c r="J2557">
        <f t="shared" si="238"/>
        <v>1</v>
      </c>
      <c r="K2557">
        <f t="shared" si="239"/>
        <v>0</v>
      </c>
    </row>
    <row r="2558" spans="1:11" x14ac:dyDescent="0.25">
      <c r="A2558" t="s">
        <v>372</v>
      </c>
      <c r="B2558" t="s">
        <v>116</v>
      </c>
      <c r="C2558" t="s">
        <v>50</v>
      </c>
      <c r="D2558" s="6">
        <v>45806</v>
      </c>
      <c r="E2558" t="str">
        <f>VLOOKUP(B2558,'PROCV GERENTES BD'!A:B,2,0)</f>
        <v>ADMINISTRAÇÃO</v>
      </c>
      <c r="F2558" s="4" t="str">
        <f t="shared" si="234"/>
        <v>2025-05</v>
      </c>
      <c r="G2558" s="18">
        <f t="shared" si="235"/>
        <v>22</v>
      </c>
      <c r="H2558" t="str">
        <f t="shared" si="236"/>
        <v>ADMINISTRAÇÃO</v>
      </c>
      <c r="I2558" t="str">
        <f t="shared" si="237"/>
        <v>PREMOLDADOS MATOSINHOS LTDA EPP</v>
      </c>
      <c r="J2558">
        <f t="shared" si="238"/>
        <v>0</v>
      </c>
      <c r="K2558">
        <f t="shared" si="239"/>
        <v>1</v>
      </c>
    </row>
    <row r="2559" spans="1:11" x14ac:dyDescent="0.25">
      <c r="A2559" t="s">
        <v>510</v>
      </c>
      <c r="B2559" t="s">
        <v>273</v>
      </c>
      <c r="C2559" t="s">
        <v>66</v>
      </c>
      <c r="D2559" s="6">
        <v>45801</v>
      </c>
      <c r="E2559" t="str">
        <f>VLOOKUP(B2559,'PROCV GERENTES BD'!A:B,2,0)</f>
        <v>CELIO PIMENTA</v>
      </c>
      <c r="F2559" s="4" t="str">
        <f t="shared" si="234"/>
        <v>2025-05</v>
      </c>
      <c r="G2559" s="18">
        <f t="shared" si="235"/>
        <v>21</v>
      </c>
      <c r="H2559" t="str">
        <f t="shared" si="236"/>
        <v>CELIO PIMENTA</v>
      </c>
      <c r="I2559" t="str">
        <f t="shared" si="237"/>
        <v>PRADO MOREIRA TEXTIL LTDA ME</v>
      </c>
      <c r="J2559">
        <f t="shared" si="238"/>
        <v>1</v>
      </c>
      <c r="K2559">
        <f t="shared" si="239"/>
        <v>0</v>
      </c>
    </row>
    <row r="2560" spans="1:11" x14ac:dyDescent="0.25">
      <c r="A2560" t="s">
        <v>319</v>
      </c>
      <c r="B2560" t="s">
        <v>80</v>
      </c>
      <c r="C2560" t="s">
        <v>50</v>
      </c>
      <c r="D2560" s="6">
        <v>45806</v>
      </c>
      <c r="E2560" t="str">
        <f>VLOOKUP(B2560,'PROCV GERENTES BD'!A:B,2,0)</f>
        <v>CELIO PIMENTA</v>
      </c>
      <c r="F2560" s="4" t="str">
        <f t="shared" si="234"/>
        <v>2025-05</v>
      </c>
      <c r="G2560" s="18">
        <f t="shared" si="235"/>
        <v>22</v>
      </c>
      <c r="H2560" t="str">
        <f t="shared" si="236"/>
        <v>CELIO PIMENTA</v>
      </c>
      <c r="I2560" t="str">
        <f t="shared" si="237"/>
        <v>IMPORTEXTIL COMERCIO DE TECIDOS LTDA</v>
      </c>
      <c r="J2560">
        <f t="shared" si="238"/>
        <v>0</v>
      </c>
      <c r="K2560">
        <f t="shared" si="239"/>
        <v>1</v>
      </c>
    </row>
    <row r="2561" spans="1:11" x14ac:dyDescent="0.25">
      <c r="A2561" t="s">
        <v>358</v>
      </c>
      <c r="B2561" t="s">
        <v>104</v>
      </c>
      <c r="C2561" t="s">
        <v>50</v>
      </c>
      <c r="D2561" s="6">
        <v>45806</v>
      </c>
      <c r="E2561" t="str">
        <f>VLOOKUP(B2561,'PROCV GERENTES BD'!A:B,2,0)</f>
        <v>DIOGO AZEVEDO</v>
      </c>
      <c r="F2561" s="4" t="str">
        <f t="shared" si="234"/>
        <v>2025-05</v>
      </c>
      <c r="G2561" s="18">
        <f t="shared" si="235"/>
        <v>22</v>
      </c>
      <c r="H2561" t="str">
        <f t="shared" si="236"/>
        <v>DIOGO AZEVEDO</v>
      </c>
      <c r="I2561" t="str">
        <f t="shared" si="237"/>
        <v>INDUSTRIA E CERVEJARIA ARTESANAL DE MINAS GERAIS L</v>
      </c>
      <c r="J2561">
        <f t="shared" si="238"/>
        <v>0</v>
      </c>
      <c r="K2561">
        <f t="shared" si="239"/>
        <v>1</v>
      </c>
    </row>
    <row r="2562" spans="1:11" x14ac:dyDescent="0.25">
      <c r="A2562" t="s">
        <v>54</v>
      </c>
      <c r="B2562" t="s">
        <v>55</v>
      </c>
      <c r="C2562" t="s">
        <v>50</v>
      </c>
      <c r="D2562" s="6">
        <v>45806</v>
      </c>
      <c r="E2562" t="str">
        <f>VLOOKUP(B2562,'PROCV GERENTES BD'!A:B,2,0)</f>
        <v>CELIO PIMENTA</v>
      </c>
      <c r="F2562" s="4" t="str">
        <f t="shared" ref="F2562:F2625" si="240">YEAR(D2562)&amp;"-"&amp;TEXT(MONTH(D2562),"00")</f>
        <v>2025-05</v>
      </c>
      <c r="G2562" s="18">
        <f t="shared" ref="G2562:G2625" si="241">WEEKNUM(D2562)</f>
        <v>22</v>
      </c>
      <c r="H2562" t="str">
        <f t="shared" ref="H2562:H2625" si="242">E2562</f>
        <v>CELIO PIMENTA</v>
      </c>
      <c r="I2562" t="str">
        <f t="shared" ref="I2562:I2625" si="243">B2562</f>
        <v>WJ CALDEIRARIA INDUSTRIA E COMERCIO LTDA ME</v>
      </c>
      <c r="J2562">
        <f t="shared" ref="J2562:J2625" si="244">IF(OR(C2562="EXCLUSAO  ANOT.INADIMPLENCIA",C2562="INCL/EXCL ANOT.INADIMPLENCIA"),1,0)</f>
        <v>0</v>
      </c>
      <c r="K2562">
        <f t="shared" ref="K2562:K2625" si="245">IF(OR(C2562="INCLUSAO  ANOT.INADIMPLENCIA",C2562="INCL/EXCL ANOT.INADIMPLENCIA"),1,0)</f>
        <v>1</v>
      </c>
    </row>
    <row r="2563" spans="1:11" x14ac:dyDescent="0.25">
      <c r="A2563" t="s">
        <v>387</v>
      </c>
      <c r="B2563" t="s">
        <v>134</v>
      </c>
      <c r="C2563" t="s">
        <v>50</v>
      </c>
      <c r="D2563" s="6">
        <v>45806</v>
      </c>
      <c r="E2563" t="str">
        <f>VLOOKUP(B2563,'PROCV GERENTES BD'!A:B,2,0)</f>
        <v>RAFAEL PARISE</v>
      </c>
      <c r="F2563" s="4" t="str">
        <f t="shared" si="240"/>
        <v>2025-05</v>
      </c>
      <c r="G2563" s="18">
        <f t="shared" si="241"/>
        <v>22</v>
      </c>
      <c r="H2563" t="str">
        <f t="shared" si="242"/>
        <v>RAFAEL PARISE</v>
      </c>
      <c r="I2563" t="str">
        <f t="shared" si="243"/>
        <v>MAIS DISTRIBUIDORA LTDA</v>
      </c>
      <c r="J2563">
        <f t="shared" si="244"/>
        <v>0</v>
      </c>
      <c r="K2563">
        <f t="shared" si="245"/>
        <v>1</v>
      </c>
    </row>
    <row r="2564" spans="1:11" x14ac:dyDescent="0.25">
      <c r="A2564" t="s">
        <v>51</v>
      </c>
      <c r="B2564" t="s">
        <v>52</v>
      </c>
      <c r="C2564" t="s">
        <v>50</v>
      </c>
      <c r="D2564" s="6">
        <v>45806</v>
      </c>
      <c r="E2564" t="str">
        <f>VLOOKUP(B2564,'PROCV GERENTES BD'!A:B,2,0)</f>
        <v>RAFAEL PARISE</v>
      </c>
      <c r="F2564" s="4" t="str">
        <f t="shared" si="240"/>
        <v>2025-05</v>
      </c>
      <c r="G2564" s="18">
        <f t="shared" si="241"/>
        <v>22</v>
      </c>
      <c r="H2564" t="str">
        <f t="shared" si="242"/>
        <v>RAFAEL PARISE</v>
      </c>
      <c r="I2564" t="str">
        <f t="shared" si="243"/>
        <v>TDR TRANSPORTES LOGISTICA LTDA</v>
      </c>
      <c r="J2564">
        <f t="shared" si="244"/>
        <v>0</v>
      </c>
      <c r="K2564">
        <f t="shared" si="245"/>
        <v>1</v>
      </c>
    </row>
    <row r="2565" spans="1:11" x14ac:dyDescent="0.25">
      <c r="A2565" t="s">
        <v>324</v>
      </c>
      <c r="B2565" t="s">
        <v>119</v>
      </c>
      <c r="C2565" t="s">
        <v>66</v>
      </c>
      <c r="D2565" s="6">
        <v>45806</v>
      </c>
      <c r="E2565" t="str">
        <f>VLOOKUP(B2565,'PROCV GERENTES BD'!A:B,2,0)</f>
        <v>PROSPECTAR</v>
      </c>
      <c r="F2565" s="4" t="str">
        <f t="shared" si="240"/>
        <v>2025-05</v>
      </c>
      <c r="G2565" s="18">
        <f t="shared" si="241"/>
        <v>22</v>
      </c>
      <c r="H2565" t="str">
        <f t="shared" si="242"/>
        <v>PROSPECTAR</v>
      </c>
      <c r="I2565" t="str">
        <f t="shared" si="243"/>
        <v>TRANSHENRY TRANSPORTES LTDA</v>
      </c>
      <c r="J2565">
        <f t="shared" si="244"/>
        <v>1</v>
      </c>
      <c r="K2565">
        <f t="shared" si="245"/>
        <v>0</v>
      </c>
    </row>
    <row r="2566" spans="1:11" x14ac:dyDescent="0.25">
      <c r="A2566" t="s">
        <v>373</v>
      </c>
      <c r="B2566" t="s">
        <v>117</v>
      </c>
      <c r="C2566" t="s">
        <v>66</v>
      </c>
      <c r="D2566" s="6">
        <v>45806</v>
      </c>
      <c r="E2566" t="str">
        <f>VLOOKUP(B2566,'PROCV GERENTES BD'!A:B,2,0)</f>
        <v>ADMINISTRAÇÃO</v>
      </c>
      <c r="F2566" s="4" t="str">
        <f t="shared" si="240"/>
        <v>2025-05</v>
      </c>
      <c r="G2566" s="18">
        <f t="shared" si="241"/>
        <v>22</v>
      </c>
      <c r="H2566" t="str">
        <f t="shared" si="242"/>
        <v>ADMINISTRAÇÃO</v>
      </c>
      <c r="I2566" t="str">
        <f t="shared" si="243"/>
        <v>VIVAN TRANSPORTES LTDA</v>
      </c>
      <c r="J2566">
        <f t="shared" si="244"/>
        <v>1</v>
      </c>
      <c r="K2566">
        <f t="shared" si="245"/>
        <v>0</v>
      </c>
    </row>
    <row r="2567" spans="1:11" x14ac:dyDescent="0.25">
      <c r="A2567" t="s">
        <v>529</v>
      </c>
      <c r="B2567" t="s">
        <v>297</v>
      </c>
      <c r="C2567" t="s">
        <v>66</v>
      </c>
      <c r="D2567" s="6">
        <v>45806</v>
      </c>
      <c r="E2567" t="str">
        <f>VLOOKUP(B2567,'PROCV GERENTES BD'!A:B,2,0)</f>
        <v>ANDRE CUNHA</v>
      </c>
      <c r="F2567" s="4" t="str">
        <f t="shared" si="240"/>
        <v>2025-05</v>
      </c>
      <c r="G2567" s="18">
        <f t="shared" si="241"/>
        <v>22</v>
      </c>
      <c r="H2567" t="str">
        <f t="shared" si="242"/>
        <v>ANDRE CUNHA</v>
      </c>
      <c r="I2567" t="str">
        <f t="shared" si="243"/>
        <v>REVPACK TECNOLOGIA E COMERCIO DE COMPONENTES PLAST</v>
      </c>
      <c r="J2567">
        <f t="shared" si="244"/>
        <v>1</v>
      </c>
      <c r="K2567">
        <f t="shared" si="245"/>
        <v>0</v>
      </c>
    </row>
    <row r="2568" spans="1:11" x14ac:dyDescent="0.25">
      <c r="A2568" t="s">
        <v>56</v>
      </c>
      <c r="B2568" t="s">
        <v>57</v>
      </c>
      <c r="C2568" t="s">
        <v>50</v>
      </c>
      <c r="D2568" s="6">
        <v>45806</v>
      </c>
      <c r="E2568" t="str">
        <f>VLOOKUP(B2568,'PROCV GERENTES BD'!A:B,2,0)</f>
        <v xml:space="preserve">ROGERIO </v>
      </c>
      <c r="F2568" s="4" t="str">
        <f t="shared" si="240"/>
        <v>2025-05</v>
      </c>
      <c r="G2568" s="18">
        <f t="shared" si="241"/>
        <v>22</v>
      </c>
      <c r="H2568" t="str">
        <f t="shared" si="242"/>
        <v xml:space="preserve">ROGERIO </v>
      </c>
      <c r="I2568" t="str">
        <f t="shared" si="243"/>
        <v>RODOVIEIRA TRANSPORTE LTDA</v>
      </c>
      <c r="J2568">
        <f t="shared" si="244"/>
        <v>0</v>
      </c>
      <c r="K2568">
        <f t="shared" si="245"/>
        <v>1</v>
      </c>
    </row>
    <row r="2569" spans="1:11" x14ac:dyDescent="0.25">
      <c r="A2569" t="s">
        <v>510</v>
      </c>
      <c r="B2569" t="s">
        <v>273</v>
      </c>
      <c r="C2569" t="s">
        <v>50</v>
      </c>
      <c r="D2569" s="6">
        <v>45804</v>
      </c>
      <c r="E2569" t="str">
        <f>VLOOKUP(B2569,'PROCV GERENTES BD'!A:B,2,0)</f>
        <v>CELIO PIMENTA</v>
      </c>
      <c r="F2569" s="4" t="str">
        <f t="shared" si="240"/>
        <v>2025-05</v>
      </c>
      <c r="G2569" s="18">
        <f t="shared" si="241"/>
        <v>22</v>
      </c>
      <c r="H2569" t="str">
        <f t="shared" si="242"/>
        <v>CELIO PIMENTA</v>
      </c>
      <c r="I2569" t="str">
        <f t="shared" si="243"/>
        <v>PRADO MOREIRA TEXTIL LTDA ME</v>
      </c>
      <c r="J2569">
        <f t="shared" si="244"/>
        <v>0</v>
      </c>
      <c r="K2569">
        <f t="shared" si="245"/>
        <v>1</v>
      </c>
    </row>
    <row r="2570" spans="1:11" x14ac:dyDescent="0.25">
      <c r="A2570" t="s">
        <v>415</v>
      </c>
      <c r="B2570" t="s">
        <v>165</v>
      </c>
      <c r="C2570" t="s">
        <v>50</v>
      </c>
      <c r="D2570" s="6">
        <v>45807</v>
      </c>
      <c r="E2570" t="str">
        <f>VLOOKUP(B2570,'PROCV GERENTES BD'!A:B,2,0)</f>
        <v>PROSPECTAR</v>
      </c>
      <c r="F2570" s="4" t="str">
        <f t="shared" si="240"/>
        <v>2025-05</v>
      </c>
      <c r="G2570" s="18">
        <f t="shared" si="241"/>
        <v>22</v>
      </c>
      <c r="H2570" t="str">
        <f t="shared" si="242"/>
        <v>PROSPECTAR</v>
      </c>
      <c r="I2570" t="str">
        <f t="shared" si="243"/>
        <v>STA SERVICOS LTDA</v>
      </c>
      <c r="J2570">
        <f t="shared" si="244"/>
        <v>0</v>
      </c>
      <c r="K2570">
        <f t="shared" si="245"/>
        <v>1</v>
      </c>
    </row>
    <row r="2571" spans="1:11" x14ac:dyDescent="0.25">
      <c r="A2571" t="s">
        <v>524</v>
      </c>
      <c r="B2571" t="s">
        <v>289</v>
      </c>
      <c r="C2571" t="s">
        <v>66</v>
      </c>
      <c r="D2571" s="6">
        <v>45807</v>
      </c>
      <c r="E2571" t="str">
        <f>VLOOKUP(B2571,'PROCV GERENTES BD'!A:B,2,0)</f>
        <v>DALVA</v>
      </c>
      <c r="F2571" s="4" t="str">
        <f t="shared" si="240"/>
        <v>2025-05</v>
      </c>
      <c r="G2571" s="18">
        <f t="shared" si="241"/>
        <v>22</v>
      </c>
      <c r="H2571" t="str">
        <f t="shared" si="242"/>
        <v>DALVA</v>
      </c>
      <c r="I2571" t="str">
        <f t="shared" si="243"/>
        <v>FRAITECH INTELIGENCIA EM AUTOMACAO LTDA</v>
      </c>
      <c r="J2571">
        <f t="shared" si="244"/>
        <v>1</v>
      </c>
      <c r="K2571">
        <f t="shared" si="245"/>
        <v>0</v>
      </c>
    </row>
    <row r="2572" spans="1:11" x14ac:dyDescent="0.25">
      <c r="A2572" t="s">
        <v>51</v>
      </c>
      <c r="B2572" t="s">
        <v>52</v>
      </c>
      <c r="C2572" t="s">
        <v>66</v>
      </c>
      <c r="D2572" s="6">
        <v>45807</v>
      </c>
      <c r="E2572" t="str">
        <f>VLOOKUP(B2572,'PROCV GERENTES BD'!A:B,2,0)</f>
        <v>RAFAEL PARISE</v>
      </c>
      <c r="F2572" s="4" t="str">
        <f t="shared" si="240"/>
        <v>2025-05</v>
      </c>
      <c r="G2572" s="18">
        <f t="shared" si="241"/>
        <v>22</v>
      </c>
      <c r="H2572" t="str">
        <f t="shared" si="242"/>
        <v>RAFAEL PARISE</v>
      </c>
      <c r="I2572" t="str">
        <f t="shared" si="243"/>
        <v>TDR TRANSPORTES LOGISTICA LTDA</v>
      </c>
      <c r="J2572">
        <f t="shared" si="244"/>
        <v>1</v>
      </c>
      <c r="K2572">
        <f t="shared" si="245"/>
        <v>0</v>
      </c>
    </row>
    <row r="2573" spans="1:11" x14ac:dyDescent="0.25">
      <c r="A2573" t="s">
        <v>528</v>
      </c>
      <c r="B2573" t="s">
        <v>296</v>
      </c>
      <c r="C2573" t="s">
        <v>66</v>
      </c>
      <c r="D2573" s="6">
        <v>45807</v>
      </c>
      <c r="E2573" t="str">
        <f>VLOOKUP(B2573,'PROCV GERENTES BD'!A:B,2,0)</f>
        <v>CAIO</v>
      </c>
      <c r="F2573" s="4" t="str">
        <f t="shared" si="240"/>
        <v>2025-05</v>
      </c>
      <c r="G2573" s="18">
        <f t="shared" si="241"/>
        <v>22</v>
      </c>
      <c r="H2573" t="str">
        <f t="shared" si="242"/>
        <v>CAIO</v>
      </c>
      <c r="I2573" t="str">
        <f t="shared" si="243"/>
        <v>TERRA PECAS GENUINAS LTDA EPP</v>
      </c>
      <c r="J2573">
        <f t="shared" si="244"/>
        <v>1</v>
      </c>
      <c r="K2573">
        <f t="shared" si="245"/>
        <v>0</v>
      </c>
    </row>
    <row r="2574" spans="1:11" x14ac:dyDescent="0.25">
      <c r="A2574" t="s">
        <v>387</v>
      </c>
      <c r="B2574" t="s">
        <v>134</v>
      </c>
      <c r="C2574" t="s">
        <v>53</v>
      </c>
      <c r="D2574" s="6">
        <v>45807</v>
      </c>
      <c r="E2574" t="str">
        <f>VLOOKUP(B2574,'PROCV GERENTES BD'!A:B,2,0)</f>
        <v>RAFAEL PARISE</v>
      </c>
      <c r="F2574" s="4" t="str">
        <f t="shared" si="240"/>
        <v>2025-05</v>
      </c>
      <c r="G2574" s="18">
        <f t="shared" si="241"/>
        <v>22</v>
      </c>
      <c r="H2574" t="str">
        <f t="shared" si="242"/>
        <v>RAFAEL PARISE</v>
      </c>
      <c r="I2574" t="str">
        <f t="shared" si="243"/>
        <v>MAIS DISTRIBUIDORA LTDA</v>
      </c>
      <c r="J2574">
        <f t="shared" si="244"/>
        <v>1</v>
      </c>
      <c r="K2574">
        <f t="shared" si="245"/>
        <v>1</v>
      </c>
    </row>
    <row r="2575" spans="1:11" x14ac:dyDescent="0.25">
      <c r="A2575" t="s">
        <v>319</v>
      </c>
      <c r="B2575" t="s">
        <v>80</v>
      </c>
      <c r="C2575" t="s">
        <v>50</v>
      </c>
      <c r="D2575" s="6">
        <v>45807</v>
      </c>
      <c r="E2575" t="str">
        <f>VLOOKUP(B2575,'PROCV GERENTES BD'!A:B,2,0)</f>
        <v>CELIO PIMENTA</v>
      </c>
      <c r="F2575" s="4" t="str">
        <f t="shared" si="240"/>
        <v>2025-05</v>
      </c>
      <c r="G2575" s="18">
        <f t="shared" si="241"/>
        <v>22</v>
      </c>
      <c r="H2575" t="str">
        <f t="shared" si="242"/>
        <v>CELIO PIMENTA</v>
      </c>
      <c r="I2575" t="str">
        <f t="shared" si="243"/>
        <v>IMPORTEXTIL COMERCIO DE TECIDOS LTDA</v>
      </c>
      <c r="J2575">
        <f t="shared" si="244"/>
        <v>0</v>
      </c>
      <c r="K2575">
        <f t="shared" si="245"/>
        <v>1</v>
      </c>
    </row>
    <row r="2576" spans="1:11" x14ac:dyDescent="0.25">
      <c r="A2576" t="s">
        <v>372</v>
      </c>
      <c r="B2576" t="s">
        <v>116</v>
      </c>
      <c r="C2576" t="s">
        <v>66</v>
      </c>
      <c r="D2576" s="6">
        <v>45807</v>
      </c>
      <c r="E2576" t="str">
        <f>VLOOKUP(B2576,'PROCV GERENTES BD'!A:B,2,0)</f>
        <v>ADMINISTRAÇÃO</v>
      </c>
      <c r="F2576" s="4" t="str">
        <f t="shared" si="240"/>
        <v>2025-05</v>
      </c>
      <c r="G2576" s="18">
        <f t="shared" si="241"/>
        <v>22</v>
      </c>
      <c r="H2576" t="str">
        <f t="shared" si="242"/>
        <v>ADMINISTRAÇÃO</v>
      </c>
      <c r="I2576" t="str">
        <f t="shared" si="243"/>
        <v>PREMOLDADOS MATOSINHOS LTDA EPP</v>
      </c>
      <c r="J2576">
        <f t="shared" si="244"/>
        <v>1</v>
      </c>
      <c r="K2576">
        <f t="shared" si="245"/>
        <v>0</v>
      </c>
    </row>
    <row r="2577" spans="1:11" x14ac:dyDescent="0.25">
      <c r="A2577" t="s">
        <v>64</v>
      </c>
      <c r="B2577" t="s">
        <v>65</v>
      </c>
      <c r="C2577" t="s">
        <v>50</v>
      </c>
      <c r="D2577" s="6">
        <v>45807</v>
      </c>
      <c r="E2577" t="str">
        <f>VLOOKUP(B2577,'PROCV GERENTES BD'!A:B,2,0)</f>
        <v>ADMINISTRAÇÃO</v>
      </c>
      <c r="F2577" s="4" t="str">
        <f t="shared" si="240"/>
        <v>2025-05</v>
      </c>
      <c r="G2577" s="18">
        <f t="shared" si="241"/>
        <v>22</v>
      </c>
      <c r="H2577" t="str">
        <f t="shared" si="242"/>
        <v>ADMINISTRAÇÃO</v>
      </c>
      <c r="I2577" t="str">
        <f t="shared" si="243"/>
        <v>SOCIAL S/A</v>
      </c>
      <c r="J2577">
        <f t="shared" si="244"/>
        <v>0</v>
      </c>
      <c r="K2577">
        <f t="shared" si="245"/>
        <v>1</v>
      </c>
    </row>
    <row r="2578" spans="1:11" x14ac:dyDescent="0.25">
      <c r="A2578" t="s">
        <v>518</v>
      </c>
      <c r="B2578" t="s">
        <v>282</v>
      </c>
      <c r="C2578" t="s">
        <v>66</v>
      </c>
      <c r="D2578" s="6">
        <v>45807</v>
      </c>
      <c r="E2578" t="str">
        <f>VLOOKUP(B2578,'PROCV GERENTES BD'!A:B,2,0)</f>
        <v>ANTECIPA</v>
      </c>
      <c r="F2578" s="4" t="str">
        <f t="shared" si="240"/>
        <v>2025-05</v>
      </c>
      <c r="G2578" s="18">
        <f t="shared" si="241"/>
        <v>22</v>
      </c>
      <c r="H2578" t="str">
        <f t="shared" si="242"/>
        <v>ANTECIPA</v>
      </c>
      <c r="I2578" t="str">
        <f t="shared" si="243"/>
        <v>CENTRAL DE SUPRIMENTOS INDUSTRIAIS LTDA EPP</v>
      </c>
      <c r="J2578">
        <f t="shared" si="244"/>
        <v>1</v>
      </c>
      <c r="K2578">
        <f t="shared" si="245"/>
        <v>0</v>
      </c>
    </row>
    <row r="2579" spans="1:11" x14ac:dyDescent="0.25">
      <c r="A2579" t="s">
        <v>370</v>
      </c>
      <c r="B2579" t="s">
        <v>114</v>
      </c>
      <c r="C2579" t="s">
        <v>66</v>
      </c>
      <c r="D2579" s="6">
        <v>45807</v>
      </c>
      <c r="E2579" t="str">
        <f>VLOOKUP(B2579,'PROCV GERENTES BD'!A:B,2,0)</f>
        <v>POENATELA</v>
      </c>
      <c r="F2579" s="4" t="str">
        <f t="shared" si="240"/>
        <v>2025-05</v>
      </c>
      <c r="G2579" s="18">
        <f t="shared" si="241"/>
        <v>22</v>
      </c>
      <c r="H2579" t="str">
        <f t="shared" si="242"/>
        <v>POENATELA</v>
      </c>
      <c r="I2579" t="str">
        <f t="shared" si="243"/>
        <v>COOPERATIVA TRANSP AUTON CARGAS PASSAG SERVICOS LO</v>
      </c>
      <c r="J2579">
        <f t="shared" si="244"/>
        <v>1</v>
      </c>
      <c r="K2579">
        <f t="shared" si="245"/>
        <v>0</v>
      </c>
    </row>
    <row r="2580" spans="1:11" x14ac:dyDescent="0.25">
      <c r="A2580" t="s">
        <v>466</v>
      </c>
      <c r="B2580" t="s">
        <v>223</v>
      </c>
      <c r="C2580" t="s">
        <v>50</v>
      </c>
      <c r="D2580" s="6">
        <v>45808</v>
      </c>
      <c r="E2580" t="str">
        <f>VLOOKUP(B2580,'PROCV GERENTES BD'!A:B,2,0)</f>
        <v>CELIO PIMENTA</v>
      </c>
      <c r="F2580" s="4" t="str">
        <f t="shared" si="240"/>
        <v>2025-05</v>
      </c>
      <c r="G2580" s="18">
        <f t="shared" si="241"/>
        <v>22</v>
      </c>
      <c r="H2580" t="str">
        <f t="shared" si="242"/>
        <v>CELIO PIMENTA</v>
      </c>
      <c r="I2580" t="str">
        <f t="shared" si="243"/>
        <v>ACO X LTDA ME</v>
      </c>
      <c r="J2580">
        <f t="shared" si="244"/>
        <v>0</v>
      </c>
      <c r="K2580">
        <f t="shared" si="245"/>
        <v>1</v>
      </c>
    </row>
    <row r="2581" spans="1:11" x14ac:dyDescent="0.25">
      <c r="A2581" t="s">
        <v>72</v>
      </c>
      <c r="B2581" t="s">
        <v>73</v>
      </c>
      <c r="C2581" t="s">
        <v>50</v>
      </c>
      <c r="D2581" s="6">
        <v>45808</v>
      </c>
      <c r="E2581" t="str">
        <f>VLOOKUP(B2581,'PROCV GERENTES BD'!A:B,2,0)</f>
        <v>NOELI SALETE</v>
      </c>
      <c r="F2581" s="4" t="str">
        <f t="shared" si="240"/>
        <v>2025-05</v>
      </c>
      <c r="G2581" s="18">
        <f t="shared" si="241"/>
        <v>22</v>
      </c>
      <c r="H2581" t="str">
        <f t="shared" si="242"/>
        <v>NOELI SALETE</v>
      </c>
      <c r="I2581" t="str">
        <f t="shared" si="243"/>
        <v>SMARTCENTER SOLUCOES INTELIGENTES LTDA ME</v>
      </c>
      <c r="J2581">
        <f t="shared" si="244"/>
        <v>0</v>
      </c>
      <c r="K2581">
        <f t="shared" si="245"/>
        <v>1</v>
      </c>
    </row>
    <row r="2582" spans="1:11" x14ac:dyDescent="0.25">
      <c r="A2582" t="s">
        <v>64</v>
      </c>
      <c r="B2582" t="s">
        <v>65</v>
      </c>
      <c r="C2582" t="s">
        <v>53</v>
      </c>
      <c r="D2582" s="6">
        <v>45808</v>
      </c>
      <c r="E2582" t="str">
        <f>VLOOKUP(B2582,'PROCV GERENTES BD'!A:B,2,0)</f>
        <v>ADMINISTRAÇÃO</v>
      </c>
      <c r="F2582" s="4" t="str">
        <f t="shared" si="240"/>
        <v>2025-05</v>
      </c>
      <c r="G2582" s="18">
        <f t="shared" si="241"/>
        <v>22</v>
      </c>
      <c r="H2582" t="str">
        <f t="shared" si="242"/>
        <v>ADMINISTRAÇÃO</v>
      </c>
      <c r="I2582" t="str">
        <f t="shared" si="243"/>
        <v>SOCIAL S/A</v>
      </c>
      <c r="J2582">
        <f t="shared" si="244"/>
        <v>1</v>
      </c>
      <c r="K2582">
        <f t="shared" si="245"/>
        <v>1</v>
      </c>
    </row>
    <row r="2583" spans="1:11" x14ac:dyDescent="0.25">
      <c r="A2583" t="s">
        <v>62</v>
      </c>
      <c r="B2583" t="s">
        <v>63</v>
      </c>
      <c r="C2583" t="s">
        <v>50</v>
      </c>
      <c r="D2583" s="6">
        <v>45808</v>
      </c>
      <c r="E2583" t="str">
        <f>VLOOKUP(B2583,'PROCV GERENTES BD'!A:B,2,0)</f>
        <v>PROSPECTAR</v>
      </c>
      <c r="F2583" s="4" t="str">
        <f t="shared" si="240"/>
        <v>2025-05</v>
      </c>
      <c r="G2583" s="18">
        <f t="shared" si="241"/>
        <v>22</v>
      </c>
      <c r="H2583" t="str">
        <f t="shared" si="242"/>
        <v>PROSPECTAR</v>
      </c>
      <c r="I2583" t="str">
        <f t="shared" si="243"/>
        <v>MAPP COM IMPORTACAO EXPORTACAO IND PRODUTOS ALIMEN</v>
      </c>
      <c r="J2583">
        <f t="shared" si="244"/>
        <v>0</v>
      </c>
      <c r="K2583">
        <f t="shared" si="245"/>
        <v>1</v>
      </c>
    </row>
    <row r="2584" spans="1:11" x14ac:dyDescent="0.25">
      <c r="A2584" t="s">
        <v>60</v>
      </c>
      <c r="B2584" t="s">
        <v>61</v>
      </c>
      <c r="C2584" t="s">
        <v>50</v>
      </c>
      <c r="D2584" s="6">
        <v>45808</v>
      </c>
      <c r="E2584" t="str">
        <f>VLOOKUP(B2584,'PROCV GERENTES BD'!A:B,2,0)</f>
        <v xml:space="preserve">MARCUS VINICIUS </v>
      </c>
      <c r="F2584" s="4" t="str">
        <f t="shared" si="240"/>
        <v>2025-05</v>
      </c>
      <c r="G2584" s="18">
        <f t="shared" si="241"/>
        <v>22</v>
      </c>
      <c r="H2584" t="str">
        <f t="shared" si="242"/>
        <v xml:space="preserve">MARCUS VINICIUS </v>
      </c>
      <c r="I2584" t="str">
        <f t="shared" si="243"/>
        <v>COM IND DE CEREAIS E TRANSPORTES MACIEL LTDA</v>
      </c>
      <c r="J2584">
        <f t="shared" si="244"/>
        <v>0</v>
      </c>
      <c r="K2584">
        <f t="shared" si="245"/>
        <v>1</v>
      </c>
    </row>
    <row r="2585" spans="1:11" x14ac:dyDescent="0.25">
      <c r="A2585" t="s">
        <v>353</v>
      </c>
      <c r="B2585" t="s">
        <v>97</v>
      </c>
      <c r="C2585" t="s">
        <v>50</v>
      </c>
      <c r="D2585" s="6">
        <v>45808</v>
      </c>
      <c r="E2585" t="str">
        <f>VLOOKUP(B2585,'PROCV GERENTES BD'!A:B,2,0)</f>
        <v>PRISCILA METZ</v>
      </c>
      <c r="F2585" s="4" t="str">
        <f t="shared" si="240"/>
        <v>2025-05</v>
      </c>
      <c r="G2585" s="18">
        <f t="shared" si="241"/>
        <v>22</v>
      </c>
      <c r="H2585" t="str">
        <f t="shared" si="242"/>
        <v>PRISCILA METZ</v>
      </c>
      <c r="I2585" t="str">
        <f t="shared" si="243"/>
        <v>ESSENZA INDUSTRIA QUIMICA LTDA</v>
      </c>
      <c r="J2585">
        <f t="shared" si="244"/>
        <v>0</v>
      </c>
      <c r="K2585">
        <f t="shared" si="245"/>
        <v>1</v>
      </c>
    </row>
    <row r="2586" spans="1:11" x14ac:dyDescent="0.25">
      <c r="A2586" t="s">
        <v>318</v>
      </c>
      <c r="B2586" t="s">
        <v>203</v>
      </c>
      <c r="C2586" t="s">
        <v>50</v>
      </c>
      <c r="D2586" s="6">
        <v>45808</v>
      </c>
      <c r="E2586" t="str">
        <f>VLOOKUP(B2586,'PROCV GERENTES BD'!A:B,2,0)</f>
        <v>JOSE ROBERTO</v>
      </c>
      <c r="F2586" s="4" t="str">
        <f t="shared" si="240"/>
        <v>2025-05</v>
      </c>
      <c r="G2586" s="18">
        <f t="shared" si="241"/>
        <v>22</v>
      </c>
      <c r="H2586" t="str">
        <f t="shared" si="242"/>
        <v>JOSE ROBERTO</v>
      </c>
      <c r="I2586" t="str">
        <f t="shared" si="243"/>
        <v>FUNDACAO DE ENSINO E PESQUISA DO SUL DE MINAS FEPE</v>
      </c>
      <c r="J2586">
        <f t="shared" si="244"/>
        <v>0</v>
      </c>
      <c r="K2586">
        <f t="shared" si="245"/>
        <v>1</v>
      </c>
    </row>
    <row r="2587" spans="1:11" x14ac:dyDescent="0.25">
      <c r="A2587" t="s">
        <v>58</v>
      </c>
      <c r="B2587" t="s">
        <v>59</v>
      </c>
      <c r="C2587" t="s">
        <v>66</v>
      </c>
      <c r="D2587" s="6">
        <v>45808</v>
      </c>
      <c r="E2587" t="str">
        <f>VLOOKUP(B2587,'PROCV GERENTES BD'!A:B,2,0)</f>
        <v>ADMINISTRAÇÃO</v>
      </c>
      <c r="F2587" s="4" t="str">
        <f t="shared" si="240"/>
        <v>2025-05</v>
      </c>
      <c r="G2587" s="18">
        <f t="shared" si="241"/>
        <v>22</v>
      </c>
      <c r="H2587" t="str">
        <f t="shared" si="242"/>
        <v>ADMINISTRAÇÃO</v>
      </c>
      <c r="I2587" t="str">
        <f t="shared" si="243"/>
        <v>BIOTECH LOGISTICA LTDA</v>
      </c>
      <c r="J2587">
        <f t="shared" si="244"/>
        <v>1</v>
      </c>
      <c r="K2587">
        <f t="shared" si="245"/>
        <v>0</v>
      </c>
    </row>
    <row r="2588" spans="1:11" x14ac:dyDescent="0.25">
      <c r="A2588" t="s">
        <v>319</v>
      </c>
      <c r="B2588" t="s">
        <v>80</v>
      </c>
      <c r="C2588" t="s">
        <v>50</v>
      </c>
      <c r="D2588" s="6">
        <v>45808</v>
      </c>
      <c r="E2588" t="str">
        <f>VLOOKUP(B2588,'PROCV GERENTES BD'!A:B,2,0)</f>
        <v>CELIO PIMENTA</v>
      </c>
      <c r="F2588" s="4" t="str">
        <f t="shared" si="240"/>
        <v>2025-05</v>
      </c>
      <c r="G2588" s="18">
        <f t="shared" si="241"/>
        <v>22</v>
      </c>
      <c r="H2588" t="str">
        <f t="shared" si="242"/>
        <v>CELIO PIMENTA</v>
      </c>
      <c r="I2588" t="str">
        <f t="shared" si="243"/>
        <v>IMPORTEXTIL COMERCIO DE TECIDOS LTDA</v>
      </c>
      <c r="J2588">
        <f t="shared" si="244"/>
        <v>0</v>
      </c>
      <c r="K2588">
        <f t="shared" si="245"/>
        <v>1</v>
      </c>
    </row>
    <row r="2589" spans="1:11" x14ac:dyDescent="0.25">
      <c r="A2589" t="s">
        <v>527</v>
      </c>
      <c r="B2589" t="s">
        <v>295</v>
      </c>
      <c r="C2589" t="s">
        <v>66</v>
      </c>
      <c r="D2589" s="6">
        <v>45808</v>
      </c>
      <c r="E2589" t="str">
        <f>VLOOKUP(B2589,'PROCV GERENTES BD'!A:B,2,0)</f>
        <v>PRISCILA METZ</v>
      </c>
      <c r="F2589" s="4" t="str">
        <f t="shared" si="240"/>
        <v>2025-05</v>
      </c>
      <c r="G2589" s="18">
        <f t="shared" si="241"/>
        <v>22</v>
      </c>
      <c r="H2589" t="str">
        <f t="shared" si="242"/>
        <v>PRISCILA METZ</v>
      </c>
      <c r="I2589" t="str">
        <f t="shared" si="243"/>
        <v>BETEL UNIFORMES PROFISSIONAIS LTDA ME</v>
      </c>
      <c r="J2589">
        <f t="shared" si="244"/>
        <v>1</v>
      </c>
      <c r="K2589">
        <f t="shared" si="245"/>
        <v>0</v>
      </c>
    </row>
    <row r="2590" spans="1:11" x14ac:dyDescent="0.25">
      <c r="A2590" t="s">
        <v>322</v>
      </c>
      <c r="B2590" t="s">
        <v>294</v>
      </c>
      <c r="C2590" t="s">
        <v>66</v>
      </c>
      <c r="D2590" s="6">
        <v>45808</v>
      </c>
      <c r="E2590" t="str">
        <f>VLOOKUP(B2590,'PROCV GERENTES BD'!A:B,2,0)</f>
        <v>CAIO</v>
      </c>
      <c r="F2590" s="4" t="str">
        <f t="shared" si="240"/>
        <v>2025-05</v>
      </c>
      <c r="G2590" s="18">
        <f t="shared" si="241"/>
        <v>22</v>
      </c>
      <c r="H2590" t="str">
        <f t="shared" si="242"/>
        <v>CAIO</v>
      </c>
      <c r="I2590" t="str">
        <f t="shared" si="243"/>
        <v>LAF COMERCIAL LTDA ME</v>
      </c>
      <c r="J2590">
        <f t="shared" si="244"/>
        <v>1</v>
      </c>
      <c r="K2590">
        <f t="shared" si="245"/>
        <v>0</v>
      </c>
    </row>
    <row r="2591" spans="1:11" x14ac:dyDescent="0.25">
      <c r="A2591" t="s">
        <v>387</v>
      </c>
      <c r="B2591" t="s">
        <v>134</v>
      </c>
      <c r="C2591" t="s">
        <v>66</v>
      </c>
      <c r="D2591" s="6">
        <v>45808</v>
      </c>
      <c r="E2591" t="str">
        <f>VLOOKUP(B2591,'PROCV GERENTES BD'!A:B,2,0)</f>
        <v>RAFAEL PARISE</v>
      </c>
      <c r="F2591" s="4" t="str">
        <f t="shared" si="240"/>
        <v>2025-05</v>
      </c>
      <c r="G2591" s="18">
        <f t="shared" si="241"/>
        <v>22</v>
      </c>
      <c r="H2591" t="str">
        <f t="shared" si="242"/>
        <v>RAFAEL PARISE</v>
      </c>
      <c r="I2591" t="str">
        <f t="shared" si="243"/>
        <v>MAIS DISTRIBUIDORA LTDA</v>
      </c>
      <c r="J2591">
        <f t="shared" si="244"/>
        <v>1</v>
      </c>
      <c r="K2591">
        <f t="shared" si="245"/>
        <v>0</v>
      </c>
    </row>
    <row r="2592" spans="1:11" x14ac:dyDescent="0.25">
      <c r="A2592" t="s">
        <v>51</v>
      </c>
      <c r="B2592" t="s">
        <v>52</v>
      </c>
      <c r="C2592" t="s">
        <v>53</v>
      </c>
      <c r="D2592" s="6">
        <v>45808</v>
      </c>
      <c r="E2592" t="str">
        <f>VLOOKUP(B2592,'PROCV GERENTES BD'!A:B,2,0)</f>
        <v>RAFAEL PARISE</v>
      </c>
      <c r="F2592" s="4" t="str">
        <f t="shared" si="240"/>
        <v>2025-05</v>
      </c>
      <c r="G2592" s="18">
        <f t="shared" si="241"/>
        <v>22</v>
      </c>
      <c r="H2592" t="str">
        <f t="shared" si="242"/>
        <v>RAFAEL PARISE</v>
      </c>
      <c r="I2592" t="str">
        <f t="shared" si="243"/>
        <v>TDR TRANSPORTES LOGISTICA LTDA</v>
      </c>
      <c r="J2592">
        <f t="shared" si="244"/>
        <v>1</v>
      </c>
      <c r="K2592">
        <f t="shared" si="245"/>
        <v>1</v>
      </c>
    </row>
    <row r="2593" spans="1:11" x14ac:dyDescent="0.25">
      <c r="A2593" t="s">
        <v>531</v>
      </c>
      <c r="B2593" t="s">
        <v>299</v>
      </c>
      <c r="C2593" t="s">
        <v>50</v>
      </c>
      <c r="D2593" s="6">
        <v>45808</v>
      </c>
      <c r="E2593" t="str">
        <f>VLOOKUP(B2593,'PROCV GERENTES BD'!A:B,2,0)</f>
        <v>RAFAEL PARISE</v>
      </c>
      <c r="F2593" s="4" t="str">
        <f t="shared" si="240"/>
        <v>2025-05</v>
      </c>
      <c r="G2593" s="18">
        <f t="shared" si="241"/>
        <v>22</v>
      </c>
      <c r="H2593" t="str">
        <f t="shared" si="242"/>
        <v>RAFAEL PARISE</v>
      </c>
      <c r="I2593" t="str">
        <f t="shared" si="243"/>
        <v>GAMA COMERCIO E TRANSPORTES LTDA EPP</v>
      </c>
      <c r="J2593">
        <f t="shared" si="244"/>
        <v>0</v>
      </c>
      <c r="K2593">
        <f t="shared" si="245"/>
        <v>1</v>
      </c>
    </row>
    <row r="2594" spans="1:11" x14ac:dyDescent="0.25">
      <c r="A2594" t="s">
        <v>324</v>
      </c>
      <c r="B2594" t="s">
        <v>119</v>
      </c>
      <c r="C2594" t="s">
        <v>53</v>
      </c>
      <c r="D2594" s="6">
        <v>45808</v>
      </c>
      <c r="E2594" t="str">
        <f>VLOOKUP(B2594,'PROCV GERENTES BD'!A:B,2,0)</f>
        <v>PROSPECTAR</v>
      </c>
      <c r="F2594" s="4" t="str">
        <f t="shared" si="240"/>
        <v>2025-05</v>
      </c>
      <c r="G2594" s="18">
        <f t="shared" si="241"/>
        <v>22</v>
      </c>
      <c r="H2594" t="str">
        <f t="shared" si="242"/>
        <v>PROSPECTAR</v>
      </c>
      <c r="I2594" t="str">
        <f t="shared" si="243"/>
        <v>TRANSHENRY TRANSPORTES LTDA</v>
      </c>
      <c r="J2594">
        <f t="shared" si="244"/>
        <v>1</v>
      </c>
      <c r="K2594">
        <f t="shared" si="245"/>
        <v>1</v>
      </c>
    </row>
    <row r="2595" spans="1:11" x14ac:dyDescent="0.25">
      <c r="A2595" t="s">
        <v>524</v>
      </c>
      <c r="B2595" t="s">
        <v>289</v>
      </c>
      <c r="C2595" t="s">
        <v>66</v>
      </c>
      <c r="D2595" s="6">
        <v>45808</v>
      </c>
      <c r="E2595" t="str">
        <f>VLOOKUP(B2595,'PROCV GERENTES BD'!A:B,2,0)</f>
        <v>DALVA</v>
      </c>
      <c r="F2595" s="4" t="str">
        <f t="shared" si="240"/>
        <v>2025-05</v>
      </c>
      <c r="G2595" s="18">
        <f t="shared" si="241"/>
        <v>22</v>
      </c>
      <c r="H2595" t="str">
        <f t="shared" si="242"/>
        <v>DALVA</v>
      </c>
      <c r="I2595" t="str">
        <f t="shared" si="243"/>
        <v>FRAITECH INTELIGENCIA EM AUTOMACAO LTDA</v>
      </c>
      <c r="J2595">
        <f t="shared" si="244"/>
        <v>1</v>
      </c>
      <c r="K2595">
        <f t="shared" si="245"/>
        <v>0</v>
      </c>
    </row>
    <row r="2596" spans="1:11" x14ac:dyDescent="0.25">
      <c r="A2596" t="s">
        <v>523</v>
      </c>
      <c r="B2596" t="s">
        <v>288</v>
      </c>
      <c r="C2596" t="s">
        <v>50</v>
      </c>
      <c r="D2596" s="6">
        <v>45808</v>
      </c>
      <c r="E2596" t="str">
        <f>VLOOKUP(B2596,'PROCV GERENTES BD'!A:B,2,0)</f>
        <v>ADMINISTRAÇÃO</v>
      </c>
      <c r="F2596" s="4" t="str">
        <f t="shared" si="240"/>
        <v>2025-05</v>
      </c>
      <c r="G2596" s="18">
        <f t="shared" si="241"/>
        <v>22</v>
      </c>
      <c r="H2596" t="str">
        <f t="shared" si="242"/>
        <v>ADMINISTRAÇÃO</v>
      </c>
      <c r="I2596" t="str">
        <f t="shared" si="243"/>
        <v>REFRACONT BRASIL LTDA</v>
      </c>
      <c r="J2596">
        <f t="shared" si="244"/>
        <v>0</v>
      </c>
      <c r="K2596">
        <f t="shared" si="245"/>
        <v>1</v>
      </c>
    </row>
    <row r="2597" spans="1:11" x14ac:dyDescent="0.25">
      <c r="A2597" t="s">
        <v>375</v>
      </c>
      <c r="B2597" t="s">
        <v>120</v>
      </c>
      <c r="C2597" t="s">
        <v>66</v>
      </c>
      <c r="D2597" s="6">
        <v>45808</v>
      </c>
      <c r="E2597" t="str">
        <f>VLOOKUP(B2597,'PROCV GERENTES BD'!A:B,2,0)</f>
        <v>ADMINISTRAÇÃO</v>
      </c>
      <c r="F2597" s="4" t="str">
        <f t="shared" si="240"/>
        <v>2025-05</v>
      </c>
      <c r="G2597" s="18">
        <f t="shared" si="241"/>
        <v>22</v>
      </c>
      <c r="H2597" t="str">
        <f t="shared" si="242"/>
        <v>ADMINISTRAÇÃO</v>
      </c>
      <c r="I2597" t="str">
        <f t="shared" si="243"/>
        <v>FARINELLI NUTRIMENTOS LTDA</v>
      </c>
      <c r="J2597">
        <f t="shared" si="244"/>
        <v>1</v>
      </c>
      <c r="K2597">
        <f t="shared" si="245"/>
        <v>0</v>
      </c>
    </row>
    <row r="2598" spans="1:11" x14ac:dyDescent="0.25">
      <c r="A2598" t="s">
        <v>498</v>
      </c>
      <c r="B2598" t="s">
        <v>256</v>
      </c>
      <c r="C2598" t="s">
        <v>50</v>
      </c>
      <c r="D2598" s="6">
        <v>45808</v>
      </c>
      <c r="E2598" t="str">
        <f>VLOOKUP(B2598,'PROCV GERENTES BD'!A:B,2,0)</f>
        <v>CELIO PIMENTA</v>
      </c>
      <c r="F2598" s="4" t="str">
        <f t="shared" si="240"/>
        <v>2025-05</v>
      </c>
      <c r="G2598" s="18">
        <f t="shared" si="241"/>
        <v>22</v>
      </c>
      <c r="H2598" t="str">
        <f t="shared" si="242"/>
        <v>CELIO PIMENTA</v>
      </c>
      <c r="I2598" t="str">
        <f t="shared" si="243"/>
        <v>SEU TRATOR LTDA EPP</v>
      </c>
      <c r="J2598">
        <f t="shared" si="244"/>
        <v>0</v>
      </c>
      <c r="K2598">
        <f t="shared" si="245"/>
        <v>1</v>
      </c>
    </row>
    <row r="2599" spans="1:11" x14ac:dyDescent="0.25">
      <c r="A2599" t="s">
        <v>490</v>
      </c>
      <c r="B2599" t="s">
        <v>248</v>
      </c>
      <c r="C2599" t="s">
        <v>66</v>
      </c>
      <c r="D2599" s="6">
        <v>45808</v>
      </c>
      <c r="E2599" t="str">
        <f>VLOOKUP(B2599,'PROCV GERENTES BD'!A:B,2,0)</f>
        <v>PROSPECTAR</v>
      </c>
      <c r="F2599" s="4" t="str">
        <f t="shared" si="240"/>
        <v>2025-05</v>
      </c>
      <c r="G2599" s="18">
        <f t="shared" si="241"/>
        <v>22</v>
      </c>
      <c r="H2599" t="str">
        <f t="shared" si="242"/>
        <v>PROSPECTAR</v>
      </c>
      <c r="I2599" t="str">
        <f t="shared" si="243"/>
        <v>PRODUTOS PORTEIRAO COM DIST E REP LTDA EPP</v>
      </c>
      <c r="J2599">
        <f t="shared" si="244"/>
        <v>1</v>
      </c>
      <c r="K2599">
        <f t="shared" si="245"/>
        <v>0</v>
      </c>
    </row>
    <row r="2600" spans="1:11" x14ac:dyDescent="0.25">
      <c r="A2600" t="s">
        <v>510</v>
      </c>
      <c r="B2600" t="s">
        <v>273</v>
      </c>
      <c r="C2600" t="s">
        <v>66</v>
      </c>
      <c r="D2600" s="6">
        <v>45806</v>
      </c>
      <c r="E2600" t="str">
        <f>VLOOKUP(B2600,'PROCV GERENTES BD'!A:B,2,0)</f>
        <v>CELIO PIMENTA</v>
      </c>
      <c r="F2600" s="4" t="str">
        <f t="shared" si="240"/>
        <v>2025-05</v>
      </c>
      <c r="G2600" s="18">
        <f t="shared" si="241"/>
        <v>22</v>
      </c>
      <c r="H2600" t="str">
        <f t="shared" si="242"/>
        <v>CELIO PIMENTA</v>
      </c>
      <c r="I2600" t="str">
        <f t="shared" si="243"/>
        <v>PRADO MOREIRA TEXTIL LTDA ME</v>
      </c>
      <c r="J2600">
        <f t="shared" si="244"/>
        <v>1</v>
      </c>
      <c r="K2600">
        <f t="shared" si="245"/>
        <v>0</v>
      </c>
    </row>
    <row r="2601" spans="1:11" x14ac:dyDescent="0.25">
      <c r="A2601" s="11" t="s">
        <v>521</v>
      </c>
      <c r="B2601" s="11" t="s">
        <v>286</v>
      </c>
      <c r="C2601" s="11" t="s">
        <v>50</v>
      </c>
      <c r="D2601" s="6">
        <v>45832</v>
      </c>
      <c r="E2601" t="str">
        <f>VLOOKUP(B2601,'PROCV GERENTES BD'!A:B,2,0)</f>
        <v>CELIO PIMENTA</v>
      </c>
      <c r="F2601" s="4" t="str">
        <f t="shared" si="240"/>
        <v>2025-06</v>
      </c>
      <c r="G2601" s="18">
        <f t="shared" si="241"/>
        <v>26</v>
      </c>
      <c r="H2601" t="str">
        <f t="shared" si="242"/>
        <v>CELIO PIMENTA</v>
      </c>
      <c r="I2601" t="str">
        <f t="shared" si="243"/>
        <v>LINGERIE E CIA LTDA ME</v>
      </c>
      <c r="J2601">
        <f t="shared" si="244"/>
        <v>0</v>
      </c>
      <c r="K2601">
        <f t="shared" si="245"/>
        <v>1</v>
      </c>
    </row>
    <row r="2602" spans="1:11" x14ac:dyDescent="0.25">
      <c r="A2602" t="s">
        <v>311</v>
      </c>
      <c r="B2602" t="s">
        <v>81</v>
      </c>
      <c r="C2602" t="s">
        <v>50</v>
      </c>
      <c r="D2602" s="6">
        <v>45811</v>
      </c>
      <c r="E2602" t="str">
        <f>VLOOKUP(B2602,'PROCV GERENTES BD'!A:B,2,0)</f>
        <v>CELIO PIMENTA</v>
      </c>
      <c r="F2602" s="4" t="str">
        <f t="shared" si="240"/>
        <v>2025-06</v>
      </c>
      <c r="G2602" s="18">
        <f t="shared" si="241"/>
        <v>23</v>
      </c>
      <c r="H2602" t="str">
        <f t="shared" si="242"/>
        <v>CELIO PIMENTA</v>
      </c>
      <c r="I2602" t="str">
        <f t="shared" si="243"/>
        <v>MBIOLOG DIAGNOSTICOS LTDA</v>
      </c>
      <c r="J2602">
        <f t="shared" si="244"/>
        <v>0</v>
      </c>
      <c r="K2602">
        <f t="shared" si="245"/>
        <v>1</v>
      </c>
    </row>
    <row r="2603" spans="1:11" x14ac:dyDescent="0.25">
      <c r="A2603" t="s">
        <v>461</v>
      </c>
      <c r="B2603" t="s">
        <v>218</v>
      </c>
      <c r="C2603" t="s">
        <v>50</v>
      </c>
      <c r="D2603" s="6">
        <v>45811</v>
      </c>
      <c r="E2603" t="str">
        <f>VLOOKUP(B2603,'PROCV GERENTES BD'!A:B,2,0)</f>
        <v>SACADO</v>
      </c>
      <c r="F2603" s="4" t="str">
        <f t="shared" si="240"/>
        <v>2025-06</v>
      </c>
      <c r="G2603" s="18">
        <f t="shared" si="241"/>
        <v>23</v>
      </c>
      <c r="H2603" t="str">
        <f t="shared" si="242"/>
        <v>SACADO</v>
      </c>
      <c r="I2603" t="str">
        <f t="shared" si="243"/>
        <v>KUARA COMERCIAL E EXPORTADORA DE FRUTAS LTDA</v>
      </c>
      <c r="J2603">
        <f t="shared" si="244"/>
        <v>0</v>
      </c>
      <c r="K2603">
        <f t="shared" si="245"/>
        <v>1</v>
      </c>
    </row>
    <row r="2604" spans="1:11" x14ac:dyDescent="0.25">
      <c r="A2604" t="s">
        <v>74</v>
      </c>
      <c r="B2604" t="s">
        <v>75</v>
      </c>
      <c r="C2604" t="s">
        <v>50</v>
      </c>
      <c r="D2604" s="6">
        <v>45811</v>
      </c>
      <c r="E2604" t="str">
        <f>VLOOKUP(B2604,'PROCV GERENTES BD'!A:B,2,0)</f>
        <v>CAIO</v>
      </c>
      <c r="F2604" s="4" t="str">
        <f t="shared" si="240"/>
        <v>2025-06</v>
      </c>
      <c r="G2604" s="18">
        <f t="shared" si="241"/>
        <v>23</v>
      </c>
      <c r="H2604" t="str">
        <f t="shared" si="242"/>
        <v>CAIO</v>
      </c>
      <c r="I2604" t="str">
        <f t="shared" si="243"/>
        <v>TP DISTRIBUIDORA DE PECAS LTDA EPP</v>
      </c>
      <c r="J2604">
        <f t="shared" si="244"/>
        <v>0</v>
      </c>
      <c r="K2604">
        <f t="shared" si="245"/>
        <v>1</v>
      </c>
    </row>
    <row r="2605" spans="1:11" x14ac:dyDescent="0.25">
      <c r="A2605" t="s">
        <v>72</v>
      </c>
      <c r="B2605" t="s">
        <v>73</v>
      </c>
      <c r="C2605" t="s">
        <v>53</v>
      </c>
      <c r="D2605" s="6">
        <v>45811</v>
      </c>
      <c r="E2605" t="str">
        <f>VLOOKUP(B2605,'PROCV GERENTES BD'!A:B,2,0)</f>
        <v>NOELI SALETE</v>
      </c>
      <c r="F2605" s="4" t="str">
        <f t="shared" si="240"/>
        <v>2025-06</v>
      </c>
      <c r="G2605" s="18">
        <f t="shared" si="241"/>
        <v>23</v>
      </c>
      <c r="H2605" t="str">
        <f t="shared" si="242"/>
        <v>NOELI SALETE</v>
      </c>
      <c r="I2605" t="str">
        <f t="shared" si="243"/>
        <v>SMARTCENTER SOLUCOES INTELIGENTES LTDA ME</v>
      </c>
      <c r="J2605">
        <f t="shared" si="244"/>
        <v>1</v>
      </c>
      <c r="K2605">
        <f t="shared" si="245"/>
        <v>1</v>
      </c>
    </row>
    <row r="2606" spans="1:11" x14ac:dyDescent="0.25">
      <c r="A2606" t="s">
        <v>428</v>
      </c>
      <c r="B2606" t="s">
        <v>179</v>
      </c>
      <c r="C2606" t="s">
        <v>50</v>
      </c>
      <c r="D2606" s="6">
        <v>45811</v>
      </c>
      <c r="E2606" t="str">
        <f>VLOOKUP(B2606,'PROCV GERENTES BD'!A:B,2,0)</f>
        <v xml:space="preserve">MARCUS VINICIUS </v>
      </c>
      <c r="F2606" s="4" t="str">
        <f t="shared" si="240"/>
        <v>2025-06</v>
      </c>
      <c r="G2606" s="18">
        <f t="shared" si="241"/>
        <v>23</v>
      </c>
      <c r="H2606" t="str">
        <f t="shared" si="242"/>
        <v xml:space="preserve">MARCUS VINICIUS </v>
      </c>
      <c r="I2606" t="str">
        <f t="shared" si="243"/>
        <v>LABOR ELETRIC INDUSTRIA E COMERCIO UNIPESSOAL LTDA</v>
      </c>
      <c r="J2606">
        <f t="shared" si="244"/>
        <v>0</v>
      </c>
      <c r="K2606">
        <f t="shared" si="245"/>
        <v>1</v>
      </c>
    </row>
    <row r="2607" spans="1:11" x14ac:dyDescent="0.25">
      <c r="A2607" t="s">
        <v>427</v>
      </c>
      <c r="B2607" t="s">
        <v>178</v>
      </c>
      <c r="C2607" t="s">
        <v>50</v>
      </c>
      <c r="D2607" s="6">
        <v>45811</v>
      </c>
      <c r="E2607" t="str">
        <f>VLOOKUP(B2607,'PROCV GERENTES BD'!A:B,2,0)</f>
        <v>ADMINISTRAÇÃO</v>
      </c>
      <c r="F2607" s="4" t="str">
        <f t="shared" si="240"/>
        <v>2025-06</v>
      </c>
      <c r="G2607" s="18">
        <f t="shared" si="241"/>
        <v>23</v>
      </c>
      <c r="H2607" t="str">
        <f t="shared" si="242"/>
        <v>ADMINISTRAÇÃO</v>
      </c>
      <c r="I2607" t="str">
        <f t="shared" si="243"/>
        <v>LIZZENA COSMETICOS LTDA EPP</v>
      </c>
      <c r="J2607">
        <f t="shared" si="244"/>
        <v>0</v>
      </c>
      <c r="K2607">
        <f t="shared" si="245"/>
        <v>1</v>
      </c>
    </row>
    <row r="2608" spans="1:11" x14ac:dyDescent="0.25">
      <c r="A2608" t="s">
        <v>515</v>
      </c>
      <c r="B2608" t="s">
        <v>277</v>
      </c>
      <c r="C2608" t="s">
        <v>50</v>
      </c>
      <c r="D2608" s="6">
        <v>45811</v>
      </c>
      <c r="E2608" t="str">
        <f>VLOOKUP(B2608,'PROCV GERENTES BD'!A:B,2,0)</f>
        <v>ALISSON DE SOUZA LIMA</v>
      </c>
      <c r="F2608" s="4" t="str">
        <f t="shared" si="240"/>
        <v>2025-06</v>
      </c>
      <c r="G2608" s="18">
        <f t="shared" si="241"/>
        <v>23</v>
      </c>
      <c r="H2608" t="str">
        <f t="shared" si="242"/>
        <v>ALISSON DE SOUZA LIMA</v>
      </c>
      <c r="I2608" t="str">
        <f t="shared" si="243"/>
        <v>COMERCIAL GTS INFORMATICA LTDA EPP</v>
      </c>
      <c r="J2608">
        <f t="shared" si="244"/>
        <v>0</v>
      </c>
      <c r="K2608">
        <f t="shared" si="245"/>
        <v>1</v>
      </c>
    </row>
    <row r="2609" spans="1:11" x14ac:dyDescent="0.25">
      <c r="A2609" t="s">
        <v>67</v>
      </c>
      <c r="B2609" t="s">
        <v>68</v>
      </c>
      <c r="C2609" t="s">
        <v>50</v>
      </c>
      <c r="D2609" s="6">
        <v>45811</v>
      </c>
      <c r="E2609" t="str">
        <f>VLOOKUP(B2609,'PROCV GERENTES BD'!A:B,2,0)</f>
        <v xml:space="preserve">ROGERIO </v>
      </c>
      <c r="F2609" s="4" t="str">
        <f t="shared" si="240"/>
        <v>2025-06</v>
      </c>
      <c r="G2609" s="18">
        <f t="shared" si="241"/>
        <v>23</v>
      </c>
      <c r="H2609" t="str">
        <f t="shared" si="242"/>
        <v xml:space="preserve">ROGERIO </v>
      </c>
      <c r="I2609" t="str">
        <f t="shared" si="243"/>
        <v>DIOTTONI INDUSTRIA E COMERCIO DE ALIMENTOS LTDA ME</v>
      </c>
      <c r="J2609">
        <f t="shared" si="244"/>
        <v>0</v>
      </c>
      <c r="K2609">
        <f t="shared" si="245"/>
        <v>1</v>
      </c>
    </row>
    <row r="2610" spans="1:11" x14ac:dyDescent="0.25">
      <c r="A2610" t="s">
        <v>64</v>
      </c>
      <c r="B2610" t="s">
        <v>65</v>
      </c>
      <c r="C2610" t="s">
        <v>53</v>
      </c>
      <c r="D2610" s="6">
        <v>45811</v>
      </c>
      <c r="E2610" t="str">
        <f>VLOOKUP(B2610,'PROCV GERENTES BD'!A:B,2,0)</f>
        <v>ADMINISTRAÇÃO</v>
      </c>
      <c r="F2610" s="4" t="str">
        <f t="shared" si="240"/>
        <v>2025-06</v>
      </c>
      <c r="G2610" s="18">
        <f t="shared" si="241"/>
        <v>23</v>
      </c>
      <c r="H2610" t="str">
        <f t="shared" si="242"/>
        <v>ADMINISTRAÇÃO</v>
      </c>
      <c r="I2610" t="str">
        <f t="shared" si="243"/>
        <v>SOCIAL S/A</v>
      </c>
      <c r="J2610">
        <f t="shared" si="244"/>
        <v>1</v>
      </c>
      <c r="K2610">
        <f t="shared" si="245"/>
        <v>1</v>
      </c>
    </row>
    <row r="2611" spans="1:11" x14ac:dyDescent="0.25">
      <c r="A2611" t="s">
        <v>62</v>
      </c>
      <c r="B2611" t="s">
        <v>63</v>
      </c>
      <c r="C2611" t="s">
        <v>53</v>
      </c>
      <c r="D2611" s="6">
        <v>45811</v>
      </c>
      <c r="E2611" t="str">
        <f>VLOOKUP(B2611,'PROCV GERENTES BD'!A:B,2,0)</f>
        <v>PROSPECTAR</v>
      </c>
      <c r="F2611" s="4" t="str">
        <f t="shared" si="240"/>
        <v>2025-06</v>
      </c>
      <c r="G2611" s="18">
        <f t="shared" si="241"/>
        <v>23</v>
      </c>
      <c r="H2611" t="str">
        <f t="shared" si="242"/>
        <v>PROSPECTAR</v>
      </c>
      <c r="I2611" t="str">
        <f t="shared" si="243"/>
        <v>MAPP COM IMPORTACAO EXPORTACAO IND PRODUTOS ALIMEN</v>
      </c>
      <c r="J2611">
        <f t="shared" si="244"/>
        <v>1</v>
      </c>
      <c r="K2611">
        <f t="shared" si="245"/>
        <v>1</v>
      </c>
    </row>
    <row r="2612" spans="1:11" x14ac:dyDescent="0.25">
      <c r="A2612" t="s">
        <v>499</v>
      </c>
      <c r="B2612" t="s">
        <v>258</v>
      </c>
      <c r="C2612" t="s">
        <v>53</v>
      </c>
      <c r="D2612" s="6">
        <v>45811</v>
      </c>
      <c r="E2612" t="str">
        <f>VLOOKUP(B2612,'PROCV GERENTES BD'!A:B,2,0)</f>
        <v>PRISCILA METZ</v>
      </c>
      <c r="F2612" s="4" t="str">
        <f t="shared" si="240"/>
        <v>2025-06</v>
      </c>
      <c r="G2612" s="18">
        <f t="shared" si="241"/>
        <v>23</v>
      </c>
      <c r="H2612" t="str">
        <f t="shared" si="242"/>
        <v>PRISCILA METZ</v>
      </c>
      <c r="I2612" t="str">
        <f t="shared" si="243"/>
        <v>PLATINUM INDUSTRIA DE CONFECCOES LTDA</v>
      </c>
      <c r="J2612">
        <f t="shared" si="244"/>
        <v>1</v>
      </c>
      <c r="K2612">
        <f t="shared" si="245"/>
        <v>1</v>
      </c>
    </row>
    <row r="2613" spans="1:11" x14ac:dyDescent="0.25">
      <c r="A2613" t="s">
        <v>60</v>
      </c>
      <c r="B2613" t="s">
        <v>61</v>
      </c>
      <c r="C2613" t="s">
        <v>53</v>
      </c>
      <c r="D2613" s="6">
        <v>45811</v>
      </c>
      <c r="E2613" t="str">
        <f>VLOOKUP(B2613,'PROCV GERENTES BD'!A:B,2,0)</f>
        <v xml:space="preserve">MARCUS VINICIUS </v>
      </c>
      <c r="F2613" s="4" t="str">
        <f t="shared" si="240"/>
        <v>2025-06</v>
      </c>
      <c r="G2613" s="18">
        <f t="shared" si="241"/>
        <v>23</v>
      </c>
      <c r="H2613" t="str">
        <f t="shared" si="242"/>
        <v xml:space="preserve">MARCUS VINICIUS </v>
      </c>
      <c r="I2613" t="str">
        <f t="shared" si="243"/>
        <v>COM IND DE CEREAIS E TRANSPORTES MACIEL LTDA</v>
      </c>
      <c r="J2613">
        <f t="shared" si="244"/>
        <v>1</v>
      </c>
      <c r="K2613">
        <f t="shared" si="245"/>
        <v>1</v>
      </c>
    </row>
    <row r="2614" spans="1:11" x14ac:dyDescent="0.25">
      <c r="A2614" t="s">
        <v>426</v>
      </c>
      <c r="B2614" t="s">
        <v>177</v>
      </c>
      <c r="C2614" t="s">
        <v>53</v>
      </c>
      <c r="D2614" s="6">
        <v>45811</v>
      </c>
      <c r="E2614" t="str">
        <f>VLOOKUP(B2614,'PROCV GERENTES BD'!A:B,2,0)</f>
        <v>WHELKYA IRIS</v>
      </c>
      <c r="F2614" s="4" t="str">
        <f t="shared" si="240"/>
        <v>2025-06</v>
      </c>
      <c r="G2614" s="18">
        <f t="shared" si="241"/>
        <v>23</v>
      </c>
      <c r="H2614" t="str">
        <f t="shared" si="242"/>
        <v>WHELKYA IRIS</v>
      </c>
      <c r="I2614" t="str">
        <f t="shared" si="243"/>
        <v>JFIX INDUSTRIA QUIMICA LTDA ME</v>
      </c>
      <c r="J2614">
        <f t="shared" si="244"/>
        <v>1</v>
      </c>
      <c r="K2614">
        <f t="shared" si="245"/>
        <v>1</v>
      </c>
    </row>
    <row r="2615" spans="1:11" x14ac:dyDescent="0.25">
      <c r="A2615" t="s">
        <v>463</v>
      </c>
      <c r="B2615" t="s">
        <v>220</v>
      </c>
      <c r="C2615" t="s">
        <v>66</v>
      </c>
      <c r="D2615" s="6">
        <v>45811</v>
      </c>
      <c r="E2615" t="str">
        <f>VLOOKUP(B2615,'PROCV GERENTES BD'!A:B,2,0)</f>
        <v>ADMINISTRAÇÃO</v>
      </c>
      <c r="F2615" s="4" t="str">
        <f t="shared" si="240"/>
        <v>2025-06</v>
      </c>
      <c r="G2615" s="18">
        <f t="shared" si="241"/>
        <v>23</v>
      </c>
      <c r="H2615" t="str">
        <f t="shared" si="242"/>
        <v>ADMINISTRAÇÃO</v>
      </c>
      <c r="I2615" t="str">
        <f t="shared" si="243"/>
        <v>A C ESPORTES S A F</v>
      </c>
      <c r="J2615">
        <f t="shared" si="244"/>
        <v>1</v>
      </c>
      <c r="K2615">
        <f t="shared" si="245"/>
        <v>0</v>
      </c>
    </row>
    <row r="2616" spans="1:11" x14ac:dyDescent="0.25">
      <c r="A2616" t="s">
        <v>353</v>
      </c>
      <c r="B2616" t="s">
        <v>97</v>
      </c>
      <c r="C2616" t="s">
        <v>50</v>
      </c>
      <c r="D2616" s="6">
        <v>45811</v>
      </c>
      <c r="E2616" t="str">
        <f>VLOOKUP(B2616,'PROCV GERENTES BD'!A:B,2,0)</f>
        <v>PRISCILA METZ</v>
      </c>
      <c r="F2616" s="4" t="str">
        <f t="shared" si="240"/>
        <v>2025-06</v>
      </c>
      <c r="G2616" s="18">
        <f t="shared" si="241"/>
        <v>23</v>
      </c>
      <c r="H2616" t="str">
        <f t="shared" si="242"/>
        <v>PRISCILA METZ</v>
      </c>
      <c r="I2616" t="str">
        <f t="shared" si="243"/>
        <v>ESSENZA INDUSTRIA QUIMICA LTDA</v>
      </c>
      <c r="J2616">
        <f t="shared" si="244"/>
        <v>0</v>
      </c>
      <c r="K2616">
        <f t="shared" si="245"/>
        <v>1</v>
      </c>
    </row>
    <row r="2617" spans="1:11" x14ac:dyDescent="0.25">
      <c r="A2617" t="s">
        <v>58</v>
      </c>
      <c r="B2617" t="s">
        <v>59</v>
      </c>
      <c r="C2617" t="s">
        <v>50</v>
      </c>
      <c r="D2617" s="6">
        <v>45811</v>
      </c>
      <c r="E2617" t="str">
        <f>VLOOKUP(B2617,'PROCV GERENTES BD'!A:B,2,0)</f>
        <v>ADMINISTRAÇÃO</v>
      </c>
      <c r="F2617" s="4" t="str">
        <f t="shared" si="240"/>
        <v>2025-06</v>
      </c>
      <c r="G2617" s="18">
        <f t="shared" si="241"/>
        <v>23</v>
      </c>
      <c r="H2617" t="str">
        <f t="shared" si="242"/>
        <v>ADMINISTRAÇÃO</v>
      </c>
      <c r="I2617" t="str">
        <f t="shared" si="243"/>
        <v>BIOTECH LOGISTICA LTDA</v>
      </c>
      <c r="J2617">
        <f t="shared" si="244"/>
        <v>0</v>
      </c>
      <c r="K2617">
        <f t="shared" si="245"/>
        <v>1</v>
      </c>
    </row>
    <row r="2618" spans="1:11" x14ac:dyDescent="0.25">
      <c r="A2618" t="s">
        <v>513</v>
      </c>
      <c r="B2618" t="s">
        <v>275</v>
      </c>
      <c r="C2618" t="s">
        <v>50</v>
      </c>
      <c r="D2618" s="6">
        <v>45811</v>
      </c>
      <c r="E2618" t="str">
        <f>VLOOKUP(B2618,'PROCV GERENTES BD'!A:B,2,0)</f>
        <v>ALISSON DE SOUZA LIMA</v>
      </c>
      <c r="F2618" s="4" t="str">
        <f t="shared" si="240"/>
        <v>2025-06</v>
      </c>
      <c r="G2618" s="18">
        <f t="shared" si="241"/>
        <v>23</v>
      </c>
      <c r="H2618" t="str">
        <f t="shared" si="242"/>
        <v>ALISSON DE SOUZA LIMA</v>
      </c>
      <c r="I2618" t="str">
        <f t="shared" si="243"/>
        <v>COMERCIAL JLX DISTRIBUIDORA LTDA ME</v>
      </c>
      <c r="J2618">
        <f t="shared" si="244"/>
        <v>0</v>
      </c>
      <c r="K2618">
        <f t="shared" si="245"/>
        <v>1</v>
      </c>
    </row>
    <row r="2619" spans="1:11" x14ac:dyDescent="0.25">
      <c r="A2619" t="s">
        <v>319</v>
      </c>
      <c r="B2619" t="s">
        <v>80</v>
      </c>
      <c r="C2619" t="s">
        <v>50</v>
      </c>
      <c r="D2619" s="6">
        <v>45811</v>
      </c>
      <c r="E2619" t="str">
        <f>VLOOKUP(B2619,'PROCV GERENTES BD'!A:B,2,0)</f>
        <v>CELIO PIMENTA</v>
      </c>
      <c r="F2619" s="4" t="str">
        <f t="shared" si="240"/>
        <v>2025-06</v>
      </c>
      <c r="G2619" s="18">
        <f t="shared" si="241"/>
        <v>23</v>
      </c>
      <c r="H2619" t="str">
        <f t="shared" si="242"/>
        <v>CELIO PIMENTA</v>
      </c>
      <c r="I2619" t="str">
        <f t="shared" si="243"/>
        <v>IMPORTEXTIL COMERCIO DE TECIDOS LTDA</v>
      </c>
      <c r="J2619">
        <f t="shared" si="244"/>
        <v>0</v>
      </c>
      <c r="K2619">
        <f t="shared" si="245"/>
        <v>1</v>
      </c>
    </row>
    <row r="2620" spans="1:11" x14ac:dyDescent="0.25">
      <c r="A2620" t="s">
        <v>56</v>
      </c>
      <c r="B2620" t="s">
        <v>57</v>
      </c>
      <c r="C2620" t="s">
        <v>50</v>
      </c>
      <c r="D2620" s="6">
        <v>45811</v>
      </c>
      <c r="E2620" t="str">
        <f>VLOOKUP(B2620,'PROCV GERENTES BD'!A:B,2,0)</f>
        <v xml:space="preserve">ROGERIO </v>
      </c>
      <c r="F2620" s="4" t="str">
        <f t="shared" si="240"/>
        <v>2025-06</v>
      </c>
      <c r="G2620" s="18">
        <f t="shared" si="241"/>
        <v>23</v>
      </c>
      <c r="H2620" t="str">
        <f t="shared" si="242"/>
        <v xml:space="preserve">ROGERIO </v>
      </c>
      <c r="I2620" t="str">
        <f t="shared" si="243"/>
        <v>RODOVIEIRA TRANSPORTE LTDA</v>
      </c>
      <c r="J2620">
        <f t="shared" si="244"/>
        <v>0</v>
      </c>
      <c r="K2620">
        <f t="shared" si="245"/>
        <v>1</v>
      </c>
    </row>
    <row r="2621" spans="1:11" x14ac:dyDescent="0.25">
      <c r="A2621" t="s">
        <v>331</v>
      </c>
      <c r="B2621" t="s">
        <v>144</v>
      </c>
      <c r="C2621" t="s">
        <v>50</v>
      </c>
      <c r="D2621" s="6">
        <v>45811</v>
      </c>
      <c r="E2621" t="str">
        <f>VLOOKUP(B2621,'PROCV GERENTES BD'!A:B,2,0)</f>
        <v>ADMINISTRAÇÃO</v>
      </c>
      <c r="F2621" s="4" t="str">
        <f t="shared" si="240"/>
        <v>2025-06</v>
      </c>
      <c r="G2621" s="18">
        <f t="shared" si="241"/>
        <v>23</v>
      </c>
      <c r="H2621" t="str">
        <f t="shared" si="242"/>
        <v>ADMINISTRAÇÃO</v>
      </c>
      <c r="I2621" t="str">
        <f t="shared" si="243"/>
        <v>BOM PASTOR PAPEIS LTDA EM RECUPERACAO JUDICIAL</v>
      </c>
      <c r="J2621">
        <f t="shared" si="244"/>
        <v>0</v>
      </c>
      <c r="K2621">
        <f t="shared" si="245"/>
        <v>1</v>
      </c>
    </row>
    <row r="2622" spans="1:11" x14ac:dyDescent="0.25">
      <c r="A2622" t="s">
        <v>54</v>
      </c>
      <c r="B2622" t="s">
        <v>55</v>
      </c>
      <c r="C2622" t="s">
        <v>50</v>
      </c>
      <c r="D2622" s="6">
        <v>45811</v>
      </c>
      <c r="E2622" t="str">
        <f>VLOOKUP(B2622,'PROCV GERENTES BD'!A:B,2,0)</f>
        <v>CELIO PIMENTA</v>
      </c>
      <c r="F2622" s="4" t="str">
        <f t="shared" si="240"/>
        <v>2025-06</v>
      </c>
      <c r="G2622" s="18">
        <f t="shared" si="241"/>
        <v>23</v>
      </c>
      <c r="H2622" t="str">
        <f t="shared" si="242"/>
        <v>CELIO PIMENTA</v>
      </c>
      <c r="I2622" t="str">
        <f t="shared" si="243"/>
        <v>WJ CALDEIRARIA INDUSTRIA E COMERCIO LTDA ME</v>
      </c>
      <c r="J2622">
        <f t="shared" si="244"/>
        <v>0</v>
      </c>
      <c r="K2622">
        <f t="shared" si="245"/>
        <v>1</v>
      </c>
    </row>
    <row r="2623" spans="1:11" x14ac:dyDescent="0.25">
      <c r="A2623" t="s">
        <v>387</v>
      </c>
      <c r="B2623" t="s">
        <v>134</v>
      </c>
      <c r="C2623" t="s">
        <v>50</v>
      </c>
      <c r="D2623" s="6">
        <v>45811</v>
      </c>
      <c r="E2623" t="str">
        <f>VLOOKUP(B2623,'PROCV GERENTES BD'!A:B,2,0)</f>
        <v>RAFAEL PARISE</v>
      </c>
      <c r="F2623" s="4" t="str">
        <f t="shared" si="240"/>
        <v>2025-06</v>
      </c>
      <c r="G2623" s="18">
        <f t="shared" si="241"/>
        <v>23</v>
      </c>
      <c r="H2623" t="str">
        <f t="shared" si="242"/>
        <v>RAFAEL PARISE</v>
      </c>
      <c r="I2623" t="str">
        <f t="shared" si="243"/>
        <v>MAIS DISTRIBUIDORA LTDA</v>
      </c>
      <c r="J2623">
        <f t="shared" si="244"/>
        <v>0</v>
      </c>
      <c r="K2623">
        <f t="shared" si="245"/>
        <v>1</v>
      </c>
    </row>
    <row r="2624" spans="1:11" x14ac:dyDescent="0.25">
      <c r="A2624" t="s">
        <v>532</v>
      </c>
      <c r="B2624" t="s">
        <v>300</v>
      </c>
      <c r="C2624" t="s">
        <v>50</v>
      </c>
      <c r="D2624" s="6">
        <v>45811</v>
      </c>
      <c r="E2624" t="str">
        <f>VLOOKUP(B2624,'PROCV GERENTES BD'!A:B,2,0)</f>
        <v>RAFAEL PARISE</v>
      </c>
      <c r="F2624" s="4" t="str">
        <f t="shared" si="240"/>
        <v>2025-06</v>
      </c>
      <c r="G2624" s="18">
        <f t="shared" si="241"/>
        <v>23</v>
      </c>
      <c r="H2624" t="str">
        <f t="shared" si="242"/>
        <v>RAFAEL PARISE</v>
      </c>
      <c r="I2624" t="str">
        <f t="shared" si="243"/>
        <v>MINASPOL INDUSTRIA E COMERCIO DE COMPOSTOS POLIMER</v>
      </c>
      <c r="J2624">
        <f t="shared" si="244"/>
        <v>0</v>
      </c>
      <c r="K2624">
        <f t="shared" si="245"/>
        <v>1</v>
      </c>
    </row>
    <row r="2625" spans="1:11" x14ac:dyDescent="0.25">
      <c r="A2625" t="s">
        <v>51</v>
      </c>
      <c r="B2625" t="s">
        <v>52</v>
      </c>
      <c r="C2625" t="s">
        <v>50</v>
      </c>
      <c r="D2625" s="6">
        <v>45811</v>
      </c>
      <c r="E2625" t="str">
        <f>VLOOKUP(B2625,'PROCV GERENTES BD'!A:B,2,0)</f>
        <v>RAFAEL PARISE</v>
      </c>
      <c r="F2625" s="4" t="str">
        <f t="shared" si="240"/>
        <v>2025-06</v>
      </c>
      <c r="G2625" s="18">
        <f t="shared" si="241"/>
        <v>23</v>
      </c>
      <c r="H2625" t="str">
        <f t="shared" si="242"/>
        <v>RAFAEL PARISE</v>
      </c>
      <c r="I2625" t="str">
        <f t="shared" si="243"/>
        <v>TDR TRANSPORTES LOGISTICA LTDA</v>
      </c>
      <c r="J2625">
        <f t="shared" si="244"/>
        <v>0</v>
      </c>
      <c r="K2625">
        <f t="shared" si="245"/>
        <v>1</v>
      </c>
    </row>
    <row r="2626" spans="1:11" x14ac:dyDescent="0.25">
      <c r="A2626" t="s">
        <v>323</v>
      </c>
      <c r="B2626" t="s">
        <v>109</v>
      </c>
      <c r="C2626" t="s">
        <v>50</v>
      </c>
      <c r="D2626" s="6">
        <v>45811</v>
      </c>
      <c r="E2626" t="str">
        <f>VLOOKUP(B2626,'PROCV GERENTES BD'!A:B,2,0)</f>
        <v>PROSPECTAR</v>
      </c>
      <c r="F2626" s="4" t="str">
        <f t="shared" ref="F2626:F2689" si="246">YEAR(D2626)&amp;"-"&amp;TEXT(MONTH(D2626),"00")</f>
        <v>2025-06</v>
      </c>
      <c r="G2626" s="18">
        <f t="shared" ref="G2626:G2689" si="247">WEEKNUM(D2626)</f>
        <v>23</v>
      </c>
      <c r="H2626" t="str">
        <f t="shared" ref="H2626:H2689" si="248">E2626</f>
        <v>PROSPECTAR</v>
      </c>
      <c r="I2626" t="str">
        <f t="shared" ref="I2626:I2689" si="249">B2626</f>
        <v>SIAP COMERCIO DE PRODUTOS AGROPECUARIOS LTDA</v>
      </c>
      <c r="J2626">
        <f t="shared" ref="J2626:J2689" si="250">IF(OR(C2626="EXCLUSAO  ANOT.INADIMPLENCIA",C2626="INCL/EXCL ANOT.INADIMPLENCIA"),1,0)</f>
        <v>0</v>
      </c>
      <c r="K2626">
        <f t="shared" ref="K2626:K2689" si="251">IF(OR(C2626="INCLUSAO  ANOT.INADIMPLENCIA",C2626="INCL/EXCL ANOT.INADIMPLENCIA"),1,0)</f>
        <v>1</v>
      </c>
    </row>
    <row r="2627" spans="1:11" x14ac:dyDescent="0.25">
      <c r="A2627" t="s">
        <v>324</v>
      </c>
      <c r="B2627" t="s">
        <v>119</v>
      </c>
      <c r="C2627" t="s">
        <v>53</v>
      </c>
      <c r="D2627" s="6">
        <v>45811</v>
      </c>
      <c r="E2627" t="str">
        <f>VLOOKUP(B2627,'PROCV GERENTES BD'!A:B,2,0)</f>
        <v>PROSPECTAR</v>
      </c>
      <c r="F2627" s="4" t="str">
        <f t="shared" si="246"/>
        <v>2025-06</v>
      </c>
      <c r="G2627" s="18">
        <f t="shared" si="247"/>
        <v>23</v>
      </c>
      <c r="H2627" t="str">
        <f t="shared" si="248"/>
        <v>PROSPECTAR</v>
      </c>
      <c r="I2627" t="str">
        <f t="shared" si="249"/>
        <v>TRANSHENRY TRANSPORTES LTDA</v>
      </c>
      <c r="J2627">
        <f t="shared" si="250"/>
        <v>1</v>
      </c>
      <c r="K2627">
        <f t="shared" si="251"/>
        <v>1</v>
      </c>
    </row>
    <row r="2628" spans="1:11" x14ac:dyDescent="0.25">
      <c r="A2628" t="s">
        <v>415</v>
      </c>
      <c r="B2628" t="s">
        <v>165</v>
      </c>
      <c r="C2628" t="s">
        <v>66</v>
      </c>
      <c r="D2628" s="6">
        <v>45811</v>
      </c>
      <c r="E2628" t="str">
        <f>VLOOKUP(B2628,'PROCV GERENTES BD'!A:B,2,0)</f>
        <v>PROSPECTAR</v>
      </c>
      <c r="F2628" s="4" t="str">
        <f t="shared" si="246"/>
        <v>2025-06</v>
      </c>
      <c r="G2628" s="18">
        <f t="shared" si="247"/>
        <v>23</v>
      </c>
      <c r="H2628" t="str">
        <f t="shared" si="248"/>
        <v>PROSPECTAR</v>
      </c>
      <c r="I2628" t="str">
        <f t="shared" si="249"/>
        <v>STA SERVICOS LTDA</v>
      </c>
      <c r="J2628">
        <f t="shared" si="250"/>
        <v>1</v>
      </c>
      <c r="K2628">
        <f t="shared" si="251"/>
        <v>0</v>
      </c>
    </row>
    <row r="2629" spans="1:11" x14ac:dyDescent="0.25">
      <c r="A2629" t="s">
        <v>318</v>
      </c>
      <c r="B2629" t="s">
        <v>203</v>
      </c>
      <c r="C2629" t="s">
        <v>50</v>
      </c>
      <c r="D2629" s="6">
        <v>45811</v>
      </c>
      <c r="E2629" t="str">
        <f>VLOOKUP(B2629,'PROCV GERENTES BD'!A:B,2,0)</f>
        <v>JOSE ROBERTO</v>
      </c>
      <c r="F2629" s="4" t="str">
        <f t="shared" si="246"/>
        <v>2025-06</v>
      </c>
      <c r="G2629" s="18">
        <f t="shared" si="247"/>
        <v>23</v>
      </c>
      <c r="H2629" t="str">
        <f t="shared" si="248"/>
        <v>JOSE ROBERTO</v>
      </c>
      <c r="I2629" t="str">
        <f t="shared" si="249"/>
        <v>FUNDACAO DE ENSINO E PESQUISA DO SUL DE MINAS FEPE</v>
      </c>
      <c r="J2629">
        <f t="shared" si="250"/>
        <v>0</v>
      </c>
      <c r="K2629">
        <f t="shared" si="251"/>
        <v>1</v>
      </c>
    </row>
    <row r="2630" spans="1:11" x14ac:dyDescent="0.25">
      <c r="A2630" t="s">
        <v>326</v>
      </c>
      <c r="B2630" t="s">
        <v>122</v>
      </c>
      <c r="C2630" t="s">
        <v>50</v>
      </c>
      <c r="D2630" s="6">
        <v>45811</v>
      </c>
      <c r="E2630" t="str">
        <f>VLOOKUP(B2630,'PROCV GERENTES BD'!A:B,2,0)</f>
        <v xml:space="preserve">ROGERIO </v>
      </c>
      <c r="F2630" s="4" t="str">
        <f t="shared" si="246"/>
        <v>2025-06</v>
      </c>
      <c r="G2630" s="18">
        <f t="shared" si="247"/>
        <v>23</v>
      </c>
      <c r="H2630" t="str">
        <f t="shared" si="248"/>
        <v xml:space="preserve">ROGERIO </v>
      </c>
      <c r="I2630" t="str">
        <f t="shared" si="249"/>
        <v>BIBE PRODUTOS INFANTIS LTDA</v>
      </c>
      <c r="J2630">
        <f t="shared" si="250"/>
        <v>0</v>
      </c>
      <c r="K2630">
        <f t="shared" si="251"/>
        <v>1</v>
      </c>
    </row>
    <row r="2631" spans="1:11" x14ac:dyDescent="0.25">
      <c r="A2631" t="s">
        <v>311</v>
      </c>
      <c r="B2631" t="s">
        <v>81</v>
      </c>
      <c r="C2631" t="s">
        <v>66</v>
      </c>
      <c r="D2631" s="6">
        <v>45812</v>
      </c>
      <c r="E2631" t="str">
        <f>VLOOKUP(B2631,'PROCV GERENTES BD'!A:B,2,0)</f>
        <v>CELIO PIMENTA</v>
      </c>
      <c r="F2631" s="4" t="str">
        <f t="shared" si="246"/>
        <v>2025-06</v>
      </c>
      <c r="G2631" s="18">
        <f t="shared" si="247"/>
        <v>23</v>
      </c>
      <c r="H2631" t="str">
        <f t="shared" si="248"/>
        <v>CELIO PIMENTA</v>
      </c>
      <c r="I2631" t="str">
        <f t="shared" si="249"/>
        <v>MBIOLOG DIAGNOSTICOS LTDA</v>
      </c>
      <c r="J2631">
        <f t="shared" si="250"/>
        <v>1</v>
      </c>
      <c r="K2631">
        <f t="shared" si="251"/>
        <v>0</v>
      </c>
    </row>
    <row r="2632" spans="1:11" x14ac:dyDescent="0.25">
      <c r="A2632" t="s">
        <v>315</v>
      </c>
      <c r="B2632" t="s">
        <v>270</v>
      </c>
      <c r="C2632" t="s">
        <v>50</v>
      </c>
      <c r="D2632" s="6">
        <v>45812</v>
      </c>
      <c r="E2632" t="str">
        <f>VLOOKUP(B2632,'PROCV GERENTES BD'!A:B,2,0)</f>
        <v>SEM GERENTE</v>
      </c>
      <c r="F2632" s="4" t="str">
        <f t="shared" si="246"/>
        <v>2025-06</v>
      </c>
      <c r="G2632" s="18">
        <f t="shared" si="247"/>
        <v>23</v>
      </c>
      <c r="H2632" t="str">
        <f t="shared" si="248"/>
        <v>SEM GERENTE</v>
      </c>
      <c r="I2632" t="str">
        <f t="shared" si="249"/>
        <v>FAC INDUSTRIA E SERVICOS LTDA ME</v>
      </c>
      <c r="J2632">
        <f t="shared" si="250"/>
        <v>0</v>
      </c>
      <c r="K2632">
        <f t="shared" si="251"/>
        <v>1</v>
      </c>
    </row>
    <row r="2633" spans="1:11" x14ac:dyDescent="0.25">
      <c r="A2633" t="s">
        <v>370</v>
      </c>
      <c r="B2633" t="s">
        <v>114</v>
      </c>
      <c r="C2633" t="s">
        <v>66</v>
      </c>
      <c r="D2633" s="6">
        <v>45812</v>
      </c>
      <c r="E2633" t="str">
        <f>VLOOKUP(B2633,'PROCV GERENTES BD'!A:B,2,0)</f>
        <v>POENATELA</v>
      </c>
      <c r="F2633" s="4" t="str">
        <f t="shared" si="246"/>
        <v>2025-06</v>
      </c>
      <c r="G2633" s="18">
        <f t="shared" si="247"/>
        <v>23</v>
      </c>
      <c r="H2633" t="str">
        <f t="shared" si="248"/>
        <v>POENATELA</v>
      </c>
      <c r="I2633" t="str">
        <f t="shared" si="249"/>
        <v>COOPERATIVA TRANSP AUTON CARGAS PASSAG SERVICOS LO</v>
      </c>
      <c r="J2633">
        <f t="shared" si="250"/>
        <v>1</v>
      </c>
      <c r="K2633">
        <f t="shared" si="251"/>
        <v>0</v>
      </c>
    </row>
    <row r="2634" spans="1:11" x14ac:dyDescent="0.25">
      <c r="A2634" t="s">
        <v>72</v>
      </c>
      <c r="B2634" t="s">
        <v>73</v>
      </c>
      <c r="C2634" t="s">
        <v>50</v>
      </c>
      <c r="D2634" s="6">
        <v>45812</v>
      </c>
      <c r="E2634" t="str">
        <f>VLOOKUP(B2634,'PROCV GERENTES BD'!A:B,2,0)</f>
        <v>NOELI SALETE</v>
      </c>
      <c r="F2634" s="4" t="str">
        <f t="shared" si="246"/>
        <v>2025-06</v>
      </c>
      <c r="G2634" s="18">
        <f t="shared" si="247"/>
        <v>23</v>
      </c>
      <c r="H2634" t="str">
        <f t="shared" si="248"/>
        <v>NOELI SALETE</v>
      </c>
      <c r="I2634" t="str">
        <f t="shared" si="249"/>
        <v>SMARTCENTER SOLUCOES INTELIGENTES LTDA ME</v>
      </c>
      <c r="J2634">
        <f t="shared" si="250"/>
        <v>0</v>
      </c>
      <c r="K2634">
        <f t="shared" si="251"/>
        <v>1</v>
      </c>
    </row>
    <row r="2635" spans="1:11" x14ac:dyDescent="0.25">
      <c r="A2635" t="s">
        <v>369</v>
      </c>
      <c r="B2635" t="s">
        <v>113</v>
      </c>
      <c r="C2635" t="s">
        <v>50</v>
      </c>
      <c r="D2635" s="6">
        <v>45812</v>
      </c>
      <c r="E2635" t="str">
        <f>VLOOKUP(B2635,'PROCV GERENTES BD'!A:B,2,0)</f>
        <v xml:space="preserve">MARCUS VINICIUS </v>
      </c>
      <c r="F2635" s="4" t="str">
        <f t="shared" si="246"/>
        <v>2025-06</v>
      </c>
      <c r="G2635" s="18">
        <f t="shared" si="247"/>
        <v>23</v>
      </c>
      <c r="H2635" t="str">
        <f t="shared" si="248"/>
        <v xml:space="preserve">MARCUS VINICIUS </v>
      </c>
      <c r="I2635" t="str">
        <f t="shared" si="249"/>
        <v>ISOBASE POLIESTIRENO LTDA EPP</v>
      </c>
      <c r="J2635">
        <f t="shared" si="250"/>
        <v>0</v>
      </c>
      <c r="K2635">
        <f t="shared" si="251"/>
        <v>1</v>
      </c>
    </row>
    <row r="2636" spans="1:11" x14ac:dyDescent="0.25">
      <c r="A2636" t="s">
        <v>67</v>
      </c>
      <c r="B2636" t="s">
        <v>68</v>
      </c>
      <c r="C2636" t="s">
        <v>50</v>
      </c>
      <c r="D2636" s="6">
        <v>45812</v>
      </c>
      <c r="E2636" t="str">
        <f>VLOOKUP(B2636,'PROCV GERENTES BD'!A:B,2,0)</f>
        <v xml:space="preserve">ROGERIO </v>
      </c>
      <c r="F2636" s="4" t="str">
        <f t="shared" si="246"/>
        <v>2025-06</v>
      </c>
      <c r="G2636" s="18">
        <f t="shared" si="247"/>
        <v>23</v>
      </c>
      <c r="H2636" t="str">
        <f t="shared" si="248"/>
        <v xml:space="preserve">ROGERIO </v>
      </c>
      <c r="I2636" t="str">
        <f t="shared" si="249"/>
        <v>DIOTTONI INDUSTRIA E COMERCIO DE ALIMENTOS LTDA ME</v>
      </c>
      <c r="J2636">
        <f t="shared" si="250"/>
        <v>0</v>
      </c>
      <c r="K2636">
        <f t="shared" si="251"/>
        <v>1</v>
      </c>
    </row>
    <row r="2637" spans="1:11" x14ac:dyDescent="0.25">
      <c r="A2637" t="s">
        <v>64</v>
      </c>
      <c r="B2637" t="s">
        <v>65</v>
      </c>
      <c r="C2637" t="s">
        <v>53</v>
      </c>
      <c r="D2637" s="6">
        <v>45812</v>
      </c>
      <c r="E2637" t="str">
        <f>VLOOKUP(B2637,'PROCV GERENTES BD'!A:B,2,0)</f>
        <v>ADMINISTRAÇÃO</v>
      </c>
      <c r="F2637" s="4" t="str">
        <f t="shared" si="246"/>
        <v>2025-06</v>
      </c>
      <c r="G2637" s="18">
        <f t="shared" si="247"/>
        <v>23</v>
      </c>
      <c r="H2637" t="str">
        <f t="shared" si="248"/>
        <v>ADMINISTRAÇÃO</v>
      </c>
      <c r="I2637" t="str">
        <f t="shared" si="249"/>
        <v>SOCIAL S/A</v>
      </c>
      <c r="J2637">
        <f t="shared" si="250"/>
        <v>1</v>
      </c>
      <c r="K2637">
        <f t="shared" si="251"/>
        <v>1</v>
      </c>
    </row>
    <row r="2638" spans="1:11" x14ac:dyDescent="0.25">
      <c r="A2638" t="s">
        <v>420</v>
      </c>
      <c r="B2638" t="s">
        <v>170</v>
      </c>
      <c r="C2638" t="s">
        <v>50</v>
      </c>
      <c r="D2638" s="6">
        <v>45812</v>
      </c>
      <c r="E2638" t="str">
        <f>VLOOKUP(B2638,'PROCV GERENTES BD'!A:B,2,0)</f>
        <v>POENATELA</v>
      </c>
      <c r="F2638" s="4" t="str">
        <f t="shared" si="246"/>
        <v>2025-06</v>
      </c>
      <c r="G2638" s="18">
        <f t="shared" si="247"/>
        <v>23</v>
      </c>
      <c r="H2638" t="str">
        <f t="shared" si="248"/>
        <v>POENATELA</v>
      </c>
      <c r="I2638" t="str">
        <f t="shared" si="249"/>
        <v>SAVIXX COMERCIO INTERNACIONAL S/A</v>
      </c>
      <c r="J2638">
        <f t="shared" si="250"/>
        <v>0</v>
      </c>
      <c r="K2638">
        <f t="shared" si="251"/>
        <v>1</v>
      </c>
    </row>
    <row r="2639" spans="1:11" x14ac:dyDescent="0.25">
      <c r="A2639" t="s">
        <v>62</v>
      </c>
      <c r="B2639" t="s">
        <v>63</v>
      </c>
      <c r="C2639" t="s">
        <v>50</v>
      </c>
      <c r="D2639" s="6">
        <v>45812</v>
      </c>
      <c r="E2639" t="str">
        <f>VLOOKUP(B2639,'PROCV GERENTES BD'!A:B,2,0)</f>
        <v>PROSPECTAR</v>
      </c>
      <c r="F2639" s="4" t="str">
        <f t="shared" si="246"/>
        <v>2025-06</v>
      </c>
      <c r="G2639" s="18">
        <f t="shared" si="247"/>
        <v>23</v>
      </c>
      <c r="H2639" t="str">
        <f t="shared" si="248"/>
        <v>PROSPECTAR</v>
      </c>
      <c r="I2639" t="str">
        <f t="shared" si="249"/>
        <v>MAPP COM IMPORTACAO EXPORTACAO IND PRODUTOS ALIMEN</v>
      </c>
      <c r="J2639">
        <f t="shared" si="250"/>
        <v>0</v>
      </c>
      <c r="K2639">
        <f t="shared" si="251"/>
        <v>1</v>
      </c>
    </row>
    <row r="2640" spans="1:11" x14ac:dyDescent="0.25">
      <c r="A2640" t="s">
        <v>60</v>
      </c>
      <c r="B2640" t="s">
        <v>61</v>
      </c>
      <c r="C2640" t="s">
        <v>50</v>
      </c>
      <c r="D2640" s="6">
        <v>45812</v>
      </c>
      <c r="E2640" t="str">
        <f>VLOOKUP(B2640,'PROCV GERENTES BD'!A:B,2,0)</f>
        <v xml:space="preserve">MARCUS VINICIUS </v>
      </c>
      <c r="F2640" s="4" t="str">
        <f t="shared" si="246"/>
        <v>2025-06</v>
      </c>
      <c r="G2640" s="18">
        <f t="shared" si="247"/>
        <v>23</v>
      </c>
      <c r="H2640" t="str">
        <f t="shared" si="248"/>
        <v xml:space="preserve">MARCUS VINICIUS </v>
      </c>
      <c r="I2640" t="str">
        <f t="shared" si="249"/>
        <v>COM IND DE CEREAIS E TRANSPORTES MACIEL LTDA</v>
      </c>
      <c r="J2640">
        <f t="shared" si="250"/>
        <v>0</v>
      </c>
      <c r="K2640">
        <f t="shared" si="251"/>
        <v>1</v>
      </c>
    </row>
    <row r="2641" spans="1:11" x14ac:dyDescent="0.25">
      <c r="A2641" t="s">
        <v>58</v>
      </c>
      <c r="B2641" t="s">
        <v>59</v>
      </c>
      <c r="C2641" t="s">
        <v>66</v>
      </c>
      <c r="D2641" s="6">
        <v>45812</v>
      </c>
      <c r="E2641" t="str">
        <f>VLOOKUP(B2641,'PROCV GERENTES BD'!A:B,2,0)</f>
        <v>ADMINISTRAÇÃO</v>
      </c>
      <c r="F2641" s="4" t="str">
        <f t="shared" si="246"/>
        <v>2025-06</v>
      </c>
      <c r="G2641" s="18">
        <f t="shared" si="247"/>
        <v>23</v>
      </c>
      <c r="H2641" t="str">
        <f t="shared" si="248"/>
        <v>ADMINISTRAÇÃO</v>
      </c>
      <c r="I2641" t="str">
        <f t="shared" si="249"/>
        <v>BIOTECH LOGISTICA LTDA</v>
      </c>
      <c r="J2641">
        <f t="shared" si="250"/>
        <v>1</v>
      </c>
      <c r="K2641">
        <f t="shared" si="251"/>
        <v>0</v>
      </c>
    </row>
    <row r="2642" spans="1:11" x14ac:dyDescent="0.25">
      <c r="A2642" t="s">
        <v>513</v>
      </c>
      <c r="B2642" t="s">
        <v>275</v>
      </c>
      <c r="C2642" t="s">
        <v>50</v>
      </c>
      <c r="D2642" s="6">
        <v>45812</v>
      </c>
      <c r="E2642" t="str">
        <f>VLOOKUP(B2642,'PROCV GERENTES BD'!A:B,2,0)</f>
        <v>ALISSON DE SOUZA LIMA</v>
      </c>
      <c r="F2642" s="4" t="str">
        <f t="shared" si="246"/>
        <v>2025-06</v>
      </c>
      <c r="G2642" s="18">
        <f t="shared" si="247"/>
        <v>23</v>
      </c>
      <c r="H2642" t="str">
        <f t="shared" si="248"/>
        <v>ALISSON DE SOUZA LIMA</v>
      </c>
      <c r="I2642" t="str">
        <f t="shared" si="249"/>
        <v>COMERCIAL JLX DISTRIBUIDORA LTDA ME</v>
      </c>
      <c r="J2642">
        <f t="shared" si="250"/>
        <v>0</v>
      </c>
      <c r="K2642">
        <f t="shared" si="251"/>
        <v>1</v>
      </c>
    </row>
    <row r="2643" spans="1:11" x14ac:dyDescent="0.25">
      <c r="A2643" t="s">
        <v>319</v>
      </c>
      <c r="B2643" t="s">
        <v>80</v>
      </c>
      <c r="C2643" t="s">
        <v>50</v>
      </c>
      <c r="D2643" s="6">
        <v>45812</v>
      </c>
      <c r="E2643" t="str">
        <f>VLOOKUP(B2643,'PROCV GERENTES BD'!A:B,2,0)</f>
        <v>CELIO PIMENTA</v>
      </c>
      <c r="F2643" s="4" t="str">
        <f t="shared" si="246"/>
        <v>2025-06</v>
      </c>
      <c r="G2643" s="18">
        <f t="shared" si="247"/>
        <v>23</v>
      </c>
      <c r="H2643" t="str">
        <f t="shared" si="248"/>
        <v>CELIO PIMENTA</v>
      </c>
      <c r="I2643" t="str">
        <f t="shared" si="249"/>
        <v>IMPORTEXTIL COMERCIO DE TECIDOS LTDA</v>
      </c>
      <c r="J2643">
        <f t="shared" si="250"/>
        <v>0</v>
      </c>
      <c r="K2643">
        <f t="shared" si="251"/>
        <v>1</v>
      </c>
    </row>
    <row r="2644" spans="1:11" x14ac:dyDescent="0.25">
      <c r="A2644" t="s">
        <v>56</v>
      </c>
      <c r="B2644" t="s">
        <v>57</v>
      </c>
      <c r="C2644" t="s">
        <v>66</v>
      </c>
      <c r="D2644" s="6">
        <v>45812</v>
      </c>
      <c r="E2644" t="str">
        <f>VLOOKUP(B2644,'PROCV GERENTES BD'!A:B,2,0)</f>
        <v xml:space="preserve">ROGERIO </v>
      </c>
      <c r="F2644" s="4" t="str">
        <f t="shared" si="246"/>
        <v>2025-06</v>
      </c>
      <c r="G2644" s="18">
        <f t="shared" si="247"/>
        <v>23</v>
      </c>
      <c r="H2644" t="str">
        <f t="shared" si="248"/>
        <v xml:space="preserve">ROGERIO </v>
      </c>
      <c r="I2644" t="str">
        <f t="shared" si="249"/>
        <v>RODOVIEIRA TRANSPORTE LTDA</v>
      </c>
      <c r="J2644">
        <f t="shared" si="250"/>
        <v>1</v>
      </c>
      <c r="K2644">
        <f t="shared" si="251"/>
        <v>0</v>
      </c>
    </row>
    <row r="2645" spans="1:11" x14ac:dyDescent="0.25">
      <c r="A2645" t="s">
        <v>533</v>
      </c>
      <c r="B2645" t="s">
        <v>301</v>
      </c>
      <c r="C2645" t="s">
        <v>66</v>
      </c>
      <c r="D2645" s="6">
        <v>45812</v>
      </c>
      <c r="E2645" t="str">
        <f>VLOOKUP(B2645,'PROCV GERENTES BD'!A:B,2,0)</f>
        <v xml:space="preserve">MARCUS VINICIUS </v>
      </c>
      <c r="F2645" s="4" t="str">
        <f t="shared" si="246"/>
        <v>2025-06</v>
      </c>
      <c r="G2645" s="18">
        <f t="shared" si="247"/>
        <v>23</v>
      </c>
      <c r="H2645" t="str">
        <f t="shared" si="248"/>
        <v xml:space="preserve">MARCUS VINICIUS </v>
      </c>
      <c r="I2645" t="str">
        <f t="shared" si="249"/>
        <v>LINDINALDO ANISIO DA SILVA ME</v>
      </c>
      <c r="J2645">
        <f t="shared" si="250"/>
        <v>1</v>
      </c>
      <c r="K2645">
        <f t="shared" si="251"/>
        <v>0</v>
      </c>
    </row>
    <row r="2646" spans="1:11" x14ac:dyDescent="0.25">
      <c r="A2646" t="s">
        <v>54</v>
      </c>
      <c r="B2646" t="s">
        <v>55</v>
      </c>
      <c r="C2646" t="s">
        <v>50</v>
      </c>
      <c r="D2646" s="6">
        <v>45812</v>
      </c>
      <c r="E2646" t="str">
        <f>VLOOKUP(B2646,'PROCV GERENTES BD'!A:B,2,0)</f>
        <v>CELIO PIMENTA</v>
      </c>
      <c r="F2646" s="4" t="str">
        <f t="shared" si="246"/>
        <v>2025-06</v>
      </c>
      <c r="G2646" s="18">
        <f t="shared" si="247"/>
        <v>23</v>
      </c>
      <c r="H2646" t="str">
        <f t="shared" si="248"/>
        <v>CELIO PIMENTA</v>
      </c>
      <c r="I2646" t="str">
        <f t="shared" si="249"/>
        <v>WJ CALDEIRARIA INDUSTRIA E COMERCIO LTDA ME</v>
      </c>
      <c r="J2646">
        <f t="shared" si="250"/>
        <v>0</v>
      </c>
      <c r="K2646">
        <f t="shared" si="251"/>
        <v>1</v>
      </c>
    </row>
    <row r="2647" spans="1:11" x14ac:dyDescent="0.25">
      <c r="A2647" t="s">
        <v>322</v>
      </c>
      <c r="B2647" t="s">
        <v>294</v>
      </c>
      <c r="C2647" t="s">
        <v>50</v>
      </c>
      <c r="D2647" s="6">
        <v>45812</v>
      </c>
      <c r="E2647" t="str">
        <f>VLOOKUP(B2647,'PROCV GERENTES BD'!A:B,2,0)</f>
        <v>CAIO</v>
      </c>
      <c r="F2647" s="4" t="str">
        <f t="shared" si="246"/>
        <v>2025-06</v>
      </c>
      <c r="G2647" s="18">
        <f t="shared" si="247"/>
        <v>23</v>
      </c>
      <c r="H2647" t="str">
        <f t="shared" si="248"/>
        <v>CAIO</v>
      </c>
      <c r="I2647" t="str">
        <f t="shared" si="249"/>
        <v>LAF COMERCIAL LTDA ME</v>
      </c>
      <c r="J2647">
        <f t="shared" si="250"/>
        <v>0</v>
      </c>
      <c r="K2647">
        <f t="shared" si="251"/>
        <v>1</v>
      </c>
    </row>
    <row r="2648" spans="1:11" x14ac:dyDescent="0.25">
      <c r="A2648" t="s">
        <v>387</v>
      </c>
      <c r="B2648" t="s">
        <v>134</v>
      </c>
      <c r="C2648" t="s">
        <v>50</v>
      </c>
      <c r="D2648" s="6">
        <v>45812</v>
      </c>
      <c r="E2648" t="str">
        <f>VLOOKUP(B2648,'PROCV GERENTES BD'!A:B,2,0)</f>
        <v>RAFAEL PARISE</v>
      </c>
      <c r="F2648" s="4" t="str">
        <f t="shared" si="246"/>
        <v>2025-06</v>
      </c>
      <c r="G2648" s="18">
        <f t="shared" si="247"/>
        <v>23</v>
      </c>
      <c r="H2648" t="str">
        <f t="shared" si="248"/>
        <v>RAFAEL PARISE</v>
      </c>
      <c r="I2648" t="str">
        <f t="shared" si="249"/>
        <v>MAIS DISTRIBUIDORA LTDA</v>
      </c>
      <c r="J2648">
        <f t="shared" si="250"/>
        <v>0</v>
      </c>
      <c r="K2648">
        <f t="shared" si="251"/>
        <v>1</v>
      </c>
    </row>
    <row r="2649" spans="1:11" x14ac:dyDescent="0.25">
      <c r="A2649" t="s">
        <v>51</v>
      </c>
      <c r="B2649" t="s">
        <v>52</v>
      </c>
      <c r="C2649" t="s">
        <v>53</v>
      </c>
      <c r="D2649" s="6">
        <v>45812</v>
      </c>
      <c r="E2649" t="str">
        <f>VLOOKUP(B2649,'PROCV GERENTES BD'!A:B,2,0)</f>
        <v>RAFAEL PARISE</v>
      </c>
      <c r="F2649" s="4" t="str">
        <f t="shared" si="246"/>
        <v>2025-06</v>
      </c>
      <c r="G2649" s="18">
        <f t="shared" si="247"/>
        <v>23</v>
      </c>
      <c r="H2649" t="str">
        <f t="shared" si="248"/>
        <v>RAFAEL PARISE</v>
      </c>
      <c r="I2649" t="str">
        <f t="shared" si="249"/>
        <v>TDR TRANSPORTES LOGISTICA LTDA</v>
      </c>
      <c r="J2649">
        <f t="shared" si="250"/>
        <v>1</v>
      </c>
      <c r="K2649">
        <f t="shared" si="251"/>
        <v>1</v>
      </c>
    </row>
    <row r="2650" spans="1:11" x14ac:dyDescent="0.25">
      <c r="A2650" t="s">
        <v>323</v>
      </c>
      <c r="B2650" t="s">
        <v>109</v>
      </c>
      <c r="C2650" t="s">
        <v>66</v>
      </c>
      <c r="D2650" s="6">
        <v>45812</v>
      </c>
      <c r="E2650" t="str">
        <f>VLOOKUP(B2650,'PROCV GERENTES BD'!A:B,2,0)</f>
        <v>PROSPECTAR</v>
      </c>
      <c r="F2650" s="4" t="str">
        <f t="shared" si="246"/>
        <v>2025-06</v>
      </c>
      <c r="G2650" s="18">
        <f t="shared" si="247"/>
        <v>23</v>
      </c>
      <c r="H2650" t="str">
        <f t="shared" si="248"/>
        <v>PROSPECTAR</v>
      </c>
      <c r="I2650" t="str">
        <f t="shared" si="249"/>
        <v>SIAP COMERCIO DE PRODUTOS AGROPECUARIOS LTDA</v>
      </c>
      <c r="J2650">
        <f t="shared" si="250"/>
        <v>1</v>
      </c>
      <c r="K2650">
        <f t="shared" si="251"/>
        <v>0</v>
      </c>
    </row>
    <row r="2651" spans="1:11" x14ac:dyDescent="0.25">
      <c r="A2651" t="s">
        <v>324</v>
      </c>
      <c r="B2651" t="s">
        <v>119</v>
      </c>
      <c r="C2651" t="s">
        <v>50</v>
      </c>
      <c r="D2651" s="6">
        <v>45812</v>
      </c>
      <c r="E2651" t="str">
        <f>VLOOKUP(B2651,'PROCV GERENTES BD'!A:B,2,0)</f>
        <v>PROSPECTAR</v>
      </c>
      <c r="F2651" s="4" t="str">
        <f t="shared" si="246"/>
        <v>2025-06</v>
      </c>
      <c r="G2651" s="18">
        <f t="shared" si="247"/>
        <v>23</v>
      </c>
      <c r="H2651" t="str">
        <f t="shared" si="248"/>
        <v>PROSPECTAR</v>
      </c>
      <c r="I2651" t="str">
        <f t="shared" si="249"/>
        <v>TRANSHENRY TRANSPORTES LTDA</v>
      </c>
      <c r="J2651">
        <f t="shared" si="250"/>
        <v>0</v>
      </c>
      <c r="K2651">
        <f t="shared" si="251"/>
        <v>1</v>
      </c>
    </row>
    <row r="2652" spans="1:11" x14ac:dyDescent="0.25">
      <c r="A2652" t="s">
        <v>523</v>
      </c>
      <c r="B2652" t="s">
        <v>288</v>
      </c>
      <c r="C2652" t="s">
        <v>66</v>
      </c>
      <c r="D2652" s="6">
        <v>45812</v>
      </c>
      <c r="E2652" t="str">
        <f>VLOOKUP(B2652,'PROCV GERENTES BD'!A:B,2,0)</f>
        <v>ADMINISTRAÇÃO</v>
      </c>
      <c r="F2652" s="4" t="str">
        <f t="shared" si="246"/>
        <v>2025-06</v>
      </c>
      <c r="G2652" s="18">
        <f t="shared" si="247"/>
        <v>23</v>
      </c>
      <c r="H2652" t="str">
        <f t="shared" si="248"/>
        <v>ADMINISTRAÇÃO</v>
      </c>
      <c r="I2652" t="str">
        <f t="shared" si="249"/>
        <v>REFRACONT BRASIL LTDA</v>
      </c>
      <c r="J2652">
        <f t="shared" si="250"/>
        <v>1</v>
      </c>
      <c r="K2652">
        <f t="shared" si="251"/>
        <v>0</v>
      </c>
    </row>
    <row r="2653" spans="1:11" x14ac:dyDescent="0.25">
      <c r="A2653" t="s">
        <v>314</v>
      </c>
      <c r="B2653" t="s">
        <v>246</v>
      </c>
      <c r="C2653" t="s">
        <v>66</v>
      </c>
      <c r="D2653" s="6">
        <v>45812</v>
      </c>
      <c r="E2653" t="str">
        <f>VLOOKUP(B2653,'PROCV GERENTES BD'!A:B,2,0)</f>
        <v xml:space="preserve">ROGERIO </v>
      </c>
      <c r="F2653" s="4" t="str">
        <f t="shared" si="246"/>
        <v>2025-06</v>
      </c>
      <c r="G2653" s="18">
        <f t="shared" si="247"/>
        <v>23</v>
      </c>
      <c r="H2653" t="str">
        <f t="shared" si="248"/>
        <v xml:space="preserve">ROGERIO </v>
      </c>
      <c r="I2653" t="str">
        <f t="shared" si="249"/>
        <v>MUTCD CENTRO DE DISTRIBUICAO DE IND FABRICANTE DE</v>
      </c>
      <c r="J2653">
        <f t="shared" si="250"/>
        <v>1</v>
      </c>
      <c r="K2653">
        <f t="shared" si="251"/>
        <v>0</v>
      </c>
    </row>
    <row r="2654" spans="1:11" x14ac:dyDescent="0.25">
      <c r="A2654" t="s">
        <v>325</v>
      </c>
      <c r="B2654" t="s">
        <v>138</v>
      </c>
      <c r="C2654" t="s">
        <v>50</v>
      </c>
      <c r="D2654" s="6">
        <v>45812</v>
      </c>
      <c r="E2654" t="str">
        <f>VLOOKUP(B2654,'PROCV GERENTES BD'!A:B,2,0)</f>
        <v>SACADO</v>
      </c>
      <c r="F2654" s="4" t="str">
        <f t="shared" si="246"/>
        <v>2025-06</v>
      </c>
      <c r="G2654" s="18">
        <f t="shared" si="247"/>
        <v>23</v>
      </c>
      <c r="H2654" t="str">
        <f t="shared" si="248"/>
        <v>SACADO</v>
      </c>
      <c r="I2654" t="str">
        <f t="shared" si="249"/>
        <v>ALLIAGE S A INDUSTRIAS MEDICO ODONTOLOGICA</v>
      </c>
      <c r="J2654">
        <f t="shared" si="250"/>
        <v>0</v>
      </c>
      <c r="K2654">
        <f t="shared" si="251"/>
        <v>1</v>
      </c>
    </row>
    <row r="2655" spans="1:11" x14ac:dyDescent="0.25">
      <c r="A2655" t="s">
        <v>502</v>
      </c>
      <c r="B2655" t="s">
        <v>262</v>
      </c>
      <c r="C2655" t="s">
        <v>66</v>
      </c>
      <c r="D2655" s="6">
        <v>45813</v>
      </c>
      <c r="E2655" t="str">
        <f>VLOOKUP(B2655,'PROCV GERENTES BD'!A:B,2,0)</f>
        <v>ANTECIPA</v>
      </c>
      <c r="F2655" s="4" t="str">
        <f t="shared" si="246"/>
        <v>2025-06</v>
      </c>
      <c r="G2655" s="18">
        <f t="shared" si="247"/>
        <v>23</v>
      </c>
      <c r="H2655" t="str">
        <f t="shared" si="248"/>
        <v>ANTECIPA</v>
      </c>
      <c r="I2655" t="str">
        <f t="shared" si="249"/>
        <v>CONSTRUENGE ENGENHARIA E GERENCIAMENTO LTDA</v>
      </c>
      <c r="J2655">
        <f t="shared" si="250"/>
        <v>1</v>
      </c>
      <c r="K2655">
        <f t="shared" si="251"/>
        <v>0</v>
      </c>
    </row>
    <row r="2656" spans="1:11" x14ac:dyDescent="0.25">
      <c r="A2656" t="s">
        <v>324</v>
      </c>
      <c r="B2656" t="s">
        <v>119</v>
      </c>
      <c r="C2656" t="s">
        <v>66</v>
      </c>
      <c r="D2656" s="6">
        <v>45813</v>
      </c>
      <c r="E2656" t="str">
        <f>VLOOKUP(B2656,'PROCV GERENTES BD'!A:B,2,0)</f>
        <v>PROSPECTAR</v>
      </c>
      <c r="F2656" s="4" t="str">
        <f t="shared" si="246"/>
        <v>2025-06</v>
      </c>
      <c r="G2656" s="18">
        <f t="shared" si="247"/>
        <v>23</v>
      </c>
      <c r="H2656" t="str">
        <f t="shared" si="248"/>
        <v>PROSPECTAR</v>
      </c>
      <c r="I2656" t="str">
        <f t="shared" si="249"/>
        <v>TRANSHENRY TRANSPORTES LTDA</v>
      </c>
      <c r="J2656">
        <f t="shared" si="250"/>
        <v>1</v>
      </c>
      <c r="K2656">
        <f t="shared" si="251"/>
        <v>0</v>
      </c>
    </row>
    <row r="2657" spans="1:11" x14ac:dyDescent="0.25">
      <c r="A2657" t="s">
        <v>323</v>
      </c>
      <c r="B2657" t="s">
        <v>109</v>
      </c>
      <c r="C2657" t="s">
        <v>66</v>
      </c>
      <c r="D2657" s="6">
        <v>45813</v>
      </c>
      <c r="E2657" t="str">
        <f>VLOOKUP(B2657,'PROCV GERENTES BD'!A:B,2,0)</f>
        <v>PROSPECTAR</v>
      </c>
      <c r="F2657" s="4" t="str">
        <f t="shared" si="246"/>
        <v>2025-06</v>
      </c>
      <c r="G2657" s="18">
        <f t="shared" si="247"/>
        <v>23</v>
      </c>
      <c r="H2657" t="str">
        <f t="shared" si="248"/>
        <v>PROSPECTAR</v>
      </c>
      <c r="I2657" t="str">
        <f t="shared" si="249"/>
        <v>SIAP COMERCIO DE PRODUTOS AGROPECUARIOS LTDA</v>
      </c>
      <c r="J2657">
        <f t="shared" si="250"/>
        <v>1</v>
      </c>
      <c r="K2657">
        <f t="shared" si="251"/>
        <v>0</v>
      </c>
    </row>
    <row r="2658" spans="1:11" x14ac:dyDescent="0.25">
      <c r="A2658" t="s">
        <v>51</v>
      </c>
      <c r="B2658" t="s">
        <v>52</v>
      </c>
      <c r="C2658" t="s">
        <v>66</v>
      </c>
      <c r="D2658" s="6">
        <v>45813</v>
      </c>
      <c r="E2658" t="str">
        <f>VLOOKUP(B2658,'PROCV GERENTES BD'!A:B,2,0)</f>
        <v>RAFAEL PARISE</v>
      </c>
      <c r="F2658" s="4" t="str">
        <f t="shared" si="246"/>
        <v>2025-06</v>
      </c>
      <c r="G2658" s="18">
        <f t="shared" si="247"/>
        <v>23</v>
      </c>
      <c r="H2658" t="str">
        <f t="shared" si="248"/>
        <v>RAFAEL PARISE</v>
      </c>
      <c r="I2658" t="str">
        <f t="shared" si="249"/>
        <v>TDR TRANSPORTES LOGISTICA LTDA</v>
      </c>
      <c r="J2658">
        <f t="shared" si="250"/>
        <v>1</v>
      </c>
      <c r="K2658">
        <f t="shared" si="251"/>
        <v>0</v>
      </c>
    </row>
    <row r="2659" spans="1:11" x14ac:dyDescent="0.25">
      <c r="A2659" t="s">
        <v>387</v>
      </c>
      <c r="B2659" t="s">
        <v>134</v>
      </c>
      <c r="C2659" t="s">
        <v>53</v>
      </c>
      <c r="D2659" s="6">
        <v>45813</v>
      </c>
      <c r="E2659" t="str">
        <f>VLOOKUP(B2659,'PROCV GERENTES BD'!A:B,2,0)</f>
        <v>RAFAEL PARISE</v>
      </c>
      <c r="F2659" s="4" t="str">
        <f t="shared" si="246"/>
        <v>2025-06</v>
      </c>
      <c r="G2659" s="18">
        <f t="shared" si="247"/>
        <v>23</v>
      </c>
      <c r="H2659" t="str">
        <f t="shared" si="248"/>
        <v>RAFAEL PARISE</v>
      </c>
      <c r="I2659" t="str">
        <f t="shared" si="249"/>
        <v>MAIS DISTRIBUIDORA LTDA</v>
      </c>
      <c r="J2659">
        <f t="shared" si="250"/>
        <v>1</v>
      </c>
      <c r="K2659">
        <f t="shared" si="251"/>
        <v>1</v>
      </c>
    </row>
    <row r="2660" spans="1:11" x14ac:dyDescent="0.25">
      <c r="A2660" t="s">
        <v>331</v>
      </c>
      <c r="B2660" t="s">
        <v>144</v>
      </c>
      <c r="C2660" t="s">
        <v>50</v>
      </c>
      <c r="D2660" s="6">
        <v>45813</v>
      </c>
      <c r="E2660" t="str">
        <f>VLOOKUP(B2660,'PROCV GERENTES BD'!A:B,2,0)</f>
        <v>ADMINISTRAÇÃO</v>
      </c>
      <c r="F2660" s="4" t="str">
        <f t="shared" si="246"/>
        <v>2025-06</v>
      </c>
      <c r="G2660" s="18">
        <f t="shared" si="247"/>
        <v>23</v>
      </c>
      <c r="H2660" t="str">
        <f t="shared" si="248"/>
        <v>ADMINISTRAÇÃO</v>
      </c>
      <c r="I2660" t="str">
        <f t="shared" si="249"/>
        <v>BOM PASTOR PAPEIS LTDA EM RECUPERACAO JUDICIAL</v>
      </c>
      <c r="J2660">
        <f t="shared" si="250"/>
        <v>0</v>
      </c>
      <c r="K2660">
        <f t="shared" si="251"/>
        <v>1</v>
      </c>
    </row>
    <row r="2661" spans="1:11" x14ac:dyDescent="0.25">
      <c r="A2661" t="s">
        <v>56</v>
      </c>
      <c r="B2661" t="s">
        <v>57</v>
      </c>
      <c r="C2661" t="s">
        <v>53</v>
      </c>
      <c r="D2661" s="6">
        <v>45813</v>
      </c>
      <c r="E2661" t="str">
        <f>VLOOKUP(B2661,'PROCV GERENTES BD'!A:B,2,0)</f>
        <v xml:space="preserve">ROGERIO </v>
      </c>
      <c r="F2661" s="4" t="str">
        <f t="shared" si="246"/>
        <v>2025-06</v>
      </c>
      <c r="G2661" s="18">
        <f t="shared" si="247"/>
        <v>23</v>
      </c>
      <c r="H2661" t="str">
        <f t="shared" si="248"/>
        <v xml:space="preserve">ROGERIO </v>
      </c>
      <c r="I2661" t="str">
        <f t="shared" si="249"/>
        <v>RODOVIEIRA TRANSPORTE LTDA</v>
      </c>
      <c r="J2661">
        <f t="shared" si="250"/>
        <v>1</v>
      </c>
      <c r="K2661">
        <f t="shared" si="251"/>
        <v>1</v>
      </c>
    </row>
    <row r="2662" spans="1:11" x14ac:dyDescent="0.25">
      <c r="A2662" t="s">
        <v>319</v>
      </c>
      <c r="B2662" t="s">
        <v>80</v>
      </c>
      <c r="C2662" t="s">
        <v>50</v>
      </c>
      <c r="D2662" s="6">
        <v>45813</v>
      </c>
      <c r="E2662" t="str">
        <f>VLOOKUP(B2662,'PROCV GERENTES BD'!A:B,2,0)</f>
        <v>CELIO PIMENTA</v>
      </c>
      <c r="F2662" s="4" t="str">
        <f t="shared" si="246"/>
        <v>2025-06</v>
      </c>
      <c r="G2662" s="18">
        <f t="shared" si="247"/>
        <v>23</v>
      </c>
      <c r="H2662" t="str">
        <f t="shared" si="248"/>
        <v>CELIO PIMENTA</v>
      </c>
      <c r="I2662" t="str">
        <f t="shared" si="249"/>
        <v>IMPORTEXTIL COMERCIO DE TECIDOS LTDA</v>
      </c>
      <c r="J2662">
        <f t="shared" si="250"/>
        <v>0</v>
      </c>
      <c r="K2662">
        <f t="shared" si="251"/>
        <v>1</v>
      </c>
    </row>
    <row r="2663" spans="1:11" x14ac:dyDescent="0.25">
      <c r="A2663" t="s">
        <v>513</v>
      </c>
      <c r="B2663" t="s">
        <v>275</v>
      </c>
      <c r="C2663" t="s">
        <v>53</v>
      </c>
      <c r="D2663" s="6">
        <v>45813</v>
      </c>
      <c r="E2663" t="str">
        <f>VLOOKUP(B2663,'PROCV GERENTES BD'!A:B,2,0)</f>
        <v>ALISSON DE SOUZA LIMA</v>
      </c>
      <c r="F2663" s="4" t="str">
        <f t="shared" si="246"/>
        <v>2025-06</v>
      </c>
      <c r="G2663" s="18">
        <f t="shared" si="247"/>
        <v>23</v>
      </c>
      <c r="H2663" t="str">
        <f t="shared" si="248"/>
        <v>ALISSON DE SOUZA LIMA</v>
      </c>
      <c r="I2663" t="str">
        <f t="shared" si="249"/>
        <v>COMERCIAL JLX DISTRIBUIDORA LTDA ME</v>
      </c>
      <c r="J2663">
        <f t="shared" si="250"/>
        <v>1</v>
      </c>
      <c r="K2663">
        <f t="shared" si="251"/>
        <v>1</v>
      </c>
    </row>
    <row r="2664" spans="1:11" x14ac:dyDescent="0.25">
      <c r="A2664" t="s">
        <v>318</v>
      </c>
      <c r="B2664" t="s">
        <v>203</v>
      </c>
      <c r="C2664" t="s">
        <v>66</v>
      </c>
      <c r="D2664" s="6">
        <v>45813</v>
      </c>
      <c r="E2664" t="str">
        <f>VLOOKUP(B2664,'PROCV GERENTES BD'!A:B,2,0)</f>
        <v>JOSE ROBERTO</v>
      </c>
      <c r="F2664" s="4" t="str">
        <f t="shared" si="246"/>
        <v>2025-06</v>
      </c>
      <c r="G2664" s="18">
        <f t="shared" si="247"/>
        <v>23</v>
      </c>
      <c r="H2664" t="str">
        <f t="shared" si="248"/>
        <v>JOSE ROBERTO</v>
      </c>
      <c r="I2664" t="str">
        <f t="shared" si="249"/>
        <v>FUNDACAO DE ENSINO E PESQUISA DO SUL DE MINAS FEPE</v>
      </c>
      <c r="J2664">
        <f t="shared" si="250"/>
        <v>1</v>
      </c>
      <c r="K2664">
        <f t="shared" si="251"/>
        <v>0</v>
      </c>
    </row>
    <row r="2665" spans="1:11" x14ac:dyDescent="0.25">
      <c r="A2665" t="s">
        <v>60</v>
      </c>
      <c r="B2665" t="s">
        <v>61</v>
      </c>
      <c r="C2665" t="s">
        <v>50</v>
      </c>
      <c r="D2665" s="6">
        <v>45813</v>
      </c>
      <c r="E2665" t="str">
        <f>VLOOKUP(B2665,'PROCV GERENTES BD'!A:B,2,0)</f>
        <v xml:space="preserve">MARCUS VINICIUS </v>
      </c>
      <c r="F2665" s="4" t="str">
        <f t="shared" si="246"/>
        <v>2025-06</v>
      </c>
      <c r="G2665" s="18">
        <f t="shared" si="247"/>
        <v>23</v>
      </c>
      <c r="H2665" t="str">
        <f t="shared" si="248"/>
        <v xml:space="preserve">MARCUS VINICIUS </v>
      </c>
      <c r="I2665" t="str">
        <f t="shared" si="249"/>
        <v>COM IND DE CEREAIS E TRANSPORTES MACIEL LTDA</v>
      </c>
      <c r="J2665">
        <f t="shared" si="250"/>
        <v>0</v>
      </c>
      <c r="K2665">
        <f t="shared" si="251"/>
        <v>1</v>
      </c>
    </row>
    <row r="2666" spans="1:11" x14ac:dyDescent="0.25">
      <c r="A2666" t="s">
        <v>67</v>
      </c>
      <c r="B2666" t="s">
        <v>68</v>
      </c>
      <c r="C2666" t="s">
        <v>53</v>
      </c>
      <c r="D2666" s="6">
        <v>45813</v>
      </c>
      <c r="E2666" t="str">
        <f>VLOOKUP(B2666,'PROCV GERENTES BD'!A:B,2,0)</f>
        <v xml:space="preserve">ROGERIO </v>
      </c>
      <c r="F2666" s="4" t="str">
        <f t="shared" si="246"/>
        <v>2025-06</v>
      </c>
      <c r="G2666" s="18">
        <f t="shared" si="247"/>
        <v>23</v>
      </c>
      <c r="H2666" t="str">
        <f t="shared" si="248"/>
        <v xml:space="preserve">ROGERIO </v>
      </c>
      <c r="I2666" t="str">
        <f t="shared" si="249"/>
        <v>DIOTTONI INDUSTRIA E COMERCIO DE ALIMENTOS LTDA ME</v>
      </c>
      <c r="J2666">
        <f t="shared" si="250"/>
        <v>1</v>
      </c>
      <c r="K2666">
        <f t="shared" si="251"/>
        <v>1</v>
      </c>
    </row>
    <row r="2667" spans="1:11" x14ac:dyDescent="0.25">
      <c r="A2667" t="s">
        <v>314</v>
      </c>
      <c r="B2667" t="s">
        <v>246</v>
      </c>
      <c r="C2667" t="s">
        <v>66</v>
      </c>
      <c r="D2667" s="6">
        <v>45813</v>
      </c>
      <c r="E2667" t="str">
        <f>VLOOKUP(B2667,'PROCV GERENTES BD'!A:B,2,0)</f>
        <v xml:space="preserve">ROGERIO </v>
      </c>
      <c r="F2667" s="4" t="str">
        <f t="shared" si="246"/>
        <v>2025-06</v>
      </c>
      <c r="G2667" s="18">
        <f t="shared" si="247"/>
        <v>23</v>
      </c>
      <c r="H2667" t="str">
        <f t="shared" si="248"/>
        <v xml:space="preserve">ROGERIO </v>
      </c>
      <c r="I2667" t="str">
        <f t="shared" si="249"/>
        <v>MUTCD CENTRO DE DISTRIBUICAO DE IND FABRICANTE DE</v>
      </c>
      <c r="J2667">
        <f t="shared" si="250"/>
        <v>1</v>
      </c>
      <c r="K2667">
        <f t="shared" si="251"/>
        <v>0</v>
      </c>
    </row>
    <row r="2668" spans="1:11" x14ac:dyDescent="0.25">
      <c r="A2668" t="s">
        <v>324</v>
      </c>
      <c r="B2668" t="s">
        <v>119</v>
      </c>
      <c r="C2668" t="s">
        <v>66</v>
      </c>
      <c r="D2668" s="6">
        <v>45814</v>
      </c>
      <c r="E2668" t="str">
        <f>VLOOKUP(B2668,'PROCV GERENTES BD'!A:B,2,0)</f>
        <v>PROSPECTAR</v>
      </c>
      <c r="F2668" s="4" t="str">
        <f t="shared" si="246"/>
        <v>2025-06</v>
      </c>
      <c r="G2668" s="18">
        <f t="shared" si="247"/>
        <v>23</v>
      </c>
      <c r="H2668" t="str">
        <f t="shared" si="248"/>
        <v>PROSPECTAR</v>
      </c>
      <c r="I2668" t="str">
        <f t="shared" si="249"/>
        <v>TRANSHENRY TRANSPORTES LTDA</v>
      </c>
      <c r="J2668">
        <f t="shared" si="250"/>
        <v>1</v>
      </c>
      <c r="K2668">
        <f t="shared" si="251"/>
        <v>0</v>
      </c>
    </row>
    <row r="2669" spans="1:11" x14ac:dyDescent="0.25">
      <c r="A2669" t="s">
        <v>532</v>
      </c>
      <c r="B2669" t="s">
        <v>300</v>
      </c>
      <c r="C2669" t="s">
        <v>66</v>
      </c>
      <c r="D2669" s="6">
        <v>45814</v>
      </c>
      <c r="E2669" t="str">
        <f>VLOOKUP(B2669,'PROCV GERENTES BD'!A:B,2,0)</f>
        <v>RAFAEL PARISE</v>
      </c>
      <c r="F2669" s="4" t="str">
        <f t="shared" si="246"/>
        <v>2025-06</v>
      </c>
      <c r="G2669" s="18">
        <f t="shared" si="247"/>
        <v>23</v>
      </c>
      <c r="H2669" t="str">
        <f t="shared" si="248"/>
        <v>RAFAEL PARISE</v>
      </c>
      <c r="I2669" t="str">
        <f t="shared" si="249"/>
        <v>MINASPOL INDUSTRIA E COMERCIO DE COMPOSTOS POLIMER</v>
      </c>
      <c r="J2669">
        <f t="shared" si="250"/>
        <v>1</v>
      </c>
      <c r="K2669">
        <f t="shared" si="251"/>
        <v>0</v>
      </c>
    </row>
    <row r="2670" spans="1:11" x14ac:dyDescent="0.25">
      <c r="A2670" t="s">
        <v>387</v>
      </c>
      <c r="B2670" t="s">
        <v>134</v>
      </c>
      <c r="C2670" t="s">
        <v>50</v>
      </c>
      <c r="D2670" s="6">
        <v>45814</v>
      </c>
      <c r="E2670" t="str">
        <f>VLOOKUP(B2670,'PROCV GERENTES BD'!A:B,2,0)</f>
        <v>RAFAEL PARISE</v>
      </c>
      <c r="F2670" s="4" t="str">
        <f t="shared" si="246"/>
        <v>2025-06</v>
      </c>
      <c r="G2670" s="18">
        <f t="shared" si="247"/>
        <v>23</v>
      </c>
      <c r="H2670" t="str">
        <f t="shared" si="248"/>
        <v>RAFAEL PARISE</v>
      </c>
      <c r="I2670" t="str">
        <f t="shared" si="249"/>
        <v>MAIS DISTRIBUIDORA LTDA</v>
      </c>
      <c r="J2670">
        <f t="shared" si="250"/>
        <v>0</v>
      </c>
      <c r="K2670">
        <f t="shared" si="251"/>
        <v>1</v>
      </c>
    </row>
    <row r="2671" spans="1:11" x14ac:dyDescent="0.25">
      <c r="A2671" t="s">
        <v>501</v>
      </c>
      <c r="B2671" t="s">
        <v>260</v>
      </c>
      <c r="C2671" t="s">
        <v>66</v>
      </c>
      <c r="D2671" s="6">
        <v>45814</v>
      </c>
      <c r="E2671" t="str">
        <f>VLOOKUP(B2671,'PROCV GERENTES BD'!A:B,2,0)</f>
        <v>PROSPECTAR</v>
      </c>
      <c r="F2671" s="4" t="str">
        <f t="shared" si="246"/>
        <v>2025-06</v>
      </c>
      <c r="G2671" s="18">
        <f t="shared" si="247"/>
        <v>23</v>
      </c>
      <c r="H2671" t="str">
        <f t="shared" si="248"/>
        <v>PROSPECTAR</v>
      </c>
      <c r="I2671" t="str">
        <f t="shared" si="249"/>
        <v>ENGREMAT ENG PROJETO MANUTENCAO INSPECAO MONTAGENS</v>
      </c>
      <c r="J2671">
        <f t="shared" si="250"/>
        <v>1</v>
      </c>
      <c r="K2671">
        <f t="shared" si="251"/>
        <v>0</v>
      </c>
    </row>
    <row r="2672" spans="1:11" x14ac:dyDescent="0.25">
      <c r="A2672" t="s">
        <v>372</v>
      </c>
      <c r="B2672" t="s">
        <v>116</v>
      </c>
      <c r="C2672" t="s">
        <v>50</v>
      </c>
      <c r="D2672" s="6">
        <v>45814</v>
      </c>
      <c r="E2672" t="str">
        <f>VLOOKUP(B2672,'PROCV GERENTES BD'!A:B,2,0)</f>
        <v>ADMINISTRAÇÃO</v>
      </c>
      <c r="F2672" s="4" t="str">
        <f t="shared" si="246"/>
        <v>2025-06</v>
      </c>
      <c r="G2672" s="18">
        <f t="shared" si="247"/>
        <v>23</v>
      </c>
      <c r="H2672" t="str">
        <f t="shared" si="248"/>
        <v>ADMINISTRAÇÃO</v>
      </c>
      <c r="I2672" t="str">
        <f t="shared" si="249"/>
        <v>PREMOLDADOS MATOSINHOS LTDA EPP</v>
      </c>
      <c r="J2672">
        <f t="shared" si="250"/>
        <v>0</v>
      </c>
      <c r="K2672">
        <f t="shared" si="251"/>
        <v>1</v>
      </c>
    </row>
    <row r="2673" spans="1:11" x14ac:dyDescent="0.25">
      <c r="A2673" t="s">
        <v>499</v>
      </c>
      <c r="B2673" t="s">
        <v>258</v>
      </c>
      <c r="C2673" t="s">
        <v>66</v>
      </c>
      <c r="D2673" s="6">
        <v>45814</v>
      </c>
      <c r="E2673" t="str">
        <f>VLOOKUP(B2673,'PROCV GERENTES BD'!A:B,2,0)</f>
        <v>PRISCILA METZ</v>
      </c>
      <c r="F2673" s="4" t="str">
        <f t="shared" si="246"/>
        <v>2025-06</v>
      </c>
      <c r="G2673" s="18">
        <f t="shared" si="247"/>
        <v>23</v>
      </c>
      <c r="H2673" t="str">
        <f t="shared" si="248"/>
        <v>PRISCILA METZ</v>
      </c>
      <c r="I2673" t="str">
        <f t="shared" si="249"/>
        <v>PLATINUM INDUSTRIA DE CONFECCOES LTDA</v>
      </c>
      <c r="J2673">
        <f t="shared" si="250"/>
        <v>1</v>
      </c>
      <c r="K2673">
        <f t="shared" si="251"/>
        <v>0</v>
      </c>
    </row>
    <row r="2674" spans="1:11" x14ac:dyDescent="0.25">
      <c r="A2674" t="s">
        <v>64</v>
      </c>
      <c r="B2674" t="s">
        <v>65</v>
      </c>
      <c r="C2674" t="s">
        <v>53</v>
      </c>
      <c r="D2674" s="6">
        <v>45814</v>
      </c>
      <c r="E2674" t="str">
        <f>VLOOKUP(B2674,'PROCV GERENTES BD'!A:B,2,0)</f>
        <v>ADMINISTRAÇÃO</v>
      </c>
      <c r="F2674" s="4" t="str">
        <f t="shared" si="246"/>
        <v>2025-06</v>
      </c>
      <c r="G2674" s="18">
        <f t="shared" si="247"/>
        <v>23</v>
      </c>
      <c r="H2674" t="str">
        <f t="shared" si="248"/>
        <v>ADMINISTRAÇÃO</v>
      </c>
      <c r="I2674" t="str">
        <f t="shared" si="249"/>
        <v>SOCIAL S/A</v>
      </c>
      <c r="J2674">
        <f t="shared" si="250"/>
        <v>1</v>
      </c>
      <c r="K2674">
        <f t="shared" si="251"/>
        <v>1</v>
      </c>
    </row>
    <row r="2675" spans="1:11" x14ac:dyDescent="0.25">
      <c r="A2675" t="s">
        <v>369</v>
      </c>
      <c r="B2675" t="s">
        <v>113</v>
      </c>
      <c r="C2675" t="s">
        <v>50</v>
      </c>
      <c r="D2675" s="6">
        <v>45814</v>
      </c>
      <c r="E2675" t="str">
        <f>VLOOKUP(B2675,'PROCV GERENTES BD'!A:B,2,0)</f>
        <v xml:space="preserve">MARCUS VINICIUS </v>
      </c>
      <c r="F2675" s="4" t="str">
        <f t="shared" si="246"/>
        <v>2025-06</v>
      </c>
      <c r="G2675" s="18">
        <f t="shared" si="247"/>
        <v>23</v>
      </c>
      <c r="H2675" t="str">
        <f t="shared" si="248"/>
        <v xml:space="preserve">MARCUS VINICIUS </v>
      </c>
      <c r="I2675" t="str">
        <f t="shared" si="249"/>
        <v>ISOBASE POLIESTIRENO LTDA EPP</v>
      </c>
      <c r="J2675">
        <f t="shared" si="250"/>
        <v>0</v>
      </c>
      <c r="K2675">
        <f t="shared" si="251"/>
        <v>1</v>
      </c>
    </row>
    <row r="2676" spans="1:11" x14ac:dyDescent="0.25">
      <c r="A2676" t="s">
        <v>444</v>
      </c>
      <c r="B2676" t="s">
        <v>195</v>
      </c>
      <c r="C2676" t="s">
        <v>66</v>
      </c>
      <c r="D2676" s="6">
        <v>45814</v>
      </c>
      <c r="E2676" t="str">
        <f>VLOOKUP(B2676,'PROCV GERENTES BD'!A:B,2,0)</f>
        <v>RAFAEL PARISE</v>
      </c>
      <c r="F2676" s="4" t="str">
        <f t="shared" si="246"/>
        <v>2025-06</v>
      </c>
      <c r="G2676" s="18">
        <f t="shared" si="247"/>
        <v>23</v>
      </c>
      <c r="H2676" t="str">
        <f t="shared" si="248"/>
        <v>RAFAEL PARISE</v>
      </c>
      <c r="I2676" t="str">
        <f t="shared" si="249"/>
        <v>GEDIBOR RUBBER POLYURETHANE LTDA EPP</v>
      </c>
      <c r="J2676">
        <f t="shared" si="250"/>
        <v>1</v>
      </c>
      <c r="K2676">
        <f t="shared" si="251"/>
        <v>0</v>
      </c>
    </row>
    <row r="2677" spans="1:11" x14ac:dyDescent="0.25">
      <c r="A2677" t="s">
        <v>314</v>
      </c>
      <c r="B2677" t="s">
        <v>246</v>
      </c>
      <c r="C2677" t="s">
        <v>50</v>
      </c>
      <c r="D2677" s="6">
        <v>45814</v>
      </c>
      <c r="E2677" t="str">
        <f>VLOOKUP(B2677,'PROCV GERENTES BD'!A:B,2,0)</f>
        <v xml:space="preserve">ROGERIO </v>
      </c>
      <c r="F2677" s="4" t="str">
        <f t="shared" si="246"/>
        <v>2025-06</v>
      </c>
      <c r="G2677" s="18">
        <f t="shared" si="247"/>
        <v>23</v>
      </c>
      <c r="H2677" t="str">
        <f t="shared" si="248"/>
        <v xml:space="preserve">ROGERIO </v>
      </c>
      <c r="I2677" t="str">
        <f t="shared" si="249"/>
        <v>MUTCD CENTRO DE DISTRIBUICAO DE IND FABRICANTE DE</v>
      </c>
      <c r="J2677">
        <f t="shared" si="250"/>
        <v>0</v>
      </c>
      <c r="K2677">
        <f t="shared" si="251"/>
        <v>1</v>
      </c>
    </row>
    <row r="2678" spans="1:11" x14ac:dyDescent="0.25">
      <c r="A2678" t="s">
        <v>304</v>
      </c>
      <c r="B2678" t="s">
        <v>123</v>
      </c>
      <c r="C2678" t="s">
        <v>66</v>
      </c>
      <c r="D2678" s="6">
        <v>45815</v>
      </c>
      <c r="E2678" t="str">
        <f>VLOOKUP(B2678,'PROCV GERENTES BD'!A:B,2,0)</f>
        <v>ADMINISTRAÇÃO</v>
      </c>
      <c r="F2678" s="4" t="str">
        <f t="shared" si="246"/>
        <v>2025-06</v>
      </c>
      <c r="G2678" s="18">
        <f t="shared" si="247"/>
        <v>23</v>
      </c>
      <c r="H2678" t="str">
        <f t="shared" si="248"/>
        <v>ADMINISTRAÇÃO</v>
      </c>
      <c r="I2678" t="str">
        <f t="shared" si="249"/>
        <v>VIC LOGISTICA LTDA EM RECUPERACAO JUDICIAL</v>
      </c>
      <c r="J2678">
        <f t="shared" si="250"/>
        <v>1</v>
      </c>
      <c r="K2678">
        <f t="shared" si="251"/>
        <v>0</v>
      </c>
    </row>
    <row r="2679" spans="1:11" x14ac:dyDescent="0.25">
      <c r="A2679" t="s">
        <v>450</v>
      </c>
      <c r="B2679" t="s">
        <v>207</v>
      </c>
      <c r="C2679" t="s">
        <v>66</v>
      </c>
      <c r="D2679" s="6">
        <v>45815</v>
      </c>
      <c r="E2679" t="str">
        <f>VLOOKUP(B2679,'PROCV GERENTES BD'!A:B,2,0)</f>
        <v>CELIO PIMENTA</v>
      </c>
      <c r="F2679" s="4" t="str">
        <f t="shared" si="246"/>
        <v>2025-06</v>
      </c>
      <c r="G2679" s="18">
        <f t="shared" si="247"/>
        <v>23</v>
      </c>
      <c r="H2679" t="str">
        <f t="shared" si="248"/>
        <v>CELIO PIMENTA</v>
      </c>
      <c r="I2679" t="str">
        <f t="shared" si="249"/>
        <v>LIDER COMERCIO DE UNIFORMES E EPI S LTDA ME</v>
      </c>
      <c r="J2679">
        <f t="shared" si="250"/>
        <v>1</v>
      </c>
      <c r="K2679">
        <f t="shared" si="251"/>
        <v>0</v>
      </c>
    </row>
    <row r="2680" spans="1:11" x14ac:dyDescent="0.25">
      <c r="A2680" t="s">
        <v>67</v>
      </c>
      <c r="B2680" t="s">
        <v>68</v>
      </c>
      <c r="C2680" t="s">
        <v>50</v>
      </c>
      <c r="D2680" s="6">
        <v>45815</v>
      </c>
      <c r="E2680" t="str">
        <f>VLOOKUP(B2680,'PROCV GERENTES BD'!A:B,2,0)</f>
        <v xml:space="preserve">ROGERIO </v>
      </c>
      <c r="F2680" s="4" t="str">
        <f t="shared" si="246"/>
        <v>2025-06</v>
      </c>
      <c r="G2680" s="18">
        <f t="shared" si="247"/>
        <v>23</v>
      </c>
      <c r="H2680" t="str">
        <f t="shared" si="248"/>
        <v xml:space="preserve">ROGERIO </v>
      </c>
      <c r="I2680" t="str">
        <f t="shared" si="249"/>
        <v>DIOTTONI INDUSTRIA E COMERCIO DE ALIMENTOS LTDA ME</v>
      </c>
      <c r="J2680">
        <f t="shared" si="250"/>
        <v>0</v>
      </c>
      <c r="K2680">
        <f t="shared" si="251"/>
        <v>1</v>
      </c>
    </row>
    <row r="2681" spans="1:11" x14ac:dyDescent="0.25">
      <c r="A2681" t="s">
        <v>64</v>
      </c>
      <c r="B2681" t="s">
        <v>65</v>
      </c>
      <c r="C2681" t="s">
        <v>53</v>
      </c>
      <c r="D2681" s="6">
        <v>45815</v>
      </c>
      <c r="E2681" t="str">
        <f>VLOOKUP(B2681,'PROCV GERENTES BD'!A:B,2,0)</f>
        <v>ADMINISTRAÇÃO</v>
      </c>
      <c r="F2681" s="4" t="str">
        <f t="shared" si="246"/>
        <v>2025-06</v>
      </c>
      <c r="G2681" s="18">
        <f t="shared" si="247"/>
        <v>23</v>
      </c>
      <c r="H2681" t="str">
        <f t="shared" si="248"/>
        <v>ADMINISTRAÇÃO</v>
      </c>
      <c r="I2681" t="str">
        <f t="shared" si="249"/>
        <v>SOCIAL S/A</v>
      </c>
      <c r="J2681">
        <f t="shared" si="250"/>
        <v>1</v>
      </c>
      <c r="K2681">
        <f t="shared" si="251"/>
        <v>1</v>
      </c>
    </row>
    <row r="2682" spans="1:11" x14ac:dyDescent="0.25">
      <c r="A2682" t="s">
        <v>62</v>
      </c>
      <c r="B2682" t="s">
        <v>63</v>
      </c>
      <c r="C2682" t="s">
        <v>50</v>
      </c>
      <c r="D2682" s="6">
        <v>45815</v>
      </c>
      <c r="E2682" t="str">
        <f>VLOOKUP(B2682,'PROCV GERENTES BD'!A:B,2,0)</f>
        <v>PROSPECTAR</v>
      </c>
      <c r="F2682" s="4" t="str">
        <f t="shared" si="246"/>
        <v>2025-06</v>
      </c>
      <c r="G2682" s="18">
        <f t="shared" si="247"/>
        <v>23</v>
      </c>
      <c r="H2682" t="str">
        <f t="shared" si="248"/>
        <v>PROSPECTAR</v>
      </c>
      <c r="I2682" t="str">
        <f t="shared" si="249"/>
        <v>MAPP COM IMPORTACAO EXPORTACAO IND PRODUTOS ALIMEN</v>
      </c>
      <c r="J2682">
        <f t="shared" si="250"/>
        <v>0</v>
      </c>
      <c r="K2682">
        <f t="shared" si="251"/>
        <v>1</v>
      </c>
    </row>
    <row r="2683" spans="1:11" x14ac:dyDescent="0.25">
      <c r="A2683" t="s">
        <v>499</v>
      </c>
      <c r="B2683" t="s">
        <v>258</v>
      </c>
      <c r="C2683" t="s">
        <v>66</v>
      </c>
      <c r="D2683" s="6">
        <v>45815</v>
      </c>
      <c r="E2683" t="str">
        <f>VLOOKUP(B2683,'PROCV GERENTES BD'!A:B,2,0)</f>
        <v>PRISCILA METZ</v>
      </c>
      <c r="F2683" s="4" t="str">
        <f t="shared" si="246"/>
        <v>2025-06</v>
      </c>
      <c r="G2683" s="18">
        <f t="shared" si="247"/>
        <v>23</v>
      </c>
      <c r="H2683" t="str">
        <f t="shared" si="248"/>
        <v>PRISCILA METZ</v>
      </c>
      <c r="I2683" t="str">
        <f t="shared" si="249"/>
        <v>PLATINUM INDUSTRIA DE CONFECCOES LTDA</v>
      </c>
      <c r="J2683">
        <f t="shared" si="250"/>
        <v>1</v>
      </c>
      <c r="K2683">
        <f t="shared" si="251"/>
        <v>0</v>
      </c>
    </row>
    <row r="2684" spans="1:11" x14ac:dyDescent="0.25">
      <c r="A2684" t="s">
        <v>310</v>
      </c>
      <c r="B2684" t="s">
        <v>204</v>
      </c>
      <c r="C2684" t="s">
        <v>50</v>
      </c>
      <c r="D2684" s="6">
        <v>45815</v>
      </c>
      <c r="E2684" t="str">
        <f>VLOOKUP(B2684,'PROCV GERENTES BD'!A:B,2,0)</f>
        <v xml:space="preserve">MARCUS VINICIUS </v>
      </c>
      <c r="F2684" s="4" t="str">
        <f t="shared" si="246"/>
        <v>2025-06</v>
      </c>
      <c r="G2684" s="18">
        <f t="shared" si="247"/>
        <v>23</v>
      </c>
      <c r="H2684" t="str">
        <f t="shared" si="248"/>
        <v xml:space="preserve">MARCUS VINICIUS </v>
      </c>
      <c r="I2684" t="str">
        <f t="shared" si="249"/>
        <v>INDUSTRIA E COMERCIO DE CHURRASQUEIRAS BOM JESUS L</v>
      </c>
      <c r="J2684">
        <f t="shared" si="250"/>
        <v>0</v>
      </c>
      <c r="K2684">
        <f t="shared" si="251"/>
        <v>1</v>
      </c>
    </row>
    <row r="2685" spans="1:11" x14ac:dyDescent="0.25">
      <c r="A2685" t="s">
        <v>498</v>
      </c>
      <c r="B2685" t="s">
        <v>256</v>
      </c>
      <c r="C2685" t="s">
        <v>66</v>
      </c>
      <c r="D2685" s="6">
        <v>45815</v>
      </c>
      <c r="E2685" t="str">
        <f>VLOOKUP(B2685,'PROCV GERENTES BD'!A:B,2,0)</f>
        <v>CELIO PIMENTA</v>
      </c>
      <c r="F2685" s="4" t="str">
        <f t="shared" si="246"/>
        <v>2025-06</v>
      </c>
      <c r="G2685" s="18">
        <f t="shared" si="247"/>
        <v>23</v>
      </c>
      <c r="H2685" t="str">
        <f t="shared" si="248"/>
        <v>CELIO PIMENTA</v>
      </c>
      <c r="I2685" t="str">
        <f t="shared" si="249"/>
        <v>SEU TRATOR LTDA EPP</v>
      </c>
      <c r="J2685">
        <f t="shared" si="250"/>
        <v>1</v>
      </c>
      <c r="K2685">
        <f t="shared" si="251"/>
        <v>0</v>
      </c>
    </row>
    <row r="2686" spans="1:11" x14ac:dyDescent="0.25">
      <c r="A2686" t="s">
        <v>60</v>
      </c>
      <c r="B2686" t="s">
        <v>61</v>
      </c>
      <c r="C2686" t="s">
        <v>50</v>
      </c>
      <c r="D2686" s="6">
        <v>45815</v>
      </c>
      <c r="E2686" t="str">
        <f>VLOOKUP(B2686,'PROCV GERENTES BD'!A:B,2,0)</f>
        <v xml:space="preserve">MARCUS VINICIUS </v>
      </c>
      <c r="F2686" s="4" t="str">
        <f t="shared" si="246"/>
        <v>2025-06</v>
      </c>
      <c r="G2686" s="18">
        <f t="shared" si="247"/>
        <v>23</v>
      </c>
      <c r="H2686" t="str">
        <f t="shared" si="248"/>
        <v xml:space="preserve">MARCUS VINICIUS </v>
      </c>
      <c r="I2686" t="str">
        <f t="shared" si="249"/>
        <v>COM IND DE CEREAIS E TRANSPORTES MACIEL LTDA</v>
      </c>
      <c r="J2686">
        <f t="shared" si="250"/>
        <v>0</v>
      </c>
      <c r="K2686">
        <f t="shared" si="251"/>
        <v>1</v>
      </c>
    </row>
    <row r="2687" spans="1:11" x14ac:dyDescent="0.25">
      <c r="A2687" t="s">
        <v>58</v>
      </c>
      <c r="B2687" t="s">
        <v>59</v>
      </c>
      <c r="C2687" t="s">
        <v>66</v>
      </c>
      <c r="D2687" s="6">
        <v>45815</v>
      </c>
      <c r="E2687" t="str">
        <f>VLOOKUP(B2687,'PROCV GERENTES BD'!A:B,2,0)</f>
        <v>ADMINISTRAÇÃO</v>
      </c>
      <c r="F2687" s="4" t="str">
        <f t="shared" si="246"/>
        <v>2025-06</v>
      </c>
      <c r="G2687" s="18">
        <f t="shared" si="247"/>
        <v>23</v>
      </c>
      <c r="H2687" t="str">
        <f t="shared" si="248"/>
        <v>ADMINISTRAÇÃO</v>
      </c>
      <c r="I2687" t="str">
        <f t="shared" si="249"/>
        <v>BIOTECH LOGISTICA LTDA</v>
      </c>
      <c r="J2687">
        <f t="shared" si="250"/>
        <v>1</v>
      </c>
      <c r="K2687">
        <f t="shared" si="251"/>
        <v>0</v>
      </c>
    </row>
    <row r="2688" spans="1:11" x14ac:dyDescent="0.25">
      <c r="A2688" t="s">
        <v>319</v>
      </c>
      <c r="B2688" t="s">
        <v>80</v>
      </c>
      <c r="C2688" t="s">
        <v>50</v>
      </c>
      <c r="D2688" s="6">
        <v>45815</v>
      </c>
      <c r="E2688" t="str">
        <f>VLOOKUP(B2688,'PROCV GERENTES BD'!A:B,2,0)</f>
        <v>CELIO PIMENTA</v>
      </c>
      <c r="F2688" s="4" t="str">
        <f t="shared" si="246"/>
        <v>2025-06</v>
      </c>
      <c r="G2688" s="18">
        <f t="shared" si="247"/>
        <v>23</v>
      </c>
      <c r="H2688" t="str">
        <f t="shared" si="248"/>
        <v>CELIO PIMENTA</v>
      </c>
      <c r="I2688" t="str">
        <f t="shared" si="249"/>
        <v>IMPORTEXTIL COMERCIO DE TECIDOS LTDA</v>
      </c>
      <c r="J2688">
        <f t="shared" si="250"/>
        <v>0</v>
      </c>
      <c r="K2688">
        <f t="shared" si="251"/>
        <v>1</v>
      </c>
    </row>
    <row r="2689" spans="1:11" x14ac:dyDescent="0.25">
      <c r="A2689" t="s">
        <v>56</v>
      </c>
      <c r="B2689" t="s">
        <v>57</v>
      </c>
      <c r="C2689" t="s">
        <v>50</v>
      </c>
      <c r="D2689" s="6">
        <v>45815</v>
      </c>
      <c r="E2689" t="str">
        <f>VLOOKUP(B2689,'PROCV GERENTES BD'!A:B,2,0)</f>
        <v xml:space="preserve">ROGERIO </v>
      </c>
      <c r="F2689" s="4" t="str">
        <f t="shared" si="246"/>
        <v>2025-06</v>
      </c>
      <c r="G2689" s="18">
        <f t="shared" si="247"/>
        <v>23</v>
      </c>
      <c r="H2689" t="str">
        <f t="shared" si="248"/>
        <v xml:space="preserve">ROGERIO </v>
      </c>
      <c r="I2689" t="str">
        <f t="shared" si="249"/>
        <v>RODOVIEIRA TRANSPORTE LTDA</v>
      </c>
      <c r="J2689">
        <f t="shared" si="250"/>
        <v>0</v>
      </c>
      <c r="K2689">
        <f t="shared" si="251"/>
        <v>1</v>
      </c>
    </row>
    <row r="2690" spans="1:11" x14ac:dyDescent="0.25">
      <c r="A2690" t="s">
        <v>51</v>
      </c>
      <c r="B2690" t="s">
        <v>52</v>
      </c>
      <c r="C2690" t="s">
        <v>50</v>
      </c>
      <c r="D2690" s="6">
        <v>45815</v>
      </c>
      <c r="E2690" t="str">
        <f>VLOOKUP(B2690,'PROCV GERENTES BD'!A:B,2,0)</f>
        <v>RAFAEL PARISE</v>
      </c>
      <c r="F2690" s="4" t="str">
        <f t="shared" ref="F2690:F2753" si="252">YEAR(D2690)&amp;"-"&amp;TEXT(MONTH(D2690),"00")</f>
        <v>2025-06</v>
      </c>
      <c r="G2690" s="18">
        <f t="shared" ref="G2690:G2753" si="253">WEEKNUM(D2690)</f>
        <v>23</v>
      </c>
      <c r="H2690" t="str">
        <f t="shared" ref="H2690:H2753" si="254">E2690</f>
        <v>RAFAEL PARISE</v>
      </c>
      <c r="I2690" t="str">
        <f t="shared" ref="I2690:I2753" si="255">B2690</f>
        <v>TDR TRANSPORTES LOGISTICA LTDA</v>
      </c>
      <c r="J2690">
        <f t="shared" ref="J2690:J2753" si="256">IF(OR(C2690="EXCLUSAO  ANOT.INADIMPLENCIA",C2690="INCL/EXCL ANOT.INADIMPLENCIA"),1,0)</f>
        <v>0</v>
      </c>
      <c r="K2690">
        <f t="shared" ref="K2690:K2753" si="257">IF(OR(C2690="INCLUSAO  ANOT.INADIMPLENCIA",C2690="INCL/EXCL ANOT.INADIMPLENCIA"),1,0)</f>
        <v>1</v>
      </c>
    </row>
    <row r="2691" spans="1:11" x14ac:dyDescent="0.25">
      <c r="A2691" t="s">
        <v>324</v>
      </c>
      <c r="B2691" t="s">
        <v>119</v>
      </c>
      <c r="C2691" t="s">
        <v>53</v>
      </c>
      <c r="D2691" s="6">
        <v>45815</v>
      </c>
      <c r="E2691" t="str">
        <f>VLOOKUP(B2691,'PROCV GERENTES BD'!A:B,2,0)</f>
        <v>PROSPECTAR</v>
      </c>
      <c r="F2691" s="4" t="str">
        <f t="shared" si="252"/>
        <v>2025-06</v>
      </c>
      <c r="G2691" s="18">
        <f t="shared" si="253"/>
        <v>23</v>
      </c>
      <c r="H2691" t="str">
        <f t="shared" si="254"/>
        <v>PROSPECTAR</v>
      </c>
      <c r="I2691" t="str">
        <f t="shared" si="255"/>
        <v>TRANSHENRY TRANSPORTES LTDA</v>
      </c>
      <c r="J2691">
        <f t="shared" si="256"/>
        <v>1</v>
      </c>
      <c r="K2691">
        <f t="shared" si="257"/>
        <v>1</v>
      </c>
    </row>
    <row r="2692" spans="1:11" x14ac:dyDescent="0.25">
      <c r="A2692" t="s">
        <v>523</v>
      </c>
      <c r="B2692" t="s">
        <v>288</v>
      </c>
      <c r="C2692" t="s">
        <v>50</v>
      </c>
      <c r="D2692" s="6">
        <v>45815</v>
      </c>
      <c r="E2692" t="str">
        <f>VLOOKUP(B2692,'PROCV GERENTES BD'!A:B,2,0)</f>
        <v>ADMINISTRAÇÃO</v>
      </c>
      <c r="F2692" s="4" t="str">
        <f t="shared" si="252"/>
        <v>2025-06</v>
      </c>
      <c r="G2692" s="18">
        <f t="shared" si="253"/>
        <v>23</v>
      </c>
      <c r="H2692" t="str">
        <f t="shared" si="254"/>
        <v>ADMINISTRAÇÃO</v>
      </c>
      <c r="I2692" t="str">
        <f t="shared" si="255"/>
        <v>REFRACONT BRASIL LTDA</v>
      </c>
      <c r="J2692">
        <f t="shared" si="256"/>
        <v>0</v>
      </c>
      <c r="K2692">
        <f t="shared" si="257"/>
        <v>1</v>
      </c>
    </row>
    <row r="2693" spans="1:11" x14ac:dyDescent="0.25">
      <c r="A2693" t="s">
        <v>309</v>
      </c>
      <c r="B2693" t="s">
        <v>291</v>
      </c>
      <c r="C2693" t="s">
        <v>50</v>
      </c>
      <c r="D2693" s="6">
        <v>45815</v>
      </c>
      <c r="E2693" t="str">
        <f>VLOOKUP(B2693,'PROCV GERENTES BD'!A:B,2,0)</f>
        <v>ANTECIPA</v>
      </c>
      <c r="F2693" s="4" t="str">
        <f t="shared" si="252"/>
        <v>2025-06</v>
      </c>
      <c r="G2693" s="18">
        <f t="shared" si="253"/>
        <v>23</v>
      </c>
      <c r="H2693" t="str">
        <f t="shared" si="254"/>
        <v>ANTECIPA</v>
      </c>
      <c r="I2693" t="str">
        <f t="shared" si="255"/>
        <v>CENTRAL DO M R O COMERCIAL IMPORTACOES E SERVICOS</v>
      </c>
      <c r="J2693">
        <f t="shared" si="256"/>
        <v>0</v>
      </c>
      <c r="K2693">
        <f t="shared" si="257"/>
        <v>1</v>
      </c>
    </row>
    <row r="2694" spans="1:11" x14ac:dyDescent="0.25">
      <c r="A2694" t="s">
        <v>447</v>
      </c>
      <c r="B2694" t="s">
        <v>200</v>
      </c>
      <c r="C2694" t="s">
        <v>66</v>
      </c>
      <c r="D2694" s="6">
        <v>45815</v>
      </c>
      <c r="E2694" t="str">
        <f>VLOOKUP(B2694,'PROCV GERENTES BD'!A:B,2,0)</f>
        <v xml:space="preserve">ROGERIO </v>
      </c>
      <c r="F2694" s="4" t="str">
        <f t="shared" si="252"/>
        <v>2025-06</v>
      </c>
      <c r="G2694" s="18">
        <f t="shared" si="253"/>
        <v>23</v>
      </c>
      <c r="H2694" t="str">
        <f t="shared" si="254"/>
        <v xml:space="preserve">ROGERIO </v>
      </c>
      <c r="I2694" t="str">
        <f t="shared" si="255"/>
        <v>ORTHOSIDE INDUSTRIA E COMERCIO LTDA EPP</v>
      </c>
      <c r="J2694">
        <f t="shared" si="256"/>
        <v>1</v>
      </c>
      <c r="K2694">
        <f t="shared" si="257"/>
        <v>0</v>
      </c>
    </row>
    <row r="2695" spans="1:11" x14ac:dyDescent="0.25">
      <c r="A2695" t="s">
        <v>375</v>
      </c>
      <c r="B2695" t="s">
        <v>120</v>
      </c>
      <c r="C2695" t="s">
        <v>66</v>
      </c>
      <c r="D2695" s="6">
        <v>45818</v>
      </c>
      <c r="E2695" t="str">
        <f>VLOOKUP(B2695,'PROCV GERENTES BD'!A:B,2,0)</f>
        <v>ADMINISTRAÇÃO</v>
      </c>
      <c r="F2695" s="4" t="str">
        <f t="shared" si="252"/>
        <v>2025-06</v>
      </c>
      <c r="G2695" s="18">
        <f t="shared" si="253"/>
        <v>24</v>
      </c>
      <c r="H2695" t="str">
        <f t="shared" si="254"/>
        <v>ADMINISTRAÇÃO</v>
      </c>
      <c r="I2695" t="str">
        <f t="shared" si="255"/>
        <v>FARINELLI NUTRIMENTOS LTDA</v>
      </c>
      <c r="J2695">
        <f t="shared" si="256"/>
        <v>1</v>
      </c>
      <c r="K2695">
        <f t="shared" si="257"/>
        <v>0</v>
      </c>
    </row>
    <row r="2696" spans="1:11" x14ac:dyDescent="0.25">
      <c r="A2696" t="s">
        <v>463</v>
      </c>
      <c r="B2696" t="s">
        <v>220</v>
      </c>
      <c r="C2696" t="s">
        <v>50</v>
      </c>
      <c r="D2696" s="6">
        <v>45818</v>
      </c>
      <c r="E2696" t="str">
        <f>VLOOKUP(B2696,'PROCV GERENTES BD'!A:B,2,0)</f>
        <v>ADMINISTRAÇÃO</v>
      </c>
      <c r="F2696" s="4" t="str">
        <f t="shared" si="252"/>
        <v>2025-06</v>
      </c>
      <c r="G2696" s="18">
        <f t="shared" si="253"/>
        <v>24</v>
      </c>
      <c r="H2696" t="str">
        <f t="shared" si="254"/>
        <v>ADMINISTRAÇÃO</v>
      </c>
      <c r="I2696" t="str">
        <f t="shared" si="255"/>
        <v>A C ESPORTES S A F</v>
      </c>
      <c r="J2696">
        <f t="shared" si="256"/>
        <v>0</v>
      </c>
      <c r="K2696">
        <f t="shared" si="257"/>
        <v>1</v>
      </c>
    </row>
    <row r="2697" spans="1:11" x14ac:dyDescent="0.25">
      <c r="A2697" t="s">
        <v>440</v>
      </c>
      <c r="B2697" t="s">
        <v>191</v>
      </c>
      <c r="C2697" t="s">
        <v>50</v>
      </c>
      <c r="D2697" s="6">
        <v>45818</v>
      </c>
      <c r="E2697" t="str">
        <f>VLOOKUP(B2697,'PROCV GERENTES BD'!A:B,2,0)</f>
        <v>PROSPECTAR</v>
      </c>
      <c r="F2697" s="4" t="str">
        <f t="shared" si="252"/>
        <v>2025-06</v>
      </c>
      <c r="G2697" s="18">
        <f t="shared" si="253"/>
        <v>24</v>
      </c>
      <c r="H2697" t="str">
        <f t="shared" si="254"/>
        <v>PROSPECTAR</v>
      </c>
      <c r="I2697" t="str">
        <f t="shared" si="255"/>
        <v>SAFRA OURO AGRONEGOCIOS LTDA EPP</v>
      </c>
      <c r="J2697">
        <f t="shared" si="256"/>
        <v>0</v>
      </c>
      <c r="K2697">
        <f t="shared" si="257"/>
        <v>1</v>
      </c>
    </row>
    <row r="2698" spans="1:11" x14ac:dyDescent="0.25">
      <c r="A2698" t="s">
        <v>314</v>
      </c>
      <c r="B2698" t="s">
        <v>246</v>
      </c>
      <c r="C2698" t="s">
        <v>50</v>
      </c>
      <c r="D2698" s="6">
        <v>45818</v>
      </c>
      <c r="E2698" t="str">
        <f>VLOOKUP(B2698,'PROCV GERENTES BD'!A:B,2,0)</f>
        <v xml:space="preserve">ROGERIO </v>
      </c>
      <c r="F2698" s="4" t="str">
        <f t="shared" si="252"/>
        <v>2025-06</v>
      </c>
      <c r="G2698" s="18">
        <f t="shared" si="253"/>
        <v>24</v>
      </c>
      <c r="H2698" t="str">
        <f t="shared" si="254"/>
        <v xml:space="preserve">ROGERIO </v>
      </c>
      <c r="I2698" t="str">
        <f t="shared" si="255"/>
        <v>MUTCD CENTRO DE DISTRIBUICAO DE IND FABRICANTE DE</v>
      </c>
      <c r="J2698">
        <f t="shared" si="256"/>
        <v>0</v>
      </c>
      <c r="K2698">
        <f t="shared" si="257"/>
        <v>1</v>
      </c>
    </row>
    <row r="2699" spans="1:11" x14ac:dyDescent="0.25">
      <c r="A2699" t="s">
        <v>76</v>
      </c>
      <c r="B2699" t="s">
        <v>77</v>
      </c>
      <c r="C2699" t="s">
        <v>50</v>
      </c>
      <c r="D2699" s="6">
        <v>45818</v>
      </c>
      <c r="E2699" t="str">
        <f>VLOOKUP(B2699,'PROCV GERENTES BD'!A:B,2,0)</f>
        <v>RAFAEL PARISE</v>
      </c>
      <c r="F2699" s="4" t="str">
        <f t="shared" si="252"/>
        <v>2025-06</v>
      </c>
      <c r="G2699" s="18">
        <f t="shared" si="253"/>
        <v>24</v>
      </c>
      <c r="H2699" t="str">
        <f t="shared" si="254"/>
        <v>RAFAEL PARISE</v>
      </c>
      <c r="I2699" t="str">
        <f t="shared" si="255"/>
        <v>UNITA AUTO PECAS LTDA EPP</v>
      </c>
      <c r="J2699">
        <f t="shared" si="256"/>
        <v>0</v>
      </c>
      <c r="K2699">
        <f t="shared" si="257"/>
        <v>1</v>
      </c>
    </row>
    <row r="2700" spans="1:11" x14ac:dyDescent="0.25">
      <c r="A2700" t="s">
        <v>370</v>
      </c>
      <c r="B2700" t="s">
        <v>114</v>
      </c>
      <c r="C2700" t="s">
        <v>66</v>
      </c>
      <c r="D2700" s="6">
        <v>45818</v>
      </c>
      <c r="E2700" t="str">
        <f>VLOOKUP(B2700,'PROCV GERENTES BD'!A:B,2,0)</f>
        <v>POENATELA</v>
      </c>
      <c r="F2700" s="4" t="str">
        <f t="shared" si="252"/>
        <v>2025-06</v>
      </c>
      <c r="G2700" s="18">
        <f t="shared" si="253"/>
        <v>24</v>
      </c>
      <c r="H2700" t="str">
        <f t="shared" si="254"/>
        <v>POENATELA</v>
      </c>
      <c r="I2700" t="str">
        <f t="shared" si="255"/>
        <v>COOPERATIVA TRANSP AUTON CARGAS PASSAG SERVICOS LO</v>
      </c>
      <c r="J2700">
        <f t="shared" si="256"/>
        <v>1</v>
      </c>
      <c r="K2700">
        <f t="shared" si="257"/>
        <v>0</v>
      </c>
    </row>
    <row r="2701" spans="1:11" x14ac:dyDescent="0.25">
      <c r="A2701" t="s">
        <v>74</v>
      </c>
      <c r="B2701" t="s">
        <v>75</v>
      </c>
      <c r="C2701" t="s">
        <v>50</v>
      </c>
      <c r="D2701" s="6">
        <v>45818</v>
      </c>
      <c r="E2701" t="str">
        <f>VLOOKUP(B2701,'PROCV GERENTES BD'!A:B,2,0)</f>
        <v>CAIO</v>
      </c>
      <c r="F2701" s="4" t="str">
        <f t="shared" si="252"/>
        <v>2025-06</v>
      </c>
      <c r="G2701" s="18">
        <f t="shared" si="253"/>
        <v>24</v>
      </c>
      <c r="H2701" t="str">
        <f t="shared" si="254"/>
        <v>CAIO</v>
      </c>
      <c r="I2701" t="str">
        <f t="shared" si="255"/>
        <v>TP DISTRIBUIDORA DE PECAS LTDA EPP</v>
      </c>
      <c r="J2701">
        <f t="shared" si="256"/>
        <v>0</v>
      </c>
      <c r="K2701">
        <f t="shared" si="257"/>
        <v>1</v>
      </c>
    </row>
    <row r="2702" spans="1:11" x14ac:dyDescent="0.25">
      <c r="A2702" t="s">
        <v>316</v>
      </c>
      <c r="B2702" t="s">
        <v>302</v>
      </c>
      <c r="C2702" t="s">
        <v>50</v>
      </c>
      <c r="D2702" s="6">
        <v>45818</v>
      </c>
      <c r="E2702" t="str">
        <f>VLOOKUP(B2702,'PROCV GERENTES BD'!A:B,2,0)</f>
        <v>CELIO PIMENTA</v>
      </c>
      <c r="F2702" s="4" t="str">
        <f t="shared" si="252"/>
        <v>2025-06</v>
      </c>
      <c r="G2702" s="18">
        <f t="shared" si="253"/>
        <v>24</v>
      </c>
      <c r="H2702" t="str">
        <f t="shared" si="254"/>
        <v>CELIO PIMENTA</v>
      </c>
      <c r="I2702" t="str">
        <f t="shared" si="255"/>
        <v>LOTUS DESENVOLVIMENTO IMOBILIARIO LTDA</v>
      </c>
      <c r="J2702">
        <f t="shared" si="256"/>
        <v>0</v>
      </c>
      <c r="K2702">
        <f t="shared" si="257"/>
        <v>1</v>
      </c>
    </row>
    <row r="2703" spans="1:11" x14ac:dyDescent="0.25">
      <c r="A2703" t="s">
        <v>64</v>
      </c>
      <c r="B2703" t="s">
        <v>65</v>
      </c>
      <c r="C2703" t="s">
        <v>50</v>
      </c>
      <c r="D2703" s="6">
        <v>45818</v>
      </c>
      <c r="E2703" t="str">
        <f>VLOOKUP(B2703,'PROCV GERENTES BD'!A:B,2,0)</f>
        <v>ADMINISTRAÇÃO</v>
      </c>
      <c r="F2703" s="4" t="str">
        <f t="shared" si="252"/>
        <v>2025-06</v>
      </c>
      <c r="G2703" s="18">
        <f t="shared" si="253"/>
        <v>24</v>
      </c>
      <c r="H2703" t="str">
        <f t="shared" si="254"/>
        <v>ADMINISTRAÇÃO</v>
      </c>
      <c r="I2703" t="str">
        <f t="shared" si="255"/>
        <v>SOCIAL S/A</v>
      </c>
      <c r="J2703">
        <f t="shared" si="256"/>
        <v>0</v>
      </c>
      <c r="K2703">
        <f t="shared" si="257"/>
        <v>1</v>
      </c>
    </row>
    <row r="2704" spans="1:11" x14ac:dyDescent="0.25">
      <c r="A2704" t="s">
        <v>420</v>
      </c>
      <c r="B2704" t="s">
        <v>170</v>
      </c>
      <c r="C2704" t="s">
        <v>66</v>
      </c>
      <c r="D2704" s="6">
        <v>45818</v>
      </c>
      <c r="E2704" t="str">
        <f>VLOOKUP(B2704,'PROCV GERENTES BD'!A:B,2,0)</f>
        <v>POENATELA</v>
      </c>
      <c r="F2704" s="4" t="str">
        <f t="shared" si="252"/>
        <v>2025-06</v>
      </c>
      <c r="G2704" s="18">
        <f t="shared" si="253"/>
        <v>24</v>
      </c>
      <c r="H2704" t="str">
        <f t="shared" si="254"/>
        <v>POENATELA</v>
      </c>
      <c r="I2704" t="str">
        <f t="shared" si="255"/>
        <v>SAVIXX COMERCIO INTERNACIONAL S/A</v>
      </c>
      <c r="J2704">
        <f t="shared" si="256"/>
        <v>1</v>
      </c>
      <c r="K2704">
        <f t="shared" si="257"/>
        <v>0</v>
      </c>
    </row>
    <row r="2705" spans="1:11" x14ac:dyDescent="0.25">
      <c r="A2705" t="s">
        <v>62</v>
      </c>
      <c r="B2705" t="s">
        <v>63</v>
      </c>
      <c r="C2705" t="s">
        <v>50</v>
      </c>
      <c r="D2705" s="6">
        <v>45818</v>
      </c>
      <c r="E2705" t="str">
        <f>VLOOKUP(B2705,'PROCV GERENTES BD'!A:B,2,0)</f>
        <v>PROSPECTAR</v>
      </c>
      <c r="F2705" s="4" t="str">
        <f t="shared" si="252"/>
        <v>2025-06</v>
      </c>
      <c r="G2705" s="18">
        <f t="shared" si="253"/>
        <v>24</v>
      </c>
      <c r="H2705" t="str">
        <f t="shared" si="254"/>
        <v>PROSPECTAR</v>
      </c>
      <c r="I2705" t="str">
        <f t="shared" si="255"/>
        <v>MAPP COM IMPORTACAO EXPORTACAO IND PRODUTOS ALIMEN</v>
      </c>
      <c r="J2705">
        <f t="shared" si="256"/>
        <v>0</v>
      </c>
      <c r="K2705">
        <f t="shared" si="257"/>
        <v>1</v>
      </c>
    </row>
    <row r="2706" spans="1:11" x14ac:dyDescent="0.25">
      <c r="A2706" t="s">
        <v>60</v>
      </c>
      <c r="B2706" t="s">
        <v>61</v>
      </c>
      <c r="C2706" t="s">
        <v>50</v>
      </c>
      <c r="D2706" s="6">
        <v>45818</v>
      </c>
      <c r="E2706" t="str">
        <f>VLOOKUP(B2706,'PROCV GERENTES BD'!A:B,2,0)</f>
        <v xml:space="preserve">MARCUS VINICIUS </v>
      </c>
      <c r="F2706" s="4" t="str">
        <f t="shared" si="252"/>
        <v>2025-06</v>
      </c>
      <c r="G2706" s="18">
        <f t="shared" si="253"/>
        <v>24</v>
      </c>
      <c r="H2706" t="str">
        <f t="shared" si="254"/>
        <v xml:space="preserve">MARCUS VINICIUS </v>
      </c>
      <c r="I2706" t="str">
        <f t="shared" si="255"/>
        <v>COM IND DE CEREAIS E TRANSPORTES MACIEL LTDA</v>
      </c>
      <c r="J2706">
        <f t="shared" si="256"/>
        <v>0</v>
      </c>
      <c r="K2706">
        <f t="shared" si="257"/>
        <v>1</v>
      </c>
    </row>
    <row r="2707" spans="1:11" x14ac:dyDescent="0.25">
      <c r="A2707" t="s">
        <v>317</v>
      </c>
      <c r="B2707" t="s">
        <v>280</v>
      </c>
      <c r="C2707" t="s">
        <v>50</v>
      </c>
      <c r="D2707" s="6">
        <v>45818</v>
      </c>
      <c r="E2707" t="str">
        <f>VLOOKUP(B2707,'PROCV GERENTES BD'!A:B,2,0)</f>
        <v>PROSPECTAR</v>
      </c>
      <c r="F2707" s="4" t="str">
        <f t="shared" si="252"/>
        <v>2025-06</v>
      </c>
      <c r="G2707" s="18">
        <f t="shared" si="253"/>
        <v>24</v>
      </c>
      <c r="H2707" t="str">
        <f t="shared" si="254"/>
        <v>PROSPECTAR</v>
      </c>
      <c r="I2707" t="str">
        <f t="shared" si="255"/>
        <v>STA TECHCANA LTDA</v>
      </c>
      <c r="J2707">
        <f t="shared" si="256"/>
        <v>0</v>
      </c>
      <c r="K2707">
        <f t="shared" si="257"/>
        <v>1</v>
      </c>
    </row>
    <row r="2708" spans="1:11" x14ac:dyDescent="0.25">
      <c r="A2708" t="s">
        <v>353</v>
      </c>
      <c r="B2708" t="s">
        <v>97</v>
      </c>
      <c r="C2708" t="s">
        <v>50</v>
      </c>
      <c r="D2708" s="6">
        <v>45818</v>
      </c>
      <c r="E2708" t="str">
        <f>VLOOKUP(B2708,'PROCV GERENTES BD'!A:B,2,0)</f>
        <v>PRISCILA METZ</v>
      </c>
      <c r="F2708" s="4" t="str">
        <f t="shared" si="252"/>
        <v>2025-06</v>
      </c>
      <c r="G2708" s="18">
        <f t="shared" si="253"/>
        <v>24</v>
      </c>
      <c r="H2708" t="str">
        <f t="shared" si="254"/>
        <v>PRISCILA METZ</v>
      </c>
      <c r="I2708" t="str">
        <f t="shared" si="255"/>
        <v>ESSENZA INDUSTRIA QUIMICA LTDA</v>
      </c>
      <c r="J2708">
        <f t="shared" si="256"/>
        <v>0</v>
      </c>
      <c r="K2708">
        <f t="shared" si="257"/>
        <v>1</v>
      </c>
    </row>
    <row r="2709" spans="1:11" x14ac:dyDescent="0.25">
      <c r="A2709" t="s">
        <v>58</v>
      </c>
      <c r="B2709" t="s">
        <v>59</v>
      </c>
      <c r="C2709" t="s">
        <v>66</v>
      </c>
      <c r="D2709" s="6">
        <v>45818</v>
      </c>
      <c r="E2709" t="str">
        <f>VLOOKUP(B2709,'PROCV GERENTES BD'!A:B,2,0)</f>
        <v>ADMINISTRAÇÃO</v>
      </c>
      <c r="F2709" s="4" t="str">
        <f t="shared" si="252"/>
        <v>2025-06</v>
      </c>
      <c r="G2709" s="18">
        <f t="shared" si="253"/>
        <v>24</v>
      </c>
      <c r="H2709" t="str">
        <f t="shared" si="254"/>
        <v>ADMINISTRAÇÃO</v>
      </c>
      <c r="I2709" t="str">
        <f t="shared" si="255"/>
        <v>BIOTECH LOGISTICA LTDA</v>
      </c>
      <c r="J2709">
        <f t="shared" si="256"/>
        <v>1</v>
      </c>
      <c r="K2709">
        <f t="shared" si="257"/>
        <v>0</v>
      </c>
    </row>
    <row r="2710" spans="1:11" x14ac:dyDescent="0.25">
      <c r="A2710" t="s">
        <v>530</v>
      </c>
      <c r="B2710" t="s">
        <v>298</v>
      </c>
      <c r="C2710" t="s">
        <v>66</v>
      </c>
      <c r="D2710" s="6">
        <v>45818</v>
      </c>
      <c r="E2710" t="str">
        <f>VLOOKUP(B2710,'PROCV GERENTES BD'!A:B,2,0)</f>
        <v>ALISSON DE SOUZA LIMA</v>
      </c>
      <c r="F2710" s="4" t="str">
        <f t="shared" si="252"/>
        <v>2025-06</v>
      </c>
      <c r="G2710" s="18">
        <f t="shared" si="253"/>
        <v>24</v>
      </c>
      <c r="H2710" t="str">
        <f t="shared" si="254"/>
        <v>ALISSON DE SOUZA LIMA</v>
      </c>
      <c r="I2710" t="str">
        <f t="shared" si="255"/>
        <v>ANGIOMEDIC COMERCIO DE MATERIAL MEDICO HOSPITALAR</v>
      </c>
      <c r="J2710">
        <f t="shared" si="256"/>
        <v>1</v>
      </c>
      <c r="K2710">
        <f t="shared" si="257"/>
        <v>0</v>
      </c>
    </row>
    <row r="2711" spans="1:11" x14ac:dyDescent="0.25">
      <c r="A2711" t="s">
        <v>319</v>
      </c>
      <c r="B2711" t="s">
        <v>80</v>
      </c>
      <c r="C2711" t="s">
        <v>50</v>
      </c>
      <c r="D2711" s="6">
        <v>45818</v>
      </c>
      <c r="E2711" t="str">
        <f>VLOOKUP(B2711,'PROCV GERENTES BD'!A:B,2,0)</f>
        <v>CELIO PIMENTA</v>
      </c>
      <c r="F2711" s="4" t="str">
        <f t="shared" si="252"/>
        <v>2025-06</v>
      </c>
      <c r="G2711" s="18">
        <f t="shared" si="253"/>
        <v>24</v>
      </c>
      <c r="H2711" t="str">
        <f t="shared" si="254"/>
        <v>CELIO PIMENTA</v>
      </c>
      <c r="I2711" t="str">
        <f t="shared" si="255"/>
        <v>IMPORTEXTIL COMERCIO DE TECIDOS LTDA</v>
      </c>
      <c r="J2711">
        <f t="shared" si="256"/>
        <v>0</v>
      </c>
      <c r="K2711">
        <f t="shared" si="257"/>
        <v>1</v>
      </c>
    </row>
    <row r="2712" spans="1:11" x14ac:dyDescent="0.25">
      <c r="A2712" t="s">
        <v>56</v>
      </c>
      <c r="B2712" t="s">
        <v>57</v>
      </c>
      <c r="C2712" t="s">
        <v>50</v>
      </c>
      <c r="D2712" s="6">
        <v>45818</v>
      </c>
      <c r="E2712" t="str">
        <f>VLOOKUP(B2712,'PROCV GERENTES BD'!A:B,2,0)</f>
        <v xml:space="preserve">ROGERIO </v>
      </c>
      <c r="F2712" s="4" t="str">
        <f t="shared" si="252"/>
        <v>2025-06</v>
      </c>
      <c r="G2712" s="18">
        <f t="shared" si="253"/>
        <v>24</v>
      </c>
      <c r="H2712" t="str">
        <f t="shared" si="254"/>
        <v xml:space="preserve">ROGERIO </v>
      </c>
      <c r="I2712" t="str">
        <f t="shared" si="255"/>
        <v>RODOVIEIRA TRANSPORTE LTDA</v>
      </c>
      <c r="J2712">
        <f t="shared" si="256"/>
        <v>0</v>
      </c>
      <c r="K2712">
        <f t="shared" si="257"/>
        <v>1</v>
      </c>
    </row>
    <row r="2713" spans="1:11" x14ac:dyDescent="0.25">
      <c r="A2713" t="s">
        <v>331</v>
      </c>
      <c r="B2713" t="s">
        <v>144</v>
      </c>
      <c r="C2713" t="s">
        <v>50</v>
      </c>
      <c r="D2713" s="6">
        <v>45818</v>
      </c>
      <c r="E2713" t="str">
        <f>VLOOKUP(B2713,'PROCV GERENTES BD'!A:B,2,0)</f>
        <v>ADMINISTRAÇÃO</v>
      </c>
      <c r="F2713" s="4" t="str">
        <f t="shared" si="252"/>
        <v>2025-06</v>
      </c>
      <c r="G2713" s="18">
        <f t="shared" si="253"/>
        <v>24</v>
      </c>
      <c r="H2713" t="str">
        <f t="shared" si="254"/>
        <v>ADMINISTRAÇÃO</v>
      </c>
      <c r="I2713" t="str">
        <f t="shared" si="255"/>
        <v>BOM PASTOR PAPEIS LTDA EM RECUPERACAO JUDICIAL</v>
      </c>
      <c r="J2713">
        <f t="shared" si="256"/>
        <v>0</v>
      </c>
      <c r="K2713">
        <f t="shared" si="257"/>
        <v>1</v>
      </c>
    </row>
    <row r="2714" spans="1:11" x14ac:dyDescent="0.25">
      <c r="A2714" t="s">
        <v>387</v>
      </c>
      <c r="B2714" t="s">
        <v>134</v>
      </c>
      <c r="C2714" t="s">
        <v>50</v>
      </c>
      <c r="D2714" s="6">
        <v>45818</v>
      </c>
      <c r="E2714" t="str">
        <f>VLOOKUP(B2714,'PROCV GERENTES BD'!A:B,2,0)</f>
        <v>RAFAEL PARISE</v>
      </c>
      <c r="F2714" s="4" t="str">
        <f t="shared" si="252"/>
        <v>2025-06</v>
      </c>
      <c r="G2714" s="18">
        <f t="shared" si="253"/>
        <v>24</v>
      </c>
      <c r="H2714" t="str">
        <f t="shared" si="254"/>
        <v>RAFAEL PARISE</v>
      </c>
      <c r="I2714" t="str">
        <f t="shared" si="255"/>
        <v>MAIS DISTRIBUIDORA LTDA</v>
      </c>
      <c r="J2714">
        <f t="shared" si="256"/>
        <v>0</v>
      </c>
      <c r="K2714">
        <f t="shared" si="257"/>
        <v>1</v>
      </c>
    </row>
    <row r="2715" spans="1:11" x14ac:dyDescent="0.25">
      <c r="A2715" t="s">
        <v>363</v>
      </c>
      <c r="B2715" t="s">
        <v>108</v>
      </c>
      <c r="C2715" t="s">
        <v>50</v>
      </c>
      <c r="D2715" s="6">
        <v>45818</v>
      </c>
      <c r="E2715" t="str">
        <f>VLOOKUP(B2715,'PROCV GERENTES BD'!A:B,2,0)</f>
        <v>ANDERSON FRAGA</v>
      </c>
      <c r="F2715" s="4" t="str">
        <f t="shared" si="252"/>
        <v>2025-06</v>
      </c>
      <c r="G2715" s="18">
        <f t="shared" si="253"/>
        <v>24</v>
      </c>
      <c r="H2715" t="str">
        <f t="shared" si="254"/>
        <v>ANDERSON FRAGA</v>
      </c>
      <c r="I2715" t="str">
        <f t="shared" si="255"/>
        <v>AMP INDUSTRIA E COMERCIO DE CONDUTORES LTDA</v>
      </c>
      <c r="J2715">
        <f t="shared" si="256"/>
        <v>0</v>
      </c>
      <c r="K2715">
        <f t="shared" si="257"/>
        <v>1</v>
      </c>
    </row>
    <row r="2716" spans="1:11" x14ac:dyDescent="0.25">
      <c r="A2716" t="s">
        <v>385</v>
      </c>
      <c r="B2716" t="s">
        <v>132</v>
      </c>
      <c r="C2716" t="s">
        <v>66</v>
      </c>
      <c r="D2716" s="6">
        <v>45818</v>
      </c>
      <c r="E2716" t="str">
        <f>VLOOKUP(B2716,'PROCV GERENTES BD'!A:B,2,0)</f>
        <v xml:space="preserve">MARCUS VINICIUS </v>
      </c>
      <c r="F2716" s="4" t="str">
        <f t="shared" si="252"/>
        <v>2025-06</v>
      </c>
      <c r="G2716" s="18">
        <f t="shared" si="253"/>
        <v>24</v>
      </c>
      <c r="H2716" t="str">
        <f t="shared" si="254"/>
        <v xml:space="preserve">MARCUS VINICIUS </v>
      </c>
      <c r="I2716" t="str">
        <f t="shared" si="255"/>
        <v>RODOANEL REFORMADORA DE IMPLEMENTOS RODOVIARIOS LT</v>
      </c>
      <c r="J2716">
        <f t="shared" si="256"/>
        <v>1</v>
      </c>
      <c r="K2716">
        <f t="shared" si="257"/>
        <v>0</v>
      </c>
    </row>
    <row r="2717" spans="1:11" x14ac:dyDescent="0.25">
      <c r="A2717" t="s">
        <v>51</v>
      </c>
      <c r="B2717" t="s">
        <v>52</v>
      </c>
      <c r="C2717" t="s">
        <v>50</v>
      </c>
      <c r="D2717" s="6">
        <v>45818</v>
      </c>
      <c r="E2717" t="str">
        <f>VLOOKUP(B2717,'PROCV GERENTES BD'!A:B,2,0)</f>
        <v>RAFAEL PARISE</v>
      </c>
      <c r="F2717" s="4" t="str">
        <f t="shared" si="252"/>
        <v>2025-06</v>
      </c>
      <c r="G2717" s="18">
        <f t="shared" si="253"/>
        <v>24</v>
      </c>
      <c r="H2717" t="str">
        <f t="shared" si="254"/>
        <v>RAFAEL PARISE</v>
      </c>
      <c r="I2717" t="str">
        <f t="shared" si="255"/>
        <v>TDR TRANSPORTES LOGISTICA LTDA</v>
      </c>
      <c r="J2717">
        <f t="shared" si="256"/>
        <v>0</v>
      </c>
      <c r="K2717">
        <f t="shared" si="257"/>
        <v>1</v>
      </c>
    </row>
    <row r="2718" spans="1:11" x14ac:dyDescent="0.25">
      <c r="A2718" t="s">
        <v>324</v>
      </c>
      <c r="B2718" t="s">
        <v>119</v>
      </c>
      <c r="C2718" t="s">
        <v>53</v>
      </c>
      <c r="D2718" s="6">
        <v>45818</v>
      </c>
      <c r="E2718" t="str">
        <f>VLOOKUP(B2718,'PROCV GERENTES BD'!A:B,2,0)</f>
        <v>PROSPECTAR</v>
      </c>
      <c r="F2718" s="4" t="str">
        <f t="shared" si="252"/>
        <v>2025-06</v>
      </c>
      <c r="G2718" s="18">
        <f t="shared" si="253"/>
        <v>24</v>
      </c>
      <c r="H2718" t="str">
        <f t="shared" si="254"/>
        <v>PROSPECTAR</v>
      </c>
      <c r="I2718" t="str">
        <f t="shared" si="255"/>
        <v>TRANSHENRY TRANSPORTES LTDA</v>
      </c>
      <c r="J2718">
        <f t="shared" si="256"/>
        <v>1</v>
      </c>
      <c r="K2718">
        <f t="shared" si="257"/>
        <v>1</v>
      </c>
    </row>
    <row r="2719" spans="1:11" x14ac:dyDescent="0.25">
      <c r="A2719" t="s">
        <v>523</v>
      </c>
      <c r="B2719" t="s">
        <v>288</v>
      </c>
      <c r="C2719" t="s">
        <v>50</v>
      </c>
      <c r="D2719" s="6">
        <v>45818</v>
      </c>
      <c r="E2719" t="str">
        <f>VLOOKUP(B2719,'PROCV GERENTES BD'!A:B,2,0)</f>
        <v>ADMINISTRAÇÃO</v>
      </c>
      <c r="F2719" s="4" t="str">
        <f t="shared" si="252"/>
        <v>2025-06</v>
      </c>
      <c r="G2719" s="18">
        <f t="shared" si="253"/>
        <v>24</v>
      </c>
      <c r="H2719" t="str">
        <f t="shared" si="254"/>
        <v>ADMINISTRAÇÃO</v>
      </c>
      <c r="I2719" t="str">
        <f t="shared" si="255"/>
        <v>REFRACONT BRASIL LTDA</v>
      </c>
      <c r="J2719">
        <f t="shared" si="256"/>
        <v>0</v>
      </c>
      <c r="K2719">
        <f t="shared" si="257"/>
        <v>1</v>
      </c>
    </row>
    <row r="2720" spans="1:11" x14ac:dyDescent="0.25">
      <c r="A2720" t="s">
        <v>48</v>
      </c>
      <c r="B2720" t="s">
        <v>49</v>
      </c>
      <c r="C2720" t="s">
        <v>50</v>
      </c>
      <c r="D2720" s="6">
        <v>45818</v>
      </c>
      <c r="E2720" t="str">
        <f>VLOOKUP(B2720,'PROCV GERENTES BD'!A:B,2,0)</f>
        <v xml:space="preserve">MARCUS VINICIUS </v>
      </c>
      <c r="F2720" s="4" t="str">
        <f t="shared" si="252"/>
        <v>2025-06</v>
      </c>
      <c r="G2720" s="18">
        <f t="shared" si="253"/>
        <v>24</v>
      </c>
      <c r="H2720" t="str">
        <f t="shared" si="254"/>
        <v xml:space="preserve">MARCUS VINICIUS </v>
      </c>
      <c r="I2720" t="str">
        <f t="shared" si="255"/>
        <v>PROMEL IND COM IMP E EXP DE PRODS NATURAIS LTDA</v>
      </c>
      <c r="J2720">
        <f t="shared" si="256"/>
        <v>0</v>
      </c>
      <c r="K2720">
        <f t="shared" si="257"/>
        <v>1</v>
      </c>
    </row>
    <row r="2721" spans="1:11" x14ac:dyDescent="0.25">
      <c r="A2721" t="s">
        <v>534</v>
      </c>
      <c r="B2721" t="s">
        <v>303</v>
      </c>
      <c r="C2721" t="s">
        <v>50</v>
      </c>
      <c r="D2721" s="6">
        <v>45818</v>
      </c>
      <c r="E2721" t="str">
        <f>VLOOKUP(B2721,'PROCV GERENTES BD'!A:B,2,0)</f>
        <v xml:space="preserve">MARCUS VINICIUS </v>
      </c>
      <c r="F2721" s="4" t="str">
        <f t="shared" si="252"/>
        <v>2025-06</v>
      </c>
      <c r="G2721" s="18">
        <f t="shared" si="253"/>
        <v>24</v>
      </c>
      <c r="H2721" t="str">
        <f t="shared" si="254"/>
        <v xml:space="preserve">MARCUS VINICIUS </v>
      </c>
      <c r="I2721" t="str">
        <f t="shared" si="255"/>
        <v>GRAFICA JSA LTDA EPP</v>
      </c>
      <c r="J2721">
        <f t="shared" si="256"/>
        <v>0</v>
      </c>
      <c r="K2721">
        <f t="shared" si="257"/>
        <v>1</v>
      </c>
    </row>
    <row r="2722" spans="1:11" x14ac:dyDescent="0.25">
      <c r="A2722" t="s">
        <v>326</v>
      </c>
      <c r="B2722" t="s">
        <v>122</v>
      </c>
      <c r="C2722" t="s">
        <v>53</v>
      </c>
      <c r="D2722" s="6">
        <v>45818</v>
      </c>
      <c r="E2722" t="str">
        <f>VLOOKUP(B2722,'PROCV GERENTES BD'!A:B,2,0)</f>
        <v xml:space="preserve">ROGERIO </v>
      </c>
      <c r="F2722" s="4" t="str">
        <f t="shared" si="252"/>
        <v>2025-06</v>
      </c>
      <c r="G2722" s="18">
        <f t="shared" si="253"/>
        <v>24</v>
      </c>
      <c r="H2722" t="str">
        <f t="shared" si="254"/>
        <v xml:space="preserve">ROGERIO </v>
      </c>
      <c r="I2722" t="str">
        <f t="shared" si="255"/>
        <v>BIBE PRODUTOS INFANTIS LTDA</v>
      </c>
      <c r="J2722">
        <f t="shared" si="256"/>
        <v>1</v>
      </c>
      <c r="K2722">
        <f t="shared" si="257"/>
        <v>1</v>
      </c>
    </row>
    <row r="2723" spans="1:11" x14ac:dyDescent="0.25">
      <c r="A2723" s="11" t="s">
        <v>48</v>
      </c>
      <c r="B2723" s="11" t="s">
        <v>49</v>
      </c>
      <c r="C2723" s="11" t="s">
        <v>50</v>
      </c>
      <c r="D2723" s="6">
        <v>45819</v>
      </c>
      <c r="E2723" t="str">
        <f>VLOOKUP(B2723,'PROCV GERENTES BD'!A:B,2,0)</f>
        <v xml:space="preserve">MARCUS VINICIUS </v>
      </c>
      <c r="F2723" s="4" t="str">
        <f t="shared" si="252"/>
        <v>2025-06</v>
      </c>
      <c r="G2723" s="18">
        <f t="shared" si="253"/>
        <v>24</v>
      </c>
      <c r="H2723" t="str">
        <f t="shared" si="254"/>
        <v xml:space="preserve">MARCUS VINICIUS </v>
      </c>
      <c r="I2723" t="str">
        <f t="shared" si="255"/>
        <v>PROMEL IND COM IMP E EXP DE PRODS NATURAIS LTDA</v>
      </c>
      <c r="J2723">
        <f t="shared" si="256"/>
        <v>0</v>
      </c>
      <c r="K2723">
        <f t="shared" si="257"/>
        <v>1</v>
      </c>
    </row>
    <row r="2724" spans="1:11" x14ac:dyDescent="0.25">
      <c r="A2724" s="11" t="s">
        <v>51</v>
      </c>
      <c r="B2724" s="11" t="s">
        <v>52</v>
      </c>
      <c r="C2724" s="11" t="s">
        <v>53</v>
      </c>
      <c r="D2724" s="6">
        <v>45819</v>
      </c>
      <c r="E2724" t="str">
        <f>VLOOKUP(B2724,'PROCV GERENTES BD'!A:B,2,0)</f>
        <v>RAFAEL PARISE</v>
      </c>
      <c r="F2724" s="4" t="str">
        <f t="shared" si="252"/>
        <v>2025-06</v>
      </c>
      <c r="G2724" s="18">
        <f t="shared" si="253"/>
        <v>24</v>
      </c>
      <c r="H2724" t="str">
        <f t="shared" si="254"/>
        <v>RAFAEL PARISE</v>
      </c>
      <c r="I2724" t="str">
        <f t="shared" si="255"/>
        <v>TDR TRANSPORTES LOGISTICA LTDA</v>
      </c>
      <c r="J2724">
        <f t="shared" si="256"/>
        <v>1</v>
      </c>
      <c r="K2724">
        <f t="shared" si="257"/>
        <v>1</v>
      </c>
    </row>
    <row r="2725" spans="1:11" x14ac:dyDescent="0.25">
      <c r="A2725" s="11" t="s">
        <v>54</v>
      </c>
      <c r="B2725" s="11" t="s">
        <v>55</v>
      </c>
      <c r="C2725" s="11" t="s">
        <v>50</v>
      </c>
      <c r="D2725" s="6">
        <v>45819</v>
      </c>
      <c r="E2725" t="str">
        <f>VLOOKUP(B2725,'PROCV GERENTES BD'!A:B,2,0)</f>
        <v>CELIO PIMENTA</v>
      </c>
      <c r="F2725" s="4" t="str">
        <f t="shared" si="252"/>
        <v>2025-06</v>
      </c>
      <c r="G2725" s="18">
        <f t="shared" si="253"/>
        <v>24</v>
      </c>
      <c r="H2725" t="str">
        <f t="shared" si="254"/>
        <v>CELIO PIMENTA</v>
      </c>
      <c r="I2725" t="str">
        <f t="shared" si="255"/>
        <v>WJ CALDEIRARIA INDUSTRIA E COMERCIO LTDA ME</v>
      </c>
      <c r="J2725">
        <f t="shared" si="256"/>
        <v>0</v>
      </c>
      <c r="K2725">
        <f t="shared" si="257"/>
        <v>1</v>
      </c>
    </row>
    <row r="2726" spans="1:11" x14ac:dyDescent="0.25">
      <c r="A2726" s="11" t="s">
        <v>56</v>
      </c>
      <c r="B2726" s="11" t="s">
        <v>57</v>
      </c>
      <c r="C2726" s="11" t="s">
        <v>50</v>
      </c>
      <c r="D2726" s="6">
        <v>45819</v>
      </c>
      <c r="E2726" t="str">
        <f>VLOOKUP(B2726,'PROCV GERENTES BD'!A:B,2,0)</f>
        <v xml:space="preserve">ROGERIO </v>
      </c>
      <c r="F2726" s="4" t="str">
        <f t="shared" si="252"/>
        <v>2025-06</v>
      </c>
      <c r="G2726" s="18">
        <f t="shared" si="253"/>
        <v>24</v>
      </c>
      <c r="H2726" t="str">
        <f t="shared" si="254"/>
        <v xml:space="preserve">ROGERIO </v>
      </c>
      <c r="I2726" t="str">
        <f t="shared" si="255"/>
        <v>RODOVIEIRA TRANSPORTE LTDA</v>
      </c>
      <c r="J2726">
        <f t="shared" si="256"/>
        <v>0</v>
      </c>
      <c r="K2726">
        <f t="shared" si="257"/>
        <v>1</v>
      </c>
    </row>
    <row r="2727" spans="1:11" x14ac:dyDescent="0.25">
      <c r="A2727" s="11" t="s">
        <v>58</v>
      </c>
      <c r="B2727" s="11" t="s">
        <v>59</v>
      </c>
      <c r="C2727" s="11" t="s">
        <v>50</v>
      </c>
      <c r="D2727" s="6">
        <v>45819</v>
      </c>
      <c r="E2727" t="str">
        <f>VLOOKUP(B2727,'PROCV GERENTES BD'!A:B,2,0)</f>
        <v>ADMINISTRAÇÃO</v>
      </c>
      <c r="F2727" s="4" t="str">
        <f t="shared" si="252"/>
        <v>2025-06</v>
      </c>
      <c r="G2727" s="18">
        <f t="shared" si="253"/>
        <v>24</v>
      </c>
      <c r="H2727" t="str">
        <f t="shared" si="254"/>
        <v>ADMINISTRAÇÃO</v>
      </c>
      <c r="I2727" t="str">
        <f t="shared" si="255"/>
        <v>BIOTECH LOGISTICA LTDA</v>
      </c>
      <c r="J2727">
        <f t="shared" si="256"/>
        <v>0</v>
      </c>
      <c r="K2727">
        <f t="shared" si="257"/>
        <v>1</v>
      </c>
    </row>
    <row r="2728" spans="1:11" x14ac:dyDescent="0.25">
      <c r="A2728" s="11" t="s">
        <v>60</v>
      </c>
      <c r="B2728" s="11" t="s">
        <v>61</v>
      </c>
      <c r="C2728" s="11" t="s">
        <v>50</v>
      </c>
      <c r="D2728" s="6">
        <v>45819</v>
      </c>
      <c r="E2728" t="str">
        <f>VLOOKUP(B2728,'PROCV GERENTES BD'!A:B,2,0)</f>
        <v xml:space="preserve">MARCUS VINICIUS </v>
      </c>
      <c r="F2728" s="4" t="str">
        <f t="shared" si="252"/>
        <v>2025-06</v>
      </c>
      <c r="G2728" s="18">
        <f t="shared" si="253"/>
        <v>24</v>
      </c>
      <c r="H2728" t="str">
        <f t="shared" si="254"/>
        <v xml:space="preserve">MARCUS VINICIUS </v>
      </c>
      <c r="I2728" t="str">
        <f t="shared" si="255"/>
        <v>COM IND DE CEREAIS E TRANSPORTES MACIEL LTDA</v>
      </c>
      <c r="J2728">
        <f t="shared" si="256"/>
        <v>0</v>
      </c>
      <c r="K2728">
        <f t="shared" si="257"/>
        <v>1</v>
      </c>
    </row>
    <row r="2729" spans="1:11" x14ac:dyDescent="0.25">
      <c r="A2729" s="11" t="s">
        <v>62</v>
      </c>
      <c r="B2729" s="11" t="s">
        <v>63</v>
      </c>
      <c r="C2729" s="11" t="s">
        <v>50</v>
      </c>
      <c r="D2729" s="6">
        <v>45819</v>
      </c>
      <c r="E2729" t="str">
        <f>VLOOKUP(B2729,'PROCV GERENTES BD'!A:B,2,0)</f>
        <v>PROSPECTAR</v>
      </c>
      <c r="F2729" s="4" t="str">
        <f t="shared" si="252"/>
        <v>2025-06</v>
      </c>
      <c r="G2729" s="18">
        <f t="shared" si="253"/>
        <v>24</v>
      </c>
      <c r="H2729" t="str">
        <f t="shared" si="254"/>
        <v>PROSPECTAR</v>
      </c>
      <c r="I2729" t="str">
        <f t="shared" si="255"/>
        <v>MAPP COM IMPORTACAO EXPORTACAO IND PRODUTOS ALIMEN</v>
      </c>
      <c r="J2729">
        <f t="shared" si="256"/>
        <v>0</v>
      </c>
      <c r="K2729">
        <f t="shared" si="257"/>
        <v>1</v>
      </c>
    </row>
    <row r="2730" spans="1:11" x14ac:dyDescent="0.25">
      <c r="A2730" s="11" t="s">
        <v>64</v>
      </c>
      <c r="B2730" s="11" t="s">
        <v>65</v>
      </c>
      <c r="C2730" s="11" t="s">
        <v>66</v>
      </c>
      <c r="D2730" s="6">
        <v>45819</v>
      </c>
      <c r="E2730" t="str">
        <f>VLOOKUP(B2730,'PROCV GERENTES BD'!A:B,2,0)</f>
        <v>ADMINISTRAÇÃO</v>
      </c>
      <c r="F2730" s="4" t="str">
        <f t="shared" si="252"/>
        <v>2025-06</v>
      </c>
      <c r="G2730" s="18">
        <f t="shared" si="253"/>
        <v>24</v>
      </c>
      <c r="H2730" t="str">
        <f t="shared" si="254"/>
        <v>ADMINISTRAÇÃO</v>
      </c>
      <c r="I2730" t="str">
        <f t="shared" si="255"/>
        <v>SOCIAL S/A</v>
      </c>
      <c r="J2730">
        <f t="shared" si="256"/>
        <v>1</v>
      </c>
      <c r="K2730">
        <f t="shared" si="257"/>
        <v>0</v>
      </c>
    </row>
    <row r="2731" spans="1:11" x14ac:dyDescent="0.25">
      <c r="A2731" s="11" t="s">
        <v>67</v>
      </c>
      <c r="B2731" s="11" t="s">
        <v>68</v>
      </c>
      <c r="C2731" s="11" t="s">
        <v>50</v>
      </c>
      <c r="D2731" s="6">
        <v>45819</v>
      </c>
      <c r="E2731" t="str">
        <f>VLOOKUP(B2731,'PROCV GERENTES BD'!A:B,2,0)</f>
        <v xml:space="preserve">ROGERIO </v>
      </c>
      <c r="F2731" s="4" t="str">
        <f t="shared" si="252"/>
        <v>2025-06</v>
      </c>
      <c r="G2731" s="18">
        <f t="shared" si="253"/>
        <v>24</v>
      </c>
      <c r="H2731" t="str">
        <f t="shared" si="254"/>
        <v xml:space="preserve">ROGERIO </v>
      </c>
      <c r="I2731" t="str">
        <f t="shared" si="255"/>
        <v>DIOTTONI INDUSTRIA E COMERCIO DE ALIMENTOS LTDA ME</v>
      </c>
      <c r="J2731">
        <f t="shared" si="256"/>
        <v>0</v>
      </c>
      <c r="K2731">
        <f t="shared" si="257"/>
        <v>1</v>
      </c>
    </row>
    <row r="2732" spans="1:11" x14ac:dyDescent="0.25">
      <c r="A2732" s="11" t="s">
        <v>69</v>
      </c>
      <c r="B2732" s="11" t="s">
        <v>70</v>
      </c>
      <c r="C2732" s="11" t="s">
        <v>71</v>
      </c>
      <c r="D2732" s="6">
        <v>45819</v>
      </c>
      <c r="E2732" t="str">
        <f>VLOOKUP(B2732,'PROCV GERENTES BD'!A:B,2,0)</f>
        <v>ALISSON DE SOUZA LIMA</v>
      </c>
      <c r="F2732" s="4" t="str">
        <f t="shared" si="252"/>
        <v>2025-06</v>
      </c>
      <c r="G2732" s="18">
        <f t="shared" si="253"/>
        <v>24</v>
      </c>
      <c r="H2732" t="str">
        <f t="shared" si="254"/>
        <v>ALISSON DE SOUZA LIMA</v>
      </c>
      <c r="I2732" t="str">
        <f t="shared" si="255"/>
        <v>AUTOMOTIV DO BRASIL INDUSTRIAL LTDA</v>
      </c>
      <c r="J2732">
        <f t="shared" si="256"/>
        <v>0</v>
      </c>
      <c r="K2732">
        <f t="shared" si="257"/>
        <v>0</v>
      </c>
    </row>
    <row r="2733" spans="1:11" x14ac:dyDescent="0.25">
      <c r="A2733" s="11" t="s">
        <v>72</v>
      </c>
      <c r="B2733" s="11" t="s">
        <v>73</v>
      </c>
      <c r="C2733" s="11" t="s">
        <v>50</v>
      </c>
      <c r="D2733" s="6">
        <v>45819</v>
      </c>
      <c r="E2733" t="str">
        <f>VLOOKUP(B2733,'PROCV GERENTES BD'!A:B,2,0)</f>
        <v>NOELI SALETE</v>
      </c>
      <c r="F2733" s="4" t="str">
        <f t="shared" si="252"/>
        <v>2025-06</v>
      </c>
      <c r="G2733" s="18">
        <f t="shared" si="253"/>
        <v>24</v>
      </c>
      <c r="H2733" t="str">
        <f t="shared" si="254"/>
        <v>NOELI SALETE</v>
      </c>
      <c r="I2733" t="str">
        <f t="shared" si="255"/>
        <v>SMARTCENTER SOLUCOES INTELIGENTES LTDA ME</v>
      </c>
      <c r="J2733">
        <f t="shared" si="256"/>
        <v>0</v>
      </c>
      <c r="K2733">
        <f t="shared" si="257"/>
        <v>1</v>
      </c>
    </row>
    <row r="2734" spans="1:11" x14ac:dyDescent="0.25">
      <c r="A2734" s="11" t="s">
        <v>74</v>
      </c>
      <c r="B2734" s="11" t="s">
        <v>75</v>
      </c>
      <c r="C2734" s="11" t="s">
        <v>66</v>
      </c>
      <c r="D2734" s="6">
        <v>45819</v>
      </c>
      <c r="E2734" t="str">
        <f>VLOOKUP(B2734,'PROCV GERENTES BD'!A:B,2,0)</f>
        <v>CAIO</v>
      </c>
      <c r="F2734" s="4" t="str">
        <f t="shared" si="252"/>
        <v>2025-06</v>
      </c>
      <c r="G2734" s="18">
        <f t="shared" si="253"/>
        <v>24</v>
      </c>
      <c r="H2734" t="str">
        <f t="shared" si="254"/>
        <v>CAIO</v>
      </c>
      <c r="I2734" t="str">
        <f t="shared" si="255"/>
        <v>TP DISTRIBUIDORA DE PECAS LTDA EPP</v>
      </c>
      <c r="J2734">
        <f t="shared" si="256"/>
        <v>1</v>
      </c>
      <c r="K2734">
        <f t="shared" si="257"/>
        <v>0</v>
      </c>
    </row>
    <row r="2735" spans="1:11" x14ac:dyDescent="0.25">
      <c r="A2735" s="11" t="s">
        <v>76</v>
      </c>
      <c r="B2735" s="11" t="s">
        <v>77</v>
      </c>
      <c r="C2735" s="11" t="s">
        <v>66</v>
      </c>
      <c r="D2735" s="6">
        <v>45819</v>
      </c>
      <c r="E2735" t="str">
        <f>VLOOKUP(B2735,'PROCV GERENTES BD'!A:B,2,0)</f>
        <v>RAFAEL PARISE</v>
      </c>
      <c r="F2735" s="4" t="str">
        <f t="shared" si="252"/>
        <v>2025-06</v>
      </c>
      <c r="G2735" s="18">
        <f t="shared" si="253"/>
        <v>24</v>
      </c>
      <c r="H2735" t="str">
        <f t="shared" si="254"/>
        <v>RAFAEL PARISE</v>
      </c>
      <c r="I2735" t="str">
        <f t="shared" si="255"/>
        <v>UNITA AUTO PECAS LTDA EPP</v>
      </c>
      <c r="J2735">
        <f t="shared" si="256"/>
        <v>1</v>
      </c>
      <c r="K2735">
        <f t="shared" si="257"/>
        <v>0</v>
      </c>
    </row>
    <row r="2736" spans="1:11" x14ac:dyDescent="0.25">
      <c r="A2736" s="11" t="s">
        <v>304</v>
      </c>
      <c r="B2736" s="11" t="s">
        <v>123</v>
      </c>
      <c r="C2736" s="11" t="s">
        <v>50</v>
      </c>
      <c r="D2736" s="6">
        <v>45820</v>
      </c>
      <c r="E2736" t="str">
        <f>VLOOKUP(B2736,'PROCV GERENTES BD'!A:B,2,0)</f>
        <v>ADMINISTRAÇÃO</v>
      </c>
      <c r="F2736" s="4" t="str">
        <f t="shared" si="252"/>
        <v>2025-06</v>
      </c>
      <c r="G2736" s="18">
        <f t="shared" si="253"/>
        <v>24</v>
      </c>
      <c r="H2736" t="str">
        <f t="shared" si="254"/>
        <v>ADMINISTRAÇÃO</v>
      </c>
      <c r="I2736" t="str">
        <f t="shared" si="255"/>
        <v>VIC LOGISTICA LTDA EM RECUPERACAO JUDICIAL</v>
      </c>
      <c r="J2736">
        <f t="shared" si="256"/>
        <v>0</v>
      </c>
      <c r="K2736">
        <f t="shared" si="257"/>
        <v>1</v>
      </c>
    </row>
    <row r="2737" spans="1:11" x14ac:dyDescent="0.25">
      <c r="A2737" s="11" t="s">
        <v>305</v>
      </c>
      <c r="B2737" s="11" t="s">
        <v>141</v>
      </c>
      <c r="C2737" s="11" t="s">
        <v>66</v>
      </c>
      <c r="D2737" s="6">
        <v>45820</v>
      </c>
      <c r="E2737" t="str">
        <f>VLOOKUP(B2737,'PROCV GERENTES BD'!A:B,2,0)</f>
        <v>NOELI SALETE</v>
      </c>
      <c r="F2737" s="4" t="str">
        <f t="shared" si="252"/>
        <v>2025-06</v>
      </c>
      <c r="G2737" s="18">
        <f t="shared" si="253"/>
        <v>24</v>
      </c>
      <c r="H2737" t="str">
        <f t="shared" si="254"/>
        <v>NOELI SALETE</v>
      </c>
      <c r="I2737" t="str">
        <f t="shared" si="255"/>
        <v>JMS EMBALAGENS INDUSTRIAIS LTDA</v>
      </c>
      <c r="J2737">
        <f t="shared" si="256"/>
        <v>1</v>
      </c>
      <c r="K2737">
        <f t="shared" si="257"/>
        <v>0</v>
      </c>
    </row>
    <row r="2738" spans="1:11" x14ac:dyDescent="0.25">
      <c r="A2738" s="11" t="s">
        <v>306</v>
      </c>
      <c r="B2738" s="11" t="s">
        <v>266</v>
      </c>
      <c r="C2738" s="11" t="s">
        <v>66</v>
      </c>
      <c r="D2738" s="6">
        <v>45820</v>
      </c>
      <c r="E2738" t="str">
        <f>VLOOKUP(B2738,'PROCV GERENTES BD'!A:B,2,0)</f>
        <v>CAIO</v>
      </c>
      <c r="F2738" s="4" t="str">
        <f t="shared" si="252"/>
        <v>2025-06</v>
      </c>
      <c r="G2738" s="18">
        <f t="shared" si="253"/>
        <v>24</v>
      </c>
      <c r="H2738" t="str">
        <f t="shared" si="254"/>
        <v>CAIO</v>
      </c>
      <c r="I2738" t="str">
        <f t="shared" si="255"/>
        <v>MECALD MECANICA E CALDEIRARIA LTDA EPP</v>
      </c>
      <c r="J2738">
        <f t="shared" si="256"/>
        <v>1</v>
      </c>
      <c r="K2738">
        <f t="shared" si="257"/>
        <v>0</v>
      </c>
    </row>
    <row r="2739" spans="1:11" x14ac:dyDescent="0.25">
      <c r="A2739" s="11" t="s">
        <v>307</v>
      </c>
      <c r="B2739" s="11" t="s">
        <v>102</v>
      </c>
      <c r="C2739" s="11" t="s">
        <v>66</v>
      </c>
      <c r="D2739" s="6">
        <v>45820</v>
      </c>
      <c r="E2739" t="str">
        <f>VLOOKUP(B2739,'PROCV GERENTES BD'!A:B,2,0)</f>
        <v>POENATELA</v>
      </c>
      <c r="F2739" s="4" t="str">
        <f t="shared" si="252"/>
        <v>2025-06</v>
      </c>
      <c r="G2739" s="18">
        <f t="shared" si="253"/>
        <v>24</v>
      </c>
      <c r="H2739" t="str">
        <f t="shared" si="254"/>
        <v>POENATELA</v>
      </c>
      <c r="I2739" t="str">
        <f t="shared" si="255"/>
        <v>ECOPINUS INDUSTRIA E COMERCIO DE EMBALAGENS DE MAD</v>
      </c>
      <c r="J2739">
        <f t="shared" si="256"/>
        <v>1</v>
      </c>
      <c r="K2739">
        <f t="shared" si="257"/>
        <v>0</v>
      </c>
    </row>
    <row r="2740" spans="1:11" x14ac:dyDescent="0.25">
      <c r="A2740" s="11" t="s">
        <v>54</v>
      </c>
      <c r="B2740" s="11" t="s">
        <v>55</v>
      </c>
      <c r="C2740" s="11" t="s">
        <v>50</v>
      </c>
      <c r="D2740" s="6">
        <v>45820</v>
      </c>
      <c r="E2740" t="str">
        <f>VLOOKUP(B2740,'PROCV GERENTES BD'!A:B,2,0)</f>
        <v>CELIO PIMENTA</v>
      </c>
      <c r="F2740" s="4" t="str">
        <f t="shared" si="252"/>
        <v>2025-06</v>
      </c>
      <c r="G2740" s="18">
        <f t="shared" si="253"/>
        <v>24</v>
      </c>
      <c r="H2740" t="str">
        <f t="shared" si="254"/>
        <v>CELIO PIMENTA</v>
      </c>
      <c r="I2740" t="str">
        <f t="shared" si="255"/>
        <v>WJ CALDEIRARIA INDUSTRIA E COMERCIO LTDA ME</v>
      </c>
      <c r="J2740">
        <f t="shared" si="256"/>
        <v>0</v>
      </c>
      <c r="K2740">
        <f t="shared" si="257"/>
        <v>1</v>
      </c>
    </row>
    <row r="2741" spans="1:11" x14ac:dyDescent="0.25">
      <c r="A2741" s="11" t="s">
        <v>308</v>
      </c>
      <c r="B2741" s="11" t="s">
        <v>284</v>
      </c>
      <c r="C2741" s="11" t="s">
        <v>66</v>
      </c>
      <c r="D2741" s="6">
        <v>45820</v>
      </c>
      <c r="E2741" t="str">
        <f>VLOOKUP(B2741,'PROCV GERENTES BD'!A:B,2,0)</f>
        <v>CAIO</v>
      </c>
      <c r="F2741" s="4" t="str">
        <f t="shared" si="252"/>
        <v>2025-06</v>
      </c>
      <c r="G2741" s="18">
        <f t="shared" si="253"/>
        <v>24</v>
      </c>
      <c r="H2741" t="str">
        <f t="shared" si="254"/>
        <v>CAIO</v>
      </c>
      <c r="I2741" t="str">
        <f t="shared" si="255"/>
        <v>GLOBALMAX INDUSTRIA PLASTICA S/A</v>
      </c>
      <c r="J2741">
        <f t="shared" si="256"/>
        <v>1</v>
      </c>
      <c r="K2741">
        <f t="shared" si="257"/>
        <v>0</v>
      </c>
    </row>
    <row r="2742" spans="1:11" x14ac:dyDescent="0.25">
      <c r="A2742" s="11" t="s">
        <v>56</v>
      </c>
      <c r="B2742" s="11" t="s">
        <v>57</v>
      </c>
      <c r="C2742" s="11" t="s">
        <v>50</v>
      </c>
      <c r="D2742" s="6">
        <v>45820</v>
      </c>
      <c r="E2742" t="str">
        <f>VLOOKUP(B2742,'PROCV GERENTES BD'!A:B,2,0)</f>
        <v xml:space="preserve">ROGERIO </v>
      </c>
      <c r="F2742" s="4" t="str">
        <f t="shared" si="252"/>
        <v>2025-06</v>
      </c>
      <c r="G2742" s="18">
        <f t="shared" si="253"/>
        <v>24</v>
      </c>
      <c r="H2742" t="str">
        <f t="shared" si="254"/>
        <v xml:space="preserve">ROGERIO </v>
      </c>
      <c r="I2742" t="str">
        <f t="shared" si="255"/>
        <v>RODOVIEIRA TRANSPORTE LTDA</v>
      </c>
      <c r="J2742">
        <f t="shared" si="256"/>
        <v>0</v>
      </c>
      <c r="K2742">
        <f t="shared" si="257"/>
        <v>1</v>
      </c>
    </row>
    <row r="2743" spans="1:11" x14ac:dyDescent="0.25">
      <c r="A2743" s="11" t="s">
        <v>58</v>
      </c>
      <c r="B2743" s="11" t="s">
        <v>59</v>
      </c>
      <c r="C2743" s="11" t="s">
        <v>66</v>
      </c>
      <c r="D2743" s="6">
        <v>45820</v>
      </c>
      <c r="E2743" t="str">
        <f>VLOOKUP(B2743,'PROCV GERENTES BD'!A:B,2,0)</f>
        <v>ADMINISTRAÇÃO</v>
      </c>
      <c r="F2743" s="4" t="str">
        <f t="shared" si="252"/>
        <v>2025-06</v>
      </c>
      <c r="G2743" s="18">
        <f t="shared" si="253"/>
        <v>24</v>
      </c>
      <c r="H2743" t="str">
        <f t="shared" si="254"/>
        <v>ADMINISTRAÇÃO</v>
      </c>
      <c r="I2743" t="str">
        <f t="shared" si="255"/>
        <v>BIOTECH LOGISTICA LTDA</v>
      </c>
      <c r="J2743">
        <f t="shared" si="256"/>
        <v>1</v>
      </c>
      <c r="K2743">
        <f t="shared" si="257"/>
        <v>0</v>
      </c>
    </row>
    <row r="2744" spans="1:11" x14ac:dyDescent="0.25">
      <c r="A2744" s="11" t="s">
        <v>309</v>
      </c>
      <c r="B2744" s="11" t="s">
        <v>291</v>
      </c>
      <c r="C2744" s="11" t="s">
        <v>50</v>
      </c>
      <c r="D2744" s="6">
        <v>45820</v>
      </c>
      <c r="E2744" t="str">
        <f>VLOOKUP(B2744,'PROCV GERENTES BD'!A:B,2,0)</f>
        <v>ANTECIPA</v>
      </c>
      <c r="F2744" s="4" t="str">
        <f t="shared" si="252"/>
        <v>2025-06</v>
      </c>
      <c r="G2744" s="18">
        <f t="shared" si="253"/>
        <v>24</v>
      </c>
      <c r="H2744" t="str">
        <f t="shared" si="254"/>
        <v>ANTECIPA</v>
      </c>
      <c r="I2744" t="str">
        <f t="shared" si="255"/>
        <v>CENTRAL DO M R O COMERCIAL IMPORTACOES E SERVICOS</v>
      </c>
      <c r="J2744">
        <f t="shared" si="256"/>
        <v>0</v>
      </c>
      <c r="K2744">
        <f t="shared" si="257"/>
        <v>1</v>
      </c>
    </row>
    <row r="2745" spans="1:11" x14ac:dyDescent="0.25">
      <c r="A2745" s="11" t="s">
        <v>310</v>
      </c>
      <c r="B2745" s="11" t="s">
        <v>204</v>
      </c>
      <c r="C2745" s="11" t="s">
        <v>66</v>
      </c>
      <c r="D2745" s="6">
        <v>45820</v>
      </c>
      <c r="E2745" t="str">
        <f>VLOOKUP(B2745,'PROCV GERENTES BD'!A:B,2,0)</f>
        <v xml:space="preserve">MARCUS VINICIUS </v>
      </c>
      <c r="F2745" s="4" t="str">
        <f t="shared" si="252"/>
        <v>2025-06</v>
      </c>
      <c r="G2745" s="18">
        <f t="shared" si="253"/>
        <v>24</v>
      </c>
      <c r="H2745" t="str">
        <f t="shared" si="254"/>
        <v xml:space="preserve">MARCUS VINICIUS </v>
      </c>
      <c r="I2745" t="str">
        <f t="shared" si="255"/>
        <v>INDUSTRIA E COMERCIO DE CHURRASQUEIRAS BOM JESUS L</v>
      </c>
      <c r="J2745">
        <f t="shared" si="256"/>
        <v>1</v>
      </c>
      <c r="K2745">
        <f t="shared" si="257"/>
        <v>0</v>
      </c>
    </row>
    <row r="2746" spans="1:11" x14ac:dyDescent="0.25">
      <c r="A2746" s="11" t="s">
        <v>67</v>
      </c>
      <c r="B2746" s="11" t="s">
        <v>68</v>
      </c>
      <c r="C2746" s="11" t="s">
        <v>66</v>
      </c>
      <c r="D2746" s="6">
        <v>45820</v>
      </c>
      <c r="E2746" t="str">
        <f>VLOOKUP(B2746,'PROCV GERENTES BD'!A:B,2,0)</f>
        <v xml:space="preserve">ROGERIO </v>
      </c>
      <c r="F2746" s="4" t="str">
        <f t="shared" si="252"/>
        <v>2025-06</v>
      </c>
      <c r="G2746" s="18">
        <f t="shared" si="253"/>
        <v>24</v>
      </c>
      <c r="H2746" t="str">
        <f t="shared" si="254"/>
        <v xml:space="preserve">ROGERIO </v>
      </c>
      <c r="I2746" t="str">
        <f t="shared" si="255"/>
        <v>DIOTTONI INDUSTRIA E COMERCIO DE ALIMENTOS LTDA ME</v>
      </c>
      <c r="J2746">
        <f t="shared" si="256"/>
        <v>1</v>
      </c>
      <c r="K2746">
        <f t="shared" si="257"/>
        <v>0</v>
      </c>
    </row>
    <row r="2747" spans="1:11" x14ac:dyDescent="0.25">
      <c r="A2747" s="11" t="s">
        <v>74</v>
      </c>
      <c r="B2747" s="11" t="s">
        <v>75</v>
      </c>
      <c r="C2747" s="11" t="s">
        <v>66</v>
      </c>
      <c r="D2747" s="6">
        <v>45820</v>
      </c>
      <c r="E2747" t="str">
        <f>VLOOKUP(B2747,'PROCV GERENTES BD'!A:B,2,0)</f>
        <v>CAIO</v>
      </c>
      <c r="F2747" s="4" t="str">
        <f t="shared" si="252"/>
        <v>2025-06</v>
      </c>
      <c r="G2747" s="18">
        <f t="shared" si="253"/>
        <v>24</v>
      </c>
      <c r="H2747" t="str">
        <f t="shared" si="254"/>
        <v>CAIO</v>
      </c>
      <c r="I2747" t="str">
        <f t="shared" si="255"/>
        <v>TP DISTRIBUIDORA DE PECAS LTDA EPP</v>
      </c>
      <c r="J2747">
        <f t="shared" si="256"/>
        <v>1</v>
      </c>
      <c r="K2747">
        <f t="shared" si="257"/>
        <v>0</v>
      </c>
    </row>
    <row r="2748" spans="1:11" x14ac:dyDescent="0.25">
      <c r="A2748" s="11" t="s">
        <v>311</v>
      </c>
      <c r="B2748" s="11" t="s">
        <v>81</v>
      </c>
      <c r="C2748" s="11" t="s">
        <v>50</v>
      </c>
      <c r="D2748" s="6">
        <v>45821</v>
      </c>
      <c r="E2748" t="str">
        <f>VLOOKUP(B2748,'PROCV GERENTES BD'!A:B,2,0)</f>
        <v>CELIO PIMENTA</v>
      </c>
      <c r="F2748" s="4" t="str">
        <f t="shared" si="252"/>
        <v>2025-06</v>
      </c>
      <c r="G2748" s="18">
        <f t="shared" si="253"/>
        <v>24</v>
      </c>
      <c r="H2748" t="str">
        <f t="shared" si="254"/>
        <v>CELIO PIMENTA</v>
      </c>
      <c r="I2748" t="str">
        <f t="shared" si="255"/>
        <v>MBIOLOG DIAGNOSTICOS LTDA</v>
      </c>
      <c r="J2748">
        <f t="shared" si="256"/>
        <v>0</v>
      </c>
      <c r="K2748">
        <f t="shared" si="257"/>
        <v>1</v>
      </c>
    </row>
    <row r="2749" spans="1:11" x14ac:dyDescent="0.25">
      <c r="A2749" s="11" t="s">
        <v>312</v>
      </c>
      <c r="B2749" s="11" t="s">
        <v>313</v>
      </c>
      <c r="C2749" s="11" t="s">
        <v>50</v>
      </c>
      <c r="D2749" s="6">
        <v>45821</v>
      </c>
      <c r="E2749" t="str">
        <f>VLOOKUP(B2749,'PROCV GERENTES BD'!A:B,2,0)</f>
        <v>ALISSON DE SOUZA LIMA</v>
      </c>
      <c r="F2749" s="4" t="str">
        <f t="shared" si="252"/>
        <v>2025-06</v>
      </c>
      <c r="G2749" s="18">
        <f t="shared" si="253"/>
        <v>24</v>
      </c>
      <c r="H2749" t="str">
        <f t="shared" si="254"/>
        <v>ALISSON DE SOUZA LIMA</v>
      </c>
      <c r="I2749" t="str">
        <f t="shared" si="255"/>
        <v>ITAQUAFER FERRAMENTAS LTDA ME</v>
      </c>
      <c r="J2749">
        <f t="shared" si="256"/>
        <v>0</v>
      </c>
      <c r="K2749">
        <f t="shared" si="257"/>
        <v>1</v>
      </c>
    </row>
    <row r="2750" spans="1:11" x14ac:dyDescent="0.25">
      <c r="A2750" s="11" t="s">
        <v>314</v>
      </c>
      <c r="B2750" s="11" t="s">
        <v>246</v>
      </c>
      <c r="C2750" s="11" t="s">
        <v>66</v>
      </c>
      <c r="D2750" s="6">
        <v>45821</v>
      </c>
      <c r="E2750" t="str">
        <f>VLOOKUP(B2750,'PROCV GERENTES BD'!A:B,2,0)</f>
        <v xml:space="preserve">ROGERIO </v>
      </c>
      <c r="F2750" s="4" t="str">
        <f t="shared" si="252"/>
        <v>2025-06</v>
      </c>
      <c r="G2750" s="18">
        <f t="shared" si="253"/>
        <v>24</v>
      </c>
      <c r="H2750" t="str">
        <f t="shared" si="254"/>
        <v xml:space="preserve">ROGERIO </v>
      </c>
      <c r="I2750" t="str">
        <f t="shared" si="255"/>
        <v>MUTCD CENTRO DE DISTRIBUICAO DE IND FABRICANTE DE</v>
      </c>
      <c r="J2750">
        <f t="shared" si="256"/>
        <v>1</v>
      </c>
      <c r="K2750">
        <f t="shared" si="257"/>
        <v>0</v>
      </c>
    </row>
    <row r="2751" spans="1:11" x14ac:dyDescent="0.25">
      <c r="A2751" s="11" t="s">
        <v>315</v>
      </c>
      <c r="B2751" s="11" t="s">
        <v>270</v>
      </c>
      <c r="C2751" s="11" t="s">
        <v>66</v>
      </c>
      <c r="D2751" s="6">
        <v>45821</v>
      </c>
      <c r="E2751" t="str">
        <f>VLOOKUP(B2751,'PROCV GERENTES BD'!A:B,2,0)</f>
        <v>SEM GERENTE</v>
      </c>
      <c r="F2751" s="4" t="str">
        <f t="shared" si="252"/>
        <v>2025-06</v>
      </c>
      <c r="G2751" s="18">
        <f t="shared" si="253"/>
        <v>24</v>
      </c>
      <c r="H2751" t="str">
        <f t="shared" si="254"/>
        <v>SEM GERENTE</v>
      </c>
      <c r="I2751" t="str">
        <f t="shared" si="255"/>
        <v>FAC INDUSTRIA E SERVICOS LTDA ME</v>
      </c>
      <c r="J2751">
        <f t="shared" si="256"/>
        <v>1</v>
      </c>
      <c r="K2751">
        <f t="shared" si="257"/>
        <v>0</v>
      </c>
    </row>
    <row r="2752" spans="1:11" x14ac:dyDescent="0.25">
      <c r="A2752" s="11" t="s">
        <v>316</v>
      </c>
      <c r="B2752" s="11" t="s">
        <v>302</v>
      </c>
      <c r="C2752" s="11" t="s">
        <v>66</v>
      </c>
      <c r="D2752" s="6">
        <v>45821</v>
      </c>
      <c r="E2752" t="str">
        <f>VLOOKUP(B2752,'PROCV GERENTES BD'!A:B,2,0)</f>
        <v>CELIO PIMENTA</v>
      </c>
      <c r="F2752" s="4" t="str">
        <f t="shared" si="252"/>
        <v>2025-06</v>
      </c>
      <c r="G2752" s="18">
        <f t="shared" si="253"/>
        <v>24</v>
      </c>
      <c r="H2752" t="str">
        <f t="shared" si="254"/>
        <v>CELIO PIMENTA</v>
      </c>
      <c r="I2752" t="str">
        <f t="shared" si="255"/>
        <v>LOTUS DESENVOLVIMENTO IMOBILIARIO LTDA</v>
      </c>
      <c r="J2752">
        <f t="shared" si="256"/>
        <v>1</v>
      </c>
      <c r="K2752">
        <f t="shared" si="257"/>
        <v>0</v>
      </c>
    </row>
    <row r="2753" spans="1:11" x14ac:dyDescent="0.25">
      <c r="A2753" s="11" t="s">
        <v>62</v>
      </c>
      <c r="B2753" s="11" t="s">
        <v>63</v>
      </c>
      <c r="C2753" s="11" t="s">
        <v>50</v>
      </c>
      <c r="D2753" s="6">
        <v>45821</v>
      </c>
      <c r="E2753" t="str">
        <f>VLOOKUP(B2753,'PROCV GERENTES BD'!A:B,2,0)</f>
        <v>PROSPECTAR</v>
      </c>
      <c r="F2753" s="4" t="str">
        <f t="shared" si="252"/>
        <v>2025-06</v>
      </c>
      <c r="G2753" s="18">
        <f t="shared" si="253"/>
        <v>24</v>
      </c>
      <c r="H2753" t="str">
        <f t="shared" si="254"/>
        <v>PROSPECTAR</v>
      </c>
      <c r="I2753" t="str">
        <f t="shared" si="255"/>
        <v>MAPP COM IMPORTACAO EXPORTACAO IND PRODUTOS ALIMEN</v>
      </c>
      <c r="J2753">
        <f t="shared" si="256"/>
        <v>0</v>
      </c>
      <c r="K2753">
        <f t="shared" si="257"/>
        <v>1</v>
      </c>
    </row>
    <row r="2754" spans="1:11" x14ac:dyDescent="0.25">
      <c r="A2754" s="11" t="s">
        <v>317</v>
      </c>
      <c r="B2754" s="11" t="s">
        <v>280</v>
      </c>
      <c r="C2754" s="11" t="s">
        <v>66</v>
      </c>
      <c r="D2754" s="6">
        <v>45821</v>
      </c>
      <c r="E2754" t="str">
        <f>VLOOKUP(B2754,'PROCV GERENTES BD'!A:B,2,0)</f>
        <v>PROSPECTAR</v>
      </c>
      <c r="F2754" s="4" t="str">
        <f t="shared" ref="F2754:F2817" si="258">YEAR(D2754)&amp;"-"&amp;TEXT(MONTH(D2754),"00")</f>
        <v>2025-06</v>
      </c>
      <c r="G2754" s="18">
        <f t="shared" ref="G2754:G2817" si="259">WEEKNUM(D2754)</f>
        <v>24</v>
      </c>
      <c r="H2754" t="str">
        <f t="shared" ref="H2754:H2817" si="260">E2754</f>
        <v>PROSPECTAR</v>
      </c>
      <c r="I2754" t="str">
        <f t="shared" ref="I2754:I2817" si="261">B2754</f>
        <v>STA TECHCANA LTDA</v>
      </c>
      <c r="J2754">
        <f t="shared" ref="J2754:J2817" si="262">IF(OR(C2754="EXCLUSAO  ANOT.INADIMPLENCIA",C2754="INCL/EXCL ANOT.INADIMPLENCIA"),1,0)</f>
        <v>1</v>
      </c>
      <c r="K2754">
        <f t="shared" ref="K2754:K2817" si="263">IF(OR(C2754="INCLUSAO  ANOT.INADIMPLENCIA",C2754="INCL/EXCL ANOT.INADIMPLENCIA"),1,0)</f>
        <v>0</v>
      </c>
    </row>
    <row r="2755" spans="1:11" x14ac:dyDescent="0.25">
      <c r="A2755" s="11" t="s">
        <v>318</v>
      </c>
      <c r="B2755" s="11" t="s">
        <v>203</v>
      </c>
      <c r="C2755" s="11" t="s">
        <v>66</v>
      </c>
      <c r="D2755" s="6">
        <v>45821</v>
      </c>
      <c r="E2755" t="str">
        <f>VLOOKUP(B2755,'PROCV GERENTES BD'!A:B,2,0)</f>
        <v>JOSE ROBERTO</v>
      </c>
      <c r="F2755" s="4" t="str">
        <f t="shared" si="258"/>
        <v>2025-06</v>
      </c>
      <c r="G2755" s="18">
        <f t="shared" si="259"/>
        <v>24</v>
      </c>
      <c r="H2755" t="str">
        <f t="shared" si="260"/>
        <v>JOSE ROBERTO</v>
      </c>
      <c r="I2755" t="str">
        <f t="shared" si="261"/>
        <v>FUNDACAO DE ENSINO E PESQUISA DO SUL DE MINAS FEPE</v>
      </c>
      <c r="J2755">
        <f t="shared" si="262"/>
        <v>1</v>
      </c>
      <c r="K2755">
        <f t="shared" si="263"/>
        <v>0</v>
      </c>
    </row>
    <row r="2756" spans="1:11" x14ac:dyDescent="0.25">
      <c r="A2756" s="11" t="s">
        <v>319</v>
      </c>
      <c r="B2756" s="11" t="s">
        <v>80</v>
      </c>
      <c r="C2756" s="11" t="s">
        <v>66</v>
      </c>
      <c r="D2756" s="6">
        <v>45821</v>
      </c>
      <c r="E2756" t="str">
        <f>VLOOKUP(B2756,'PROCV GERENTES BD'!A:B,2,0)</f>
        <v>CELIO PIMENTA</v>
      </c>
      <c r="F2756" s="4" t="str">
        <f t="shared" si="258"/>
        <v>2025-06</v>
      </c>
      <c r="G2756" s="18">
        <f t="shared" si="259"/>
        <v>24</v>
      </c>
      <c r="H2756" t="str">
        <f t="shared" si="260"/>
        <v>CELIO PIMENTA</v>
      </c>
      <c r="I2756" t="str">
        <f t="shared" si="261"/>
        <v>IMPORTEXTIL COMERCIO DE TECIDOS LTDA</v>
      </c>
      <c r="J2756">
        <f t="shared" si="262"/>
        <v>1</v>
      </c>
      <c r="K2756">
        <f t="shared" si="263"/>
        <v>0</v>
      </c>
    </row>
    <row r="2757" spans="1:11" x14ac:dyDescent="0.25">
      <c r="A2757" s="11" t="s">
        <v>56</v>
      </c>
      <c r="B2757" s="11" t="s">
        <v>57</v>
      </c>
      <c r="C2757" s="11" t="s">
        <v>50</v>
      </c>
      <c r="D2757" s="6">
        <v>45821</v>
      </c>
      <c r="E2757" t="str">
        <f>VLOOKUP(B2757,'PROCV GERENTES BD'!A:B,2,0)</f>
        <v xml:space="preserve">ROGERIO </v>
      </c>
      <c r="F2757" s="4" t="str">
        <f t="shared" si="258"/>
        <v>2025-06</v>
      </c>
      <c r="G2757" s="18">
        <f t="shared" si="259"/>
        <v>24</v>
      </c>
      <c r="H2757" t="str">
        <f t="shared" si="260"/>
        <v xml:space="preserve">ROGERIO </v>
      </c>
      <c r="I2757" t="str">
        <f t="shared" si="261"/>
        <v>RODOVIEIRA TRANSPORTE LTDA</v>
      </c>
      <c r="J2757">
        <f t="shared" si="262"/>
        <v>0</v>
      </c>
      <c r="K2757">
        <f t="shared" si="263"/>
        <v>1</v>
      </c>
    </row>
    <row r="2758" spans="1:11" x14ac:dyDescent="0.25">
      <c r="A2758" s="11" t="s">
        <v>320</v>
      </c>
      <c r="B2758" s="11" t="s">
        <v>205</v>
      </c>
      <c r="C2758" s="11" t="s">
        <v>50</v>
      </c>
      <c r="D2758" s="6">
        <v>45821</v>
      </c>
      <c r="E2758" t="str">
        <f>VLOOKUP(B2758,'PROCV GERENTES BD'!A:B,2,0)</f>
        <v xml:space="preserve">MARCUS VINICIUS </v>
      </c>
      <c r="F2758" s="4" t="str">
        <f t="shared" si="258"/>
        <v>2025-06</v>
      </c>
      <c r="G2758" s="18">
        <f t="shared" si="259"/>
        <v>24</v>
      </c>
      <c r="H2758" t="str">
        <f t="shared" si="260"/>
        <v xml:space="preserve">MARCUS VINICIUS </v>
      </c>
      <c r="I2758" t="str">
        <f t="shared" si="261"/>
        <v>COMERCIAL GODINHO FERREIRA LTDA</v>
      </c>
      <c r="J2758">
        <f t="shared" si="262"/>
        <v>0</v>
      </c>
      <c r="K2758">
        <f t="shared" si="263"/>
        <v>1</v>
      </c>
    </row>
    <row r="2759" spans="1:11" x14ac:dyDescent="0.25">
      <c r="A2759" s="11" t="s">
        <v>321</v>
      </c>
      <c r="B2759" s="11" t="s">
        <v>264</v>
      </c>
      <c r="C2759" s="11" t="s">
        <v>50</v>
      </c>
      <c r="D2759" s="6">
        <v>45821</v>
      </c>
      <c r="E2759" t="str">
        <f>VLOOKUP(B2759,'PROCV GERENTES BD'!A:B,2,0)</f>
        <v>RAFAEL PARISE</v>
      </c>
      <c r="F2759" s="4" t="str">
        <f t="shared" si="258"/>
        <v>2025-06</v>
      </c>
      <c r="G2759" s="18">
        <f t="shared" si="259"/>
        <v>24</v>
      </c>
      <c r="H2759" t="str">
        <f t="shared" si="260"/>
        <v>RAFAEL PARISE</v>
      </c>
      <c r="I2759" t="str">
        <f t="shared" si="261"/>
        <v>METALCROMO METALIZACAO E CROMO DURO INDUSTRIAL LTD</v>
      </c>
      <c r="J2759">
        <f t="shared" si="262"/>
        <v>0</v>
      </c>
      <c r="K2759">
        <f t="shared" si="263"/>
        <v>1</v>
      </c>
    </row>
    <row r="2760" spans="1:11" x14ac:dyDescent="0.25">
      <c r="A2760" s="11" t="s">
        <v>322</v>
      </c>
      <c r="B2760" s="11" t="s">
        <v>294</v>
      </c>
      <c r="C2760" s="11" t="s">
        <v>50</v>
      </c>
      <c r="D2760" s="6">
        <v>45821</v>
      </c>
      <c r="E2760" t="str">
        <f>VLOOKUP(B2760,'PROCV GERENTES BD'!A:B,2,0)</f>
        <v>CAIO</v>
      </c>
      <c r="F2760" s="4" t="str">
        <f t="shared" si="258"/>
        <v>2025-06</v>
      </c>
      <c r="G2760" s="18">
        <f t="shared" si="259"/>
        <v>24</v>
      </c>
      <c r="H2760" t="str">
        <f t="shared" si="260"/>
        <v>CAIO</v>
      </c>
      <c r="I2760" t="str">
        <f t="shared" si="261"/>
        <v>LAF COMERCIAL LTDA ME</v>
      </c>
      <c r="J2760">
        <f t="shared" si="262"/>
        <v>0</v>
      </c>
      <c r="K2760">
        <f t="shared" si="263"/>
        <v>1</v>
      </c>
    </row>
    <row r="2761" spans="1:11" x14ac:dyDescent="0.25">
      <c r="A2761" s="11" t="s">
        <v>307</v>
      </c>
      <c r="B2761" s="11" t="s">
        <v>102</v>
      </c>
      <c r="C2761" s="11" t="s">
        <v>50</v>
      </c>
      <c r="D2761" s="6">
        <v>45821</v>
      </c>
      <c r="E2761" t="str">
        <f>VLOOKUP(B2761,'PROCV GERENTES BD'!A:B,2,0)</f>
        <v>POENATELA</v>
      </c>
      <c r="F2761" s="4" t="str">
        <f t="shared" si="258"/>
        <v>2025-06</v>
      </c>
      <c r="G2761" s="18">
        <f t="shared" si="259"/>
        <v>24</v>
      </c>
      <c r="H2761" t="str">
        <f t="shared" si="260"/>
        <v>POENATELA</v>
      </c>
      <c r="I2761" t="str">
        <f t="shared" si="261"/>
        <v>ECOPINUS INDUSTRIA E COMERCIO DE EMBALAGENS DE MAD</v>
      </c>
      <c r="J2761">
        <f t="shared" si="262"/>
        <v>0</v>
      </c>
      <c r="K2761">
        <f t="shared" si="263"/>
        <v>1</v>
      </c>
    </row>
    <row r="2762" spans="1:11" x14ac:dyDescent="0.25">
      <c r="A2762" s="11" t="s">
        <v>323</v>
      </c>
      <c r="B2762" s="11" t="s">
        <v>109</v>
      </c>
      <c r="C2762" s="11" t="s">
        <v>66</v>
      </c>
      <c r="D2762" s="6">
        <v>45821</v>
      </c>
      <c r="E2762" t="str">
        <f>VLOOKUP(B2762,'PROCV GERENTES BD'!A:B,2,0)</f>
        <v>PROSPECTAR</v>
      </c>
      <c r="F2762" s="4" t="str">
        <f t="shared" si="258"/>
        <v>2025-06</v>
      </c>
      <c r="G2762" s="18">
        <f t="shared" si="259"/>
        <v>24</v>
      </c>
      <c r="H2762" t="str">
        <f t="shared" si="260"/>
        <v>PROSPECTAR</v>
      </c>
      <c r="I2762" t="str">
        <f t="shared" si="261"/>
        <v>SIAP COMERCIO DE PRODUTOS AGROPECUARIOS LTDA</v>
      </c>
      <c r="J2762">
        <f t="shared" si="262"/>
        <v>1</v>
      </c>
      <c r="K2762">
        <f t="shared" si="263"/>
        <v>0</v>
      </c>
    </row>
    <row r="2763" spans="1:11" x14ac:dyDescent="0.25">
      <c r="A2763" s="11" t="s">
        <v>324</v>
      </c>
      <c r="B2763" s="11" t="s">
        <v>119</v>
      </c>
      <c r="C2763" s="11" t="s">
        <v>50</v>
      </c>
      <c r="D2763" s="6">
        <v>45821</v>
      </c>
      <c r="E2763" t="str">
        <f>VLOOKUP(B2763,'PROCV GERENTES BD'!A:B,2,0)</f>
        <v>PROSPECTAR</v>
      </c>
      <c r="F2763" s="4" t="str">
        <f t="shared" si="258"/>
        <v>2025-06</v>
      </c>
      <c r="G2763" s="18">
        <f t="shared" si="259"/>
        <v>24</v>
      </c>
      <c r="H2763" t="str">
        <f t="shared" si="260"/>
        <v>PROSPECTAR</v>
      </c>
      <c r="I2763" t="str">
        <f t="shared" si="261"/>
        <v>TRANSHENRY TRANSPORTES LTDA</v>
      </c>
      <c r="J2763">
        <f t="shared" si="262"/>
        <v>0</v>
      </c>
      <c r="K2763">
        <f t="shared" si="263"/>
        <v>1</v>
      </c>
    </row>
    <row r="2764" spans="1:11" x14ac:dyDescent="0.25">
      <c r="A2764" s="11" t="s">
        <v>325</v>
      </c>
      <c r="B2764" s="11" t="s">
        <v>138</v>
      </c>
      <c r="C2764" s="11" t="s">
        <v>66</v>
      </c>
      <c r="D2764" s="6">
        <v>45821</v>
      </c>
      <c r="E2764" t="str">
        <f>VLOOKUP(B2764,'PROCV GERENTES BD'!A:B,2,0)</f>
        <v>SACADO</v>
      </c>
      <c r="F2764" s="4" t="str">
        <f t="shared" si="258"/>
        <v>2025-06</v>
      </c>
      <c r="G2764" s="18">
        <f t="shared" si="259"/>
        <v>24</v>
      </c>
      <c r="H2764" t="str">
        <f t="shared" si="260"/>
        <v>SACADO</v>
      </c>
      <c r="I2764" t="str">
        <f t="shared" si="261"/>
        <v>ALLIAGE S A INDUSTRIAS MEDICO ODONTOLOGICA</v>
      </c>
      <c r="J2764">
        <f t="shared" si="262"/>
        <v>1</v>
      </c>
      <c r="K2764">
        <f t="shared" si="263"/>
        <v>0</v>
      </c>
    </row>
    <row r="2765" spans="1:11" x14ac:dyDescent="0.25">
      <c r="A2765" s="11" t="s">
        <v>326</v>
      </c>
      <c r="B2765" s="11" t="s">
        <v>122</v>
      </c>
      <c r="C2765" s="11" t="s">
        <v>66</v>
      </c>
      <c r="D2765" s="6">
        <v>45821</v>
      </c>
      <c r="E2765" t="str">
        <f>VLOOKUP(B2765,'PROCV GERENTES BD'!A:B,2,0)</f>
        <v xml:space="preserve">ROGERIO </v>
      </c>
      <c r="F2765" s="4" t="str">
        <f t="shared" si="258"/>
        <v>2025-06</v>
      </c>
      <c r="G2765" s="18">
        <f t="shared" si="259"/>
        <v>24</v>
      </c>
      <c r="H2765" t="str">
        <f t="shared" si="260"/>
        <v xml:space="preserve">ROGERIO </v>
      </c>
      <c r="I2765" t="str">
        <f t="shared" si="261"/>
        <v>BIBE PRODUTOS INFANTIS LTDA</v>
      </c>
      <c r="J2765">
        <f t="shared" si="262"/>
        <v>1</v>
      </c>
      <c r="K2765">
        <f t="shared" si="263"/>
        <v>0</v>
      </c>
    </row>
    <row r="2766" spans="1:11" x14ac:dyDescent="0.25">
      <c r="A2766" s="11" t="s">
        <v>311</v>
      </c>
      <c r="B2766" s="11" t="s">
        <v>81</v>
      </c>
      <c r="C2766" s="11" t="s">
        <v>50</v>
      </c>
      <c r="D2766" s="6">
        <v>45822</v>
      </c>
      <c r="E2766" t="str">
        <f>VLOOKUP(B2766,'PROCV GERENTES BD'!A:B,2,0)</f>
        <v>CELIO PIMENTA</v>
      </c>
      <c r="F2766" s="4" t="str">
        <f t="shared" si="258"/>
        <v>2025-06</v>
      </c>
      <c r="G2766" s="18">
        <f t="shared" si="259"/>
        <v>24</v>
      </c>
      <c r="H2766" t="str">
        <f t="shared" si="260"/>
        <v>CELIO PIMENTA</v>
      </c>
      <c r="I2766" t="str">
        <f t="shared" si="261"/>
        <v>MBIOLOG DIAGNOSTICOS LTDA</v>
      </c>
      <c r="J2766">
        <f t="shared" si="262"/>
        <v>0</v>
      </c>
      <c r="K2766">
        <f t="shared" si="263"/>
        <v>1</v>
      </c>
    </row>
    <row r="2767" spans="1:11" x14ac:dyDescent="0.25">
      <c r="A2767" s="11" t="s">
        <v>524</v>
      </c>
      <c r="B2767" s="11" t="s">
        <v>289</v>
      </c>
      <c r="C2767" s="11" t="s">
        <v>50</v>
      </c>
      <c r="D2767" s="6">
        <v>45822</v>
      </c>
      <c r="E2767" t="str">
        <f>VLOOKUP(B2767,'PROCV GERENTES BD'!A:B,2,0)</f>
        <v>DALVA</v>
      </c>
      <c r="F2767" s="4" t="str">
        <f t="shared" si="258"/>
        <v>2025-06</v>
      </c>
      <c r="G2767" s="18">
        <f t="shared" si="259"/>
        <v>24</v>
      </c>
      <c r="H2767" t="str">
        <f t="shared" si="260"/>
        <v>DALVA</v>
      </c>
      <c r="I2767" t="str">
        <f t="shared" si="261"/>
        <v>FRAITECH INTELIGENCIA EM AUTOMACAO LTDA</v>
      </c>
      <c r="J2767">
        <f t="shared" si="262"/>
        <v>0</v>
      </c>
      <c r="K2767">
        <f t="shared" si="263"/>
        <v>1</v>
      </c>
    </row>
    <row r="2768" spans="1:11" x14ac:dyDescent="0.25">
      <c r="A2768" s="11" t="s">
        <v>51</v>
      </c>
      <c r="B2768" s="11" t="s">
        <v>52</v>
      </c>
      <c r="C2768" s="11" t="s">
        <v>50</v>
      </c>
      <c r="D2768" s="6">
        <v>45822</v>
      </c>
      <c r="E2768" t="str">
        <f>VLOOKUP(B2768,'PROCV GERENTES BD'!A:B,2,0)</f>
        <v>RAFAEL PARISE</v>
      </c>
      <c r="F2768" s="4" t="str">
        <f t="shared" si="258"/>
        <v>2025-06</v>
      </c>
      <c r="G2768" s="18">
        <f t="shared" si="259"/>
        <v>24</v>
      </c>
      <c r="H2768" t="str">
        <f t="shared" si="260"/>
        <v>RAFAEL PARISE</v>
      </c>
      <c r="I2768" t="str">
        <f t="shared" si="261"/>
        <v>TDR TRANSPORTES LOGISTICA LTDA</v>
      </c>
      <c r="J2768">
        <f t="shared" si="262"/>
        <v>0</v>
      </c>
      <c r="K2768">
        <f t="shared" si="263"/>
        <v>1</v>
      </c>
    </row>
    <row r="2769" spans="1:11" x14ac:dyDescent="0.25">
      <c r="A2769" s="11" t="s">
        <v>54</v>
      </c>
      <c r="B2769" s="11" t="s">
        <v>55</v>
      </c>
      <c r="C2769" s="11" t="s">
        <v>50</v>
      </c>
      <c r="D2769" s="6">
        <v>45822</v>
      </c>
      <c r="E2769" t="str">
        <f>VLOOKUP(B2769,'PROCV GERENTES BD'!A:B,2,0)</f>
        <v>CELIO PIMENTA</v>
      </c>
      <c r="F2769" s="4" t="str">
        <f t="shared" si="258"/>
        <v>2025-06</v>
      </c>
      <c r="G2769" s="18">
        <f t="shared" si="259"/>
        <v>24</v>
      </c>
      <c r="H2769" t="str">
        <f t="shared" si="260"/>
        <v>CELIO PIMENTA</v>
      </c>
      <c r="I2769" t="str">
        <f t="shared" si="261"/>
        <v>WJ CALDEIRARIA INDUSTRIA E COMERCIO LTDA ME</v>
      </c>
      <c r="J2769">
        <f t="shared" si="262"/>
        <v>0</v>
      </c>
      <c r="K2769">
        <f t="shared" si="263"/>
        <v>1</v>
      </c>
    </row>
    <row r="2770" spans="1:11" x14ac:dyDescent="0.25">
      <c r="A2770" s="11" t="s">
        <v>318</v>
      </c>
      <c r="B2770" s="11" t="s">
        <v>203</v>
      </c>
      <c r="C2770" s="11" t="s">
        <v>50</v>
      </c>
      <c r="D2770" s="6">
        <v>45822</v>
      </c>
      <c r="E2770" t="str">
        <f>VLOOKUP(B2770,'PROCV GERENTES BD'!A:B,2,0)</f>
        <v>JOSE ROBERTO</v>
      </c>
      <c r="F2770" s="4" t="str">
        <f t="shared" si="258"/>
        <v>2025-06</v>
      </c>
      <c r="G2770" s="18">
        <f t="shared" si="259"/>
        <v>24</v>
      </c>
      <c r="H2770" t="str">
        <f t="shared" si="260"/>
        <v>JOSE ROBERTO</v>
      </c>
      <c r="I2770" t="str">
        <f t="shared" si="261"/>
        <v>FUNDACAO DE ENSINO E PESQUISA DO SUL DE MINAS FEPE</v>
      </c>
      <c r="J2770">
        <f t="shared" si="262"/>
        <v>0</v>
      </c>
      <c r="K2770">
        <f t="shared" si="263"/>
        <v>1</v>
      </c>
    </row>
    <row r="2771" spans="1:11" x14ac:dyDescent="0.25">
      <c r="A2771" s="11" t="s">
        <v>359</v>
      </c>
      <c r="B2771" s="11" t="s">
        <v>105</v>
      </c>
      <c r="C2771" s="11" t="s">
        <v>50</v>
      </c>
      <c r="D2771" s="6">
        <v>45822</v>
      </c>
      <c r="E2771" t="str">
        <f>VLOOKUP(B2771,'PROCV GERENTES BD'!A:B,2,0)</f>
        <v>PROSPECTAR</v>
      </c>
      <c r="F2771" s="4" t="str">
        <f t="shared" si="258"/>
        <v>2025-06</v>
      </c>
      <c r="G2771" s="18">
        <f t="shared" si="259"/>
        <v>24</v>
      </c>
      <c r="H2771" t="str">
        <f t="shared" si="260"/>
        <v>PROSPECTAR</v>
      </c>
      <c r="I2771" t="str">
        <f t="shared" si="261"/>
        <v>ALEXANDRE ROSA VICENTE E SERVICOS LTDA ME</v>
      </c>
      <c r="J2771">
        <f t="shared" si="262"/>
        <v>0</v>
      </c>
      <c r="K2771">
        <f t="shared" si="263"/>
        <v>1</v>
      </c>
    </row>
    <row r="2772" spans="1:11" x14ac:dyDescent="0.25">
      <c r="A2772" s="11" t="s">
        <v>62</v>
      </c>
      <c r="B2772" s="11" t="s">
        <v>63</v>
      </c>
      <c r="C2772" s="11" t="s">
        <v>50</v>
      </c>
      <c r="D2772" s="6">
        <v>45822</v>
      </c>
      <c r="E2772" t="str">
        <f>VLOOKUP(B2772,'PROCV GERENTES BD'!A:B,2,0)</f>
        <v>PROSPECTAR</v>
      </c>
      <c r="F2772" s="4" t="str">
        <f t="shared" si="258"/>
        <v>2025-06</v>
      </c>
      <c r="G2772" s="18">
        <f t="shared" si="259"/>
        <v>24</v>
      </c>
      <c r="H2772" t="str">
        <f t="shared" si="260"/>
        <v>PROSPECTAR</v>
      </c>
      <c r="I2772" t="str">
        <f t="shared" si="261"/>
        <v>MAPP COM IMPORTACAO EXPORTACAO IND PRODUTOS ALIMEN</v>
      </c>
      <c r="J2772">
        <f t="shared" si="262"/>
        <v>0</v>
      </c>
      <c r="K2772">
        <f t="shared" si="263"/>
        <v>1</v>
      </c>
    </row>
    <row r="2773" spans="1:11" x14ac:dyDescent="0.25">
      <c r="A2773" s="11" t="s">
        <v>599</v>
      </c>
      <c r="B2773" s="11" t="s">
        <v>541</v>
      </c>
      <c r="C2773" s="11" t="s">
        <v>66</v>
      </c>
      <c r="D2773" s="6">
        <v>45822</v>
      </c>
      <c r="E2773" t="str">
        <f>VLOOKUP(B2773,'PROCV GERENTES BD'!A:B,2,0)</f>
        <v xml:space="preserve">MARCUS VINICIUS </v>
      </c>
      <c r="F2773" s="4" t="str">
        <f t="shared" si="258"/>
        <v>2025-06</v>
      </c>
      <c r="G2773" s="18">
        <f t="shared" si="259"/>
        <v>24</v>
      </c>
      <c r="H2773" t="str">
        <f t="shared" si="260"/>
        <v xml:space="preserve">MARCUS VINICIUS </v>
      </c>
      <c r="I2773" t="str">
        <f t="shared" si="261"/>
        <v>JSA INDUSTRIA DE COSMETICOS LTDA EPP</v>
      </c>
      <c r="J2773">
        <f t="shared" si="262"/>
        <v>1</v>
      </c>
      <c r="K2773">
        <f t="shared" si="263"/>
        <v>0</v>
      </c>
    </row>
    <row r="2774" spans="1:11" x14ac:dyDescent="0.25">
      <c r="A2774" s="11" t="s">
        <v>529</v>
      </c>
      <c r="B2774" s="11" t="s">
        <v>297</v>
      </c>
      <c r="C2774" s="11" t="s">
        <v>50</v>
      </c>
      <c r="D2774" s="6">
        <v>45825</v>
      </c>
      <c r="E2774" t="str">
        <f>VLOOKUP(B2774,'PROCV GERENTES BD'!A:B,2,0)</f>
        <v>ANDRE CUNHA</v>
      </c>
      <c r="F2774" s="4" t="str">
        <f t="shared" si="258"/>
        <v>2025-06</v>
      </c>
      <c r="G2774" s="18">
        <f t="shared" si="259"/>
        <v>25</v>
      </c>
      <c r="H2774" t="str">
        <f t="shared" si="260"/>
        <v>ANDRE CUNHA</v>
      </c>
      <c r="I2774" t="str">
        <f t="shared" si="261"/>
        <v>REVPACK TECNOLOGIA E COMERCIO DE COMPONENTES PLAST</v>
      </c>
      <c r="J2774">
        <f t="shared" si="262"/>
        <v>0</v>
      </c>
      <c r="K2774">
        <f t="shared" si="263"/>
        <v>1</v>
      </c>
    </row>
    <row r="2775" spans="1:11" x14ac:dyDescent="0.25">
      <c r="A2775" s="11" t="s">
        <v>314</v>
      </c>
      <c r="B2775" s="11" t="s">
        <v>246</v>
      </c>
      <c r="C2775" s="11" t="s">
        <v>53</v>
      </c>
      <c r="D2775" s="6">
        <v>45825</v>
      </c>
      <c r="E2775" t="str">
        <f>VLOOKUP(B2775,'PROCV GERENTES BD'!A:B,2,0)</f>
        <v xml:space="preserve">ROGERIO </v>
      </c>
      <c r="F2775" s="4" t="str">
        <f t="shared" si="258"/>
        <v>2025-06</v>
      </c>
      <c r="G2775" s="18">
        <f t="shared" si="259"/>
        <v>25</v>
      </c>
      <c r="H2775" t="str">
        <f t="shared" si="260"/>
        <v xml:space="preserve">ROGERIO </v>
      </c>
      <c r="I2775" t="str">
        <f t="shared" si="261"/>
        <v>MUTCD CENTRO DE DISTRIBUICAO DE IND FABRICANTE DE</v>
      </c>
      <c r="J2775">
        <f t="shared" si="262"/>
        <v>1</v>
      </c>
      <c r="K2775">
        <f t="shared" si="263"/>
        <v>1</v>
      </c>
    </row>
    <row r="2776" spans="1:11" x14ac:dyDescent="0.25">
      <c r="A2776" s="11" t="s">
        <v>520</v>
      </c>
      <c r="B2776" s="11" t="s">
        <v>285</v>
      </c>
      <c r="C2776" s="11" t="s">
        <v>50</v>
      </c>
      <c r="D2776" s="6">
        <v>45825</v>
      </c>
      <c r="E2776" t="str">
        <f>VLOOKUP(B2776,'PROCV GERENTES BD'!A:B,2,0)</f>
        <v>PROSPECTAR</v>
      </c>
      <c r="F2776" s="4" t="str">
        <f t="shared" si="258"/>
        <v>2025-06</v>
      </c>
      <c r="G2776" s="18">
        <f t="shared" si="259"/>
        <v>25</v>
      </c>
      <c r="H2776" t="str">
        <f t="shared" si="260"/>
        <v>PROSPECTAR</v>
      </c>
      <c r="I2776" t="str">
        <f t="shared" si="261"/>
        <v>NUTRIBEM SAL E RACOES LTDA</v>
      </c>
      <c r="J2776">
        <f t="shared" si="262"/>
        <v>0</v>
      </c>
      <c r="K2776">
        <f t="shared" si="263"/>
        <v>1</v>
      </c>
    </row>
    <row r="2777" spans="1:11" x14ac:dyDescent="0.25">
      <c r="A2777" s="11" t="s">
        <v>461</v>
      </c>
      <c r="B2777" s="11" t="s">
        <v>218</v>
      </c>
      <c r="C2777" s="11" t="s">
        <v>53</v>
      </c>
      <c r="D2777" s="6">
        <v>45825</v>
      </c>
      <c r="E2777" t="str">
        <f>VLOOKUP(B2777,'PROCV GERENTES BD'!A:B,2,0)</f>
        <v>SACADO</v>
      </c>
      <c r="F2777" s="4" t="str">
        <f t="shared" si="258"/>
        <v>2025-06</v>
      </c>
      <c r="G2777" s="18">
        <f t="shared" si="259"/>
        <v>25</v>
      </c>
      <c r="H2777" t="str">
        <f t="shared" si="260"/>
        <v>SACADO</v>
      </c>
      <c r="I2777" t="str">
        <f t="shared" si="261"/>
        <v>KUARA COMERCIAL E EXPORTADORA DE FRUTAS LTDA</v>
      </c>
      <c r="J2777">
        <f t="shared" si="262"/>
        <v>1</v>
      </c>
      <c r="K2777">
        <f t="shared" si="263"/>
        <v>1</v>
      </c>
    </row>
    <row r="2778" spans="1:11" x14ac:dyDescent="0.25">
      <c r="A2778" s="11" t="s">
        <v>599</v>
      </c>
      <c r="B2778" s="11" t="s">
        <v>541</v>
      </c>
      <c r="C2778" s="11" t="s">
        <v>66</v>
      </c>
      <c r="D2778" s="6">
        <v>45825</v>
      </c>
      <c r="E2778" t="str">
        <f>VLOOKUP(B2778,'PROCV GERENTES BD'!A:B,2,0)</f>
        <v xml:space="preserve">MARCUS VINICIUS </v>
      </c>
      <c r="F2778" s="4" t="str">
        <f t="shared" si="258"/>
        <v>2025-06</v>
      </c>
      <c r="G2778" s="18">
        <f t="shared" si="259"/>
        <v>25</v>
      </c>
      <c r="H2778" t="str">
        <f t="shared" si="260"/>
        <v xml:space="preserve">MARCUS VINICIUS </v>
      </c>
      <c r="I2778" t="str">
        <f t="shared" si="261"/>
        <v>JSA INDUSTRIA DE COSMETICOS LTDA EPP</v>
      </c>
      <c r="J2778">
        <f t="shared" si="262"/>
        <v>1</v>
      </c>
      <c r="K2778">
        <f t="shared" si="263"/>
        <v>0</v>
      </c>
    </row>
    <row r="2779" spans="1:11" x14ac:dyDescent="0.25">
      <c r="A2779" s="11" t="s">
        <v>450</v>
      </c>
      <c r="B2779" s="11" t="s">
        <v>207</v>
      </c>
      <c r="C2779" s="11" t="s">
        <v>50</v>
      </c>
      <c r="D2779" s="6">
        <v>45825</v>
      </c>
      <c r="E2779" t="str">
        <f>VLOOKUP(B2779,'PROCV GERENTES BD'!A:B,2,0)</f>
        <v>CELIO PIMENTA</v>
      </c>
      <c r="F2779" s="4" t="str">
        <f t="shared" si="258"/>
        <v>2025-06</v>
      </c>
      <c r="G2779" s="18">
        <f t="shared" si="259"/>
        <v>25</v>
      </c>
      <c r="H2779" t="str">
        <f t="shared" si="260"/>
        <v>CELIO PIMENTA</v>
      </c>
      <c r="I2779" t="str">
        <f t="shared" si="261"/>
        <v>LIDER COMERCIO DE UNIFORMES E EPI S LTDA ME</v>
      </c>
      <c r="J2779">
        <f t="shared" si="262"/>
        <v>0</v>
      </c>
      <c r="K2779">
        <f t="shared" si="263"/>
        <v>1</v>
      </c>
    </row>
    <row r="2780" spans="1:11" x14ac:dyDescent="0.25">
      <c r="A2780" s="11" t="s">
        <v>369</v>
      </c>
      <c r="B2780" s="11" t="s">
        <v>113</v>
      </c>
      <c r="C2780" s="11" t="s">
        <v>50</v>
      </c>
      <c r="D2780" s="6">
        <v>45825</v>
      </c>
      <c r="E2780" t="str">
        <f>VLOOKUP(B2780,'PROCV GERENTES BD'!A:B,2,0)</f>
        <v xml:space="preserve">MARCUS VINICIUS </v>
      </c>
      <c r="F2780" s="4" t="str">
        <f t="shared" si="258"/>
        <v>2025-06</v>
      </c>
      <c r="G2780" s="18">
        <f t="shared" si="259"/>
        <v>25</v>
      </c>
      <c r="H2780" t="str">
        <f t="shared" si="260"/>
        <v xml:space="preserve">MARCUS VINICIUS </v>
      </c>
      <c r="I2780" t="str">
        <f t="shared" si="261"/>
        <v>ISOBASE POLIESTIRENO LTDA EPP</v>
      </c>
      <c r="J2780">
        <f t="shared" si="262"/>
        <v>0</v>
      </c>
      <c r="K2780">
        <f t="shared" si="263"/>
        <v>1</v>
      </c>
    </row>
    <row r="2781" spans="1:11" x14ac:dyDescent="0.25">
      <c r="A2781" s="11" t="s">
        <v>427</v>
      </c>
      <c r="B2781" s="11" t="s">
        <v>178</v>
      </c>
      <c r="C2781" s="11" t="s">
        <v>53</v>
      </c>
      <c r="D2781" s="6">
        <v>45825</v>
      </c>
      <c r="E2781" t="str">
        <f>VLOOKUP(B2781,'PROCV GERENTES BD'!A:B,2,0)</f>
        <v>ADMINISTRAÇÃO</v>
      </c>
      <c r="F2781" s="4" t="str">
        <f t="shared" si="258"/>
        <v>2025-06</v>
      </c>
      <c r="G2781" s="18">
        <f t="shared" si="259"/>
        <v>25</v>
      </c>
      <c r="H2781" t="str">
        <f t="shared" si="260"/>
        <v>ADMINISTRAÇÃO</v>
      </c>
      <c r="I2781" t="str">
        <f t="shared" si="261"/>
        <v>LIZZENA COSMETICOS LTDA EPP</v>
      </c>
      <c r="J2781">
        <f t="shared" si="262"/>
        <v>1</v>
      </c>
      <c r="K2781">
        <f t="shared" si="263"/>
        <v>1</v>
      </c>
    </row>
    <row r="2782" spans="1:11" x14ac:dyDescent="0.25">
      <c r="A2782" s="11" t="s">
        <v>67</v>
      </c>
      <c r="B2782" s="11" t="s">
        <v>68</v>
      </c>
      <c r="C2782" s="11" t="s">
        <v>50</v>
      </c>
      <c r="D2782" s="6">
        <v>45825</v>
      </c>
      <c r="E2782" t="str">
        <f>VLOOKUP(B2782,'PROCV GERENTES BD'!A:B,2,0)</f>
        <v xml:space="preserve">ROGERIO </v>
      </c>
      <c r="F2782" s="4" t="str">
        <f t="shared" si="258"/>
        <v>2025-06</v>
      </c>
      <c r="G2782" s="18">
        <f t="shared" si="259"/>
        <v>25</v>
      </c>
      <c r="H2782" t="str">
        <f t="shared" si="260"/>
        <v xml:space="preserve">ROGERIO </v>
      </c>
      <c r="I2782" t="str">
        <f t="shared" si="261"/>
        <v>DIOTTONI INDUSTRIA E COMERCIO DE ALIMENTOS LTDA ME</v>
      </c>
      <c r="J2782">
        <f t="shared" si="262"/>
        <v>0</v>
      </c>
      <c r="K2782">
        <f t="shared" si="263"/>
        <v>1</v>
      </c>
    </row>
    <row r="2783" spans="1:11" x14ac:dyDescent="0.25">
      <c r="A2783" s="11" t="s">
        <v>64</v>
      </c>
      <c r="B2783" s="11" t="s">
        <v>65</v>
      </c>
      <c r="C2783" s="11" t="s">
        <v>50</v>
      </c>
      <c r="D2783" s="6">
        <v>45825</v>
      </c>
      <c r="E2783" t="str">
        <f>VLOOKUP(B2783,'PROCV GERENTES BD'!A:B,2,0)</f>
        <v>ADMINISTRAÇÃO</v>
      </c>
      <c r="F2783" s="4" t="str">
        <f t="shared" si="258"/>
        <v>2025-06</v>
      </c>
      <c r="G2783" s="18">
        <f t="shared" si="259"/>
        <v>25</v>
      </c>
      <c r="H2783" t="str">
        <f t="shared" si="260"/>
        <v>ADMINISTRAÇÃO</v>
      </c>
      <c r="I2783" t="str">
        <f t="shared" si="261"/>
        <v>SOCIAL S/A</v>
      </c>
      <c r="J2783">
        <f t="shared" si="262"/>
        <v>0</v>
      </c>
      <c r="K2783">
        <f t="shared" si="263"/>
        <v>1</v>
      </c>
    </row>
    <row r="2784" spans="1:11" x14ac:dyDescent="0.25">
      <c r="A2784" s="11" t="s">
        <v>62</v>
      </c>
      <c r="B2784" s="11" t="s">
        <v>63</v>
      </c>
      <c r="C2784" s="11" t="s">
        <v>50</v>
      </c>
      <c r="D2784" s="6">
        <v>45825</v>
      </c>
      <c r="E2784" t="str">
        <f>VLOOKUP(B2784,'PROCV GERENTES BD'!A:B,2,0)</f>
        <v>PROSPECTAR</v>
      </c>
      <c r="F2784" s="4" t="str">
        <f t="shared" si="258"/>
        <v>2025-06</v>
      </c>
      <c r="G2784" s="18">
        <f t="shared" si="259"/>
        <v>25</v>
      </c>
      <c r="H2784" t="str">
        <f t="shared" si="260"/>
        <v>PROSPECTAR</v>
      </c>
      <c r="I2784" t="str">
        <f t="shared" si="261"/>
        <v>MAPP COM IMPORTACAO EXPORTACAO IND PRODUTOS ALIMEN</v>
      </c>
      <c r="J2784">
        <f t="shared" si="262"/>
        <v>0</v>
      </c>
      <c r="K2784">
        <f t="shared" si="263"/>
        <v>1</v>
      </c>
    </row>
    <row r="2785" spans="1:11" x14ac:dyDescent="0.25">
      <c r="A2785" s="11" t="s">
        <v>379</v>
      </c>
      <c r="B2785" s="11" t="s">
        <v>126</v>
      </c>
      <c r="C2785" s="11" t="s">
        <v>50</v>
      </c>
      <c r="D2785" s="6">
        <v>45825</v>
      </c>
      <c r="E2785" t="str">
        <f>VLOOKUP(B2785,'PROCV GERENTES BD'!A:B,2,0)</f>
        <v>ADMINISTRAÇÃO</v>
      </c>
      <c r="F2785" s="4" t="str">
        <f t="shared" si="258"/>
        <v>2025-06</v>
      </c>
      <c r="G2785" s="18">
        <f t="shared" si="259"/>
        <v>25</v>
      </c>
      <c r="H2785" t="str">
        <f t="shared" si="260"/>
        <v>ADMINISTRAÇÃO</v>
      </c>
      <c r="I2785" t="str">
        <f t="shared" si="261"/>
        <v>ENXOVAIS MINAS LTDA ME</v>
      </c>
      <c r="J2785">
        <f t="shared" si="262"/>
        <v>0</v>
      </c>
      <c r="K2785">
        <f t="shared" si="263"/>
        <v>1</v>
      </c>
    </row>
    <row r="2786" spans="1:11" x14ac:dyDescent="0.25">
      <c r="A2786" s="11" t="s">
        <v>352</v>
      </c>
      <c r="B2786" s="11" t="s">
        <v>96</v>
      </c>
      <c r="C2786" s="11" t="s">
        <v>50</v>
      </c>
      <c r="D2786" s="6">
        <v>45825</v>
      </c>
      <c r="E2786" t="str">
        <f>VLOOKUP(B2786,'PROCV GERENTES BD'!A:B,2,0)</f>
        <v>POENATELA</v>
      </c>
      <c r="F2786" s="4" t="str">
        <f t="shared" si="258"/>
        <v>2025-06</v>
      </c>
      <c r="G2786" s="18">
        <f t="shared" si="259"/>
        <v>25</v>
      </c>
      <c r="H2786" t="str">
        <f t="shared" si="260"/>
        <v>POENATELA</v>
      </c>
      <c r="I2786" t="str">
        <f t="shared" si="261"/>
        <v>SUPER HARD TECNOLOGIA EM TRATAMENTO DE SUPERFICIES</v>
      </c>
      <c r="J2786">
        <f t="shared" si="262"/>
        <v>0</v>
      </c>
      <c r="K2786">
        <f t="shared" si="263"/>
        <v>1</v>
      </c>
    </row>
    <row r="2787" spans="1:11" x14ac:dyDescent="0.25">
      <c r="A2787" s="11" t="s">
        <v>320</v>
      </c>
      <c r="B2787" s="11" t="s">
        <v>205</v>
      </c>
      <c r="C2787" s="11" t="s">
        <v>50</v>
      </c>
      <c r="D2787" s="6">
        <v>45825</v>
      </c>
      <c r="E2787" t="str">
        <f>VLOOKUP(B2787,'PROCV GERENTES BD'!A:B,2,0)</f>
        <v xml:space="preserve">MARCUS VINICIUS </v>
      </c>
      <c r="F2787" s="4" t="str">
        <f t="shared" si="258"/>
        <v>2025-06</v>
      </c>
      <c r="G2787" s="18">
        <f t="shared" si="259"/>
        <v>25</v>
      </c>
      <c r="H2787" t="str">
        <f t="shared" si="260"/>
        <v xml:space="preserve">MARCUS VINICIUS </v>
      </c>
      <c r="I2787" t="str">
        <f t="shared" si="261"/>
        <v>COMERCIAL GODINHO FERREIRA LTDA</v>
      </c>
      <c r="J2787">
        <f t="shared" si="262"/>
        <v>0</v>
      </c>
      <c r="K2787">
        <f t="shared" si="263"/>
        <v>1</v>
      </c>
    </row>
    <row r="2788" spans="1:11" x14ac:dyDescent="0.25">
      <c r="A2788" s="11" t="s">
        <v>331</v>
      </c>
      <c r="B2788" s="11" t="s">
        <v>144</v>
      </c>
      <c r="C2788" s="11" t="s">
        <v>66</v>
      </c>
      <c r="D2788" s="6">
        <v>45825</v>
      </c>
      <c r="E2788" t="str">
        <f>VLOOKUP(B2788,'PROCV GERENTES BD'!A:B,2,0)</f>
        <v>ADMINISTRAÇÃO</v>
      </c>
      <c r="F2788" s="4" t="str">
        <f t="shared" si="258"/>
        <v>2025-06</v>
      </c>
      <c r="G2788" s="18">
        <f t="shared" si="259"/>
        <v>25</v>
      </c>
      <c r="H2788" t="str">
        <f t="shared" si="260"/>
        <v>ADMINISTRAÇÃO</v>
      </c>
      <c r="I2788" t="str">
        <f t="shared" si="261"/>
        <v>BOM PASTOR PAPEIS LTDA EM RECUPERACAO JUDICIAL</v>
      </c>
      <c r="J2788">
        <f t="shared" si="262"/>
        <v>1</v>
      </c>
      <c r="K2788">
        <f t="shared" si="263"/>
        <v>0</v>
      </c>
    </row>
    <row r="2789" spans="1:11" x14ac:dyDescent="0.25">
      <c r="A2789" s="11" t="s">
        <v>387</v>
      </c>
      <c r="B2789" s="11" t="s">
        <v>134</v>
      </c>
      <c r="C2789" s="11" t="s">
        <v>50</v>
      </c>
      <c r="D2789" s="6">
        <v>45825</v>
      </c>
      <c r="E2789" t="str">
        <f>VLOOKUP(B2789,'PROCV GERENTES BD'!A:B,2,0)</f>
        <v>RAFAEL PARISE</v>
      </c>
      <c r="F2789" s="4" t="str">
        <f t="shared" si="258"/>
        <v>2025-06</v>
      </c>
      <c r="G2789" s="18">
        <f t="shared" si="259"/>
        <v>25</v>
      </c>
      <c r="H2789" t="str">
        <f t="shared" si="260"/>
        <v>RAFAEL PARISE</v>
      </c>
      <c r="I2789" t="str">
        <f t="shared" si="261"/>
        <v>MAIS DISTRIBUIDORA LTDA</v>
      </c>
      <c r="J2789">
        <f t="shared" si="262"/>
        <v>0</v>
      </c>
      <c r="K2789">
        <f t="shared" si="263"/>
        <v>1</v>
      </c>
    </row>
    <row r="2790" spans="1:11" x14ac:dyDescent="0.25">
      <c r="A2790" s="11" t="s">
        <v>51</v>
      </c>
      <c r="B2790" s="11" t="s">
        <v>52</v>
      </c>
      <c r="C2790" s="11" t="s">
        <v>50</v>
      </c>
      <c r="D2790" s="6">
        <v>45825</v>
      </c>
      <c r="E2790" t="str">
        <f>VLOOKUP(B2790,'PROCV GERENTES BD'!A:B,2,0)</f>
        <v>RAFAEL PARISE</v>
      </c>
      <c r="F2790" s="4" t="str">
        <f t="shared" si="258"/>
        <v>2025-06</v>
      </c>
      <c r="G2790" s="18">
        <f t="shared" si="259"/>
        <v>25</v>
      </c>
      <c r="H2790" t="str">
        <f t="shared" si="260"/>
        <v>RAFAEL PARISE</v>
      </c>
      <c r="I2790" t="str">
        <f t="shared" si="261"/>
        <v>TDR TRANSPORTES LOGISTICA LTDA</v>
      </c>
      <c r="J2790">
        <f t="shared" si="262"/>
        <v>0</v>
      </c>
      <c r="K2790">
        <f t="shared" si="263"/>
        <v>1</v>
      </c>
    </row>
    <row r="2791" spans="1:11" x14ac:dyDescent="0.25">
      <c r="A2791" s="11" t="s">
        <v>324</v>
      </c>
      <c r="B2791" s="11" t="s">
        <v>119</v>
      </c>
      <c r="C2791" s="11" t="s">
        <v>50</v>
      </c>
      <c r="D2791" s="6">
        <v>45825</v>
      </c>
      <c r="E2791" t="str">
        <f>VLOOKUP(B2791,'PROCV GERENTES BD'!A:B,2,0)</f>
        <v>PROSPECTAR</v>
      </c>
      <c r="F2791" s="4" t="str">
        <f t="shared" si="258"/>
        <v>2025-06</v>
      </c>
      <c r="G2791" s="18">
        <f t="shared" si="259"/>
        <v>25</v>
      </c>
      <c r="H2791" t="str">
        <f t="shared" si="260"/>
        <v>PROSPECTAR</v>
      </c>
      <c r="I2791" t="str">
        <f t="shared" si="261"/>
        <v>TRANSHENRY TRANSPORTES LTDA</v>
      </c>
      <c r="J2791">
        <f t="shared" si="262"/>
        <v>0</v>
      </c>
      <c r="K2791">
        <f t="shared" si="263"/>
        <v>1</v>
      </c>
    </row>
    <row r="2792" spans="1:11" x14ac:dyDescent="0.25">
      <c r="A2792" s="11" t="s">
        <v>524</v>
      </c>
      <c r="B2792" s="11" t="s">
        <v>289</v>
      </c>
      <c r="C2792" s="11" t="s">
        <v>50</v>
      </c>
      <c r="D2792" s="6">
        <v>45825</v>
      </c>
      <c r="E2792" t="str">
        <f>VLOOKUP(B2792,'PROCV GERENTES BD'!A:B,2,0)</f>
        <v>DALVA</v>
      </c>
      <c r="F2792" s="4" t="str">
        <f t="shared" si="258"/>
        <v>2025-06</v>
      </c>
      <c r="G2792" s="18">
        <f t="shared" si="259"/>
        <v>25</v>
      </c>
      <c r="H2792" t="str">
        <f t="shared" si="260"/>
        <v>DALVA</v>
      </c>
      <c r="I2792" t="str">
        <f t="shared" si="261"/>
        <v>FRAITECH INTELIGENCIA EM AUTOMACAO LTDA</v>
      </c>
      <c r="J2792">
        <f t="shared" si="262"/>
        <v>0</v>
      </c>
      <c r="K2792">
        <f t="shared" si="263"/>
        <v>1</v>
      </c>
    </row>
    <row r="2793" spans="1:11" x14ac:dyDescent="0.25">
      <c r="A2793" s="11" t="s">
        <v>305</v>
      </c>
      <c r="B2793" s="11" t="s">
        <v>141</v>
      </c>
      <c r="C2793" s="11" t="s">
        <v>66</v>
      </c>
      <c r="D2793" s="6">
        <v>45825</v>
      </c>
      <c r="E2793" t="str">
        <f>VLOOKUP(B2793,'PROCV GERENTES BD'!A:B,2,0)</f>
        <v>NOELI SALETE</v>
      </c>
      <c r="F2793" s="4" t="str">
        <f t="shared" si="258"/>
        <v>2025-06</v>
      </c>
      <c r="G2793" s="18">
        <f t="shared" si="259"/>
        <v>25</v>
      </c>
      <c r="H2793" t="str">
        <f t="shared" si="260"/>
        <v>NOELI SALETE</v>
      </c>
      <c r="I2793" t="str">
        <f t="shared" si="261"/>
        <v>JMS EMBALAGENS INDUSTRIAIS LTDA</v>
      </c>
      <c r="J2793">
        <f t="shared" si="262"/>
        <v>1</v>
      </c>
      <c r="K2793">
        <f t="shared" si="263"/>
        <v>0</v>
      </c>
    </row>
    <row r="2794" spans="1:11" x14ac:dyDescent="0.25">
      <c r="A2794" s="11" t="s">
        <v>523</v>
      </c>
      <c r="B2794" s="11" t="s">
        <v>288</v>
      </c>
      <c r="C2794" s="11" t="s">
        <v>50</v>
      </c>
      <c r="D2794" s="6">
        <v>45825</v>
      </c>
      <c r="E2794" t="str">
        <f>VLOOKUP(B2794,'PROCV GERENTES BD'!A:B,2,0)</f>
        <v>ADMINISTRAÇÃO</v>
      </c>
      <c r="F2794" s="4" t="str">
        <f t="shared" si="258"/>
        <v>2025-06</v>
      </c>
      <c r="G2794" s="18">
        <f t="shared" si="259"/>
        <v>25</v>
      </c>
      <c r="H2794" t="str">
        <f t="shared" si="260"/>
        <v>ADMINISTRAÇÃO</v>
      </c>
      <c r="I2794" t="str">
        <f t="shared" si="261"/>
        <v>REFRACONT BRASIL LTDA</v>
      </c>
      <c r="J2794">
        <f t="shared" si="262"/>
        <v>0</v>
      </c>
      <c r="K2794">
        <f t="shared" si="263"/>
        <v>1</v>
      </c>
    </row>
    <row r="2795" spans="1:11" x14ac:dyDescent="0.25">
      <c r="A2795" s="11" t="s">
        <v>368</v>
      </c>
      <c r="B2795" s="11" t="s">
        <v>111</v>
      </c>
      <c r="C2795" s="11" t="s">
        <v>50</v>
      </c>
      <c r="D2795" s="6">
        <v>45825</v>
      </c>
      <c r="E2795" t="str">
        <f>VLOOKUP(B2795,'PROCV GERENTES BD'!A:B,2,0)</f>
        <v>ADMINISTRAÇÃO</v>
      </c>
      <c r="F2795" s="4" t="str">
        <f t="shared" si="258"/>
        <v>2025-06</v>
      </c>
      <c r="G2795" s="18">
        <f t="shared" si="259"/>
        <v>25</v>
      </c>
      <c r="H2795" t="str">
        <f t="shared" si="260"/>
        <v>ADMINISTRAÇÃO</v>
      </c>
      <c r="I2795" t="str">
        <f t="shared" si="261"/>
        <v>ARTECAL ELETROCENTROS S/A</v>
      </c>
      <c r="J2795">
        <f t="shared" si="262"/>
        <v>0</v>
      </c>
      <c r="K2795">
        <f t="shared" si="263"/>
        <v>1</v>
      </c>
    </row>
    <row r="2796" spans="1:11" x14ac:dyDescent="0.25">
      <c r="A2796" s="11" t="s">
        <v>48</v>
      </c>
      <c r="B2796" s="11" t="s">
        <v>49</v>
      </c>
      <c r="C2796" s="11" t="s">
        <v>53</v>
      </c>
      <c r="D2796" s="6">
        <v>45825</v>
      </c>
      <c r="E2796" t="str">
        <f>VLOOKUP(B2796,'PROCV GERENTES BD'!A:B,2,0)</f>
        <v xml:space="preserve">MARCUS VINICIUS </v>
      </c>
      <c r="F2796" s="4" t="str">
        <f t="shared" si="258"/>
        <v>2025-06</v>
      </c>
      <c r="G2796" s="18">
        <f t="shared" si="259"/>
        <v>25</v>
      </c>
      <c r="H2796" t="str">
        <f t="shared" si="260"/>
        <v xml:space="preserve">MARCUS VINICIUS </v>
      </c>
      <c r="I2796" t="str">
        <f t="shared" si="261"/>
        <v>PROMEL IND COM IMP E EXP DE PRODS NATURAIS LTDA</v>
      </c>
      <c r="J2796">
        <f t="shared" si="262"/>
        <v>1</v>
      </c>
      <c r="K2796">
        <f t="shared" si="263"/>
        <v>1</v>
      </c>
    </row>
    <row r="2797" spans="1:11" x14ac:dyDescent="0.25">
      <c r="A2797" s="11" t="s">
        <v>56</v>
      </c>
      <c r="B2797" s="11" t="s">
        <v>57</v>
      </c>
      <c r="C2797" s="11" t="s">
        <v>50</v>
      </c>
      <c r="D2797" s="6">
        <v>45825</v>
      </c>
      <c r="E2797" t="str">
        <f>VLOOKUP(B2797,'PROCV GERENTES BD'!A:B,2,0)</f>
        <v xml:space="preserve">ROGERIO </v>
      </c>
      <c r="F2797" s="4" t="str">
        <f t="shared" si="258"/>
        <v>2025-06</v>
      </c>
      <c r="G2797" s="18">
        <f t="shared" si="259"/>
        <v>25</v>
      </c>
      <c r="H2797" t="str">
        <f t="shared" si="260"/>
        <v xml:space="preserve">ROGERIO </v>
      </c>
      <c r="I2797" t="str">
        <f t="shared" si="261"/>
        <v>RODOVIEIRA TRANSPORTE LTDA</v>
      </c>
      <c r="J2797">
        <f t="shared" si="262"/>
        <v>0</v>
      </c>
      <c r="K2797">
        <f t="shared" si="263"/>
        <v>1</v>
      </c>
    </row>
    <row r="2798" spans="1:11" x14ac:dyDescent="0.25">
      <c r="A2798" s="11" t="s">
        <v>326</v>
      </c>
      <c r="B2798" s="11" t="s">
        <v>122</v>
      </c>
      <c r="C2798" s="11" t="s">
        <v>66</v>
      </c>
      <c r="D2798" s="6">
        <v>45825</v>
      </c>
      <c r="E2798" t="str">
        <f>VLOOKUP(B2798,'PROCV GERENTES BD'!A:B,2,0)</f>
        <v xml:space="preserve">ROGERIO </v>
      </c>
      <c r="F2798" s="4" t="str">
        <f t="shared" si="258"/>
        <v>2025-06</v>
      </c>
      <c r="G2798" s="18">
        <f t="shared" si="259"/>
        <v>25</v>
      </c>
      <c r="H2798" t="str">
        <f t="shared" si="260"/>
        <v xml:space="preserve">ROGERIO </v>
      </c>
      <c r="I2798" t="str">
        <f t="shared" si="261"/>
        <v>BIBE PRODUTOS INFANTIS LTDA</v>
      </c>
      <c r="J2798">
        <f t="shared" si="262"/>
        <v>1</v>
      </c>
      <c r="K2798">
        <f t="shared" si="263"/>
        <v>0</v>
      </c>
    </row>
    <row r="2799" spans="1:11" x14ac:dyDescent="0.25">
      <c r="A2799" s="11" t="s">
        <v>523</v>
      </c>
      <c r="B2799" s="11" t="s">
        <v>288</v>
      </c>
      <c r="C2799" s="11" t="s">
        <v>50</v>
      </c>
      <c r="D2799" s="6">
        <v>45826</v>
      </c>
      <c r="E2799" t="str">
        <f>VLOOKUP(B2799,'PROCV GERENTES BD'!A:B,2,0)</f>
        <v>ADMINISTRAÇÃO</v>
      </c>
      <c r="F2799" s="4" t="str">
        <f t="shared" si="258"/>
        <v>2025-06</v>
      </c>
      <c r="G2799" s="18">
        <f t="shared" si="259"/>
        <v>25</v>
      </c>
      <c r="H2799" t="str">
        <f t="shared" si="260"/>
        <v>ADMINISTRAÇÃO</v>
      </c>
      <c r="I2799" t="str">
        <f t="shared" si="261"/>
        <v>REFRACONT BRASIL LTDA</v>
      </c>
      <c r="J2799">
        <f t="shared" si="262"/>
        <v>0</v>
      </c>
      <c r="K2799">
        <f t="shared" si="263"/>
        <v>1</v>
      </c>
    </row>
    <row r="2800" spans="1:11" x14ac:dyDescent="0.25">
      <c r="A2800" s="11" t="s">
        <v>324</v>
      </c>
      <c r="B2800" s="11" t="s">
        <v>119</v>
      </c>
      <c r="C2800" s="11" t="s">
        <v>66</v>
      </c>
      <c r="D2800" s="6">
        <v>45826</v>
      </c>
      <c r="E2800" t="str">
        <f>VLOOKUP(B2800,'PROCV GERENTES BD'!A:B,2,0)</f>
        <v>PROSPECTAR</v>
      </c>
      <c r="F2800" s="4" t="str">
        <f t="shared" si="258"/>
        <v>2025-06</v>
      </c>
      <c r="G2800" s="18">
        <f t="shared" si="259"/>
        <v>25</v>
      </c>
      <c r="H2800" t="str">
        <f t="shared" si="260"/>
        <v>PROSPECTAR</v>
      </c>
      <c r="I2800" t="str">
        <f t="shared" si="261"/>
        <v>TRANSHENRY TRANSPORTES LTDA</v>
      </c>
      <c r="J2800">
        <f t="shared" si="262"/>
        <v>1</v>
      </c>
      <c r="K2800">
        <f t="shared" si="263"/>
        <v>0</v>
      </c>
    </row>
    <row r="2801" spans="1:11" x14ac:dyDescent="0.25">
      <c r="A2801" s="11" t="s">
        <v>51</v>
      </c>
      <c r="B2801" s="11" t="s">
        <v>52</v>
      </c>
      <c r="C2801" s="11" t="s">
        <v>50</v>
      </c>
      <c r="D2801" s="6">
        <v>45826</v>
      </c>
      <c r="E2801" t="str">
        <f>VLOOKUP(B2801,'PROCV GERENTES BD'!A:B,2,0)</f>
        <v>RAFAEL PARISE</v>
      </c>
      <c r="F2801" s="4" t="str">
        <f t="shared" si="258"/>
        <v>2025-06</v>
      </c>
      <c r="G2801" s="18">
        <f t="shared" si="259"/>
        <v>25</v>
      </c>
      <c r="H2801" t="str">
        <f t="shared" si="260"/>
        <v>RAFAEL PARISE</v>
      </c>
      <c r="I2801" t="str">
        <f t="shared" si="261"/>
        <v>TDR TRANSPORTES LOGISTICA LTDA</v>
      </c>
      <c r="J2801">
        <f t="shared" si="262"/>
        <v>0</v>
      </c>
      <c r="K2801">
        <f t="shared" si="263"/>
        <v>1</v>
      </c>
    </row>
    <row r="2802" spans="1:11" x14ac:dyDescent="0.25">
      <c r="A2802" s="11" t="s">
        <v>387</v>
      </c>
      <c r="B2802" s="11" t="s">
        <v>134</v>
      </c>
      <c r="C2802" s="11" t="s">
        <v>50</v>
      </c>
      <c r="D2802" s="6">
        <v>45826</v>
      </c>
      <c r="E2802" t="str">
        <f>VLOOKUP(B2802,'PROCV GERENTES BD'!A:B,2,0)</f>
        <v>RAFAEL PARISE</v>
      </c>
      <c r="F2802" s="4" t="str">
        <f t="shared" si="258"/>
        <v>2025-06</v>
      </c>
      <c r="G2802" s="18">
        <f t="shared" si="259"/>
        <v>25</v>
      </c>
      <c r="H2802" t="str">
        <f t="shared" si="260"/>
        <v>RAFAEL PARISE</v>
      </c>
      <c r="I2802" t="str">
        <f t="shared" si="261"/>
        <v>MAIS DISTRIBUIDORA LTDA</v>
      </c>
      <c r="J2802">
        <f t="shared" si="262"/>
        <v>0</v>
      </c>
      <c r="K2802">
        <f t="shared" si="263"/>
        <v>1</v>
      </c>
    </row>
    <row r="2803" spans="1:11" x14ac:dyDescent="0.25">
      <c r="A2803" s="11" t="s">
        <v>358</v>
      </c>
      <c r="B2803" s="11" t="s">
        <v>104</v>
      </c>
      <c r="C2803" s="11" t="s">
        <v>50</v>
      </c>
      <c r="D2803" s="6">
        <v>45826</v>
      </c>
      <c r="E2803" t="str">
        <f>VLOOKUP(B2803,'PROCV GERENTES BD'!A:B,2,0)</f>
        <v>DIOGO AZEVEDO</v>
      </c>
      <c r="F2803" s="4" t="str">
        <f t="shared" si="258"/>
        <v>2025-06</v>
      </c>
      <c r="G2803" s="18">
        <f t="shared" si="259"/>
        <v>25</v>
      </c>
      <c r="H2803" t="str">
        <f t="shared" si="260"/>
        <v>DIOGO AZEVEDO</v>
      </c>
      <c r="I2803" t="str">
        <f t="shared" si="261"/>
        <v>INDUSTRIA E CERVEJARIA ARTESANAL DE MINAS GERAIS L</v>
      </c>
      <c r="J2803">
        <f t="shared" si="262"/>
        <v>0</v>
      </c>
      <c r="K2803">
        <f t="shared" si="263"/>
        <v>1</v>
      </c>
    </row>
    <row r="2804" spans="1:11" x14ac:dyDescent="0.25">
      <c r="A2804" s="11" t="s">
        <v>319</v>
      </c>
      <c r="B2804" s="11" t="s">
        <v>80</v>
      </c>
      <c r="C2804" s="11" t="s">
        <v>66</v>
      </c>
      <c r="D2804" s="6">
        <v>45826</v>
      </c>
      <c r="E2804" t="str">
        <f>VLOOKUP(B2804,'PROCV GERENTES BD'!A:B,2,0)</f>
        <v>CELIO PIMENTA</v>
      </c>
      <c r="F2804" s="4" t="str">
        <f t="shared" si="258"/>
        <v>2025-06</v>
      </c>
      <c r="G2804" s="18">
        <f t="shared" si="259"/>
        <v>25</v>
      </c>
      <c r="H2804" t="str">
        <f t="shared" si="260"/>
        <v>CELIO PIMENTA</v>
      </c>
      <c r="I2804" t="str">
        <f t="shared" si="261"/>
        <v>IMPORTEXTIL COMERCIO DE TECIDOS LTDA</v>
      </c>
      <c r="J2804">
        <f t="shared" si="262"/>
        <v>1</v>
      </c>
      <c r="K2804">
        <f t="shared" si="263"/>
        <v>0</v>
      </c>
    </row>
    <row r="2805" spans="1:11" x14ac:dyDescent="0.25">
      <c r="A2805" s="11" t="s">
        <v>372</v>
      </c>
      <c r="B2805" s="11" t="s">
        <v>116</v>
      </c>
      <c r="C2805" s="11" t="s">
        <v>66</v>
      </c>
      <c r="D2805" s="6">
        <v>45826</v>
      </c>
      <c r="E2805" t="str">
        <f>VLOOKUP(B2805,'PROCV GERENTES BD'!A:B,2,0)</f>
        <v>ADMINISTRAÇÃO</v>
      </c>
      <c r="F2805" s="4" t="str">
        <f t="shared" si="258"/>
        <v>2025-06</v>
      </c>
      <c r="G2805" s="18">
        <f t="shared" si="259"/>
        <v>25</v>
      </c>
      <c r="H2805" t="str">
        <f t="shared" si="260"/>
        <v>ADMINISTRAÇÃO</v>
      </c>
      <c r="I2805" t="str">
        <f t="shared" si="261"/>
        <v>PREMOLDADOS MATOSINHOS LTDA EPP</v>
      </c>
      <c r="J2805">
        <f t="shared" si="262"/>
        <v>1</v>
      </c>
      <c r="K2805">
        <f t="shared" si="263"/>
        <v>0</v>
      </c>
    </row>
    <row r="2806" spans="1:11" x14ac:dyDescent="0.25">
      <c r="A2806" s="11" t="s">
        <v>352</v>
      </c>
      <c r="B2806" s="11" t="s">
        <v>96</v>
      </c>
      <c r="C2806" s="11" t="s">
        <v>50</v>
      </c>
      <c r="D2806" s="6">
        <v>45826</v>
      </c>
      <c r="E2806" t="str">
        <f>VLOOKUP(B2806,'PROCV GERENTES BD'!A:B,2,0)</f>
        <v>POENATELA</v>
      </c>
      <c r="F2806" s="4" t="str">
        <f t="shared" si="258"/>
        <v>2025-06</v>
      </c>
      <c r="G2806" s="18">
        <f t="shared" si="259"/>
        <v>25</v>
      </c>
      <c r="H2806" t="str">
        <f t="shared" si="260"/>
        <v>POENATELA</v>
      </c>
      <c r="I2806" t="str">
        <f t="shared" si="261"/>
        <v>SUPER HARD TECNOLOGIA EM TRATAMENTO DE SUPERFICIES</v>
      </c>
      <c r="J2806">
        <f t="shared" si="262"/>
        <v>0</v>
      </c>
      <c r="K2806">
        <f t="shared" si="263"/>
        <v>1</v>
      </c>
    </row>
    <row r="2807" spans="1:11" x14ac:dyDescent="0.25">
      <c r="A2807" s="11" t="s">
        <v>67</v>
      </c>
      <c r="B2807" s="11" t="s">
        <v>68</v>
      </c>
      <c r="C2807" s="11" t="s">
        <v>53</v>
      </c>
      <c r="D2807" s="6">
        <v>45826</v>
      </c>
      <c r="E2807" t="str">
        <f>VLOOKUP(B2807,'PROCV GERENTES BD'!A:B,2,0)</f>
        <v xml:space="preserve">ROGERIO </v>
      </c>
      <c r="F2807" s="4" t="str">
        <f t="shared" si="258"/>
        <v>2025-06</v>
      </c>
      <c r="G2807" s="18">
        <f t="shared" si="259"/>
        <v>25</v>
      </c>
      <c r="H2807" t="str">
        <f t="shared" si="260"/>
        <v xml:space="preserve">ROGERIO </v>
      </c>
      <c r="I2807" t="str">
        <f t="shared" si="261"/>
        <v>DIOTTONI INDUSTRIA E COMERCIO DE ALIMENTOS LTDA ME</v>
      </c>
      <c r="J2807">
        <f t="shared" si="262"/>
        <v>1</v>
      </c>
      <c r="K2807">
        <f t="shared" si="263"/>
        <v>1</v>
      </c>
    </row>
    <row r="2808" spans="1:11" x14ac:dyDescent="0.25">
      <c r="A2808" s="11" t="s">
        <v>369</v>
      </c>
      <c r="B2808" s="11" t="s">
        <v>113</v>
      </c>
      <c r="C2808" s="11" t="s">
        <v>53</v>
      </c>
      <c r="D2808" s="6">
        <v>45826</v>
      </c>
      <c r="E2808" t="str">
        <f>VLOOKUP(B2808,'PROCV GERENTES BD'!A:B,2,0)</f>
        <v xml:space="preserve">MARCUS VINICIUS </v>
      </c>
      <c r="F2808" s="4" t="str">
        <f t="shared" si="258"/>
        <v>2025-06</v>
      </c>
      <c r="G2808" s="18">
        <f t="shared" si="259"/>
        <v>25</v>
      </c>
      <c r="H2808" t="str">
        <f t="shared" si="260"/>
        <v xml:space="preserve">MARCUS VINICIUS </v>
      </c>
      <c r="I2808" t="str">
        <f t="shared" si="261"/>
        <v>ISOBASE POLIESTIRENO LTDA EPP</v>
      </c>
      <c r="J2808">
        <f t="shared" si="262"/>
        <v>1</v>
      </c>
      <c r="K2808">
        <f t="shared" si="263"/>
        <v>1</v>
      </c>
    </row>
    <row r="2809" spans="1:11" x14ac:dyDescent="0.25">
      <c r="A2809" s="11" t="s">
        <v>600</v>
      </c>
      <c r="B2809" s="11" t="s">
        <v>594</v>
      </c>
      <c r="C2809" s="11" t="s">
        <v>50</v>
      </c>
      <c r="D2809" s="6">
        <v>45826</v>
      </c>
      <c r="E2809" t="str">
        <f>VLOOKUP(B2809,'PROCV GERENTES BD'!A:B,2,0)</f>
        <v xml:space="preserve">ROGERIO </v>
      </c>
      <c r="F2809" s="4" t="str">
        <f t="shared" si="258"/>
        <v>2025-06</v>
      </c>
      <c r="G2809" s="18">
        <f t="shared" si="259"/>
        <v>25</v>
      </c>
      <c r="H2809" t="str">
        <f t="shared" si="260"/>
        <v xml:space="preserve">ROGERIO </v>
      </c>
      <c r="I2809" t="str">
        <f t="shared" si="261"/>
        <v>METALAB COMERCIO E INDUSTRIA FARMACEUTICA LTDA ME</v>
      </c>
      <c r="J2809">
        <f t="shared" si="262"/>
        <v>0</v>
      </c>
      <c r="K2809">
        <f t="shared" si="263"/>
        <v>1</v>
      </c>
    </row>
    <row r="2810" spans="1:11" x14ac:dyDescent="0.25">
      <c r="A2810" s="11" t="s">
        <v>487</v>
      </c>
      <c r="B2810" s="11" t="s">
        <v>244</v>
      </c>
      <c r="C2810" s="11" t="s">
        <v>50</v>
      </c>
      <c r="D2810" s="6">
        <v>45826</v>
      </c>
      <c r="E2810" t="str">
        <f>VLOOKUP(B2810,'PROCV GERENTES BD'!A:B,2,0)</f>
        <v xml:space="preserve">ROGERIO </v>
      </c>
      <c r="F2810" s="4" t="str">
        <f t="shared" si="258"/>
        <v>2025-06</v>
      </c>
      <c r="G2810" s="18">
        <f t="shared" si="259"/>
        <v>25</v>
      </c>
      <c r="H2810" t="str">
        <f t="shared" si="260"/>
        <v xml:space="preserve">ROGERIO </v>
      </c>
      <c r="I2810" t="str">
        <f t="shared" si="261"/>
        <v>MUNDO AGRO COMERCIO E DISTRIBUICAO DE CALCADOS LTD</v>
      </c>
      <c r="J2810">
        <f t="shared" si="262"/>
        <v>0</v>
      </c>
      <c r="K2810">
        <f t="shared" si="263"/>
        <v>1</v>
      </c>
    </row>
    <row r="2811" spans="1:11" x14ac:dyDescent="0.25">
      <c r="A2811" s="11" t="s">
        <v>326</v>
      </c>
      <c r="B2811" s="11" t="s">
        <v>122</v>
      </c>
      <c r="C2811" s="11" t="s">
        <v>50</v>
      </c>
      <c r="D2811" s="6">
        <v>45826</v>
      </c>
      <c r="E2811" t="str">
        <f>VLOOKUP(B2811,'PROCV GERENTES BD'!A:B,2,0)</f>
        <v xml:space="preserve">ROGERIO </v>
      </c>
      <c r="F2811" s="4" t="str">
        <f t="shared" si="258"/>
        <v>2025-06</v>
      </c>
      <c r="G2811" s="18">
        <f t="shared" si="259"/>
        <v>25</v>
      </c>
      <c r="H2811" t="str">
        <f t="shared" si="260"/>
        <v xml:space="preserve">ROGERIO </v>
      </c>
      <c r="I2811" t="str">
        <f t="shared" si="261"/>
        <v>BIBE PRODUTOS INFANTIS LTDA</v>
      </c>
      <c r="J2811">
        <f t="shared" si="262"/>
        <v>0</v>
      </c>
      <c r="K2811">
        <f t="shared" si="263"/>
        <v>1</v>
      </c>
    </row>
    <row r="2812" spans="1:11" x14ac:dyDescent="0.25">
      <c r="A2812" t="s">
        <v>529</v>
      </c>
      <c r="B2812" t="s">
        <v>297</v>
      </c>
      <c r="C2812" t="s">
        <v>50</v>
      </c>
      <c r="D2812" s="6">
        <v>45827</v>
      </c>
      <c r="E2812" t="str">
        <f>VLOOKUP(B2812,'PROCV GERENTES BD'!A:B,2,0)</f>
        <v>ANDRE CUNHA</v>
      </c>
      <c r="F2812" s="4" t="str">
        <f t="shared" si="258"/>
        <v>2025-06</v>
      </c>
      <c r="G2812" s="18">
        <f t="shared" si="259"/>
        <v>25</v>
      </c>
      <c r="H2812" t="str">
        <f t="shared" si="260"/>
        <v>ANDRE CUNHA</v>
      </c>
      <c r="I2812" t="str">
        <f t="shared" si="261"/>
        <v>REVPACK TECNOLOGIA E COMERCIO DE COMPONENTES PLAST</v>
      </c>
      <c r="J2812">
        <f t="shared" si="262"/>
        <v>0</v>
      </c>
      <c r="K2812">
        <f t="shared" si="263"/>
        <v>1</v>
      </c>
    </row>
    <row r="2813" spans="1:11" x14ac:dyDescent="0.25">
      <c r="A2813" t="s">
        <v>524</v>
      </c>
      <c r="B2813" t="s">
        <v>289</v>
      </c>
      <c r="C2813" t="s">
        <v>50</v>
      </c>
      <c r="D2813" s="6">
        <v>45827</v>
      </c>
      <c r="E2813" t="str">
        <f>VLOOKUP(B2813,'PROCV GERENTES BD'!A:B,2,0)</f>
        <v>DALVA</v>
      </c>
      <c r="F2813" s="4" t="str">
        <f t="shared" si="258"/>
        <v>2025-06</v>
      </c>
      <c r="G2813" s="18">
        <f t="shared" si="259"/>
        <v>25</v>
      </c>
      <c r="H2813" t="str">
        <f t="shared" si="260"/>
        <v>DALVA</v>
      </c>
      <c r="I2813" t="str">
        <f t="shared" si="261"/>
        <v>FRAITECH INTELIGENCIA EM AUTOMACAO LTDA</v>
      </c>
      <c r="J2813">
        <f t="shared" si="262"/>
        <v>0</v>
      </c>
      <c r="K2813">
        <f t="shared" si="263"/>
        <v>1</v>
      </c>
    </row>
    <row r="2814" spans="1:11" x14ac:dyDescent="0.25">
      <c r="A2814" t="s">
        <v>324</v>
      </c>
      <c r="B2814" t="s">
        <v>119</v>
      </c>
      <c r="C2814" t="s">
        <v>66</v>
      </c>
      <c r="D2814" s="6">
        <v>45827</v>
      </c>
      <c r="E2814" t="str">
        <f>VLOOKUP(B2814,'PROCV GERENTES BD'!A:B,2,0)</f>
        <v>PROSPECTAR</v>
      </c>
      <c r="F2814" s="4" t="str">
        <f t="shared" si="258"/>
        <v>2025-06</v>
      </c>
      <c r="G2814" s="18">
        <f t="shared" si="259"/>
        <v>25</v>
      </c>
      <c r="H2814" t="str">
        <f t="shared" si="260"/>
        <v>PROSPECTAR</v>
      </c>
      <c r="I2814" t="str">
        <f t="shared" si="261"/>
        <v>TRANSHENRY TRANSPORTES LTDA</v>
      </c>
      <c r="J2814">
        <f t="shared" si="262"/>
        <v>1</v>
      </c>
      <c r="K2814">
        <f t="shared" si="263"/>
        <v>0</v>
      </c>
    </row>
    <row r="2815" spans="1:11" x14ac:dyDescent="0.25">
      <c r="A2815" t="s">
        <v>321</v>
      </c>
      <c r="B2815" t="s">
        <v>264</v>
      </c>
      <c r="C2815" t="s">
        <v>50</v>
      </c>
      <c r="D2815" s="6">
        <v>45827</v>
      </c>
      <c r="E2815" t="str">
        <f>VLOOKUP(B2815,'PROCV GERENTES BD'!A:B,2,0)</f>
        <v>RAFAEL PARISE</v>
      </c>
      <c r="F2815" s="4" t="str">
        <f t="shared" si="258"/>
        <v>2025-06</v>
      </c>
      <c r="G2815" s="18">
        <f t="shared" si="259"/>
        <v>25</v>
      </c>
      <c r="H2815" t="str">
        <f t="shared" si="260"/>
        <v>RAFAEL PARISE</v>
      </c>
      <c r="I2815" t="str">
        <f t="shared" si="261"/>
        <v>METALCROMO METALIZACAO E CROMO DURO INDUSTRIAL LTD</v>
      </c>
      <c r="J2815">
        <f t="shared" si="262"/>
        <v>0</v>
      </c>
      <c r="K2815">
        <f t="shared" si="263"/>
        <v>1</v>
      </c>
    </row>
    <row r="2816" spans="1:11" x14ac:dyDescent="0.25">
      <c r="A2816" t="s">
        <v>358</v>
      </c>
      <c r="B2816" t="s">
        <v>104</v>
      </c>
      <c r="C2816" t="s">
        <v>66</v>
      </c>
      <c r="D2816" s="6">
        <v>45827</v>
      </c>
      <c r="E2816" t="str">
        <f>VLOOKUP(B2816,'PROCV GERENTES BD'!A:B,2,0)</f>
        <v>DIOGO AZEVEDO</v>
      </c>
      <c r="F2816" s="4" t="str">
        <f t="shared" si="258"/>
        <v>2025-06</v>
      </c>
      <c r="G2816" s="18">
        <f t="shared" si="259"/>
        <v>25</v>
      </c>
      <c r="H2816" t="str">
        <f t="shared" si="260"/>
        <v>DIOGO AZEVEDO</v>
      </c>
      <c r="I2816" t="str">
        <f t="shared" si="261"/>
        <v>INDUSTRIA E CERVEJARIA ARTESANAL DE MINAS GERAIS L</v>
      </c>
      <c r="J2816">
        <f t="shared" si="262"/>
        <v>1</v>
      </c>
      <c r="K2816">
        <f t="shared" si="263"/>
        <v>0</v>
      </c>
    </row>
    <row r="2817" spans="1:11" x14ac:dyDescent="0.25">
      <c r="A2817" t="s">
        <v>331</v>
      </c>
      <c r="B2817" t="s">
        <v>144</v>
      </c>
      <c r="C2817" t="s">
        <v>50</v>
      </c>
      <c r="D2817" s="6">
        <v>45827</v>
      </c>
      <c r="E2817" t="str">
        <f>VLOOKUP(B2817,'PROCV GERENTES BD'!A:B,2,0)</f>
        <v>ADMINISTRAÇÃO</v>
      </c>
      <c r="F2817" s="4" t="str">
        <f t="shared" si="258"/>
        <v>2025-06</v>
      </c>
      <c r="G2817" s="18">
        <f t="shared" si="259"/>
        <v>25</v>
      </c>
      <c r="H2817" t="str">
        <f t="shared" si="260"/>
        <v>ADMINISTRAÇÃO</v>
      </c>
      <c r="I2817" t="str">
        <f t="shared" si="261"/>
        <v>BOM PASTOR PAPEIS LTDA EM RECUPERACAO JUDICIAL</v>
      </c>
      <c r="J2817">
        <f t="shared" si="262"/>
        <v>0</v>
      </c>
      <c r="K2817">
        <f t="shared" si="263"/>
        <v>1</v>
      </c>
    </row>
    <row r="2818" spans="1:11" x14ac:dyDescent="0.25">
      <c r="A2818" t="s">
        <v>56</v>
      </c>
      <c r="B2818" t="s">
        <v>57</v>
      </c>
      <c r="C2818" t="s">
        <v>66</v>
      </c>
      <c r="D2818" s="6">
        <v>45827</v>
      </c>
      <c r="E2818" t="str">
        <f>VLOOKUP(B2818,'PROCV GERENTES BD'!A:B,2,0)</f>
        <v xml:space="preserve">ROGERIO </v>
      </c>
      <c r="F2818" s="4" t="str">
        <f t="shared" ref="F2818:F2881" si="264">YEAR(D2818)&amp;"-"&amp;TEXT(MONTH(D2818),"00")</f>
        <v>2025-06</v>
      </c>
      <c r="G2818" s="18">
        <f t="shared" ref="G2818:G2881" si="265">WEEKNUM(D2818)</f>
        <v>25</v>
      </c>
      <c r="H2818" t="str">
        <f t="shared" ref="H2818:H2881" si="266">E2818</f>
        <v xml:space="preserve">ROGERIO </v>
      </c>
      <c r="I2818" t="str">
        <f t="shared" ref="I2818:I2881" si="267">B2818</f>
        <v>RODOVIEIRA TRANSPORTE LTDA</v>
      </c>
      <c r="J2818">
        <f t="shared" ref="J2818:J2881" si="268">IF(OR(C2818="EXCLUSAO  ANOT.INADIMPLENCIA",C2818="INCL/EXCL ANOT.INADIMPLENCIA"),1,0)</f>
        <v>1</v>
      </c>
      <c r="K2818">
        <f t="shared" ref="K2818:K2881" si="269">IF(OR(C2818="INCLUSAO  ANOT.INADIMPLENCIA",C2818="INCL/EXCL ANOT.INADIMPLENCIA"),1,0)</f>
        <v>0</v>
      </c>
    </row>
    <row r="2819" spans="1:11" x14ac:dyDescent="0.25">
      <c r="A2819" t="s">
        <v>319</v>
      </c>
      <c r="B2819" t="s">
        <v>80</v>
      </c>
      <c r="C2819" t="s">
        <v>50</v>
      </c>
      <c r="D2819" s="6">
        <v>45827</v>
      </c>
      <c r="E2819" t="str">
        <f>VLOOKUP(B2819,'PROCV GERENTES BD'!A:B,2,0)</f>
        <v>CELIO PIMENTA</v>
      </c>
      <c r="F2819" s="4" t="str">
        <f t="shared" si="264"/>
        <v>2025-06</v>
      </c>
      <c r="G2819" s="18">
        <f t="shared" si="265"/>
        <v>25</v>
      </c>
      <c r="H2819" t="str">
        <f t="shared" si="266"/>
        <v>CELIO PIMENTA</v>
      </c>
      <c r="I2819" t="str">
        <f t="shared" si="267"/>
        <v>IMPORTEXTIL COMERCIO DE TECIDOS LTDA</v>
      </c>
      <c r="J2819">
        <f t="shared" si="268"/>
        <v>0</v>
      </c>
      <c r="K2819">
        <f t="shared" si="269"/>
        <v>1</v>
      </c>
    </row>
    <row r="2820" spans="1:11" x14ac:dyDescent="0.25">
      <c r="A2820" t="s">
        <v>372</v>
      </c>
      <c r="B2820" t="s">
        <v>116</v>
      </c>
      <c r="C2820" t="s">
        <v>66</v>
      </c>
      <c r="D2820" s="6">
        <v>45827</v>
      </c>
      <c r="E2820" t="str">
        <f>VLOOKUP(B2820,'PROCV GERENTES BD'!A:B,2,0)</f>
        <v>ADMINISTRAÇÃO</v>
      </c>
      <c r="F2820" s="4" t="str">
        <f t="shared" si="264"/>
        <v>2025-06</v>
      </c>
      <c r="G2820" s="18">
        <f t="shared" si="265"/>
        <v>25</v>
      </c>
      <c r="H2820" t="str">
        <f t="shared" si="266"/>
        <v>ADMINISTRAÇÃO</v>
      </c>
      <c r="I2820" t="str">
        <f t="shared" si="267"/>
        <v>PREMOLDADOS MATOSINHOS LTDA EPP</v>
      </c>
      <c r="J2820">
        <f t="shared" si="268"/>
        <v>1</v>
      </c>
      <c r="K2820">
        <f t="shared" si="269"/>
        <v>0</v>
      </c>
    </row>
    <row r="2821" spans="1:11" x14ac:dyDescent="0.25">
      <c r="A2821" t="s">
        <v>352</v>
      </c>
      <c r="B2821" t="s">
        <v>96</v>
      </c>
      <c r="C2821" t="s">
        <v>66</v>
      </c>
      <c r="D2821" s="6">
        <v>45827</v>
      </c>
      <c r="E2821" t="str">
        <f>VLOOKUP(B2821,'PROCV GERENTES BD'!A:B,2,0)</f>
        <v>POENATELA</v>
      </c>
      <c r="F2821" s="4" t="str">
        <f t="shared" si="264"/>
        <v>2025-06</v>
      </c>
      <c r="G2821" s="18">
        <f t="shared" si="265"/>
        <v>25</v>
      </c>
      <c r="H2821" t="str">
        <f t="shared" si="266"/>
        <v>POENATELA</v>
      </c>
      <c r="I2821" t="str">
        <f t="shared" si="267"/>
        <v>SUPER HARD TECNOLOGIA EM TRATAMENTO DE SUPERFICIES</v>
      </c>
      <c r="J2821">
        <f t="shared" si="268"/>
        <v>1</v>
      </c>
      <c r="K2821">
        <f t="shared" si="269"/>
        <v>0</v>
      </c>
    </row>
    <row r="2822" spans="1:11" x14ac:dyDescent="0.25">
      <c r="A2822" t="s">
        <v>64</v>
      </c>
      <c r="B2822" t="s">
        <v>65</v>
      </c>
      <c r="C2822" t="s">
        <v>50</v>
      </c>
      <c r="D2822" s="6">
        <v>45827</v>
      </c>
      <c r="E2822" t="str">
        <f>VLOOKUP(B2822,'PROCV GERENTES BD'!A:B,2,0)</f>
        <v>ADMINISTRAÇÃO</v>
      </c>
      <c r="F2822" s="4" t="str">
        <f t="shared" si="264"/>
        <v>2025-06</v>
      </c>
      <c r="G2822" s="18">
        <f t="shared" si="265"/>
        <v>25</v>
      </c>
      <c r="H2822" t="str">
        <f t="shared" si="266"/>
        <v>ADMINISTRAÇÃO</v>
      </c>
      <c r="I2822" t="str">
        <f t="shared" si="267"/>
        <v>SOCIAL S/A</v>
      </c>
      <c r="J2822">
        <f t="shared" si="268"/>
        <v>0</v>
      </c>
      <c r="K2822">
        <f t="shared" si="269"/>
        <v>1</v>
      </c>
    </row>
    <row r="2823" spans="1:11" x14ac:dyDescent="0.25">
      <c r="A2823" t="s">
        <v>67</v>
      </c>
      <c r="B2823" t="s">
        <v>68</v>
      </c>
      <c r="C2823" t="s">
        <v>53</v>
      </c>
      <c r="D2823" s="6">
        <v>45827</v>
      </c>
      <c r="E2823" t="str">
        <f>VLOOKUP(B2823,'PROCV GERENTES BD'!A:B,2,0)</f>
        <v xml:space="preserve">ROGERIO </v>
      </c>
      <c r="F2823" s="4" t="str">
        <f t="shared" si="264"/>
        <v>2025-06</v>
      </c>
      <c r="G2823" s="18">
        <f t="shared" si="265"/>
        <v>25</v>
      </c>
      <c r="H2823" t="str">
        <f t="shared" si="266"/>
        <v xml:space="preserve">ROGERIO </v>
      </c>
      <c r="I2823" t="str">
        <f t="shared" si="267"/>
        <v>DIOTTONI INDUSTRIA E COMERCIO DE ALIMENTOS LTDA ME</v>
      </c>
      <c r="J2823">
        <f t="shared" si="268"/>
        <v>1</v>
      </c>
      <c r="K2823">
        <f t="shared" si="269"/>
        <v>1</v>
      </c>
    </row>
    <row r="2824" spans="1:11" x14ac:dyDescent="0.25">
      <c r="A2824" t="s">
        <v>515</v>
      </c>
      <c r="B2824" t="s">
        <v>277</v>
      </c>
      <c r="C2824" t="s">
        <v>66</v>
      </c>
      <c r="D2824" s="6">
        <v>45827</v>
      </c>
      <c r="E2824" t="str">
        <f>VLOOKUP(B2824,'PROCV GERENTES BD'!A:B,2,0)</f>
        <v>ALISSON DE SOUZA LIMA</v>
      </c>
      <c r="F2824" s="4" t="str">
        <f t="shared" si="264"/>
        <v>2025-06</v>
      </c>
      <c r="G2824" s="18">
        <f t="shared" si="265"/>
        <v>25</v>
      </c>
      <c r="H2824" t="str">
        <f t="shared" si="266"/>
        <v>ALISSON DE SOUZA LIMA</v>
      </c>
      <c r="I2824" t="str">
        <f t="shared" si="267"/>
        <v>COMERCIAL GTS INFORMATICA LTDA EPP</v>
      </c>
      <c r="J2824">
        <f t="shared" si="268"/>
        <v>1</v>
      </c>
      <c r="K2824">
        <f t="shared" si="269"/>
        <v>0</v>
      </c>
    </row>
    <row r="2825" spans="1:11" x14ac:dyDescent="0.25">
      <c r="A2825" t="s">
        <v>316</v>
      </c>
      <c r="B2825" t="s">
        <v>302</v>
      </c>
      <c r="C2825" t="s">
        <v>50</v>
      </c>
      <c r="D2825" s="6">
        <v>45827</v>
      </c>
      <c r="E2825" t="str">
        <f>VLOOKUP(B2825,'PROCV GERENTES BD'!A:B,2,0)</f>
        <v>CELIO PIMENTA</v>
      </c>
      <c r="F2825" s="4" t="str">
        <f t="shared" si="264"/>
        <v>2025-06</v>
      </c>
      <c r="G2825" s="18">
        <f t="shared" si="265"/>
        <v>25</v>
      </c>
      <c r="H2825" t="str">
        <f t="shared" si="266"/>
        <v>CELIO PIMENTA</v>
      </c>
      <c r="I2825" t="str">
        <f t="shared" si="267"/>
        <v>LOTUS DESENVOLVIMENTO IMOBILIARIO LTDA</v>
      </c>
      <c r="J2825">
        <f t="shared" si="268"/>
        <v>0</v>
      </c>
      <c r="K2825">
        <f t="shared" si="269"/>
        <v>1</v>
      </c>
    </row>
    <row r="2826" spans="1:11" x14ac:dyDescent="0.25">
      <c r="A2826" t="s">
        <v>69</v>
      </c>
      <c r="B2826" t="s">
        <v>70</v>
      </c>
      <c r="C2826" t="s">
        <v>66</v>
      </c>
      <c r="D2826" s="6">
        <v>45827</v>
      </c>
      <c r="E2826" t="str">
        <f>VLOOKUP(B2826,'PROCV GERENTES BD'!A:B,2,0)</f>
        <v>ALISSON DE SOUZA LIMA</v>
      </c>
      <c r="F2826" s="4" t="str">
        <f t="shared" si="264"/>
        <v>2025-06</v>
      </c>
      <c r="G2826" s="18">
        <f t="shared" si="265"/>
        <v>25</v>
      </c>
      <c r="H2826" t="str">
        <f t="shared" si="266"/>
        <v>ALISSON DE SOUZA LIMA</v>
      </c>
      <c r="I2826" t="str">
        <f t="shared" si="267"/>
        <v>AUTOMOTIV DO BRASIL INDUSTRIAL LTDA</v>
      </c>
      <c r="J2826">
        <f t="shared" si="268"/>
        <v>1</v>
      </c>
      <c r="K2826">
        <f t="shared" si="269"/>
        <v>0</v>
      </c>
    </row>
    <row r="2827" spans="1:11" x14ac:dyDescent="0.25">
      <c r="A2827" t="s">
        <v>601</v>
      </c>
      <c r="B2827" t="s">
        <v>552</v>
      </c>
      <c r="C2827" t="s">
        <v>66</v>
      </c>
      <c r="D2827" s="6">
        <v>45827</v>
      </c>
      <c r="E2827" t="str">
        <f>VLOOKUP(B2827,'PROCV GERENTES BD'!A:B,2,0)</f>
        <v>DALVA</v>
      </c>
      <c r="F2827" s="4" t="str">
        <f t="shared" si="264"/>
        <v>2025-06</v>
      </c>
      <c r="G2827" s="18">
        <f t="shared" si="265"/>
        <v>25</v>
      </c>
      <c r="H2827" t="str">
        <f t="shared" si="266"/>
        <v>DALVA</v>
      </c>
      <c r="I2827" t="str">
        <f t="shared" si="267"/>
        <v>NOVA CALDERARIA MONTAGEM LTDA EPP</v>
      </c>
      <c r="J2827">
        <f t="shared" si="268"/>
        <v>1</v>
      </c>
      <c r="K2827">
        <f t="shared" si="269"/>
        <v>0</v>
      </c>
    </row>
    <row r="2828" spans="1:11" x14ac:dyDescent="0.25">
      <c r="A2828" t="s">
        <v>326</v>
      </c>
      <c r="B2828" t="s">
        <v>122</v>
      </c>
      <c r="C2828" t="s">
        <v>66</v>
      </c>
      <c r="D2828" s="6">
        <v>45827</v>
      </c>
      <c r="E2828" t="str">
        <f>VLOOKUP(B2828,'PROCV GERENTES BD'!A:B,2,0)</f>
        <v xml:space="preserve">ROGERIO </v>
      </c>
      <c r="F2828" s="4" t="str">
        <f t="shared" si="264"/>
        <v>2025-06</v>
      </c>
      <c r="G2828" s="18">
        <f t="shared" si="265"/>
        <v>25</v>
      </c>
      <c r="H2828" t="str">
        <f t="shared" si="266"/>
        <v xml:space="preserve">ROGERIO </v>
      </c>
      <c r="I2828" t="str">
        <f t="shared" si="267"/>
        <v>BIBE PRODUTOS INFANTIS LTDA</v>
      </c>
      <c r="J2828">
        <f t="shared" si="268"/>
        <v>1</v>
      </c>
      <c r="K2828">
        <f t="shared" si="269"/>
        <v>0</v>
      </c>
    </row>
    <row r="2829" spans="1:11" x14ac:dyDescent="0.25">
      <c r="A2829" t="s">
        <v>385</v>
      </c>
      <c r="B2829" t="s">
        <v>132</v>
      </c>
      <c r="C2829" t="s">
        <v>602</v>
      </c>
      <c r="D2829" s="6">
        <v>45827</v>
      </c>
      <c r="E2829" t="str">
        <f>VLOOKUP(B2829,'PROCV GERENTES BD'!A:B,2,0)</f>
        <v xml:space="preserve">MARCUS VINICIUS </v>
      </c>
      <c r="F2829" s="4" t="str">
        <f t="shared" si="264"/>
        <v>2025-06</v>
      </c>
      <c r="G2829" s="18">
        <f t="shared" si="265"/>
        <v>25</v>
      </c>
      <c r="H2829" t="str">
        <f t="shared" si="266"/>
        <v xml:space="preserve">MARCUS VINICIUS </v>
      </c>
      <c r="I2829" t="str">
        <f t="shared" si="267"/>
        <v>RODOANEL REFORMADORA DE IMPLEMENTOS RODOVIARIOS LT</v>
      </c>
      <c r="J2829">
        <f t="shared" si="268"/>
        <v>0</v>
      </c>
      <c r="K2829">
        <f t="shared" si="269"/>
        <v>0</v>
      </c>
    </row>
    <row r="2830" spans="1:11" x14ac:dyDescent="0.25">
      <c r="A2830" t="s">
        <v>385</v>
      </c>
      <c r="B2830" t="s">
        <v>132</v>
      </c>
      <c r="C2830" t="s">
        <v>71</v>
      </c>
      <c r="D2830" s="6">
        <v>45827</v>
      </c>
      <c r="E2830" t="str">
        <f>VLOOKUP(B2830,'PROCV GERENTES BD'!A:B,2,0)</f>
        <v xml:space="preserve">MARCUS VINICIUS </v>
      </c>
      <c r="F2830" s="4" t="str">
        <f t="shared" si="264"/>
        <v>2025-06</v>
      </c>
      <c r="G2830" s="18">
        <f t="shared" si="265"/>
        <v>25</v>
      </c>
      <c r="H2830" t="str">
        <f t="shared" si="266"/>
        <v xml:space="preserve">MARCUS VINICIUS </v>
      </c>
      <c r="I2830" t="str">
        <f t="shared" si="267"/>
        <v>RODOANEL REFORMADORA DE IMPLEMENTOS RODOVIARIOS LT</v>
      </c>
      <c r="J2830">
        <f t="shared" si="268"/>
        <v>0</v>
      </c>
      <c r="K2830">
        <f t="shared" si="269"/>
        <v>0</v>
      </c>
    </row>
    <row r="2831" spans="1:11" x14ac:dyDescent="0.25">
      <c r="A2831" t="s">
        <v>603</v>
      </c>
      <c r="B2831" t="s">
        <v>587</v>
      </c>
      <c r="C2831" t="s">
        <v>71</v>
      </c>
      <c r="D2831" s="6">
        <v>45827</v>
      </c>
      <c r="E2831" t="str">
        <f>VLOOKUP(B2831,'PROCV GERENTES BD'!A:B,2,0)</f>
        <v>CAIO</v>
      </c>
      <c r="F2831" s="4" t="str">
        <f t="shared" si="264"/>
        <v>2025-06</v>
      </c>
      <c r="G2831" s="18">
        <f t="shared" si="265"/>
        <v>25</v>
      </c>
      <c r="H2831" t="str">
        <f t="shared" si="266"/>
        <v>CAIO</v>
      </c>
      <c r="I2831" t="str">
        <f t="shared" si="267"/>
        <v>CALDAS SEG INDUSTRIA E COMERCIO DE EPI S LTDA</v>
      </c>
      <c r="J2831">
        <f t="shared" si="268"/>
        <v>0</v>
      </c>
      <c r="K2831">
        <f t="shared" si="269"/>
        <v>0</v>
      </c>
    </row>
    <row r="2832" spans="1:11" x14ac:dyDescent="0.25">
      <c r="A2832" t="s">
        <v>491</v>
      </c>
      <c r="B2832" t="s">
        <v>250</v>
      </c>
      <c r="C2832" t="s">
        <v>71</v>
      </c>
      <c r="D2832" s="6">
        <v>45827</v>
      </c>
      <c r="E2832" t="str">
        <f>VLOOKUP(B2832,'PROCV GERENTES BD'!A:B,2,0)</f>
        <v xml:space="preserve">ROGERIO </v>
      </c>
      <c r="F2832" s="4" t="str">
        <f t="shared" si="264"/>
        <v>2025-06</v>
      </c>
      <c r="G2832" s="18">
        <f t="shared" si="265"/>
        <v>25</v>
      </c>
      <c r="H2832" t="str">
        <f t="shared" si="266"/>
        <v xml:space="preserve">ROGERIO </v>
      </c>
      <c r="I2832" t="str">
        <f t="shared" si="267"/>
        <v>CARGA EQUIPAMENTOS RODOVIARIOS LTDA ME</v>
      </c>
      <c r="J2832">
        <f t="shared" si="268"/>
        <v>0</v>
      </c>
      <c r="K2832">
        <f t="shared" si="269"/>
        <v>0</v>
      </c>
    </row>
    <row r="2833" spans="1:11" x14ac:dyDescent="0.25">
      <c r="A2833" t="s">
        <v>424</v>
      </c>
      <c r="B2833" t="s">
        <v>202</v>
      </c>
      <c r="C2833" t="s">
        <v>71</v>
      </c>
      <c r="D2833" s="6">
        <v>45827</v>
      </c>
      <c r="E2833" t="str">
        <f>VLOOKUP(B2833,'PROCV GERENTES BD'!A:B,2,0)</f>
        <v>RAFAEL PARISE</v>
      </c>
      <c r="F2833" s="4" t="str">
        <f t="shared" si="264"/>
        <v>2025-06</v>
      </c>
      <c r="G2833" s="18">
        <f t="shared" si="265"/>
        <v>25</v>
      </c>
      <c r="H2833" t="str">
        <f t="shared" si="266"/>
        <v>RAFAEL PARISE</v>
      </c>
      <c r="I2833" t="str">
        <f t="shared" si="267"/>
        <v>FRUTAS JARDINS LTDA</v>
      </c>
      <c r="J2833">
        <f t="shared" si="268"/>
        <v>0</v>
      </c>
      <c r="K2833">
        <f t="shared" si="269"/>
        <v>0</v>
      </c>
    </row>
    <row r="2834" spans="1:11" x14ac:dyDescent="0.25">
      <c r="A2834" t="s">
        <v>604</v>
      </c>
      <c r="B2834" t="s">
        <v>605</v>
      </c>
      <c r="C2834" t="s">
        <v>327</v>
      </c>
      <c r="D2834" s="6">
        <v>45827</v>
      </c>
      <c r="E2834" t="str">
        <f>VLOOKUP(B2834,'PROCV GERENTES BD'!A:B,2,0)</f>
        <v>ALISSON DE SOUZA LIMA</v>
      </c>
      <c r="F2834" s="4" t="str">
        <f t="shared" si="264"/>
        <v>2025-06</v>
      </c>
      <c r="G2834" s="18">
        <f t="shared" si="265"/>
        <v>25</v>
      </c>
      <c r="H2834" t="str">
        <f t="shared" si="266"/>
        <v>ALISSON DE SOUZA LIMA</v>
      </c>
      <c r="I2834" t="str">
        <f t="shared" si="267"/>
        <v>3J FUNDICAO INDUSTRIAL LTDA</v>
      </c>
      <c r="J2834">
        <f t="shared" si="268"/>
        <v>0</v>
      </c>
      <c r="K2834">
        <f t="shared" si="269"/>
        <v>0</v>
      </c>
    </row>
    <row r="2835" spans="1:11" x14ac:dyDescent="0.25">
      <c r="A2835" t="s">
        <v>604</v>
      </c>
      <c r="B2835" t="s">
        <v>605</v>
      </c>
      <c r="C2835" t="s">
        <v>329</v>
      </c>
      <c r="D2835" s="6">
        <v>45827</v>
      </c>
      <c r="E2835" t="str">
        <f>VLOOKUP(B2835,'PROCV GERENTES BD'!A:B,2,0)</f>
        <v>ALISSON DE SOUZA LIMA</v>
      </c>
      <c r="F2835" s="4" t="str">
        <f t="shared" si="264"/>
        <v>2025-06</v>
      </c>
      <c r="G2835" s="18">
        <f t="shared" si="265"/>
        <v>25</v>
      </c>
      <c r="H2835" t="str">
        <f t="shared" si="266"/>
        <v>ALISSON DE SOUZA LIMA</v>
      </c>
      <c r="I2835" t="str">
        <f t="shared" si="267"/>
        <v>3J FUNDICAO INDUSTRIAL LTDA</v>
      </c>
      <c r="J2835">
        <f t="shared" si="268"/>
        <v>0</v>
      </c>
      <c r="K2835">
        <f t="shared" si="269"/>
        <v>0</v>
      </c>
    </row>
    <row r="2836" spans="1:11" x14ac:dyDescent="0.25">
      <c r="A2836" t="s">
        <v>606</v>
      </c>
      <c r="B2836" t="s">
        <v>607</v>
      </c>
      <c r="C2836" t="s">
        <v>328</v>
      </c>
      <c r="D2836" s="6">
        <v>45827</v>
      </c>
      <c r="E2836" t="str">
        <f>VLOOKUP(B2836,'PROCV GERENTES BD'!A:B,2,0)</f>
        <v xml:space="preserve">MARCUS VINICIUS </v>
      </c>
      <c r="F2836" s="4" t="str">
        <f t="shared" si="264"/>
        <v>2025-06</v>
      </c>
      <c r="G2836" s="18">
        <f t="shared" si="265"/>
        <v>25</v>
      </c>
      <c r="H2836" t="str">
        <f t="shared" si="266"/>
        <v xml:space="preserve">MARCUS VINICIUS </v>
      </c>
      <c r="I2836" t="str">
        <f t="shared" si="267"/>
        <v>RB DISTRIBUIDORA DE PRODUTOS DE HIGIENE LTDA</v>
      </c>
      <c r="J2836">
        <f t="shared" si="268"/>
        <v>0</v>
      </c>
      <c r="K2836">
        <f t="shared" si="269"/>
        <v>0</v>
      </c>
    </row>
    <row r="2837" spans="1:11" x14ac:dyDescent="0.25">
      <c r="A2837" t="s">
        <v>69</v>
      </c>
      <c r="B2837" t="s">
        <v>70</v>
      </c>
      <c r="C2837" t="s">
        <v>71</v>
      </c>
      <c r="D2837" s="6">
        <v>45827</v>
      </c>
      <c r="E2837" t="str">
        <f>VLOOKUP(B2837,'PROCV GERENTES BD'!A:B,2,0)</f>
        <v>ALISSON DE SOUZA LIMA</v>
      </c>
      <c r="F2837" s="4" t="str">
        <f t="shared" si="264"/>
        <v>2025-06</v>
      </c>
      <c r="G2837" s="18">
        <f t="shared" si="265"/>
        <v>25</v>
      </c>
      <c r="H2837" t="str">
        <f t="shared" si="266"/>
        <v>ALISSON DE SOUZA LIMA</v>
      </c>
      <c r="I2837" t="str">
        <f t="shared" si="267"/>
        <v>AUTOMOTIV DO BRASIL INDUSTRIAL LTDA</v>
      </c>
      <c r="J2837">
        <f t="shared" si="268"/>
        <v>0</v>
      </c>
      <c r="K2837">
        <f t="shared" si="269"/>
        <v>0</v>
      </c>
    </row>
    <row r="2838" spans="1:11" x14ac:dyDescent="0.25">
      <c r="A2838" t="s">
        <v>608</v>
      </c>
      <c r="B2838" t="s">
        <v>609</v>
      </c>
      <c r="C2838" t="s">
        <v>328</v>
      </c>
      <c r="D2838" s="6">
        <v>45827</v>
      </c>
      <c r="E2838" t="str">
        <f>VLOOKUP(B2838,'PROCV GERENTES BD'!A:B,2,0)</f>
        <v>PROSPECTAR</v>
      </c>
      <c r="F2838" s="4" t="str">
        <f t="shared" si="264"/>
        <v>2025-06</v>
      </c>
      <c r="G2838" s="18">
        <f t="shared" si="265"/>
        <v>25</v>
      </c>
      <c r="H2838" t="str">
        <f t="shared" si="266"/>
        <v>PROSPECTAR</v>
      </c>
      <c r="I2838" t="str">
        <f t="shared" si="267"/>
        <v>SAGESSE INDUSTRIAL TEXTIL LTDA EPP</v>
      </c>
      <c r="J2838">
        <f t="shared" si="268"/>
        <v>0</v>
      </c>
      <c r="K2838">
        <f t="shared" si="269"/>
        <v>0</v>
      </c>
    </row>
    <row r="2839" spans="1:11" x14ac:dyDescent="0.25">
      <c r="A2839" t="s">
        <v>608</v>
      </c>
      <c r="B2839" t="s">
        <v>609</v>
      </c>
      <c r="C2839" t="s">
        <v>71</v>
      </c>
      <c r="D2839" s="6">
        <v>45827</v>
      </c>
      <c r="E2839" t="str">
        <f>VLOOKUP(B2839,'PROCV GERENTES BD'!A:B,2,0)</f>
        <v>PROSPECTAR</v>
      </c>
      <c r="F2839" s="4" t="str">
        <f t="shared" si="264"/>
        <v>2025-06</v>
      </c>
      <c r="G2839" s="18">
        <f t="shared" si="265"/>
        <v>25</v>
      </c>
      <c r="H2839" t="str">
        <f t="shared" si="266"/>
        <v>PROSPECTAR</v>
      </c>
      <c r="I2839" t="str">
        <f t="shared" si="267"/>
        <v>SAGESSE INDUSTRIAL TEXTIL LTDA EPP</v>
      </c>
      <c r="J2839">
        <f t="shared" si="268"/>
        <v>0</v>
      </c>
      <c r="K2839">
        <f t="shared" si="269"/>
        <v>0</v>
      </c>
    </row>
    <row r="2840" spans="1:11" x14ac:dyDescent="0.25">
      <c r="A2840" s="11" t="s">
        <v>48</v>
      </c>
      <c r="B2840" s="11" t="s">
        <v>49</v>
      </c>
      <c r="C2840" s="11" t="s">
        <v>50</v>
      </c>
      <c r="D2840" s="6">
        <v>45829</v>
      </c>
      <c r="E2840" t="str">
        <f>VLOOKUP(B2840,'PROCV GERENTES BD'!A:B,2,0)</f>
        <v xml:space="preserve">MARCUS VINICIUS </v>
      </c>
      <c r="F2840" s="4" t="str">
        <f t="shared" si="264"/>
        <v>2025-06</v>
      </c>
      <c r="G2840" s="18">
        <f t="shared" si="265"/>
        <v>25</v>
      </c>
      <c r="H2840" t="str">
        <f t="shared" si="266"/>
        <v xml:space="preserve">MARCUS VINICIUS </v>
      </c>
      <c r="I2840" t="str">
        <f t="shared" si="267"/>
        <v>PROMEL IND COM IMP E EXP DE PRODS NATURAIS LTDA</v>
      </c>
      <c r="J2840">
        <f t="shared" si="268"/>
        <v>0</v>
      </c>
      <c r="K2840">
        <f t="shared" si="269"/>
        <v>1</v>
      </c>
    </row>
    <row r="2841" spans="1:11" x14ac:dyDescent="0.25">
      <c r="A2841" s="11" t="s">
        <v>445</v>
      </c>
      <c r="B2841" s="11" t="s">
        <v>197</v>
      </c>
      <c r="C2841" s="11" t="s">
        <v>50</v>
      </c>
      <c r="D2841" s="12">
        <v>45829</v>
      </c>
      <c r="E2841" t="str">
        <f>VLOOKUP(B2841,'PROCV GERENTES BD'!A:B,2,0)</f>
        <v>ADMINISTRAÇÃO</v>
      </c>
      <c r="F2841" s="4" t="str">
        <f t="shared" si="264"/>
        <v>2025-06</v>
      </c>
      <c r="G2841" s="18">
        <f t="shared" si="265"/>
        <v>25</v>
      </c>
      <c r="H2841" t="str">
        <f t="shared" si="266"/>
        <v>ADMINISTRAÇÃO</v>
      </c>
      <c r="I2841" t="str">
        <f t="shared" si="267"/>
        <v>FARBIA CHEMICALS COMERCIO IMPORTACAO E EXPORTACAO</v>
      </c>
      <c r="J2841">
        <f t="shared" si="268"/>
        <v>0</v>
      </c>
      <c r="K2841">
        <f t="shared" si="269"/>
        <v>1</v>
      </c>
    </row>
    <row r="2842" spans="1:11" x14ac:dyDescent="0.25">
      <c r="A2842" s="11" t="s">
        <v>610</v>
      </c>
      <c r="B2842" s="11" t="s">
        <v>611</v>
      </c>
      <c r="C2842" s="11" t="s">
        <v>50</v>
      </c>
      <c r="D2842" s="6">
        <v>45829</v>
      </c>
      <c r="E2842" t="str">
        <f>VLOOKUP(B2842,'PROCV GERENTES BD'!A:B,2,0)</f>
        <v>TIAGO NEVES</v>
      </c>
      <c r="F2842" s="4" t="str">
        <f t="shared" si="264"/>
        <v>2025-06</v>
      </c>
      <c r="G2842" s="18">
        <f t="shared" si="265"/>
        <v>25</v>
      </c>
      <c r="H2842" t="str">
        <f t="shared" si="266"/>
        <v>TIAGO NEVES</v>
      </c>
      <c r="I2842" t="str">
        <f t="shared" si="267"/>
        <v>TRATOR GLASS LTDA ME</v>
      </c>
      <c r="J2842">
        <f t="shared" si="268"/>
        <v>0</v>
      </c>
      <c r="K2842">
        <f t="shared" si="269"/>
        <v>1</v>
      </c>
    </row>
    <row r="2843" spans="1:11" x14ac:dyDescent="0.25">
      <c r="A2843" s="11" t="s">
        <v>520</v>
      </c>
      <c r="B2843" s="11" t="s">
        <v>285</v>
      </c>
      <c r="C2843" s="11" t="s">
        <v>66</v>
      </c>
      <c r="D2843" s="6">
        <v>45829</v>
      </c>
      <c r="E2843" t="str">
        <f>VLOOKUP(B2843,'PROCV GERENTES BD'!A:B,2,0)</f>
        <v>PROSPECTAR</v>
      </c>
      <c r="F2843" s="4" t="str">
        <f t="shared" si="264"/>
        <v>2025-06</v>
      </c>
      <c r="G2843" s="18">
        <f t="shared" si="265"/>
        <v>25</v>
      </c>
      <c r="H2843" t="str">
        <f t="shared" si="266"/>
        <v>PROSPECTAR</v>
      </c>
      <c r="I2843" t="str">
        <f t="shared" si="267"/>
        <v>NUTRIBEM SAL E RACOES LTDA</v>
      </c>
      <c r="J2843">
        <f t="shared" si="268"/>
        <v>1</v>
      </c>
      <c r="K2843">
        <f t="shared" si="269"/>
        <v>0</v>
      </c>
    </row>
    <row r="2844" spans="1:11" x14ac:dyDescent="0.25">
      <c r="A2844" s="11" t="s">
        <v>461</v>
      </c>
      <c r="B2844" s="11" t="s">
        <v>218</v>
      </c>
      <c r="C2844" s="11" t="s">
        <v>66</v>
      </c>
      <c r="D2844" s="6">
        <v>45829</v>
      </c>
      <c r="E2844" t="str">
        <f>VLOOKUP(B2844,'PROCV GERENTES BD'!A:B,2,0)</f>
        <v>SACADO</v>
      </c>
      <c r="F2844" s="4" t="str">
        <f t="shared" si="264"/>
        <v>2025-06</v>
      </c>
      <c r="G2844" s="18">
        <f t="shared" si="265"/>
        <v>25</v>
      </c>
      <c r="H2844" t="str">
        <f t="shared" si="266"/>
        <v>SACADO</v>
      </c>
      <c r="I2844" t="str">
        <f t="shared" si="267"/>
        <v>KUARA COMERCIAL E EXPORTADORA DE FRUTAS LTDA</v>
      </c>
      <c r="J2844">
        <f t="shared" si="268"/>
        <v>1</v>
      </c>
      <c r="K2844">
        <f t="shared" si="269"/>
        <v>0</v>
      </c>
    </row>
    <row r="2845" spans="1:11" x14ac:dyDescent="0.25">
      <c r="A2845" s="11" t="s">
        <v>599</v>
      </c>
      <c r="B2845" s="11" t="s">
        <v>541</v>
      </c>
      <c r="C2845" s="11" t="s">
        <v>50</v>
      </c>
      <c r="D2845" s="6">
        <v>45829</v>
      </c>
      <c r="E2845" t="str">
        <f>VLOOKUP(B2845,'PROCV GERENTES BD'!A:B,2,0)</f>
        <v xml:space="preserve">MARCUS VINICIUS </v>
      </c>
      <c r="F2845" s="4" t="str">
        <f t="shared" si="264"/>
        <v>2025-06</v>
      </c>
      <c r="G2845" s="18">
        <f t="shared" si="265"/>
        <v>25</v>
      </c>
      <c r="H2845" t="str">
        <f t="shared" si="266"/>
        <v xml:space="preserve">MARCUS VINICIUS </v>
      </c>
      <c r="I2845" t="str">
        <f t="shared" si="267"/>
        <v>JSA INDUSTRIA DE COSMETICOS LTDA EPP</v>
      </c>
      <c r="J2845">
        <f t="shared" si="268"/>
        <v>0</v>
      </c>
      <c r="K2845">
        <f t="shared" si="269"/>
        <v>1</v>
      </c>
    </row>
    <row r="2846" spans="1:11" x14ac:dyDescent="0.25">
      <c r="A2846" s="11" t="s">
        <v>450</v>
      </c>
      <c r="B2846" s="11" t="s">
        <v>207</v>
      </c>
      <c r="C2846" s="11" t="s">
        <v>50</v>
      </c>
      <c r="D2846" s="6">
        <v>45829</v>
      </c>
      <c r="E2846" t="str">
        <f>VLOOKUP(B2846,'PROCV GERENTES BD'!A:B,2,0)</f>
        <v>CELIO PIMENTA</v>
      </c>
      <c r="F2846" s="4" t="str">
        <f t="shared" si="264"/>
        <v>2025-06</v>
      </c>
      <c r="G2846" s="18">
        <f t="shared" si="265"/>
        <v>25</v>
      </c>
      <c r="H2846" t="str">
        <f t="shared" si="266"/>
        <v>CELIO PIMENTA</v>
      </c>
      <c r="I2846" t="str">
        <f t="shared" si="267"/>
        <v>LIDER COMERCIO DE UNIFORMES E EPI S LTDA ME</v>
      </c>
      <c r="J2846">
        <f t="shared" si="268"/>
        <v>0</v>
      </c>
      <c r="K2846">
        <f t="shared" si="269"/>
        <v>1</v>
      </c>
    </row>
    <row r="2847" spans="1:11" x14ac:dyDescent="0.25">
      <c r="A2847" s="11" t="s">
        <v>316</v>
      </c>
      <c r="B2847" s="11" t="s">
        <v>302</v>
      </c>
      <c r="C2847" s="11" t="s">
        <v>50</v>
      </c>
      <c r="D2847" s="6">
        <v>45829</v>
      </c>
      <c r="E2847" t="str">
        <f>VLOOKUP(B2847,'PROCV GERENTES BD'!A:B,2,0)</f>
        <v>CELIO PIMENTA</v>
      </c>
      <c r="F2847" s="4" t="str">
        <f t="shared" si="264"/>
        <v>2025-06</v>
      </c>
      <c r="G2847" s="18">
        <f t="shared" si="265"/>
        <v>25</v>
      </c>
      <c r="H2847" t="str">
        <f t="shared" si="266"/>
        <v>CELIO PIMENTA</v>
      </c>
      <c r="I2847" t="str">
        <f t="shared" si="267"/>
        <v>LOTUS DESENVOLVIMENTO IMOBILIARIO LTDA</v>
      </c>
      <c r="J2847">
        <f t="shared" si="268"/>
        <v>0</v>
      </c>
      <c r="K2847">
        <f t="shared" si="269"/>
        <v>1</v>
      </c>
    </row>
    <row r="2848" spans="1:11" x14ac:dyDescent="0.25">
      <c r="A2848" s="11" t="s">
        <v>67</v>
      </c>
      <c r="B2848" s="11" t="s">
        <v>68</v>
      </c>
      <c r="C2848" s="11" t="s">
        <v>50</v>
      </c>
      <c r="D2848" s="6">
        <v>45829</v>
      </c>
      <c r="E2848" t="str">
        <f>VLOOKUP(B2848,'PROCV GERENTES BD'!A:B,2,0)</f>
        <v xml:space="preserve">ROGERIO </v>
      </c>
      <c r="F2848" s="4" t="str">
        <f t="shared" si="264"/>
        <v>2025-06</v>
      </c>
      <c r="G2848" s="18">
        <f t="shared" si="265"/>
        <v>25</v>
      </c>
      <c r="H2848" t="str">
        <f t="shared" si="266"/>
        <v xml:space="preserve">ROGERIO </v>
      </c>
      <c r="I2848" t="str">
        <f t="shared" si="267"/>
        <v>DIOTTONI INDUSTRIA E COMERCIO DE ALIMENTOS LTDA ME</v>
      </c>
      <c r="J2848">
        <f t="shared" si="268"/>
        <v>0</v>
      </c>
      <c r="K2848">
        <f t="shared" si="269"/>
        <v>1</v>
      </c>
    </row>
    <row r="2849" spans="1:11" x14ac:dyDescent="0.25">
      <c r="A2849" s="11" t="s">
        <v>64</v>
      </c>
      <c r="B2849" s="11" t="s">
        <v>65</v>
      </c>
      <c r="C2849" s="11" t="s">
        <v>50</v>
      </c>
      <c r="D2849" s="6">
        <v>45829</v>
      </c>
      <c r="E2849" t="str">
        <f>VLOOKUP(B2849,'PROCV GERENTES BD'!A:B,2,0)</f>
        <v>ADMINISTRAÇÃO</v>
      </c>
      <c r="F2849" s="4" t="str">
        <f t="shared" si="264"/>
        <v>2025-06</v>
      </c>
      <c r="G2849" s="18">
        <f t="shared" si="265"/>
        <v>25</v>
      </c>
      <c r="H2849" t="str">
        <f t="shared" si="266"/>
        <v>ADMINISTRAÇÃO</v>
      </c>
      <c r="I2849" t="str">
        <f t="shared" si="267"/>
        <v>SOCIAL S/A</v>
      </c>
      <c r="J2849">
        <f t="shared" si="268"/>
        <v>0</v>
      </c>
      <c r="K2849">
        <f t="shared" si="269"/>
        <v>1</v>
      </c>
    </row>
    <row r="2850" spans="1:11" x14ac:dyDescent="0.25">
      <c r="A2850" s="11" t="s">
        <v>519</v>
      </c>
      <c r="B2850" s="11" t="s">
        <v>283</v>
      </c>
      <c r="C2850" s="11" t="s">
        <v>50</v>
      </c>
      <c r="D2850" s="6">
        <v>45829</v>
      </c>
      <c r="E2850" t="str">
        <f>VLOOKUP(B2850,'PROCV GERENTES BD'!A:B,2,0)</f>
        <v>DALVA</v>
      </c>
      <c r="F2850" s="4" t="str">
        <f t="shared" si="264"/>
        <v>2025-06</v>
      </c>
      <c r="G2850" s="18">
        <f t="shared" si="265"/>
        <v>25</v>
      </c>
      <c r="H2850" t="str">
        <f t="shared" si="266"/>
        <v>DALVA</v>
      </c>
      <c r="I2850" t="str">
        <f t="shared" si="267"/>
        <v>LTA USINAGEM LTDA EPP</v>
      </c>
      <c r="J2850">
        <f t="shared" si="268"/>
        <v>0</v>
      </c>
      <c r="K2850">
        <f t="shared" si="269"/>
        <v>1</v>
      </c>
    </row>
    <row r="2851" spans="1:11" x14ac:dyDescent="0.25">
      <c r="A2851" s="11" t="s">
        <v>310</v>
      </c>
      <c r="B2851" s="11" t="s">
        <v>204</v>
      </c>
      <c r="C2851" s="11" t="s">
        <v>50</v>
      </c>
      <c r="D2851" s="6">
        <v>45829</v>
      </c>
      <c r="E2851" t="str">
        <f>VLOOKUP(B2851,'PROCV GERENTES BD'!A:B,2,0)</f>
        <v xml:space="preserve">MARCUS VINICIUS </v>
      </c>
      <c r="F2851" s="4" t="str">
        <f t="shared" si="264"/>
        <v>2025-06</v>
      </c>
      <c r="G2851" s="18">
        <f t="shared" si="265"/>
        <v>25</v>
      </c>
      <c r="H2851" t="str">
        <f t="shared" si="266"/>
        <v xml:space="preserve">MARCUS VINICIUS </v>
      </c>
      <c r="I2851" t="str">
        <f t="shared" si="267"/>
        <v>INDUSTRIA E COMERCIO DE CHURRASQUEIRAS BOM JESUS L</v>
      </c>
      <c r="J2851">
        <f t="shared" si="268"/>
        <v>0</v>
      </c>
      <c r="K2851">
        <f t="shared" si="269"/>
        <v>1</v>
      </c>
    </row>
    <row r="2852" spans="1:11" x14ac:dyDescent="0.25">
      <c r="A2852" s="11" t="s">
        <v>318</v>
      </c>
      <c r="B2852" s="11" t="s">
        <v>203</v>
      </c>
      <c r="C2852" s="11" t="s">
        <v>66</v>
      </c>
      <c r="D2852" s="6">
        <v>45829</v>
      </c>
      <c r="E2852" t="str">
        <f>VLOOKUP(B2852,'PROCV GERENTES BD'!A:B,2,0)</f>
        <v>JOSE ROBERTO</v>
      </c>
      <c r="F2852" s="4" t="str">
        <f t="shared" si="264"/>
        <v>2025-06</v>
      </c>
      <c r="G2852" s="18">
        <f t="shared" si="265"/>
        <v>25</v>
      </c>
      <c r="H2852" t="str">
        <f t="shared" si="266"/>
        <v>JOSE ROBERTO</v>
      </c>
      <c r="I2852" t="str">
        <f t="shared" si="267"/>
        <v>FUNDACAO DE ENSINO E PESQUISA DO SUL DE MINAS FEPE</v>
      </c>
      <c r="J2852">
        <f t="shared" si="268"/>
        <v>1</v>
      </c>
      <c r="K2852">
        <f t="shared" si="269"/>
        <v>0</v>
      </c>
    </row>
    <row r="2853" spans="1:11" x14ac:dyDescent="0.25">
      <c r="A2853" s="11" t="s">
        <v>319</v>
      </c>
      <c r="B2853" s="11" t="s">
        <v>80</v>
      </c>
      <c r="C2853" s="11" t="s">
        <v>50</v>
      </c>
      <c r="D2853" s="6">
        <v>45829</v>
      </c>
      <c r="E2853" t="str">
        <f>VLOOKUP(B2853,'PROCV GERENTES BD'!A:B,2,0)</f>
        <v>CELIO PIMENTA</v>
      </c>
      <c r="F2853" s="4" t="str">
        <f t="shared" si="264"/>
        <v>2025-06</v>
      </c>
      <c r="G2853" s="18">
        <f t="shared" si="265"/>
        <v>25</v>
      </c>
      <c r="H2853" t="str">
        <f t="shared" si="266"/>
        <v>CELIO PIMENTA</v>
      </c>
      <c r="I2853" t="str">
        <f t="shared" si="267"/>
        <v>IMPORTEXTIL COMERCIO DE TECIDOS LTDA</v>
      </c>
      <c r="J2853">
        <f t="shared" si="268"/>
        <v>0</v>
      </c>
      <c r="K2853">
        <f t="shared" si="269"/>
        <v>1</v>
      </c>
    </row>
    <row r="2854" spans="1:11" x14ac:dyDescent="0.25">
      <c r="A2854" s="11" t="s">
        <v>56</v>
      </c>
      <c r="B2854" s="11" t="s">
        <v>57</v>
      </c>
      <c r="C2854" s="11" t="s">
        <v>50</v>
      </c>
      <c r="D2854" s="6">
        <v>45829</v>
      </c>
      <c r="E2854" t="str">
        <f>VLOOKUP(B2854,'PROCV GERENTES BD'!A:B,2,0)</f>
        <v xml:space="preserve">ROGERIO </v>
      </c>
      <c r="F2854" s="4" t="str">
        <f t="shared" si="264"/>
        <v>2025-06</v>
      </c>
      <c r="G2854" s="18">
        <f t="shared" si="265"/>
        <v>25</v>
      </c>
      <c r="H2854" t="str">
        <f t="shared" si="266"/>
        <v xml:space="preserve">ROGERIO </v>
      </c>
      <c r="I2854" t="str">
        <f t="shared" si="267"/>
        <v>RODOVIEIRA TRANSPORTE LTDA</v>
      </c>
      <c r="J2854">
        <f t="shared" si="268"/>
        <v>0</v>
      </c>
      <c r="K2854">
        <f t="shared" si="269"/>
        <v>1</v>
      </c>
    </row>
    <row r="2855" spans="1:11" x14ac:dyDescent="0.25">
      <c r="A2855" s="11" t="s">
        <v>344</v>
      </c>
      <c r="B2855" s="11" t="s">
        <v>89</v>
      </c>
      <c r="C2855" s="11" t="s">
        <v>50</v>
      </c>
      <c r="D2855" s="6">
        <v>45829</v>
      </c>
      <c r="E2855" t="str">
        <f>VLOOKUP(B2855,'PROCV GERENTES BD'!A:B,2,0)</f>
        <v>POENATELA</v>
      </c>
      <c r="F2855" s="4" t="str">
        <f t="shared" si="264"/>
        <v>2025-06</v>
      </c>
      <c r="G2855" s="18">
        <f t="shared" si="265"/>
        <v>25</v>
      </c>
      <c r="H2855" t="str">
        <f t="shared" si="266"/>
        <v>POENATELA</v>
      </c>
      <c r="I2855" t="str">
        <f t="shared" si="267"/>
        <v>CERVEJARIA SOUZA LTDA</v>
      </c>
      <c r="J2855">
        <f t="shared" si="268"/>
        <v>0</v>
      </c>
      <c r="K2855">
        <f t="shared" si="269"/>
        <v>1</v>
      </c>
    </row>
    <row r="2856" spans="1:11" x14ac:dyDescent="0.25">
      <c r="A2856" s="11" t="s">
        <v>51</v>
      </c>
      <c r="B2856" s="11" t="s">
        <v>52</v>
      </c>
      <c r="C2856" s="11" t="s">
        <v>50</v>
      </c>
      <c r="D2856" s="6">
        <v>45829</v>
      </c>
      <c r="E2856" t="str">
        <f>VLOOKUP(B2856,'PROCV GERENTES BD'!A:B,2,0)</f>
        <v>RAFAEL PARISE</v>
      </c>
      <c r="F2856" s="4" t="str">
        <f t="shared" si="264"/>
        <v>2025-06</v>
      </c>
      <c r="G2856" s="18">
        <f t="shared" si="265"/>
        <v>25</v>
      </c>
      <c r="H2856" t="str">
        <f t="shared" si="266"/>
        <v>RAFAEL PARISE</v>
      </c>
      <c r="I2856" t="str">
        <f t="shared" si="267"/>
        <v>TDR TRANSPORTES LOGISTICA LTDA</v>
      </c>
      <c r="J2856">
        <f t="shared" si="268"/>
        <v>0</v>
      </c>
      <c r="K2856">
        <f t="shared" si="269"/>
        <v>1</v>
      </c>
    </row>
    <row r="2857" spans="1:11" x14ac:dyDescent="0.25">
      <c r="A2857" s="11" t="s">
        <v>324</v>
      </c>
      <c r="B2857" s="11" t="s">
        <v>119</v>
      </c>
      <c r="C2857" s="11" t="s">
        <v>53</v>
      </c>
      <c r="D2857" s="6">
        <v>45829</v>
      </c>
      <c r="E2857" t="str">
        <f>VLOOKUP(B2857,'PROCV GERENTES BD'!A:B,2,0)</f>
        <v>PROSPECTAR</v>
      </c>
      <c r="F2857" s="4" t="str">
        <f t="shared" si="264"/>
        <v>2025-06</v>
      </c>
      <c r="G2857" s="18">
        <f t="shared" si="265"/>
        <v>25</v>
      </c>
      <c r="H2857" t="str">
        <f t="shared" si="266"/>
        <v>PROSPECTAR</v>
      </c>
      <c r="I2857" t="str">
        <f t="shared" si="267"/>
        <v>TRANSHENRY TRANSPORTES LTDA</v>
      </c>
      <c r="J2857">
        <f t="shared" si="268"/>
        <v>1</v>
      </c>
      <c r="K2857">
        <f t="shared" si="269"/>
        <v>1</v>
      </c>
    </row>
    <row r="2858" spans="1:11" x14ac:dyDescent="0.25">
      <c r="A2858" s="11" t="s">
        <v>524</v>
      </c>
      <c r="B2858" s="11" t="s">
        <v>289</v>
      </c>
      <c r="C2858" s="11" t="s">
        <v>50</v>
      </c>
      <c r="D2858" s="6">
        <v>45829</v>
      </c>
      <c r="E2858" t="str">
        <f>VLOOKUP(B2858,'PROCV GERENTES BD'!A:B,2,0)</f>
        <v>DALVA</v>
      </c>
      <c r="F2858" s="4" t="str">
        <f t="shared" si="264"/>
        <v>2025-06</v>
      </c>
      <c r="G2858" s="18">
        <f t="shared" si="265"/>
        <v>25</v>
      </c>
      <c r="H2858" t="str">
        <f t="shared" si="266"/>
        <v>DALVA</v>
      </c>
      <c r="I2858" t="str">
        <f t="shared" si="267"/>
        <v>FRAITECH INTELIGENCIA EM AUTOMACAO LTDA</v>
      </c>
      <c r="J2858">
        <f t="shared" si="268"/>
        <v>0</v>
      </c>
      <c r="K2858">
        <f t="shared" si="269"/>
        <v>1</v>
      </c>
    </row>
    <row r="2859" spans="1:11" x14ac:dyDescent="0.25">
      <c r="A2859" s="11" t="s">
        <v>523</v>
      </c>
      <c r="B2859" s="11" t="s">
        <v>288</v>
      </c>
      <c r="C2859" s="11" t="s">
        <v>66</v>
      </c>
      <c r="D2859" s="6">
        <v>45829</v>
      </c>
      <c r="E2859" t="str">
        <f>VLOOKUP(B2859,'PROCV GERENTES BD'!A:B,2,0)</f>
        <v>ADMINISTRAÇÃO</v>
      </c>
      <c r="F2859" s="4" t="str">
        <f t="shared" si="264"/>
        <v>2025-06</v>
      </c>
      <c r="G2859" s="18">
        <f t="shared" si="265"/>
        <v>25</v>
      </c>
      <c r="H2859" t="str">
        <f t="shared" si="266"/>
        <v>ADMINISTRAÇÃO</v>
      </c>
      <c r="I2859" t="str">
        <f t="shared" si="267"/>
        <v>REFRACONT BRASIL LTDA</v>
      </c>
      <c r="J2859">
        <f t="shared" si="268"/>
        <v>1</v>
      </c>
      <c r="K2859">
        <f t="shared" si="269"/>
        <v>0</v>
      </c>
    </row>
    <row r="2860" spans="1:11" x14ac:dyDescent="0.25">
      <c r="A2860" s="11" t="s">
        <v>534</v>
      </c>
      <c r="B2860" s="11" t="s">
        <v>303</v>
      </c>
      <c r="C2860" s="11" t="s">
        <v>50</v>
      </c>
      <c r="D2860" s="6">
        <v>45829</v>
      </c>
      <c r="E2860" t="str">
        <f>VLOOKUP(B2860,'PROCV GERENTES BD'!A:B,2,0)</f>
        <v xml:space="preserve">MARCUS VINICIUS </v>
      </c>
      <c r="F2860" s="4" t="str">
        <f t="shared" si="264"/>
        <v>2025-06</v>
      </c>
      <c r="G2860" s="18">
        <f t="shared" si="265"/>
        <v>25</v>
      </c>
      <c r="H2860" t="str">
        <f t="shared" si="266"/>
        <v xml:space="preserve">MARCUS VINICIUS </v>
      </c>
      <c r="I2860" t="str">
        <f t="shared" si="267"/>
        <v>GRAFICA JSA LTDA EPP</v>
      </c>
      <c r="J2860">
        <f t="shared" si="268"/>
        <v>0</v>
      </c>
      <c r="K2860">
        <f t="shared" si="269"/>
        <v>1</v>
      </c>
    </row>
    <row r="2861" spans="1:11" x14ac:dyDescent="0.25">
      <c r="A2861" s="11" t="s">
        <v>511</v>
      </c>
      <c r="B2861" s="11" t="s">
        <v>274</v>
      </c>
      <c r="C2861" s="11" t="s">
        <v>50</v>
      </c>
      <c r="D2861" s="6">
        <v>45829</v>
      </c>
      <c r="E2861" t="str">
        <f>VLOOKUP(B2861,'PROCV GERENTES BD'!A:B,2,0)</f>
        <v>RAFAEL PARISE</v>
      </c>
      <c r="F2861" s="4" t="str">
        <f t="shared" si="264"/>
        <v>2025-06</v>
      </c>
      <c r="G2861" s="18">
        <f t="shared" si="265"/>
        <v>25</v>
      </c>
      <c r="H2861" t="str">
        <f t="shared" si="266"/>
        <v>RAFAEL PARISE</v>
      </c>
      <c r="I2861" t="str">
        <f t="shared" si="267"/>
        <v>ARTE FINAL INDUSTRIA E COMERCIO DE COURO LTDA</v>
      </c>
      <c r="J2861">
        <f t="shared" si="268"/>
        <v>0</v>
      </c>
      <c r="K2861">
        <f t="shared" si="269"/>
        <v>1</v>
      </c>
    </row>
    <row r="2862" spans="1:11" x14ac:dyDescent="0.25">
      <c r="A2862" s="11" t="s">
        <v>529</v>
      </c>
      <c r="B2862" s="11" t="s">
        <v>297</v>
      </c>
      <c r="C2862" s="11" t="s">
        <v>50</v>
      </c>
      <c r="D2862" s="6">
        <v>45832</v>
      </c>
      <c r="E2862" t="str">
        <f>VLOOKUP(B2862,'PROCV GERENTES BD'!A:B,2,0)</f>
        <v>ANDRE CUNHA</v>
      </c>
      <c r="F2862" s="4" t="str">
        <f t="shared" si="264"/>
        <v>2025-06</v>
      </c>
      <c r="G2862" s="18">
        <f t="shared" si="265"/>
        <v>26</v>
      </c>
      <c r="H2862" t="str">
        <f t="shared" si="266"/>
        <v>ANDRE CUNHA</v>
      </c>
      <c r="I2862" t="str">
        <f t="shared" si="267"/>
        <v>REVPACK TECNOLOGIA E COMERCIO DE COMPONENTES PLAST</v>
      </c>
      <c r="J2862">
        <f t="shared" si="268"/>
        <v>0</v>
      </c>
      <c r="K2862">
        <f t="shared" si="269"/>
        <v>1</v>
      </c>
    </row>
    <row r="2863" spans="1:11" x14ac:dyDescent="0.25">
      <c r="A2863" s="11" t="s">
        <v>492</v>
      </c>
      <c r="B2863" s="11" t="s">
        <v>251</v>
      </c>
      <c r="C2863" s="11" t="s">
        <v>50</v>
      </c>
      <c r="D2863" s="6">
        <v>45832</v>
      </c>
      <c r="E2863" t="str">
        <f>VLOOKUP(B2863,'PROCV GERENTES BD'!A:B,2,0)</f>
        <v>PROSPECTAR</v>
      </c>
      <c r="F2863" s="4" t="str">
        <f t="shared" si="264"/>
        <v>2025-06</v>
      </c>
      <c r="G2863" s="18">
        <f t="shared" si="265"/>
        <v>26</v>
      </c>
      <c r="H2863" t="str">
        <f t="shared" si="266"/>
        <v>PROSPECTAR</v>
      </c>
      <c r="I2863" t="str">
        <f t="shared" si="267"/>
        <v>JANE FIGUEIRA CONFECCOES LTDA ME</v>
      </c>
      <c r="J2863">
        <f t="shared" si="268"/>
        <v>0</v>
      </c>
      <c r="K2863">
        <f t="shared" si="269"/>
        <v>1</v>
      </c>
    </row>
    <row r="2864" spans="1:11" x14ac:dyDescent="0.25">
      <c r="A2864" s="11" t="s">
        <v>430</v>
      </c>
      <c r="B2864" s="11" t="s">
        <v>181</v>
      </c>
      <c r="C2864" s="11" t="s">
        <v>50</v>
      </c>
      <c r="D2864" s="6">
        <v>45832</v>
      </c>
      <c r="E2864" t="str">
        <f>VLOOKUP(B2864,'PROCV GERENTES BD'!A:B,2,0)</f>
        <v>PROSPECTAR</v>
      </c>
      <c r="F2864" s="4" t="str">
        <f t="shared" si="264"/>
        <v>2025-06</v>
      </c>
      <c r="G2864" s="18">
        <f t="shared" si="265"/>
        <v>26</v>
      </c>
      <c r="H2864" t="str">
        <f t="shared" si="266"/>
        <v>PROSPECTAR</v>
      </c>
      <c r="I2864" t="str">
        <f t="shared" si="267"/>
        <v>SIQUEIRA E GAIPO INDUSTRIA E MATERIAIS ESPORTIVOS</v>
      </c>
      <c r="J2864">
        <f t="shared" si="268"/>
        <v>0</v>
      </c>
      <c r="K2864">
        <f t="shared" si="269"/>
        <v>1</v>
      </c>
    </row>
    <row r="2865" spans="1:11" x14ac:dyDescent="0.25">
      <c r="A2865" s="11" t="s">
        <v>314</v>
      </c>
      <c r="B2865" s="11" t="s">
        <v>246</v>
      </c>
      <c r="C2865" s="11" t="s">
        <v>50</v>
      </c>
      <c r="D2865" s="6">
        <v>45832</v>
      </c>
      <c r="E2865" t="str">
        <f>VLOOKUP(B2865,'PROCV GERENTES BD'!A:B,2,0)</f>
        <v xml:space="preserve">ROGERIO </v>
      </c>
      <c r="F2865" s="4" t="str">
        <f t="shared" si="264"/>
        <v>2025-06</v>
      </c>
      <c r="G2865" s="18">
        <f t="shared" si="265"/>
        <v>26</v>
      </c>
      <c r="H2865" t="str">
        <f t="shared" si="266"/>
        <v xml:space="preserve">ROGERIO </v>
      </c>
      <c r="I2865" t="str">
        <f t="shared" si="267"/>
        <v>MUTCD CENTRO DE DISTRIBUICAO DE IND FABRICANTE DE</v>
      </c>
      <c r="J2865">
        <f t="shared" si="268"/>
        <v>0</v>
      </c>
      <c r="K2865">
        <f t="shared" si="269"/>
        <v>1</v>
      </c>
    </row>
    <row r="2866" spans="1:11" x14ac:dyDescent="0.25">
      <c r="A2866" s="11" t="s">
        <v>478</v>
      </c>
      <c r="B2866" s="11" t="s">
        <v>235</v>
      </c>
      <c r="C2866" s="11" t="s">
        <v>50</v>
      </c>
      <c r="D2866" s="6">
        <v>45832</v>
      </c>
      <c r="E2866" t="str">
        <f>VLOOKUP(B2866,'PROCV GERENTES BD'!A:B,2,0)</f>
        <v>PROSPECTAR</v>
      </c>
      <c r="F2866" s="4" t="str">
        <f t="shared" si="264"/>
        <v>2025-06</v>
      </c>
      <c r="G2866" s="18">
        <f t="shared" si="265"/>
        <v>26</v>
      </c>
      <c r="H2866" t="str">
        <f t="shared" si="266"/>
        <v>PROSPECTAR</v>
      </c>
      <c r="I2866" t="str">
        <f t="shared" si="267"/>
        <v>NUTRIENS FERTIL LTDA ME</v>
      </c>
      <c r="J2866">
        <f t="shared" si="268"/>
        <v>0</v>
      </c>
      <c r="K2866">
        <f t="shared" si="269"/>
        <v>1</v>
      </c>
    </row>
    <row r="2867" spans="1:11" x14ac:dyDescent="0.25">
      <c r="A2867" s="11" t="s">
        <v>613</v>
      </c>
      <c r="B2867" s="11" t="s">
        <v>565</v>
      </c>
      <c r="C2867" s="11" t="s">
        <v>50</v>
      </c>
      <c r="D2867" s="6">
        <v>45832</v>
      </c>
      <c r="E2867" t="str">
        <f>VLOOKUP(B2867,'PROCV GERENTES BD'!A:B,2,0)</f>
        <v>DALVA</v>
      </c>
      <c r="F2867" s="4" t="str">
        <f t="shared" si="264"/>
        <v>2025-06</v>
      </c>
      <c r="G2867" s="18">
        <f t="shared" si="265"/>
        <v>26</v>
      </c>
      <c r="H2867" t="str">
        <f t="shared" si="266"/>
        <v>DALVA</v>
      </c>
      <c r="I2867" t="str">
        <f t="shared" si="267"/>
        <v>SENSORVIX INTELIGENCIA EM AUTOMACAO LTDA ME</v>
      </c>
      <c r="J2867">
        <f t="shared" si="268"/>
        <v>0</v>
      </c>
      <c r="K2867">
        <f t="shared" si="269"/>
        <v>1</v>
      </c>
    </row>
    <row r="2868" spans="1:11" x14ac:dyDescent="0.25">
      <c r="A2868" s="11" t="s">
        <v>369</v>
      </c>
      <c r="B2868" s="11" t="s">
        <v>113</v>
      </c>
      <c r="C2868" s="11" t="s">
        <v>50</v>
      </c>
      <c r="D2868" s="6">
        <v>45832</v>
      </c>
      <c r="E2868" t="str">
        <f>VLOOKUP(B2868,'PROCV GERENTES BD'!A:B,2,0)</f>
        <v xml:space="preserve">MARCUS VINICIUS </v>
      </c>
      <c r="F2868" s="4" t="str">
        <f t="shared" si="264"/>
        <v>2025-06</v>
      </c>
      <c r="G2868" s="18">
        <f t="shared" si="265"/>
        <v>26</v>
      </c>
      <c r="H2868" t="str">
        <f t="shared" si="266"/>
        <v xml:space="preserve">MARCUS VINICIUS </v>
      </c>
      <c r="I2868" t="str">
        <f t="shared" si="267"/>
        <v>ISOBASE POLIESTIRENO LTDA EPP</v>
      </c>
      <c r="J2868">
        <f t="shared" si="268"/>
        <v>0</v>
      </c>
      <c r="K2868">
        <f t="shared" si="269"/>
        <v>1</v>
      </c>
    </row>
    <row r="2869" spans="1:11" x14ac:dyDescent="0.25">
      <c r="A2869" s="11" t="s">
        <v>67</v>
      </c>
      <c r="B2869" s="11" t="s">
        <v>68</v>
      </c>
      <c r="C2869" s="11" t="s">
        <v>50</v>
      </c>
      <c r="D2869" s="6">
        <v>45832</v>
      </c>
      <c r="E2869" t="str">
        <f>VLOOKUP(B2869,'PROCV GERENTES BD'!A:B,2,0)</f>
        <v xml:space="preserve">ROGERIO </v>
      </c>
      <c r="F2869" s="4" t="str">
        <f t="shared" si="264"/>
        <v>2025-06</v>
      </c>
      <c r="G2869" s="18">
        <f t="shared" si="265"/>
        <v>26</v>
      </c>
      <c r="H2869" t="str">
        <f t="shared" si="266"/>
        <v xml:space="preserve">ROGERIO </v>
      </c>
      <c r="I2869" t="str">
        <f t="shared" si="267"/>
        <v>DIOTTONI INDUSTRIA E COMERCIO DE ALIMENTOS LTDA ME</v>
      </c>
      <c r="J2869">
        <f t="shared" si="268"/>
        <v>0</v>
      </c>
      <c r="K2869">
        <f t="shared" si="269"/>
        <v>1</v>
      </c>
    </row>
    <row r="2870" spans="1:11" x14ac:dyDescent="0.25">
      <c r="A2870" s="11" t="s">
        <v>614</v>
      </c>
      <c r="B2870" s="11" t="s">
        <v>615</v>
      </c>
      <c r="C2870" s="11" t="s">
        <v>50</v>
      </c>
      <c r="D2870" s="6">
        <v>45832</v>
      </c>
      <c r="E2870" t="str">
        <f>VLOOKUP(B2870,'PROCV GERENTES BD'!A:B,2,0)</f>
        <v>RAFAEL PARISE</v>
      </c>
      <c r="F2870" s="4" t="str">
        <f t="shared" si="264"/>
        <v>2025-06</v>
      </c>
      <c r="G2870" s="18">
        <f t="shared" si="265"/>
        <v>26</v>
      </c>
      <c r="H2870" t="str">
        <f t="shared" si="266"/>
        <v>RAFAEL PARISE</v>
      </c>
      <c r="I2870" t="str">
        <f t="shared" si="267"/>
        <v>SAGATEC LTDA</v>
      </c>
      <c r="J2870">
        <f t="shared" si="268"/>
        <v>0</v>
      </c>
      <c r="K2870">
        <f t="shared" si="269"/>
        <v>1</v>
      </c>
    </row>
    <row r="2871" spans="1:11" x14ac:dyDescent="0.25">
      <c r="A2871" s="11" t="s">
        <v>64</v>
      </c>
      <c r="B2871" s="11" t="s">
        <v>65</v>
      </c>
      <c r="C2871" s="11" t="s">
        <v>50</v>
      </c>
      <c r="D2871" s="6">
        <v>45832</v>
      </c>
      <c r="E2871" t="str">
        <f>VLOOKUP(B2871,'PROCV GERENTES BD'!A:B,2,0)</f>
        <v>ADMINISTRAÇÃO</v>
      </c>
      <c r="F2871" s="4" t="str">
        <f t="shared" si="264"/>
        <v>2025-06</v>
      </c>
      <c r="G2871" s="18">
        <f t="shared" si="265"/>
        <v>26</v>
      </c>
      <c r="H2871" t="str">
        <f t="shared" si="266"/>
        <v>ADMINISTRAÇÃO</v>
      </c>
      <c r="I2871" t="str">
        <f t="shared" si="267"/>
        <v>SOCIAL S/A</v>
      </c>
      <c r="J2871">
        <f t="shared" si="268"/>
        <v>0</v>
      </c>
      <c r="K2871">
        <f t="shared" si="269"/>
        <v>1</v>
      </c>
    </row>
    <row r="2872" spans="1:11" x14ac:dyDescent="0.25">
      <c r="A2872" s="11" t="s">
        <v>62</v>
      </c>
      <c r="B2872" s="11" t="s">
        <v>63</v>
      </c>
      <c r="C2872" s="11" t="s">
        <v>50</v>
      </c>
      <c r="D2872" s="6">
        <v>45832</v>
      </c>
      <c r="E2872" t="str">
        <f>VLOOKUP(B2872,'PROCV GERENTES BD'!A:B,2,0)</f>
        <v>PROSPECTAR</v>
      </c>
      <c r="F2872" s="4" t="str">
        <f t="shared" si="264"/>
        <v>2025-06</v>
      </c>
      <c r="G2872" s="18">
        <f t="shared" si="265"/>
        <v>26</v>
      </c>
      <c r="H2872" t="str">
        <f t="shared" si="266"/>
        <v>PROSPECTAR</v>
      </c>
      <c r="I2872" t="str">
        <f t="shared" si="267"/>
        <v>MAPP COM IMPORTACAO EXPORTACAO IND PRODUTOS ALIMEN</v>
      </c>
      <c r="J2872">
        <f t="shared" si="268"/>
        <v>0</v>
      </c>
      <c r="K2872">
        <f t="shared" si="269"/>
        <v>1</v>
      </c>
    </row>
    <row r="2873" spans="1:11" x14ac:dyDescent="0.25">
      <c r="A2873" s="11" t="s">
        <v>604</v>
      </c>
      <c r="B2873" s="11" t="s">
        <v>605</v>
      </c>
      <c r="C2873" s="11" t="s">
        <v>50</v>
      </c>
      <c r="D2873" s="6">
        <v>45832</v>
      </c>
      <c r="E2873" t="str">
        <f>VLOOKUP(B2873,'PROCV GERENTES BD'!A:B,2,0)</f>
        <v>ALISSON DE SOUZA LIMA</v>
      </c>
      <c r="F2873" s="4" t="str">
        <f t="shared" si="264"/>
        <v>2025-06</v>
      </c>
      <c r="G2873" s="18">
        <f t="shared" si="265"/>
        <v>26</v>
      </c>
      <c r="H2873" t="str">
        <f t="shared" si="266"/>
        <v>ALISSON DE SOUZA LIMA</v>
      </c>
      <c r="I2873" t="str">
        <f t="shared" si="267"/>
        <v>3J FUNDICAO INDUSTRIAL LTDA</v>
      </c>
      <c r="J2873">
        <f t="shared" si="268"/>
        <v>0</v>
      </c>
      <c r="K2873">
        <f t="shared" si="269"/>
        <v>1</v>
      </c>
    </row>
    <row r="2874" spans="1:11" x14ac:dyDescent="0.25">
      <c r="A2874" s="11" t="s">
        <v>475</v>
      </c>
      <c r="B2874" s="11" t="s">
        <v>232</v>
      </c>
      <c r="C2874" s="11" t="s">
        <v>66</v>
      </c>
      <c r="D2874" s="6">
        <v>45832</v>
      </c>
      <c r="E2874" t="str">
        <f>VLOOKUP(B2874,'PROCV GERENTES BD'!A:B,2,0)</f>
        <v>POENATELA</v>
      </c>
      <c r="F2874" s="4" t="str">
        <f t="shared" si="264"/>
        <v>2025-06</v>
      </c>
      <c r="G2874" s="18">
        <f t="shared" si="265"/>
        <v>26</v>
      </c>
      <c r="H2874" t="str">
        <f t="shared" si="266"/>
        <v>POENATELA</v>
      </c>
      <c r="I2874" t="str">
        <f t="shared" si="267"/>
        <v>JUATUBA MOVEIS E EMBALAGENS LTDA</v>
      </c>
      <c r="J2874">
        <f t="shared" si="268"/>
        <v>1</v>
      </c>
      <c r="K2874">
        <f t="shared" si="269"/>
        <v>0</v>
      </c>
    </row>
    <row r="2875" spans="1:11" x14ac:dyDescent="0.25">
      <c r="A2875" s="11" t="s">
        <v>372</v>
      </c>
      <c r="B2875" s="11" t="s">
        <v>116</v>
      </c>
      <c r="C2875" s="11" t="s">
        <v>50</v>
      </c>
      <c r="D2875" s="6">
        <v>45832</v>
      </c>
      <c r="E2875" t="str">
        <f>VLOOKUP(B2875,'PROCV GERENTES BD'!A:B,2,0)</f>
        <v>ADMINISTRAÇÃO</v>
      </c>
      <c r="F2875" s="4" t="str">
        <f t="shared" si="264"/>
        <v>2025-06</v>
      </c>
      <c r="G2875" s="18">
        <f t="shared" si="265"/>
        <v>26</v>
      </c>
      <c r="H2875" t="str">
        <f t="shared" si="266"/>
        <v>ADMINISTRAÇÃO</v>
      </c>
      <c r="I2875" t="str">
        <f t="shared" si="267"/>
        <v>PREMOLDADOS MATOSINHOS LTDA EPP</v>
      </c>
      <c r="J2875">
        <f t="shared" si="268"/>
        <v>0</v>
      </c>
      <c r="K2875">
        <f t="shared" si="269"/>
        <v>1</v>
      </c>
    </row>
    <row r="2876" spans="1:11" x14ac:dyDescent="0.25">
      <c r="A2876" s="11" t="s">
        <v>318</v>
      </c>
      <c r="B2876" s="11" t="s">
        <v>203</v>
      </c>
      <c r="C2876" s="11" t="s">
        <v>53</v>
      </c>
      <c r="D2876" s="6">
        <v>45832</v>
      </c>
      <c r="E2876" t="str">
        <f>VLOOKUP(B2876,'PROCV GERENTES BD'!A:B,2,0)</f>
        <v>JOSE ROBERTO</v>
      </c>
      <c r="F2876" s="4" t="str">
        <f t="shared" si="264"/>
        <v>2025-06</v>
      </c>
      <c r="G2876" s="18">
        <f t="shared" si="265"/>
        <v>26</v>
      </c>
      <c r="H2876" t="str">
        <f t="shared" si="266"/>
        <v>JOSE ROBERTO</v>
      </c>
      <c r="I2876" t="str">
        <f t="shared" si="267"/>
        <v>FUNDACAO DE ENSINO E PESQUISA DO SUL DE MINAS FEPE</v>
      </c>
      <c r="J2876">
        <f t="shared" si="268"/>
        <v>1</v>
      </c>
      <c r="K2876">
        <f t="shared" si="269"/>
        <v>1</v>
      </c>
    </row>
    <row r="2877" spans="1:11" x14ac:dyDescent="0.25">
      <c r="A2877" s="11" t="s">
        <v>58</v>
      </c>
      <c r="B2877" s="11" t="s">
        <v>59</v>
      </c>
      <c r="C2877" s="11" t="s">
        <v>50</v>
      </c>
      <c r="D2877" s="6">
        <v>45832</v>
      </c>
      <c r="E2877" t="str">
        <f>VLOOKUP(B2877,'PROCV GERENTES BD'!A:B,2,0)</f>
        <v>ADMINISTRAÇÃO</v>
      </c>
      <c r="F2877" s="4" t="str">
        <f t="shared" si="264"/>
        <v>2025-06</v>
      </c>
      <c r="G2877" s="18">
        <f t="shared" si="265"/>
        <v>26</v>
      </c>
      <c r="H2877" t="str">
        <f t="shared" si="266"/>
        <v>ADMINISTRAÇÃO</v>
      </c>
      <c r="I2877" t="str">
        <f t="shared" si="267"/>
        <v>BIOTECH LOGISTICA LTDA</v>
      </c>
      <c r="J2877">
        <f t="shared" si="268"/>
        <v>0</v>
      </c>
      <c r="K2877">
        <f t="shared" si="269"/>
        <v>1</v>
      </c>
    </row>
    <row r="2878" spans="1:11" x14ac:dyDescent="0.25">
      <c r="A2878" s="11" t="s">
        <v>319</v>
      </c>
      <c r="B2878" s="11" t="s">
        <v>80</v>
      </c>
      <c r="C2878" s="11" t="s">
        <v>50</v>
      </c>
      <c r="D2878" s="6">
        <v>45832</v>
      </c>
      <c r="E2878" t="str">
        <f>VLOOKUP(B2878,'PROCV GERENTES BD'!A:B,2,0)</f>
        <v>CELIO PIMENTA</v>
      </c>
      <c r="F2878" s="4" t="str">
        <f t="shared" si="264"/>
        <v>2025-06</v>
      </c>
      <c r="G2878" s="18">
        <f t="shared" si="265"/>
        <v>26</v>
      </c>
      <c r="H2878" t="str">
        <f t="shared" si="266"/>
        <v>CELIO PIMENTA</v>
      </c>
      <c r="I2878" t="str">
        <f t="shared" si="267"/>
        <v>IMPORTEXTIL COMERCIO DE TECIDOS LTDA</v>
      </c>
      <c r="J2878">
        <f t="shared" si="268"/>
        <v>0</v>
      </c>
      <c r="K2878">
        <f t="shared" si="269"/>
        <v>1</v>
      </c>
    </row>
    <row r="2879" spans="1:11" x14ac:dyDescent="0.25">
      <c r="A2879" s="11" t="s">
        <v>480</v>
      </c>
      <c r="B2879" s="11" t="s">
        <v>237</v>
      </c>
      <c r="C2879" s="11" t="s">
        <v>50</v>
      </c>
      <c r="D2879" s="6">
        <v>45832</v>
      </c>
      <c r="E2879" t="str">
        <f>VLOOKUP(B2879,'PROCV GERENTES BD'!A:B,2,0)</f>
        <v>POENATELA</v>
      </c>
      <c r="F2879" s="4" t="str">
        <f t="shared" si="264"/>
        <v>2025-06</v>
      </c>
      <c r="G2879" s="18">
        <f t="shared" si="265"/>
        <v>26</v>
      </c>
      <c r="H2879" t="str">
        <f t="shared" si="266"/>
        <v>POENATELA</v>
      </c>
      <c r="I2879" t="str">
        <f t="shared" si="267"/>
        <v>PARANAIBA FERTILIZANTES IND E COM LTDA EM RECUPERA</v>
      </c>
      <c r="J2879">
        <f t="shared" si="268"/>
        <v>0</v>
      </c>
      <c r="K2879">
        <f t="shared" si="269"/>
        <v>1</v>
      </c>
    </row>
    <row r="2880" spans="1:11" x14ac:dyDescent="0.25">
      <c r="A2880" s="11" t="s">
        <v>358</v>
      </c>
      <c r="B2880" s="11" t="s">
        <v>104</v>
      </c>
      <c r="C2880" s="11" t="s">
        <v>50</v>
      </c>
      <c r="D2880" s="6">
        <v>45832</v>
      </c>
      <c r="E2880" t="str">
        <f>VLOOKUP(B2880,'PROCV GERENTES BD'!A:B,2,0)</f>
        <v>DIOGO AZEVEDO</v>
      </c>
      <c r="F2880" s="4" t="str">
        <f t="shared" si="264"/>
        <v>2025-06</v>
      </c>
      <c r="G2880" s="18">
        <f t="shared" si="265"/>
        <v>26</v>
      </c>
      <c r="H2880" t="str">
        <f t="shared" si="266"/>
        <v>DIOGO AZEVEDO</v>
      </c>
      <c r="I2880" t="str">
        <f t="shared" si="267"/>
        <v>INDUSTRIA E CERVEJARIA ARTESANAL DE MINAS GERAIS L</v>
      </c>
      <c r="J2880">
        <f t="shared" si="268"/>
        <v>0</v>
      </c>
      <c r="K2880">
        <f t="shared" si="269"/>
        <v>1</v>
      </c>
    </row>
    <row r="2881" spans="1:11" x14ac:dyDescent="0.25">
      <c r="A2881" s="11" t="s">
        <v>361</v>
      </c>
      <c r="B2881" s="11" t="s">
        <v>106</v>
      </c>
      <c r="C2881" s="11" t="s">
        <v>50</v>
      </c>
      <c r="D2881" s="6">
        <v>45832</v>
      </c>
      <c r="E2881" t="str">
        <f>VLOOKUP(B2881,'PROCV GERENTES BD'!A:B,2,0)</f>
        <v>PRISCILA METZ</v>
      </c>
      <c r="F2881" s="4" t="str">
        <f t="shared" si="264"/>
        <v>2025-06</v>
      </c>
      <c r="G2881" s="18">
        <f t="shared" si="265"/>
        <v>26</v>
      </c>
      <c r="H2881" t="str">
        <f t="shared" si="266"/>
        <v>PRISCILA METZ</v>
      </c>
      <c r="I2881" t="str">
        <f t="shared" si="267"/>
        <v>HERBAMED LABORATORIO NUTRACEUTICO LTDA</v>
      </c>
      <c r="J2881">
        <f t="shared" si="268"/>
        <v>0</v>
      </c>
      <c r="K2881">
        <f t="shared" si="269"/>
        <v>1</v>
      </c>
    </row>
    <row r="2882" spans="1:11" x14ac:dyDescent="0.25">
      <c r="A2882" s="11" t="s">
        <v>387</v>
      </c>
      <c r="B2882" s="11" t="s">
        <v>134</v>
      </c>
      <c r="C2882" s="11" t="s">
        <v>50</v>
      </c>
      <c r="D2882" s="6">
        <v>45832</v>
      </c>
      <c r="E2882" t="str">
        <f>VLOOKUP(B2882,'PROCV GERENTES BD'!A:B,2,0)</f>
        <v>RAFAEL PARISE</v>
      </c>
      <c r="F2882" s="4" t="str">
        <f t="shared" ref="F2882:F2945" si="270">YEAR(D2882)&amp;"-"&amp;TEXT(MONTH(D2882),"00")</f>
        <v>2025-06</v>
      </c>
      <c r="G2882" s="18">
        <f t="shared" ref="G2882:G2945" si="271">WEEKNUM(D2882)</f>
        <v>26</v>
      </c>
      <c r="H2882" t="str">
        <f t="shared" ref="H2882:H2945" si="272">E2882</f>
        <v>RAFAEL PARISE</v>
      </c>
      <c r="I2882" t="str">
        <f t="shared" ref="I2882:I2945" si="273">B2882</f>
        <v>MAIS DISTRIBUIDORA LTDA</v>
      </c>
      <c r="J2882">
        <f t="shared" ref="J2882:J2945" si="274">IF(OR(C2882="EXCLUSAO  ANOT.INADIMPLENCIA",C2882="INCL/EXCL ANOT.INADIMPLENCIA"),1,0)</f>
        <v>0</v>
      </c>
      <c r="K2882">
        <f t="shared" ref="K2882:K2945" si="275">IF(OR(C2882="INCLUSAO  ANOT.INADIMPLENCIA",C2882="INCL/EXCL ANOT.INADIMPLENCIA"),1,0)</f>
        <v>1</v>
      </c>
    </row>
    <row r="2883" spans="1:11" x14ac:dyDescent="0.25">
      <c r="A2883" s="11" t="s">
        <v>307</v>
      </c>
      <c r="B2883" s="11" t="s">
        <v>102</v>
      </c>
      <c r="C2883" s="11" t="s">
        <v>66</v>
      </c>
      <c r="D2883" s="6">
        <v>45832</v>
      </c>
      <c r="E2883" t="str">
        <f>VLOOKUP(B2883,'PROCV GERENTES BD'!A:B,2,0)</f>
        <v>POENATELA</v>
      </c>
      <c r="F2883" s="4" t="str">
        <f t="shared" si="270"/>
        <v>2025-06</v>
      </c>
      <c r="G2883" s="18">
        <f t="shared" si="271"/>
        <v>26</v>
      </c>
      <c r="H2883" t="str">
        <f t="shared" si="272"/>
        <v>POENATELA</v>
      </c>
      <c r="I2883" t="str">
        <f t="shared" si="273"/>
        <v>ECOPINUS INDUSTRIA E COMERCIO DE EMBALAGENS DE MAD</v>
      </c>
      <c r="J2883">
        <f t="shared" si="274"/>
        <v>1</v>
      </c>
      <c r="K2883">
        <f t="shared" si="275"/>
        <v>0</v>
      </c>
    </row>
    <row r="2884" spans="1:11" x14ac:dyDescent="0.25">
      <c r="A2884" s="11" t="s">
        <v>532</v>
      </c>
      <c r="B2884" s="11" t="s">
        <v>300</v>
      </c>
      <c r="C2884" s="11" t="s">
        <v>50</v>
      </c>
      <c r="D2884" s="6">
        <v>45832</v>
      </c>
      <c r="E2884" t="str">
        <f>VLOOKUP(B2884,'PROCV GERENTES BD'!A:B,2,0)</f>
        <v>RAFAEL PARISE</v>
      </c>
      <c r="F2884" s="4" t="str">
        <f t="shared" si="270"/>
        <v>2025-06</v>
      </c>
      <c r="G2884" s="18">
        <f t="shared" si="271"/>
        <v>26</v>
      </c>
      <c r="H2884" t="str">
        <f t="shared" si="272"/>
        <v>RAFAEL PARISE</v>
      </c>
      <c r="I2884" t="str">
        <f t="shared" si="273"/>
        <v>MINASPOL INDUSTRIA E COMERCIO DE COMPOSTOS POLIMER</v>
      </c>
      <c r="J2884">
        <f t="shared" si="274"/>
        <v>0</v>
      </c>
      <c r="K2884">
        <f t="shared" si="275"/>
        <v>1</v>
      </c>
    </row>
    <row r="2885" spans="1:11" x14ac:dyDescent="0.25">
      <c r="A2885" s="11" t="s">
        <v>51</v>
      </c>
      <c r="B2885" s="11" t="s">
        <v>52</v>
      </c>
      <c r="C2885" s="11" t="s">
        <v>50</v>
      </c>
      <c r="D2885" s="6">
        <v>45832</v>
      </c>
      <c r="E2885" t="str">
        <f>VLOOKUP(B2885,'PROCV GERENTES BD'!A:B,2,0)</f>
        <v>RAFAEL PARISE</v>
      </c>
      <c r="F2885" s="4" t="str">
        <f t="shared" si="270"/>
        <v>2025-06</v>
      </c>
      <c r="G2885" s="18">
        <f t="shared" si="271"/>
        <v>26</v>
      </c>
      <c r="H2885" t="str">
        <f t="shared" si="272"/>
        <v>RAFAEL PARISE</v>
      </c>
      <c r="I2885" t="str">
        <f t="shared" si="273"/>
        <v>TDR TRANSPORTES LOGISTICA LTDA</v>
      </c>
      <c r="J2885">
        <f t="shared" si="274"/>
        <v>0</v>
      </c>
      <c r="K2885">
        <f t="shared" si="275"/>
        <v>1</v>
      </c>
    </row>
    <row r="2886" spans="1:11" x14ac:dyDescent="0.25">
      <c r="A2886" s="11" t="s">
        <v>323</v>
      </c>
      <c r="B2886" s="11" t="s">
        <v>109</v>
      </c>
      <c r="C2886" s="11" t="s">
        <v>50</v>
      </c>
      <c r="D2886" s="6">
        <v>45832</v>
      </c>
      <c r="E2886" t="str">
        <f>VLOOKUP(B2886,'PROCV GERENTES BD'!A:B,2,0)</f>
        <v>PROSPECTAR</v>
      </c>
      <c r="F2886" s="4" t="str">
        <f t="shared" si="270"/>
        <v>2025-06</v>
      </c>
      <c r="G2886" s="18">
        <f t="shared" si="271"/>
        <v>26</v>
      </c>
      <c r="H2886" t="str">
        <f t="shared" si="272"/>
        <v>PROSPECTAR</v>
      </c>
      <c r="I2886" t="str">
        <f t="shared" si="273"/>
        <v>SIAP COMERCIO DE PRODUTOS AGROPECUARIOS LTDA</v>
      </c>
      <c r="J2886">
        <f t="shared" si="274"/>
        <v>0</v>
      </c>
      <c r="K2886">
        <f t="shared" si="275"/>
        <v>1</v>
      </c>
    </row>
    <row r="2887" spans="1:11" x14ac:dyDescent="0.25">
      <c r="A2887" s="11" t="s">
        <v>324</v>
      </c>
      <c r="B2887" s="11" t="s">
        <v>119</v>
      </c>
      <c r="C2887" s="11" t="s">
        <v>53</v>
      </c>
      <c r="D2887" s="6">
        <v>45832</v>
      </c>
      <c r="E2887" t="str">
        <f>VLOOKUP(B2887,'PROCV GERENTES BD'!A:B,2,0)</f>
        <v>PROSPECTAR</v>
      </c>
      <c r="F2887" s="4" t="str">
        <f t="shared" si="270"/>
        <v>2025-06</v>
      </c>
      <c r="G2887" s="18">
        <f t="shared" si="271"/>
        <v>26</v>
      </c>
      <c r="H2887" t="str">
        <f t="shared" si="272"/>
        <v>PROSPECTAR</v>
      </c>
      <c r="I2887" t="str">
        <f t="shared" si="273"/>
        <v>TRANSHENRY TRANSPORTES LTDA</v>
      </c>
      <c r="J2887">
        <f t="shared" si="274"/>
        <v>1</v>
      </c>
      <c r="K2887">
        <f t="shared" si="275"/>
        <v>1</v>
      </c>
    </row>
    <row r="2888" spans="1:11" x14ac:dyDescent="0.25">
      <c r="A2888" s="11" t="s">
        <v>524</v>
      </c>
      <c r="B2888" s="11" t="s">
        <v>289</v>
      </c>
      <c r="C2888" s="11" t="s">
        <v>50</v>
      </c>
      <c r="D2888" s="6">
        <v>45832</v>
      </c>
      <c r="E2888" t="str">
        <f>VLOOKUP(B2888,'PROCV GERENTES BD'!A:B,2,0)</f>
        <v>DALVA</v>
      </c>
      <c r="F2888" s="4" t="str">
        <f t="shared" si="270"/>
        <v>2025-06</v>
      </c>
      <c r="G2888" s="18">
        <f t="shared" si="271"/>
        <v>26</v>
      </c>
      <c r="H2888" t="str">
        <f t="shared" si="272"/>
        <v>DALVA</v>
      </c>
      <c r="I2888" t="str">
        <f t="shared" si="273"/>
        <v>FRAITECH INTELIGENCIA EM AUTOMACAO LTDA</v>
      </c>
      <c r="J2888">
        <f t="shared" si="274"/>
        <v>0</v>
      </c>
      <c r="K2888">
        <f t="shared" si="275"/>
        <v>1</v>
      </c>
    </row>
    <row r="2889" spans="1:11" x14ac:dyDescent="0.25">
      <c r="A2889" s="11" t="s">
        <v>523</v>
      </c>
      <c r="B2889" s="11" t="s">
        <v>288</v>
      </c>
      <c r="C2889" s="11" t="s">
        <v>50</v>
      </c>
      <c r="D2889" s="6">
        <v>45832</v>
      </c>
      <c r="E2889" t="str">
        <f>VLOOKUP(B2889,'PROCV GERENTES BD'!A:B,2,0)</f>
        <v>ADMINISTRAÇÃO</v>
      </c>
      <c r="F2889" s="4" t="str">
        <f t="shared" si="270"/>
        <v>2025-06</v>
      </c>
      <c r="G2889" s="18">
        <f t="shared" si="271"/>
        <v>26</v>
      </c>
      <c r="H2889" t="str">
        <f t="shared" si="272"/>
        <v>ADMINISTRAÇÃO</v>
      </c>
      <c r="I2889" t="str">
        <f t="shared" si="273"/>
        <v>REFRACONT BRASIL LTDA</v>
      </c>
      <c r="J2889">
        <f t="shared" si="274"/>
        <v>0</v>
      </c>
      <c r="K2889">
        <f t="shared" si="275"/>
        <v>1</v>
      </c>
    </row>
    <row r="2890" spans="1:11" x14ac:dyDescent="0.25">
      <c r="A2890" s="11" t="s">
        <v>48</v>
      </c>
      <c r="B2890" s="11" t="s">
        <v>49</v>
      </c>
      <c r="C2890" s="11" t="s">
        <v>50</v>
      </c>
      <c r="D2890" s="6">
        <v>45832</v>
      </c>
      <c r="E2890" t="str">
        <f>VLOOKUP(B2890,'PROCV GERENTES BD'!A:B,2,0)</f>
        <v xml:space="preserve">MARCUS VINICIUS </v>
      </c>
      <c r="F2890" s="4" t="str">
        <f t="shared" si="270"/>
        <v>2025-06</v>
      </c>
      <c r="G2890" s="18">
        <f t="shared" si="271"/>
        <v>26</v>
      </c>
      <c r="H2890" t="str">
        <f t="shared" si="272"/>
        <v xml:space="preserve">MARCUS VINICIUS </v>
      </c>
      <c r="I2890" t="str">
        <f t="shared" si="273"/>
        <v>PROMEL IND COM IMP E EXP DE PRODS NATURAIS LTDA</v>
      </c>
      <c r="J2890">
        <f t="shared" si="274"/>
        <v>0</v>
      </c>
      <c r="K2890">
        <f t="shared" si="275"/>
        <v>1</v>
      </c>
    </row>
    <row r="2891" spans="1:11" x14ac:dyDescent="0.25">
      <c r="A2891" s="11" t="s">
        <v>311</v>
      </c>
      <c r="B2891" s="11" t="s">
        <v>81</v>
      </c>
      <c r="C2891" s="11" t="s">
        <v>50</v>
      </c>
      <c r="D2891" s="6">
        <v>45832</v>
      </c>
      <c r="E2891" t="str">
        <f>VLOOKUP(B2891,'PROCV GERENTES BD'!A:B,2,0)</f>
        <v>CELIO PIMENTA</v>
      </c>
      <c r="F2891" s="4" t="str">
        <f t="shared" si="270"/>
        <v>2025-06</v>
      </c>
      <c r="G2891" s="18">
        <f t="shared" si="271"/>
        <v>26</v>
      </c>
      <c r="H2891" t="str">
        <f t="shared" si="272"/>
        <v>CELIO PIMENTA</v>
      </c>
      <c r="I2891" t="str">
        <f t="shared" si="273"/>
        <v>MBIOLOG DIAGNOSTICOS LTDA</v>
      </c>
      <c r="J2891">
        <f t="shared" si="274"/>
        <v>0</v>
      </c>
      <c r="K2891">
        <f t="shared" si="275"/>
        <v>1</v>
      </c>
    </row>
    <row r="2892" spans="1:11" x14ac:dyDescent="0.25">
      <c r="A2892" s="11" t="s">
        <v>510</v>
      </c>
      <c r="B2892" s="11" t="s">
        <v>273</v>
      </c>
      <c r="C2892" s="11" t="s">
        <v>50</v>
      </c>
      <c r="D2892" s="6">
        <v>45832</v>
      </c>
      <c r="E2892" t="str">
        <f>VLOOKUP(B2892,'PROCV GERENTES BD'!A:B,2,0)</f>
        <v>CELIO PIMENTA</v>
      </c>
      <c r="F2892" s="4" t="str">
        <f t="shared" si="270"/>
        <v>2025-06</v>
      </c>
      <c r="G2892" s="18">
        <f t="shared" si="271"/>
        <v>26</v>
      </c>
      <c r="H2892" t="str">
        <f t="shared" si="272"/>
        <v>CELIO PIMENTA</v>
      </c>
      <c r="I2892" t="str">
        <f t="shared" si="273"/>
        <v>PRADO MOREIRA TEXTIL LTDA ME</v>
      </c>
      <c r="J2892">
        <f t="shared" si="274"/>
        <v>0</v>
      </c>
      <c r="K2892">
        <f t="shared" si="275"/>
        <v>1</v>
      </c>
    </row>
    <row r="2893" spans="1:11" x14ac:dyDescent="0.25">
      <c r="A2893" s="11" t="s">
        <v>529</v>
      </c>
      <c r="B2893" s="11" t="s">
        <v>297</v>
      </c>
      <c r="C2893" s="11" t="s">
        <v>50</v>
      </c>
      <c r="D2893" s="6">
        <v>45833</v>
      </c>
      <c r="E2893" t="str">
        <f>VLOOKUP(B2893,'PROCV GERENTES BD'!A:B,2,0)</f>
        <v>ANDRE CUNHA</v>
      </c>
      <c r="F2893" s="4" t="str">
        <f t="shared" si="270"/>
        <v>2025-06</v>
      </c>
      <c r="G2893" s="18">
        <f t="shared" si="271"/>
        <v>26</v>
      </c>
      <c r="H2893" t="str">
        <f t="shared" si="272"/>
        <v>ANDRE CUNHA</v>
      </c>
      <c r="I2893" t="str">
        <f t="shared" si="273"/>
        <v>REVPACK TECNOLOGIA E COMERCIO DE COMPONENTES PLAST</v>
      </c>
      <c r="J2893">
        <f t="shared" si="274"/>
        <v>0</v>
      </c>
      <c r="K2893">
        <f t="shared" si="275"/>
        <v>1</v>
      </c>
    </row>
    <row r="2894" spans="1:11" x14ac:dyDescent="0.25">
      <c r="A2894" s="11" t="s">
        <v>610</v>
      </c>
      <c r="B2894" s="11" t="s">
        <v>611</v>
      </c>
      <c r="C2894" s="11" t="s">
        <v>50</v>
      </c>
      <c r="D2894" s="6">
        <v>45833</v>
      </c>
      <c r="E2894" t="str">
        <f>VLOOKUP(B2894,'PROCV GERENTES BD'!A:B,2,0)</f>
        <v>TIAGO NEVES</v>
      </c>
      <c r="F2894" s="4" t="str">
        <f t="shared" si="270"/>
        <v>2025-06</v>
      </c>
      <c r="G2894" s="18">
        <f t="shared" si="271"/>
        <v>26</v>
      </c>
      <c r="H2894" t="str">
        <f t="shared" si="272"/>
        <v>TIAGO NEVES</v>
      </c>
      <c r="I2894" t="str">
        <f t="shared" si="273"/>
        <v>TRATOR GLASS LTDA ME</v>
      </c>
      <c r="J2894">
        <f t="shared" si="274"/>
        <v>0</v>
      </c>
      <c r="K2894">
        <f t="shared" si="275"/>
        <v>1</v>
      </c>
    </row>
    <row r="2895" spans="1:11" x14ac:dyDescent="0.25">
      <c r="A2895" s="11" t="s">
        <v>461</v>
      </c>
      <c r="B2895" s="11" t="s">
        <v>218</v>
      </c>
      <c r="C2895" s="11" t="s">
        <v>50</v>
      </c>
      <c r="D2895" s="6">
        <v>45833</v>
      </c>
      <c r="E2895" t="str">
        <f>VLOOKUP(B2895,'PROCV GERENTES BD'!A:B,2,0)</f>
        <v>SACADO</v>
      </c>
      <c r="F2895" s="4" t="str">
        <f t="shared" si="270"/>
        <v>2025-06</v>
      </c>
      <c r="G2895" s="18">
        <f t="shared" si="271"/>
        <v>26</v>
      </c>
      <c r="H2895" t="str">
        <f t="shared" si="272"/>
        <v>SACADO</v>
      </c>
      <c r="I2895" t="str">
        <f t="shared" si="273"/>
        <v>KUARA COMERCIAL E EXPORTADORA DE FRUTAS LTDA</v>
      </c>
      <c r="J2895">
        <f t="shared" si="274"/>
        <v>0</v>
      </c>
      <c r="K2895">
        <f t="shared" si="275"/>
        <v>1</v>
      </c>
    </row>
    <row r="2896" spans="1:11" x14ac:dyDescent="0.25">
      <c r="A2896" s="11" t="s">
        <v>599</v>
      </c>
      <c r="B2896" s="11" t="s">
        <v>541</v>
      </c>
      <c r="C2896" s="11" t="s">
        <v>50</v>
      </c>
      <c r="D2896" s="6">
        <v>45833</v>
      </c>
      <c r="E2896" t="str">
        <f>VLOOKUP(B2896,'PROCV GERENTES BD'!A:B,2,0)</f>
        <v xml:space="preserve">MARCUS VINICIUS </v>
      </c>
      <c r="F2896" s="4" t="str">
        <f t="shared" si="270"/>
        <v>2025-06</v>
      </c>
      <c r="G2896" s="18">
        <f t="shared" si="271"/>
        <v>26</v>
      </c>
      <c r="H2896" t="str">
        <f t="shared" si="272"/>
        <v xml:space="preserve">MARCUS VINICIUS </v>
      </c>
      <c r="I2896" t="str">
        <f t="shared" si="273"/>
        <v>JSA INDUSTRIA DE COSMETICOS LTDA EPP</v>
      </c>
      <c r="J2896">
        <f t="shared" si="274"/>
        <v>0</v>
      </c>
      <c r="K2896">
        <f t="shared" si="275"/>
        <v>1</v>
      </c>
    </row>
    <row r="2897" spans="1:11" x14ac:dyDescent="0.25">
      <c r="A2897" s="11" t="s">
        <v>74</v>
      </c>
      <c r="B2897" s="11" t="s">
        <v>75</v>
      </c>
      <c r="C2897" s="11" t="s">
        <v>50</v>
      </c>
      <c r="D2897" s="6">
        <v>45833</v>
      </c>
      <c r="E2897" t="str">
        <f>VLOOKUP(B2897,'PROCV GERENTES BD'!A:B,2,0)</f>
        <v>CAIO</v>
      </c>
      <c r="F2897" s="4" t="str">
        <f t="shared" si="270"/>
        <v>2025-06</v>
      </c>
      <c r="G2897" s="18">
        <f t="shared" si="271"/>
        <v>26</v>
      </c>
      <c r="H2897" t="str">
        <f t="shared" si="272"/>
        <v>CAIO</v>
      </c>
      <c r="I2897" t="str">
        <f t="shared" si="273"/>
        <v>TP DISTRIBUIDORA DE PECAS LTDA EPP</v>
      </c>
      <c r="J2897">
        <f t="shared" si="274"/>
        <v>0</v>
      </c>
      <c r="K2897">
        <f t="shared" si="275"/>
        <v>1</v>
      </c>
    </row>
    <row r="2898" spans="1:11" x14ac:dyDescent="0.25">
      <c r="A2898" s="11" t="s">
        <v>616</v>
      </c>
      <c r="B2898" s="11" t="s">
        <v>617</v>
      </c>
      <c r="C2898" s="11" t="s">
        <v>50</v>
      </c>
      <c r="D2898" s="6">
        <v>45833</v>
      </c>
      <c r="E2898" t="str">
        <f>VLOOKUP(B2898,'PROCV GERENTES BD'!A:B,2,0)</f>
        <v>PRISCILA METZ</v>
      </c>
      <c r="F2898" s="4" t="str">
        <f t="shared" si="270"/>
        <v>2025-06</v>
      </c>
      <c r="G2898" s="18">
        <f t="shared" si="271"/>
        <v>26</v>
      </c>
      <c r="H2898" t="str">
        <f t="shared" si="272"/>
        <v>PRISCILA METZ</v>
      </c>
      <c r="I2898" t="str">
        <f t="shared" si="273"/>
        <v>DESTAK DISTRIBUIDORA PRODUTOS EQUIPAMENTOS HOSPITA</v>
      </c>
      <c r="J2898">
        <f t="shared" si="274"/>
        <v>0</v>
      </c>
      <c r="K2898">
        <f t="shared" si="275"/>
        <v>1</v>
      </c>
    </row>
    <row r="2899" spans="1:11" x14ac:dyDescent="0.25">
      <c r="A2899" s="11" t="s">
        <v>369</v>
      </c>
      <c r="B2899" s="11" t="s">
        <v>113</v>
      </c>
      <c r="C2899" s="11" t="s">
        <v>50</v>
      </c>
      <c r="D2899" s="6">
        <v>45833</v>
      </c>
      <c r="E2899" t="str">
        <f>VLOOKUP(B2899,'PROCV GERENTES BD'!A:B,2,0)</f>
        <v xml:space="preserve">MARCUS VINICIUS </v>
      </c>
      <c r="F2899" s="4" t="str">
        <f t="shared" si="270"/>
        <v>2025-06</v>
      </c>
      <c r="G2899" s="18">
        <f t="shared" si="271"/>
        <v>26</v>
      </c>
      <c r="H2899" t="str">
        <f t="shared" si="272"/>
        <v xml:space="preserve">MARCUS VINICIUS </v>
      </c>
      <c r="I2899" t="str">
        <f t="shared" si="273"/>
        <v>ISOBASE POLIESTIRENO LTDA EPP</v>
      </c>
      <c r="J2899">
        <f t="shared" si="274"/>
        <v>0</v>
      </c>
      <c r="K2899">
        <f t="shared" si="275"/>
        <v>1</v>
      </c>
    </row>
    <row r="2900" spans="1:11" x14ac:dyDescent="0.25">
      <c r="A2900" s="11" t="s">
        <v>64</v>
      </c>
      <c r="B2900" s="11" t="s">
        <v>65</v>
      </c>
      <c r="C2900" s="11" t="s">
        <v>50</v>
      </c>
      <c r="D2900" s="6">
        <v>45833</v>
      </c>
      <c r="E2900" t="str">
        <f>VLOOKUP(B2900,'PROCV GERENTES BD'!A:B,2,0)</f>
        <v>ADMINISTRAÇÃO</v>
      </c>
      <c r="F2900" s="4" t="str">
        <f t="shared" si="270"/>
        <v>2025-06</v>
      </c>
      <c r="G2900" s="18">
        <f t="shared" si="271"/>
        <v>26</v>
      </c>
      <c r="H2900" t="str">
        <f t="shared" si="272"/>
        <v>ADMINISTRAÇÃO</v>
      </c>
      <c r="I2900" t="str">
        <f t="shared" si="273"/>
        <v>SOCIAL S/A</v>
      </c>
      <c r="J2900">
        <f t="shared" si="274"/>
        <v>0</v>
      </c>
      <c r="K2900">
        <f t="shared" si="275"/>
        <v>1</v>
      </c>
    </row>
    <row r="2901" spans="1:11" x14ac:dyDescent="0.25">
      <c r="A2901" s="11" t="s">
        <v>62</v>
      </c>
      <c r="B2901" s="11" t="s">
        <v>63</v>
      </c>
      <c r="C2901" s="11" t="s">
        <v>50</v>
      </c>
      <c r="D2901" s="6">
        <v>45833</v>
      </c>
      <c r="E2901" t="str">
        <f>VLOOKUP(B2901,'PROCV GERENTES BD'!A:B,2,0)</f>
        <v>PROSPECTAR</v>
      </c>
      <c r="F2901" s="4" t="str">
        <f t="shared" si="270"/>
        <v>2025-06</v>
      </c>
      <c r="G2901" s="18">
        <f t="shared" si="271"/>
        <v>26</v>
      </c>
      <c r="H2901" t="str">
        <f t="shared" si="272"/>
        <v>PROSPECTAR</v>
      </c>
      <c r="I2901" t="str">
        <f t="shared" si="273"/>
        <v>MAPP COM IMPORTACAO EXPORTACAO IND PRODUTOS ALIMEN</v>
      </c>
      <c r="J2901">
        <f t="shared" si="274"/>
        <v>0</v>
      </c>
      <c r="K2901">
        <f t="shared" si="275"/>
        <v>1</v>
      </c>
    </row>
    <row r="2902" spans="1:11" x14ac:dyDescent="0.25">
      <c r="A2902" s="11" t="s">
        <v>372</v>
      </c>
      <c r="B2902" s="11" t="s">
        <v>116</v>
      </c>
      <c r="C2902" s="11" t="s">
        <v>50</v>
      </c>
      <c r="D2902" s="6">
        <v>45833</v>
      </c>
      <c r="E2902" t="str">
        <f>VLOOKUP(B2902,'PROCV GERENTES BD'!A:B,2,0)</f>
        <v>ADMINISTRAÇÃO</v>
      </c>
      <c r="F2902" s="4" t="str">
        <f t="shared" si="270"/>
        <v>2025-06</v>
      </c>
      <c r="G2902" s="18">
        <f t="shared" si="271"/>
        <v>26</v>
      </c>
      <c r="H2902" t="str">
        <f t="shared" si="272"/>
        <v>ADMINISTRAÇÃO</v>
      </c>
      <c r="I2902" t="str">
        <f t="shared" si="273"/>
        <v>PREMOLDADOS MATOSINHOS LTDA EPP</v>
      </c>
      <c r="J2902">
        <f t="shared" si="274"/>
        <v>0</v>
      </c>
      <c r="K2902">
        <f t="shared" si="275"/>
        <v>1</v>
      </c>
    </row>
    <row r="2903" spans="1:11" x14ac:dyDescent="0.25">
      <c r="A2903" s="11" t="s">
        <v>460</v>
      </c>
      <c r="B2903" s="11" t="s">
        <v>217</v>
      </c>
      <c r="C2903" s="11" t="s">
        <v>50</v>
      </c>
      <c r="D2903" s="6">
        <v>45833</v>
      </c>
      <c r="E2903" t="str">
        <f>VLOOKUP(B2903,'PROCV GERENTES BD'!A:B,2,0)</f>
        <v>CELIO PIMENTA</v>
      </c>
      <c r="F2903" s="4" t="str">
        <f t="shared" si="270"/>
        <v>2025-06</v>
      </c>
      <c r="G2903" s="18">
        <f t="shared" si="271"/>
        <v>26</v>
      </c>
      <c r="H2903" t="str">
        <f t="shared" si="272"/>
        <v>CELIO PIMENTA</v>
      </c>
      <c r="I2903" t="str">
        <f t="shared" si="273"/>
        <v>MINAS CLEAN DISTRIBUIDORA DE PRODUTOS PARA LIMPEZA</v>
      </c>
      <c r="J2903">
        <f t="shared" si="274"/>
        <v>0</v>
      </c>
      <c r="K2903">
        <f t="shared" si="275"/>
        <v>1</v>
      </c>
    </row>
    <row r="2904" spans="1:11" x14ac:dyDescent="0.25">
      <c r="A2904" s="11" t="s">
        <v>318</v>
      </c>
      <c r="B2904" s="11" t="s">
        <v>203</v>
      </c>
      <c r="C2904" s="11" t="s">
        <v>50</v>
      </c>
      <c r="D2904" s="6">
        <v>45833</v>
      </c>
      <c r="E2904" t="str">
        <f>VLOOKUP(B2904,'PROCV GERENTES BD'!A:B,2,0)</f>
        <v>JOSE ROBERTO</v>
      </c>
      <c r="F2904" s="4" t="str">
        <f t="shared" si="270"/>
        <v>2025-06</v>
      </c>
      <c r="G2904" s="18">
        <f t="shared" si="271"/>
        <v>26</v>
      </c>
      <c r="H2904" t="str">
        <f t="shared" si="272"/>
        <v>JOSE ROBERTO</v>
      </c>
      <c r="I2904" t="str">
        <f t="shared" si="273"/>
        <v>FUNDACAO DE ENSINO E PESQUISA DO SUL DE MINAS FEPE</v>
      </c>
      <c r="J2904">
        <f t="shared" si="274"/>
        <v>0</v>
      </c>
      <c r="K2904">
        <f t="shared" si="275"/>
        <v>1</v>
      </c>
    </row>
    <row r="2905" spans="1:11" x14ac:dyDescent="0.25">
      <c r="A2905" s="11" t="s">
        <v>319</v>
      </c>
      <c r="B2905" s="11" t="s">
        <v>80</v>
      </c>
      <c r="C2905" s="11" t="s">
        <v>66</v>
      </c>
      <c r="D2905" s="6">
        <v>45833</v>
      </c>
      <c r="E2905" t="str">
        <f>VLOOKUP(B2905,'PROCV GERENTES BD'!A:B,2,0)</f>
        <v>CELIO PIMENTA</v>
      </c>
      <c r="F2905" s="4" t="str">
        <f t="shared" si="270"/>
        <v>2025-06</v>
      </c>
      <c r="G2905" s="18">
        <f t="shared" si="271"/>
        <v>26</v>
      </c>
      <c r="H2905" t="str">
        <f t="shared" si="272"/>
        <v>CELIO PIMENTA</v>
      </c>
      <c r="I2905" t="str">
        <f t="shared" si="273"/>
        <v>IMPORTEXTIL COMERCIO DE TECIDOS LTDA</v>
      </c>
      <c r="J2905">
        <f t="shared" si="274"/>
        <v>1</v>
      </c>
      <c r="K2905">
        <f t="shared" si="275"/>
        <v>0</v>
      </c>
    </row>
    <row r="2906" spans="1:11" x14ac:dyDescent="0.25">
      <c r="A2906" s="11" t="s">
        <v>321</v>
      </c>
      <c r="B2906" s="11" t="s">
        <v>264</v>
      </c>
      <c r="C2906" s="11" t="s">
        <v>50</v>
      </c>
      <c r="D2906" s="6">
        <v>45833</v>
      </c>
      <c r="E2906" t="str">
        <f>VLOOKUP(B2906,'PROCV GERENTES BD'!A:B,2,0)</f>
        <v>RAFAEL PARISE</v>
      </c>
      <c r="F2906" s="4" t="str">
        <f t="shared" si="270"/>
        <v>2025-06</v>
      </c>
      <c r="G2906" s="18">
        <f t="shared" si="271"/>
        <v>26</v>
      </c>
      <c r="H2906" t="str">
        <f t="shared" si="272"/>
        <v>RAFAEL PARISE</v>
      </c>
      <c r="I2906" t="str">
        <f t="shared" si="273"/>
        <v>METALCROMO METALIZACAO E CROMO DURO INDUSTRIAL LTD</v>
      </c>
      <c r="J2906">
        <f t="shared" si="274"/>
        <v>0</v>
      </c>
      <c r="K2906">
        <f t="shared" si="275"/>
        <v>1</v>
      </c>
    </row>
    <row r="2907" spans="1:11" x14ac:dyDescent="0.25">
      <c r="A2907" s="11" t="s">
        <v>532</v>
      </c>
      <c r="B2907" s="11" t="s">
        <v>300</v>
      </c>
      <c r="C2907" s="11" t="s">
        <v>53</v>
      </c>
      <c r="D2907" s="6">
        <v>45833</v>
      </c>
      <c r="E2907" t="str">
        <f>VLOOKUP(B2907,'PROCV GERENTES BD'!A:B,2,0)</f>
        <v>RAFAEL PARISE</v>
      </c>
      <c r="F2907" s="4" t="str">
        <f t="shared" si="270"/>
        <v>2025-06</v>
      </c>
      <c r="G2907" s="18">
        <f t="shared" si="271"/>
        <v>26</v>
      </c>
      <c r="H2907" t="str">
        <f t="shared" si="272"/>
        <v>RAFAEL PARISE</v>
      </c>
      <c r="I2907" t="str">
        <f t="shared" si="273"/>
        <v>MINASPOL INDUSTRIA E COMERCIO DE COMPOSTOS POLIMER</v>
      </c>
      <c r="J2907">
        <f t="shared" si="274"/>
        <v>1</v>
      </c>
      <c r="K2907">
        <f t="shared" si="275"/>
        <v>1</v>
      </c>
    </row>
    <row r="2908" spans="1:11" x14ac:dyDescent="0.25">
      <c r="A2908" s="11" t="s">
        <v>51</v>
      </c>
      <c r="B2908" s="11" t="s">
        <v>52</v>
      </c>
      <c r="C2908" s="11" t="s">
        <v>50</v>
      </c>
      <c r="D2908" s="6">
        <v>45833</v>
      </c>
      <c r="E2908" t="str">
        <f>VLOOKUP(B2908,'PROCV GERENTES BD'!A:B,2,0)</f>
        <v>RAFAEL PARISE</v>
      </c>
      <c r="F2908" s="4" t="str">
        <f t="shared" si="270"/>
        <v>2025-06</v>
      </c>
      <c r="G2908" s="18">
        <f t="shared" si="271"/>
        <v>26</v>
      </c>
      <c r="H2908" t="str">
        <f t="shared" si="272"/>
        <v>RAFAEL PARISE</v>
      </c>
      <c r="I2908" t="str">
        <f t="shared" si="273"/>
        <v>TDR TRANSPORTES LOGISTICA LTDA</v>
      </c>
      <c r="J2908">
        <f t="shared" si="274"/>
        <v>0</v>
      </c>
      <c r="K2908">
        <f t="shared" si="275"/>
        <v>1</v>
      </c>
    </row>
    <row r="2909" spans="1:11" x14ac:dyDescent="0.25">
      <c r="A2909" s="11" t="s">
        <v>323</v>
      </c>
      <c r="B2909" s="11" t="s">
        <v>109</v>
      </c>
      <c r="C2909" s="11" t="s">
        <v>66</v>
      </c>
      <c r="D2909" s="6">
        <v>45833</v>
      </c>
      <c r="E2909" t="str">
        <f>VLOOKUP(B2909,'PROCV GERENTES BD'!A:B,2,0)</f>
        <v>PROSPECTAR</v>
      </c>
      <c r="F2909" s="4" t="str">
        <f t="shared" si="270"/>
        <v>2025-06</v>
      </c>
      <c r="G2909" s="18">
        <f t="shared" si="271"/>
        <v>26</v>
      </c>
      <c r="H2909" t="str">
        <f t="shared" si="272"/>
        <v>PROSPECTAR</v>
      </c>
      <c r="I2909" t="str">
        <f t="shared" si="273"/>
        <v>SIAP COMERCIO DE PRODUTOS AGROPECUARIOS LTDA</v>
      </c>
      <c r="J2909">
        <f t="shared" si="274"/>
        <v>1</v>
      </c>
      <c r="K2909">
        <f t="shared" si="275"/>
        <v>0</v>
      </c>
    </row>
    <row r="2910" spans="1:11" x14ac:dyDescent="0.25">
      <c r="A2910" s="11" t="s">
        <v>324</v>
      </c>
      <c r="B2910" s="11" t="s">
        <v>119</v>
      </c>
      <c r="C2910" s="11" t="s">
        <v>66</v>
      </c>
      <c r="D2910" s="6">
        <v>45833</v>
      </c>
      <c r="E2910" t="str">
        <f>VLOOKUP(B2910,'PROCV GERENTES BD'!A:B,2,0)</f>
        <v>PROSPECTAR</v>
      </c>
      <c r="F2910" s="4" t="str">
        <f t="shared" si="270"/>
        <v>2025-06</v>
      </c>
      <c r="G2910" s="18">
        <f t="shared" si="271"/>
        <v>26</v>
      </c>
      <c r="H2910" t="str">
        <f t="shared" si="272"/>
        <v>PROSPECTAR</v>
      </c>
      <c r="I2910" t="str">
        <f t="shared" si="273"/>
        <v>TRANSHENRY TRANSPORTES LTDA</v>
      </c>
      <c r="J2910">
        <f t="shared" si="274"/>
        <v>1</v>
      </c>
      <c r="K2910">
        <f t="shared" si="275"/>
        <v>0</v>
      </c>
    </row>
    <row r="2911" spans="1:11" x14ac:dyDescent="0.25">
      <c r="A2911" s="11" t="s">
        <v>523</v>
      </c>
      <c r="B2911" s="11" t="s">
        <v>288</v>
      </c>
      <c r="C2911" s="11" t="s">
        <v>66</v>
      </c>
      <c r="D2911" s="6">
        <v>45833</v>
      </c>
      <c r="E2911" t="str">
        <f>VLOOKUP(B2911,'PROCV GERENTES BD'!A:B,2,0)</f>
        <v>ADMINISTRAÇÃO</v>
      </c>
      <c r="F2911" s="4" t="str">
        <f t="shared" si="270"/>
        <v>2025-06</v>
      </c>
      <c r="G2911" s="18">
        <f t="shared" si="271"/>
        <v>26</v>
      </c>
      <c r="H2911" t="str">
        <f t="shared" si="272"/>
        <v>ADMINISTRAÇÃO</v>
      </c>
      <c r="I2911" t="str">
        <f t="shared" si="273"/>
        <v>REFRACONT BRASIL LTDA</v>
      </c>
      <c r="J2911">
        <f t="shared" si="274"/>
        <v>1</v>
      </c>
      <c r="K2911">
        <f t="shared" si="275"/>
        <v>0</v>
      </c>
    </row>
    <row r="2912" spans="1:11" x14ac:dyDescent="0.25">
      <c r="A2912" s="11" t="s">
        <v>368</v>
      </c>
      <c r="B2912" s="11" t="s">
        <v>111</v>
      </c>
      <c r="C2912" s="11" t="s">
        <v>50</v>
      </c>
      <c r="D2912" s="6">
        <v>45833</v>
      </c>
      <c r="E2912" t="str">
        <f>VLOOKUP(B2912,'PROCV GERENTES BD'!A:B,2,0)</f>
        <v>ADMINISTRAÇÃO</v>
      </c>
      <c r="F2912" s="4" t="str">
        <f t="shared" si="270"/>
        <v>2025-06</v>
      </c>
      <c r="G2912" s="18">
        <f t="shared" si="271"/>
        <v>26</v>
      </c>
      <c r="H2912" t="str">
        <f t="shared" si="272"/>
        <v>ADMINISTRAÇÃO</v>
      </c>
      <c r="I2912" t="str">
        <f t="shared" si="273"/>
        <v>ARTECAL ELETROCENTROS S/A</v>
      </c>
      <c r="J2912">
        <f t="shared" si="274"/>
        <v>0</v>
      </c>
      <c r="K2912">
        <f t="shared" si="275"/>
        <v>1</v>
      </c>
    </row>
    <row r="2913" spans="1:11" x14ac:dyDescent="0.25">
      <c r="A2913" s="11" t="s">
        <v>48</v>
      </c>
      <c r="B2913" s="11" t="s">
        <v>49</v>
      </c>
      <c r="C2913" s="11" t="s">
        <v>50</v>
      </c>
      <c r="D2913" s="6">
        <v>45833</v>
      </c>
      <c r="E2913" t="str">
        <f>VLOOKUP(B2913,'PROCV GERENTES BD'!A:B,2,0)</f>
        <v xml:space="preserve">MARCUS VINICIUS </v>
      </c>
      <c r="F2913" s="4" t="str">
        <f t="shared" si="270"/>
        <v>2025-06</v>
      </c>
      <c r="G2913" s="18">
        <f t="shared" si="271"/>
        <v>26</v>
      </c>
      <c r="H2913" t="str">
        <f t="shared" si="272"/>
        <v xml:space="preserve">MARCUS VINICIUS </v>
      </c>
      <c r="I2913" t="str">
        <f t="shared" si="273"/>
        <v>PROMEL IND COM IMP E EXP DE PRODS NATURAIS LTDA</v>
      </c>
      <c r="J2913">
        <f t="shared" si="274"/>
        <v>0</v>
      </c>
      <c r="K2913">
        <f t="shared" si="275"/>
        <v>1</v>
      </c>
    </row>
    <row r="2914" spans="1:11" x14ac:dyDescent="0.25">
      <c r="A2914" s="11" t="s">
        <v>58</v>
      </c>
      <c r="B2914" s="11" t="s">
        <v>59</v>
      </c>
      <c r="C2914" s="11" t="s">
        <v>66</v>
      </c>
      <c r="D2914" s="6">
        <v>45833</v>
      </c>
      <c r="E2914" t="str">
        <f>VLOOKUP(B2914,'PROCV GERENTES BD'!A:B,2,0)</f>
        <v>ADMINISTRAÇÃO</v>
      </c>
      <c r="F2914" s="4" t="str">
        <f t="shared" si="270"/>
        <v>2025-06</v>
      </c>
      <c r="G2914" s="18">
        <f t="shared" si="271"/>
        <v>26</v>
      </c>
      <c r="H2914" t="str">
        <f t="shared" si="272"/>
        <v>ADMINISTRAÇÃO</v>
      </c>
      <c r="I2914" t="str">
        <f t="shared" si="273"/>
        <v>BIOTECH LOGISTICA LTDA</v>
      </c>
      <c r="J2914">
        <f t="shared" si="274"/>
        <v>1</v>
      </c>
      <c r="K2914">
        <f t="shared" si="275"/>
        <v>0</v>
      </c>
    </row>
    <row r="2915" spans="1:11" x14ac:dyDescent="0.25">
      <c r="A2915" s="11" t="s">
        <v>503</v>
      </c>
      <c r="B2915" s="11" t="s">
        <v>261</v>
      </c>
      <c r="C2915" s="11" t="s">
        <v>50</v>
      </c>
      <c r="D2915" s="6">
        <v>45833</v>
      </c>
      <c r="E2915" t="str">
        <f>VLOOKUP(B2915,'PROCV GERENTES BD'!A:B,2,0)</f>
        <v>PRISCILA METZ</v>
      </c>
      <c r="F2915" s="4" t="str">
        <f t="shared" si="270"/>
        <v>2025-06</v>
      </c>
      <c r="G2915" s="18">
        <f t="shared" si="271"/>
        <v>26</v>
      </c>
      <c r="H2915" t="str">
        <f t="shared" si="272"/>
        <v>PRISCILA METZ</v>
      </c>
      <c r="I2915" t="str">
        <f t="shared" si="273"/>
        <v>ANDRADE ELETRO TECNICA LTDA EPP</v>
      </c>
      <c r="J2915">
        <f t="shared" si="274"/>
        <v>0</v>
      </c>
      <c r="K2915">
        <f t="shared" si="275"/>
        <v>1</v>
      </c>
    </row>
    <row r="2916" spans="1:11" x14ac:dyDescent="0.25">
      <c r="A2916" s="11" t="s">
        <v>523</v>
      </c>
      <c r="B2916" s="11" t="s">
        <v>288</v>
      </c>
      <c r="C2916" s="11" t="s">
        <v>66</v>
      </c>
      <c r="D2916" s="6">
        <v>45834</v>
      </c>
      <c r="E2916" t="str">
        <f>VLOOKUP(B2916,'PROCV GERENTES BD'!A:B,2,0)</f>
        <v>ADMINISTRAÇÃO</v>
      </c>
      <c r="F2916" s="4" t="str">
        <f t="shared" si="270"/>
        <v>2025-06</v>
      </c>
      <c r="G2916" s="18">
        <f t="shared" si="271"/>
        <v>26</v>
      </c>
      <c r="H2916" t="str">
        <f t="shared" si="272"/>
        <v>ADMINISTRAÇÃO</v>
      </c>
      <c r="I2916" t="str">
        <f t="shared" si="273"/>
        <v>REFRACONT BRASIL LTDA</v>
      </c>
      <c r="J2916">
        <f t="shared" si="274"/>
        <v>1</v>
      </c>
      <c r="K2916">
        <f t="shared" si="275"/>
        <v>0</v>
      </c>
    </row>
    <row r="2917" spans="1:11" x14ac:dyDescent="0.25">
      <c r="A2917" s="11" t="s">
        <v>503</v>
      </c>
      <c r="B2917" s="11" t="s">
        <v>261</v>
      </c>
      <c r="C2917" s="11" t="s">
        <v>66</v>
      </c>
      <c r="D2917" s="6">
        <v>45834</v>
      </c>
      <c r="E2917" t="str">
        <f>VLOOKUP(B2917,'PROCV GERENTES BD'!A:B,2,0)</f>
        <v>PRISCILA METZ</v>
      </c>
      <c r="F2917" s="4" t="str">
        <f t="shared" si="270"/>
        <v>2025-06</v>
      </c>
      <c r="G2917" s="18">
        <f t="shared" si="271"/>
        <v>26</v>
      </c>
      <c r="H2917" t="str">
        <f t="shared" si="272"/>
        <v>PRISCILA METZ</v>
      </c>
      <c r="I2917" t="str">
        <f t="shared" si="273"/>
        <v>ANDRADE ELETRO TECNICA LTDA EPP</v>
      </c>
      <c r="J2917">
        <f t="shared" si="274"/>
        <v>1</v>
      </c>
      <c r="K2917">
        <f t="shared" si="275"/>
        <v>0</v>
      </c>
    </row>
    <row r="2918" spans="1:11" x14ac:dyDescent="0.25">
      <c r="A2918" s="11" t="s">
        <v>622</v>
      </c>
      <c r="B2918" s="11" t="s">
        <v>540</v>
      </c>
      <c r="C2918" s="11" t="s">
        <v>50</v>
      </c>
      <c r="D2918" s="6">
        <v>45834</v>
      </c>
      <c r="E2918" t="str">
        <f>VLOOKUP(B2918,'PROCV GERENTES BD'!A:B,2,0)</f>
        <v>ADMINISTRAÇÃO</v>
      </c>
      <c r="F2918" s="4" t="str">
        <f t="shared" si="270"/>
        <v>2025-06</v>
      </c>
      <c r="G2918" s="18">
        <f t="shared" si="271"/>
        <v>26</v>
      </c>
      <c r="H2918" t="str">
        <f t="shared" si="272"/>
        <v>ADMINISTRAÇÃO</v>
      </c>
      <c r="I2918" t="str">
        <f t="shared" si="273"/>
        <v>HBEAUTY COSMETICOS LTDA ME</v>
      </c>
      <c r="J2918">
        <f t="shared" si="274"/>
        <v>0</v>
      </c>
      <c r="K2918">
        <f t="shared" si="275"/>
        <v>1</v>
      </c>
    </row>
    <row r="2919" spans="1:11" x14ac:dyDescent="0.25">
      <c r="A2919" s="11" t="s">
        <v>600</v>
      </c>
      <c r="B2919" s="11" t="s">
        <v>594</v>
      </c>
      <c r="C2919" s="11" t="s">
        <v>66</v>
      </c>
      <c r="D2919" s="6">
        <v>45834</v>
      </c>
      <c r="E2919" t="str">
        <f>VLOOKUP(B2919,'PROCV GERENTES BD'!A:B,2,0)</f>
        <v xml:space="preserve">ROGERIO </v>
      </c>
      <c r="F2919" s="4" t="str">
        <f t="shared" si="270"/>
        <v>2025-06</v>
      </c>
      <c r="G2919" s="18">
        <f t="shared" si="271"/>
        <v>26</v>
      </c>
      <c r="H2919" t="str">
        <f t="shared" si="272"/>
        <v xml:space="preserve">ROGERIO </v>
      </c>
      <c r="I2919" t="str">
        <f t="shared" si="273"/>
        <v>METALAB COMERCIO E INDUSTRIA FARMACEUTICA LTDA ME</v>
      </c>
      <c r="J2919">
        <f t="shared" si="274"/>
        <v>1</v>
      </c>
      <c r="K2919">
        <f t="shared" si="275"/>
        <v>0</v>
      </c>
    </row>
    <row r="2920" spans="1:11" x14ac:dyDescent="0.25">
      <c r="A2920" s="11" t="s">
        <v>613</v>
      </c>
      <c r="B2920" s="11" t="s">
        <v>565</v>
      </c>
      <c r="C2920" s="11" t="s">
        <v>50</v>
      </c>
      <c r="D2920" s="6">
        <v>45834</v>
      </c>
      <c r="E2920" t="str">
        <f>VLOOKUP(B2920,'PROCV GERENTES BD'!A:B,2,0)</f>
        <v>DALVA</v>
      </c>
      <c r="F2920" s="4" t="str">
        <f t="shared" si="270"/>
        <v>2025-06</v>
      </c>
      <c r="G2920" s="18">
        <f t="shared" si="271"/>
        <v>26</v>
      </c>
      <c r="H2920" t="str">
        <f t="shared" si="272"/>
        <v>DALVA</v>
      </c>
      <c r="I2920" t="str">
        <f t="shared" si="273"/>
        <v>SENSORVIX INTELIGENCIA EM AUTOMACAO LTDA ME</v>
      </c>
      <c r="J2920">
        <f t="shared" si="274"/>
        <v>0</v>
      </c>
      <c r="K2920">
        <f t="shared" si="275"/>
        <v>1</v>
      </c>
    </row>
    <row r="2921" spans="1:11" x14ac:dyDescent="0.25">
      <c r="A2921" s="11" t="s">
        <v>427</v>
      </c>
      <c r="B2921" s="11" t="s">
        <v>178</v>
      </c>
      <c r="C2921" s="11" t="s">
        <v>50</v>
      </c>
      <c r="D2921" s="6">
        <v>45834</v>
      </c>
      <c r="E2921" t="str">
        <f>VLOOKUP(B2921,'PROCV GERENTES BD'!A:B,2,0)</f>
        <v>ADMINISTRAÇÃO</v>
      </c>
      <c r="F2921" s="4" t="str">
        <f t="shared" si="270"/>
        <v>2025-06</v>
      </c>
      <c r="G2921" s="18">
        <f t="shared" si="271"/>
        <v>26</v>
      </c>
      <c r="H2921" t="str">
        <f t="shared" si="272"/>
        <v>ADMINISTRAÇÃO</v>
      </c>
      <c r="I2921" t="str">
        <f t="shared" si="273"/>
        <v>LIZZENA COSMETICOS LTDA EPP</v>
      </c>
      <c r="J2921">
        <f t="shared" si="274"/>
        <v>0</v>
      </c>
      <c r="K2921">
        <f t="shared" si="275"/>
        <v>1</v>
      </c>
    </row>
    <row r="2922" spans="1:11" x14ac:dyDescent="0.25">
      <c r="A2922" s="11" t="s">
        <v>604</v>
      </c>
      <c r="B2922" s="11" t="s">
        <v>605</v>
      </c>
      <c r="C2922" s="11" t="s">
        <v>53</v>
      </c>
      <c r="D2922" s="6">
        <v>45834</v>
      </c>
      <c r="E2922" t="str">
        <f>VLOOKUP(B2922,'PROCV GERENTES BD'!A:B,2,0)</f>
        <v>ALISSON DE SOUZA LIMA</v>
      </c>
      <c r="F2922" s="4" t="str">
        <f t="shared" si="270"/>
        <v>2025-06</v>
      </c>
      <c r="G2922" s="18">
        <f t="shared" si="271"/>
        <v>26</v>
      </c>
      <c r="H2922" t="str">
        <f t="shared" si="272"/>
        <v>ALISSON DE SOUZA LIMA</v>
      </c>
      <c r="I2922" t="str">
        <f t="shared" si="273"/>
        <v>3J FUNDICAO INDUSTRIAL LTDA</v>
      </c>
      <c r="J2922">
        <f t="shared" si="274"/>
        <v>1</v>
      </c>
      <c r="K2922">
        <f t="shared" si="275"/>
        <v>1</v>
      </c>
    </row>
    <row r="2923" spans="1:11" x14ac:dyDescent="0.25">
      <c r="A2923" s="11" t="s">
        <v>623</v>
      </c>
      <c r="B2923" s="11" t="s">
        <v>624</v>
      </c>
      <c r="C2923" s="11" t="s">
        <v>66</v>
      </c>
      <c r="D2923" s="6">
        <v>45834</v>
      </c>
      <c r="E2923" t="str">
        <f>VLOOKUP(B2923,'PROCV GERENTES BD'!A:B,2,0)</f>
        <v>ALISSON DE SOUZA LIMA</v>
      </c>
      <c r="F2923" s="4" t="str">
        <f t="shared" si="270"/>
        <v>2025-06</v>
      </c>
      <c r="G2923" s="18">
        <f t="shared" si="271"/>
        <v>26</v>
      </c>
      <c r="H2923" t="str">
        <f t="shared" si="272"/>
        <v>ALISSON DE SOUZA LIMA</v>
      </c>
      <c r="I2923" t="str">
        <f t="shared" si="273"/>
        <v>A2 VIDROS INDUSTRIA E COMERCIO LTDA</v>
      </c>
      <c r="J2923">
        <f t="shared" si="274"/>
        <v>1</v>
      </c>
      <c r="K2923">
        <f t="shared" si="275"/>
        <v>0</v>
      </c>
    </row>
    <row r="2924" spans="1:11" x14ac:dyDescent="0.25">
      <c r="A2924" s="11" t="s">
        <v>459</v>
      </c>
      <c r="B2924" s="11" t="s">
        <v>216</v>
      </c>
      <c r="C2924" s="11" t="s">
        <v>50</v>
      </c>
      <c r="D2924" s="6">
        <v>45834</v>
      </c>
      <c r="E2924" t="str">
        <f>VLOOKUP(B2924,'PROCV GERENTES BD'!A:B,2,0)</f>
        <v>ADMINISTRAÇÃO</v>
      </c>
      <c r="F2924" s="4" t="str">
        <f t="shared" si="270"/>
        <v>2025-06</v>
      </c>
      <c r="G2924" s="18">
        <f t="shared" si="271"/>
        <v>26</v>
      </c>
      <c r="H2924" t="str">
        <f t="shared" si="272"/>
        <v>ADMINISTRAÇÃO</v>
      </c>
      <c r="I2924" t="str">
        <f t="shared" si="273"/>
        <v>JABEZ SERVICOS COMPARTILHADOS LTDA ME</v>
      </c>
      <c r="J2924">
        <f t="shared" si="274"/>
        <v>0</v>
      </c>
      <c r="K2924">
        <f t="shared" si="275"/>
        <v>1</v>
      </c>
    </row>
    <row r="2925" spans="1:11" x14ac:dyDescent="0.25">
      <c r="A2925" s="11" t="s">
        <v>319</v>
      </c>
      <c r="B2925" s="11" t="s">
        <v>80</v>
      </c>
      <c r="C2925" s="11" t="s">
        <v>50</v>
      </c>
      <c r="D2925" s="6">
        <v>45834</v>
      </c>
      <c r="E2925" t="str">
        <f>VLOOKUP(B2925,'PROCV GERENTES BD'!A:B,2,0)</f>
        <v>CELIO PIMENTA</v>
      </c>
      <c r="F2925" s="4" t="str">
        <f t="shared" si="270"/>
        <v>2025-06</v>
      </c>
      <c r="G2925" s="18">
        <f t="shared" si="271"/>
        <v>26</v>
      </c>
      <c r="H2925" t="str">
        <f t="shared" si="272"/>
        <v>CELIO PIMENTA</v>
      </c>
      <c r="I2925" t="str">
        <f t="shared" si="273"/>
        <v>IMPORTEXTIL COMERCIO DE TECIDOS LTDA</v>
      </c>
      <c r="J2925">
        <f t="shared" si="274"/>
        <v>0</v>
      </c>
      <c r="K2925">
        <f t="shared" si="275"/>
        <v>1</v>
      </c>
    </row>
    <row r="2926" spans="1:11" x14ac:dyDescent="0.25">
      <c r="A2926" s="11" t="s">
        <v>331</v>
      </c>
      <c r="B2926" s="11" t="s">
        <v>144</v>
      </c>
      <c r="C2926" s="11" t="s">
        <v>50</v>
      </c>
      <c r="D2926" s="6">
        <v>45834</v>
      </c>
      <c r="E2926" t="str">
        <f>VLOOKUP(B2926,'PROCV GERENTES BD'!A:B,2,0)</f>
        <v>ADMINISTRAÇÃO</v>
      </c>
      <c r="F2926" s="4" t="str">
        <f t="shared" si="270"/>
        <v>2025-06</v>
      </c>
      <c r="G2926" s="18">
        <f t="shared" si="271"/>
        <v>26</v>
      </c>
      <c r="H2926" t="str">
        <f t="shared" si="272"/>
        <v>ADMINISTRAÇÃO</v>
      </c>
      <c r="I2926" t="str">
        <f t="shared" si="273"/>
        <v>BOM PASTOR PAPEIS LTDA EM RECUPERACAO JUDICIAL</v>
      </c>
      <c r="J2926">
        <f t="shared" si="274"/>
        <v>0</v>
      </c>
      <c r="K2926">
        <f t="shared" si="275"/>
        <v>1</v>
      </c>
    </row>
    <row r="2927" spans="1:11" x14ac:dyDescent="0.25">
      <c r="A2927" s="11" t="s">
        <v>344</v>
      </c>
      <c r="B2927" s="11" t="s">
        <v>89</v>
      </c>
      <c r="C2927" s="11" t="s">
        <v>66</v>
      </c>
      <c r="D2927" s="6">
        <v>45834</v>
      </c>
      <c r="E2927" t="str">
        <f>VLOOKUP(B2927,'PROCV GERENTES BD'!A:B,2,0)</f>
        <v>POENATELA</v>
      </c>
      <c r="F2927" s="4" t="str">
        <f t="shared" si="270"/>
        <v>2025-06</v>
      </c>
      <c r="G2927" s="18">
        <f t="shared" si="271"/>
        <v>26</v>
      </c>
      <c r="H2927" t="str">
        <f t="shared" si="272"/>
        <v>POENATELA</v>
      </c>
      <c r="I2927" t="str">
        <f t="shared" si="273"/>
        <v>CERVEJARIA SOUZA LTDA</v>
      </c>
      <c r="J2927">
        <f t="shared" si="274"/>
        <v>1</v>
      </c>
      <c r="K2927">
        <f t="shared" si="275"/>
        <v>0</v>
      </c>
    </row>
    <row r="2928" spans="1:11" x14ac:dyDescent="0.25">
      <c r="A2928" s="11" t="s">
        <v>51</v>
      </c>
      <c r="B2928" s="11" t="s">
        <v>52</v>
      </c>
      <c r="C2928" s="11" t="s">
        <v>66</v>
      </c>
      <c r="D2928" s="6">
        <v>45834</v>
      </c>
      <c r="E2928" t="str">
        <f>VLOOKUP(B2928,'PROCV GERENTES BD'!A:B,2,0)</f>
        <v>RAFAEL PARISE</v>
      </c>
      <c r="F2928" s="4" t="str">
        <f t="shared" si="270"/>
        <v>2025-06</v>
      </c>
      <c r="G2928" s="18">
        <f t="shared" si="271"/>
        <v>26</v>
      </c>
      <c r="H2928" t="str">
        <f t="shared" si="272"/>
        <v>RAFAEL PARISE</v>
      </c>
      <c r="I2928" t="str">
        <f t="shared" si="273"/>
        <v>TDR TRANSPORTES LOGISTICA LTDA</v>
      </c>
      <c r="J2928">
        <f t="shared" si="274"/>
        <v>1</v>
      </c>
      <c r="K2928">
        <f t="shared" si="275"/>
        <v>0</v>
      </c>
    </row>
    <row r="2929" spans="1:11" x14ac:dyDescent="0.25">
      <c r="A2929" s="11" t="s">
        <v>324</v>
      </c>
      <c r="B2929" s="11" t="s">
        <v>119</v>
      </c>
      <c r="C2929" s="11" t="s">
        <v>66</v>
      </c>
      <c r="D2929" s="6">
        <v>45834</v>
      </c>
      <c r="E2929" t="str">
        <f>VLOOKUP(B2929,'PROCV GERENTES BD'!A:B,2,0)</f>
        <v>PROSPECTAR</v>
      </c>
      <c r="F2929" s="4" t="str">
        <f t="shared" si="270"/>
        <v>2025-06</v>
      </c>
      <c r="G2929" s="18">
        <f t="shared" si="271"/>
        <v>26</v>
      </c>
      <c r="H2929" t="str">
        <f t="shared" si="272"/>
        <v>PROSPECTAR</v>
      </c>
      <c r="I2929" t="str">
        <f t="shared" si="273"/>
        <v>TRANSHENRY TRANSPORTES LTDA</v>
      </c>
      <c r="J2929">
        <f t="shared" si="274"/>
        <v>1</v>
      </c>
      <c r="K2929">
        <f t="shared" si="275"/>
        <v>0</v>
      </c>
    </row>
    <row r="2930" spans="1:11" x14ac:dyDescent="0.25">
      <c r="A2930" s="11" t="s">
        <v>524</v>
      </c>
      <c r="B2930" s="11" t="s">
        <v>289</v>
      </c>
      <c r="C2930" s="11" t="s">
        <v>50</v>
      </c>
      <c r="D2930" s="6">
        <v>45834</v>
      </c>
      <c r="E2930" t="str">
        <f>VLOOKUP(B2930,'PROCV GERENTES BD'!A:B,2,0)</f>
        <v>DALVA</v>
      </c>
      <c r="F2930" s="4" t="str">
        <f t="shared" si="270"/>
        <v>2025-06</v>
      </c>
      <c r="G2930" s="18">
        <f t="shared" si="271"/>
        <v>26</v>
      </c>
      <c r="H2930" t="str">
        <f t="shared" si="272"/>
        <v>DALVA</v>
      </c>
      <c r="I2930" t="str">
        <f t="shared" si="273"/>
        <v>FRAITECH INTELIGENCIA EM AUTOMACAO LTDA</v>
      </c>
      <c r="J2930">
        <f t="shared" si="274"/>
        <v>0</v>
      </c>
      <c r="K2930">
        <f t="shared" si="275"/>
        <v>1</v>
      </c>
    </row>
    <row r="2931" spans="1:11" x14ac:dyDescent="0.25">
      <c r="A2931" s="11" t="s">
        <v>58</v>
      </c>
      <c r="B2931" s="11" t="s">
        <v>59</v>
      </c>
      <c r="C2931" s="11" t="s">
        <v>50</v>
      </c>
      <c r="D2931" s="6">
        <v>45834</v>
      </c>
      <c r="E2931" t="str">
        <f>VLOOKUP(B2931,'PROCV GERENTES BD'!A:B,2,0)</f>
        <v>ADMINISTRAÇÃO</v>
      </c>
      <c r="F2931" s="4" t="str">
        <f t="shared" si="270"/>
        <v>2025-06</v>
      </c>
      <c r="G2931" s="18">
        <f t="shared" si="271"/>
        <v>26</v>
      </c>
      <c r="H2931" t="str">
        <f t="shared" si="272"/>
        <v>ADMINISTRAÇÃO</v>
      </c>
      <c r="I2931" t="str">
        <f t="shared" si="273"/>
        <v>BIOTECH LOGISTICA LTDA</v>
      </c>
      <c r="J2931">
        <f t="shared" si="274"/>
        <v>0</v>
      </c>
      <c r="K2931">
        <f t="shared" si="275"/>
        <v>1</v>
      </c>
    </row>
    <row r="2932" spans="1:11" x14ac:dyDescent="0.25">
      <c r="A2932" s="11" t="s">
        <v>326</v>
      </c>
      <c r="B2932" s="11" t="s">
        <v>122</v>
      </c>
      <c r="C2932" s="11" t="s">
        <v>66</v>
      </c>
      <c r="D2932" s="6">
        <v>45834</v>
      </c>
      <c r="E2932" t="str">
        <f>VLOOKUP(B2932,'PROCV GERENTES BD'!A:B,2,0)</f>
        <v xml:space="preserve">ROGERIO </v>
      </c>
      <c r="F2932" s="4" t="str">
        <f t="shared" si="270"/>
        <v>2025-06</v>
      </c>
      <c r="G2932" s="18">
        <f t="shared" si="271"/>
        <v>26</v>
      </c>
      <c r="H2932" t="str">
        <f t="shared" si="272"/>
        <v xml:space="preserve">ROGERIO </v>
      </c>
      <c r="I2932" t="str">
        <f t="shared" si="273"/>
        <v>BIBE PRODUTOS INFANTIS LTDA</v>
      </c>
      <c r="J2932">
        <f t="shared" si="274"/>
        <v>1</v>
      </c>
      <c r="K2932">
        <f t="shared" si="275"/>
        <v>0</v>
      </c>
    </row>
    <row r="2933" spans="1:11" x14ac:dyDescent="0.25">
      <c r="A2933" s="11" t="s">
        <v>529</v>
      </c>
      <c r="B2933" s="11" t="s">
        <v>297</v>
      </c>
      <c r="C2933" s="11" t="s">
        <v>50</v>
      </c>
      <c r="D2933" s="6">
        <v>45835</v>
      </c>
      <c r="E2933" t="str">
        <f>VLOOKUP(B2933,'PROCV GERENTES BD'!A:B,2,0)</f>
        <v>ANDRE CUNHA</v>
      </c>
      <c r="F2933" s="4" t="str">
        <f t="shared" si="270"/>
        <v>2025-06</v>
      </c>
      <c r="G2933" s="18">
        <f t="shared" si="271"/>
        <v>26</v>
      </c>
      <c r="H2933" t="str">
        <f t="shared" si="272"/>
        <v>ANDRE CUNHA</v>
      </c>
      <c r="I2933" t="str">
        <f t="shared" si="273"/>
        <v>REVPACK TECNOLOGIA E COMERCIO DE COMPONENTES PLAST</v>
      </c>
      <c r="J2933">
        <f t="shared" si="274"/>
        <v>0</v>
      </c>
      <c r="K2933">
        <f t="shared" si="275"/>
        <v>1</v>
      </c>
    </row>
    <row r="2934" spans="1:11" x14ac:dyDescent="0.25">
      <c r="A2934" s="11" t="s">
        <v>445</v>
      </c>
      <c r="B2934" s="11" t="s">
        <v>197</v>
      </c>
      <c r="C2934" s="11" t="s">
        <v>66</v>
      </c>
      <c r="D2934" s="6">
        <v>45835</v>
      </c>
      <c r="E2934" t="str">
        <f>VLOOKUP(B2934,'PROCV GERENTES BD'!A:B,2,0)</f>
        <v>ADMINISTRAÇÃO</v>
      </c>
      <c r="F2934" s="4" t="str">
        <f t="shared" si="270"/>
        <v>2025-06</v>
      </c>
      <c r="G2934" s="18">
        <f t="shared" si="271"/>
        <v>26</v>
      </c>
      <c r="H2934" t="str">
        <f t="shared" si="272"/>
        <v>ADMINISTRAÇÃO</v>
      </c>
      <c r="I2934" t="str">
        <f t="shared" si="273"/>
        <v>FARBIA CHEMICALS COMERCIO IMPORTACAO E EXPORTACAO</v>
      </c>
      <c r="J2934">
        <f t="shared" si="274"/>
        <v>1</v>
      </c>
      <c r="K2934">
        <f t="shared" si="275"/>
        <v>0</v>
      </c>
    </row>
    <row r="2935" spans="1:11" x14ac:dyDescent="0.25">
      <c r="A2935" s="11" t="s">
        <v>314</v>
      </c>
      <c r="B2935" s="11" t="s">
        <v>246</v>
      </c>
      <c r="C2935" s="11" t="s">
        <v>66</v>
      </c>
      <c r="D2935" s="6">
        <v>45835</v>
      </c>
      <c r="E2935" t="str">
        <f>VLOOKUP(B2935,'PROCV GERENTES BD'!A:B,2,0)</f>
        <v xml:space="preserve">ROGERIO </v>
      </c>
      <c r="F2935" s="4" t="str">
        <f t="shared" si="270"/>
        <v>2025-06</v>
      </c>
      <c r="G2935" s="18">
        <f t="shared" si="271"/>
        <v>26</v>
      </c>
      <c r="H2935" t="str">
        <f t="shared" si="272"/>
        <v xml:space="preserve">ROGERIO </v>
      </c>
      <c r="I2935" t="str">
        <f t="shared" si="273"/>
        <v>MUTCD CENTRO DE DISTRIBUICAO DE IND FABRICANTE DE</v>
      </c>
      <c r="J2935">
        <f t="shared" si="274"/>
        <v>1</v>
      </c>
      <c r="K2935">
        <f t="shared" si="275"/>
        <v>0</v>
      </c>
    </row>
    <row r="2936" spans="1:11" x14ac:dyDescent="0.25">
      <c r="A2936" s="11" t="s">
        <v>461</v>
      </c>
      <c r="B2936" s="11" t="s">
        <v>218</v>
      </c>
      <c r="C2936" s="11" t="s">
        <v>66</v>
      </c>
      <c r="D2936" s="6">
        <v>45835</v>
      </c>
      <c r="E2936" t="str">
        <f>VLOOKUP(B2936,'PROCV GERENTES BD'!A:B,2,0)</f>
        <v>SACADO</v>
      </c>
      <c r="F2936" s="4" t="str">
        <f t="shared" si="270"/>
        <v>2025-06</v>
      </c>
      <c r="G2936" s="18">
        <f t="shared" si="271"/>
        <v>26</v>
      </c>
      <c r="H2936" t="str">
        <f t="shared" si="272"/>
        <v>SACADO</v>
      </c>
      <c r="I2936" t="str">
        <f t="shared" si="273"/>
        <v>KUARA COMERCIAL E EXPORTADORA DE FRUTAS LTDA</v>
      </c>
      <c r="J2936">
        <f t="shared" si="274"/>
        <v>1</v>
      </c>
      <c r="K2936">
        <f t="shared" si="275"/>
        <v>0</v>
      </c>
    </row>
    <row r="2937" spans="1:11" x14ac:dyDescent="0.25">
      <c r="A2937" s="11" t="s">
        <v>599</v>
      </c>
      <c r="B2937" s="11" t="s">
        <v>541</v>
      </c>
      <c r="C2937" s="11" t="s">
        <v>66</v>
      </c>
      <c r="D2937" s="6">
        <v>45835</v>
      </c>
      <c r="E2937" t="str">
        <f>VLOOKUP(B2937,'PROCV GERENTES BD'!A:B,2,0)</f>
        <v xml:space="preserve">MARCUS VINICIUS </v>
      </c>
      <c r="F2937" s="4" t="str">
        <f t="shared" si="270"/>
        <v>2025-06</v>
      </c>
      <c r="G2937" s="18">
        <f t="shared" si="271"/>
        <v>26</v>
      </c>
      <c r="H2937" t="str">
        <f t="shared" si="272"/>
        <v xml:space="preserve">MARCUS VINICIUS </v>
      </c>
      <c r="I2937" t="str">
        <f t="shared" si="273"/>
        <v>JSA INDUSTRIA DE COSMETICOS LTDA EPP</v>
      </c>
      <c r="J2937">
        <f t="shared" si="274"/>
        <v>1</v>
      </c>
      <c r="K2937">
        <f t="shared" si="275"/>
        <v>0</v>
      </c>
    </row>
    <row r="2938" spans="1:11" x14ac:dyDescent="0.25">
      <c r="A2938" s="11" t="s">
        <v>316</v>
      </c>
      <c r="B2938" s="11" t="s">
        <v>302</v>
      </c>
      <c r="C2938" s="11" t="s">
        <v>50</v>
      </c>
      <c r="D2938" s="6">
        <v>45835</v>
      </c>
      <c r="E2938" t="str">
        <f>VLOOKUP(B2938,'PROCV GERENTES BD'!A:B,2,0)</f>
        <v>CELIO PIMENTA</v>
      </c>
      <c r="F2938" s="4" t="str">
        <f t="shared" si="270"/>
        <v>2025-06</v>
      </c>
      <c r="G2938" s="18">
        <f t="shared" si="271"/>
        <v>26</v>
      </c>
      <c r="H2938" t="str">
        <f t="shared" si="272"/>
        <v>CELIO PIMENTA</v>
      </c>
      <c r="I2938" t="str">
        <f t="shared" si="273"/>
        <v>LOTUS DESENVOLVIMENTO IMOBILIARIO LTDA</v>
      </c>
      <c r="J2938">
        <f t="shared" si="274"/>
        <v>0</v>
      </c>
      <c r="K2938">
        <f t="shared" si="275"/>
        <v>1</v>
      </c>
    </row>
    <row r="2939" spans="1:11" x14ac:dyDescent="0.25">
      <c r="A2939" s="11" t="s">
        <v>67</v>
      </c>
      <c r="B2939" s="11" t="s">
        <v>68</v>
      </c>
      <c r="C2939" s="11" t="s">
        <v>50</v>
      </c>
      <c r="D2939" s="6">
        <v>45835</v>
      </c>
      <c r="E2939" t="str">
        <f>VLOOKUP(B2939,'PROCV GERENTES BD'!A:B,2,0)</f>
        <v xml:space="preserve">ROGERIO </v>
      </c>
      <c r="F2939" s="4" t="str">
        <f t="shared" si="270"/>
        <v>2025-06</v>
      </c>
      <c r="G2939" s="18">
        <f t="shared" si="271"/>
        <v>26</v>
      </c>
      <c r="H2939" t="str">
        <f t="shared" si="272"/>
        <v xml:space="preserve">ROGERIO </v>
      </c>
      <c r="I2939" t="str">
        <f t="shared" si="273"/>
        <v>DIOTTONI INDUSTRIA E COMERCIO DE ALIMENTOS LTDA ME</v>
      </c>
      <c r="J2939">
        <f t="shared" si="274"/>
        <v>0</v>
      </c>
      <c r="K2939">
        <f t="shared" si="275"/>
        <v>1</v>
      </c>
    </row>
    <row r="2940" spans="1:11" x14ac:dyDescent="0.25">
      <c r="A2940" s="11" t="s">
        <v>64</v>
      </c>
      <c r="B2940" s="11" t="s">
        <v>65</v>
      </c>
      <c r="C2940" s="11" t="s">
        <v>50</v>
      </c>
      <c r="D2940" s="6">
        <v>45835</v>
      </c>
      <c r="E2940" t="str">
        <f>VLOOKUP(B2940,'PROCV GERENTES BD'!A:B,2,0)</f>
        <v>ADMINISTRAÇÃO</v>
      </c>
      <c r="F2940" s="4" t="str">
        <f t="shared" si="270"/>
        <v>2025-06</v>
      </c>
      <c r="G2940" s="18">
        <f t="shared" si="271"/>
        <v>26</v>
      </c>
      <c r="H2940" t="str">
        <f t="shared" si="272"/>
        <v>ADMINISTRAÇÃO</v>
      </c>
      <c r="I2940" t="str">
        <f t="shared" si="273"/>
        <v>SOCIAL S/A</v>
      </c>
      <c r="J2940">
        <f t="shared" si="274"/>
        <v>0</v>
      </c>
      <c r="K2940">
        <f t="shared" si="275"/>
        <v>1</v>
      </c>
    </row>
    <row r="2941" spans="1:11" x14ac:dyDescent="0.25">
      <c r="A2941" s="11" t="s">
        <v>62</v>
      </c>
      <c r="B2941" s="11" t="s">
        <v>63</v>
      </c>
      <c r="C2941" s="11" t="s">
        <v>50</v>
      </c>
      <c r="D2941" s="6">
        <v>45835</v>
      </c>
      <c r="E2941" t="str">
        <f>VLOOKUP(B2941,'PROCV GERENTES BD'!A:B,2,0)</f>
        <v>PROSPECTAR</v>
      </c>
      <c r="F2941" s="4" t="str">
        <f t="shared" si="270"/>
        <v>2025-06</v>
      </c>
      <c r="G2941" s="18">
        <f t="shared" si="271"/>
        <v>26</v>
      </c>
      <c r="H2941" t="str">
        <f t="shared" si="272"/>
        <v>PROSPECTAR</v>
      </c>
      <c r="I2941" t="str">
        <f t="shared" si="273"/>
        <v>MAPP COM IMPORTACAO EXPORTACAO IND PRODUTOS ALIMEN</v>
      </c>
      <c r="J2941">
        <f t="shared" si="274"/>
        <v>0</v>
      </c>
      <c r="K2941">
        <f t="shared" si="275"/>
        <v>1</v>
      </c>
    </row>
    <row r="2942" spans="1:11" x14ac:dyDescent="0.25">
      <c r="A2942" s="11" t="s">
        <v>318</v>
      </c>
      <c r="B2942" s="11" t="s">
        <v>203</v>
      </c>
      <c r="C2942" s="11" t="s">
        <v>66</v>
      </c>
      <c r="D2942" s="6">
        <v>45835</v>
      </c>
      <c r="E2942" t="str">
        <f>VLOOKUP(B2942,'PROCV GERENTES BD'!A:B,2,0)</f>
        <v>JOSE ROBERTO</v>
      </c>
      <c r="F2942" s="4" t="str">
        <f t="shared" si="270"/>
        <v>2025-06</v>
      </c>
      <c r="G2942" s="18">
        <f t="shared" si="271"/>
        <v>26</v>
      </c>
      <c r="H2942" t="str">
        <f t="shared" si="272"/>
        <v>JOSE ROBERTO</v>
      </c>
      <c r="I2942" t="str">
        <f t="shared" si="273"/>
        <v>FUNDACAO DE ENSINO E PESQUISA DO SUL DE MINAS FEPE</v>
      </c>
      <c r="J2942">
        <f t="shared" si="274"/>
        <v>1</v>
      </c>
      <c r="K2942">
        <f t="shared" si="275"/>
        <v>0</v>
      </c>
    </row>
    <row r="2943" spans="1:11" x14ac:dyDescent="0.25">
      <c r="A2943" s="11" t="s">
        <v>56</v>
      </c>
      <c r="B2943" s="11" t="s">
        <v>57</v>
      </c>
      <c r="C2943" s="11" t="s">
        <v>66</v>
      </c>
      <c r="D2943" s="6">
        <v>45835</v>
      </c>
      <c r="E2943" t="str">
        <f>VLOOKUP(B2943,'PROCV GERENTES BD'!A:B,2,0)</f>
        <v xml:space="preserve">ROGERIO </v>
      </c>
      <c r="F2943" s="4" t="str">
        <f t="shared" si="270"/>
        <v>2025-06</v>
      </c>
      <c r="G2943" s="18">
        <f t="shared" si="271"/>
        <v>26</v>
      </c>
      <c r="H2943" t="str">
        <f t="shared" si="272"/>
        <v xml:space="preserve">ROGERIO </v>
      </c>
      <c r="I2943" t="str">
        <f t="shared" si="273"/>
        <v>RODOVIEIRA TRANSPORTE LTDA</v>
      </c>
      <c r="J2943">
        <f t="shared" si="274"/>
        <v>1</v>
      </c>
      <c r="K2943">
        <f t="shared" si="275"/>
        <v>0</v>
      </c>
    </row>
    <row r="2944" spans="1:11" x14ac:dyDescent="0.25">
      <c r="A2944" s="11" t="s">
        <v>395</v>
      </c>
      <c r="B2944" s="11" t="s">
        <v>145</v>
      </c>
      <c r="C2944" s="11" t="s">
        <v>66</v>
      </c>
      <c r="D2944" s="6">
        <v>45835</v>
      </c>
      <c r="E2944" t="str">
        <f>VLOOKUP(B2944,'PROCV GERENTES BD'!A:B,2,0)</f>
        <v>MARCIO LEONEL</v>
      </c>
      <c r="F2944" s="4" t="str">
        <f t="shared" si="270"/>
        <v>2025-06</v>
      </c>
      <c r="G2944" s="18">
        <f t="shared" si="271"/>
        <v>26</v>
      </c>
      <c r="H2944" t="str">
        <f t="shared" si="272"/>
        <v>MARCIO LEONEL</v>
      </c>
      <c r="I2944" t="str">
        <f t="shared" si="273"/>
        <v>MEDICAL PRIME IMP EXPORT DISTRIB PRODUTOS MEDICOS</v>
      </c>
      <c r="J2944">
        <f t="shared" si="274"/>
        <v>1</v>
      </c>
      <c r="K2944">
        <f t="shared" si="275"/>
        <v>0</v>
      </c>
    </row>
    <row r="2945" spans="1:11" x14ac:dyDescent="0.25">
      <c r="A2945" s="11" t="s">
        <v>358</v>
      </c>
      <c r="B2945" s="11" t="s">
        <v>104</v>
      </c>
      <c r="C2945" s="11" t="s">
        <v>50</v>
      </c>
      <c r="D2945" s="6">
        <v>45835</v>
      </c>
      <c r="E2945" t="str">
        <f>VLOOKUP(B2945,'PROCV GERENTES BD'!A:B,2,0)</f>
        <v>DIOGO AZEVEDO</v>
      </c>
      <c r="F2945" s="4" t="str">
        <f t="shared" si="270"/>
        <v>2025-06</v>
      </c>
      <c r="G2945" s="18">
        <f t="shared" si="271"/>
        <v>26</v>
      </c>
      <c r="H2945" t="str">
        <f t="shared" si="272"/>
        <v>DIOGO AZEVEDO</v>
      </c>
      <c r="I2945" t="str">
        <f t="shared" si="273"/>
        <v>INDUSTRIA E CERVEJARIA ARTESANAL DE MINAS GERAIS L</v>
      </c>
      <c r="J2945">
        <f t="shared" si="274"/>
        <v>0</v>
      </c>
      <c r="K2945">
        <f t="shared" si="275"/>
        <v>1</v>
      </c>
    </row>
    <row r="2946" spans="1:11" x14ac:dyDescent="0.25">
      <c r="A2946" s="11" t="s">
        <v>308</v>
      </c>
      <c r="B2946" s="11" t="s">
        <v>284</v>
      </c>
      <c r="C2946" s="11" t="s">
        <v>50</v>
      </c>
      <c r="D2946" s="6">
        <v>45835</v>
      </c>
      <c r="E2946" t="str">
        <f>VLOOKUP(B2946,'PROCV GERENTES BD'!A:B,2,0)</f>
        <v>CAIO</v>
      </c>
      <c r="F2946" s="4" t="str">
        <f t="shared" ref="F2946:F3009" si="276">YEAR(D2946)&amp;"-"&amp;TEXT(MONTH(D2946),"00")</f>
        <v>2025-06</v>
      </c>
      <c r="G2946" s="18">
        <f t="shared" ref="G2946:G3009" si="277">WEEKNUM(D2946)</f>
        <v>26</v>
      </c>
      <c r="H2946" t="str">
        <f t="shared" ref="H2946:H3009" si="278">E2946</f>
        <v>CAIO</v>
      </c>
      <c r="I2946" t="str">
        <f t="shared" ref="I2946:I3009" si="279">B2946</f>
        <v>GLOBALMAX INDUSTRIA PLASTICA S/A</v>
      </c>
      <c r="J2946">
        <f t="shared" ref="J2946:J3009" si="280">IF(OR(C2946="EXCLUSAO  ANOT.INADIMPLENCIA",C2946="INCL/EXCL ANOT.INADIMPLENCIA"),1,0)</f>
        <v>0</v>
      </c>
      <c r="K2946">
        <f t="shared" ref="K2946:K3009" si="281">IF(OR(C2946="INCLUSAO  ANOT.INADIMPLENCIA",C2946="INCL/EXCL ANOT.INADIMPLENCIA"),1,0)</f>
        <v>1</v>
      </c>
    </row>
    <row r="2947" spans="1:11" x14ac:dyDescent="0.25">
      <c r="A2947" s="11" t="s">
        <v>381</v>
      </c>
      <c r="B2947" s="11" t="s">
        <v>128</v>
      </c>
      <c r="C2947" s="11" t="s">
        <v>50</v>
      </c>
      <c r="D2947" s="6">
        <v>45835</v>
      </c>
      <c r="E2947" t="str">
        <f>VLOOKUP(B2947,'PROCV GERENTES BD'!A:B,2,0)</f>
        <v>ADMINISTRAÇÃO</v>
      </c>
      <c r="F2947" s="4" t="str">
        <f t="shared" si="276"/>
        <v>2025-06</v>
      </c>
      <c r="G2947" s="18">
        <f t="shared" si="277"/>
        <v>26</v>
      </c>
      <c r="H2947" t="str">
        <f t="shared" si="278"/>
        <v>ADMINISTRAÇÃO</v>
      </c>
      <c r="I2947" t="str">
        <f t="shared" si="279"/>
        <v>MOLAS ANEL POSTO DE TROCA LTDA EPP</v>
      </c>
      <c r="J2947">
        <f t="shared" si="280"/>
        <v>0</v>
      </c>
      <c r="K2947">
        <f t="shared" si="281"/>
        <v>1</v>
      </c>
    </row>
    <row r="2948" spans="1:11" x14ac:dyDescent="0.25">
      <c r="A2948" s="11" t="s">
        <v>532</v>
      </c>
      <c r="B2948" s="11" t="s">
        <v>300</v>
      </c>
      <c r="C2948" s="11" t="s">
        <v>53</v>
      </c>
      <c r="D2948" s="6">
        <v>45835</v>
      </c>
      <c r="E2948" t="str">
        <f>VLOOKUP(B2948,'PROCV GERENTES BD'!A:B,2,0)</f>
        <v>RAFAEL PARISE</v>
      </c>
      <c r="F2948" s="4" t="str">
        <f t="shared" si="276"/>
        <v>2025-06</v>
      </c>
      <c r="G2948" s="18">
        <f t="shared" si="277"/>
        <v>26</v>
      </c>
      <c r="H2948" t="str">
        <f t="shared" si="278"/>
        <v>RAFAEL PARISE</v>
      </c>
      <c r="I2948" t="str">
        <f t="shared" si="279"/>
        <v>MINASPOL INDUSTRIA E COMERCIO DE COMPOSTOS POLIMER</v>
      </c>
      <c r="J2948">
        <f t="shared" si="280"/>
        <v>1</v>
      </c>
      <c r="K2948">
        <f t="shared" si="281"/>
        <v>1</v>
      </c>
    </row>
    <row r="2949" spans="1:11" x14ac:dyDescent="0.25">
      <c r="A2949" s="11" t="s">
        <v>51</v>
      </c>
      <c r="B2949" s="11" t="s">
        <v>52</v>
      </c>
      <c r="C2949" s="11" t="s">
        <v>50</v>
      </c>
      <c r="D2949" s="6">
        <v>45835</v>
      </c>
      <c r="E2949" t="str">
        <f>VLOOKUP(B2949,'PROCV GERENTES BD'!A:B,2,0)</f>
        <v>RAFAEL PARISE</v>
      </c>
      <c r="F2949" s="4" t="str">
        <f t="shared" si="276"/>
        <v>2025-06</v>
      </c>
      <c r="G2949" s="18">
        <f t="shared" si="277"/>
        <v>26</v>
      </c>
      <c r="H2949" t="str">
        <f t="shared" si="278"/>
        <v>RAFAEL PARISE</v>
      </c>
      <c r="I2949" t="str">
        <f t="shared" si="279"/>
        <v>TDR TRANSPORTES LOGISTICA LTDA</v>
      </c>
      <c r="J2949">
        <f t="shared" si="280"/>
        <v>0</v>
      </c>
      <c r="K2949">
        <f t="shared" si="281"/>
        <v>1</v>
      </c>
    </row>
    <row r="2950" spans="1:11" x14ac:dyDescent="0.25">
      <c r="A2950" s="11" t="s">
        <v>324</v>
      </c>
      <c r="B2950" s="11" t="s">
        <v>119</v>
      </c>
      <c r="C2950" s="11" t="s">
        <v>53</v>
      </c>
      <c r="D2950" s="6">
        <v>45835</v>
      </c>
      <c r="E2950" t="str">
        <f>VLOOKUP(B2950,'PROCV GERENTES BD'!A:B,2,0)</f>
        <v>PROSPECTAR</v>
      </c>
      <c r="F2950" s="4" t="str">
        <f t="shared" si="276"/>
        <v>2025-06</v>
      </c>
      <c r="G2950" s="18">
        <f t="shared" si="277"/>
        <v>26</v>
      </c>
      <c r="H2950" t="str">
        <f t="shared" si="278"/>
        <v>PROSPECTAR</v>
      </c>
      <c r="I2950" t="str">
        <f t="shared" si="279"/>
        <v>TRANSHENRY TRANSPORTES LTDA</v>
      </c>
      <c r="J2950">
        <f t="shared" si="280"/>
        <v>1</v>
      </c>
      <c r="K2950">
        <f t="shared" si="281"/>
        <v>1</v>
      </c>
    </row>
    <row r="2951" spans="1:11" x14ac:dyDescent="0.25">
      <c r="A2951" s="11" t="s">
        <v>306</v>
      </c>
      <c r="B2951" s="11" t="s">
        <v>266</v>
      </c>
      <c r="C2951" s="11" t="s">
        <v>50</v>
      </c>
      <c r="D2951" s="6">
        <v>45835</v>
      </c>
      <c r="E2951" t="str">
        <f>VLOOKUP(B2951,'PROCV GERENTES BD'!A:B,2,0)</f>
        <v>CAIO</v>
      </c>
      <c r="F2951" s="4" t="str">
        <f t="shared" si="276"/>
        <v>2025-06</v>
      </c>
      <c r="G2951" s="18">
        <f t="shared" si="277"/>
        <v>26</v>
      </c>
      <c r="H2951" t="str">
        <f t="shared" si="278"/>
        <v>CAIO</v>
      </c>
      <c r="I2951" t="str">
        <f t="shared" si="279"/>
        <v>MECALD MECANICA E CALDEIRARIA LTDA EPP</v>
      </c>
      <c r="J2951">
        <f t="shared" si="280"/>
        <v>0</v>
      </c>
      <c r="K2951">
        <f t="shared" si="281"/>
        <v>1</v>
      </c>
    </row>
    <row r="2952" spans="1:11" x14ac:dyDescent="0.25">
      <c r="A2952" s="11" t="s">
        <v>523</v>
      </c>
      <c r="B2952" s="11" t="s">
        <v>288</v>
      </c>
      <c r="C2952" s="11" t="s">
        <v>50</v>
      </c>
      <c r="D2952" s="6">
        <v>45835</v>
      </c>
      <c r="E2952" t="str">
        <f>VLOOKUP(B2952,'PROCV GERENTES BD'!A:B,2,0)</f>
        <v>ADMINISTRAÇÃO</v>
      </c>
      <c r="F2952" s="4" t="str">
        <f t="shared" si="276"/>
        <v>2025-06</v>
      </c>
      <c r="G2952" s="18">
        <f t="shared" si="277"/>
        <v>26</v>
      </c>
      <c r="H2952" t="str">
        <f t="shared" si="278"/>
        <v>ADMINISTRAÇÃO</v>
      </c>
      <c r="I2952" t="str">
        <f t="shared" si="279"/>
        <v>REFRACONT BRASIL LTDA</v>
      </c>
      <c r="J2952">
        <f t="shared" si="280"/>
        <v>0</v>
      </c>
      <c r="K2952">
        <f t="shared" si="281"/>
        <v>1</v>
      </c>
    </row>
    <row r="2953" spans="1:11" x14ac:dyDescent="0.25">
      <c r="A2953" s="11" t="s">
        <v>304</v>
      </c>
      <c r="B2953" s="11" t="s">
        <v>123</v>
      </c>
      <c r="C2953" s="11" t="s">
        <v>66</v>
      </c>
      <c r="D2953" s="6">
        <v>45835</v>
      </c>
      <c r="E2953" t="str">
        <f>VLOOKUP(B2953,'PROCV GERENTES BD'!A:B,2,0)</f>
        <v>ADMINISTRAÇÃO</v>
      </c>
      <c r="F2953" s="4" t="str">
        <f t="shared" si="276"/>
        <v>2025-06</v>
      </c>
      <c r="G2953" s="18">
        <f t="shared" si="277"/>
        <v>26</v>
      </c>
      <c r="H2953" t="str">
        <f t="shared" si="278"/>
        <v>ADMINISTRAÇÃO</v>
      </c>
      <c r="I2953" t="str">
        <f t="shared" si="279"/>
        <v>VIC LOGISTICA LTDA EM RECUPERACAO JUDICIAL</v>
      </c>
      <c r="J2953">
        <f t="shared" si="280"/>
        <v>1</v>
      </c>
      <c r="K2953">
        <f t="shared" si="281"/>
        <v>0</v>
      </c>
    </row>
    <row r="2954" spans="1:11" x14ac:dyDescent="0.25">
      <c r="A2954" s="11" t="s">
        <v>48</v>
      </c>
      <c r="B2954" s="11" t="s">
        <v>49</v>
      </c>
      <c r="C2954" s="11" t="s">
        <v>66</v>
      </c>
      <c r="D2954" s="6">
        <v>45835</v>
      </c>
      <c r="E2954" t="str">
        <f>VLOOKUP(B2954,'PROCV GERENTES BD'!A:B,2,0)</f>
        <v xml:space="preserve">MARCUS VINICIUS </v>
      </c>
      <c r="F2954" s="4" t="str">
        <f t="shared" si="276"/>
        <v>2025-06</v>
      </c>
      <c r="G2954" s="18">
        <f t="shared" si="277"/>
        <v>26</v>
      </c>
      <c r="H2954" t="str">
        <f t="shared" si="278"/>
        <v xml:space="preserve">MARCUS VINICIUS </v>
      </c>
      <c r="I2954" t="str">
        <f t="shared" si="279"/>
        <v>PROMEL IND COM IMP E EXP DE PRODS NATURAIS LTDA</v>
      </c>
      <c r="J2954">
        <f t="shared" si="280"/>
        <v>1</v>
      </c>
      <c r="K2954">
        <f t="shared" si="281"/>
        <v>0</v>
      </c>
    </row>
    <row r="2955" spans="1:11" x14ac:dyDescent="0.25">
      <c r="A2955" s="11" t="s">
        <v>487</v>
      </c>
      <c r="B2955" s="11" t="s">
        <v>244</v>
      </c>
      <c r="C2955" s="11" t="s">
        <v>66</v>
      </c>
      <c r="D2955" s="6">
        <v>45835</v>
      </c>
      <c r="E2955" t="str">
        <f>VLOOKUP(B2955,'PROCV GERENTES BD'!A:B,2,0)</f>
        <v xml:space="preserve">ROGERIO </v>
      </c>
      <c r="F2955" s="4" t="str">
        <f t="shared" si="276"/>
        <v>2025-06</v>
      </c>
      <c r="G2955" s="18">
        <f t="shared" si="277"/>
        <v>26</v>
      </c>
      <c r="H2955" t="str">
        <f t="shared" si="278"/>
        <v xml:space="preserve">ROGERIO </v>
      </c>
      <c r="I2955" t="str">
        <f t="shared" si="279"/>
        <v>MUNDO AGRO COMERCIO E DISTRIBUICAO DE CALCADOS LTD</v>
      </c>
      <c r="J2955">
        <f t="shared" si="280"/>
        <v>1</v>
      </c>
      <c r="K2955">
        <f t="shared" si="281"/>
        <v>0</v>
      </c>
    </row>
    <row r="2956" spans="1:11" x14ac:dyDescent="0.25">
      <c r="A2956" s="11" t="s">
        <v>511</v>
      </c>
      <c r="B2956" s="11" t="s">
        <v>274</v>
      </c>
      <c r="C2956" s="11" t="s">
        <v>66</v>
      </c>
      <c r="D2956" s="6">
        <v>45835</v>
      </c>
      <c r="E2956" t="str">
        <f>VLOOKUP(B2956,'PROCV GERENTES BD'!A:B,2,0)</f>
        <v>RAFAEL PARISE</v>
      </c>
      <c r="F2956" s="4" t="str">
        <f t="shared" si="276"/>
        <v>2025-06</v>
      </c>
      <c r="G2956" s="18">
        <f t="shared" si="277"/>
        <v>26</v>
      </c>
      <c r="H2956" t="str">
        <f t="shared" si="278"/>
        <v>RAFAEL PARISE</v>
      </c>
      <c r="I2956" t="str">
        <f t="shared" si="279"/>
        <v>ARTE FINAL INDUSTRIA E COMERCIO DE COURO LTDA</v>
      </c>
      <c r="J2956">
        <f t="shared" si="280"/>
        <v>1</v>
      </c>
      <c r="K2956">
        <f t="shared" si="281"/>
        <v>0</v>
      </c>
    </row>
    <row r="2957" spans="1:11" x14ac:dyDescent="0.25">
      <c r="A2957" s="11" t="s">
        <v>529</v>
      </c>
      <c r="B2957" s="11" t="s">
        <v>297</v>
      </c>
      <c r="C2957" s="11" t="s">
        <v>66</v>
      </c>
      <c r="D2957" s="6">
        <v>45836</v>
      </c>
      <c r="E2957" t="str">
        <f>VLOOKUP(B2957,'PROCV GERENTES BD'!A:B,2,0)</f>
        <v>ANDRE CUNHA</v>
      </c>
      <c r="F2957" s="4" t="str">
        <f t="shared" si="276"/>
        <v>2025-06</v>
      </c>
      <c r="G2957" s="18">
        <f t="shared" si="277"/>
        <v>26</v>
      </c>
      <c r="H2957" t="str">
        <f t="shared" si="278"/>
        <v>ANDRE CUNHA</v>
      </c>
      <c r="I2957" t="str">
        <f t="shared" si="279"/>
        <v>REVPACK TECNOLOGIA E COMERCIO DE COMPONENTES PLAST</v>
      </c>
      <c r="J2957">
        <f t="shared" si="280"/>
        <v>1</v>
      </c>
      <c r="K2957">
        <f t="shared" si="281"/>
        <v>0</v>
      </c>
    </row>
    <row r="2958" spans="1:11" x14ac:dyDescent="0.25">
      <c r="A2958" s="11" t="s">
        <v>473</v>
      </c>
      <c r="B2958" s="11" t="s">
        <v>230</v>
      </c>
      <c r="C2958" s="11" t="s">
        <v>50</v>
      </c>
      <c r="D2958" s="6">
        <v>45836</v>
      </c>
      <c r="E2958" t="str">
        <f>VLOOKUP(B2958,'PROCV GERENTES BD'!A:B,2,0)</f>
        <v>ADMINISTRAÇÃO</v>
      </c>
      <c r="F2958" s="4" t="str">
        <f t="shared" si="276"/>
        <v>2025-06</v>
      </c>
      <c r="G2958" s="18">
        <f t="shared" si="277"/>
        <v>26</v>
      </c>
      <c r="H2958" t="str">
        <f t="shared" si="278"/>
        <v>ADMINISTRAÇÃO</v>
      </c>
      <c r="I2958" t="str">
        <f t="shared" si="279"/>
        <v>ALTAG NEGOCIOS AGRICOLAS LTDA</v>
      </c>
      <c r="J2958">
        <f t="shared" si="280"/>
        <v>0</v>
      </c>
      <c r="K2958">
        <f t="shared" si="281"/>
        <v>1</v>
      </c>
    </row>
    <row r="2959" spans="1:11" x14ac:dyDescent="0.25">
      <c r="A2959" s="11" t="s">
        <v>430</v>
      </c>
      <c r="B2959" s="11" t="s">
        <v>181</v>
      </c>
      <c r="C2959" s="11" t="s">
        <v>50</v>
      </c>
      <c r="D2959" s="6">
        <v>45836</v>
      </c>
      <c r="E2959" t="str">
        <f>VLOOKUP(B2959,'PROCV GERENTES BD'!A:B,2,0)</f>
        <v>PROSPECTAR</v>
      </c>
      <c r="F2959" s="4" t="str">
        <f t="shared" si="276"/>
        <v>2025-06</v>
      </c>
      <c r="G2959" s="18">
        <f t="shared" si="277"/>
        <v>26</v>
      </c>
      <c r="H2959" t="str">
        <f t="shared" si="278"/>
        <v>PROSPECTAR</v>
      </c>
      <c r="I2959" t="str">
        <f t="shared" si="279"/>
        <v>SIQUEIRA E GAIPO INDUSTRIA E MATERIAIS ESPORTIVOS</v>
      </c>
      <c r="J2959">
        <f t="shared" si="280"/>
        <v>0</v>
      </c>
      <c r="K2959">
        <f t="shared" si="281"/>
        <v>1</v>
      </c>
    </row>
    <row r="2960" spans="1:11" x14ac:dyDescent="0.25">
      <c r="A2960" s="11" t="s">
        <v>370</v>
      </c>
      <c r="B2960" s="11" t="s">
        <v>114</v>
      </c>
      <c r="C2960" s="11" t="s">
        <v>50</v>
      </c>
      <c r="D2960" s="6">
        <v>45836</v>
      </c>
      <c r="E2960" t="str">
        <f>VLOOKUP(B2960,'PROCV GERENTES BD'!A:B,2,0)</f>
        <v>POENATELA</v>
      </c>
      <c r="F2960" s="4" t="str">
        <f t="shared" si="276"/>
        <v>2025-06</v>
      </c>
      <c r="G2960" s="18">
        <f t="shared" si="277"/>
        <v>26</v>
      </c>
      <c r="H2960" t="str">
        <f t="shared" si="278"/>
        <v>POENATELA</v>
      </c>
      <c r="I2960" t="str">
        <f t="shared" si="279"/>
        <v>COOPERATIVA TRANSP AUTON CARGAS PASSAG SERVICOS LO</v>
      </c>
      <c r="J2960">
        <f t="shared" si="280"/>
        <v>0</v>
      </c>
      <c r="K2960">
        <f t="shared" si="281"/>
        <v>1</v>
      </c>
    </row>
    <row r="2961" spans="1:11" x14ac:dyDescent="0.25">
      <c r="A2961" s="11" t="s">
        <v>515</v>
      </c>
      <c r="B2961" s="11" t="s">
        <v>277</v>
      </c>
      <c r="C2961" s="11" t="s">
        <v>50</v>
      </c>
      <c r="D2961" s="6">
        <v>45836</v>
      </c>
      <c r="E2961" t="str">
        <f>VLOOKUP(B2961,'PROCV GERENTES BD'!A:B,2,0)</f>
        <v>ALISSON DE SOUZA LIMA</v>
      </c>
      <c r="F2961" s="4" t="str">
        <f t="shared" si="276"/>
        <v>2025-06</v>
      </c>
      <c r="G2961" s="18">
        <f t="shared" si="277"/>
        <v>26</v>
      </c>
      <c r="H2961" t="str">
        <f t="shared" si="278"/>
        <v>ALISSON DE SOUZA LIMA</v>
      </c>
      <c r="I2961" t="str">
        <f t="shared" si="279"/>
        <v>COMERCIAL GTS INFORMATICA LTDA EPP</v>
      </c>
      <c r="J2961">
        <f t="shared" si="280"/>
        <v>0</v>
      </c>
      <c r="K2961">
        <f t="shared" si="281"/>
        <v>1</v>
      </c>
    </row>
    <row r="2962" spans="1:11" x14ac:dyDescent="0.25">
      <c r="A2962" s="11" t="s">
        <v>625</v>
      </c>
      <c r="B2962" s="11" t="s">
        <v>537</v>
      </c>
      <c r="C2962" s="11" t="s">
        <v>66</v>
      </c>
      <c r="D2962" s="6">
        <v>45836</v>
      </c>
      <c r="E2962" t="str">
        <f>VLOOKUP(B2962,'PROCV GERENTES BD'!A:B,2,0)</f>
        <v>WASHINGTON</v>
      </c>
      <c r="F2962" s="4" t="str">
        <f t="shared" si="276"/>
        <v>2025-06</v>
      </c>
      <c r="G2962" s="18">
        <f t="shared" si="277"/>
        <v>26</v>
      </c>
      <c r="H2962" t="str">
        <f t="shared" si="278"/>
        <v>WASHINGTON</v>
      </c>
      <c r="I2962" t="str">
        <f t="shared" si="279"/>
        <v>COMERCIAL SEGURANCA LTDA ME</v>
      </c>
      <c r="J2962">
        <f t="shared" si="280"/>
        <v>1</v>
      </c>
      <c r="K2962">
        <f t="shared" si="281"/>
        <v>0</v>
      </c>
    </row>
    <row r="2963" spans="1:11" x14ac:dyDescent="0.25">
      <c r="A2963" s="11" t="s">
        <v>64</v>
      </c>
      <c r="B2963" s="11" t="s">
        <v>65</v>
      </c>
      <c r="C2963" s="11" t="s">
        <v>53</v>
      </c>
      <c r="D2963" s="6">
        <v>45836</v>
      </c>
      <c r="E2963" t="str">
        <f>VLOOKUP(B2963,'PROCV GERENTES BD'!A:B,2,0)</f>
        <v>ADMINISTRAÇÃO</v>
      </c>
      <c r="F2963" s="4" t="str">
        <f t="shared" si="276"/>
        <v>2025-06</v>
      </c>
      <c r="G2963" s="18">
        <f t="shared" si="277"/>
        <v>26</v>
      </c>
      <c r="H2963" t="str">
        <f t="shared" si="278"/>
        <v>ADMINISTRAÇÃO</v>
      </c>
      <c r="I2963" t="str">
        <f t="shared" si="279"/>
        <v>SOCIAL S/A</v>
      </c>
      <c r="J2963">
        <f t="shared" si="280"/>
        <v>1</v>
      </c>
      <c r="K2963">
        <f t="shared" si="281"/>
        <v>1</v>
      </c>
    </row>
    <row r="2964" spans="1:11" x14ac:dyDescent="0.25">
      <c r="A2964" s="11" t="s">
        <v>459</v>
      </c>
      <c r="B2964" s="11" t="s">
        <v>216</v>
      </c>
      <c r="C2964" s="11" t="s">
        <v>50</v>
      </c>
      <c r="D2964" s="6">
        <v>45836</v>
      </c>
      <c r="E2964" t="str">
        <f>VLOOKUP(B2964,'PROCV GERENTES BD'!A:B,2,0)</f>
        <v>ADMINISTRAÇÃO</v>
      </c>
      <c r="F2964" s="4" t="str">
        <f t="shared" si="276"/>
        <v>2025-06</v>
      </c>
      <c r="G2964" s="18">
        <f t="shared" si="277"/>
        <v>26</v>
      </c>
      <c r="H2964" t="str">
        <f t="shared" si="278"/>
        <v>ADMINISTRAÇÃO</v>
      </c>
      <c r="I2964" t="str">
        <f t="shared" si="279"/>
        <v>JABEZ SERVICOS COMPARTILHADOS LTDA ME</v>
      </c>
      <c r="J2964">
        <f t="shared" si="280"/>
        <v>0</v>
      </c>
      <c r="K2964">
        <f t="shared" si="281"/>
        <v>1</v>
      </c>
    </row>
    <row r="2965" spans="1:11" x14ac:dyDescent="0.25">
      <c r="A2965" s="11" t="s">
        <v>359</v>
      </c>
      <c r="B2965" s="11" t="s">
        <v>105</v>
      </c>
      <c r="C2965" s="11" t="s">
        <v>66</v>
      </c>
      <c r="D2965" s="6">
        <v>45836</v>
      </c>
      <c r="E2965" t="str">
        <f>VLOOKUP(B2965,'PROCV GERENTES BD'!A:B,2,0)</f>
        <v>PROSPECTAR</v>
      </c>
      <c r="F2965" s="4" t="str">
        <f t="shared" si="276"/>
        <v>2025-06</v>
      </c>
      <c r="G2965" s="18">
        <f t="shared" si="277"/>
        <v>26</v>
      </c>
      <c r="H2965" t="str">
        <f t="shared" si="278"/>
        <v>PROSPECTAR</v>
      </c>
      <c r="I2965" t="str">
        <f t="shared" si="279"/>
        <v>ALEXANDRE ROSA VICENTE E SERVICOS LTDA ME</v>
      </c>
      <c r="J2965">
        <f t="shared" si="280"/>
        <v>1</v>
      </c>
      <c r="K2965">
        <f t="shared" si="281"/>
        <v>0</v>
      </c>
    </row>
    <row r="2966" spans="1:11" x14ac:dyDescent="0.25">
      <c r="A2966" s="11" t="s">
        <v>352</v>
      </c>
      <c r="B2966" s="11" t="s">
        <v>96</v>
      </c>
      <c r="C2966" s="11" t="s">
        <v>50</v>
      </c>
      <c r="D2966" s="6">
        <v>45836</v>
      </c>
      <c r="E2966" t="str">
        <f>VLOOKUP(B2966,'PROCV GERENTES BD'!A:B,2,0)</f>
        <v>POENATELA</v>
      </c>
      <c r="F2966" s="4" t="str">
        <f t="shared" si="276"/>
        <v>2025-06</v>
      </c>
      <c r="G2966" s="18">
        <f t="shared" si="277"/>
        <v>26</v>
      </c>
      <c r="H2966" t="str">
        <f t="shared" si="278"/>
        <v>POENATELA</v>
      </c>
      <c r="I2966" t="str">
        <f t="shared" si="279"/>
        <v>SUPER HARD TECNOLOGIA EM TRATAMENTO DE SUPERFICIES</v>
      </c>
      <c r="J2966">
        <f t="shared" si="280"/>
        <v>0</v>
      </c>
      <c r="K2966">
        <f t="shared" si="281"/>
        <v>1</v>
      </c>
    </row>
    <row r="2967" spans="1:11" x14ac:dyDescent="0.25">
      <c r="A2967" s="11" t="s">
        <v>372</v>
      </c>
      <c r="B2967" s="11" t="s">
        <v>116</v>
      </c>
      <c r="C2967" s="11" t="s">
        <v>66</v>
      </c>
      <c r="D2967" s="6">
        <v>45836</v>
      </c>
      <c r="E2967" t="str">
        <f>VLOOKUP(B2967,'PROCV GERENTES BD'!A:B,2,0)</f>
        <v>ADMINISTRAÇÃO</v>
      </c>
      <c r="F2967" s="4" t="str">
        <f t="shared" si="276"/>
        <v>2025-06</v>
      </c>
      <c r="G2967" s="18">
        <f t="shared" si="277"/>
        <v>26</v>
      </c>
      <c r="H2967" t="str">
        <f t="shared" si="278"/>
        <v>ADMINISTRAÇÃO</v>
      </c>
      <c r="I2967" t="str">
        <f t="shared" si="279"/>
        <v>PREMOLDADOS MATOSINHOS LTDA EPP</v>
      </c>
      <c r="J2967">
        <f t="shared" si="280"/>
        <v>1</v>
      </c>
      <c r="K2967">
        <f t="shared" si="281"/>
        <v>0</v>
      </c>
    </row>
    <row r="2968" spans="1:11" x14ac:dyDescent="0.25">
      <c r="A2968" s="11" t="s">
        <v>318</v>
      </c>
      <c r="B2968" s="11" t="s">
        <v>203</v>
      </c>
      <c r="C2968" s="11" t="s">
        <v>66</v>
      </c>
      <c r="D2968" s="6">
        <v>45836</v>
      </c>
      <c r="E2968" t="str">
        <f>VLOOKUP(B2968,'PROCV GERENTES BD'!A:B,2,0)</f>
        <v>JOSE ROBERTO</v>
      </c>
      <c r="F2968" s="4" t="str">
        <f t="shared" si="276"/>
        <v>2025-06</v>
      </c>
      <c r="G2968" s="18">
        <f t="shared" si="277"/>
        <v>26</v>
      </c>
      <c r="H2968" t="str">
        <f t="shared" si="278"/>
        <v>JOSE ROBERTO</v>
      </c>
      <c r="I2968" t="str">
        <f t="shared" si="279"/>
        <v>FUNDACAO DE ENSINO E PESQUISA DO SUL DE MINAS FEPE</v>
      </c>
      <c r="J2968">
        <f t="shared" si="280"/>
        <v>1</v>
      </c>
      <c r="K2968">
        <f t="shared" si="281"/>
        <v>0</v>
      </c>
    </row>
    <row r="2969" spans="1:11" x14ac:dyDescent="0.25">
      <c r="A2969" s="11" t="s">
        <v>319</v>
      </c>
      <c r="B2969" s="11" t="s">
        <v>80</v>
      </c>
      <c r="C2969" s="11" t="s">
        <v>66</v>
      </c>
      <c r="D2969" s="6">
        <v>45836</v>
      </c>
      <c r="E2969" t="str">
        <f>VLOOKUP(B2969,'PROCV GERENTES BD'!A:B,2,0)</f>
        <v>CELIO PIMENTA</v>
      </c>
      <c r="F2969" s="4" t="str">
        <f t="shared" si="276"/>
        <v>2025-06</v>
      </c>
      <c r="G2969" s="18">
        <f t="shared" si="277"/>
        <v>26</v>
      </c>
      <c r="H2969" t="str">
        <f t="shared" si="278"/>
        <v>CELIO PIMENTA</v>
      </c>
      <c r="I2969" t="str">
        <f t="shared" si="279"/>
        <v>IMPORTEXTIL COMERCIO DE TECIDOS LTDA</v>
      </c>
      <c r="J2969">
        <f t="shared" si="280"/>
        <v>1</v>
      </c>
      <c r="K2969">
        <f t="shared" si="281"/>
        <v>0</v>
      </c>
    </row>
    <row r="2970" spans="1:11" x14ac:dyDescent="0.25">
      <c r="A2970" s="11" t="s">
        <v>395</v>
      </c>
      <c r="B2970" s="11" t="s">
        <v>145</v>
      </c>
      <c r="C2970" s="11" t="s">
        <v>50</v>
      </c>
      <c r="D2970" s="6">
        <v>45836</v>
      </c>
      <c r="E2970" t="str">
        <f>VLOOKUP(B2970,'PROCV GERENTES BD'!A:B,2,0)</f>
        <v>MARCIO LEONEL</v>
      </c>
      <c r="F2970" s="4" t="str">
        <f t="shared" si="276"/>
        <v>2025-06</v>
      </c>
      <c r="G2970" s="18">
        <f t="shared" si="277"/>
        <v>26</v>
      </c>
      <c r="H2970" t="str">
        <f t="shared" si="278"/>
        <v>MARCIO LEONEL</v>
      </c>
      <c r="I2970" t="str">
        <f t="shared" si="279"/>
        <v>MEDICAL PRIME IMP EXPORT DISTRIB PRODUTOS MEDICOS</v>
      </c>
      <c r="J2970">
        <f t="shared" si="280"/>
        <v>0</v>
      </c>
      <c r="K2970">
        <f t="shared" si="281"/>
        <v>1</v>
      </c>
    </row>
    <row r="2971" spans="1:11" x14ac:dyDescent="0.25">
      <c r="A2971" s="11" t="s">
        <v>361</v>
      </c>
      <c r="B2971" s="11" t="s">
        <v>106</v>
      </c>
      <c r="C2971" s="11" t="s">
        <v>66</v>
      </c>
      <c r="D2971" s="6">
        <v>45836</v>
      </c>
      <c r="E2971" t="str">
        <f>VLOOKUP(B2971,'PROCV GERENTES BD'!A:B,2,0)</f>
        <v>PRISCILA METZ</v>
      </c>
      <c r="F2971" s="4" t="str">
        <f t="shared" si="276"/>
        <v>2025-06</v>
      </c>
      <c r="G2971" s="18">
        <f t="shared" si="277"/>
        <v>26</v>
      </c>
      <c r="H2971" t="str">
        <f t="shared" si="278"/>
        <v>PRISCILA METZ</v>
      </c>
      <c r="I2971" t="str">
        <f t="shared" si="279"/>
        <v>HERBAMED LABORATORIO NUTRACEUTICO LTDA</v>
      </c>
      <c r="J2971">
        <f t="shared" si="280"/>
        <v>1</v>
      </c>
      <c r="K2971">
        <f t="shared" si="281"/>
        <v>0</v>
      </c>
    </row>
    <row r="2972" spans="1:11" x14ac:dyDescent="0.25">
      <c r="A2972" s="11" t="s">
        <v>54</v>
      </c>
      <c r="B2972" s="11" t="s">
        <v>55</v>
      </c>
      <c r="C2972" s="11" t="s">
        <v>50</v>
      </c>
      <c r="D2972" s="6">
        <v>45836</v>
      </c>
      <c r="E2972" t="str">
        <f>VLOOKUP(B2972,'PROCV GERENTES BD'!A:B,2,0)</f>
        <v>CELIO PIMENTA</v>
      </c>
      <c r="F2972" s="4" t="str">
        <f t="shared" si="276"/>
        <v>2025-06</v>
      </c>
      <c r="G2972" s="18">
        <f t="shared" si="277"/>
        <v>26</v>
      </c>
      <c r="H2972" t="str">
        <f t="shared" si="278"/>
        <v>CELIO PIMENTA</v>
      </c>
      <c r="I2972" t="str">
        <f t="shared" si="279"/>
        <v>WJ CALDEIRARIA INDUSTRIA E COMERCIO LTDA ME</v>
      </c>
      <c r="J2972">
        <f t="shared" si="280"/>
        <v>0</v>
      </c>
      <c r="K2972">
        <f t="shared" si="281"/>
        <v>1</v>
      </c>
    </row>
    <row r="2973" spans="1:11" x14ac:dyDescent="0.25">
      <c r="A2973" s="11" t="s">
        <v>51</v>
      </c>
      <c r="B2973" s="11" t="s">
        <v>52</v>
      </c>
      <c r="C2973" s="11" t="s">
        <v>53</v>
      </c>
      <c r="D2973" s="6">
        <v>45836</v>
      </c>
      <c r="E2973" t="str">
        <f>VLOOKUP(B2973,'PROCV GERENTES BD'!A:B,2,0)</f>
        <v>RAFAEL PARISE</v>
      </c>
      <c r="F2973" s="4" t="str">
        <f t="shared" si="276"/>
        <v>2025-06</v>
      </c>
      <c r="G2973" s="18">
        <f t="shared" si="277"/>
        <v>26</v>
      </c>
      <c r="H2973" t="str">
        <f t="shared" si="278"/>
        <v>RAFAEL PARISE</v>
      </c>
      <c r="I2973" t="str">
        <f t="shared" si="279"/>
        <v>TDR TRANSPORTES LOGISTICA LTDA</v>
      </c>
      <c r="J2973">
        <f t="shared" si="280"/>
        <v>1</v>
      </c>
      <c r="K2973">
        <f t="shared" si="281"/>
        <v>1</v>
      </c>
    </row>
    <row r="2974" spans="1:11" x14ac:dyDescent="0.25">
      <c r="A2974" s="11" t="s">
        <v>324</v>
      </c>
      <c r="B2974" s="11" t="s">
        <v>119</v>
      </c>
      <c r="C2974" s="11" t="s">
        <v>50</v>
      </c>
      <c r="D2974" s="6">
        <v>45836</v>
      </c>
      <c r="E2974" t="str">
        <f>VLOOKUP(B2974,'PROCV GERENTES BD'!A:B,2,0)</f>
        <v>PROSPECTAR</v>
      </c>
      <c r="F2974" s="4" t="str">
        <f t="shared" si="276"/>
        <v>2025-06</v>
      </c>
      <c r="G2974" s="18">
        <f t="shared" si="277"/>
        <v>26</v>
      </c>
      <c r="H2974" t="str">
        <f t="shared" si="278"/>
        <v>PROSPECTAR</v>
      </c>
      <c r="I2974" t="str">
        <f t="shared" si="279"/>
        <v>TRANSHENRY TRANSPORTES LTDA</v>
      </c>
      <c r="J2974">
        <f t="shared" si="280"/>
        <v>0</v>
      </c>
      <c r="K2974">
        <f t="shared" si="281"/>
        <v>1</v>
      </c>
    </row>
    <row r="2975" spans="1:11" x14ac:dyDescent="0.25">
      <c r="A2975" s="11" t="s">
        <v>524</v>
      </c>
      <c r="B2975" s="11" t="s">
        <v>289</v>
      </c>
      <c r="C2975" s="11" t="s">
        <v>50</v>
      </c>
      <c r="D2975" s="6">
        <v>45836</v>
      </c>
      <c r="E2975" t="str">
        <f>VLOOKUP(B2975,'PROCV GERENTES BD'!A:B,2,0)</f>
        <v>DALVA</v>
      </c>
      <c r="F2975" s="4" t="str">
        <f t="shared" si="276"/>
        <v>2025-06</v>
      </c>
      <c r="G2975" s="18">
        <f t="shared" si="277"/>
        <v>26</v>
      </c>
      <c r="H2975" t="str">
        <f t="shared" si="278"/>
        <v>DALVA</v>
      </c>
      <c r="I2975" t="str">
        <f t="shared" si="279"/>
        <v>FRAITECH INTELIGENCIA EM AUTOMACAO LTDA</v>
      </c>
      <c r="J2975">
        <f t="shared" si="280"/>
        <v>0</v>
      </c>
      <c r="K2975">
        <f t="shared" si="281"/>
        <v>1</v>
      </c>
    </row>
    <row r="2976" spans="1:11" x14ac:dyDescent="0.25">
      <c r="A2976" s="11" t="s">
        <v>48</v>
      </c>
      <c r="B2976" s="11" t="s">
        <v>49</v>
      </c>
      <c r="C2976" s="11" t="s">
        <v>53</v>
      </c>
      <c r="D2976" s="6">
        <v>45836</v>
      </c>
      <c r="E2976" t="str">
        <f>VLOOKUP(B2976,'PROCV GERENTES BD'!A:B,2,0)</f>
        <v xml:space="preserve">MARCUS VINICIUS </v>
      </c>
      <c r="F2976" s="4" t="str">
        <f t="shared" si="276"/>
        <v>2025-06</v>
      </c>
      <c r="G2976" s="18">
        <f t="shared" si="277"/>
        <v>26</v>
      </c>
      <c r="H2976" t="str">
        <f t="shared" si="278"/>
        <v xml:space="preserve">MARCUS VINICIUS </v>
      </c>
      <c r="I2976" t="str">
        <f t="shared" si="279"/>
        <v>PROMEL IND COM IMP E EXP DE PRODS NATURAIS LTDA</v>
      </c>
      <c r="J2976">
        <f t="shared" si="280"/>
        <v>1</v>
      </c>
      <c r="K2976">
        <f t="shared" si="281"/>
        <v>1</v>
      </c>
    </row>
    <row r="2977" spans="1:11" x14ac:dyDescent="0.25">
      <c r="A2977" s="11" t="s">
        <v>534</v>
      </c>
      <c r="B2977" s="11" t="s">
        <v>303</v>
      </c>
      <c r="C2977" s="11" t="s">
        <v>66</v>
      </c>
      <c r="D2977" s="6">
        <v>45836</v>
      </c>
      <c r="E2977" t="str">
        <f>VLOOKUP(B2977,'PROCV GERENTES BD'!A:B,2,0)</f>
        <v xml:space="preserve">MARCUS VINICIUS </v>
      </c>
      <c r="F2977" s="4" t="str">
        <f t="shared" si="276"/>
        <v>2025-06</v>
      </c>
      <c r="G2977" s="18">
        <f t="shared" si="277"/>
        <v>26</v>
      </c>
      <c r="H2977" t="str">
        <f t="shared" si="278"/>
        <v xml:space="preserve">MARCUS VINICIUS </v>
      </c>
      <c r="I2977" t="str">
        <f t="shared" si="279"/>
        <v>GRAFICA JSA LTDA EPP</v>
      </c>
      <c r="J2977">
        <f t="shared" si="280"/>
        <v>1</v>
      </c>
      <c r="K2977">
        <f t="shared" si="281"/>
        <v>0</v>
      </c>
    </row>
    <row r="2978" spans="1:11" x14ac:dyDescent="0.25">
      <c r="A2978" s="11" t="s">
        <v>492</v>
      </c>
      <c r="B2978" s="11" t="s">
        <v>251</v>
      </c>
      <c r="C2978" s="11" t="s">
        <v>66</v>
      </c>
      <c r="D2978" s="6">
        <v>45836</v>
      </c>
      <c r="E2978" t="str">
        <f>VLOOKUP(B2978,'PROCV GERENTES BD'!A:B,2,0)</f>
        <v>PROSPECTAR</v>
      </c>
      <c r="F2978" s="4" t="str">
        <f t="shared" si="276"/>
        <v>2025-06</v>
      </c>
      <c r="G2978" s="18">
        <f t="shared" si="277"/>
        <v>26</v>
      </c>
      <c r="H2978" t="str">
        <f t="shared" si="278"/>
        <v>PROSPECTAR</v>
      </c>
      <c r="I2978" t="str">
        <f t="shared" si="279"/>
        <v>JANE FIGUEIRA CONFECCOES LTDA ME</v>
      </c>
      <c r="J2978">
        <f t="shared" si="280"/>
        <v>1</v>
      </c>
      <c r="K2978">
        <f t="shared" si="281"/>
        <v>0</v>
      </c>
    </row>
    <row r="2979" spans="1:11" x14ac:dyDescent="0.25">
      <c r="A2979" t="s">
        <v>48</v>
      </c>
      <c r="B2979" t="s">
        <v>49</v>
      </c>
      <c r="C2979" t="s">
        <v>50</v>
      </c>
      <c r="D2979" s="6">
        <v>45839</v>
      </c>
      <c r="E2979" t="str">
        <f>VLOOKUP(B2979,'PROCV GERENTES BD'!A:B,2,0)</f>
        <v xml:space="preserve">MARCUS VINICIUS </v>
      </c>
      <c r="F2979" s="4" t="str">
        <f t="shared" si="276"/>
        <v>2025-07</v>
      </c>
      <c r="G2979" s="18">
        <f t="shared" si="277"/>
        <v>27</v>
      </c>
      <c r="H2979" t="str">
        <f t="shared" si="278"/>
        <v xml:space="preserve">MARCUS VINICIUS </v>
      </c>
      <c r="I2979" t="str">
        <f t="shared" si="279"/>
        <v>PROMEL IND COM IMP E EXP DE PRODS NATURAIS LTDA</v>
      </c>
      <c r="J2979">
        <f t="shared" si="280"/>
        <v>0</v>
      </c>
      <c r="K2979">
        <f t="shared" si="281"/>
        <v>1</v>
      </c>
    </row>
    <row r="2980" spans="1:11" x14ac:dyDescent="0.25">
      <c r="A2980" t="s">
        <v>599</v>
      </c>
      <c r="B2980" t="s">
        <v>541</v>
      </c>
      <c r="C2980" t="s">
        <v>50</v>
      </c>
      <c r="D2980" s="6">
        <v>45839</v>
      </c>
      <c r="E2980" t="str">
        <f>VLOOKUP(B2980,'PROCV GERENTES BD'!A:B,2,0)</f>
        <v xml:space="preserve">MARCUS VINICIUS </v>
      </c>
      <c r="F2980" s="4" t="str">
        <f t="shared" si="276"/>
        <v>2025-07</v>
      </c>
      <c r="G2980" s="18">
        <f t="shared" si="277"/>
        <v>27</v>
      </c>
      <c r="H2980" t="str">
        <f t="shared" si="278"/>
        <v xml:space="preserve">MARCUS VINICIUS </v>
      </c>
      <c r="I2980" t="str">
        <f t="shared" si="279"/>
        <v>JSA INDUSTRIA DE COSMETICOS LTDA EPP</v>
      </c>
      <c r="J2980">
        <f t="shared" si="280"/>
        <v>0</v>
      </c>
      <c r="K2980">
        <f t="shared" si="281"/>
        <v>1</v>
      </c>
    </row>
    <row r="2981" spans="1:11" x14ac:dyDescent="0.25">
      <c r="A2981" t="s">
        <v>613</v>
      </c>
      <c r="B2981" t="s">
        <v>565</v>
      </c>
      <c r="C2981" t="s">
        <v>66</v>
      </c>
      <c r="D2981" s="6">
        <v>45839</v>
      </c>
      <c r="E2981" t="str">
        <f>VLOOKUP(B2981,'PROCV GERENTES BD'!A:B,2,0)</f>
        <v>DALVA</v>
      </c>
      <c r="F2981" s="4" t="str">
        <f t="shared" si="276"/>
        <v>2025-07</v>
      </c>
      <c r="G2981" s="18">
        <f t="shared" si="277"/>
        <v>27</v>
      </c>
      <c r="H2981" t="str">
        <f t="shared" si="278"/>
        <v>DALVA</v>
      </c>
      <c r="I2981" t="str">
        <f t="shared" si="279"/>
        <v>SENSORVIX INTELIGENCIA EM AUTOMACAO LTDA ME</v>
      </c>
      <c r="J2981">
        <f t="shared" si="280"/>
        <v>1</v>
      </c>
      <c r="K2981">
        <f t="shared" si="281"/>
        <v>0</v>
      </c>
    </row>
    <row r="2982" spans="1:11" x14ac:dyDescent="0.25">
      <c r="A2982" t="s">
        <v>625</v>
      </c>
      <c r="B2982" t="s">
        <v>537</v>
      </c>
      <c r="C2982" t="s">
        <v>50</v>
      </c>
      <c r="D2982" s="6">
        <v>45839</v>
      </c>
      <c r="E2982" t="str">
        <f>VLOOKUP(B2982,'PROCV GERENTES BD'!A:B,2,0)</f>
        <v>WASHINGTON</v>
      </c>
      <c r="F2982" s="4" t="str">
        <f t="shared" si="276"/>
        <v>2025-07</v>
      </c>
      <c r="G2982" s="18">
        <f t="shared" si="277"/>
        <v>27</v>
      </c>
      <c r="H2982" t="str">
        <f t="shared" si="278"/>
        <v>WASHINGTON</v>
      </c>
      <c r="I2982" t="str">
        <f t="shared" si="279"/>
        <v>COMERCIAL SEGURANCA LTDA ME</v>
      </c>
      <c r="J2982">
        <f t="shared" si="280"/>
        <v>0</v>
      </c>
      <c r="K2982">
        <f t="shared" si="281"/>
        <v>1</v>
      </c>
    </row>
    <row r="2983" spans="1:11" x14ac:dyDescent="0.25">
      <c r="A2983" t="s">
        <v>67</v>
      </c>
      <c r="B2983" t="s">
        <v>68</v>
      </c>
      <c r="C2983" t="s">
        <v>50</v>
      </c>
      <c r="D2983" s="6">
        <v>45839</v>
      </c>
      <c r="E2983" t="str">
        <f>VLOOKUP(B2983,'PROCV GERENTES BD'!A:B,2,0)</f>
        <v xml:space="preserve">ROGERIO </v>
      </c>
      <c r="F2983" s="4" t="str">
        <f t="shared" si="276"/>
        <v>2025-07</v>
      </c>
      <c r="G2983" s="18">
        <f t="shared" si="277"/>
        <v>27</v>
      </c>
      <c r="H2983" t="str">
        <f t="shared" si="278"/>
        <v xml:space="preserve">ROGERIO </v>
      </c>
      <c r="I2983" t="str">
        <f t="shared" si="279"/>
        <v>DIOTTONI INDUSTRIA E COMERCIO DE ALIMENTOS LTDA ME</v>
      </c>
      <c r="J2983">
        <f t="shared" si="280"/>
        <v>0</v>
      </c>
      <c r="K2983">
        <f t="shared" si="281"/>
        <v>1</v>
      </c>
    </row>
    <row r="2984" spans="1:11" x14ac:dyDescent="0.25">
      <c r="A2984" t="s">
        <v>64</v>
      </c>
      <c r="B2984" t="s">
        <v>65</v>
      </c>
      <c r="C2984" t="s">
        <v>53</v>
      </c>
      <c r="D2984" s="6">
        <v>45839</v>
      </c>
      <c r="E2984" t="str">
        <f>VLOOKUP(B2984,'PROCV GERENTES BD'!A:B,2,0)</f>
        <v>ADMINISTRAÇÃO</v>
      </c>
      <c r="F2984" s="4" t="str">
        <f t="shared" si="276"/>
        <v>2025-07</v>
      </c>
      <c r="G2984" s="18">
        <f t="shared" si="277"/>
        <v>27</v>
      </c>
      <c r="H2984" t="str">
        <f t="shared" si="278"/>
        <v>ADMINISTRAÇÃO</v>
      </c>
      <c r="I2984" t="str">
        <f t="shared" si="279"/>
        <v>SOCIAL S/A</v>
      </c>
      <c r="J2984">
        <f t="shared" si="280"/>
        <v>1</v>
      </c>
      <c r="K2984">
        <f t="shared" si="281"/>
        <v>1</v>
      </c>
    </row>
    <row r="2985" spans="1:11" x14ac:dyDescent="0.25">
      <c r="A2985" t="s">
        <v>62</v>
      </c>
      <c r="B2985" t="s">
        <v>63</v>
      </c>
      <c r="C2985" t="s">
        <v>53</v>
      </c>
      <c r="D2985" s="6">
        <v>45839</v>
      </c>
      <c r="E2985" t="str">
        <f>VLOOKUP(B2985,'PROCV GERENTES BD'!A:B,2,0)</f>
        <v>PROSPECTAR</v>
      </c>
      <c r="F2985" s="4" t="str">
        <f t="shared" si="276"/>
        <v>2025-07</v>
      </c>
      <c r="G2985" s="18">
        <f t="shared" si="277"/>
        <v>27</v>
      </c>
      <c r="H2985" t="str">
        <f t="shared" si="278"/>
        <v>PROSPECTAR</v>
      </c>
      <c r="I2985" t="str">
        <f t="shared" si="279"/>
        <v>MAPP COM IMPORTACAO EXPORTACAO IND PRODUTOS ALIMEN</v>
      </c>
      <c r="J2985">
        <f t="shared" si="280"/>
        <v>1</v>
      </c>
      <c r="K2985">
        <f t="shared" si="281"/>
        <v>1</v>
      </c>
    </row>
    <row r="2986" spans="1:11" x14ac:dyDescent="0.25">
      <c r="A2986" t="s">
        <v>628</v>
      </c>
      <c r="B2986" t="s">
        <v>626</v>
      </c>
      <c r="C2986" t="s">
        <v>66</v>
      </c>
      <c r="D2986" s="6">
        <v>45839</v>
      </c>
      <c r="E2986" t="str">
        <f>VLOOKUP(B2986,'PROCV GERENTES BD'!A:B,2,0)</f>
        <v>FERNANDO ABRAS</v>
      </c>
      <c r="F2986" s="4" t="str">
        <f t="shared" si="276"/>
        <v>2025-07</v>
      </c>
      <c r="G2986" s="18">
        <f t="shared" si="277"/>
        <v>27</v>
      </c>
      <c r="H2986" t="str">
        <f t="shared" si="278"/>
        <v>FERNANDO ABRAS</v>
      </c>
      <c r="I2986" t="str">
        <f t="shared" si="279"/>
        <v>SKY JEANS LTDA ME</v>
      </c>
      <c r="J2986">
        <f t="shared" si="280"/>
        <v>1</v>
      </c>
      <c r="K2986">
        <f t="shared" si="281"/>
        <v>0</v>
      </c>
    </row>
    <row r="2987" spans="1:11" x14ac:dyDescent="0.25">
      <c r="A2987" t="s">
        <v>352</v>
      </c>
      <c r="B2987" t="s">
        <v>96</v>
      </c>
      <c r="C2987" t="s">
        <v>66</v>
      </c>
      <c r="D2987" s="6">
        <v>45839</v>
      </c>
      <c r="E2987" t="str">
        <f>VLOOKUP(B2987,'PROCV GERENTES BD'!A:B,2,0)</f>
        <v>POENATELA</v>
      </c>
      <c r="F2987" s="4" t="str">
        <f t="shared" si="276"/>
        <v>2025-07</v>
      </c>
      <c r="G2987" s="18">
        <f t="shared" si="277"/>
        <v>27</v>
      </c>
      <c r="H2987" t="str">
        <f t="shared" si="278"/>
        <v>POENATELA</v>
      </c>
      <c r="I2987" t="str">
        <f t="shared" si="279"/>
        <v>SUPER HARD TECNOLOGIA EM TRATAMENTO DE SUPERFICIES</v>
      </c>
      <c r="J2987">
        <f t="shared" si="280"/>
        <v>1</v>
      </c>
      <c r="K2987">
        <f t="shared" si="281"/>
        <v>0</v>
      </c>
    </row>
    <row r="2988" spans="1:11" x14ac:dyDescent="0.25">
      <c r="A2988" t="s">
        <v>309</v>
      </c>
      <c r="B2988" t="s">
        <v>291</v>
      </c>
      <c r="C2988" t="s">
        <v>50</v>
      </c>
      <c r="D2988" s="6">
        <v>45839</v>
      </c>
      <c r="E2988" t="str">
        <f>VLOOKUP(B2988,'PROCV GERENTES BD'!A:B,2,0)</f>
        <v>ANTECIPA</v>
      </c>
      <c r="F2988" s="4" t="str">
        <f t="shared" si="276"/>
        <v>2025-07</v>
      </c>
      <c r="G2988" s="18">
        <f t="shared" si="277"/>
        <v>27</v>
      </c>
      <c r="H2988" t="str">
        <f t="shared" si="278"/>
        <v>ANTECIPA</v>
      </c>
      <c r="I2988" t="str">
        <f t="shared" si="279"/>
        <v>CENTRAL DO M R O COMERCIAL IMPORTACOES E SERVICOS</v>
      </c>
      <c r="J2988">
        <f t="shared" si="280"/>
        <v>0</v>
      </c>
      <c r="K2988">
        <f t="shared" si="281"/>
        <v>1</v>
      </c>
    </row>
    <row r="2989" spans="1:11" x14ac:dyDescent="0.25">
      <c r="A2989" t="s">
        <v>440</v>
      </c>
      <c r="B2989" t="s">
        <v>191</v>
      </c>
      <c r="C2989" t="s">
        <v>50</v>
      </c>
      <c r="D2989" s="6">
        <v>45839</v>
      </c>
      <c r="E2989" t="str">
        <f>VLOOKUP(B2989,'PROCV GERENTES BD'!A:B,2,0)</f>
        <v>PROSPECTAR</v>
      </c>
      <c r="F2989" s="4" t="str">
        <f t="shared" si="276"/>
        <v>2025-07</v>
      </c>
      <c r="G2989" s="18">
        <f t="shared" si="277"/>
        <v>27</v>
      </c>
      <c r="H2989" t="str">
        <f t="shared" si="278"/>
        <v>PROSPECTAR</v>
      </c>
      <c r="I2989" t="str">
        <f t="shared" si="279"/>
        <v>SAFRA OURO AGRONEGOCIOS LTDA EPP</v>
      </c>
      <c r="J2989">
        <f t="shared" si="280"/>
        <v>0</v>
      </c>
      <c r="K2989">
        <f t="shared" si="281"/>
        <v>1</v>
      </c>
    </row>
    <row r="2990" spans="1:11" x14ac:dyDescent="0.25">
      <c r="A2990" t="s">
        <v>318</v>
      </c>
      <c r="B2990" t="s">
        <v>203</v>
      </c>
      <c r="C2990" t="s">
        <v>66</v>
      </c>
      <c r="D2990" s="6">
        <v>45839</v>
      </c>
      <c r="E2990" t="str">
        <f>VLOOKUP(B2990,'PROCV GERENTES BD'!A:B,2,0)</f>
        <v>JOSE ROBERTO</v>
      </c>
      <c r="F2990" s="4" t="str">
        <f t="shared" si="276"/>
        <v>2025-07</v>
      </c>
      <c r="G2990" s="18">
        <f t="shared" si="277"/>
        <v>27</v>
      </c>
      <c r="H2990" t="str">
        <f t="shared" si="278"/>
        <v>JOSE ROBERTO</v>
      </c>
      <c r="I2990" t="str">
        <f t="shared" si="279"/>
        <v>FUNDACAO DE ENSINO E PESQUISA DO SUL DE MINAS FEPE</v>
      </c>
      <c r="J2990">
        <f t="shared" si="280"/>
        <v>1</v>
      </c>
      <c r="K2990">
        <f t="shared" si="281"/>
        <v>0</v>
      </c>
    </row>
    <row r="2991" spans="1:11" x14ac:dyDescent="0.25">
      <c r="A2991" t="s">
        <v>56</v>
      </c>
      <c r="B2991" t="s">
        <v>57</v>
      </c>
      <c r="C2991" t="s">
        <v>50</v>
      </c>
      <c r="D2991" s="6">
        <v>45839</v>
      </c>
      <c r="E2991" t="str">
        <f>VLOOKUP(B2991,'PROCV GERENTES BD'!A:B,2,0)</f>
        <v xml:space="preserve">ROGERIO </v>
      </c>
      <c r="F2991" s="4" t="str">
        <f t="shared" si="276"/>
        <v>2025-07</v>
      </c>
      <c r="G2991" s="18">
        <f t="shared" si="277"/>
        <v>27</v>
      </c>
      <c r="H2991" t="str">
        <f t="shared" si="278"/>
        <v xml:space="preserve">ROGERIO </v>
      </c>
      <c r="I2991" t="str">
        <f t="shared" si="279"/>
        <v>RODOVIEIRA TRANSPORTE LTDA</v>
      </c>
      <c r="J2991">
        <f t="shared" si="280"/>
        <v>0</v>
      </c>
      <c r="K2991">
        <f t="shared" si="281"/>
        <v>1</v>
      </c>
    </row>
    <row r="2992" spans="1:11" x14ac:dyDescent="0.25">
      <c r="A2992" t="s">
        <v>533</v>
      </c>
      <c r="B2992" t="s">
        <v>301</v>
      </c>
      <c r="C2992" t="s">
        <v>50</v>
      </c>
      <c r="D2992" s="6">
        <v>45839</v>
      </c>
      <c r="E2992" t="str">
        <f>VLOOKUP(B2992,'PROCV GERENTES BD'!A:B,2,0)</f>
        <v xml:space="preserve">MARCUS VINICIUS </v>
      </c>
      <c r="F2992" s="4" t="str">
        <f t="shared" si="276"/>
        <v>2025-07</v>
      </c>
      <c r="G2992" s="18">
        <f t="shared" si="277"/>
        <v>27</v>
      </c>
      <c r="H2992" t="str">
        <f t="shared" si="278"/>
        <v xml:space="preserve">MARCUS VINICIUS </v>
      </c>
      <c r="I2992" t="str">
        <f t="shared" si="279"/>
        <v>LINDINALDO ANISIO DA SILVA ME</v>
      </c>
      <c r="J2992">
        <f t="shared" si="280"/>
        <v>0</v>
      </c>
      <c r="K2992">
        <f t="shared" si="281"/>
        <v>1</v>
      </c>
    </row>
    <row r="2993" spans="1:11" x14ac:dyDescent="0.25">
      <c r="A2993" t="s">
        <v>532</v>
      </c>
      <c r="B2993" t="s">
        <v>300</v>
      </c>
      <c r="C2993" t="s">
        <v>66</v>
      </c>
      <c r="D2993" s="6">
        <v>45839</v>
      </c>
      <c r="E2993" t="str">
        <f>VLOOKUP(B2993,'PROCV GERENTES BD'!A:B,2,0)</f>
        <v>RAFAEL PARISE</v>
      </c>
      <c r="F2993" s="4" t="str">
        <f t="shared" si="276"/>
        <v>2025-07</v>
      </c>
      <c r="G2993" s="18">
        <f t="shared" si="277"/>
        <v>27</v>
      </c>
      <c r="H2993" t="str">
        <f t="shared" si="278"/>
        <v>RAFAEL PARISE</v>
      </c>
      <c r="I2993" t="str">
        <f t="shared" si="279"/>
        <v>MINASPOL INDUSTRIA E COMERCIO DE COMPOSTOS POLIMER</v>
      </c>
      <c r="J2993">
        <f t="shared" si="280"/>
        <v>1</v>
      </c>
      <c r="K2993">
        <f t="shared" si="281"/>
        <v>0</v>
      </c>
    </row>
    <row r="2994" spans="1:11" x14ac:dyDescent="0.25">
      <c r="A2994" t="s">
        <v>51</v>
      </c>
      <c r="B2994" t="s">
        <v>52</v>
      </c>
      <c r="C2994" t="s">
        <v>50</v>
      </c>
      <c r="D2994" s="6">
        <v>45839</v>
      </c>
      <c r="E2994" t="str">
        <f>VLOOKUP(B2994,'PROCV GERENTES BD'!A:B,2,0)</f>
        <v>RAFAEL PARISE</v>
      </c>
      <c r="F2994" s="4" t="str">
        <f t="shared" si="276"/>
        <v>2025-07</v>
      </c>
      <c r="G2994" s="18">
        <f t="shared" si="277"/>
        <v>27</v>
      </c>
      <c r="H2994" t="str">
        <f t="shared" si="278"/>
        <v>RAFAEL PARISE</v>
      </c>
      <c r="I2994" t="str">
        <f t="shared" si="279"/>
        <v>TDR TRANSPORTES LOGISTICA LTDA</v>
      </c>
      <c r="J2994">
        <f t="shared" si="280"/>
        <v>0</v>
      </c>
      <c r="K2994">
        <f t="shared" si="281"/>
        <v>1</v>
      </c>
    </row>
    <row r="2995" spans="1:11" x14ac:dyDescent="0.25">
      <c r="A2995" t="s">
        <v>629</v>
      </c>
      <c r="B2995" t="s">
        <v>550</v>
      </c>
      <c r="C2995" t="s">
        <v>66</v>
      </c>
      <c r="D2995" s="6">
        <v>45839</v>
      </c>
      <c r="E2995" t="str">
        <f>VLOOKUP(B2995,'PROCV GERENTES BD'!A:B,2,0)</f>
        <v>CREDTEM</v>
      </c>
      <c r="F2995" s="4" t="str">
        <f t="shared" si="276"/>
        <v>2025-07</v>
      </c>
      <c r="G2995" s="18">
        <f t="shared" si="277"/>
        <v>27</v>
      </c>
      <c r="H2995" t="str">
        <f t="shared" si="278"/>
        <v>CREDTEM</v>
      </c>
      <c r="I2995" t="str">
        <f t="shared" si="279"/>
        <v>W M DE CASTRO NETO PRODUTOS FARMACEUTICOS EPP</v>
      </c>
      <c r="J2995">
        <f t="shared" si="280"/>
        <v>1</v>
      </c>
      <c r="K2995">
        <f t="shared" si="281"/>
        <v>0</v>
      </c>
    </row>
    <row r="2996" spans="1:11" x14ac:dyDescent="0.25">
      <c r="A2996" t="s">
        <v>323</v>
      </c>
      <c r="B2996" t="s">
        <v>109</v>
      </c>
      <c r="C2996" t="s">
        <v>66</v>
      </c>
      <c r="D2996" s="6">
        <v>45839</v>
      </c>
      <c r="E2996" t="str">
        <f>VLOOKUP(B2996,'PROCV GERENTES BD'!A:B,2,0)</f>
        <v>PROSPECTAR</v>
      </c>
      <c r="F2996" s="4" t="str">
        <f t="shared" si="276"/>
        <v>2025-07</v>
      </c>
      <c r="G2996" s="18">
        <f t="shared" si="277"/>
        <v>27</v>
      </c>
      <c r="H2996" t="str">
        <f t="shared" si="278"/>
        <v>PROSPECTAR</v>
      </c>
      <c r="I2996" t="str">
        <f t="shared" si="279"/>
        <v>SIAP COMERCIO DE PRODUTOS AGROPECUARIOS LTDA</v>
      </c>
      <c r="J2996">
        <f t="shared" si="280"/>
        <v>1</v>
      </c>
      <c r="K2996">
        <f t="shared" si="281"/>
        <v>0</v>
      </c>
    </row>
    <row r="2997" spans="1:11" x14ac:dyDescent="0.25">
      <c r="A2997" t="s">
        <v>324</v>
      </c>
      <c r="B2997" t="s">
        <v>119</v>
      </c>
      <c r="C2997" t="s">
        <v>50</v>
      </c>
      <c r="D2997" s="6">
        <v>45839</v>
      </c>
      <c r="E2997" t="str">
        <f>VLOOKUP(B2997,'PROCV GERENTES BD'!A:B,2,0)</f>
        <v>PROSPECTAR</v>
      </c>
      <c r="F2997" s="4" t="str">
        <f t="shared" si="276"/>
        <v>2025-07</v>
      </c>
      <c r="G2997" s="18">
        <f t="shared" si="277"/>
        <v>27</v>
      </c>
      <c r="H2997" t="str">
        <f t="shared" si="278"/>
        <v>PROSPECTAR</v>
      </c>
      <c r="I2997" t="str">
        <f t="shared" si="279"/>
        <v>TRANSHENRY TRANSPORTES LTDA</v>
      </c>
      <c r="J2997">
        <f t="shared" si="280"/>
        <v>0</v>
      </c>
      <c r="K2997">
        <f t="shared" si="281"/>
        <v>1</v>
      </c>
    </row>
    <row r="2998" spans="1:11" x14ac:dyDescent="0.25">
      <c r="A2998" t="s">
        <v>524</v>
      </c>
      <c r="B2998" t="s">
        <v>289</v>
      </c>
      <c r="C2998" t="s">
        <v>66</v>
      </c>
      <c r="D2998" s="6">
        <v>45839</v>
      </c>
      <c r="E2998" t="str">
        <f>VLOOKUP(B2998,'PROCV GERENTES BD'!A:B,2,0)</f>
        <v>DALVA</v>
      </c>
      <c r="F2998" s="4" t="str">
        <f t="shared" si="276"/>
        <v>2025-07</v>
      </c>
      <c r="G2998" s="18">
        <f t="shared" si="277"/>
        <v>27</v>
      </c>
      <c r="H2998" t="str">
        <f t="shared" si="278"/>
        <v>DALVA</v>
      </c>
      <c r="I2998" t="str">
        <f t="shared" si="279"/>
        <v>FRAITECH INTELIGENCIA EM AUTOMACAO LTDA</v>
      </c>
      <c r="J2998">
        <f t="shared" si="280"/>
        <v>1</v>
      </c>
      <c r="K2998">
        <f t="shared" si="281"/>
        <v>0</v>
      </c>
    </row>
    <row r="2999" spans="1:11" x14ac:dyDescent="0.25">
      <c r="A2999" t="s">
        <v>523</v>
      </c>
      <c r="B2999" t="s">
        <v>288</v>
      </c>
      <c r="C2999" t="s">
        <v>53</v>
      </c>
      <c r="D2999" s="6">
        <v>45839</v>
      </c>
      <c r="E2999" t="str">
        <f>VLOOKUP(B2999,'PROCV GERENTES BD'!A:B,2,0)</f>
        <v>ADMINISTRAÇÃO</v>
      </c>
      <c r="F2999" s="4" t="str">
        <f t="shared" si="276"/>
        <v>2025-07</v>
      </c>
      <c r="G2999" s="18">
        <f t="shared" si="277"/>
        <v>27</v>
      </c>
      <c r="H2999" t="str">
        <f t="shared" si="278"/>
        <v>ADMINISTRAÇÃO</v>
      </c>
      <c r="I2999" t="str">
        <f t="shared" si="279"/>
        <v>REFRACONT BRASIL LTDA</v>
      </c>
      <c r="J2999">
        <f t="shared" si="280"/>
        <v>1</v>
      </c>
      <c r="K2999">
        <f t="shared" si="281"/>
        <v>1</v>
      </c>
    </row>
    <row r="3000" spans="1:11" x14ac:dyDescent="0.25">
      <c r="A3000" t="s">
        <v>58</v>
      </c>
      <c r="B3000" t="s">
        <v>59</v>
      </c>
      <c r="C3000" t="s">
        <v>50</v>
      </c>
      <c r="D3000" s="6">
        <v>45839</v>
      </c>
      <c r="E3000" t="str">
        <f>VLOOKUP(B3000,'PROCV GERENTES BD'!A:B,2,0)</f>
        <v>ADMINISTRAÇÃO</v>
      </c>
      <c r="F3000" s="4" t="str">
        <f t="shared" si="276"/>
        <v>2025-07</v>
      </c>
      <c r="G3000" s="18">
        <f t="shared" si="277"/>
        <v>27</v>
      </c>
      <c r="H3000" t="str">
        <f t="shared" si="278"/>
        <v>ADMINISTRAÇÃO</v>
      </c>
      <c r="I3000" t="str">
        <f t="shared" si="279"/>
        <v>BIOTECH LOGISTICA LTDA</v>
      </c>
      <c r="J3000">
        <f t="shared" si="280"/>
        <v>0</v>
      </c>
      <c r="K3000">
        <f t="shared" si="281"/>
        <v>1</v>
      </c>
    </row>
    <row r="3001" spans="1:11" x14ac:dyDescent="0.25">
      <c r="A3001" t="s">
        <v>492</v>
      </c>
      <c r="B3001" t="s">
        <v>251</v>
      </c>
      <c r="C3001" t="s">
        <v>50</v>
      </c>
      <c r="D3001" s="6">
        <v>45839</v>
      </c>
      <c r="E3001" t="str">
        <f>VLOOKUP(B3001,'PROCV GERENTES BD'!A:B,2,0)</f>
        <v>PROSPECTAR</v>
      </c>
      <c r="F3001" s="4" t="str">
        <f t="shared" si="276"/>
        <v>2025-07</v>
      </c>
      <c r="G3001" s="18">
        <f t="shared" si="277"/>
        <v>27</v>
      </c>
      <c r="H3001" t="str">
        <f t="shared" si="278"/>
        <v>PROSPECTAR</v>
      </c>
      <c r="I3001" t="str">
        <f t="shared" si="279"/>
        <v>JANE FIGUEIRA CONFECCOES LTDA ME</v>
      </c>
      <c r="J3001">
        <f t="shared" si="280"/>
        <v>0</v>
      </c>
      <c r="K3001">
        <f t="shared" si="281"/>
        <v>1</v>
      </c>
    </row>
    <row r="3002" spans="1:11" x14ac:dyDescent="0.25">
      <c r="A3002" t="s">
        <v>529</v>
      </c>
      <c r="B3002" t="s">
        <v>297</v>
      </c>
      <c r="C3002" t="s">
        <v>50</v>
      </c>
      <c r="D3002" s="6">
        <v>45840</v>
      </c>
      <c r="E3002" t="str">
        <f>VLOOKUP(B3002,'PROCV GERENTES BD'!A:B,2,0)</f>
        <v>ANDRE CUNHA</v>
      </c>
      <c r="F3002" s="4" t="str">
        <f t="shared" si="276"/>
        <v>2025-07</v>
      </c>
      <c r="G3002" s="18">
        <f t="shared" si="277"/>
        <v>27</v>
      </c>
      <c r="H3002" t="str">
        <f t="shared" si="278"/>
        <v>ANDRE CUNHA</v>
      </c>
      <c r="I3002" t="str">
        <f t="shared" si="279"/>
        <v>REVPACK TECNOLOGIA E COMERCIO DE COMPONENTES PLAST</v>
      </c>
      <c r="J3002">
        <f t="shared" si="280"/>
        <v>0</v>
      </c>
      <c r="K3002">
        <f t="shared" si="281"/>
        <v>1</v>
      </c>
    </row>
    <row r="3003" spans="1:11" x14ac:dyDescent="0.25">
      <c r="A3003" t="s">
        <v>508</v>
      </c>
      <c r="B3003" t="s">
        <v>271</v>
      </c>
      <c r="C3003" t="s">
        <v>50</v>
      </c>
      <c r="D3003" s="6">
        <v>45840</v>
      </c>
      <c r="E3003" t="str">
        <f>VLOOKUP(B3003,'PROCV GERENTES BD'!A:B,2,0)</f>
        <v>PRISCILA METZ</v>
      </c>
      <c r="F3003" s="4" t="str">
        <f t="shared" si="276"/>
        <v>2025-07</v>
      </c>
      <c r="G3003" s="18">
        <f t="shared" si="277"/>
        <v>27</v>
      </c>
      <c r="H3003" t="str">
        <f t="shared" si="278"/>
        <v>PRISCILA METZ</v>
      </c>
      <c r="I3003" t="str">
        <f t="shared" si="279"/>
        <v>TUBOLARES VITORIA INDUSTRIA E COMERCIO LTDA ME</v>
      </c>
      <c r="J3003">
        <f t="shared" si="280"/>
        <v>0</v>
      </c>
      <c r="K3003">
        <f t="shared" si="281"/>
        <v>1</v>
      </c>
    </row>
    <row r="3004" spans="1:11" x14ac:dyDescent="0.25">
      <c r="A3004" t="s">
        <v>610</v>
      </c>
      <c r="B3004" t="s">
        <v>611</v>
      </c>
      <c r="C3004" t="s">
        <v>50</v>
      </c>
      <c r="D3004" s="6">
        <v>45840</v>
      </c>
      <c r="E3004" t="str">
        <f>VLOOKUP(B3004,'PROCV GERENTES BD'!A:B,2,0)</f>
        <v>TIAGO NEVES</v>
      </c>
      <c r="F3004" s="4" t="str">
        <f t="shared" si="276"/>
        <v>2025-07</v>
      </c>
      <c r="G3004" s="18">
        <f t="shared" si="277"/>
        <v>27</v>
      </c>
      <c r="H3004" t="str">
        <f t="shared" si="278"/>
        <v>TIAGO NEVES</v>
      </c>
      <c r="I3004" t="str">
        <f t="shared" si="279"/>
        <v>TRATOR GLASS LTDA ME</v>
      </c>
      <c r="J3004">
        <f t="shared" si="280"/>
        <v>0</v>
      </c>
      <c r="K3004">
        <f t="shared" si="281"/>
        <v>1</v>
      </c>
    </row>
    <row r="3005" spans="1:11" x14ac:dyDescent="0.25">
      <c r="A3005" t="s">
        <v>630</v>
      </c>
      <c r="B3005" t="s">
        <v>559</v>
      </c>
      <c r="C3005" t="s">
        <v>50</v>
      </c>
      <c r="D3005" s="6">
        <v>45840</v>
      </c>
      <c r="E3005" t="str">
        <f>VLOOKUP(B3005,'PROCV GERENTES BD'!A:B,2,0)</f>
        <v>ALISSON DE SOUZA LIMA</v>
      </c>
      <c r="F3005" s="4" t="str">
        <f t="shared" si="276"/>
        <v>2025-07</v>
      </c>
      <c r="G3005" s="18">
        <f t="shared" si="277"/>
        <v>27</v>
      </c>
      <c r="H3005" t="str">
        <f t="shared" si="278"/>
        <v>ALISSON DE SOUZA LIMA</v>
      </c>
      <c r="I3005" t="str">
        <f t="shared" si="279"/>
        <v>JRG SOLUCOES INDUSTRIAIS LTDA</v>
      </c>
      <c r="J3005">
        <f t="shared" si="280"/>
        <v>0</v>
      </c>
      <c r="K3005">
        <f t="shared" si="281"/>
        <v>1</v>
      </c>
    </row>
    <row r="3006" spans="1:11" x14ac:dyDescent="0.25">
      <c r="A3006" t="s">
        <v>316</v>
      </c>
      <c r="B3006" t="s">
        <v>302</v>
      </c>
      <c r="C3006" t="s">
        <v>66</v>
      </c>
      <c r="D3006" s="6">
        <v>45840</v>
      </c>
      <c r="E3006" t="str">
        <f>VLOOKUP(B3006,'PROCV GERENTES BD'!A:B,2,0)</f>
        <v>CELIO PIMENTA</v>
      </c>
      <c r="F3006" s="4" t="str">
        <f t="shared" si="276"/>
        <v>2025-07</v>
      </c>
      <c r="G3006" s="18">
        <f t="shared" si="277"/>
        <v>27</v>
      </c>
      <c r="H3006" t="str">
        <f t="shared" si="278"/>
        <v>CELIO PIMENTA</v>
      </c>
      <c r="I3006" t="str">
        <f t="shared" si="279"/>
        <v>LOTUS DESENVOLVIMENTO IMOBILIARIO LTDA</v>
      </c>
      <c r="J3006">
        <f t="shared" si="280"/>
        <v>1</v>
      </c>
      <c r="K3006">
        <f t="shared" si="281"/>
        <v>0</v>
      </c>
    </row>
    <row r="3007" spans="1:11" x14ac:dyDescent="0.25">
      <c r="A3007" t="s">
        <v>515</v>
      </c>
      <c r="B3007" t="s">
        <v>277</v>
      </c>
      <c r="C3007" t="s">
        <v>50</v>
      </c>
      <c r="D3007" s="6">
        <v>45840</v>
      </c>
      <c r="E3007" t="str">
        <f>VLOOKUP(B3007,'PROCV GERENTES BD'!A:B,2,0)</f>
        <v>ALISSON DE SOUZA LIMA</v>
      </c>
      <c r="F3007" s="4" t="str">
        <f t="shared" si="276"/>
        <v>2025-07</v>
      </c>
      <c r="G3007" s="18">
        <f t="shared" si="277"/>
        <v>27</v>
      </c>
      <c r="H3007" t="str">
        <f t="shared" si="278"/>
        <v>ALISSON DE SOUZA LIMA</v>
      </c>
      <c r="I3007" t="str">
        <f t="shared" si="279"/>
        <v>COMERCIAL GTS INFORMATICA LTDA EPP</v>
      </c>
      <c r="J3007">
        <f t="shared" si="280"/>
        <v>0</v>
      </c>
      <c r="K3007">
        <f t="shared" si="281"/>
        <v>1</v>
      </c>
    </row>
    <row r="3008" spans="1:11" x14ac:dyDescent="0.25">
      <c r="A3008" t="s">
        <v>614</v>
      </c>
      <c r="B3008" t="s">
        <v>615</v>
      </c>
      <c r="C3008" t="s">
        <v>53</v>
      </c>
      <c r="D3008" s="6">
        <v>45840</v>
      </c>
      <c r="E3008" t="str">
        <f>VLOOKUP(B3008,'PROCV GERENTES BD'!A:B,2,0)</f>
        <v>RAFAEL PARISE</v>
      </c>
      <c r="F3008" s="4" t="str">
        <f t="shared" si="276"/>
        <v>2025-07</v>
      </c>
      <c r="G3008" s="18">
        <f t="shared" si="277"/>
        <v>27</v>
      </c>
      <c r="H3008" t="str">
        <f t="shared" si="278"/>
        <v>RAFAEL PARISE</v>
      </c>
      <c r="I3008" t="str">
        <f t="shared" si="279"/>
        <v>SAGATEC LTDA</v>
      </c>
      <c r="J3008">
        <f t="shared" si="280"/>
        <v>1</v>
      </c>
      <c r="K3008">
        <f t="shared" si="281"/>
        <v>1</v>
      </c>
    </row>
    <row r="3009" spans="1:11" x14ac:dyDescent="0.25">
      <c r="A3009" t="s">
        <v>64</v>
      </c>
      <c r="B3009" t="s">
        <v>65</v>
      </c>
      <c r="C3009" t="s">
        <v>50</v>
      </c>
      <c r="D3009" s="6">
        <v>45840</v>
      </c>
      <c r="E3009" t="str">
        <f>VLOOKUP(B3009,'PROCV GERENTES BD'!A:B,2,0)</f>
        <v>ADMINISTRAÇÃO</v>
      </c>
      <c r="F3009" s="4" t="str">
        <f t="shared" si="276"/>
        <v>2025-07</v>
      </c>
      <c r="G3009" s="18">
        <f t="shared" si="277"/>
        <v>27</v>
      </c>
      <c r="H3009" t="str">
        <f t="shared" si="278"/>
        <v>ADMINISTRAÇÃO</v>
      </c>
      <c r="I3009" t="str">
        <f t="shared" si="279"/>
        <v>SOCIAL S/A</v>
      </c>
      <c r="J3009">
        <f t="shared" si="280"/>
        <v>0</v>
      </c>
      <c r="K3009">
        <f t="shared" si="281"/>
        <v>1</v>
      </c>
    </row>
    <row r="3010" spans="1:11" x14ac:dyDescent="0.25">
      <c r="A3010" t="s">
        <v>420</v>
      </c>
      <c r="B3010" t="s">
        <v>170</v>
      </c>
      <c r="C3010" t="s">
        <v>50</v>
      </c>
      <c r="D3010" s="6">
        <v>45840</v>
      </c>
      <c r="E3010" t="str">
        <f>VLOOKUP(B3010,'PROCV GERENTES BD'!A:B,2,0)</f>
        <v>POENATELA</v>
      </c>
      <c r="F3010" s="4" t="str">
        <f t="shared" ref="F3010:F3073" si="282">YEAR(D3010)&amp;"-"&amp;TEXT(MONTH(D3010),"00")</f>
        <v>2025-07</v>
      </c>
      <c r="G3010" s="18">
        <f t="shared" ref="G3010:G3073" si="283">WEEKNUM(D3010)</f>
        <v>27</v>
      </c>
      <c r="H3010" t="str">
        <f t="shared" ref="H3010:H3073" si="284">E3010</f>
        <v>POENATELA</v>
      </c>
      <c r="I3010" t="str">
        <f t="shared" ref="I3010:I3073" si="285">B3010</f>
        <v>SAVIXX COMERCIO INTERNACIONAL S/A</v>
      </c>
      <c r="J3010">
        <f t="shared" ref="J3010:J3073" si="286">IF(OR(C3010="EXCLUSAO  ANOT.INADIMPLENCIA",C3010="INCL/EXCL ANOT.INADIMPLENCIA"),1,0)</f>
        <v>0</v>
      </c>
      <c r="K3010">
        <f t="shared" ref="K3010:K3073" si="287">IF(OR(C3010="INCLUSAO  ANOT.INADIMPLENCIA",C3010="INCL/EXCL ANOT.INADIMPLENCIA"),1,0)</f>
        <v>1</v>
      </c>
    </row>
    <row r="3011" spans="1:11" x14ac:dyDescent="0.25">
      <c r="A3011" t="s">
        <v>459</v>
      </c>
      <c r="B3011" t="s">
        <v>216</v>
      </c>
      <c r="C3011" t="s">
        <v>50</v>
      </c>
      <c r="D3011" s="6">
        <v>45840</v>
      </c>
      <c r="E3011" t="str">
        <f>VLOOKUP(B3011,'PROCV GERENTES BD'!A:B,2,0)</f>
        <v>ADMINISTRAÇÃO</v>
      </c>
      <c r="F3011" s="4" t="str">
        <f t="shared" si="282"/>
        <v>2025-07</v>
      </c>
      <c r="G3011" s="18">
        <f t="shared" si="283"/>
        <v>27</v>
      </c>
      <c r="H3011" t="str">
        <f t="shared" si="284"/>
        <v>ADMINISTRAÇÃO</v>
      </c>
      <c r="I3011" t="str">
        <f t="shared" si="285"/>
        <v>JABEZ SERVICOS COMPARTILHADOS LTDA ME</v>
      </c>
      <c r="J3011">
        <f t="shared" si="286"/>
        <v>0</v>
      </c>
      <c r="K3011">
        <f t="shared" si="287"/>
        <v>1</v>
      </c>
    </row>
    <row r="3012" spans="1:11" x14ac:dyDescent="0.25">
      <c r="A3012" t="s">
        <v>510</v>
      </c>
      <c r="B3012" t="s">
        <v>273</v>
      </c>
      <c r="C3012" t="s">
        <v>50</v>
      </c>
      <c r="D3012" s="6">
        <v>45840</v>
      </c>
      <c r="E3012" t="str">
        <f>VLOOKUP(B3012,'PROCV GERENTES BD'!A:B,2,0)</f>
        <v>CELIO PIMENTA</v>
      </c>
      <c r="F3012" s="4" t="str">
        <f t="shared" si="282"/>
        <v>2025-07</v>
      </c>
      <c r="G3012" s="18">
        <f t="shared" si="283"/>
        <v>27</v>
      </c>
      <c r="H3012" t="str">
        <f t="shared" si="284"/>
        <v>CELIO PIMENTA</v>
      </c>
      <c r="I3012" t="str">
        <f t="shared" si="285"/>
        <v>PRADO MOREIRA TEXTIL LTDA ME</v>
      </c>
      <c r="J3012">
        <f t="shared" si="286"/>
        <v>0</v>
      </c>
      <c r="K3012">
        <f t="shared" si="287"/>
        <v>1</v>
      </c>
    </row>
    <row r="3013" spans="1:11" x14ac:dyDescent="0.25">
      <c r="A3013" t="s">
        <v>631</v>
      </c>
      <c r="B3013" t="s">
        <v>561</v>
      </c>
      <c r="C3013" t="s">
        <v>50</v>
      </c>
      <c r="D3013" s="6">
        <v>45840</v>
      </c>
      <c r="E3013" t="str">
        <f>VLOOKUP(B3013,'PROCV GERENTES BD'!A:B,2,0)</f>
        <v>VALERIA</v>
      </c>
      <c r="F3013" s="4" t="str">
        <f t="shared" si="282"/>
        <v>2025-07</v>
      </c>
      <c r="G3013" s="18">
        <f t="shared" si="283"/>
        <v>27</v>
      </c>
      <c r="H3013" t="str">
        <f t="shared" si="284"/>
        <v>VALERIA</v>
      </c>
      <c r="I3013" t="str">
        <f t="shared" si="285"/>
        <v>TRANSPORTADORA PACHECO LTDA EPP</v>
      </c>
      <c r="J3013">
        <f t="shared" si="286"/>
        <v>0</v>
      </c>
      <c r="K3013">
        <f t="shared" si="287"/>
        <v>1</v>
      </c>
    </row>
    <row r="3014" spans="1:11" x14ac:dyDescent="0.25">
      <c r="A3014" t="s">
        <v>320</v>
      </c>
      <c r="B3014" t="s">
        <v>205</v>
      </c>
      <c r="C3014" t="s">
        <v>50</v>
      </c>
      <c r="D3014" s="6">
        <v>45840</v>
      </c>
      <c r="E3014" t="str">
        <f>VLOOKUP(B3014,'PROCV GERENTES BD'!A:B,2,0)</f>
        <v xml:space="preserve">MARCUS VINICIUS </v>
      </c>
      <c r="F3014" s="4" t="str">
        <f t="shared" si="282"/>
        <v>2025-07</v>
      </c>
      <c r="G3014" s="18">
        <f t="shared" si="283"/>
        <v>27</v>
      </c>
      <c r="H3014" t="str">
        <f t="shared" si="284"/>
        <v xml:space="preserve">MARCUS VINICIUS </v>
      </c>
      <c r="I3014" t="str">
        <f t="shared" si="285"/>
        <v>COMERCIAL GODINHO FERREIRA LTDA</v>
      </c>
      <c r="J3014">
        <f t="shared" si="286"/>
        <v>0</v>
      </c>
      <c r="K3014">
        <f t="shared" si="287"/>
        <v>1</v>
      </c>
    </row>
    <row r="3015" spans="1:11" x14ac:dyDescent="0.25">
      <c r="A3015" t="s">
        <v>331</v>
      </c>
      <c r="B3015" t="s">
        <v>144</v>
      </c>
      <c r="C3015" t="s">
        <v>50</v>
      </c>
      <c r="D3015" s="6">
        <v>45840</v>
      </c>
      <c r="E3015" t="str">
        <f>VLOOKUP(B3015,'PROCV GERENTES BD'!A:B,2,0)</f>
        <v>ADMINISTRAÇÃO</v>
      </c>
      <c r="F3015" s="4" t="str">
        <f t="shared" si="282"/>
        <v>2025-07</v>
      </c>
      <c r="G3015" s="18">
        <f t="shared" si="283"/>
        <v>27</v>
      </c>
      <c r="H3015" t="str">
        <f t="shared" si="284"/>
        <v>ADMINISTRAÇÃO</v>
      </c>
      <c r="I3015" t="str">
        <f t="shared" si="285"/>
        <v>BOM PASTOR PAPEIS LTDA EM RECUPERACAO JUDICIAL</v>
      </c>
      <c r="J3015">
        <f t="shared" si="286"/>
        <v>0</v>
      </c>
      <c r="K3015">
        <f t="shared" si="287"/>
        <v>1</v>
      </c>
    </row>
    <row r="3016" spans="1:11" x14ac:dyDescent="0.25">
      <c r="A3016" t="s">
        <v>358</v>
      </c>
      <c r="B3016" t="s">
        <v>104</v>
      </c>
      <c r="C3016" t="s">
        <v>50</v>
      </c>
      <c r="D3016" s="6">
        <v>45840</v>
      </c>
      <c r="E3016" t="str">
        <f>VLOOKUP(B3016,'PROCV GERENTES BD'!A:B,2,0)</f>
        <v>DIOGO AZEVEDO</v>
      </c>
      <c r="F3016" s="4" t="str">
        <f t="shared" si="282"/>
        <v>2025-07</v>
      </c>
      <c r="G3016" s="18">
        <f t="shared" si="283"/>
        <v>27</v>
      </c>
      <c r="H3016" t="str">
        <f t="shared" si="284"/>
        <v>DIOGO AZEVEDO</v>
      </c>
      <c r="I3016" t="str">
        <f t="shared" si="285"/>
        <v>INDUSTRIA E CERVEJARIA ARTESANAL DE MINAS GERAIS L</v>
      </c>
      <c r="J3016">
        <f t="shared" si="286"/>
        <v>0</v>
      </c>
      <c r="K3016">
        <f t="shared" si="287"/>
        <v>1</v>
      </c>
    </row>
    <row r="3017" spans="1:11" x14ac:dyDescent="0.25">
      <c r="A3017" t="s">
        <v>434</v>
      </c>
      <c r="B3017" t="s">
        <v>185</v>
      </c>
      <c r="C3017" t="s">
        <v>50</v>
      </c>
      <c r="D3017" s="6">
        <v>45840</v>
      </c>
      <c r="E3017" t="str">
        <f>VLOOKUP(B3017,'PROCV GERENTES BD'!A:B,2,0)</f>
        <v>RAFAEL PARISE</v>
      </c>
      <c r="F3017" s="4" t="str">
        <f t="shared" si="282"/>
        <v>2025-07</v>
      </c>
      <c r="G3017" s="18">
        <f t="shared" si="283"/>
        <v>27</v>
      </c>
      <c r="H3017" t="str">
        <f t="shared" si="284"/>
        <v>RAFAEL PARISE</v>
      </c>
      <c r="I3017" t="str">
        <f t="shared" si="285"/>
        <v>MARCAS COMERCIO LTDA ME</v>
      </c>
      <c r="J3017">
        <f t="shared" si="286"/>
        <v>0</v>
      </c>
      <c r="K3017">
        <f t="shared" si="287"/>
        <v>1</v>
      </c>
    </row>
    <row r="3018" spans="1:11" x14ac:dyDescent="0.25">
      <c r="A3018" t="s">
        <v>51</v>
      </c>
      <c r="B3018" t="s">
        <v>52</v>
      </c>
      <c r="C3018" t="s">
        <v>50</v>
      </c>
      <c r="D3018" s="6">
        <v>45840</v>
      </c>
      <c r="E3018" t="str">
        <f>VLOOKUP(B3018,'PROCV GERENTES BD'!A:B,2,0)</f>
        <v>RAFAEL PARISE</v>
      </c>
      <c r="F3018" s="4" t="str">
        <f t="shared" si="282"/>
        <v>2025-07</v>
      </c>
      <c r="G3018" s="18">
        <f t="shared" si="283"/>
        <v>27</v>
      </c>
      <c r="H3018" t="str">
        <f t="shared" si="284"/>
        <v>RAFAEL PARISE</v>
      </c>
      <c r="I3018" t="str">
        <f t="shared" si="285"/>
        <v>TDR TRANSPORTES LOGISTICA LTDA</v>
      </c>
      <c r="J3018">
        <f t="shared" si="286"/>
        <v>0</v>
      </c>
      <c r="K3018">
        <f t="shared" si="287"/>
        <v>1</v>
      </c>
    </row>
    <row r="3019" spans="1:11" x14ac:dyDescent="0.25">
      <c r="A3019" t="s">
        <v>323</v>
      </c>
      <c r="B3019" t="s">
        <v>109</v>
      </c>
      <c r="C3019" t="s">
        <v>50</v>
      </c>
      <c r="D3019" s="6">
        <v>45840</v>
      </c>
      <c r="E3019" t="str">
        <f>VLOOKUP(B3019,'PROCV GERENTES BD'!A:B,2,0)</f>
        <v>PROSPECTAR</v>
      </c>
      <c r="F3019" s="4" t="str">
        <f t="shared" si="282"/>
        <v>2025-07</v>
      </c>
      <c r="G3019" s="18">
        <f t="shared" si="283"/>
        <v>27</v>
      </c>
      <c r="H3019" t="str">
        <f t="shared" si="284"/>
        <v>PROSPECTAR</v>
      </c>
      <c r="I3019" t="str">
        <f t="shared" si="285"/>
        <v>SIAP COMERCIO DE PRODUTOS AGROPECUARIOS LTDA</v>
      </c>
      <c r="J3019">
        <f t="shared" si="286"/>
        <v>0</v>
      </c>
      <c r="K3019">
        <f t="shared" si="287"/>
        <v>1</v>
      </c>
    </row>
    <row r="3020" spans="1:11" x14ac:dyDescent="0.25">
      <c r="A3020" t="s">
        <v>524</v>
      </c>
      <c r="B3020" t="s">
        <v>289</v>
      </c>
      <c r="C3020" t="s">
        <v>50</v>
      </c>
      <c r="D3020" s="6">
        <v>45840</v>
      </c>
      <c r="E3020" t="str">
        <f>VLOOKUP(B3020,'PROCV GERENTES BD'!A:B,2,0)</f>
        <v>DALVA</v>
      </c>
      <c r="F3020" s="4" t="str">
        <f t="shared" si="282"/>
        <v>2025-07</v>
      </c>
      <c r="G3020" s="18">
        <f t="shared" si="283"/>
        <v>27</v>
      </c>
      <c r="H3020" t="str">
        <f t="shared" si="284"/>
        <v>DALVA</v>
      </c>
      <c r="I3020" t="str">
        <f t="shared" si="285"/>
        <v>FRAITECH INTELIGENCIA EM AUTOMACAO LTDA</v>
      </c>
      <c r="J3020">
        <f t="shared" si="286"/>
        <v>0</v>
      </c>
      <c r="K3020">
        <f t="shared" si="287"/>
        <v>1</v>
      </c>
    </row>
    <row r="3021" spans="1:11" x14ac:dyDescent="0.25">
      <c r="A3021" t="s">
        <v>523</v>
      </c>
      <c r="B3021" t="s">
        <v>288</v>
      </c>
      <c r="C3021" t="s">
        <v>53</v>
      </c>
      <c r="D3021" s="6">
        <v>45840</v>
      </c>
      <c r="E3021" t="str">
        <f>VLOOKUP(B3021,'PROCV GERENTES BD'!A:B,2,0)</f>
        <v>ADMINISTRAÇÃO</v>
      </c>
      <c r="F3021" s="4" t="str">
        <f t="shared" si="282"/>
        <v>2025-07</v>
      </c>
      <c r="G3021" s="18">
        <f t="shared" si="283"/>
        <v>27</v>
      </c>
      <c r="H3021" t="str">
        <f t="shared" si="284"/>
        <v>ADMINISTRAÇÃO</v>
      </c>
      <c r="I3021" t="str">
        <f t="shared" si="285"/>
        <v>REFRACONT BRASIL LTDA</v>
      </c>
      <c r="J3021">
        <f t="shared" si="286"/>
        <v>1</v>
      </c>
      <c r="K3021">
        <f t="shared" si="287"/>
        <v>1</v>
      </c>
    </row>
    <row r="3022" spans="1:11" x14ac:dyDescent="0.25">
      <c r="A3022" t="s">
        <v>311</v>
      </c>
      <c r="B3022" t="s">
        <v>81</v>
      </c>
      <c r="C3022" t="s">
        <v>66</v>
      </c>
      <c r="D3022" s="6">
        <v>45840</v>
      </c>
      <c r="E3022" t="str">
        <f>VLOOKUP(B3022,'PROCV GERENTES BD'!A:B,2,0)</f>
        <v>CELIO PIMENTA</v>
      </c>
      <c r="F3022" s="4" t="str">
        <f t="shared" si="282"/>
        <v>2025-07</v>
      </c>
      <c r="G3022" s="18">
        <f t="shared" si="283"/>
        <v>27</v>
      </c>
      <c r="H3022" t="str">
        <f t="shared" si="284"/>
        <v>CELIO PIMENTA</v>
      </c>
      <c r="I3022" t="str">
        <f t="shared" si="285"/>
        <v>MBIOLOG DIAGNOSTICOS LTDA</v>
      </c>
      <c r="J3022">
        <f t="shared" si="286"/>
        <v>1</v>
      </c>
      <c r="K3022">
        <f t="shared" si="287"/>
        <v>0</v>
      </c>
    </row>
    <row r="3023" spans="1:11" x14ac:dyDescent="0.25">
      <c r="A3023" t="s">
        <v>372</v>
      </c>
      <c r="B3023" t="s">
        <v>116</v>
      </c>
      <c r="C3023" t="s">
        <v>66</v>
      </c>
      <c r="D3023" s="6">
        <v>45840</v>
      </c>
      <c r="E3023" t="str">
        <f>VLOOKUP(B3023,'PROCV GERENTES BD'!A:B,2,0)</f>
        <v>ADMINISTRAÇÃO</v>
      </c>
      <c r="F3023" s="4" t="str">
        <f t="shared" si="282"/>
        <v>2025-07</v>
      </c>
      <c r="G3023" s="18">
        <f t="shared" si="283"/>
        <v>27</v>
      </c>
      <c r="H3023" t="str">
        <f t="shared" si="284"/>
        <v>ADMINISTRAÇÃO</v>
      </c>
      <c r="I3023" t="str">
        <f t="shared" si="285"/>
        <v>PREMOLDADOS MATOSINHOS LTDA EPP</v>
      </c>
      <c r="J3023">
        <f t="shared" si="286"/>
        <v>1</v>
      </c>
      <c r="K3023">
        <f t="shared" si="287"/>
        <v>0</v>
      </c>
    </row>
    <row r="3024" spans="1:11" x14ac:dyDescent="0.25">
      <c r="A3024" t="s">
        <v>407</v>
      </c>
      <c r="B3024" t="s">
        <v>157</v>
      </c>
      <c r="C3024" t="s">
        <v>50</v>
      </c>
      <c r="D3024" s="6">
        <v>45840</v>
      </c>
      <c r="E3024" t="str">
        <f>VLOOKUP(B3024,'PROCV GERENTES BD'!A:B,2,0)</f>
        <v>NOELI SALETE</v>
      </c>
      <c r="F3024" s="4" t="str">
        <f t="shared" si="282"/>
        <v>2025-07</v>
      </c>
      <c r="G3024" s="18">
        <f t="shared" si="283"/>
        <v>27</v>
      </c>
      <c r="H3024" t="str">
        <f t="shared" si="284"/>
        <v>NOELI SALETE</v>
      </c>
      <c r="I3024" t="str">
        <f t="shared" si="285"/>
        <v>SGAMAQ INOVACAO AGROINDUSTRIAL LTDA</v>
      </c>
      <c r="J3024">
        <f t="shared" si="286"/>
        <v>0</v>
      </c>
      <c r="K3024">
        <f t="shared" si="287"/>
        <v>1</v>
      </c>
    </row>
    <row r="3025" spans="1:11" x14ac:dyDescent="0.25">
      <c r="A3025" t="s">
        <v>48</v>
      </c>
      <c r="B3025" t="s">
        <v>49</v>
      </c>
      <c r="C3025" t="s">
        <v>53</v>
      </c>
      <c r="D3025" s="6">
        <v>45841</v>
      </c>
      <c r="E3025" t="str">
        <f>VLOOKUP(B3025,'PROCV GERENTES BD'!A:B,2,0)</f>
        <v xml:space="preserve">MARCUS VINICIUS </v>
      </c>
      <c r="F3025" s="4" t="str">
        <f t="shared" si="282"/>
        <v>2025-07</v>
      </c>
      <c r="G3025" s="18">
        <f t="shared" si="283"/>
        <v>27</v>
      </c>
      <c r="H3025" t="str">
        <f t="shared" si="284"/>
        <v xml:space="preserve">MARCUS VINICIUS </v>
      </c>
      <c r="I3025" t="str">
        <f t="shared" si="285"/>
        <v>PROMEL IND COM IMP E EXP DE PRODS NATURAIS LTDA</v>
      </c>
      <c r="J3025">
        <f t="shared" si="286"/>
        <v>1</v>
      </c>
      <c r="K3025">
        <f t="shared" si="287"/>
        <v>1</v>
      </c>
    </row>
    <row r="3026" spans="1:11" x14ac:dyDescent="0.25">
      <c r="A3026" t="s">
        <v>498</v>
      </c>
      <c r="B3026" t="s">
        <v>256</v>
      </c>
      <c r="C3026" t="s">
        <v>66</v>
      </c>
      <c r="D3026" s="6">
        <v>45841</v>
      </c>
      <c r="E3026" t="str">
        <f>VLOOKUP(B3026,'PROCV GERENTES BD'!A:B,2,0)</f>
        <v>CELIO PIMENTA</v>
      </c>
      <c r="F3026" s="4" t="str">
        <f t="shared" si="282"/>
        <v>2025-07</v>
      </c>
      <c r="G3026" s="18">
        <f t="shared" si="283"/>
        <v>27</v>
      </c>
      <c r="H3026" t="str">
        <f t="shared" si="284"/>
        <v>CELIO PIMENTA</v>
      </c>
      <c r="I3026" t="str">
        <f t="shared" si="285"/>
        <v>SEU TRATOR LTDA EPP</v>
      </c>
      <c r="J3026">
        <f t="shared" si="286"/>
        <v>1</v>
      </c>
      <c r="K3026">
        <f t="shared" si="287"/>
        <v>0</v>
      </c>
    </row>
    <row r="3027" spans="1:11" x14ac:dyDescent="0.25">
      <c r="A3027" t="s">
        <v>630</v>
      </c>
      <c r="B3027" t="s">
        <v>559</v>
      </c>
      <c r="C3027" t="s">
        <v>66</v>
      </c>
      <c r="D3027" s="6">
        <v>45841</v>
      </c>
      <c r="E3027" t="str">
        <f>VLOOKUP(B3027,'PROCV GERENTES BD'!A:B,2,0)</f>
        <v>ALISSON DE SOUZA LIMA</v>
      </c>
      <c r="F3027" s="4" t="str">
        <f t="shared" si="282"/>
        <v>2025-07</v>
      </c>
      <c r="G3027" s="18">
        <f t="shared" si="283"/>
        <v>27</v>
      </c>
      <c r="H3027" t="str">
        <f t="shared" si="284"/>
        <v>ALISSON DE SOUZA LIMA</v>
      </c>
      <c r="I3027" t="str">
        <f t="shared" si="285"/>
        <v>JRG SOLUCOES INDUSTRIAIS LTDA</v>
      </c>
      <c r="J3027">
        <f t="shared" si="286"/>
        <v>1</v>
      </c>
      <c r="K3027">
        <f t="shared" si="287"/>
        <v>0</v>
      </c>
    </row>
    <row r="3028" spans="1:11" x14ac:dyDescent="0.25">
      <c r="A3028" t="s">
        <v>625</v>
      </c>
      <c r="B3028" t="s">
        <v>537</v>
      </c>
      <c r="C3028" t="s">
        <v>50</v>
      </c>
      <c r="D3028" s="6">
        <v>45841</v>
      </c>
      <c r="E3028" t="str">
        <f>VLOOKUP(B3028,'PROCV GERENTES BD'!A:B,2,0)</f>
        <v>WASHINGTON</v>
      </c>
      <c r="F3028" s="4" t="str">
        <f t="shared" si="282"/>
        <v>2025-07</v>
      </c>
      <c r="G3028" s="18">
        <f t="shared" si="283"/>
        <v>27</v>
      </c>
      <c r="H3028" t="str">
        <f t="shared" si="284"/>
        <v>WASHINGTON</v>
      </c>
      <c r="I3028" t="str">
        <f t="shared" si="285"/>
        <v>COMERCIAL SEGURANCA LTDA ME</v>
      </c>
      <c r="J3028">
        <f t="shared" si="286"/>
        <v>0</v>
      </c>
      <c r="K3028">
        <f t="shared" si="287"/>
        <v>1</v>
      </c>
    </row>
    <row r="3029" spans="1:11" x14ac:dyDescent="0.25">
      <c r="A3029" t="s">
        <v>67</v>
      </c>
      <c r="B3029" t="s">
        <v>68</v>
      </c>
      <c r="C3029" t="s">
        <v>66</v>
      </c>
      <c r="D3029" s="6">
        <v>45841</v>
      </c>
      <c r="E3029" t="str">
        <f>VLOOKUP(B3029,'PROCV GERENTES BD'!A:B,2,0)</f>
        <v xml:space="preserve">ROGERIO </v>
      </c>
      <c r="F3029" s="4" t="str">
        <f t="shared" si="282"/>
        <v>2025-07</v>
      </c>
      <c r="G3029" s="18">
        <f t="shared" si="283"/>
        <v>27</v>
      </c>
      <c r="H3029" t="str">
        <f t="shared" si="284"/>
        <v xml:space="preserve">ROGERIO </v>
      </c>
      <c r="I3029" t="str">
        <f t="shared" si="285"/>
        <v>DIOTTONI INDUSTRIA E COMERCIO DE ALIMENTOS LTDA ME</v>
      </c>
      <c r="J3029">
        <f t="shared" si="286"/>
        <v>1</v>
      </c>
      <c r="K3029">
        <f t="shared" si="287"/>
        <v>0</v>
      </c>
    </row>
    <row r="3030" spans="1:11" x14ac:dyDescent="0.25">
      <c r="A3030" t="s">
        <v>64</v>
      </c>
      <c r="B3030" t="s">
        <v>65</v>
      </c>
      <c r="C3030" t="s">
        <v>50</v>
      </c>
      <c r="D3030" s="6">
        <v>45841</v>
      </c>
      <c r="E3030" t="str">
        <f>VLOOKUP(B3030,'PROCV GERENTES BD'!A:B,2,0)</f>
        <v>ADMINISTRAÇÃO</v>
      </c>
      <c r="F3030" s="4" t="str">
        <f t="shared" si="282"/>
        <v>2025-07</v>
      </c>
      <c r="G3030" s="18">
        <f t="shared" si="283"/>
        <v>27</v>
      </c>
      <c r="H3030" t="str">
        <f t="shared" si="284"/>
        <v>ADMINISTRAÇÃO</v>
      </c>
      <c r="I3030" t="str">
        <f t="shared" si="285"/>
        <v>SOCIAL S/A</v>
      </c>
      <c r="J3030">
        <f t="shared" si="286"/>
        <v>0</v>
      </c>
      <c r="K3030">
        <f t="shared" si="287"/>
        <v>1</v>
      </c>
    </row>
    <row r="3031" spans="1:11" x14ac:dyDescent="0.25">
      <c r="A3031" t="s">
        <v>604</v>
      </c>
      <c r="B3031" t="s">
        <v>605</v>
      </c>
      <c r="C3031" t="s">
        <v>66</v>
      </c>
      <c r="D3031" s="6">
        <v>45841</v>
      </c>
      <c r="E3031" t="str">
        <f>VLOOKUP(B3031,'PROCV GERENTES BD'!A:B,2,0)</f>
        <v>ALISSON DE SOUZA LIMA</v>
      </c>
      <c r="F3031" s="4" t="str">
        <f t="shared" si="282"/>
        <v>2025-07</v>
      </c>
      <c r="G3031" s="18">
        <f t="shared" si="283"/>
        <v>27</v>
      </c>
      <c r="H3031" t="str">
        <f t="shared" si="284"/>
        <v>ALISSON DE SOUZA LIMA</v>
      </c>
      <c r="I3031" t="str">
        <f t="shared" si="285"/>
        <v>3J FUNDICAO INDUSTRIAL LTDA</v>
      </c>
      <c r="J3031">
        <f t="shared" si="286"/>
        <v>1</v>
      </c>
      <c r="K3031">
        <f t="shared" si="287"/>
        <v>0</v>
      </c>
    </row>
    <row r="3032" spans="1:11" x14ac:dyDescent="0.25">
      <c r="A3032" t="s">
        <v>459</v>
      </c>
      <c r="B3032" t="s">
        <v>216</v>
      </c>
      <c r="C3032" t="s">
        <v>50</v>
      </c>
      <c r="D3032" s="6">
        <v>45841</v>
      </c>
      <c r="E3032" t="str">
        <f>VLOOKUP(B3032,'PROCV GERENTES BD'!A:B,2,0)</f>
        <v>ADMINISTRAÇÃO</v>
      </c>
      <c r="F3032" s="4" t="str">
        <f t="shared" si="282"/>
        <v>2025-07</v>
      </c>
      <c r="G3032" s="18">
        <f t="shared" si="283"/>
        <v>27</v>
      </c>
      <c r="H3032" t="str">
        <f t="shared" si="284"/>
        <v>ADMINISTRAÇÃO</v>
      </c>
      <c r="I3032" t="str">
        <f t="shared" si="285"/>
        <v>JABEZ SERVICOS COMPARTILHADOS LTDA ME</v>
      </c>
      <c r="J3032">
        <f t="shared" si="286"/>
        <v>0</v>
      </c>
      <c r="K3032">
        <f t="shared" si="287"/>
        <v>1</v>
      </c>
    </row>
    <row r="3033" spans="1:11" x14ac:dyDescent="0.25">
      <c r="A3033" t="s">
        <v>521</v>
      </c>
      <c r="B3033" t="s">
        <v>286</v>
      </c>
      <c r="C3033" t="s">
        <v>66</v>
      </c>
      <c r="D3033" s="6">
        <v>45841</v>
      </c>
      <c r="E3033" t="str">
        <f>VLOOKUP(B3033,'PROCV GERENTES BD'!A:B,2,0)</f>
        <v>CELIO PIMENTA</v>
      </c>
      <c r="F3033" s="4" t="str">
        <f t="shared" si="282"/>
        <v>2025-07</v>
      </c>
      <c r="G3033" s="18">
        <f t="shared" si="283"/>
        <v>27</v>
      </c>
      <c r="H3033" t="str">
        <f t="shared" si="284"/>
        <v>CELIO PIMENTA</v>
      </c>
      <c r="I3033" t="str">
        <f t="shared" si="285"/>
        <v>LINGERIE E CIA LTDA ME</v>
      </c>
      <c r="J3033">
        <f t="shared" si="286"/>
        <v>1</v>
      </c>
      <c r="K3033">
        <f t="shared" si="287"/>
        <v>0</v>
      </c>
    </row>
    <row r="3034" spans="1:11" x14ac:dyDescent="0.25">
      <c r="A3034" t="s">
        <v>355</v>
      </c>
      <c r="B3034" t="s">
        <v>100</v>
      </c>
      <c r="C3034" t="s">
        <v>50</v>
      </c>
      <c r="D3034" s="6">
        <v>45841</v>
      </c>
      <c r="E3034" t="str">
        <f>VLOOKUP(B3034,'PROCV GERENTES BD'!A:B,2,0)</f>
        <v>ADMINISTRAÇÃO</v>
      </c>
      <c r="F3034" s="4" t="str">
        <f t="shared" si="282"/>
        <v>2025-07</v>
      </c>
      <c r="G3034" s="18">
        <f t="shared" si="283"/>
        <v>27</v>
      </c>
      <c r="H3034" t="str">
        <f t="shared" si="284"/>
        <v>ADMINISTRAÇÃO</v>
      </c>
      <c r="I3034" t="str">
        <f t="shared" si="285"/>
        <v>DECISION DESENVOLVIMENTO DE SISTEMAS LTDA</v>
      </c>
      <c r="J3034">
        <f t="shared" si="286"/>
        <v>0</v>
      </c>
      <c r="K3034">
        <f t="shared" si="287"/>
        <v>1</v>
      </c>
    </row>
    <row r="3035" spans="1:11" x14ac:dyDescent="0.25">
      <c r="A3035" t="s">
        <v>56</v>
      </c>
      <c r="B3035" t="s">
        <v>57</v>
      </c>
      <c r="C3035" t="s">
        <v>66</v>
      </c>
      <c r="D3035" s="6">
        <v>45841</v>
      </c>
      <c r="E3035" t="str">
        <f>VLOOKUP(B3035,'PROCV GERENTES BD'!A:B,2,0)</f>
        <v xml:space="preserve">ROGERIO </v>
      </c>
      <c r="F3035" s="4" t="str">
        <f t="shared" si="282"/>
        <v>2025-07</v>
      </c>
      <c r="G3035" s="18">
        <f t="shared" si="283"/>
        <v>27</v>
      </c>
      <c r="H3035" t="str">
        <f t="shared" si="284"/>
        <v xml:space="preserve">ROGERIO </v>
      </c>
      <c r="I3035" t="str">
        <f t="shared" si="285"/>
        <v>RODOVIEIRA TRANSPORTE LTDA</v>
      </c>
      <c r="J3035">
        <f t="shared" si="286"/>
        <v>1</v>
      </c>
      <c r="K3035">
        <f t="shared" si="287"/>
        <v>0</v>
      </c>
    </row>
    <row r="3036" spans="1:11" x14ac:dyDescent="0.25">
      <c r="A3036" t="s">
        <v>308</v>
      </c>
      <c r="B3036" t="s">
        <v>284</v>
      </c>
      <c r="C3036" t="s">
        <v>66</v>
      </c>
      <c r="D3036" s="6">
        <v>45841</v>
      </c>
      <c r="E3036" t="str">
        <f>VLOOKUP(B3036,'PROCV GERENTES BD'!A:B,2,0)</f>
        <v>CAIO</v>
      </c>
      <c r="F3036" s="4" t="str">
        <f t="shared" si="282"/>
        <v>2025-07</v>
      </c>
      <c r="G3036" s="18">
        <f t="shared" si="283"/>
        <v>27</v>
      </c>
      <c r="H3036" t="str">
        <f t="shared" si="284"/>
        <v>CAIO</v>
      </c>
      <c r="I3036" t="str">
        <f t="shared" si="285"/>
        <v>GLOBALMAX INDUSTRIA PLASTICA S/A</v>
      </c>
      <c r="J3036">
        <f t="shared" si="286"/>
        <v>1</v>
      </c>
      <c r="K3036">
        <f t="shared" si="287"/>
        <v>0</v>
      </c>
    </row>
    <row r="3037" spans="1:11" x14ac:dyDescent="0.25">
      <c r="A3037" t="s">
        <v>51</v>
      </c>
      <c r="B3037" t="s">
        <v>52</v>
      </c>
      <c r="C3037" t="s">
        <v>50</v>
      </c>
      <c r="D3037" s="6">
        <v>45841</v>
      </c>
      <c r="E3037" t="str">
        <f>VLOOKUP(B3037,'PROCV GERENTES BD'!A:B,2,0)</f>
        <v>RAFAEL PARISE</v>
      </c>
      <c r="F3037" s="4" t="str">
        <f t="shared" si="282"/>
        <v>2025-07</v>
      </c>
      <c r="G3037" s="18">
        <f t="shared" si="283"/>
        <v>27</v>
      </c>
      <c r="H3037" t="str">
        <f t="shared" si="284"/>
        <v>RAFAEL PARISE</v>
      </c>
      <c r="I3037" t="str">
        <f t="shared" si="285"/>
        <v>TDR TRANSPORTES LOGISTICA LTDA</v>
      </c>
      <c r="J3037">
        <f t="shared" si="286"/>
        <v>0</v>
      </c>
      <c r="K3037">
        <f t="shared" si="287"/>
        <v>1</v>
      </c>
    </row>
    <row r="3038" spans="1:11" x14ac:dyDescent="0.25">
      <c r="A3038" t="s">
        <v>629</v>
      </c>
      <c r="B3038" t="s">
        <v>550</v>
      </c>
      <c r="C3038" t="s">
        <v>66</v>
      </c>
      <c r="D3038" s="6">
        <v>45841</v>
      </c>
      <c r="E3038" t="str">
        <f>VLOOKUP(B3038,'PROCV GERENTES BD'!A:B,2,0)</f>
        <v>CREDTEM</v>
      </c>
      <c r="F3038" s="4" t="str">
        <f t="shared" si="282"/>
        <v>2025-07</v>
      </c>
      <c r="G3038" s="18">
        <f t="shared" si="283"/>
        <v>27</v>
      </c>
      <c r="H3038" t="str">
        <f t="shared" si="284"/>
        <v>CREDTEM</v>
      </c>
      <c r="I3038" t="str">
        <f t="shared" si="285"/>
        <v>W M DE CASTRO NETO PRODUTOS FARMACEUTICOS EPP</v>
      </c>
      <c r="J3038">
        <f t="shared" si="286"/>
        <v>1</v>
      </c>
      <c r="K3038">
        <f t="shared" si="287"/>
        <v>0</v>
      </c>
    </row>
    <row r="3039" spans="1:11" x14ac:dyDescent="0.25">
      <c r="A3039" t="s">
        <v>324</v>
      </c>
      <c r="B3039" t="s">
        <v>119</v>
      </c>
      <c r="C3039" t="s">
        <v>53</v>
      </c>
      <c r="D3039" s="6">
        <v>45841</v>
      </c>
      <c r="E3039" t="str">
        <f>VLOOKUP(B3039,'PROCV GERENTES BD'!A:B,2,0)</f>
        <v>PROSPECTAR</v>
      </c>
      <c r="F3039" s="4" t="str">
        <f t="shared" si="282"/>
        <v>2025-07</v>
      </c>
      <c r="G3039" s="18">
        <f t="shared" si="283"/>
        <v>27</v>
      </c>
      <c r="H3039" t="str">
        <f t="shared" si="284"/>
        <v>PROSPECTAR</v>
      </c>
      <c r="I3039" t="str">
        <f t="shared" si="285"/>
        <v>TRANSHENRY TRANSPORTES LTDA</v>
      </c>
      <c r="J3039">
        <f t="shared" si="286"/>
        <v>1</v>
      </c>
      <c r="K3039">
        <f t="shared" si="287"/>
        <v>1</v>
      </c>
    </row>
    <row r="3040" spans="1:11" x14ac:dyDescent="0.25">
      <c r="A3040" t="s">
        <v>482</v>
      </c>
      <c r="B3040" t="s">
        <v>239</v>
      </c>
      <c r="C3040" t="s">
        <v>50</v>
      </c>
      <c r="D3040" s="6">
        <v>45841</v>
      </c>
      <c r="E3040" t="str">
        <f>VLOOKUP(B3040,'PROCV GERENTES BD'!A:B,2,0)</f>
        <v>RAFAEL PARISE</v>
      </c>
      <c r="F3040" s="4" t="str">
        <f t="shared" si="282"/>
        <v>2025-07</v>
      </c>
      <c r="G3040" s="18">
        <f t="shared" si="283"/>
        <v>27</v>
      </c>
      <c r="H3040" t="str">
        <f t="shared" si="284"/>
        <v>RAFAEL PARISE</v>
      </c>
      <c r="I3040" t="str">
        <f t="shared" si="285"/>
        <v>RENOVAR AGRICOLA LTDA</v>
      </c>
      <c r="J3040">
        <f t="shared" si="286"/>
        <v>0</v>
      </c>
      <c r="K3040">
        <f t="shared" si="287"/>
        <v>1</v>
      </c>
    </row>
    <row r="3041" spans="1:11" x14ac:dyDescent="0.25">
      <c r="A3041" t="s">
        <v>397</v>
      </c>
      <c r="B3041" t="s">
        <v>147</v>
      </c>
      <c r="C3041" t="s">
        <v>66</v>
      </c>
      <c r="D3041" s="6">
        <v>45841</v>
      </c>
      <c r="E3041" t="str">
        <f>VLOOKUP(B3041,'PROCV GERENTES BD'!A:B,2,0)</f>
        <v xml:space="preserve">MARCUS VINICIUS </v>
      </c>
      <c r="F3041" s="4" t="str">
        <f t="shared" si="282"/>
        <v>2025-07</v>
      </c>
      <c r="G3041" s="18">
        <f t="shared" si="283"/>
        <v>27</v>
      </c>
      <c r="H3041" t="str">
        <f t="shared" si="284"/>
        <v xml:space="preserve">MARCUS VINICIUS </v>
      </c>
      <c r="I3041" t="str">
        <f t="shared" si="285"/>
        <v>UNIVERSO INOX INDUSTRIA E COMERCIO LTDA EPP</v>
      </c>
      <c r="J3041">
        <f t="shared" si="286"/>
        <v>1</v>
      </c>
      <c r="K3041">
        <f t="shared" si="287"/>
        <v>0</v>
      </c>
    </row>
    <row r="3042" spans="1:11" x14ac:dyDescent="0.25">
      <c r="A3042" t="s">
        <v>631</v>
      </c>
      <c r="B3042" t="s">
        <v>561</v>
      </c>
      <c r="C3042" t="s">
        <v>66</v>
      </c>
      <c r="D3042" s="6">
        <v>45841</v>
      </c>
      <c r="E3042" t="str">
        <f>VLOOKUP(B3042,'PROCV GERENTES BD'!A:B,2,0)</f>
        <v>VALERIA</v>
      </c>
      <c r="F3042" s="4" t="str">
        <f t="shared" si="282"/>
        <v>2025-07</v>
      </c>
      <c r="G3042" s="18">
        <f t="shared" si="283"/>
        <v>27</v>
      </c>
      <c r="H3042" t="str">
        <f t="shared" si="284"/>
        <v>VALERIA</v>
      </c>
      <c r="I3042" t="str">
        <f t="shared" si="285"/>
        <v>TRANSPORTADORA PACHECO LTDA EPP</v>
      </c>
      <c r="J3042">
        <f t="shared" si="286"/>
        <v>1</v>
      </c>
      <c r="K3042">
        <f t="shared" si="287"/>
        <v>0</v>
      </c>
    </row>
    <row r="3043" spans="1:11" x14ac:dyDescent="0.25">
      <c r="A3043" t="s">
        <v>510</v>
      </c>
      <c r="B3043" t="s">
        <v>273</v>
      </c>
      <c r="C3043" t="s">
        <v>66</v>
      </c>
      <c r="D3043" s="6">
        <v>45841</v>
      </c>
      <c r="E3043" t="str">
        <f>VLOOKUP(B3043,'PROCV GERENTES BD'!A:B,2,0)</f>
        <v>CELIO PIMENTA</v>
      </c>
      <c r="F3043" s="4" t="str">
        <f t="shared" si="282"/>
        <v>2025-07</v>
      </c>
      <c r="G3043" s="18">
        <f t="shared" si="283"/>
        <v>27</v>
      </c>
      <c r="H3043" t="str">
        <f t="shared" si="284"/>
        <v>CELIO PIMENTA</v>
      </c>
      <c r="I3043" t="str">
        <f t="shared" si="285"/>
        <v>PRADO MOREIRA TEXTIL LTDA ME</v>
      </c>
      <c r="J3043">
        <f t="shared" si="286"/>
        <v>1</v>
      </c>
      <c r="K3043">
        <f t="shared" si="287"/>
        <v>0</v>
      </c>
    </row>
    <row r="3044" spans="1:11" x14ac:dyDescent="0.25">
      <c r="A3044" t="s">
        <v>529</v>
      </c>
      <c r="B3044" t="s">
        <v>297</v>
      </c>
      <c r="C3044" t="s">
        <v>50</v>
      </c>
      <c r="D3044" s="6">
        <v>45843</v>
      </c>
      <c r="E3044" t="str">
        <f>VLOOKUP(B3044,'PROCV GERENTES BD'!A:B,2,0)</f>
        <v>ANDRE CUNHA</v>
      </c>
      <c r="F3044" s="4" t="str">
        <f t="shared" si="282"/>
        <v>2025-07</v>
      </c>
      <c r="G3044" s="18">
        <f t="shared" si="283"/>
        <v>27</v>
      </c>
      <c r="H3044" t="str">
        <f t="shared" si="284"/>
        <v>ANDRE CUNHA</v>
      </c>
      <c r="I3044" t="str">
        <f t="shared" si="285"/>
        <v>REVPACK TECNOLOGIA E COMERCIO DE COMPONENTES PLAST</v>
      </c>
      <c r="J3044">
        <f t="shared" si="286"/>
        <v>0</v>
      </c>
      <c r="K3044">
        <f t="shared" si="287"/>
        <v>1</v>
      </c>
    </row>
    <row r="3045" spans="1:11" x14ac:dyDescent="0.25">
      <c r="A3045" t="s">
        <v>457</v>
      </c>
      <c r="B3045" t="s">
        <v>214</v>
      </c>
      <c r="C3045" t="s">
        <v>50</v>
      </c>
      <c r="D3045" s="6">
        <v>45843</v>
      </c>
      <c r="E3045" t="str">
        <f>VLOOKUP(B3045,'PROCV GERENTES BD'!A:B,2,0)</f>
        <v xml:space="preserve">ROGERIO </v>
      </c>
      <c r="F3045" s="4" t="str">
        <f t="shared" si="282"/>
        <v>2025-07</v>
      </c>
      <c r="G3045" s="18">
        <f t="shared" si="283"/>
        <v>27</v>
      </c>
      <c r="H3045" t="str">
        <f t="shared" si="284"/>
        <v xml:space="preserve">ROGERIO </v>
      </c>
      <c r="I3045" t="str">
        <f t="shared" si="285"/>
        <v>METAL STAMP INDUSTRIA E COMERCIO LTDA</v>
      </c>
      <c r="J3045">
        <f t="shared" si="286"/>
        <v>0</v>
      </c>
      <c r="K3045">
        <f t="shared" si="287"/>
        <v>1</v>
      </c>
    </row>
    <row r="3046" spans="1:11" x14ac:dyDescent="0.25">
      <c r="A3046" t="s">
        <v>430</v>
      </c>
      <c r="B3046" t="s">
        <v>181</v>
      </c>
      <c r="C3046" t="s">
        <v>50</v>
      </c>
      <c r="D3046" s="6">
        <v>45843</v>
      </c>
      <c r="E3046" t="str">
        <f>VLOOKUP(B3046,'PROCV GERENTES BD'!A:B,2,0)</f>
        <v>PROSPECTAR</v>
      </c>
      <c r="F3046" s="4" t="str">
        <f t="shared" si="282"/>
        <v>2025-07</v>
      </c>
      <c r="G3046" s="18">
        <f t="shared" si="283"/>
        <v>27</v>
      </c>
      <c r="H3046" t="str">
        <f t="shared" si="284"/>
        <v>PROSPECTAR</v>
      </c>
      <c r="I3046" t="str">
        <f t="shared" si="285"/>
        <v>SIQUEIRA E GAIPO INDUSTRIA E MATERIAIS ESPORTIVOS</v>
      </c>
      <c r="J3046">
        <f t="shared" si="286"/>
        <v>0</v>
      </c>
      <c r="K3046">
        <f t="shared" si="287"/>
        <v>1</v>
      </c>
    </row>
    <row r="3047" spans="1:11" x14ac:dyDescent="0.25">
      <c r="A3047" t="s">
        <v>508</v>
      </c>
      <c r="B3047" t="s">
        <v>271</v>
      </c>
      <c r="C3047" t="s">
        <v>50</v>
      </c>
      <c r="D3047" s="6">
        <v>45843</v>
      </c>
      <c r="E3047" t="str">
        <f>VLOOKUP(B3047,'PROCV GERENTES BD'!A:B,2,0)</f>
        <v>PRISCILA METZ</v>
      </c>
      <c r="F3047" s="4" t="str">
        <f t="shared" si="282"/>
        <v>2025-07</v>
      </c>
      <c r="G3047" s="18">
        <f t="shared" si="283"/>
        <v>27</v>
      </c>
      <c r="H3047" t="str">
        <f t="shared" si="284"/>
        <v>PRISCILA METZ</v>
      </c>
      <c r="I3047" t="str">
        <f t="shared" si="285"/>
        <v>TUBOLARES VITORIA INDUSTRIA E COMERCIO LTDA ME</v>
      </c>
      <c r="J3047">
        <f t="shared" si="286"/>
        <v>0</v>
      </c>
      <c r="K3047">
        <f t="shared" si="287"/>
        <v>1</v>
      </c>
    </row>
    <row r="3048" spans="1:11" x14ac:dyDescent="0.25">
      <c r="A3048" t="s">
        <v>616</v>
      </c>
      <c r="B3048" t="s">
        <v>617</v>
      </c>
      <c r="C3048" t="s">
        <v>66</v>
      </c>
      <c r="D3048" s="6">
        <v>45843</v>
      </c>
      <c r="E3048" t="str">
        <f>VLOOKUP(B3048,'PROCV GERENTES BD'!A:B,2,0)</f>
        <v>PRISCILA METZ</v>
      </c>
      <c r="F3048" s="4" t="str">
        <f t="shared" si="282"/>
        <v>2025-07</v>
      </c>
      <c r="G3048" s="18">
        <f t="shared" si="283"/>
        <v>27</v>
      </c>
      <c r="H3048" t="str">
        <f t="shared" si="284"/>
        <v>PRISCILA METZ</v>
      </c>
      <c r="I3048" t="str">
        <f t="shared" si="285"/>
        <v>DESTAK DISTRIBUIDORA PRODUTOS EQUIPAMENTOS HOSPITA</v>
      </c>
      <c r="J3048">
        <f t="shared" si="286"/>
        <v>1</v>
      </c>
      <c r="K3048">
        <f t="shared" si="287"/>
        <v>0</v>
      </c>
    </row>
    <row r="3049" spans="1:11" x14ac:dyDescent="0.25">
      <c r="A3049" t="s">
        <v>625</v>
      </c>
      <c r="B3049" t="s">
        <v>537</v>
      </c>
      <c r="C3049" t="s">
        <v>66</v>
      </c>
      <c r="D3049" s="6">
        <v>45843</v>
      </c>
      <c r="E3049" t="str">
        <f>VLOOKUP(B3049,'PROCV GERENTES BD'!A:B,2,0)</f>
        <v>WASHINGTON</v>
      </c>
      <c r="F3049" s="4" t="str">
        <f t="shared" si="282"/>
        <v>2025-07</v>
      </c>
      <c r="G3049" s="18">
        <f t="shared" si="283"/>
        <v>27</v>
      </c>
      <c r="H3049" t="str">
        <f t="shared" si="284"/>
        <v>WASHINGTON</v>
      </c>
      <c r="I3049" t="str">
        <f t="shared" si="285"/>
        <v>COMERCIAL SEGURANCA LTDA ME</v>
      </c>
      <c r="J3049">
        <f t="shared" si="286"/>
        <v>1</v>
      </c>
      <c r="K3049">
        <f t="shared" si="287"/>
        <v>0</v>
      </c>
    </row>
    <row r="3050" spans="1:11" x14ac:dyDescent="0.25">
      <c r="A3050" t="s">
        <v>64</v>
      </c>
      <c r="B3050" t="s">
        <v>65</v>
      </c>
      <c r="C3050" t="s">
        <v>50</v>
      </c>
      <c r="D3050" s="6">
        <v>45843</v>
      </c>
      <c r="E3050" t="str">
        <f>VLOOKUP(B3050,'PROCV GERENTES BD'!A:B,2,0)</f>
        <v>ADMINISTRAÇÃO</v>
      </c>
      <c r="F3050" s="4" t="str">
        <f t="shared" si="282"/>
        <v>2025-07</v>
      </c>
      <c r="G3050" s="18">
        <f t="shared" si="283"/>
        <v>27</v>
      </c>
      <c r="H3050" t="str">
        <f t="shared" si="284"/>
        <v>ADMINISTRAÇÃO</v>
      </c>
      <c r="I3050" t="str">
        <f t="shared" si="285"/>
        <v>SOCIAL S/A</v>
      </c>
      <c r="J3050">
        <f t="shared" si="286"/>
        <v>0</v>
      </c>
      <c r="K3050">
        <f t="shared" si="287"/>
        <v>1</v>
      </c>
    </row>
    <row r="3051" spans="1:11" x14ac:dyDescent="0.25">
      <c r="A3051" t="s">
        <v>62</v>
      </c>
      <c r="B3051" t="s">
        <v>63</v>
      </c>
      <c r="C3051" t="s">
        <v>53</v>
      </c>
      <c r="D3051" s="6">
        <v>45843</v>
      </c>
      <c r="E3051" t="str">
        <f>VLOOKUP(B3051,'PROCV GERENTES BD'!A:B,2,0)</f>
        <v>PROSPECTAR</v>
      </c>
      <c r="F3051" s="4" t="str">
        <f t="shared" si="282"/>
        <v>2025-07</v>
      </c>
      <c r="G3051" s="18">
        <f t="shared" si="283"/>
        <v>27</v>
      </c>
      <c r="H3051" t="str">
        <f t="shared" si="284"/>
        <v>PROSPECTAR</v>
      </c>
      <c r="I3051" t="str">
        <f t="shared" si="285"/>
        <v>MAPP COM IMPORTACAO EXPORTACAO IND PRODUTOS ALIMEN</v>
      </c>
      <c r="J3051">
        <f t="shared" si="286"/>
        <v>1</v>
      </c>
      <c r="K3051">
        <f t="shared" si="287"/>
        <v>1</v>
      </c>
    </row>
    <row r="3052" spans="1:11" x14ac:dyDescent="0.25">
      <c r="A3052" t="s">
        <v>632</v>
      </c>
      <c r="B3052" t="s">
        <v>633</v>
      </c>
      <c r="C3052" t="s">
        <v>50</v>
      </c>
      <c r="D3052" s="6">
        <v>45843</v>
      </c>
      <c r="E3052" t="str">
        <f>VLOOKUP(B3052,'PROCV GERENTES BD'!A:B,2,0)</f>
        <v>TIAGO NEVES</v>
      </c>
      <c r="F3052" s="4" t="str">
        <f t="shared" si="282"/>
        <v>2025-07</v>
      </c>
      <c r="G3052" s="18">
        <f t="shared" si="283"/>
        <v>27</v>
      </c>
      <c r="H3052" t="str">
        <f t="shared" si="284"/>
        <v>TIAGO NEVES</v>
      </c>
      <c r="I3052" t="str">
        <f t="shared" si="285"/>
        <v>AUTO VIDROS MG INDUSTRIA E COMERCIO LTDA</v>
      </c>
      <c r="J3052">
        <f t="shared" si="286"/>
        <v>0</v>
      </c>
      <c r="K3052">
        <f t="shared" si="287"/>
        <v>1</v>
      </c>
    </row>
    <row r="3053" spans="1:11" x14ac:dyDescent="0.25">
      <c r="A3053" t="s">
        <v>58</v>
      </c>
      <c r="B3053" t="s">
        <v>59</v>
      </c>
      <c r="C3053" t="s">
        <v>66</v>
      </c>
      <c r="D3053" s="6">
        <v>45843</v>
      </c>
      <c r="E3053" t="str">
        <f>VLOOKUP(B3053,'PROCV GERENTES BD'!A:B,2,0)</f>
        <v>ADMINISTRAÇÃO</v>
      </c>
      <c r="F3053" s="4" t="str">
        <f t="shared" si="282"/>
        <v>2025-07</v>
      </c>
      <c r="G3053" s="18">
        <f t="shared" si="283"/>
        <v>27</v>
      </c>
      <c r="H3053" t="str">
        <f t="shared" si="284"/>
        <v>ADMINISTRAÇÃO</v>
      </c>
      <c r="I3053" t="str">
        <f t="shared" si="285"/>
        <v>BIOTECH LOGISTICA LTDA</v>
      </c>
      <c r="J3053">
        <f t="shared" si="286"/>
        <v>1</v>
      </c>
      <c r="K3053">
        <f t="shared" si="287"/>
        <v>0</v>
      </c>
    </row>
    <row r="3054" spans="1:11" x14ac:dyDescent="0.25">
      <c r="A3054" t="s">
        <v>56</v>
      </c>
      <c r="B3054" t="s">
        <v>57</v>
      </c>
      <c r="C3054" t="s">
        <v>50</v>
      </c>
      <c r="D3054" s="6">
        <v>45843</v>
      </c>
      <c r="E3054" t="str">
        <f>VLOOKUP(B3054,'PROCV GERENTES BD'!A:B,2,0)</f>
        <v xml:space="preserve">ROGERIO </v>
      </c>
      <c r="F3054" s="4" t="str">
        <f t="shared" si="282"/>
        <v>2025-07</v>
      </c>
      <c r="G3054" s="18">
        <f t="shared" si="283"/>
        <v>27</v>
      </c>
      <c r="H3054" t="str">
        <f t="shared" si="284"/>
        <v xml:space="preserve">ROGERIO </v>
      </c>
      <c r="I3054" t="str">
        <f t="shared" si="285"/>
        <v>RODOVIEIRA TRANSPORTE LTDA</v>
      </c>
      <c r="J3054">
        <f t="shared" si="286"/>
        <v>0</v>
      </c>
      <c r="K3054">
        <f t="shared" si="287"/>
        <v>1</v>
      </c>
    </row>
    <row r="3055" spans="1:11" x14ac:dyDescent="0.25">
      <c r="A3055" t="s">
        <v>326</v>
      </c>
      <c r="B3055" t="s">
        <v>122</v>
      </c>
      <c r="C3055" t="s">
        <v>66</v>
      </c>
      <c r="D3055" s="6">
        <v>45843</v>
      </c>
      <c r="E3055" t="str">
        <f>VLOOKUP(B3055,'PROCV GERENTES BD'!A:B,2,0)</f>
        <v xml:space="preserve">ROGERIO </v>
      </c>
      <c r="F3055" s="4" t="str">
        <f t="shared" si="282"/>
        <v>2025-07</v>
      </c>
      <c r="G3055" s="18">
        <f t="shared" si="283"/>
        <v>27</v>
      </c>
      <c r="H3055" t="str">
        <f t="shared" si="284"/>
        <v xml:space="preserve">ROGERIO </v>
      </c>
      <c r="I3055" t="str">
        <f t="shared" si="285"/>
        <v>BIBE PRODUTOS INFANTIS LTDA</v>
      </c>
      <c r="J3055">
        <f t="shared" si="286"/>
        <v>1</v>
      </c>
      <c r="K3055">
        <f t="shared" si="287"/>
        <v>0</v>
      </c>
    </row>
    <row r="3056" spans="1:11" x14ac:dyDescent="0.25">
      <c r="A3056" t="s">
        <v>634</v>
      </c>
      <c r="B3056" t="s">
        <v>585</v>
      </c>
      <c r="C3056" t="s">
        <v>50</v>
      </c>
      <c r="D3056" s="6">
        <v>45843</v>
      </c>
      <c r="E3056" t="str">
        <f>VLOOKUP(B3056,'PROCV GERENTES BD'!A:B,2,0)</f>
        <v>ANDERSON FRAGA</v>
      </c>
      <c r="F3056" s="4" t="str">
        <f t="shared" si="282"/>
        <v>2025-07</v>
      </c>
      <c r="G3056" s="18">
        <f t="shared" si="283"/>
        <v>27</v>
      </c>
      <c r="H3056" t="str">
        <f t="shared" si="284"/>
        <v>ANDERSON FRAGA</v>
      </c>
      <c r="I3056" t="str">
        <f t="shared" si="285"/>
        <v>E DE P BATISTA DISTRIBUIDORA ME</v>
      </c>
      <c r="J3056">
        <f t="shared" si="286"/>
        <v>0</v>
      </c>
      <c r="K3056">
        <f t="shared" si="287"/>
        <v>1</v>
      </c>
    </row>
    <row r="3057" spans="1:11" x14ac:dyDescent="0.25">
      <c r="A3057" t="s">
        <v>358</v>
      </c>
      <c r="B3057" t="s">
        <v>104</v>
      </c>
      <c r="C3057" t="s">
        <v>66</v>
      </c>
      <c r="D3057" s="6">
        <v>45843</v>
      </c>
      <c r="E3057" t="str">
        <f>VLOOKUP(B3057,'PROCV GERENTES BD'!A:B,2,0)</f>
        <v>DIOGO AZEVEDO</v>
      </c>
      <c r="F3057" s="4" t="str">
        <f t="shared" si="282"/>
        <v>2025-07</v>
      </c>
      <c r="G3057" s="18">
        <f t="shared" si="283"/>
        <v>27</v>
      </c>
      <c r="H3057" t="str">
        <f t="shared" si="284"/>
        <v>DIOGO AZEVEDO</v>
      </c>
      <c r="I3057" t="str">
        <f t="shared" si="285"/>
        <v>INDUSTRIA E CERVEJARIA ARTESANAL DE MINAS GERAIS L</v>
      </c>
      <c r="J3057">
        <f t="shared" si="286"/>
        <v>1</v>
      </c>
      <c r="K3057">
        <f t="shared" si="287"/>
        <v>0</v>
      </c>
    </row>
    <row r="3058" spans="1:11" x14ac:dyDescent="0.25">
      <c r="A3058" t="s">
        <v>361</v>
      </c>
      <c r="B3058" t="s">
        <v>106</v>
      </c>
      <c r="C3058" t="s">
        <v>50</v>
      </c>
      <c r="D3058" s="6">
        <v>45843</v>
      </c>
      <c r="E3058" t="str">
        <f>VLOOKUP(B3058,'PROCV GERENTES BD'!A:B,2,0)</f>
        <v>PRISCILA METZ</v>
      </c>
      <c r="F3058" s="4" t="str">
        <f t="shared" si="282"/>
        <v>2025-07</v>
      </c>
      <c r="G3058" s="18">
        <f t="shared" si="283"/>
        <v>27</v>
      </c>
      <c r="H3058" t="str">
        <f t="shared" si="284"/>
        <v>PRISCILA METZ</v>
      </c>
      <c r="I3058" t="str">
        <f t="shared" si="285"/>
        <v>HERBAMED LABORATORIO NUTRACEUTICO LTDA</v>
      </c>
      <c r="J3058">
        <f t="shared" si="286"/>
        <v>0</v>
      </c>
      <c r="K3058">
        <f t="shared" si="287"/>
        <v>1</v>
      </c>
    </row>
    <row r="3059" spans="1:11" x14ac:dyDescent="0.25">
      <c r="A3059" t="s">
        <v>434</v>
      </c>
      <c r="B3059" t="s">
        <v>185</v>
      </c>
      <c r="C3059" t="s">
        <v>66</v>
      </c>
      <c r="D3059" s="6">
        <v>45843</v>
      </c>
      <c r="E3059" t="str">
        <f>VLOOKUP(B3059,'PROCV GERENTES BD'!A:B,2,0)</f>
        <v>RAFAEL PARISE</v>
      </c>
      <c r="F3059" s="4" t="str">
        <f t="shared" si="282"/>
        <v>2025-07</v>
      </c>
      <c r="G3059" s="18">
        <f t="shared" si="283"/>
        <v>27</v>
      </c>
      <c r="H3059" t="str">
        <f t="shared" si="284"/>
        <v>RAFAEL PARISE</v>
      </c>
      <c r="I3059" t="str">
        <f t="shared" si="285"/>
        <v>MARCAS COMERCIO LTDA ME</v>
      </c>
      <c r="J3059">
        <f t="shared" si="286"/>
        <v>1</v>
      </c>
      <c r="K3059">
        <f t="shared" si="287"/>
        <v>0</v>
      </c>
    </row>
    <row r="3060" spans="1:11" x14ac:dyDescent="0.25">
      <c r="A3060" t="s">
        <v>51</v>
      </c>
      <c r="B3060" t="s">
        <v>52</v>
      </c>
      <c r="C3060" t="s">
        <v>50</v>
      </c>
      <c r="D3060" s="6">
        <v>45843</v>
      </c>
      <c r="E3060" t="str">
        <f>VLOOKUP(B3060,'PROCV GERENTES BD'!A:B,2,0)</f>
        <v>RAFAEL PARISE</v>
      </c>
      <c r="F3060" s="4" t="str">
        <f t="shared" si="282"/>
        <v>2025-07</v>
      </c>
      <c r="G3060" s="18">
        <f t="shared" si="283"/>
        <v>27</v>
      </c>
      <c r="H3060" t="str">
        <f t="shared" si="284"/>
        <v>RAFAEL PARISE</v>
      </c>
      <c r="I3060" t="str">
        <f t="shared" si="285"/>
        <v>TDR TRANSPORTES LOGISTICA LTDA</v>
      </c>
      <c r="J3060">
        <f t="shared" si="286"/>
        <v>0</v>
      </c>
      <c r="K3060">
        <f t="shared" si="287"/>
        <v>1</v>
      </c>
    </row>
    <row r="3061" spans="1:11" x14ac:dyDescent="0.25">
      <c r="A3061" t="s">
        <v>629</v>
      </c>
      <c r="B3061" t="s">
        <v>550</v>
      </c>
      <c r="C3061" t="s">
        <v>50</v>
      </c>
      <c r="D3061" s="6">
        <v>45843</v>
      </c>
      <c r="E3061" t="str">
        <f>VLOOKUP(B3061,'PROCV GERENTES BD'!A:B,2,0)</f>
        <v>CREDTEM</v>
      </c>
      <c r="F3061" s="4" t="str">
        <f t="shared" si="282"/>
        <v>2025-07</v>
      </c>
      <c r="G3061" s="18">
        <f t="shared" si="283"/>
        <v>27</v>
      </c>
      <c r="H3061" t="str">
        <f t="shared" si="284"/>
        <v>CREDTEM</v>
      </c>
      <c r="I3061" t="str">
        <f t="shared" si="285"/>
        <v>W M DE CASTRO NETO PRODUTOS FARMACEUTICOS EPP</v>
      </c>
      <c r="J3061">
        <f t="shared" si="286"/>
        <v>0</v>
      </c>
      <c r="K3061">
        <f t="shared" si="287"/>
        <v>1</v>
      </c>
    </row>
    <row r="3062" spans="1:11" x14ac:dyDescent="0.25">
      <c r="A3062" t="s">
        <v>323</v>
      </c>
      <c r="B3062" t="s">
        <v>109</v>
      </c>
      <c r="C3062" t="s">
        <v>50</v>
      </c>
      <c r="D3062" s="6">
        <v>45843</v>
      </c>
      <c r="E3062" t="str">
        <f>VLOOKUP(B3062,'PROCV GERENTES BD'!A:B,2,0)</f>
        <v>PROSPECTAR</v>
      </c>
      <c r="F3062" s="4" t="str">
        <f t="shared" si="282"/>
        <v>2025-07</v>
      </c>
      <c r="G3062" s="18">
        <f t="shared" si="283"/>
        <v>27</v>
      </c>
      <c r="H3062" t="str">
        <f t="shared" si="284"/>
        <v>PROSPECTAR</v>
      </c>
      <c r="I3062" t="str">
        <f t="shared" si="285"/>
        <v>SIAP COMERCIO DE PRODUTOS AGROPECUARIOS LTDA</v>
      </c>
      <c r="J3062">
        <f t="shared" si="286"/>
        <v>0</v>
      </c>
      <c r="K3062">
        <f t="shared" si="287"/>
        <v>1</v>
      </c>
    </row>
    <row r="3063" spans="1:11" x14ac:dyDescent="0.25">
      <c r="A3063" t="s">
        <v>324</v>
      </c>
      <c r="B3063" t="s">
        <v>119</v>
      </c>
      <c r="C3063" t="s">
        <v>66</v>
      </c>
      <c r="D3063" s="6">
        <v>45843</v>
      </c>
      <c r="E3063" t="str">
        <f>VLOOKUP(B3063,'PROCV GERENTES BD'!A:B,2,0)</f>
        <v>PROSPECTAR</v>
      </c>
      <c r="F3063" s="4" t="str">
        <f t="shared" si="282"/>
        <v>2025-07</v>
      </c>
      <c r="G3063" s="18">
        <f t="shared" si="283"/>
        <v>27</v>
      </c>
      <c r="H3063" t="str">
        <f t="shared" si="284"/>
        <v>PROSPECTAR</v>
      </c>
      <c r="I3063" t="str">
        <f t="shared" si="285"/>
        <v>TRANSHENRY TRANSPORTES LTDA</v>
      </c>
      <c r="J3063">
        <f t="shared" si="286"/>
        <v>1</v>
      </c>
      <c r="K3063">
        <f t="shared" si="287"/>
        <v>0</v>
      </c>
    </row>
    <row r="3064" spans="1:11" x14ac:dyDescent="0.25">
      <c r="A3064" t="s">
        <v>305</v>
      </c>
      <c r="B3064" t="s">
        <v>141</v>
      </c>
      <c r="C3064" t="s">
        <v>50</v>
      </c>
      <c r="D3064" s="6">
        <v>45843</v>
      </c>
      <c r="E3064" t="str">
        <f>VLOOKUP(B3064,'PROCV GERENTES BD'!A:B,2,0)</f>
        <v>NOELI SALETE</v>
      </c>
      <c r="F3064" s="4" t="str">
        <f t="shared" si="282"/>
        <v>2025-07</v>
      </c>
      <c r="G3064" s="18">
        <f t="shared" si="283"/>
        <v>27</v>
      </c>
      <c r="H3064" t="str">
        <f t="shared" si="284"/>
        <v>NOELI SALETE</v>
      </c>
      <c r="I3064" t="str">
        <f t="shared" si="285"/>
        <v>JMS EMBALAGENS INDUSTRIAIS LTDA</v>
      </c>
      <c r="J3064">
        <f t="shared" si="286"/>
        <v>0</v>
      </c>
      <c r="K3064">
        <f t="shared" si="287"/>
        <v>1</v>
      </c>
    </row>
    <row r="3065" spans="1:11" x14ac:dyDescent="0.25">
      <c r="A3065" t="s">
        <v>523</v>
      </c>
      <c r="B3065" t="s">
        <v>288</v>
      </c>
      <c r="C3065" t="s">
        <v>53</v>
      </c>
      <c r="D3065" s="6">
        <v>45843</v>
      </c>
      <c r="E3065" t="str">
        <f>VLOOKUP(B3065,'PROCV GERENTES BD'!A:B,2,0)</f>
        <v>ADMINISTRAÇÃO</v>
      </c>
      <c r="F3065" s="4" t="str">
        <f t="shared" si="282"/>
        <v>2025-07</v>
      </c>
      <c r="G3065" s="18">
        <f t="shared" si="283"/>
        <v>27</v>
      </c>
      <c r="H3065" t="str">
        <f t="shared" si="284"/>
        <v>ADMINISTRAÇÃO</v>
      </c>
      <c r="I3065" t="str">
        <f t="shared" si="285"/>
        <v>REFRACONT BRASIL LTDA</v>
      </c>
      <c r="J3065">
        <f t="shared" si="286"/>
        <v>1</v>
      </c>
      <c r="K3065">
        <f t="shared" si="287"/>
        <v>1</v>
      </c>
    </row>
    <row r="3066" spans="1:11" x14ac:dyDescent="0.25">
      <c r="A3066" t="s">
        <v>48</v>
      </c>
      <c r="B3066" t="s">
        <v>49</v>
      </c>
      <c r="C3066" t="s">
        <v>50</v>
      </c>
      <c r="D3066" s="6">
        <v>45843</v>
      </c>
      <c r="E3066" t="str">
        <f>VLOOKUP(B3066,'PROCV GERENTES BD'!A:B,2,0)</f>
        <v xml:space="preserve">MARCUS VINICIUS </v>
      </c>
      <c r="F3066" s="4" t="str">
        <f t="shared" si="282"/>
        <v>2025-07</v>
      </c>
      <c r="G3066" s="18">
        <f t="shared" si="283"/>
        <v>27</v>
      </c>
      <c r="H3066" t="str">
        <f t="shared" si="284"/>
        <v xml:space="preserve">MARCUS VINICIUS </v>
      </c>
      <c r="I3066" t="str">
        <f t="shared" si="285"/>
        <v>PROMEL IND COM IMP E EXP DE PRODS NATURAIS LTDA</v>
      </c>
      <c r="J3066">
        <f t="shared" si="286"/>
        <v>0</v>
      </c>
      <c r="K3066">
        <f t="shared" si="287"/>
        <v>1</v>
      </c>
    </row>
    <row r="3067" spans="1:11" x14ac:dyDescent="0.25">
      <c r="A3067" t="s">
        <v>331</v>
      </c>
      <c r="B3067" t="s">
        <v>144</v>
      </c>
      <c r="C3067" t="s">
        <v>50</v>
      </c>
      <c r="D3067" s="6">
        <v>45843</v>
      </c>
      <c r="E3067" t="str">
        <f>VLOOKUP(B3067,'PROCV GERENTES BD'!A:B,2,0)</f>
        <v>ADMINISTRAÇÃO</v>
      </c>
      <c r="F3067" s="4" t="str">
        <f t="shared" si="282"/>
        <v>2025-07</v>
      </c>
      <c r="G3067" s="18">
        <f t="shared" si="283"/>
        <v>27</v>
      </c>
      <c r="H3067" t="str">
        <f t="shared" si="284"/>
        <v>ADMINISTRAÇÃO</v>
      </c>
      <c r="I3067" t="str">
        <f t="shared" si="285"/>
        <v>BOM PASTOR PAPEIS LTDA EM RECUPERACAO JUDICIAL</v>
      </c>
      <c r="J3067">
        <f t="shared" si="286"/>
        <v>0</v>
      </c>
      <c r="K3067">
        <f t="shared" si="287"/>
        <v>1</v>
      </c>
    </row>
    <row r="3068" spans="1:11" x14ac:dyDescent="0.25">
      <c r="A3068" t="s">
        <v>407</v>
      </c>
      <c r="B3068" t="s">
        <v>157</v>
      </c>
      <c r="C3068" t="s">
        <v>66</v>
      </c>
      <c r="D3068" s="6">
        <v>45843</v>
      </c>
      <c r="E3068" t="str">
        <f>VLOOKUP(B3068,'PROCV GERENTES BD'!A:B,2,0)</f>
        <v>NOELI SALETE</v>
      </c>
      <c r="F3068" s="4" t="str">
        <f t="shared" si="282"/>
        <v>2025-07</v>
      </c>
      <c r="G3068" s="18">
        <f t="shared" si="283"/>
        <v>27</v>
      </c>
      <c r="H3068" t="str">
        <f t="shared" si="284"/>
        <v>NOELI SALETE</v>
      </c>
      <c r="I3068" t="str">
        <f t="shared" si="285"/>
        <v>SGAMAQ INOVACAO AGROINDUSTRIAL LTDA</v>
      </c>
      <c r="J3068">
        <f t="shared" si="286"/>
        <v>1</v>
      </c>
      <c r="K3068">
        <f t="shared" si="287"/>
        <v>0</v>
      </c>
    </row>
    <row r="3069" spans="1:11" x14ac:dyDescent="0.25">
      <c r="A3069" t="s">
        <v>529</v>
      </c>
      <c r="B3069" t="s">
        <v>297</v>
      </c>
      <c r="C3069" t="s">
        <v>50</v>
      </c>
      <c r="D3069" s="6">
        <v>45846</v>
      </c>
      <c r="E3069" t="str">
        <f>VLOOKUP(B3069,'PROCV GERENTES BD'!A:B,2,0)</f>
        <v>ANDRE CUNHA</v>
      </c>
      <c r="F3069" s="4" t="str">
        <f t="shared" si="282"/>
        <v>2025-07</v>
      </c>
      <c r="G3069" s="18">
        <f t="shared" si="283"/>
        <v>28</v>
      </c>
      <c r="H3069" t="str">
        <f t="shared" si="284"/>
        <v>ANDRE CUNHA</v>
      </c>
      <c r="I3069" t="str">
        <f t="shared" si="285"/>
        <v>REVPACK TECNOLOGIA E COMERCIO DE COMPONENTES PLAST</v>
      </c>
      <c r="J3069">
        <f t="shared" si="286"/>
        <v>0</v>
      </c>
      <c r="K3069">
        <f t="shared" si="287"/>
        <v>1</v>
      </c>
    </row>
    <row r="3070" spans="1:11" x14ac:dyDescent="0.25">
      <c r="A3070" t="s">
        <v>325</v>
      </c>
      <c r="B3070" t="s">
        <v>138</v>
      </c>
      <c r="C3070" t="s">
        <v>50</v>
      </c>
      <c r="D3070" s="6">
        <v>45846</v>
      </c>
      <c r="E3070" t="str">
        <f>VLOOKUP(B3070,'PROCV GERENTES BD'!A:B,2,0)</f>
        <v>SACADO</v>
      </c>
      <c r="F3070" s="4" t="str">
        <f t="shared" si="282"/>
        <v>2025-07</v>
      </c>
      <c r="G3070" s="18">
        <f t="shared" si="283"/>
        <v>28</v>
      </c>
      <c r="H3070" t="str">
        <f t="shared" si="284"/>
        <v>SACADO</v>
      </c>
      <c r="I3070" t="str">
        <f t="shared" si="285"/>
        <v>ALLIAGE S A INDUSTRIAS MEDICO ODONTOLOGICA</v>
      </c>
      <c r="J3070">
        <f t="shared" si="286"/>
        <v>0</v>
      </c>
      <c r="K3070">
        <f t="shared" si="287"/>
        <v>1</v>
      </c>
    </row>
    <row r="3071" spans="1:11" x14ac:dyDescent="0.25">
      <c r="A3071" t="s">
        <v>492</v>
      </c>
      <c r="B3071" t="s">
        <v>251</v>
      </c>
      <c r="C3071" t="s">
        <v>50</v>
      </c>
      <c r="D3071" s="6">
        <v>45846</v>
      </c>
      <c r="E3071" t="str">
        <f>VLOOKUP(B3071,'PROCV GERENTES BD'!A:B,2,0)</f>
        <v>PROSPECTAR</v>
      </c>
      <c r="F3071" s="4" t="str">
        <f t="shared" si="282"/>
        <v>2025-07</v>
      </c>
      <c r="G3071" s="18">
        <f t="shared" si="283"/>
        <v>28</v>
      </c>
      <c r="H3071" t="str">
        <f t="shared" si="284"/>
        <v>PROSPECTAR</v>
      </c>
      <c r="I3071" t="str">
        <f t="shared" si="285"/>
        <v>JANE FIGUEIRA CONFECCOES LTDA ME</v>
      </c>
      <c r="J3071">
        <f t="shared" si="286"/>
        <v>0</v>
      </c>
      <c r="K3071">
        <f t="shared" si="287"/>
        <v>1</v>
      </c>
    </row>
    <row r="3072" spans="1:11" x14ac:dyDescent="0.25">
      <c r="A3072" t="s">
        <v>473</v>
      </c>
      <c r="B3072" t="s">
        <v>230</v>
      </c>
      <c r="C3072" t="s">
        <v>50</v>
      </c>
      <c r="D3072" s="6">
        <v>45846</v>
      </c>
      <c r="E3072" t="str">
        <f>VLOOKUP(B3072,'PROCV GERENTES BD'!A:B,2,0)</f>
        <v>ADMINISTRAÇÃO</v>
      </c>
      <c r="F3072" s="4" t="str">
        <f t="shared" si="282"/>
        <v>2025-07</v>
      </c>
      <c r="G3072" s="18">
        <f t="shared" si="283"/>
        <v>28</v>
      </c>
      <c r="H3072" t="str">
        <f t="shared" si="284"/>
        <v>ADMINISTRAÇÃO</v>
      </c>
      <c r="I3072" t="str">
        <f t="shared" si="285"/>
        <v>ALTAG NEGOCIOS AGRICOLAS LTDA</v>
      </c>
      <c r="J3072">
        <f t="shared" si="286"/>
        <v>0</v>
      </c>
      <c r="K3072">
        <f t="shared" si="287"/>
        <v>1</v>
      </c>
    </row>
    <row r="3073" spans="1:11" x14ac:dyDescent="0.25">
      <c r="A3073" t="s">
        <v>622</v>
      </c>
      <c r="B3073" t="s">
        <v>540</v>
      </c>
      <c r="C3073" t="s">
        <v>50</v>
      </c>
      <c r="D3073" s="6">
        <v>45846</v>
      </c>
      <c r="E3073" t="str">
        <f>VLOOKUP(B3073,'PROCV GERENTES BD'!A:B,2,0)</f>
        <v>ADMINISTRAÇÃO</v>
      </c>
      <c r="F3073" s="4" t="str">
        <f t="shared" si="282"/>
        <v>2025-07</v>
      </c>
      <c r="G3073" s="18">
        <f t="shared" si="283"/>
        <v>28</v>
      </c>
      <c r="H3073" t="str">
        <f t="shared" si="284"/>
        <v>ADMINISTRAÇÃO</v>
      </c>
      <c r="I3073" t="str">
        <f t="shared" si="285"/>
        <v>HBEAUTY COSMETICOS LTDA ME</v>
      </c>
      <c r="J3073">
        <f t="shared" si="286"/>
        <v>0</v>
      </c>
      <c r="K3073">
        <f t="shared" si="287"/>
        <v>1</v>
      </c>
    </row>
    <row r="3074" spans="1:11" x14ac:dyDescent="0.25">
      <c r="A3074" t="s">
        <v>430</v>
      </c>
      <c r="B3074" t="s">
        <v>181</v>
      </c>
      <c r="C3074" t="s">
        <v>50</v>
      </c>
      <c r="D3074" s="6">
        <v>45846</v>
      </c>
      <c r="E3074" t="str">
        <f>VLOOKUP(B3074,'PROCV GERENTES BD'!A:B,2,0)</f>
        <v>PROSPECTAR</v>
      </c>
      <c r="F3074" s="4" t="str">
        <f t="shared" ref="F3074:F3137" si="288">YEAR(D3074)&amp;"-"&amp;TEXT(MONTH(D3074),"00")</f>
        <v>2025-07</v>
      </c>
      <c r="G3074" s="18">
        <f t="shared" ref="G3074:G3137" si="289">WEEKNUM(D3074)</f>
        <v>28</v>
      </c>
      <c r="H3074" t="str">
        <f t="shared" ref="H3074:H3137" si="290">E3074</f>
        <v>PROSPECTAR</v>
      </c>
      <c r="I3074" t="str">
        <f t="shared" ref="I3074:I3137" si="291">B3074</f>
        <v>SIQUEIRA E GAIPO INDUSTRIA E MATERIAIS ESPORTIVOS</v>
      </c>
      <c r="J3074">
        <f t="shared" ref="J3074:J3137" si="292">IF(OR(C3074="EXCLUSAO  ANOT.INADIMPLENCIA",C3074="INCL/EXCL ANOT.INADIMPLENCIA"),1,0)</f>
        <v>0</v>
      </c>
      <c r="K3074">
        <f t="shared" ref="K3074:K3137" si="293">IF(OR(C3074="INCLUSAO  ANOT.INADIMPLENCIA",C3074="INCL/EXCL ANOT.INADIMPLENCIA"),1,0)</f>
        <v>1</v>
      </c>
    </row>
    <row r="3075" spans="1:11" x14ac:dyDescent="0.25">
      <c r="A3075" t="s">
        <v>508</v>
      </c>
      <c r="B3075" t="s">
        <v>271</v>
      </c>
      <c r="C3075" t="s">
        <v>50</v>
      </c>
      <c r="D3075" s="6">
        <v>45846</v>
      </c>
      <c r="E3075" t="str">
        <f>VLOOKUP(B3075,'PROCV GERENTES BD'!A:B,2,0)</f>
        <v>PRISCILA METZ</v>
      </c>
      <c r="F3075" s="4" t="str">
        <f t="shared" si="288"/>
        <v>2025-07</v>
      </c>
      <c r="G3075" s="18">
        <f t="shared" si="289"/>
        <v>28</v>
      </c>
      <c r="H3075" t="str">
        <f t="shared" si="290"/>
        <v>PRISCILA METZ</v>
      </c>
      <c r="I3075" t="str">
        <f t="shared" si="291"/>
        <v>TUBOLARES VITORIA INDUSTRIA E COMERCIO LTDA ME</v>
      </c>
      <c r="J3075">
        <f t="shared" si="292"/>
        <v>0</v>
      </c>
      <c r="K3075">
        <f t="shared" si="293"/>
        <v>1</v>
      </c>
    </row>
    <row r="3076" spans="1:11" x14ac:dyDescent="0.25">
      <c r="A3076" t="s">
        <v>314</v>
      </c>
      <c r="B3076" t="s">
        <v>246</v>
      </c>
      <c r="C3076" t="s">
        <v>50</v>
      </c>
      <c r="D3076" s="6">
        <v>45846</v>
      </c>
      <c r="E3076" t="str">
        <f>VLOOKUP(B3076,'PROCV GERENTES BD'!A:B,2,0)</f>
        <v xml:space="preserve">ROGERIO </v>
      </c>
      <c r="F3076" s="4" t="str">
        <f t="shared" si="288"/>
        <v>2025-07</v>
      </c>
      <c r="G3076" s="18">
        <f t="shared" si="289"/>
        <v>28</v>
      </c>
      <c r="H3076" t="str">
        <f t="shared" si="290"/>
        <v xml:space="preserve">ROGERIO </v>
      </c>
      <c r="I3076" t="str">
        <f t="shared" si="291"/>
        <v>MUTCD CENTRO DE DISTRIBUICAO DE IND FABRICANTE DE</v>
      </c>
      <c r="J3076">
        <f t="shared" si="292"/>
        <v>0</v>
      </c>
      <c r="K3076">
        <f t="shared" si="293"/>
        <v>1</v>
      </c>
    </row>
    <row r="3077" spans="1:11" x14ac:dyDescent="0.25">
      <c r="A3077" t="s">
        <v>599</v>
      </c>
      <c r="B3077" t="s">
        <v>541</v>
      </c>
      <c r="C3077" t="s">
        <v>50</v>
      </c>
      <c r="D3077" s="6">
        <v>45846</v>
      </c>
      <c r="E3077" t="str">
        <f>VLOOKUP(B3077,'PROCV GERENTES BD'!A:B,2,0)</f>
        <v xml:space="preserve">MARCUS VINICIUS </v>
      </c>
      <c r="F3077" s="4" t="str">
        <f t="shared" si="288"/>
        <v>2025-07</v>
      </c>
      <c r="G3077" s="18">
        <f t="shared" si="289"/>
        <v>28</v>
      </c>
      <c r="H3077" t="str">
        <f t="shared" si="290"/>
        <v xml:space="preserve">MARCUS VINICIUS </v>
      </c>
      <c r="I3077" t="str">
        <f t="shared" si="291"/>
        <v>JSA INDUSTRIA DE COSMETICOS LTDA EPP</v>
      </c>
      <c r="J3077">
        <f t="shared" si="292"/>
        <v>0</v>
      </c>
      <c r="K3077">
        <f t="shared" si="293"/>
        <v>1</v>
      </c>
    </row>
    <row r="3078" spans="1:11" x14ac:dyDescent="0.25">
      <c r="A3078" t="s">
        <v>370</v>
      </c>
      <c r="B3078" t="s">
        <v>114</v>
      </c>
      <c r="C3078" t="s">
        <v>50</v>
      </c>
      <c r="D3078" s="6">
        <v>45846</v>
      </c>
      <c r="E3078" t="str">
        <f>VLOOKUP(B3078,'PROCV GERENTES BD'!A:B,2,0)</f>
        <v>POENATELA</v>
      </c>
      <c r="F3078" s="4" t="str">
        <f t="shared" si="288"/>
        <v>2025-07</v>
      </c>
      <c r="G3078" s="18">
        <f t="shared" si="289"/>
        <v>28</v>
      </c>
      <c r="H3078" t="str">
        <f t="shared" si="290"/>
        <v>POENATELA</v>
      </c>
      <c r="I3078" t="str">
        <f t="shared" si="291"/>
        <v>COOPERATIVA TRANSP AUTON CARGAS PASSAG SERVICOS LO</v>
      </c>
      <c r="J3078">
        <f t="shared" si="292"/>
        <v>0</v>
      </c>
      <c r="K3078">
        <f t="shared" si="293"/>
        <v>1</v>
      </c>
    </row>
    <row r="3079" spans="1:11" x14ac:dyDescent="0.25">
      <c r="A3079" t="s">
        <v>450</v>
      </c>
      <c r="B3079" t="s">
        <v>207</v>
      </c>
      <c r="C3079" t="s">
        <v>50</v>
      </c>
      <c r="D3079" s="6">
        <v>45846</v>
      </c>
      <c r="E3079" t="str">
        <f>VLOOKUP(B3079,'PROCV GERENTES BD'!A:B,2,0)</f>
        <v>CELIO PIMENTA</v>
      </c>
      <c r="F3079" s="4" t="str">
        <f t="shared" si="288"/>
        <v>2025-07</v>
      </c>
      <c r="G3079" s="18">
        <f t="shared" si="289"/>
        <v>28</v>
      </c>
      <c r="H3079" t="str">
        <f t="shared" si="290"/>
        <v>CELIO PIMENTA</v>
      </c>
      <c r="I3079" t="str">
        <f t="shared" si="291"/>
        <v>LIDER COMERCIO DE UNIFORMES E EPI S LTDA ME</v>
      </c>
      <c r="J3079">
        <f t="shared" si="292"/>
        <v>0</v>
      </c>
      <c r="K3079">
        <f t="shared" si="293"/>
        <v>1</v>
      </c>
    </row>
    <row r="3080" spans="1:11" x14ac:dyDescent="0.25">
      <c r="A3080" t="s">
        <v>515</v>
      </c>
      <c r="B3080" t="s">
        <v>277</v>
      </c>
      <c r="C3080" t="s">
        <v>50</v>
      </c>
      <c r="D3080" s="6">
        <v>45846</v>
      </c>
      <c r="E3080" t="str">
        <f>VLOOKUP(B3080,'PROCV GERENTES BD'!A:B,2,0)</f>
        <v>ALISSON DE SOUZA LIMA</v>
      </c>
      <c r="F3080" s="4" t="str">
        <f t="shared" si="288"/>
        <v>2025-07</v>
      </c>
      <c r="G3080" s="18">
        <f t="shared" si="289"/>
        <v>28</v>
      </c>
      <c r="H3080" t="str">
        <f t="shared" si="290"/>
        <v>ALISSON DE SOUZA LIMA</v>
      </c>
      <c r="I3080" t="str">
        <f t="shared" si="291"/>
        <v>COMERCIAL GTS INFORMATICA LTDA EPP</v>
      </c>
      <c r="J3080">
        <f t="shared" si="292"/>
        <v>0</v>
      </c>
      <c r="K3080">
        <f t="shared" si="293"/>
        <v>1</v>
      </c>
    </row>
    <row r="3081" spans="1:11" x14ac:dyDescent="0.25">
      <c r="A3081" t="s">
        <v>625</v>
      </c>
      <c r="B3081" t="s">
        <v>537</v>
      </c>
      <c r="C3081" t="s">
        <v>50</v>
      </c>
      <c r="D3081" s="6">
        <v>45846</v>
      </c>
      <c r="E3081" t="str">
        <f>VLOOKUP(B3081,'PROCV GERENTES BD'!A:B,2,0)</f>
        <v>WASHINGTON</v>
      </c>
      <c r="F3081" s="4" t="str">
        <f t="shared" si="288"/>
        <v>2025-07</v>
      </c>
      <c r="G3081" s="18">
        <f t="shared" si="289"/>
        <v>28</v>
      </c>
      <c r="H3081" t="str">
        <f t="shared" si="290"/>
        <v>WASHINGTON</v>
      </c>
      <c r="I3081" t="str">
        <f t="shared" si="291"/>
        <v>COMERCIAL SEGURANCA LTDA ME</v>
      </c>
      <c r="J3081">
        <f t="shared" si="292"/>
        <v>0</v>
      </c>
      <c r="K3081">
        <f t="shared" si="293"/>
        <v>1</v>
      </c>
    </row>
    <row r="3082" spans="1:11" x14ac:dyDescent="0.25">
      <c r="A3082" t="s">
        <v>64</v>
      </c>
      <c r="B3082" t="s">
        <v>65</v>
      </c>
      <c r="C3082" t="s">
        <v>53</v>
      </c>
      <c r="D3082" s="6">
        <v>45846</v>
      </c>
      <c r="E3082" t="str">
        <f>VLOOKUP(B3082,'PROCV GERENTES BD'!A:B,2,0)</f>
        <v>ADMINISTRAÇÃO</v>
      </c>
      <c r="F3082" s="4" t="str">
        <f t="shared" si="288"/>
        <v>2025-07</v>
      </c>
      <c r="G3082" s="18">
        <f t="shared" si="289"/>
        <v>28</v>
      </c>
      <c r="H3082" t="str">
        <f t="shared" si="290"/>
        <v>ADMINISTRAÇÃO</v>
      </c>
      <c r="I3082" t="str">
        <f t="shared" si="291"/>
        <v>SOCIAL S/A</v>
      </c>
      <c r="J3082">
        <f t="shared" si="292"/>
        <v>1</v>
      </c>
      <c r="K3082">
        <f t="shared" si="293"/>
        <v>1</v>
      </c>
    </row>
    <row r="3083" spans="1:11" x14ac:dyDescent="0.25">
      <c r="A3083" t="s">
        <v>62</v>
      </c>
      <c r="B3083" t="s">
        <v>63</v>
      </c>
      <c r="C3083" t="s">
        <v>50</v>
      </c>
      <c r="D3083" s="6">
        <v>45846</v>
      </c>
      <c r="E3083" t="str">
        <f>VLOOKUP(B3083,'PROCV GERENTES BD'!A:B,2,0)</f>
        <v>PROSPECTAR</v>
      </c>
      <c r="F3083" s="4" t="str">
        <f t="shared" si="288"/>
        <v>2025-07</v>
      </c>
      <c r="G3083" s="18">
        <f t="shared" si="289"/>
        <v>28</v>
      </c>
      <c r="H3083" t="str">
        <f t="shared" si="290"/>
        <v>PROSPECTAR</v>
      </c>
      <c r="I3083" t="str">
        <f t="shared" si="291"/>
        <v>MAPP COM IMPORTACAO EXPORTACAO IND PRODUTOS ALIMEN</v>
      </c>
      <c r="J3083">
        <f t="shared" si="292"/>
        <v>0</v>
      </c>
      <c r="K3083">
        <f t="shared" si="293"/>
        <v>1</v>
      </c>
    </row>
    <row r="3084" spans="1:11" x14ac:dyDescent="0.25">
      <c r="A3084" t="s">
        <v>632</v>
      </c>
      <c r="B3084" t="s">
        <v>633</v>
      </c>
      <c r="C3084" t="s">
        <v>50</v>
      </c>
      <c r="D3084" s="6">
        <v>45846</v>
      </c>
      <c r="E3084" t="str">
        <f>VLOOKUP(B3084,'PROCV GERENTES BD'!A:B,2,0)</f>
        <v>TIAGO NEVES</v>
      </c>
      <c r="F3084" s="4" t="str">
        <f t="shared" si="288"/>
        <v>2025-07</v>
      </c>
      <c r="G3084" s="18">
        <f t="shared" si="289"/>
        <v>28</v>
      </c>
      <c r="H3084" t="str">
        <f t="shared" si="290"/>
        <v>TIAGO NEVES</v>
      </c>
      <c r="I3084" t="str">
        <f t="shared" si="291"/>
        <v>AUTO VIDROS MG INDUSTRIA E COMERCIO LTDA</v>
      </c>
      <c r="J3084">
        <f t="shared" si="292"/>
        <v>0</v>
      </c>
      <c r="K3084">
        <f t="shared" si="293"/>
        <v>1</v>
      </c>
    </row>
    <row r="3085" spans="1:11" x14ac:dyDescent="0.25">
      <c r="A3085" t="s">
        <v>631</v>
      </c>
      <c r="B3085" t="s">
        <v>561</v>
      </c>
      <c r="C3085" t="s">
        <v>50</v>
      </c>
      <c r="D3085" s="6">
        <v>45846</v>
      </c>
      <c r="E3085" t="str">
        <f>VLOOKUP(B3085,'PROCV GERENTES BD'!A:B,2,0)</f>
        <v>VALERIA</v>
      </c>
      <c r="F3085" s="4" t="str">
        <f t="shared" si="288"/>
        <v>2025-07</v>
      </c>
      <c r="G3085" s="18">
        <f t="shared" si="289"/>
        <v>28</v>
      </c>
      <c r="H3085" t="str">
        <f t="shared" si="290"/>
        <v>VALERIA</v>
      </c>
      <c r="I3085" t="str">
        <f t="shared" si="291"/>
        <v>TRANSPORTADORA PACHECO LTDA EPP</v>
      </c>
      <c r="J3085">
        <f t="shared" si="292"/>
        <v>0</v>
      </c>
      <c r="K3085">
        <f t="shared" si="293"/>
        <v>1</v>
      </c>
    </row>
    <row r="3086" spans="1:11" x14ac:dyDescent="0.25">
      <c r="A3086" t="s">
        <v>58</v>
      </c>
      <c r="B3086" t="s">
        <v>59</v>
      </c>
      <c r="C3086" t="s">
        <v>50</v>
      </c>
      <c r="D3086" s="6">
        <v>45846</v>
      </c>
      <c r="E3086" t="str">
        <f>VLOOKUP(B3086,'PROCV GERENTES BD'!A:B,2,0)</f>
        <v>ADMINISTRAÇÃO</v>
      </c>
      <c r="F3086" s="4" t="str">
        <f t="shared" si="288"/>
        <v>2025-07</v>
      </c>
      <c r="G3086" s="18">
        <f t="shared" si="289"/>
        <v>28</v>
      </c>
      <c r="H3086" t="str">
        <f t="shared" si="290"/>
        <v>ADMINISTRAÇÃO</v>
      </c>
      <c r="I3086" t="str">
        <f t="shared" si="291"/>
        <v>BIOTECH LOGISTICA LTDA</v>
      </c>
      <c r="J3086">
        <f t="shared" si="292"/>
        <v>0</v>
      </c>
      <c r="K3086">
        <f t="shared" si="293"/>
        <v>1</v>
      </c>
    </row>
    <row r="3087" spans="1:11" x14ac:dyDescent="0.25">
      <c r="A3087" t="s">
        <v>56</v>
      </c>
      <c r="B3087" t="s">
        <v>57</v>
      </c>
      <c r="C3087" t="s">
        <v>66</v>
      </c>
      <c r="D3087" s="6">
        <v>45846</v>
      </c>
      <c r="E3087" t="str">
        <f>VLOOKUP(B3087,'PROCV GERENTES BD'!A:B,2,0)</f>
        <v xml:space="preserve">ROGERIO </v>
      </c>
      <c r="F3087" s="4" t="str">
        <f t="shared" si="288"/>
        <v>2025-07</v>
      </c>
      <c r="G3087" s="18">
        <f t="shared" si="289"/>
        <v>28</v>
      </c>
      <c r="H3087" t="str">
        <f t="shared" si="290"/>
        <v xml:space="preserve">ROGERIO </v>
      </c>
      <c r="I3087" t="str">
        <f t="shared" si="291"/>
        <v>RODOVIEIRA TRANSPORTE LTDA</v>
      </c>
      <c r="J3087">
        <f t="shared" si="292"/>
        <v>1</v>
      </c>
      <c r="K3087">
        <f t="shared" si="293"/>
        <v>0</v>
      </c>
    </row>
    <row r="3088" spans="1:11" x14ac:dyDescent="0.25">
      <c r="A3088" t="s">
        <v>480</v>
      </c>
      <c r="B3088" t="s">
        <v>237</v>
      </c>
      <c r="C3088" t="s">
        <v>66</v>
      </c>
      <c r="D3088" s="6">
        <v>45846</v>
      </c>
      <c r="E3088" t="str">
        <f>VLOOKUP(B3088,'PROCV GERENTES BD'!A:B,2,0)</f>
        <v>POENATELA</v>
      </c>
      <c r="F3088" s="4" t="str">
        <f t="shared" si="288"/>
        <v>2025-07</v>
      </c>
      <c r="G3088" s="18">
        <f t="shared" si="289"/>
        <v>28</v>
      </c>
      <c r="H3088" t="str">
        <f t="shared" si="290"/>
        <v>POENATELA</v>
      </c>
      <c r="I3088" t="str">
        <f t="shared" si="291"/>
        <v>PARANAIBA FERTILIZANTES IND E COM LTDA EM RECUPERA</v>
      </c>
      <c r="J3088">
        <f t="shared" si="292"/>
        <v>1</v>
      </c>
      <c r="K3088">
        <f t="shared" si="293"/>
        <v>0</v>
      </c>
    </row>
    <row r="3089" spans="1:11" x14ac:dyDescent="0.25">
      <c r="A3089" t="s">
        <v>434</v>
      </c>
      <c r="B3089" t="s">
        <v>185</v>
      </c>
      <c r="C3089" t="s">
        <v>50</v>
      </c>
      <c r="D3089" s="6">
        <v>45846</v>
      </c>
      <c r="E3089" t="str">
        <f>VLOOKUP(B3089,'PROCV GERENTES BD'!A:B,2,0)</f>
        <v>RAFAEL PARISE</v>
      </c>
      <c r="F3089" s="4" t="str">
        <f t="shared" si="288"/>
        <v>2025-07</v>
      </c>
      <c r="G3089" s="18">
        <f t="shared" si="289"/>
        <v>28</v>
      </c>
      <c r="H3089" t="str">
        <f t="shared" si="290"/>
        <v>RAFAEL PARISE</v>
      </c>
      <c r="I3089" t="str">
        <f t="shared" si="291"/>
        <v>MARCAS COMERCIO LTDA ME</v>
      </c>
      <c r="J3089">
        <f t="shared" si="292"/>
        <v>0</v>
      </c>
      <c r="K3089">
        <f t="shared" si="293"/>
        <v>1</v>
      </c>
    </row>
    <row r="3090" spans="1:11" x14ac:dyDescent="0.25">
      <c r="A3090" t="s">
        <v>387</v>
      </c>
      <c r="B3090" t="s">
        <v>134</v>
      </c>
      <c r="C3090" t="s">
        <v>50</v>
      </c>
      <c r="D3090" s="6">
        <v>45846</v>
      </c>
      <c r="E3090" t="str">
        <f>VLOOKUP(B3090,'PROCV GERENTES BD'!A:B,2,0)</f>
        <v>RAFAEL PARISE</v>
      </c>
      <c r="F3090" s="4" t="str">
        <f t="shared" si="288"/>
        <v>2025-07</v>
      </c>
      <c r="G3090" s="18">
        <f t="shared" si="289"/>
        <v>28</v>
      </c>
      <c r="H3090" t="str">
        <f t="shared" si="290"/>
        <v>RAFAEL PARISE</v>
      </c>
      <c r="I3090" t="str">
        <f t="shared" si="291"/>
        <v>MAIS DISTRIBUIDORA LTDA</v>
      </c>
      <c r="J3090">
        <f t="shared" si="292"/>
        <v>0</v>
      </c>
      <c r="K3090">
        <f t="shared" si="293"/>
        <v>1</v>
      </c>
    </row>
    <row r="3091" spans="1:11" x14ac:dyDescent="0.25">
      <c r="A3091" t="s">
        <v>51</v>
      </c>
      <c r="B3091" t="s">
        <v>52</v>
      </c>
      <c r="C3091" t="s">
        <v>50</v>
      </c>
      <c r="D3091" s="6">
        <v>45846</v>
      </c>
      <c r="E3091" t="str">
        <f>VLOOKUP(B3091,'PROCV GERENTES BD'!A:B,2,0)</f>
        <v>RAFAEL PARISE</v>
      </c>
      <c r="F3091" s="4" t="str">
        <f t="shared" si="288"/>
        <v>2025-07</v>
      </c>
      <c r="G3091" s="18">
        <f t="shared" si="289"/>
        <v>28</v>
      </c>
      <c r="H3091" t="str">
        <f t="shared" si="290"/>
        <v>RAFAEL PARISE</v>
      </c>
      <c r="I3091" t="str">
        <f t="shared" si="291"/>
        <v>TDR TRANSPORTES LOGISTICA LTDA</v>
      </c>
      <c r="J3091">
        <f t="shared" si="292"/>
        <v>0</v>
      </c>
      <c r="K3091">
        <f t="shared" si="293"/>
        <v>1</v>
      </c>
    </row>
    <row r="3092" spans="1:11" x14ac:dyDescent="0.25">
      <c r="A3092" t="s">
        <v>324</v>
      </c>
      <c r="B3092" t="s">
        <v>119</v>
      </c>
      <c r="C3092" t="s">
        <v>50</v>
      </c>
      <c r="D3092" s="6">
        <v>45846</v>
      </c>
      <c r="E3092" t="str">
        <f>VLOOKUP(B3092,'PROCV GERENTES BD'!A:B,2,0)</f>
        <v>PROSPECTAR</v>
      </c>
      <c r="F3092" s="4" t="str">
        <f t="shared" si="288"/>
        <v>2025-07</v>
      </c>
      <c r="G3092" s="18">
        <f t="shared" si="289"/>
        <v>28</v>
      </c>
      <c r="H3092" t="str">
        <f t="shared" si="290"/>
        <v>PROSPECTAR</v>
      </c>
      <c r="I3092" t="str">
        <f t="shared" si="291"/>
        <v>TRANSHENRY TRANSPORTES LTDA</v>
      </c>
      <c r="J3092">
        <f t="shared" si="292"/>
        <v>0</v>
      </c>
      <c r="K3092">
        <f t="shared" si="293"/>
        <v>1</v>
      </c>
    </row>
    <row r="3093" spans="1:11" x14ac:dyDescent="0.25">
      <c r="A3093" t="s">
        <v>524</v>
      </c>
      <c r="B3093" t="s">
        <v>289</v>
      </c>
      <c r="C3093" t="s">
        <v>50</v>
      </c>
      <c r="D3093" s="6">
        <v>45846</v>
      </c>
      <c r="E3093" t="str">
        <f>VLOOKUP(B3093,'PROCV GERENTES BD'!A:B,2,0)</f>
        <v>DALVA</v>
      </c>
      <c r="F3093" s="4" t="str">
        <f t="shared" si="288"/>
        <v>2025-07</v>
      </c>
      <c r="G3093" s="18">
        <f t="shared" si="289"/>
        <v>28</v>
      </c>
      <c r="H3093" t="str">
        <f t="shared" si="290"/>
        <v>DALVA</v>
      </c>
      <c r="I3093" t="str">
        <f t="shared" si="291"/>
        <v>FRAITECH INTELIGENCIA EM AUTOMACAO LTDA</v>
      </c>
      <c r="J3093">
        <f t="shared" si="292"/>
        <v>0</v>
      </c>
      <c r="K3093">
        <f t="shared" si="293"/>
        <v>1</v>
      </c>
    </row>
    <row r="3094" spans="1:11" x14ac:dyDescent="0.25">
      <c r="A3094" t="s">
        <v>305</v>
      </c>
      <c r="B3094" t="s">
        <v>141</v>
      </c>
      <c r="C3094" t="s">
        <v>50</v>
      </c>
      <c r="D3094" s="6">
        <v>45846</v>
      </c>
      <c r="E3094" t="str">
        <f>VLOOKUP(B3094,'PROCV GERENTES BD'!A:B,2,0)</f>
        <v>NOELI SALETE</v>
      </c>
      <c r="F3094" s="4" t="str">
        <f t="shared" si="288"/>
        <v>2025-07</v>
      </c>
      <c r="G3094" s="18">
        <f t="shared" si="289"/>
        <v>28</v>
      </c>
      <c r="H3094" t="str">
        <f t="shared" si="290"/>
        <v>NOELI SALETE</v>
      </c>
      <c r="I3094" t="str">
        <f t="shared" si="291"/>
        <v>JMS EMBALAGENS INDUSTRIAIS LTDA</v>
      </c>
      <c r="J3094">
        <f t="shared" si="292"/>
        <v>0</v>
      </c>
      <c r="K3094">
        <f t="shared" si="293"/>
        <v>1</v>
      </c>
    </row>
    <row r="3095" spans="1:11" x14ac:dyDescent="0.25">
      <c r="A3095" t="s">
        <v>523</v>
      </c>
      <c r="B3095" t="s">
        <v>288</v>
      </c>
      <c r="C3095" t="s">
        <v>53</v>
      </c>
      <c r="D3095" s="6">
        <v>45846</v>
      </c>
      <c r="E3095" t="str">
        <f>VLOOKUP(B3095,'PROCV GERENTES BD'!A:B,2,0)</f>
        <v>ADMINISTRAÇÃO</v>
      </c>
      <c r="F3095" s="4" t="str">
        <f t="shared" si="288"/>
        <v>2025-07</v>
      </c>
      <c r="G3095" s="18">
        <f t="shared" si="289"/>
        <v>28</v>
      </c>
      <c r="H3095" t="str">
        <f t="shared" si="290"/>
        <v>ADMINISTRAÇÃO</v>
      </c>
      <c r="I3095" t="str">
        <f t="shared" si="291"/>
        <v>REFRACONT BRASIL LTDA</v>
      </c>
      <c r="J3095">
        <f t="shared" si="292"/>
        <v>1</v>
      </c>
      <c r="K3095">
        <f t="shared" si="293"/>
        <v>1</v>
      </c>
    </row>
    <row r="3096" spans="1:11" x14ac:dyDescent="0.25">
      <c r="A3096" t="s">
        <v>48</v>
      </c>
      <c r="B3096" t="s">
        <v>49</v>
      </c>
      <c r="C3096" t="s">
        <v>50</v>
      </c>
      <c r="D3096" s="6">
        <v>45846</v>
      </c>
      <c r="E3096" t="str">
        <f>VLOOKUP(B3096,'PROCV GERENTES BD'!A:B,2,0)</f>
        <v xml:space="preserve">MARCUS VINICIUS </v>
      </c>
      <c r="F3096" s="4" t="str">
        <f t="shared" si="288"/>
        <v>2025-07</v>
      </c>
      <c r="G3096" s="18">
        <f t="shared" si="289"/>
        <v>28</v>
      </c>
      <c r="H3096" t="str">
        <f t="shared" si="290"/>
        <v xml:space="preserve">MARCUS VINICIUS </v>
      </c>
      <c r="I3096" t="str">
        <f t="shared" si="291"/>
        <v>PROMEL IND COM IMP E EXP DE PRODS NATURAIS LTDA</v>
      </c>
      <c r="J3096">
        <f t="shared" si="292"/>
        <v>0</v>
      </c>
      <c r="K3096">
        <f t="shared" si="293"/>
        <v>1</v>
      </c>
    </row>
    <row r="3097" spans="1:11" x14ac:dyDescent="0.25">
      <c r="A3097" t="s">
        <v>521</v>
      </c>
      <c r="B3097" t="s">
        <v>286</v>
      </c>
      <c r="C3097" t="s">
        <v>50</v>
      </c>
      <c r="D3097" s="6">
        <v>45846</v>
      </c>
      <c r="E3097" t="str">
        <f>VLOOKUP(B3097,'PROCV GERENTES BD'!A:B,2,0)</f>
        <v>CELIO PIMENTA</v>
      </c>
      <c r="F3097" s="4" t="str">
        <f t="shared" si="288"/>
        <v>2025-07</v>
      </c>
      <c r="G3097" s="18">
        <f t="shared" si="289"/>
        <v>28</v>
      </c>
      <c r="H3097" t="str">
        <f t="shared" si="290"/>
        <v>CELIO PIMENTA</v>
      </c>
      <c r="I3097" t="str">
        <f t="shared" si="291"/>
        <v>LINGERIE E CIA LTDA ME</v>
      </c>
      <c r="J3097">
        <f t="shared" si="292"/>
        <v>0</v>
      </c>
      <c r="K3097">
        <f t="shared" si="293"/>
        <v>1</v>
      </c>
    </row>
    <row r="3098" spans="1:11" x14ac:dyDescent="0.25">
      <c r="A3098" t="s">
        <v>326</v>
      </c>
      <c r="B3098" t="s">
        <v>122</v>
      </c>
      <c r="C3098" t="s">
        <v>50</v>
      </c>
      <c r="D3098" s="6">
        <v>45846</v>
      </c>
      <c r="E3098" t="str">
        <f>VLOOKUP(B3098,'PROCV GERENTES BD'!A:B,2,0)</f>
        <v xml:space="preserve">ROGERIO </v>
      </c>
      <c r="F3098" s="4" t="str">
        <f t="shared" si="288"/>
        <v>2025-07</v>
      </c>
      <c r="G3098" s="18">
        <f t="shared" si="289"/>
        <v>28</v>
      </c>
      <c r="H3098" t="str">
        <f t="shared" si="290"/>
        <v xml:space="preserve">ROGERIO </v>
      </c>
      <c r="I3098" t="str">
        <f t="shared" si="291"/>
        <v>BIBE PRODUTOS INFANTIS LTDA</v>
      </c>
      <c r="J3098">
        <f t="shared" si="292"/>
        <v>0</v>
      </c>
      <c r="K3098">
        <f t="shared" si="293"/>
        <v>1</v>
      </c>
    </row>
    <row r="3099" spans="1:11" x14ac:dyDescent="0.25">
      <c r="A3099" t="s">
        <v>529</v>
      </c>
      <c r="B3099" t="s">
        <v>297</v>
      </c>
      <c r="C3099" t="s">
        <v>53</v>
      </c>
      <c r="D3099" s="6">
        <v>45847</v>
      </c>
      <c r="E3099" t="str">
        <f>VLOOKUP(B3099,'PROCV GERENTES BD'!A:B,2,0)</f>
        <v>ANDRE CUNHA</v>
      </c>
      <c r="F3099" s="4" t="str">
        <f t="shared" si="288"/>
        <v>2025-07</v>
      </c>
      <c r="G3099" s="18">
        <f t="shared" si="289"/>
        <v>28</v>
      </c>
      <c r="H3099" t="str">
        <f t="shared" si="290"/>
        <v>ANDRE CUNHA</v>
      </c>
      <c r="I3099" t="str">
        <f t="shared" si="291"/>
        <v>REVPACK TECNOLOGIA E COMERCIO DE COMPONENTES PLAST</v>
      </c>
      <c r="J3099">
        <f t="shared" si="292"/>
        <v>1</v>
      </c>
      <c r="K3099">
        <f t="shared" si="293"/>
        <v>1</v>
      </c>
    </row>
    <row r="3100" spans="1:11" x14ac:dyDescent="0.25">
      <c r="A3100" t="s">
        <v>430</v>
      </c>
      <c r="B3100" t="s">
        <v>181</v>
      </c>
      <c r="C3100" t="s">
        <v>66</v>
      </c>
      <c r="D3100" s="6">
        <v>45847</v>
      </c>
      <c r="E3100" t="str">
        <f>VLOOKUP(B3100,'PROCV GERENTES BD'!A:B,2,0)</f>
        <v>PROSPECTAR</v>
      </c>
      <c r="F3100" s="4" t="str">
        <f t="shared" si="288"/>
        <v>2025-07</v>
      </c>
      <c r="G3100" s="18">
        <f t="shared" si="289"/>
        <v>28</v>
      </c>
      <c r="H3100" t="str">
        <f t="shared" si="290"/>
        <v>PROSPECTAR</v>
      </c>
      <c r="I3100" t="str">
        <f t="shared" si="291"/>
        <v>SIQUEIRA E GAIPO INDUSTRIA E MATERIAIS ESPORTIVOS</v>
      </c>
      <c r="J3100">
        <f t="shared" si="292"/>
        <v>1</v>
      </c>
      <c r="K3100">
        <f t="shared" si="293"/>
        <v>0</v>
      </c>
    </row>
    <row r="3101" spans="1:11" x14ac:dyDescent="0.25">
      <c r="A3101" t="s">
        <v>450</v>
      </c>
      <c r="B3101" t="s">
        <v>207</v>
      </c>
      <c r="C3101" t="s">
        <v>50</v>
      </c>
      <c r="D3101" s="6">
        <v>45847</v>
      </c>
      <c r="E3101" t="str">
        <f>VLOOKUP(B3101,'PROCV GERENTES BD'!A:B,2,0)</f>
        <v>CELIO PIMENTA</v>
      </c>
      <c r="F3101" s="4" t="str">
        <f t="shared" si="288"/>
        <v>2025-07</v>
      </c>
      <c r="G3101" s="18">
        <f t="shared" si="289"/>
        <v>28</v>
      </c>
      <c r="H3101" t="str">
        <f t="shared" si="290"/>
        <v>CELIO PIMENTA</v>
      </c>
      <c r="I3101" t="str">
        <f t="shared" si="291"/>
        <v>LIDER COMERCIO DE UNIFORMES E EPI S LTDA ME</v>
      </c>
      <c r="J3101">
        <f t="shared" si="292"/>
        <v>0</v>
      </c>
      <c r="K3101">
        <f t="shared" si="293"/>
        <v>1</v>
      </c>
    </row>
    <row r="3102" spans="1:11" x14ac:dyDescent="0.25">
      <c r="A3102" t="s">
        <v>427</v>
      </c>
      <c r="B3102" t="s">
        <v>178</v>
      </c>
      <c r="C3102" t="s">
        <v>50</v>
      </c>
      <c r="D3102" s="6">
        <v>45847</v>
      </c>
      <c r="E3102" t="str">
        <f>VLOOKUP(B3102,'PROCV GERENTES BD'!A:B,2,0)</f>
        <v>ADMINISTRAÇÃO</v>
      </c>
      <c r="F3102" s="4" t="str">
        <f t="shared" si="288"/>
        <v>2025-07</v>
      </c>
      <c r="G3102" s="18">
        <f t="shared" si="289"/>
        <v>28</v>
      </c>
      <c r="H3102" t="str">
        <f t="shared" si="290"/>
        <v>ADMINISTRAÇÃO</v>
      </c>
      <c r="I3102" t="str">
        <f t="shared" si="291"/>
        <v>LIZZENA COSMETICOS LTDA EPP</v>
      </c>
      <c r="J3102">
        <f t="shared" si="292"/>
        <v>0</v>
      </c>
      <c r="K3102">
        <f t="shared" si="293"/>
        <v>1</v>
      </c>
    </row>
    <row r="3103" spans="1:11" x14ac:dyDescent="0.25">
      <c r="A3103" t="s">
        <v>635</v>
      </c>
      <c r="B3103" t="s">
        <v>636</v>
      </c>
      <c r="C3103" t="s">
        <v>66</v>
      </c>
      <c r="D3103" s="6">
        <v>45847</v>
      </c>
      <c r="E3103" t="str">
        <f>VLOOKUP(B3103,'PROCV GERENTES BD'!A:B,2,0)</f>
        <v>TIAGO NEVES</v>
      </c>
      <c r="F3103" s="4" t="str">
        <f t="shared" si="288"/>
        <v>2025-07</v>
      </c>
      <c r="G3103" s="18">
        <f t="shared" si="289"/>
        <v>28</v>
      </c>
      <c r="H3103" t="str">
        <f t="shared" si="290"/>
        <v>TIAGO NEVES</v>
      </c>
      <c r="I3103" t="str">
        <f t="shared" si="291"/>
        <v>MG GLASS VIDROS PARA TRATORES E CAMINHOES LTDA ME</v>
      </c>
      <c r="J3103">
        <f t="shared" si="292"/>
        <v>1</v>
      </c>
      <c r="K3103">
        <f t="shared" si="293"/>
        <v>0</v>
      </c>
    </row>
    <row r="3104" spans="1:11" x14ac:dyDescent="0.25">
      <c r="A3104" t="s">
        <v>515</v>
      </c>
      <c r="B3104" t="s">
        <v>277</v>
      </c>
      <c r="C3104" t="s">
        <v>66</v>
      </c>
      <c r="D3104" s="6">
        <v>45847</v>
      </c>
      <c r="E3104" t="str">
        <f>VLOOKUP(B3104,'PROCV GERENTES BD'!A:B,2,0)</f>
        <v>ALISSON DE SOUZA LIMA</v>
      </c>
      <c r="F3104" s="4" t="str">
        <f t="shared" si="288"/>
        <v>2025-07</v>
      </c>
      <c r="G3104" s="18">
        <f t="shared" si="289"/>
        <v>28</v>
      </c>
      <c r="H3104" t="str">
        <f t="shared" si="290"/>
        <v>ALISSON DE SOUZA LIMA</v>
      </c>
      <c r="I3104" t="str">
        <f t="shared" si="291"/>
        <v>COMERCIAL GTS INFORMATICA LTDA EPP</v>
      </c>
      <c r="J3104">
        <f t="shared" si="292"/>
        <v>1</v>
      </c>
      <c r="K3104">
        <f t="shared" si="293"/>
        <v>0</v>
      </c>
    </row>
    <row r="3105" spans="1:11" x14ac:dyDescent="0.25">
      <c r="A3105" t="s">
        <v>448</v>
      </c>
      <c r="B3105" t="s">
        <v>201</v>
      </c>
      <c r="C3105" t="s">
        <v>50</v>
      </c>
      <c r="D3105" s="6">
        <v>45847</v>
      </c>
      <c r="E3105" t="str">
        <f>VLOOKUP(B3105,'PROCV GERENTES BD'!A:B,2,0)</f>
        <v>PRISCILA METZ</v>
      </c>
      <c r="F3105" s="4" t="str">
        <f t="shared" si="288"/>
        <v>2025-07</v>
      </c>
      <c r="G3105" s="18">
        <f t="shared" si="289"/>
        <v>28</v>
      </c>
      <c r="H3105" t="str">
        <f t="shared" si="290"/>
        <v>PRISCILA METZ</v>
      </c>
      <c r="I3105" t="str">
        <f t="shared" si="291"/>
        <v>M TRATORES LTDA EPP</v>
      </c>
      <c r="J3105">
        <f t="shared" si="292"/>
        <v>0</v>
      </c>
      <c r="K3105">
        <f t="shared" si="293"/>
        <v>1</v>
      </c>
    </row>
    <row r="3106" spans="1:11" x14ac:dyDescent="0.25">
      <c r="A3106" t="s">
        <v>67</v>
      </c>
      <c r="B3106" t="s">
        <v>68</v>
      </c>
      <c r="C3106" t="s">
        <v>50</v>
      </c>
      <c r="D3106" s="6">
        <v>45847</v>
      </c>
      <c r="E3106" t="str">
        <f>VLOOKUP(B3106,'PROCV GERENTES BD'!A:B,2,0)</f>
        <v xml:space="preserve">ROGERIO </v>
      </c>
      <c r="F3106" s="4" t="str">
        <f t="shared" si="288"/>
        <v>2025-07</v>
      </c>
      <c r="G3106" s="18">
        <f t="shared" si="289"/>
        <v>28</v>
      </c>
      <c r="H3106" t="str">
        <f t="shared" si="290"/>
        <v xml:space="preserve">ROGERIO </v>
      </c>
      <c r="I3106" t="str">
        <f t="shared" si="291"/>
        <v>DIOTTONI INDUSTRIA E COMERCIO DE ALIMENTOS LTDA ME</v>
      </c>
      <c r="J3106">
        <f t="shared" si="292"/>
        <v>0</v>
      </c>
      <c r="K3106">
        <f t="shared" si="293"/>
        <v>1</v>
      </c>
    </row>
    <row r="3107" spans="1:11" x14ac:dyDescent="0.25">
      <c r="A3107" t="s">
        <v>445</v>
      </c>
      <c r="B3107" t="s">
        <v>197</v>
      </c>
      <c r="C3107" t="s">
        <v>50</v>
      </c>
      <c r="D3107" s="6">
        <v>45847</v>
      </c>
      <c r="E3107" t="str">
        <f>VLOOKUP(B3107,'PROCV GERENTES BD'!A:B,2,0)</f>
        <v>ADMINISTRAÇÃO</v>
      </c>
      <c r="F3107" s="4" t="str">
        <f t="shared" si="288"/>
        <v>2025-07</v>
      </c>
      <c r="G3107" s="18">
        <f t="shared" si="289"/>
        <v>28</v>
      </c>
      <c r="H3107" t="str">
        <f t="shared" si="290"/>
        <v>ADMINISTRAÇÃO</v>
      </c>
      <c r="I3107" t="str">
        <f t="shared" si="291"/>
        <v>FARBIA CHEMICALS COMERCIO IMPORTACAO E EXPORTACAO</v>
      </c>
      <c r="J3107">
        <f t="shared" si="292"/>
        <v>0</v>
      </c>
      <c r="K3107">
        <f t="shared" si="293"/>
        <v>1</v>
      </c>
    </row>
    <row r="3108" spans="1:11" x14ac:dyDescent="0.25">
      <c r="A3108" t="s">
        <v>420</v>
      </c>
      <c r="B3108" t="s">
        <v>170</v>
      </c>
      <c r="C3108" t="s">
        <v>66</v>
      </c>
      <c r="D3108" s="6">
        <v>45847</v>
      </c>
      <c r="E3108" t="str">
        <f>VLOOKUP(B3108,'PROCV GERENTES BD'!A:B,2,0)</f>
        <v>POENATELA</v>
      </c>
      <c r="F3108" s="4" t="str">
        <f t="shared" si="288"/>
        <v>2025-07</v>
      </c>
      <c r="G3108" s="18">
        <f t="shared" si="289"/>
        <v>28</v>
      </c>
      <c r="H3108" t="str">
        <f t="shared" si="290"/>
        <v>POENATELA</v>
      </c>
      <c r="I3108" t="str">
        <f t="shared" si="291"/>
        <v>SAVIXX COMERCIO INTERNACIONAL S/A</v>
      </c>
      <c r="J3108">
        <f t="shared" si="292"/>
        <v>1</v>
      </c>
      <c r="K3108">
        <f t="shared" si="293"/>
        <v>0</v>
      </c>
    </row>
    <row r="3109" spans="1:11" x14ac:dyDescent="0.25">
      <c r="A3109" t="s">
        <v>318</v>
      </c>
      <c r="B3109" t="s">
        <v>203</v>
      </c>
      <c r="C3109" t="s">
        <v>50</v>
      </c>
      <c r="D3109" s="6">
        <v>45847</v>
      </c>
      <c r="E3109" t="str">
        <f>VLOOKUP(B3109,'PROCV GERENTES BD'!A:B,2,0)</f>
        <v>JOSE ROBERTO</v>
      </c>
      <c r="F3109" s="4" t="str">
        <f t="shared" si="288"/>
        <v>2025-07</v>
      </c>
      <c r="G3109" s="18">
        <f t="shared" si="289"/>
        <v>28</v>
      </c>
      <c r="H3109" t="str">
        <f t="shared" si="290"/>
        <v>JOSE ROBERTO</v>
      </c>
      <c r="I3109" t="str">
        <f t="shared" si="291"/>
        <v>FUNDACAO DE ENSINO E PESQUISA DO SUL DE MINAS FEPE</v>
      </c>
      <c r="J3109">
        <f t="shared" si="292"/>
        <v>0</v>
      </c>
      <c r="K3109">
        <f t="shared" si="293"/>
        <v>1</v>
      </c>
    </row>
    <row r="3110" spans="1:11" x14ac:dyDescent="0.25">
      <c r="A3110" t="s">
        <v>361</v>
      </c>
      <c r="B3110" t="s">
        <v>106</v>
      </c>
      <c r="C3110" t="s">
        <v>66</v>
      </c>
      <c r="D3110" s="6">
        <v>45847</v>
      </c>
      <c r="E3110" t="str">
        <f>VLOOKUP(B3110,'PROCV GERENTES BD'!A:B,2,0)</f>
        <v>PRISCILA METZ</v>
      </c>
      <c r="F3110" s="4" t="str">
        <f t="shared" si="288"/>
        <v>2025-07</v>
      </c>
      <c r="G3110" s="18">
        <f t="shared" si="289"/>
        <v>28</v>
      </c>
      <c r="H3110" t="str">
        <f t="shared" si="290"/>
        <v>PRISCILA METZ</v>
      </c>
      <c r="I3110" t="str">
        <f t="shared" si="291"/>
        <v>HERBAMED LABORATORIO NUTRACEUTICO LTDA</v>
      </c>
      <c r="J3110">
        <f t="shared" si="292"/>
        <v>1</v>
      </c>
      <c r="K3110">
        <f t="shared" si="293"/>
        <v>0</v>
      </c>
    </row>
    <row r="3111" spans="1:11" x14ac:dyDescent="0.25">
      <c r="A3111" t="s">
        <v>54</v>
      </c>
      <c r="B3111" t="s">
        <v>55</v>
      </c>
      <c r="C3111" t="s">
        <v>50</v>
      </c>
      <c r="D3111" s="6">
        <v>45847</v>
      </c>
      <c r="E3111" t="str">
        <f>VLOOKUP(B3111,'PROCV GERENTES BD'!A:B,2,0)</f>
        <v>CELIO PIMENTA</v>
      </c>
      <c r="F3111" s="4" t="str">
        <f t="shared" si="288"/>
        <v>2025-07</v>
      </c>
      <c r="G3111" s="18">
        <f t="shared" si="289"/>
        <v>28</v>
      </c>
      <c r="H3111" t="str">
        <f t="shared" si="290"/>
        <v>CELIO PIMENTA</v>
      </c>
      <c r="I3111" t="str">
        <f t="shared" si="291"/>
        <v>WJ CALDEIRARIA INDUSTRIA E COMERCIO LTDA ME</v>
      </c>
      <c r="J3111">
        <f t="shared" si="292"/>
        <v>0</v>
      </c>
      <c r="K3111">
        <f t="shared" si="293"/>
        <v>1</v>
      </c>
    </row>
    <row r="3112" spans="1:11" x14ac:dyDescent="0.25">
      <c r="A3112" t="s">
        <v>51</v>
      </c>
      <c r="B3112" t="s">
        <v>52</v>
      </c>
      <c r="C3112" t="s">
        <v>53</v>
      </c>
      <c r="D3112" s="6">
        <v>45847</v>
      </c>
      <c r="E3112" t="str">
        <f>VLOOKUP(B3112,'PROCV GERENTES BD'!A:B,2,0)</f>
        <v>RAFAEL PARISE</v>
      </c>
      <c r="F3112" s="4" t="str">
        <f t="shared" si="288"/>
        <v>2025-07</v>
      </c>
      <c r="G3112" s="18">
        <f t="shared" si="289"/>
        <v>28</v>
      </c>
      <c r="H3112" t="str">
        <f t="shared" si="290"/>
        <v>RAFAEL PARISE</v>
      </c>
      <c r="I3112" t="str">
        <f t="shared" si="291"/>
        <v>TDR TRANSPORTES LOGISTICA LTDA</v>
      </c>
      <c r="J3112">
        <f t="shared" si="292"/>
        <v>1</v>
      </c>
      <c r="K3112">
        <f t="shared" si="293"/>
        <v>1</v>
      </c>
    </row>
    <row r="3113" spans="1:11" x14ac:dyDescent="0.25">
      <c r="A3113" t="s">
        <v>629</v>
      </c>
      <c r="B3113" t="s">
        <v>550</v>
      </c>
      <c r="C3113" t="s">
        <v>50</v>
      </c>
      <c r="D3113" s="6">
        <v>45847</v>
      </c>
      <c r="E3113" t="str">
        <f>VLOOKUP(B3113,'PROCV GERENTES BD'!A:B,2,0)</f>
        <v>CREDTEM</v>
      </c>
      <c r="F3113" s="4" t="str">
        <f t="shared" si="288"/>
        <v>2025-07</v>
      </c>
      <c r="G3113" s="18">
        <f t="shared" si="289"/>
        <v>28</v>
      </c>
      <c r="H3113" t="str">
        <f t="shared" si="290"/>
        <v>CREDTEM</v>
      </c>
      <c r="I3113" t="str">
        <f t="shared" si="291"/>
        <v>W M DE CASTRO NETO PRODUTOS FARMACEUTICOS EPP</v>
      </c>
      <c r="J3113">
        <f t="shared" si="292"/>
        <v>0</v>
      </c>
      <c r="K3113">
        <f t="shared" si="293"/>
        <v>1</v>
      </c>
    </row>
    <row r="3114" spans="1:11" x14ac:dyDescent="0.25">
      <c r="A3114" t="s">
        <v>323</v>
      </c>
      <c r="B3114" t="s">
        <v>109</v>
      </c>
      <c r="C3114" t="s">
        <v>66</v>
      </c>
      <c r="D3114" s="6">
        <v>45847</v>
      </c>
      <c r="E3114" t="str">
        <f>VLOOKUP(B3114,'PROCV GERENTES BD'!A:B,2,0)</f>
        <v>PROSPECTAR</v>
      </c>
      <c r="F3114" s="4" t="str">
        <f t="shared" si="288"/>
        <v>2025-07</v>
      </c>
      <c r="G3114" s="18">
        <f t="shared" si="289"/>
        <v>28</v>
      </c>
      <c r="H3114" t="str">
        <f t="shared" si="290"/>
        <v>PROSPECTAR</v>
      </c>
      <c r="I3114" t="str">
        <f t="shared" si="291"/>
        <v>SIAP COMERCIO DE PRODUTOS AGROPECUARIOS LTDA</v>
      </c>
      <c r="J3114">
        <f t="shared" si="292"/>
        <v>1</v>
      </c>
      <c r="K3114">
        <f t="shared" si="293"/>
        <v>0</v>
      </c>
    </row>
    <row r="3115" spans="1:11" x14ac:dyDescent="0.25">
      <c r="A3115" t="s">
        <v>523</v>
      </c>
      <c r="B3115" t="s">
        <v>288</v>
      </c>
      <c r="C3115" t="s">
        <v>66</v>
      </c>
      <c r="D3115" s="6">
        <v>45847</v>
      </c>
      <c r="E3115" t="str">
        <f>VLOOKUP(B3115,'PROCV GERENTES BD'!A:B,2,0)</f>
        <v>ADMINISTRAÇÃO</v>
      </c>
      <c r="F3115" s="4" t="str">
        <f t="shared" si="288"/>
        <v>2025-07</v>
      </c>
      <c r="G3115" s="18">
        <f t="shared" si="289"/>
        <v>28</v>
      </c>
      <c r="H3115" t="str">
        <f t="shared" si="290"/>
        <v>ADMINISTRAÇÃO</v>
      </c>
      <c r="I3115" t="str">
        <f t="shared" si="291"/>
        <v>REFRACONT BRASIL LTDA</v>
      </c>
      <c r="J3115">
        <f t="shared" si="292"/>
        <v>1</v>
      </c>
      <c r="K3115">
        <f t="shared" si="293"/>
        <v>0</v>
      </c>
    </row>
    <row r="3116" spans="1:11" x14ac:dyDescent="0.25">
      <c r="A3116" t="s">
        <v>309</v>
      </c>
      <c r="B3116" t="s">
        <v>291</v>
      </c>
      <c r="C3116" t="s">
        <v>66</v>
      </c>
      <c r="D3116" s="6">
        <v>45847</v>
      </c>
      <c r="E3116" t="str">
        <f>VLOOKUP(B3116,'PROCV GERENTES BD'!A:B,2,0)</f>
        <v>ANTECIPA</v>
      </c>
      <c r="F3116" s="4" t="str">
        <f t="shared" si="288"/>
        <v>2025-07</v>
      </c>
      <c r="G3116" s="18">
        <f t="shared" si="289"/>
        <v>28</v>
      </c>
      <c r="H3116" t="str">
        <f t="shared" si="290"/>
        <v>ANTECIPA</v>
      </c>
      <c r="I3116" t="str">
        <f t="shared" si="291"/>
        <v>CENTRAL DO M R O COMERCIAL IMPORTACOES E SERVICOS</v>
      </c>
      <c r="J3116">
        <f t="shared" si="292"/>
        <v>1</v>
      </c>
      <c r="K3116">
        <f t="shared" si="293"/>
        <v>0</v>
      </c>
    </row>
    <row r="3117" spans="1:11" x14ac:dyDescent="0.25">
      <c r="A3117" t="s">
        <v>457</v>
      </c>
      <c r="B3117" t="s">
        <v>214</v>
      </c>
      <c r="C3117" t="s">
        <v>66</v>
      </c>
      <c r="D3117" s="6">
        <v>45847</v>
      </c>
      <c r="E3117" t="str">
        <f>VLOOKUP(B3117,'PROCV GERENTES BD'!A:B,2,0)</f>
        <v xml:space="preserve">ROGERIO </v>
      </c>
      <c r="F3117" s="4" t="str">
        <f t="shared" si="288"/>
        <v>2025-07</v>
      </c>
      <c r="G3117" s="18">
        <f t="shared" si="289"/>
        <v>28</v>
      </c>
      <c r="H3117" t="str">
        <f t="shared" si="290"/>
        <v xml:space="preserve">ROGERIO </v>
      </c>
      <c r="I3117" t="str">
        <f t="shared" si="291"/>
        <v>METAL STAMP INDUSTRIA E COMERCIO LTDA</v>
      </c>
      <c r="J3117">
        <f t="shared" si="292"/>
        <v>1</v>
      </c>
      <c r="K3117">
        <f t="shared" si="293"/>
        <v>0</v>
      </c>
    </row>
    <row r="3118" spans="1:11" x14ac:dyDescent="0.25">
      <c r="A3118" t="s">
        <v>529</v>
      </c>
      <c r="B3118" t="s">
        <v>297</v>
      </c>
      <c r="C3118" t="s">
        <v>50</v>
      </c>
      <c r="D3118" s="6">
        <v>45848</v>
      </c>
      <c r="E3118" t="str">
        <f>VLOOKUP(B3118,'PROCV GERENTES BD'!A:B,2,0)</f>
        <v>ANDRE CUNHA</v>
      </c>
      <c r="F3118" s="4" t="str">
        <f t="shared" si="288"/>
        <v>2025-07</v>
      </c>
      <c r="G3118" s="18">
        <f t="shared" si="289"/>
        <v>28</v>
      </c>
      <c r="H3118" t="str">
        <f t="shared" si="290"/>
        <v>ANDRE CUNHA</v>
      </c>
      <c r="I3118" t="str">
        <f t="shared" si="291"/>
        <v>REVPACK TECNOLOGIA E COMERCIO DE COMPONENTES PLAST</v>
      </c>
      <c r="J3118">
        <f t="shared" si="292"/>
        <v>0</v>
      </c>
      <c r="K3118">
        <f t="shared" si="293"/>
        <v>1</v>
      </c>
    </row>
    <row r="3119" spans="1:11" x14ac:dyDescent="0.25">
      <c r="A3119" t="s">
        <v>48</v>
      </c>
      <c r="B3119" t="s">
        <v>49</v>
      </c>
      <c r="C3119" t="s">
        <v>50</v>
      </c>
      <c r="D3119" s="6">
        <v>45848</v>
      </c>
      <c r="E3119" t="str">
        <f>VLOOKUP(B3119,'PROCV GERENTES BD'!A:B,2,0)</f>
        <v xml:space="preserve">MARCUS VINICIUS </v>
      </c>
      <c r="F3119" s="4" t="str">
        <f t="shared" si="288"/>
        <v>2025-07</v>
      </c>
      <c r="G3119" s="18">
        <f t="shared" si="289"/>
        <v>28</v>
      </c>
      <c r="H3119" t="str">
        <f t="shared" si="290"/>
        <v xml:space="preserve">MARCUS VINICIUS </v>
      </c>
      <c r="I3119" t="str">
        <f t="shared" si="291"/>
        <v>PROMEL IND COM IMP E EXP DE PRODS NATURAIS LTDA</v>
      </c>
      <c r="J3119">
        <f t="shared" si="292"/>
        <v>0</v>
      </c>
      <c r="K3119">
        <f t="shared" si="293"/>
        <v>1</v>
      </c>
    </row>
    <row r="3120" spans="1:11" x14ac:dyDescent="0.25">
      <c r="A3120" t="s">
        <v>324</v>
      </c>
      <c r="B3120" t="s">
        <v>119</v>
      </c>
      <c r="C3120" t="s">
        <v>53</v>
      </c>
      <c r="D3120" s="6">
        <v>45848</v>
      </c>
      <c r="E3120" t="str">
        <f>VLOOKUP(B3120,'PROCV GERENTES BD'!A:B,2,0)</f>
        <v>PROSPECTAR</v>
      </c>
      <c r="F3120" s="4" t="str">
        <f t="shared" si="288"/>
        <v>2025-07</v>
      </c>
      <c r="G3120" s="18">
        <f t="shared" si="289"/>
        <v>28</v>
      </c>
      <c r="H3120" t="str">
        <f t="shared" si="290"/>
        <v>PROSPECTAR</v>
      </c>
      <c r="I3120" t="str">
        <f t="shared" si="291"/>
        <v>TRANSHENRY TRANSPORTES LTDA</v>
      </c>
      <c r="J3120">
        <f t="shared" si="292"/>
        <v>1</v>
      </c>
      <c r="K3120">
        <f t="shared" si="293"/>
        <v>1</v>
      </c>
    </row>
    <row r="3121" spans="1:11" x14ac:dyDescent="0.25">
      <c r="A3121" t="s">
        <v>56</v>
      </c>
      <c r="B3121" t="s">
        <v>57</v>
      </c>
      <c r="C3121" t="s">
        <v>53</v>
      </c>
      <c r="D3121" s="6">
        <v>45848</v>
      </c>
      <c r="E3121" t="str">
        <f>VLOOKUP(B3121,'PROCV GERENTES BD'!A:B,2,0)</f>
        <v xml:space="preserve">ROGERIO </v>
      </c>
      <c r="F3121" s="4" t="str">
        <f t="shared" si="288"/>
        <v>2025-07</v>
      </c>
      <c r="G3121" s="18">
        <f t="shared" si="289"/>
        <v>28</v>
      </c>
      <c r="H3121" t="str">
        <f t="shared" si="290"/>
        <v xml:space="preserve">ROGERIO </v>
      </c>
      <c r="I3121" t="str">
        <f t="shared" si="291"/>
        <v>RODOVIEIRA TRANSPORTE LTDA</v>
      </c>
      <c r="J3121">
        <f t="shared" si="292"/>
        <v>1</v>
      </c>
      <c r="K3121">
        <f t="shared" si="293"/>
        <v>1</v>
      </c>
    </row>
    <row r="3122" spans="1:11" x14ac:dyDescent="0.25">
      <c r="A3122" t="s">
        <v>58</v>
      </c>
      <c r="B3122" t="s">
        <v>59</v>
      </c>
      <c r="C3122" t="s">
        <v>66</v>
      </c>
      <c r="D3122" s="6">
        <v>45848</v>
      </c>
      <c r="E3122" t="str">
        <f>VLOOKUP(B3122,'PROCV GERENTES BD'!A:B,2,0)</f>
        <v>ADMINISTRAÇÃO</v>
      </c>
      <c r="F3122" s="4" t="str">
        <f t="shared" si="288"/>
        <v>2025-07</v>
      </c>
      <c r="G3122" s="18">
        <f t="shared" si="289"/>
        <v>28</v>
      </c>
      <c r="H3122" t="str">
        <f t="shared" si="290"/>
        <v>ADMINISTRAÇÃO</v>
      </c>
      <c r="I3122" t="str">
        <f t="shared" si="291"/>
        <v>BIOTECH LOGISTICA LTDA</v>
      </c>
      <c r="J3122">
        <f t="shared" si="292"/>
        <v>1</v>
      </c>
      <c r="K3122">
        <f t="shared" si="293"/>
        <v>0</v>
      </c>
    </row>
    <row r="3123" spans="1:11" x14ac:dyDescent="0.25">
      <c r="A3123" t="s">
        <v>310</v>
      </c>
      <c r="B3123" t="s">
        <v>204</v>
      </c>
      <c r="C3123" t="s">
        <v>66</v>
      </c>
      <c r="D3123" s="6">
        <v>45848</v>
      </c>
      <c r="E3123" t="str">
        <f>VLOOKUP(B3123,'PROCV GERENTES BD'!A:B,2,0)</f>
        <v xml:space="preserve">MARCUS VINICIUS </v>
      </c>
      <c r="F3123" s="4" t="str">
        <f t="shared" si="288"/>
        <v>2025-07</v>
      </c>
      <c r="G3123" s="18">
        <f t="shared" si="289"/>
        <v>28</v>
      </c>
      <c r="H3123" t="str">
        <f t="shared" si="290"/>
        <v xml:space="preserve">MARCUS VINICIUS </v>
      </c>
      <c r="I3123" t="str">
        <f t="shared" si="291"/>
        <v>INDUSTRIA E COMERCIO DE CHURRASQUEIRAS BOM JESUS L</v>
      </c>
      <c r="J3123">
        <f t="shared" si="292"/>
        <v>1</v>
      </c>
      <c r="K3123">
        <f t="shared" si="293"/>
        <v>0</v>
      </c>
    </row>
    <row r="3124" spans="1:11" x14ac:dyDescent="0.25">
      <c r="A3124" t="s">
        <v>67</v>
      </c>
      <c r="B3124" t="s">
        <v>68</v>
      </c>
      <c r="C3124" t="s">
        <v>66</v>
      </c>
      <c r="D3124" s="6">
        <v>45848</v>
      </c>
      <c r="E3124" t="str">
        <f>VLOOKUP(B3124,'PROCV GERENTES BD'!A:B,2,0)</f>
        <v xml:space="preserve">ROGERIO </v>
      </c>
      <c r="F3124" s="4" t="str">
        <f t="shared" si="288"/>
        <v>2025-07</v>
      </c>
      <c r="G3124" s="18">
        <f t="shared" si="289"/>
        <v>28</v>
      </c>
      <c r="H3124" t="str">
        <f t="shared" si="290"/>
        <v xml:space="preserve">ROGERIO </v>
      </c>
      <c r="I3124" t="str">
        <f t="shared" si="291"/>
        <v>DIOTTONI INDUSTRIA E COMERCIO DE ALIMENTOS LTDA ME</v>
      </c>
      <c r="J3124">
        <f t="shared" si="292"/>
        <v>1</v>
      </c>
      <c r="K3124">
        <f t="shared" si="293"/>
        <v>0</v>
      </c>
    </row>
    <row r="3125" spans="1:11" x14ac:dyDescent="0.25">
      <c r="A3125" t="s">
        <v>370</v>
      </c>
      <c r="B3125" t="s">
        <v>114</v>
      </c>
      <c r="C3125" t="s">
        <v>66</v>
      </c>
      <c r="D3125" s="6">
        <v>45848</v>
      </c>
      <c r="E3125" t="str">
        <f>VLOOKUP(B3125,'PROCV GERENTES BD'!A:B,2,0)</f>
        <v>POENATELA</v>
      </c>
      <c r="F3125" s="4" t="str">
        <f t="shared" si="288"/>
        <v>2025-07</v>
      </c>
      <c r="G3125" s="18">
        <f t="shared" si="289"/>
        <v>28</v>
      </c>
      <c r="H3125" t="str">
        <f t="shared" si="290"/>
        <v>POENATELA</v>
      </c>
      <c r="I3125" t="str">
        <f t="shared" si="291"/>
        <v>COOPERATIVA TRANSP AUTON CARGAS PASSAG SERVICOS LO</v>
      </c>
      <c r="J3125">
        <f t="shared" si="292"/>
        <v>1</v>
      </c>
      <c r="K3125">
        <f t="shared" si="293"/>
        <v>0</v>
      </c>
    </row>
    <row r="3126" spans="1:11" x14ac:dyDescent="0.25">
      <c r="A3126" t="s">
        <v>599</v>
      </c>
      <c r="B3126" t="s">
        <v>541</v>
      </c>
      <c r="C3126" t="s">
        <v>53</v>
      </c>
      <c r="D3126" s="6">
        <v>45848</v>
      </c>
      <c r="E3126" t="str">
        <f>VLOOKUP(B3126,'PROCV GERENTES BD'!A:B,2,0)</f>
        <v xml:space="preserve">MARCUS VINICIUS </v>
      </c>
      <c r="F3126" s="4" t="str">
        <f t="shared" si="288"/>
        <v>2025-07</v>
      </c>
      <c r="G3126" s="18">
        <f t="shared" si="289"/>
        <v>28</v>
      </c>
      <c r="H3126" t="str">
        <f t="shared" si="290"/>
        <v xml:space="preserve">MARCUS VINICIUS </v>
      </c>
      <c r="I3126" t="str">
        <f t="shared" si="291"/>
        <v>JSA INDUSTRIA DE COSMETICOS LTDA EPP</v>
      </c>
      <c r="J3126">
        <f t="shared" si="292"/>
        <v>1</v>
      </c>
      <c r="K3126">
        <f t="shared" si="293"/>
        <v>1</v>
      </c>
    </row>
    <row r="3127" spans="1:11" x14ac:dyDescent="0.25">
      <c r="A3127" t="s">
        <v>610</v>
      </c>
      <c r="B3127" t="s">
        <v>611</v>
      </c>
      <c r="C3127" t="s">
        <v>66</v>
      </c>
      <c r="D3127" s="6">
        <v>45848</v>
      </c>
      <c r="E3127" t="str">
        <f>VLOOKUP(B3127,'PROCV GERENTES BD'!A:B,2,0)</f>
        <v>TIAGO NEVES</v>
      </c>
      <c r="F3127" s="4" t="str">
        <f t="shared" si="288"/>
        <v>2025-07</v>
      </c>
      <c r="G3127" s="18">
        <f t="shared" si="289"/>
        <v>28</v>
      </c>
      <c r="H3127" t="str">
        <f t="shared" si="290"/>
        <v>TIAGO NEVES</v>
      </c>
      <c r="I3127" t="str">
        <f t="shared" si="291"/>
        <v>TRATOR GLASS LTDA ME</v>
      </c>
      <c r="J3127">
        <f t="shared" si="292"/>
        <v>1</v>
      </c>
      <c r="K3127">
        <f t="shared" si="293"/>
        <v>0</v>
      </c>
    </row>
    <row r="3128" spans="1:11" x14ac:dyDescent="0.25">
      <c r="A3128" t="s">
        <v>511</v>
      </c>
      <c r="B3128" t="s">
        <v>274</v>
      </c>
      <c r="C3128" t="s">
        <v>50</v>
      </c>
      <c r="D3128" s="6">
        <v>45848</v>
      </c>
      <c r="E3128" t="str">
        <f>VLOOKUP(B3128,'PROCV GERENTES BD'!A:B,2,0)</f>
        <v>RAFAEL PARISE</v>
      </c>
      <c r="F3128" s="4" t="str">
        <f t="shared" si="288"/>
        <v>2025-07</v>
      </c>
      <c r="G3128" s="18">
        <f t="shared" si="289"/>
        <v>28</v>
      </c>
      <c r="H3128" t="str">
        <f t="shared" si="290"/>
        <v>RAFAEL PARISE</v>
      </c>
      <c r="I3128" t="str">
        <f t="shared" si="291"/>
        <v>ARTE FINAL INDUSTRIA E COMERCIO DE COURO LTDA</v>
      </c>
      <c r="J3128">
        <f t="shared" si="292"/>
        <v>0</v>
      </c>
      <c r="K3128">
        <f t="shared" si="293"/>
        <v>1</v>
      </c>
    </row>
    <row r="3129" spans="1:11" x14ac:dyDescent="0.25">
      <c r="A3129" t="s">
        <v>407</v>
      </c>
      <c r="B3129" t="s">
        <v>157</v>
      </c>
      <c r="C3129" t="s">
        <v>50</v>
      </c>
      <c r="D3129" s="6">
        <v>45848</v>
      </c>
      <c r="E3129" t="str">
        <f>VLOOKUP(B3129,'PROCV GERENTES BD'!A:B,2,0)</f>
        <v>NOELI SALETE</v>
      </c>
      <c r="F3129" s="4" t="str">
        <f t="shared" si="288"/>
        <v>2025-07</v>
      </c>
      <c r="G3129" s="18">
        <f t="shared" si="289"/>
        <v>28</v>
      </c>
      <c r="H3129" t="str">
        <f t="shared" si="290"/>
        <v>NOELI SALETE</v>
      </c>
      <c r="I3129" t="str">
        <f t="shared" si="291"/>
        <v>SGAMAQ INOVACAO AGROINDUSTRIAL LTDA</v>
      </c>
      <c r="J3129">
        <f t="shared" si="292"/>
        <v>0</v>
      </c>
      <c r="K3129">
        <f t="shared" si="293"/>
        <v>1</v>
      </c>
    </row>
    <row r="3130" spans="1:11" x14ac:dyDescent="0.25">
      <c r="A3130" t="s">
        <v>449</v>
      </c>
      <c r="B3130" t="s">
        <v>206</v>
      </c>
      <c r="C3130" t="s">
        <v>50</v>
      </c>
      <c r="D3130" s="6">
        <v>45849</v>
      </c>
      <c r="E3130" t="str">
        <f>VLOOKUP(B3130,'PROCV GERENTES BD'!A:B,2,0)</f>
        <v>ADMINISTRAÇÃO</v>
      </c>
      <c r="F3130" s="4" t="str">
        <f t="shared" si="288"/>
        <v>2025-07</v>
      </c>
      <c r="G3130" s="18">
        <f t="shared" si="289"/>
        <v>28</v>
      </c>
      <c r="H3130" t="str">
        <f t="shared" si="290"/>
        <v>ADMINISTRAÇÃO</v>
      </c>
      <c r="I3130" t="str">
        <f t="shared" si="291"/>
        <v>P P DISTRIBUIDORA LTDA</v>
      </c>
      <c r="J3130">
        <f t="shared" si="292"/>
        <v>0</v>
      </c>
      <c r="K3130">
        <f t="shared" si="293"/>
        <v>1</v>
      </c>
    </row>
    <row r="3131" spans="1:11" x14ac:dyDescent="0.25">
      <c r="A3131" t="s">
        <v>529</v>
      </c>
      <c r="B3131" t="s">
        <v>297</v>
      </c>
      <c r="C3131" t="s">
        <v>66</v>
      </c>
      <c r="D3131" s="6">
        <v>45849</v>
      </c>
      <c r="E3131" t="str">
        <f>VLOOKUP(B3131,'PROCV GERENTES BD'!A:B,2,0)</f>
        <v>ANDRE CUNHA</v>
      </c>
      <c r="F3131" s="4" t="str">
        <f t="shared" si="288"/>
        <v>2025-07</v>
      </c>
      <c r="G3131" s="18">
        <f t="shared" si="289"/>
        <v>28</v>
      </c>
      <c r="H3131" t="str">
        <f t="shared" si="290"/>
        <v>ANDRE CUNHA</v>
      </c>
      <c r="I3131" t="str">
        <f t="shared" si="291"/>
        <v>REVPACK TECNOLOGIA E COMERCIO DE COMPONENTES PLAST</v>
      </c>
      <c r="J3131">
        <f t="shared" si="292"/>
        <v>1</v>
      </c>
      <c r="K3131">
        <f t="shared" si="293"/>
        <v>0</v>
      </c>
    </row>
    <row r="3132" spans="1:11" x14ac:dyDescent="0.25">
      <c r="A3132" t="s">
        <v>324</v>
      </c>
      <c r="B3132" t="s">
        <v>119</v>
      </c>
      <c r="C3132" t="s">
        <v>50</v>
      </c>
      <c r="D3132" s="6">
        <v>45849</v>
      </c>
      <c r="E3132" t="str">
        <f>VLOOKUP(B3132,'PROCV GERENTES BD'!A:B,2,0)</f>
        <v>PROSPECTAR</v>
      </c>
      <c r="F3132" s="4" t="str">
        <f t="shared" si="288"/>
        <v>2025-07</v>
      </c>
      <c r="G3132" s="18">
        <f t="shared" si="289"/>
        <v>28</v>
      </c>
      <c r="H3132" t="str">
        <f t="shared" si="290"/>
        <v>PROSPECTAR</v>
      </c>
      <c r="I3132" t="str">
        <f t="shared" si="291"/>
        <v>TRANSHENRY TRANSPORTES LTDA</v>
      </c>
      <c r="J3132">
        <f t="shared" si="292"/>
        <v>0</v>
      </c>
      <c r="K3132">
        <f t="shared" si="293"/>
        <v>1</v>
      </c>
    </row>
    <row r="3133" spans="1:11" x14ac:dyDescent="0.25">
      <c r="A3133" t="s">
        <v>629</v>
      </c>
      <c r="B3133" t="s">
        <v>550</v>
      </c>
      <c r="C3133" t="s">
        <v>50</v>
      </c>
      <c r="D3133" s="6">
        <v>45849</v>
      </c>
      <c r="E3133" t="str">
        <f>VLOOKUP(B3133,'PROCV GERENTES BD'!A:B,2,0)</f>
        <v>CREDTEM</v>
      </c>
      <c r="F3133" s="4" t="str">
        <f t="shared" si="288"/>
        <v>2025-07</v>
      </c>
      <c r="G3133" s="18">
        <f t="shared" si="289"/>
        <v>28</v>
      </c>
      <c r="H3133" t="str">
        <f t="shared" si="290"/>
        <v>CREDTEM</v>
      </c>
      <c r="I3133" t="str">
        <f t="shared" si="291"/>
        <v>W M DE CASTRO NETO PRODUTOS FARMACEUTICOS EPP</v>
      </c>
      <c r="J3133">
        <f t="shared" si="292"/>
        <v>0</v>
      </c>
      <c r="K3133">
        <f t="shared" si="293"/>
        <v>1</v>
      </c>
    </row>
    <row r="3134" spans="1:11" x14ac:dyDescent="0.25">
      <c r="A3134" t="s">
        <v>51</v>
      </c>
      <c r="B3134" t="s">
        <v>52</v>
      </c>
      <c r="C3134" t="s">
        <v>50</v>
      </c>
      <c r="D3134" s="6">
        <v>45849</v>
      </c>
      <c r="E3134" t="str">
        <f>VLOOKUP(B3134,'PROCV GERENTES BD'!A:B,2,0)</f>
        <v>RAFAEL PARISE</v>
      </c>
      <c r="F3134" s="4" t="str">
        <f t="shared" si="288"/>
        <v>2025-07</v>
      </c>
      <c r="G3134" s="18">
        <f t="shared" si="289"/>
        <v>28</v>
      </c>
      <c r="H3134" t="str">
        <f t="shared" si="290"/>
        <v>RAFAEL PARISE</v>
      </c>
      <c r="I3134" t="str">
        <f t="shared" si="291"/>
        <v>TDR TRANSPORTES LOGISTICA LTDA</v>
      </c>
      <c r="J3134">
        <f t="shared" si="292"/>
        <v>0</v>
      </c>
      <c r="K3134">
        <f t="shared" si="293"/>
        <v>1</v>
      </c>
    </row>
    <row r="3135" spans="1:11" x14ac:dyDescent="0.25">
      <c r="A3135" t="s">
        <v>331</v>
      </c>
      <c r="B3135" t="s">
        <v>144</v>
      </c>
      <c r="C3135" t="s">
        <v>50</v>
      </c>
      <c r="D3135" s="6">
        <v>45849</v>
      </c>
      <c r="E3135" t="str">
        <f>VLOOKUP(B3135,'PROCV GERENTES BD'!A:B,2,0)</f>
        <v>ADMINISTRAÇÃO</v>
      </c>
      <c r="F3135" s="4" t="str">
        <f t="shared" si="288"/>
        <v>2025-07</v>
      </c>
      <c r="G3135" s="18">
        <f t="shared" si="289"/>
        <v>28</v>
      </c>
      <c r="H3135" t="str">
        <f t="shared" si="290"/>
        <v>ADMINISTRAÇÃO</v>
      </c>
      <c r="I3135" t="str">
        <f t="shared" si="291"/>
        <v>BOM PASTOR PAPEIS LTDA EM RECUPERACAO JUDICIAL</v>
      </c>
      <c r="J3135">
        <f t="shared" si="292"/>
        <v>0</v>
      </c>
      <c r="K3135">
        <f t="shared" si="293"/>
        <v>1</v>
      </c>
    </row>
    <row r="3136" spans="1:11" x14ac:dyDescent="0.25">
      <c r="A3136" t="s">
        <v>56</v>
      </c>
      <c r="B3136" t="s">
        <v>57</v>
      </c>
      <c r="C3136" t="s">
        <v>50</v>
      </c>
      <c r="D3136" s="6">
        <v>45849</v>
      </c>
      <c r="E3136" t="str">
        <f>VLOOKUP(B3136,'PROCV GERENTES BD'!A:B,2,0)</f>
        <v xml:space="preserve">ROGERIO </v>
      </c>
      <c r="F3136" s="4" t="str">
        <f t="shared" si="288"/>
        <v>2025-07</v>
      </c>
      <c r="G3136" s="18">
        <f t="shared" si="289"/>
        <v>28</v>
      </c>
      <c r="H3136" t="str">
        <f t="shared" si="290"/>
        <v xml:space="preserve">ROGERIO </v>
      </c>
      <c r="I3136" t="str">
        <f t="shared" si="291"/>
        <v>RODOVIEIRA TRANSPORTE LTDA</v>
      </c>
      <c r="J3136">
        <f t="shared" si="292"/>
        <v>0</v>
      </c>
      <c r="K3136">
        <f t="shared" si="293"/>
        <v>1</v>
      </c>
    </row>
    <row r="3137" spans="1:11" x14ac:dyDescent="0.25">
      <c r="A3137" t="s">
        <v>62</v>
      </c>
      <c r="B3137" t="s">
        <v>63</v>
      </c>
      <c r="C3137" t="s">
        <v>50</v>
      </c>
      <c r="D3137" s="6">
        <v>45849</v>
      </c>
      <c r="E3137" t="str">
        <f>VLOOKUP(B3137,'PROCV GERENTES BD'!A:B,2,0)</f>
        <v>PROSPECTAR</v>
      </c>
      <c r="F3137" s="4" t="str">
        <f t="shared" si="288"/>
        <v>2025-07</v>
      </c>
      <c r="G3137" s="18">
        <f t="shared" si="289"/>
        <v>28</v>
      </c>
      <c r="H3137" t="str">
        <f t="shared" si="290"/>
        <v>PROSPECTAR</v>
      </c>
      <c r="I3137" t="str">
        <f t="shared" si="291"/>
        <v>MAPP COM IMPORTACAO EXPORTACAO IND PRODUTOS ALIMEN</v>
      </c>
      <c r="J3137">
        <f t="shared" si="292"/>
        <v>0</v>
      </c>
      <c r="K3137">
        <f t="shared" si="293"/>
        <v>1</v>
      </c>
    </row>
    <row r="3138" spans="1:11" x14ac:dyDescent="0.25">
      <c r="A3138" t="s">
        <v>67</v>
      </c>
      <c r="B3138" t="s">
        <v>68</v>
      </c>
      <c r="C3138" t="s">
        <v>50</v>
      </c>
      <c r="D3138" s="6">
        <v>45849</v>
      </c>
      <c r="E3138" t="str">
        <f>VLOOKUP(B3138,'PROCV GERENTES BD'!A:B,2,0)</f>
        <v xml:space="preserve">ROGERIO </v>
      </c>
      <c r="F3138" s="4" t="str">
        <f t="shared" ref="F3138:F3201" si="294">YEAR(D3138)&amp;"-"&amp;TEXT(MONTH(D3138),"00")</f>
        <v>2025-07</v>
      </c>
      <c r="G3138" s="18">
        <f t="shared" ref="G3138:G3201" si="295">WEEKNUM(D3138)</f>
        <v>28</v>
      </c>
      <c r="H3138" t="str">
        <f t="shared" ref="H3138:H3201" si="296">E3138</f>
        <v xml:space="preserve">ROGERIO </v>
      </c>
      <c r="I3138" t="str">
        <f t="shared" ref="I3138:I3201" si="297">B3138</f>
        <v>DIOTTONI INDUSTRIA E COMERCIO DE ALIMENTOS LTDA ME</v>
      </c>
      <c r="J3138">
        <f t="shared" ref="J3138:J3201" si="298">IF(OR(C3138="EXCLUSAO  ANOT.INADIMPLENCIA",C3138="INCL/EXCL ANOT.INADIMPLENCIA"),1,0)</f>
        <v>0</v>
      </c>
      <c r="K3138">
        <f t="shared" ref="K3138:K3201" si="299">IF(OR(C3138="INCLUSAO  ANOT.INADIMPLENCIA",C3138="INCL/EXCL ANOT.INADIMPLENCIA"),1,0)</f>
        <v>1</v>
      </c>
    </row>
    <row r="3139" spans="1:11" x14ac:dyDescent="0.25">
      <c r="A3139" t="s">
        <v>625</v>
      </c>
      <c r="B3139" t="s">
        <v>537</v>
      </c>
      <c r="C3139" t="s">
        <v>66</v>
      </c>
      <c r="D3139" s="6">
        <v>45849</v>
      </c>
      <c r="E3139" t="str">
        <f>VLOOKUP(B3139,'PROCV GERENTES BD'!A:B,2,0)</f>
        <v>WASHINGTON</v>
      </c>
      <c r="F3139" s="4" t="str">
        <f t="shared" si="294"/>
        <v>2025-07</v>
      </c>
      <c r="G3139" s="18">
        <f t="shared" si="295"/>
        <v>28</v>
      </c>
      <c r="H3139" t="str">
        <f t="shared" si="296"/>
        <v>WASHINGTON</v>
      </c>
      <c r="I3139" t="str">
        <f t="shared" si="297"/>
        <v>COMERCIAL SEGURANCA LTDA ME</v>
      </c>
      <c r="J3139">
        <f t="shared" si="298"/>
        <v>1</v>
      </c>
      <c r="K3139">
        <f t="shared" si="299"/>
        <v>0</v>
      </c>
    </row>
    <row r="3140" spans="1:11" x14ac:dyDescent="0.25">
      <c r="A3140" t="s">
        <v>515</v>
      </c>
      <c r="B3140" t="s">
        <v>277</v>
      </c>
      <c r="C3140" t="s">
        <v>53</v>
      </c>
      <c r="D3140" s="6">
        <v>45849</v>
      </c>
      <c r="E3140" t="str">
        <f>VLOOKUP(B3140,'PROCV GERENTES BD'!A:B,2,0)</f>
        <v>ALISSON DE SOUZA LIMA</v>
      </c>
      <c r="F3140" s="4" t="str">
        <f t="shared" si="294"/>
        <v>2025-07</v>
      </c>
      <c r="G3140" s="18">
        <f t="shared" si="295"/>
        <v>28</v>
      </c>
      <c r="H3140" t="str">
        <f t="shared" si="296"/>
        <v>ALISSON DE SOUZA LIMA</v>
      </c>
      <c r="I3140" t="str">
        <f t="shared" si="297"/>
        <v>COMERCIAL GTS INFORMATICA LTDA EPP</v>
      </c>
      <c r="J3140">
        <f t="shared" si="298"/>
        <v>1</v>
      </c>
      <c r="K3140">
        <f t="shared" si="299"/>
        <v>1</v>
      </c>
    </row>
    <row r="3141" spans="1:11" x14ac:dyDescent="0.25">
      <c r="A3141" t="s">
        <v>450</v>
      </c>
      <c r="B3141" t="s">
        <v>207</v>
      </c>
      <c r="C3141" t="s">
        <v>66</v>
      </c>
      <c r="D3141" s="6">
        <v>45849</v>
      </c>
      <c r="E3141" t="str">
        <f>VLOOKUP(B3141,'PROCV GERENTES BD'!A:B,2,0)</f>
        <v>CELIO PIMENTA</v>
      </c>
      <c r="F3141" s="4" t="str">
        <f t="shared" si="294"/>
        <v>2025-07</v>
      </c>
      <c r="G3141" s="18">
        <f t="shared" si="295"/>
        <v>28</v>
      </c>
      <c r="H3141" t="str">
        <f t="shared" si="296"/>
        <v>CELIO PIMENTA</v>
      </c>
      <c r="I3141" t="str">
        <f t="shared" si="297"/>
        <v>LIDER COMERCIO DE UNIFORMES E EPI S LTDA ME</v>
      </c>
      <c r="J3141">
        <f t="shared" si="298"/>
        <v>1</v>
      </c>
      <c r="K3141">
        <f t="shared" si="299"/>
        <v>0</v>
      </c>
    </row>
    <row r="3142" spans="1:11" x14ac:dyDescent="0.25">
      <c r="A3142" t="s">
        <v>445</v>
      </c>
      <c r="B3142" t="s">
        <v>197</v>
      </c>
      <c r="C3142" t="s">
        <v>50</v>
      </c>
      <c r="D3142" s="6">
        <v>45849</v>
      </c>
      <c r="E3142" t="str">
        <f>VLOOKUP(B3142,'PROCV GERENTES BD'!A:B,2,0)</f>
        <v>ADMINISTRAÇÃO</v>
      </c>
      <c r="F3142" s="4" t="str">
        <f t="shared" si="294"/>
        <v>2025-07</v>
      </c>
      <c r="G3142" s="18">
        <f t="shared" si="295"/>
        <v>28</v>
      </c>
      <c r="H3142" t="str">
        <f t="shared" si="296"/>
        <v>ADMINISTRAÇÃO</v>
      </c>
      <c r="I3142" t="str">
        <f t="shared" si="297"/>
        <v>FARBIA CHEMICALS COMERCIO IMPORTACAO E EXPORTACAO</v>
      </c>
      <c r="J3142">
        <f t="shared" si="298"/>
        <v>0</v>
      </c>
      <c r="K3142">
        <f t="shared" si="299"/>
        <v>1</v>
      </c>
    </row>
    <row r="3143" spans="1:11" x14ac:dyDescent="0.25">
      <c r="A3143" t="s">
        <v>457</v>
      </c>
      <c r="B3143" t="s">
        <v>214</v>
      </c>
      <c r="C3143" t="s">
        <v>66</v>
      </c>
      <c r="D3143" s="6">
        <v>45849</v>
      </c>
      <c r="E3143" t="str">
        <f>VLOOKUP(B3143,'PROCV GERENTES BD'!A:B,2,0)</f>
        <v xml:space="preserve">ROGERIO </v>
      </c>
      <c r="F3143" s="4" t="str">
        <f t="shared" si="294"/>
        <v>2025-07</v>
      </c>
      <c r="G3143" s="18">
        <f t="shared" si="295"/>
        <v>28</v>
      </c>
      <c r="H3143" t="str">
        <f t="shared" si="296"/>
        <v xml:space="preserve">ROGERIO </v>
      </c>
      <c r="I3143" t="str">
        <f t="shared" si="297"/>
        <v>METAL STAMP INDUSTRIA E COMERCIO LTDA</v>
      </c>
      <c r="J3143">
        <f t="shared" si="298"/>
        <v>1</v>
      </c>
      <c r="K3143">
        <f t="shared" si="299"/>
        <v>0</v>
      </c>
    </row>
    <row r="3144" spans="1:11" x14ac:dyDescent="0.25">
      <c r="A3144" t="s">
        <v>460</v>
      </c>
      <c r="B3144" t="s">
        <v>217</v>
      </c>
      <c r="C3144" t="s">
        <v>50</v>
      </c>
      <c r="D3144" s="6">
        <v>45849</v>
      </c>
      <c r="E3144" t="str">
        <f>VLOOKUP(B3144,'PROCV GERENTES BD'!A:B,2,0)</f>
        <v>CELIO PIMENTA</v>
      </c>
      <c r="F3144" s="4" t="str">
        <f t="shared" si="294"/>
        <v>2025-07</v>
      </c>
      <c r="G3144" s="18">
        <f t="shared" si="295"/>
        <v>28</v>
      </c>
      <c r="H3144" t="str">
        <f t="shared" si="296"/>
        <v>CELIO PIMENTA</v>
      </c>
      <c r="I3144" t="str">
        <f t="shared" si="297"/>
        <v>MINAS CLEAN DISTRIBUIDORA DE PRODUTOS PARA LIMPEZA</v>
      </c>
      <c r="J3144">
        <f t="shared" si="298"/>
        <v>0</v>
      </c>
      <c r="K3144">
        <f t="shared" si="299"/>
        <v>1</v>
      </c>
    </row>
    <row r="3145" spans="1:11" x14ac:dyDescent="0.25">
      <c r="A3145" t="s">
        <v>407</v>
      </c>
      <c r="B3145" t="s">
        <v>157</v>
      </c>
      <c r="C3145" t="s">
        <v>50</v>
      </c>
      <c r="D3145" s="6">
        <v>45849</v>
      </c>
      <c r="E3145" t="str">
        <f>VLOOKUP(B3145,'PROCV GERENTES BD'!A:B,2,0)</f>
        <v>NOELI SALETE</v>
      </c>
      <c r="F3145" s="4" t="str">
        <f t="shared" si="294"/>
        <v>2025-07</v>
      </c>
      <c r="G3145" s="18">
        <f t="shared" si="295"/>
        <v>28</v>
      </c>
      <c r="H3145" t="str">
        <f t="shared" si="296"/>
        <v>NOELI SALETE</v>
      </c>
      <c r="I3145" t="str">
        <f t="shared" si="297"/>
        <v>SGAMAQ INOVACAO AGROINDUSTRIAL LTDA</v>
      </c>
      <c r="J3145">
        <f t="shared" si="298"/>
        <v>0</v>
      </c>
      <c r="K3145">
        <f t="shared" si="299"/>
        <v>1</v>
      </c>
    </row>
    <row r="3146" spans="1:11" x14ac:dyDescent="0.25">
      <c r="A3146" t="s">
        <v>529</v>
      </c>
      <c r="B3146" t="s">
        <v>297</v>
      </c>
      <c r="C3146" t="s">
        <v>50</v>
      </c>
      <c r="D3146" s="6">
        <v>45850</v>
      </c>
      <c r="E3146" t="str">
        <f>VLOOKUP(B3146,'PROCV GERENTES BD'!A:B,2,0)</f>
        <v>ANDRE CUNHA</v>
      </c>
      <c r="F3146" s="4" t="str">
        <f t="shared" si="294"/>
        <v>2025-07</v>
      </c>
      <c r="G3146" s="18">
        <f t="shared" si="295"/>
        <v>28</v>
      </c>
      <c r="H3146" t="str">
        <f t="shared" si="296"/>
        <v>ANDRE CUNHA</v>
      </c>
      <c r="I3146" t="str">
        <f t="shared" si="297"/>
        <v>REVPACK TECNOLOGIA E COMERCIO DE COMPONENTES PLAST</v>
      </c>
      <c r="J3146">
        <f t="shared" si="298"/>
        <v>0</v>
      </c>
      <c r="K3146">
        <f t="shared" si="299"/>
        <v>1</v>
      </c>
    </row>
    <row r="3147" spans="1:11" x14ac:dyDescent="0.25">
      <c r="A3147" t="s">
        <v>457</v>
      </c>
      <c r="B3147" t="s">
        <v>214</v>
      </c>
      <c r="C3147" t="s">
        <v>66</v>
      </c>
      <c r="D3147" s="6">
        <v>45850</v>
      </c>
      <c r="E3147" t="str">
        <f>VLOOKUP(B3147,'PROCV GERENTES BD'!A:B,2,0)</f>
        <v xml:space="preserve">ROGERIO </v>
      </c>
      <c r="F3147" s="4" t="str">
        <f t="shared" si="294"/>
        <v>2025-07</v>
      </c>
      <c r="G3147" s="18">
        <f t="shared" si="295"/>
        <v>28</v>
      </c>
      <c r="H3147" t="str">
        <f t="shared" si="296"/>
        <v xml:space="preserve">ROGERIO </v>
      </c>
      <c r="I3147" t="str">
        <f t="shared" si="297"/>
        <v>METAL STAMP INDUSTRIA E COMERCIO LTDA</v>
      </c>
      <c r="J3147">
        <f t="shared" si="298"/>
        <v>1</v>
      </c>
      <c r="K3147">
        <f t="shared" si="299"/>
        <v>0</v>
      </c>
    </row>
    <row r="3148" spans="1:11" x14ac:dyDescent="0.25">
      <c r="A3148" t="s">
        <v>445</v>
      </c>
      <c r="B3148" t="s">
        <v>197</v>
      </c>
      <c r="C3148" t="s">
        <v>50</v>
      </c>
      <c r="D3148" s="6">
        <v>45850</v>
      </c>
      <c r="E3148" t="str">
        <f>VLOOKUP(B3148,'PROCV GERENTES BD'!A:B,2,0)</f>
        <v>ADMINISTRAÇÃO</v>
      </c>
      <c r="F3148" s="4" t="str">
        <f t="shared" si="294"/>
        <v>2025-07</v>
      </c>
      <c r="G3148" s="18">
        <f t="shared" si="295"/>
        <v>28</v>
      </c>
      <c r="H3148" t="str">
        <f t="shared" si="296"/>
        <v>ADMINISTRAÇÃO</v>
      </c>
      <c r="I3148" t="str">
        <f t="shared" si="297"/>
        <v>FARBIA CHEMICALS COMERCIO IMPORTACAO E EXPORTACAO</v>
      </c>
      <c r="J3148">
        <f t="shared" si="298"/>
        <v>0</v>
      </c>
      <c r="K3148">
        <f t="shared" si="299"/>
        <v>1</v>
      </c>
    </row>
    <row r="3149" spans="1:11" x14ac:dyDescent="0.25">
      <c r="A3149" t="s">
        <v>430</v>
      </c>
      <c r="B3149" t="s">
        <v>181</v>
      </c>
      <c r="C3149" t="s">
        <v>50</v>
      </c>
      <c r="D3149" s="6">
        <v>45850</v>
      </c>
      <c r="E3149" t="str">
        <f>VLOOKUP(B3149,'PROCV GERENTES BD'!A:B,2,0)</f>
        <v>PROSPECTAR</v>
      </c>
      <c r="F3149" s="4" t="str">
        <f t="shared" si="294"/>
        <v>2025-07</v>
      </c>
      <c r="G3149" s="18">
        <f t="shared" si="295"/>
        <v>28</v>
      </c>
      <c r="H3149" t="str">
        <f t="shared" si="296"/>
        <v>PROSPECTAR</v>
      </c>
      <c r="I3149" t="str">
        <f t="shared" si="297"/>
        <v>SIQUEIRA E GAIPO INDUSTRIA E MATERIAIS ESPORTIVOS</v>
      </c>
      <c r="J3149">
        <f t="shared" si="298"/>
        <v>0</v>
      </c>
      <c r="K3149">
        <f t="shared" si="299"/>
        <v>1</v>
      </c>
    </row>
    <row r="3150" spans="1:11" x14ac:dyDescent="0.25">
      <c r="A3150" t="s">
        <v>599</v>
      </c>
      <c r="B3150" t="s">
        <v>541</v>
      </c>
      <c r="C3150" t="s">
        <v>66</v>
      </c>
      <c r="D3150" s="6">
        <v>45850</v>
      </c>
      <c r="E3150" t="str">
        <f>VLOOKUP(B3150,'PROCV GERENTES BD'!A:B,2,0)</f>
        <v xml:space="preserve">MARCUS VINICIUS </v>
      </c>
      <c r="F3150" s="4" t="str">
        <f t="shared" si="294"/>
        <v>2025-07</v>
      </c>
      <c r="G3150" s="18">
        <f t="shared" si="295"/>
        <v>28</v>
      </c>
      <c r="H3150" t="str">
        <f t="shared" si="296"/>
        <v xml:space="preserve">MARCUS VINICIUS </v>
      </c>
      <c r="I3150" t="str">
        <f t="shared" si="297"/>
        <v>JSA INDUSTRIA DE COSMETICOS LTDA EPP</v>
      </c>
      <c r="J3150">
        <f t="shared" si="298"/>
        <v>1</v>
      </c>
      <c r="K3150">
        <f t="shared" si="299"/>
        <v>0</v>
      </c>
    </row>
    <row r="3151" spans="1:11" x14ac:dyDescent="0.25">
      <c r="A3151" t="s">
        <v>316</v>
      </c>
      <c r="B3151" t="s">
        <v>302</v>
      </c>
      <c r="C3151" t="s">
        <v>66</v>
      </c>
      <c r="D3151" s="6">
        <v>45850</v>
      </c>
      <c r="E3151" t="str">
        <f>VLOOKUP(B3151,'PROCV GERENTES BD'!A:B,2,0)</f>
        <v>CELIO PIMENTA</v>
      </c>
      <c r="F3151" s="4" t="str">
        <f t="shared" si="294"/>
        <v>2025-07</v>
      </c>
      <c r="G3151" s="18">
        <f t="shared" si="295"/>
        <v>28</v>
      </c>
      <c r="H3151" t="str">
        <f t="shared" si="296"/>
        <v>CELIO PIMENTA</v>
      </c>
      <c r="I3151" t="str">
        <f t="shared" si="297"/>
        <v>LOTUS DESENVOLVIMENTO IMOBILIARIO LTDA</v>
      </c>
      <c r="J3151">
        <f t="shared" si="298"/>
        <v>1</v>
      </c>
      <c r="K3151">
        <f t="shared" si="299"/>
        <v>0</v>
      </c>
    </row>
    <row r="3152" spans="1:11" x14ac:dyDescent="0.25">
      <c r="A3152" t="s">
        <v>515</v>
      </c>
      <c r="B3152" t="s">
        <v>277</v>
      </c>
      <c r="C3152" t="s">
        <v>66</v>
      </c>
      <c r="D3152" s="6">
        <v>45850</v>
      </c>
      <c r="E3152" t="str">
        <f>VLOOKUP(B3152,'PROCV GERENTES BD'!A:B,2,0)</f>
        <v>ALISSON DE SOUZA LIMA</v>
      </c>
      <c r="F3152" s="4" t="str">
        <f t="shared" si="294"/>
        <v>2025-07</v>
      </c>
      <c r="G3152" s="18">
        <f t="shared" si="295"/>
        <v>28</v>
      </c>
      <c r="H3152" t="str">
        <f t="shared" si="296"/>
        <v>ALISSON DE SOUZA LIMA</v>
      </c>
      <c r="I3152" t="str">
        <f t="shared" si="297"/>
        <v>COMERCIAL GTS INFORMATICA LTDA EPP</v>
      </c>
      <c r="J3152">
        <f t="shared" si="298"/>
        <v>1</v>
      </c>
      <c r="K3152">
        <f t="shared" si="299"/>
        <v>0</v>
      </c>
    </row>
    <row r="3153" spans="1:11" x14ac:dyDescent="0.25">
      <c r="A3153" t="s">
        <v>64</v>
      </c>
      <c r="B3153" t="s">
        <v>65</v>
      </c>
      <c r="C3153" t="s">
        <v>50</v>
      </c>
      <c r="D3153" s="6">
        <v>45850</v>
      </c>
      <c r="E3153" t="str">
        <f>VLOOKUP(B3153,'PROCV GERENTES BD'!A:B,2,0)</f>
        <v>ADMINISTRAÇÃO</v>
      </c>
      <c r="F3153" s="4" t="str">
        <f t="shared" si="294"/>
        <v>2025-07</v>
      </c>
      <c r="G3153" s="18">
        <f t="shared" si="295"/>
        <v>28</v>
      </c>
      <c r="H3153" t="str">
        <f t="shared" si="296"/>
        <v>ADMINISTRAÇÃO</v>
      </c>
      <c r="I3153" t="str">
        <f t="shared" si="297"/>
        <v>SOCIAL S/A</v>
      </c>
      <c r="J3153">
        <f t="shared" si="298"/>
        <v>0</v>
      </c>
      <c r="K3153">
        <f t="shared" si="299"/>
        <v>1</v>
      </c>
    </row>
    <row r="3154" spans="1:11" x14ac:dyDescent="0.25">
      <c r="A3154" t="s">
        <v>632</v>
      </c>
      <c r="B3154" t="s">
        <v>633</v>
      </c>
      <c r="C3154" t="s">
        <v>66</v>
      </c>
      <c r="D3154" s="6">
        <v>45850</v>
      </c>
      <c r="E3154" t="str">
        <f>VLOOKUP(B3154,'PROCV GERENTES BD'!A:B,2,0)</f>
        <v>TIAGO NEVES</v>
      </c>
      <c r="F3154" s="4" t="str">
        <f t="shared" si="294"/>
        <v>2025-07</v>
      </c>
      <c r="G3154" s="18">
        <f t="shared" si="295"/>
        <v>28</v>
      </c>
      <c r="H3154" t="str">
        <f t="shared" si="296"/>
        <v>TIAGO NEVES</v>
      </c>
      <c r="I3154" t="str">
        <f t="shared" si="297"/>
        <v>AUTO VIDROS MG INDUSTRIA E COMERCIO LTDA</v>
      </c>
      <c r="J3154">
        <f t="shared" si="298"/>
        <v>1</v>
      </c>
      <c r="K3154">
        <f t="shared" si="299"/>
        <v>0</v>
      </c>
    </row>
    <row r="3155" spans="1:11" x14ac:dyDescent="0.25">
      <c r="A3155" t="s">
        <v>361</v>
      </c>
      <c r="B3155" t="s">
        <v>106</v>
      </c>
      <c r="C3155" t="s">
        <v>66</v>
      </c>
      <c r="D3155" s="6">
        <v>45850</v>
      </c>
      <c r="E3155" t="str">
        <f>VLOOKUP(B3155,'PROCV GERENTES BD'!A:B,2,0)</f>
        <v>PRISCILA METZ</v>
      </c>
      <c r="F3155" s="4" t="str">
        <f t="shared" si="294"/>
        <v>2025-07</v>
      </c>
      <c r="G3155" s="18">
        <f t="shared" si="295"/>
        <v>28</v>
      </c>
      <c r="H3155" t="str">
        <f t="shared" si="296"/>
        <v>PRISCILA METZ</v>
      </c>
      <c r="I3155" t="str">
        <f t="shared" si="297"/>
        <v>HERBAMED LABORATORIO NUTRACEUTICO LTDA</v>
      </c>
      <c r="J3155">
        <f t="shared" si="298"/>
        <v>1</v>
      </c>
      <c r="K3155">
        <f t="shared" si="299"/>
        <v>0</v>
      </c>
    </row>
    <row r="3156" spans="1:11" x14ac:dyDescent="0.25">
      <c r="A3156" t="s">
        <v>321</v>
      </c>
      <c r="B3156" t="s">
        <v>264</v>
      </c>
      <c r="C3156" t="s">
        <v>50</v>
      </c>
      <c r="D3156" s="6">
        <v>45850</v>
      </c>
      <c r="E3156" t="str">
        <f>VLOOKUP(B3156,'PROCV GERENTES BD'!A:B,2,0)</f>
        <v>RAFAEL PARISE</v>
      </c>
      <c r="F3156" s="4" t="str">
        <f t="shared" si="294"/>
        <v>2025-07</v>
      </c>
      <c r="G3156" s="18">
        <f t="shared" si="295"/>
        <v>28</v>
      </c>
      <c r="H3156" t="str">
        <f t="shared" si="296"/>
        <v>RAFAEL PARISE</v>
      </c>
      <c r="I3156" t="str">
        <f t="shared" si="297"/>
        <v>METALCROMO METALIZACAO E CROMO DURO INDUSTRIAL LTD</v>
      </c>
      <c r="J3156">
        <f t="shared" si="298"/>
        <v>0</v>
      </c>
      <c r="K3156">
        <f t="shared" si="299"/>
        <v>1</v>
      </c>
    </row>
    <row r="3157" spans="1:11" x14ac:dyDescent="0.25">
      <c r="A3157" t="s">
        <v>54</v>
      </c>
      <c r="B3157" t="s">
        <v>55</v>
      </c>
      <c r="C3157" t="s">
        <v>50</v>
      </c>
      <c r="D3157" s="6">
        <v>45850</v>
      </c>
      <c r="E3157" t="str">
        <f>VLOOKUP(B3157,'PROCV GERENTES BD'!A:B,2,0)</f>
        <v>CELIO PIMENTA</v>
      </c>
      <c r="F3157" s="4" t="str">
        <f t="shared" si="294"/>
        <v>2025-07</v>
      </c>
      <c r="G3157" s="18">
        <f t="shared" si="295"/>
        <v>28</v>
      </c>
      <c r="H3157" t="str">
        <f t="shared" si="296"/>
        <v>CELIO PIMENTA</v>
      </c>
      <c r="I3157" t="str">
        <f t="shared" si="297"/>
        <v>WJ CALDEIRARIA INDUSTRIA E COMERCIO LTDA ME</v>
      </c>
      <c r="J3157">
        <f t="shared" si="298"/>
        <v>0</v>
      </c>
      <c r="K3157">
        <f t="shared" si="299"/>
        <v>1</v>
      </c>
    </row>
    <row r="3158" spans="1:11" x14ac:dyDescent="0.25">
      <c r="A3158" t="s">
        <v>532</v>
      </c>
      <c r="B3158" t="s">
        <v>300</v>
      </c>
      <c r="C3158" t="s">
        <v>50</v>
      </c>
      <c r="D3158" s="6">
        <v>45850</v>
      </c>
      <c r="E3158" t="str">
        <f>VLOOKUP(B3158,'PROCV GERENTES BD'!A:B,2,0)</f>
        <v>RAFAEL PARISE</v>
      </c>
      <c r="F3158" s="4" t="str">
        <f t="shared" si="294"/>
        <v>2025-07</v>
      </c>
      <c r="G3158" s="18">
        <f t="shared" si="295"/>
        <v>28</v>
      </c>
      <c r="H3158" t="str">
        <f t="shared" si="296"/>
        <v>RAFAEL PARISE</v>
      </c>
      <c r="I3158" t="str">
        <f t="shared" si="297"/>
        <v>MINASPOL INDUSTRIA E COMERCIO DE COMPOSTOS POLIMER</v>
      </c>
      <c r="J3158">
        <f t="shared" si="298"/>
        <v>0</v>
      </c>
      <c r="K3158">
        <f t="shared" si="299"/>
        <v>1</v>
      </c>
    </row>
    <row r="3159" spans="1:11" x14ac:dyDescent="0.25">
      <c r="A3159" t="s">
        <v>51</v>
      </c>
      <c r="B3159" t="s">
        <v>52</v>
      </c>
      <c r="C3159" t="s">
        <v>50</v>
      </c>
      <c r="D3159" s="6">
        <v>45850</v>
      </c>
      <c r="E3159" t="str">
        <f>VLOOKUP(B3159,'PROCV GERENTES BD'!A:B,2,0)</f>
        <v>RAFAEL PARISE</v>
      </c>
      <c r="F3159" s="4" t="str">
        <f t="shared" si="294"/>
        <v>2025-07</v>
      </c>
      <c r="G3159" s="18">
        <f t="shared" si="295"/>
        <v>28</v>
      </c>
      <c r="H3159" t="str">
        <f t="shared" si="296"/>
        <v>RAFAEL PARISE</v>
      </c>
      <c r="I3159" t="str">
        <f t="shared" si="297"/>
        <v>TDR TRANSPORTES LOGISTICA LTDA</v>
      </c>
      <c r="J3159">
        <f t="shared" si="298"/>
        <v>0</v>
      </c>
      <c r="K3159">
        <f t="shared" si="299"/>
        <v>1</v>
      </c>
    </row>
    <row r="3160" spans="1:11" x14ac:dyDescent="0.25">
      <c r="A3160" t="s">
        <v>323</v>
      </c>
      <c r="B3160" t="s">
        <v>109</v>
      </c>
      <c r="C3160" t="s">
        <v>50</v>
      </c>
      <c r="D3160" s="6">
        <v>45850</v>
      </c>
      <c r="E3160" t="str">
        <f>VLOOKUP(B3160,'PROCV GERENTES BD'!A:B,2,0)</f>
        <v>PROSPECTAR</v>
      </c>
      <c r="F3160" s="4" t="str">
        <f t="shared" si="294"/>
        <v>2025-07</v>
      </c>
      <c r="G3160" s="18">
        <f t="shared" si="295"/>
        <v>28</v>
      </c>
      <c r="H3160" t="str">
        <f t="shared" si="296"/>
        <v>PROSPECTAR</v>
      </c>
      <c r="I3160" t="str">
        <f t="shared" si="297"/>
        <v>SIAP COMERCIO DE PRODUTOS AGROPECUARIOS LTDA</v>
      </c>
      <c r="J3160">
        <f t="shared" si="298"/>
        <v>0</v>
      </c>
      <c r="K3160">
        <f t="shared" si="299"/>
        <v>1</v>
      </c>
    </row>
    <row r="3161" spans="1:11" x14ac:dyDescent="0.25">
      <c r="A3161" t="s">
        <v>523</v>
      </c>
      <c r="B3161" t="s">
        <v>288</v>
      </c>
      <c r="C3161" t="s">
        <v>50</v>
      </c>
      <c r="D3161" s="6">
        <v>45850</v>
      </c>
      <c r="E3161" t="str">
        <f>VLOOKUP(B3161,'PROCV GERENTES BD'!A:B,2,0)</f>
        <v>ADMINISTRAÇÃO</v>
      </c>
      <c r="F3161" s="4" t="str">
        <f t="shared" si="294"/>
        <v>2025-07</v>
      </c>
      <c r="G3161" s="18">
        <f t="shared" si="295"/>
        <v>28</v>
      </c>
      <c r="H3161" t="str">
        <f t="shared" si="296"/>
        <v>ADMINISTRAÇÃO</v>
      </c>
      <c r="I3161" t="str">
        <f t="shared" si="297"/>
        <v>REFRACONT BRASIL LTDA</v>
      </c>
      <c r="J3161">
        <f t="shared" si="298"/>
        <v>0</v>
      </c>
      <c r="K3161">
        <f t="shared" si="299"/>
        <v>1</v>
      </c>
    </row>
    <row r="3162" spans="1:11" x14ac:dyDescent="0.25">
      <c r="A3162" t="s">
        <v>467</v>
      </c>
      <c r="B3162" t="s">
        <v>224</v>
      </c>
      <c r="C3162" t="s">
        <v>50</v>
      </c>
      <c r="D3162" s="6">
        <v>45850</v>
      </c>
      <c r="E3162" t="str">
        <f>VLOOKUP(B3162,'PROCV GERENTES BD'!A:B,2,0)</f>
        <v>DIOGO AZEVEDO</v>
      </c>
      <c r="F3162" s="4" t="str">
        <f t="shared" si="294"/>
        <v>2025-07</v>
      </c>
      <c r="G3162" s="18">
        <f t="shared" si="295"/>
        <v>28</v>
      </c>
      <c r="H3162" t="str">
        <f t="shared" si="296"/>
        <v>DIOGO AZEVEDO</v>
      </c>
      <c r="I3162" t="str">
        <f t="shared" si="297"/>
        <v>VGS COMERCIO DE EMBALAGENS DE MADEIRAS LTDA ME</v>
      </c>
      <c r="J3162">
        <f t="shared" si="298"/>
        <v>0</v>
      </c>
      <c r="K3162">
        <f t="shared" si="299"/>
        <v>1</v>
      </c>
    </row>
    <row r="3163" spans="1:11" x14ac:dyDescent="0.25">
      <c r="A3163" t="s">
        <v>534</v>
      </c>
      <c r="B3163" t="s">
        <v>303</v>
      </c>
      <c r="C3163" t="s">
        <v>50</v>
      </c>
      <c r="D3163" s="6">
        <v>45850</v>
      </c>
      <c r="E3163" t="str">
        <f>VLOOKUP(B3163,'PROCV GERENTES BD'!A:B,2,0)</f>
        <v xml:space="preserve">MARCUS VINICIUS </v>
      </c>
      <c r="F3163" s="4" t="str">
        <f t="shared" si="294"/>
        <v>2025-07</v>
      </c>
      <c r="G3163" s="18">
        <f t="shared" si="295"/>
        <v>28</v>
      </c>
      <c r="H3163" t="str">
        <f t="shared" si="296"/>
        <v xml:space="preserve">MARCUS VINICIUS </v>
      </c>
      <c r="I3163" t="str">
        <f t="shared" si="297"/>
        <v>GRAFICA JSA LTDA EPP</v>
      </c>
      <c r="J3163">
        <f t="shared" si="298"/>
        <v>0</v>
      </c>
      <c r="K3163">
        <f t="shared" si="299"/>
        <v>1</v>
      </c>
    </row>
    <row r="3164" spans="1:11" x14ac:dyDescent="0.25">
      <c r="A3164" t="s">
        <v>529</v>
      </c>
      <c r="B3164" t="s">
        <v>297</v>
      </c>
      <c r="C3164" t="s">
        <v>50</v>
      </c>
      <c r="D3164" s="6">
        <v>45853</v>
      </c>
      <c r="E3164" t="str">
        <f>VLOOKUP(B3164,'PROCV GERENTES BD'!A:B,2,0)</f>
        <v>ANDRE CUNHA</v>
      </c>
      <c r="F3164" s="4" t="str">
        <f t="shared" si="294"/>
        <v>2025-07</v>
      </c>
      <c r="G3164" s="18">
        <f t="shared" si="295"/>
        <v>29</v>
      </c>
      <c r="H3164" t="str">
        <f t="shared" si="296"/>
        <v>ANDRE CUNHA</v>
      </c>
      <c r="I3164" t="str">
        <f t="shared" si="297"/>
        <v>REVPACK TECNOLOGIA E COMERCIO DE COMPONENTES PLAST</v>
      </c>
      <c r="J3164">
        <f t="shared" si="298"/>
        <v>0</v>
      </c>
      <c r="K3164">
        <f t="shared" si="299"/>
        <v>1</v>
      </c>
    </row>
    <row r="3165" spans="1:11" x14ac:dyDescent="0.25">
      <c r="A3165" t="s">
        <v>359</v>
      </c>
      <c r="B3165" t="s">
        <v>105</v>
      </c>
      <c r="C3165" t="s">
        <v>50</v>
      </c>
      <c r="D3165" s="6">
        <v>45853</v>
      </c>
      <c r="E3165" t="str">
        <f>VLOOKUP(B3165,'PROCV GERENTES BD'!A:B,2,0)</f>
        <v>PROSPECTAR</v>
      </c>
      <c r="F3165" s="4" t="str">
        <f t="shared" si="294"/>
        <v>2025-07</v>
      </c>
      <c r="G3165" s="18">
        <f t="shared" si="295"/>
        <v>29</v>
      </c>
      <c r="H3165" t="str">
        <f t="shared" si="296"/>
        <v>PROSPECTAR</v>
      </c>
      <c r="I3165" t="str">
        <f t="shared" si="297"/>
        <v>ALEXANDRE ROSA VICENTE E SERVICOS LTDA ME</v>
      </c>
      <c r="J3165">
        <f t="shared" si="298"/>
        <v>0</v>
      </c>
      <c r="K3165">
        <f t="shared" si="299"/>
        <v>1</v>
      </c>
    </row>
    <row r="3166" spans="1:11" x14ac:dyDescent="0.25">
      <c r="A3166" t="s">
        <v>317</v>
      </c>
      <c r="B3166" t="s">
        <v>280</v>
      </c>
      <c r="C3166" t="s">
        <v>50</v>
      </c>
      <c r="D3166" s="6">
        <v>45853</v>
      </c>
      <c r="E3166" t="str">
        <f>VLOOKUP(B3166,'PROCV GERENTES BD'!A:B,2,0)</f>
        <v>PROSPECTAR</v>
      </c>
      <c r="F3166" s="4" t="str">
        <f t="shared" si="294"/>
        <v>2025-07</v>
      </c>
      <c r="G3166" s="18">
        <f t="shared" si="295"/>
        <v>29</v>
      </c>
      <c r="H3166" t="str">
        <f t="shared" si="296"/>
        <v>PROSPECTAR</v>
      </c>
      <c r="I3166" t="str">
        <f t="shared" si="297"/>
        <v>STA TECHCANA LTDA</v>
      </c>
      <c r="J3166">
        <f t="shared" si="298"/>
        <v>0</v>
      </c>
      <c r="K3166">
        <f t="shared" si="299"/>
        <v>1</v>
      </c>
    </row>
    <row r="3167" spans="1:11" x14ac:dyDescent="0.25">
      <c r="A3167" t="s">
        <v>519</v>
      </c>
      <c r="B3167" t="s">
        <v>283</v>
      </c>
      <c r="C3167" t="s">
        <v>50</v>
      </c>
      <c r="D3167" s="6">
        <v>45853</v>
      </c>
      <c r="E3167" t="str">
        <f>VLOOKUP(B3167,'PROCV GERENTES BD'!A:B,2,0)</f>
        <v>DALVA</v>
      </c>
      <c r="F3167" s="4" t="str">
        <f t="shared" si="294"/>
        <v>2025-07</v>
      </c>
      <c r="G3167" s="18">
        <f t="shared" si="295"/>
        <v>29</v>
      </c>
      <c r="H3167" t="str">
        <f t="shared" si="296"/>
        <v>DALVA</v>
      </c>
      <c r="I3167" t="str">
        <f t="shared" si="297"/>
        <v>LTA USINAGEM LTDA EPP</v>
      </c>
      <c r="J3167">
        <f t="shared" si="298"/>
        <v>0</v>
      </c>
      <c r="K3167">
        <f t="shared" si="299"/>
        <v>1</v>
      </c>
    </row>
    <row r="3168" spans="1:11" x14ac:dyDescent="0.25">
      <c r="A3168" t="s">
        <v>62</v>
      </c>
      <c r="B3168" t="s">
        <v>63</v>
      </c>
      <c r="C3168" t="s">
        <v>50</v>
      </c>
      <c r="D3168" s="6">
        <v>45853</v>
      </c>
      <c r="E3168" t="str">
        <f>VLOOKUP(B3168,'PROCV GERENTES BD'!A:B,2,0)</f>
        <v>PROSPECTAR</v>
      </c>
      <c r="F3168" s="4" t="str">
        <f t="shared" si="294"/>
        <v>2025-07</v>
      </c>
      <c r="G3168" s="18">
        <f t="shared" si="295"/>
        <v>29</v>
      </c>
      <c r="H3168" t="str">
        <f t="shared" si="296"/>
        <v>PROSPECTAR</v>
      </c>
      <c r="I3168" t="str">
        <f t="shared" si="297"/>
        <v>MAPP COM IMPORTACAO EXPORTACAO IND PRODUTOS ALIMEN</v>
      </c>
      <c r="J3168">
        <f t="shared" si="298"/>
        <v>0</v>
      </c>
      <c r="K3168">
        <f t="shared" si="299"/>
        <v>1</v>
      </c>
    </row>
    <row r="3169" spans="1:11" x14ac:dyDescent="0.25">
      <c r="A3169" t="s">
        <v>64</v>
      </c>
      <c r="B3169" t="s">
        <v>65</v>
      </c>
      <c r="C3169" t="s">
        <v>50</v>
      </c>
      <c r="D3169" s="6">
        <v>45853</v>
      </c>
      <c r="E3169" t="str">
        <f>VLOOKUP(B3169,'PROCV GERENTES BD'!A:B,2,0)</f>
        <v>ADMINISTRAÇÃO</v>
      </c>
      <c r="F3169" s="4" t="str">
        <f t="shared" si="294"/>
        <v>2025-07</v>
      </c>
      <c r="G3169" s="18">
        <f t="shared" si="295"/>
        <v>29</v>
      </c>
      <c r="H3169" t="str">
        <f t="shared" si="296"/>
        <v>ADMINISTRAÇÃO</v>
      </c>
      <c r="I3169" t="str">
        <f t="shared" si="297"/>
        <v>SOCIAL S/A</v>
      </c>
      <c r="J3169">
        <f t="shared" si="298"/>
        <v>0</v>
      </c>
      <c r="K3169">
        <f t="shared" si="299"/>
        <v>1</v>
      </c>
    </row>
    <row r="3170" spans="1:11" x14ac:dyDescent="0.25">
      <c r="A3170" t="s">
        <v>67</v>
      </c>
      <c r="B3170" t="s">
        <v>68</v>
      </c>
      <c r="C3170" t="s">
        <v>66</v>
      </c>
      <c r="D3170" s="6">
        <v>45853</v>
      </c>
      <c r="E3170" t="str">
        <f>VLOOKUP(B3170,'PROCV GERENTES BD'!A:B,2,0)</f>
        <v xml:space="preserve">ROGERIO </v>
      </c>
      <c r="F3170" s="4" t="str">
        <f t="shared" si="294"/>
        <v>2025-07</v>
      </c>
      <c r="G3170" s="18">
        <f t="shared" si="295"/>
        <v>29</v>
      </c>
      <c r="H3170" t="str">
        <f t="shared" si="296"/>
        <v xml:space="preserve">ROGERIO </v>
      </c>
      <c r="I3170" t="str">
        <f t="shared" si="297"/>
        <v>DIOTTONI INDUSTRIA E COMERCIO DE ALIMENTOS LTDA ME</v>
      </c>
      <c r="J3170">
        <f t="shared" si="298"/>
        <v>1</v>
      </c>
      <c r="K3170">
        <f t="shared" si="299"/>
        <v>0</v>
      </c>
    </row>
    <row r="3171" spans="1:11" x14ac:dyDescent="0.25">
      <c r="A3171" t="s">
        <v>625</v>
      </c>
      <c r="B3171" t="s">
        <v>537</v>
      </c>
      <c r="C3171" t="s">
        <v>50</v>
      </c>
      <c r="D3171" s="6">
        <v>45853</v>
      </c>
      <c r="E3171" t="str">
        <f>VLOOKUP(B3171,'PROCV GERENTES BD'!A:B,2,0)</f>
        <v>WASHINGTON</v>
      </c>
      <c r="F3171" s="4" t="str">
        <f t="shared" si="294"/>
        <v>2025-07</v>
      </c>
      <c r="G3171" s="18">
        <f t="shared" si="295"/>
        <v>29</v>
      </c>
      <c r="H3171" t="str">
        <f t="shared" si="296"/>
        <v>WASHINGTON</v>
      </c>
      <c r="I3171" t="str">
        <f t="shared" si="297"/>
        <v>COMERCIAL SEGURANCA LTDA ME</v>
      </c>
      <c r="J3171">
        <f t="shared" si="298"/>
        <v>0</v>
      </c>
      <c r="K3171">
        <f t="shared" si="299"/>
        <v>1</v>
      </c>
    </row>
    <row r="3172" spans="1:11" x14ac:dyDescent="0.25">
      <c r="A3172" t="s">
        <v>352</v>
      </c>
      <c r="B3172" t="s">
        <v>96</v>
      </c>
      <c r="C3172" t="s">
        <v>50</v>
      </c>
      <c r="D3172" s="6">
        <v>45853</v>
      </c>
      <c r="E3172" t="str">
        <f>VLOOKUP(B3172,'PROCV GERENTES BD'!A:B,2,0)</f>
        <v>POENATELA</v>
      </c>
      <c r="F3172" s="4" t="str">
        <f t="shared" si="294"/>
        <v>2025-07</v>
      </c>
      <c r="G3172" s="18">
        <f t="shared" si="295"/>
        <v>29</v>
      </c>
      <c r="H3172" t="str">
        <f t="shared" si="296"/>
        <v>POENATELA</v>
      </c>
      <c r="I3172" t="str">
        <f t="shared" si="297"/>
        <v>SUPER HARD TECNOLOGIA EM TRATAMENTO DE SUPERFICIES</v>
      </c>
      <c r="J3172">
        <f t="shared" si="298"/>
        <v>0</v>
      </c>
      <c r="K3172">
        <f t="shared" si="299"/>
        <v>1</v>
      </c>
    </row>
    <row r="3173" spans="1:11" x14ac:dyDescent="0.25">
      <c r="A3173" t="s">
        <v>635</v>
      </c>
      <c r="B3173" t="s">
        <v>636</v>
      </c>
      <c r="C3173" t="s">
        <v>50</v>
      </c>
      <c r="D3173" s="6">
        <v>45853</v>
      </c>
      <c r="E3173" t="str">
        <f>VLOOKUP(B3173,'PROCV GERENTES BD'!A:B,2,0)</f>
        <v>TIAGO NEVES</v>
      </c>
      <c r="F3173" s="4" t="str">
        <f t="shared" si="294"/>
        <v>2025-07</v>
      </c>
      <c r="G3173" s="18">
        <f t="shared" si="295"/>
        <v>29</v>
      </c>
      <c r="H3173" t="str">
        <f t="shared" si="296"/>
        <v>TIAGO NEVES</v>
      </c>
      <c r="I3173" t="str">
        <f t="shared" si="297"/>
        <v>MG GLASS VIDROS PARA TRATORES E CAMINHOES LTDA ME</v>
      </c>
      <c r="J3173">
        <f t="shared" si="298"/>
        <v>0</v>
      </c>
      <c r="K3173">
        <f t="shared" si="299"/>
        <v>1</v>
      </c>
    </row>
    <row r="3174" spans="1:11" x14ac:dyDescent="0.25">
      <c r="A3174" t="s">
        <v>369</v>
      </c>
      <c r="B3174" t="s">
        <v>113</v>
      </c>
      <c r="C3174" t="s">
        <v>50</v>
      </c>
      <c r="D3174" s="6">
        <v>45853</v>
      </c>
      <c r="E3174" t="str">
        <f>VLOOKUP(B3174,'PROCV GERENTES BD'!A:B,2,0)</f>
        <v xml:space="preserve">MARCUS VINICIUS </v>
      </c>
      <c r="F3174" s="4" t="str">
        <f t="shared" si="294"/>
        <v>2025-07</v>
      </c>
      <c r="G3174" s="18">
        <f t="shared" si="295"/>
        <v>29</v>
      </c>
      <c r="H3174" t="str">
        <f t="shared" si="296"/>
        <v xml:space="preserve">MARCUS VINICIUS </v>
      </c>
      <c r="I3174" t="str">
        <f t="shared" si="297"/>
        <v>ISOBASE POLIESTIRENO LTDA EPP</v>
      </c>
      <c r="J3174">
        <f t="shared" si="298"/>
        <v>0</v>
      </c>
      <c r="K3174">
        <f t="shared" si="299"/>
        <v>1</v>
      </c>
    </row>
    <row r="3175" spans="1:11" x14ac:dyDescent="0.25">
      <c r="A3175" t="s">
        <v>314</v>
      </c>
      <c r="B3175" t="s">
        <v>246</v>
      </c>
      <c r="C3175" t="s">
        <v>50</v>
      </c>
      <c r="D3175" s="6">
        <v>45853</v>
      </c>
      <c r="E3175" t="str">
        <f>VLOOKUP(B3175,'PROCV GERENTES BD'!A:B,2,0)</f>
        <v xml:space="preserve">ROGERIO </v>
      </c>
      <c r="F3175" s="4" t="str">
        <f t="shared" si="294"/>
        <v>2025-07</v>
      </c>
      <c r="G3175" s="18">
        <f t="shared" si="295"/>
        <v>29</v>
      </c>
      <c r="H3175" t="str">
        <f t="shared" si="296"/>
        <v xml:space="preserve">ROGERIO </v>
      </c>
      <c r="I3175" t="str">
        <f t="shared" si="297"/>
        <v>MUTCD CENTRO DE DISTRIBUICAO DE IND FABRICANTE DE</v>
      </c>
      <c r="J3175">
        <f t="shared" si="298"/>
        <v>0</v>
      </c>
      <c r="K3175">
        <f t="shared" si="299"/>
        <v>1</v>
      </c>
    </row>
    <row r="3176" spans="1:11" x14ac:dyDescent="0.25">
      <c r="A3176" t="s">
        <v>445</v>
      </c>
      <c r="B3176" t="s">
        <v>197</v>
      </c>
      <c r="C3176" t="s">
        <v>66</v>
      </c>
      <c r="D3176" s="6">
        <v>45853</v>
      </c>
      <c r="E3176" t="str">
        <f>VLOOKUP(B3176,'PROCV GERENTES BD'!A:B,2,0)</f>
        <v>ADMINISTRAÇÃO</v>
      </c>
      <c r="F3176" s="4" t="str">
        <f t="shared" si="294"/>
        <v>2025-07</v>
      </c>
      <c r="G3176" s="18">
        <f t="shared" si="295"/>
        <v>29</v>
      </c>
      <c r="H3176" t="str">
        <f t="shared" si="296"/>
        <v>ADMINISTRAÇÃO</v>
      </c>
      <c r="I3176" t="str">
        <f t="shared" si="297"/>
        <v>FARBIA CHEMICALS COMERCIO IMPORTACAO E EXPORTACAO</v>
      </c>
      <c r="J3176">
        <f t="shared" si="298"/>
        <v>1</v>
      </c>
      <c r="K3176">
        <f t="shared" si="299"/>
        <v>0</v>
      </c>
    </row>
    <row r="3177" spans="1:11" x14ac:dyDescent="0.25">
      <c r="A3177" t="s">
        <v>623</v>
      </c>
      <c r="B3177" t="s">
        <v>624</v>
      </c>
      <c r="C3177" t="s">
        <v>50</v>
      </c>
      <c r="D3177" s="6">
        <v>45853</v>
      </c>
      <c r="E3177" t="str">
        <f>VLOOKUP(B3177,'PROCV GERENTES BD'!A:B,2,0)</f>
        <v>ALISSON DE SOUZA LIMA</v>
      </c>
      <c r="F3177" s="4" t="str">
        <f t="shared" si="294"/>
        <v>2025-07</v>
      </c>
      <c r="G3177" s="18">
        <f t="shared" si="295"/>
        <v>29</v>
      </c>
      <c r="H3177" t="str">
        <f t="shared" si="296"/>
        <v>ALISSON DE SOUZA LIMA</v>
      </c>
      <c r="I3177" t="str">
        <f t="shared" si="297"/>
        <v>A2 VIDROS INDUSTRIA E COMERCIO LTDA</v>
      </c>
      <c r="J3177">
        <f t="shared" si="298"/>
        <v>0</v>
      </c>
      <c r="K3177">
        <f t="shared" si="299"/>
        <v>1</v>
      </c>
    </row>
    <row r="3178" spans="1:11" x14ac:dyDescent="0.25">
      <c r="A3178" t="s">
        <v>487</v>
      </c>
      <c r="B3178" t="s">
        <v>244</v>
      </c>
      <c r="C3178" t="s">
        <v>50</v>
      </c>
      <c r="D3178" s="6">
        <v>45853</v>
      </c>
      <c r="E3178" t="str">
        <f>VLOOKUP(B3178,'PROCV GERENTES BD'!A:B,2,0)</f>
        <v xml:space="preserve">ROGERIO </v>
      </c>
      <c r="F3178" s="4" t="str">
        <f t="shared" si="294"/>
        <v>2025-07</v>
      </c>
      <c r="G3178" s="18">
        <f t="shared" si="295"/>
        <v>29</v>
      </c>
      <c r="H3178" t="str">
        <f t="shared" si="296"/>
        <v xml:space="preserve">ROGERIO </v>
      </c>
      <c r="I3178" t="str">
        <f t="shared" si="297"/>
        <v>MUNDO AGRO COMERCIO E DISTRIBUICAO DE CALCADOS LTD</v>
      </c>
      <c r="J3178">
        <f t="shared" si="298"/>
        <v>0</v>
      </c>
      <c r="K3178">
        <f t="shared" si="299"/>
        <v>1</v>
      </c>
    </row>
    <row r="3179" spans="1:11" x14ac:dyDescent="0.25">
      <c r="A3179" t="s">
        <v>325</v>
      </c>
      <c r="B3179" t="s">
        <v>138</v>
      </c>
      <c r="C3179" t="s">
        <v>66</v>
      </c>
      <c r="D3179" s="6">
        <v>45853</v>
      </c>
      <c r="E3179" t="str">
        <f>VLOOKUP(B3179,'PROCV GERENTES BD'!A:B,2,0)</f>
        <v>SACADO</v>
      </c>
      <c r="F3179" s="4" t="str">
        <f t="shared" si="294"/>
        <v>2025-07</v>
      </c>
      <c r="G3179" s="18">
        <f t="shared" si="295"/>
        <v>29</v>
      </c>
      <c r="H3179" t="str">
        <f t="shared" si="296"/>
        <v>SACADO</v>
      </c>
      <c r="I3179" t="str">
        <f t="shared" si="297"/>
        <v>ALLIAGE S A INDUSTRIAS MEDICO ODONTOLOGICA</v>
      </c>
      <c r="J3179">
        <f t="shared" si="298"/>
        <v>1</v>
      </c>
      <c r="K3179">
        <f t="shared" si="299"/>
        <v>0</v>
      </c>
    </row>
    <row r="3180" spans="1:11" x14ac:dyDescent="0.25">
      <c r="A3180" t="s">
        <v>326</v>
      </c>
      <c r="B3180" t="s">
        <v>122</v>
      </c>
      <c r="C3180" t="s">
        <v>66</v>
      </c>
      <c r="D3180" s="6">
        <v>45853</v>
      </c>
      <c r="E3180" t="str">
        <f>VLOOKUP(B3180,'PROCV GERENTES BD'!A:B,2,0)</f>
        <v xml:space="preserve">ROGERIO </v>
      </c>
      <c r="F3180" s="4" t="str">
        <f t="shared" si="294"/>
        <v>2025-07</v>
      </c>
      <c r="G3180" s="18">
        <f t="shared" si="295"/>
        <v>29</v>
      </c>
      <c r="H3180" t="str">
        <f t="shared" si="296"/>
        <v xml:space="preserve">ROGERIO </v>
      </c>
      <c r="I3180" t="str">
        <f t="shared" si="297"/>
        <v>BIBE PRODUTOS INFANTIS LTDA</v>
      </c>
      <c r="J3180">
        <f t="shared" si="298"/>
        <v>1</v>
      </c>
      <c r="K3180">
        <f t="shared" si="299"/>
        <v>0</v>
      </c>
    </row>
    <row r="3181" spans="1:11" x14ac:dyDescent="0.25">
      <c r="A3181" t="s">
        <v>427</v>
      </c>
      <c r="B3181" t="s">
        <v>178</v>
      </c>
      <c r="C3181" t="s">
        <v>50</v>
      </c>
      <c r="D3181" s="6">
        <v>45853</v>
      </c>
      <c r="E3181" t="str">
        <f>VLOOKUP(B3181,'PROCV GERENTES BD'!A:B,2,0)</f>
        <v>ADMINISTRAÇÃO</v>
      </c>
      <c r="F3181" s="4" t="str">
        <f t="shared" si="294"/>
        <v>2025-07</v>
      </c>
      <c r="G3181" s="18">
        <f t="shared" si="295"/>
        <v>29</v>
      </c>
      <c r="H3181" t="str">
        <f t="shared" si="296"/>
        <v>ADMINISTRAÇÃO</v>
      </c>
      <c r="I3181" t="str">
        <f t="shared" si="297"/>
        <v>LIZZENA COSMETICOS LTDA EPP</v>
      </c>
      <c r="J3181">
        <f t="shared" si="298"/>
        <v>0</v>
      </c>
      <c r="K3181">
        <f t="shared" si="299"/>
        <v>1</v>
      </c>
    </row>
    <row r="3182" spans="1:11" x14ac:dyDescent="0.25">
      <c r="A3182" t="s">
        <v>637</v>
      </c>
      <c r="B3182" t="s">
        <v>558</v>
      </c>
      <c r="C3182" t="s">
        <v>50</v>
      </c>
      <c r="D3182" s="6">
        <v>45853</v>
      </c>
      <c r="E3182" t="str">
        <f>VLOOKUP(B3182,'PROCV GERENTES BD'!A:B,2,0)</f>
        <v>ALISSON DE SOUZA LIMA</v>
      </c>
      <c r="F3182" s="4" t="str">
        <f t="shared" si="294"/>
        <v>2025-07</v>
      </c>
      <c r="G3182" s="18">
        <f t="shared" si="295"/>
        <v>29</v>
      </c>
      <c r="H3182" t="str">
        <f t="shared" si="296"/>
        <v>ALISSON DE SOUZA LIMA</v>
      </c>
      <c r="I3182" t="str">
        <f t="shared" si="297"/>
        <v>ZAMARIAM MENEGAZZO LTDA ME</v>
      </c>
      <c r="J3182">
        <f t="shared" si="298"/>
        <v>0</v>
      </c>
      <c r="K3182">
        <f t="shared" si="299"/>
        <v>1</v>
      </c>
    </row>
    <row r="3183" spans="1:11" x14ac:dyDescent="0.25">
      <c r="A3183" t="s">
        <v>318</v>
      </c>
      <c r="B3183" t="s">
        <v>203</v>
      </c>
      <c r="C3183" t="s">
        <v>53</v>
      </c>
      <c r="D3183" s="6">
        <v>45853</v>
      </c>
      <c r="E3183" t="str">
        <f>VLOOKUP(B3183,'PROCV GERENTES BD'!A:B,2,0)</f>
        <v>JOSE ROBERTO</v>
      </c>
      <c r="F3183" s="4" t="str">
        <f t="shared" si="294"/>
        <v>2025-07</v>
      </c>
      <c r="G3183" s="18">
        <f t="shared" si="295"/>
        <v>29</v>
      </c>
      <c r="H3183" t="str">
        <f t="shared" si="296"/>
        <v>JOSE ROBERTO</v>
      </c>
      <c r="I3183" t="str">
        <f t="shared" si="297"/>
        <v>FUNDACAO DE ENSINO E PESQUISA DO SUL DE MINAS FEPE</v>
      </c>
      <c r="J3183">
        <f t="shared" si="298"/>
        <v>1</v>
      </c>
      <c r="K3183">
        <f t="shared" si="299"/>
        <v>1</v>
      </c>
    </row>
    <row r="3184" spans="1:11" x14ac:dyDescent="0.25">
      <c r="A3184" t="s">
        <v>56</v>
      </c>
      <c r="B3184" t="s">
        <v>57</v>
      </c>
      <c r="C3184" t="s">
        <v>50</v>
      </c>
      <c r="D3184" s="6">
        <v>45853</v>
      </c>
      <c r="E3184" t="str">
        <f>VLOOKUP(B3184,'PROCV GERENTES BD'!A:B,2,0)</f>
        <v xml:space="preserve">ROGERIO </v>
      </c>
      <c r="F3184" s="4" t="str">
        <f t="shared" si="294"/>
        <v>2025-07</v>
      </c>
      <c r="G3184" s="18">
        <f t="shared" si="295"/>
        <v>29</v>
      </c>
      <c r="H3184" t="str">
        <f t="shared" si="296"/>
        <v xml:space="preserve">ROGERIO </v>
      </c>
      <c r="I3184" t="str">
        <f t="shared" si="297"/>
        <v>RODOVIEIRA TRANSPORTE LTDA</v>
      </c>
      <c r="J3184">
        <f t="shared" si="298"/>
        <v>0</v>
      </c>
      <c r="K3184">
        <f t="shared" si="299"/>
        <v>1</v>
      </c>
    </row>
    <row r="3185" spans="1:11" x14ac:dyDescent="0.25">
      <c r="A3185" t="s">
        <v>311</v>
      </c>
      <c r="B3185" t="s">
        <v>81</v>
      </c>
      <c r="C3185" t="s">
        <v>50</v>
      </c>
      <c r="D3185" s="6">
        <v>45853</v>
      </c>
      <c r="E3185" t="str">
        <f>VLOOKUP(B3185,'PROCV GERENTES BD'!A:B,2,0)</f>
        <v>CELIO PIMENTA</v>
      </c>
      <c r="F3185" s="4" t="str">
        <f t="shared" si="294"/>
        <v>2025-07</v>
      </c>
      <c r="G3185" s="18">
        <f t="shared" si="295"/>
        <v>29</v>
      </c>
      <c r="H3185" t="str">
        <f t="shared" si="296"/>
        <v>CELIO PIMENTA</v>
      </c>
      <c r="I3185" t="str">
        <f t="shared" si="297"/>
        <v>MBIOLOG DIAGNOSTICOS LTDA</v>
      </c>
      <c r="J3185">
        <f t="shared" si="298"/>
        <v>0</v>
      </c>
      <c r="K3185">
        <f t="shared" si="299"/>
        <v>1</v>
      </c>
    </row>
    <row r="3186" spans="1:11" x14ac:dyDescent="0.25">
      <c r="A3186" t="s">
        <v>48</v>
      </c>
      <c r="B3186" t="s">
        <v>49</v>
      </c>
      <c r="C3186" t="s">
        <v>50</v>
      </c>
      <c r="D3186" s="6">
        <v>45853</v>
      </c>
      <c r="E3186" t="str">
        <f>VLOOKUP(B3186,'PROCV GERENTES BD'!A:B,2,0)</f>
        <v xml:space="preserve">MARCUS VINICIUS </v>
      </c>
      <c r="F3186" s="4" t="str">
        <f t="shared" si="294"/>
        <v>2025-07</v>
      </c>
      <c r="G3186" s="18">
        <f t="shared" si="295"/>
        <v>29</v>
      </c>
      <c r="H3186" t="str">
        <f t="shared" si="296"/>
        <v xml:space="preserve">MARCUS VINICIUS </v>
      </c>
      <c r="I3186" t="str">
        <f t="shared" si="297"/>
        <v>PROMEL IND COM IMP E EXP DE PRODS NATURAIS LTDA</v>
      </c>
      <c r="J3186">
        <f t="shared" si="298"/>
        <v>0</v>
      </c>
      <c r="K3186">
        <f t="shared" si="299"/>
        <v>1</v>
      </c>
    </row>
    <row r="3187" spans="1:11" x14ac:dyDescent="0.25">
      <c r="A3187" t="s">
        <v>523</v>
      </c>
      <c r="B3187" t="s">
        <v>288</v>
      </c>
      <c r="C3187" t="s">
        <v>53</v>
      </c>
      <c r="D3187" s="6">
        <v>45853</v>
      </c>
      <c r="E3187" t="str">
        <f>VLOOKUP(B3187,'PROCV GERENTES BD'!A:B,2,0)</f>
        <v>ADMINISTRAÇÃO</v>
      </c>
      <c r="F3187" s="4" t="str">
        <f t="shared" si="294"/>
        <v>2025-07</v>
      </c>
      <c r="G3187" s="18">
        <f t="shared" si="295"/>
        <v>29</v>
      </c>
      <c r="H3187" t="str">
        <f t="shared" si="296"/>
        <v>ADMINISTRAÇÃO</v>
      </c>
      <c r="I3187" t="str">
        <f t="shared" si="297"/>
        <v>REFRACONT BRASIL LTDA</v>
      </c>
      <c r="J3187">
        <f t="shared" si="298"/>
        <v>1</v>
      </c>
      <c r="K3187">
        <f t="shared" si="299"/>
        <v>1</v>
      </c>
    </row>
    <row r="3188" spans="1:11" x14ac:dyDescent="0.25">
      <c r="A3188" t="s">
        <v>324</v>
      </c>
      <c r="B3188" t="s">
        <v>119</v>
      </c>
      <c r="C3188" t="s">
        <v>50</v>
      </c>
      <c r="D3188" s="6">
        <v>45853</v>
      </c>
      <c r="E3188" t="str">
        <f>VLOOKUP(B3188,'PROCV GERENTES BD'!A:B,2,0)</f>
        <v>PROSPECTAR</v>
      </c>
      <c r="F3188" s="4" t="str">
        <f t="shared" si="294"/>
        <v>2025-07</v>
      </c>
      <c r="G3188" s="18">
        <f t="shared" si="295"/>
        <v>29</v>
      </c>
      <c r="H3188" t="str">
        <f t="shared" si="296"/>
        <v>PROSPECTAR</v>
      </c>
      <c r="I3188" t="str">
        <f t="shared" si="297"/>
        <v>TRANSHENRY TRANSPORTES LTDA</v>
      </c>
      <c r="J3188">
        <f t="shared" si="298"/>
        <v>0</v>
      </c>
      <c r="K3188">
        <f t="shared" si="299"/>
        <v>1</v>
      </c>
    </row>
    <row r="3189" spans="1:11" x14ac:dyDescent="0.25">
      <c r="A3189" t="s">
        <v>629</v>
      </c>
      <c r="B3189" t="s">
        <v>550</v>
      </c>
      <c r="C3189" t="s">
        <v>50</v>
      </c>
      <c r="D3189" s="6">
        <v>45853</v>
      </c>
      <c r="E3189" t="str">
        <f>VLOOKUP(B3189,'PROCV GERENTES BD'!A:B,2,0)</f>
        <v>CREDTEM</v>
      </c>
      <c r="F3189" s="4" t="str">
        <f t="shared" si="294"/>
        <v>2025-07</v>
      </c>
      <c r="G3189" s="18">
        <f t="shared" si="295"/>
        <v>29</v>
      </c>
      <c r="H3189" t="str">
        <f t="shared" si="296"/>
        <v>CREDTEM</v>
      </c>
      <c r="I3189" t="str">
        <f t="shared" si="297"/>
        <v>W M DE CASTRO NETO PRODUTOS FARMACEUTICOS EPP</v>
      </c>
      <c r="J3189">
        <f t="shared" si="298"/>
        <v>0</v>
      </c>
      <c r="K3189">
        <f t="shared" si="299"/>
        <v>1</v>
      </c>
    </row>
    <row r="3190" spans="1:11" x14ac:dyDescent="0.25">
      <c r="A3190" t="s">
        <v>51</v>
      </c>
      <c r="B3190" t="s">
        <v>52</v>
      </c>
      <c r="C3190" t="s">
        <v>50</v>
      </c>
      <c r="D3190" s="6">
        <v>45853</v>
      </c>
      <c r="E3190" t="str">
        <f>VLOOKUP(B3190,'PROCV GERENTES BD'!A:B,2,0)</f>
        <v>RAFAEL PARISE</v>
      </c>
      <c r="F3190" s="4" t="str">
        <f t="shared" si="294"/>
        <v>2025-07</v>
      </c>
      <c r="G3190" s="18">
        <f t="shared" si="295"/>
        <v>29</v>
      </c>
      <c r="H3190" t="str">
        <f t="shared" si="296"/>
        <v>RAFAEL PARISE</v>
      </c>
      <c r="I3190" t="str">
        <f t="shared" si="297"/>
        <v>TDR TRANSPORTES LOGISTICA LTDA</v>
      </c>
      <c r="J3190">
        <f t="shared" si="298"/>
        <v>0</v>
      </c>
      <c r="K3190">
        <f t="shared" si="299"/>
        <v>1</v>
      </c>
    </row>
    <row r="3191" spans="1:11" x14ac:dyDescent="0.25">
      <c r="A3191" t="s">
        <v>532</v>
      </c>
      <c r="B3191" t="s">
        <v>300</v>
      </c>
      <c r="C3191" t="s">
        <v>66</v>
      </c>
      <c r="D3191" s="6">
        <v>45853</v>
      </c>
      <c r="E3191" t="str">
        <f>VLOOKUP(B3191,'PROCV GERENTES BD'!A:B,2,0)</f>
        <v>RAFAEL PARISE</v>
      </c>
      <c r="F3191" s="4" t="str">
        <f t="shared" si="294"/>
        <v>2025-07</v>
      </c>
      <c r="G3191" s="18">
        <f t="shared" si="295"/>
        <v>29</v>
      </c>
      <c r="H3191" t="str">
        <f t="shared" si="296"/>
        <v>RAFAEL PARISE</v>
      </c>
      <c r="I3191" t="str">
        <f t="shared" si="297"/>
        <v>MINASPOL INDUSTRIA E COMERCIO DE COMPOSTOS POLIMER</v>
      </c>
      <c r="J3191">
        <f t="shared" si="298"/>
        <v>1</v>
      </c>
      <c r="K3191">
        <f t="shared" si="299"/>
        <v>0</v>
      </c>
    </row>
    <row r="3192" spans="1:11" x14ac:dyDescent="0.25">
      <c r="A3192" t="s">
        <v>58</v>
      </c>
      <c r="B3192" t="s">
        <v>59</v>
      </c>
      <c r="C3192" t="s">
        <v>53</v>
      </c>
      <c r="D3192" s="6">
        <v>45853</v>
      </c>
      <c r="E3192" t="str">
        <f>VLOOKUP(B3192,'PROCV GERENTES BD'!A:B,2,0)</f>
        <v>ADMINISTRAÇÃO</v>
      </c>
      <c r="F3192" s="4" t="str">
        <f t="shared" si="294"/>
        <v>2025-07</v>
      </c>
      <c r="G3192" s="18">
        <f t="shared" si="295"/>
        <v>29</v>
      </c>
      <c r="H3192" t="str">
        <f t="shared" si="296"/>
        <v>ADMINISTRAÇÃO</v>
      </c>
      <c r="I3192" t="str">
        <f t="shared" si="297"/>
        <v>BIOTECH LOGISTICA LTDA</v>
      </c>
      <c r="J3192">
        <f t="shared" si="298"/>
        <v>1</v>
      </c>
      <c r="K3192">
        <f t="shared" si="299"/>
        <v>1</v>
      </c>
    </row>
    <row r="3193" spans="1:11" x14ac:dyDescent="0.25">
      <c r="A3193" t="s">
        <v>387</v>
      </c>
      <c r="B3193" t="s">
        <v>134</v>
      </c>
      <c r="C3193" t="s">
        <v>50</v>
      </c>
      <c r="D3193" s="6">
        <v>45853</v>
      </c>
      <c r="E3193" t="str">
        <f>VLOOKUP(B3193,'PROCV GERENTES BD'!A:B,2,0)</f>
        <v>RAFAEL PARISE</v>
      </c>
      <c r="F3193" s="4" t="str">
        <f t="shared" si="294"/>
        <v>2025-07</v>
      </c>
      <c r="G3193" s="18">
        <f t="shared" si="295"/>
        <v>29</v>
      </c>
      <c r="H3193" t="str">
        <f t="shared" si="296"/>
        <v>RAFAEL PARISE</v>
      </c>
      <c r="I3193" t="str">
        <f t="shared" si="297"/>
        <v>MAIS DISTRIBUIDORA LTDA</v>
      </c>
      <c r="J3193">
        <f t="shared" si="298"/>
        <v>0</v>
      </c>
      <c r="K3193">
        <f t="shared" si="299"/>
        <v>1</v>
      </c>
    </row>
    <row r="3194" spans="1:11" x14ac:dyDescent="0.25">
      <c r="A3194" t="s">
        <v>54</v>
      </c>
      <c r="B3194" t="s">
        <v>55</v>
      </c>
      <c r="C3194" t="s">
        <v>50</v>
      </c>
      <c r="D3194" s="6">
        <v>45853</v>
      </c>
      <c r="E3194" t="str">
        <f>VLOOKUP(B3194,'PROCV GERENTES BD'!A:B,2,0)</f>
        <v>CELIO PIMENTA</v>
      </c>
      <c r="F3194" s="4" t="str">
        <f t="shared" si="294"/>
        <v>2025-07</v>
      </c>
      <c r="G3194" s="18">
        <f t="shared" si="295"/>
        <v>29</v>
      </c>
      <c r="H3194" t="str">
        <f t="shared" si="296"/>
        <v>CELIO PIMENTA</v>
      </c>
      <c r="I3194" t="str">
        <f t="shared" si="297"/>
        <v>WJ CALDEIRARIA INDUSTRIA E COMERCIO LTDA ME</v>
      </c>
      <c r="J3194">
        <f t="shared" si="298"/>
        <v>0</v>
      </c>
      <c r="K3194">
        <f t="shared" si="299"/>
        <v>1</v>
      </c>
    </row>
    <row r="3195" spans="1:11" x14ac:dyDescent="0.25">
      <c r="A3195" t="s">
        <v>506</v>
      </c>
      <c r="B3195" t="s">
        <v>268</v>
      </c>
      <c r="C3195" t="s">
        <v>50</v>
      </c>
      <c r="D3195" s="6">
        <v>45853</v>
      </c>
      <c r="E3195" t="str">
        <f>VLOOKUP(B3195,'PROCV GERENTES BD'!A:B,2,0)</f>
        <v>CAIO</v>
      </c>
      <c r="F3195" s="4" t="str">
        <f t="shared" si="294"/>
        <v>2025-07</v>
      </c>
      <c r="G3195" s="18">
        <f t="shared" si="295"/>
        <v>29</v>
      </c>
      <c r="H3195" t="str">
        <f t="shared" si="296"/>
        <v>CAIO</v>
      </c>
      <c r="I3195" t="str">
        <f t="shared" si="297"/>
        <v>BEECORP BEM ESTAR CORPORATIVO LTDA ME</v>
      </c>
      <c r="J3195">
        <f t="shared" si="298"/>
        <v>0</v>
      </c>
      <c r="K3195">
        <f t="shared" si="299"/>
        <v>1</v>
      </c>
    </row>
    <row r="3196" spans="1:11" x14ac:dyDescent="0.25">
      <c r="A3196" t="s">
        <v>321</v>
      </c>
      <c r="B3196" t="s">
        <v>264</v>
      </c>
      <c r="C3196" t="s">
        <v>50</v>
      </c>
      <c r="D3196" s="6">
        <v>45853</v>
      </c>
      <c r="E3196" t="str">
        <f>VLOOKUP(B3196,'PROCV GERENTES BD'!A:B,2,0)</f>
        <v>RAFAEL PARISE</v>
      </c>
      <c r="F3196" s="4" t="str">
        <f t="shared" si="294"/>
        <v>2025-07</v>
      </c>
      <c r="G3196" s="18">
        <f t="shared" si="295"/>
        <v>29</v>
      </c>
      <c r="H3196" t="str">
        <f t="shared" si="296"/>
        <v>RAFAEL PARISE</v>
      </c>
      <c r="I3196" t="str">
        <f t="shared" si="297"/>
        <v>METALCROMO METALIZACAO E CROMO DURO INDUSTRIAL LTD</v>
      </c>
      <c r="J3196">
        <f t="shared" si="298"/>
        <v>0</v>
      </c>
      <c r="K3196">
        <f t="shared" si="299"/>
        <v>1</v>
      </c>
    </row>
    <row r="3197" spans="1:11" x14ac:dyDescent="0.25">
      <c r="A3197" t="s">
        <v>634</v>
      </c>
      <c r="B3197" t="s">
        <v>585</v>
      </c>
      <c r="C3197" t="s">
        <v>66</v>
      </c>
      <c r="D3197" s="6">
        <v>45853</v>
      </c>
      <c r="E3197" t="str">
        <f>VLOOKUP(B3197,'PROCV GERENTES BD'!A:B,2,0)</f>
        <v>ANDERSON FRAGA</v>
      </c>
      <c r="F3197" s="4" t="str">
        <f t="shared" si="294"/>
        <v>2025-07</v>
      </c>
      <c r="G3197" s="18">
        <f t="shared" si="295"/>
        <v>29</v>
      </c>
      <c r="H3197" t="str">
        <f t="shared" si="296"/>
        <v>ANDERSON FRAGA</v>
      </c>
      <c r="I3197" t="str">
        <f t="shared" si="297"/>
        <v>E DE P BATISTA DISTRIBUIDORA ME</v>
      </c>
      <c r="J3197">
        <f t="shared" si="298"/>
        <v>1</v>
      </c>
      <c r="K3197">
        <f t="shared" si="299"/>
        <v>0</v>
      </c>
    </row>
    <row r="3198" spans="1:11" x14ac:dyDescent="0.25">
      <c r="A3198" t="s">
        <v>320</v>
      </c>
      <c r="B3198" t="s">
        <v>205</v>
      </c>
      <c r="C3198" t="s">
        <v>66</v>
      </c>
      <c r="D3198" s="6">
        <v>45853</v>
      </c>
      <c r="E3198" t="str">
        <f>VLOOKUP(B3198,'PROCV GERENTES BD'!A:B,2,0)</f>
        <v xml:space="preserve">MARCUS VINICIUS </v>
      </c>
      <c r="F3198" s="4" t="str">
        <f t="shared" si="294"/>
        <v>2025-07</v>
      </c>
      <c r="G3198" s="18">
        <f t="shared" si="295"/>
        <v>29</v>
      </c>
      <c r="H3198" t="str">
        <f t="shared" si="296"/>
        <v xml:space="preserve">MARCUS VINICIUS </v>
      </c>
      <c r="I3198" t="str">
        <f t="shared" si="297"/>
        <v>COMERCIAL GODINHO FERREIRA LTDA</v>
      </c>
      <c r="J3198">
        <f t="shared" si="298"/>
        <v>1</v>
      </c>
      <c r="K3198">
        <f t="shared" si="299"/>
        <v>0</v>
      </c>
    </row>
    <row r="3199" spans="1:11" x14ac:dyDescent="0.25">
      <c r="A3199" t="s">
        <v>395</v>
      </c>
      <c r="B3199" t="s">
        <v>145</v>
      </c>
      <c r="C3199" t="s">
        <v>50</v>
      </c>
      <c r="D3199" s="6">
        <v>45853</v>
      </c>
      <c r="E3199" t="str">
        <f>VLOOKUP(B3199,'PROCV GERENTES BD'!A:B,2,0)</f>
        <v>MARCIO LEONEL</v>
      </c>
      <c r="F3199" s="4" t="str">
        <f t="shared" si="294"/>
        <v>2025-07</v>
      </c>
      <c r="G3199" s="18">
        <f t="shared" si="295"/>
        <v>29</v>
      </c>
      <c r="H3199" t="str">
        <f t="shared" si="296"/>
        <v>MARCIO LEONEL</v>
      </c>
      <c r="I3199" t="str">
        <f t="shared" si="297"/>
        <v>MEDICAL PRIME IMP EXPORT DISTRIB PRODUTOS MEDICOS</v>
      </c>
      <c r="J3199">
        <f t="shared" si="298"/>
        <v>0</v>
      </c>
      <c r="K3199">
        <f t="shared" si="299"/>
        <v>1</v>
      </c>
    </row>
    <row r="3200" spans="1:11" x14ac:dyDescent="0.25">
      <c r="A3200" t="s">
        <v>638</v>
      </c>
      <c r="B3200" t="s">
        <v>539</v>
      </c>
      <c r="C3200" t="s">
        <v>50</v>
      </c>
      <c r="D3200" s="6">
        <v>45853</v>
      </c>
      <c r="E3200" t="str">
        <f>VLOOKUP(B3200,'PROCV GERENTES BD'!A:B,2,0)</f>
        <v>JJPH</v>
      </c>
      <c r="F3200" s="4" t="str">
        <f t="shared" si="294"/>
        <v>2025-07</v>
      </c>
      <c r="G3200" s="18">
        <f t="shared" si="295"/>
        <v>29</v>
      </c>
      <c r="H3200" t="str">
        <f t="shared" si="296"/>
        <v>JJPH</v>
      </c>
      <c r="I3200" t="str">
        <f t="shared" si="297"/>
        <v>DIFARMIG LTDA</v>
      </c>
      <c r="J3200">
        <f t="shared" si="298"/>
        <v>0</v>
      </c>
      <c r="K3200">
        <f t="shared" si="299"/>
        <v>1</v>
      </c>
    </row>
    <row r="3201" spans="1:11" x14ac:dyDescent="0.25">
      <c r="A3201" t="s">
        <v>322</v>
      </c>
      <c r="B3201" t="s">
        <v>294</v>
      </c>
      <c r="C3201" t="s">
        <v>50</v>
      </c>
      <c r="D3201" s="6">
        <v>45853</v>
      </c>
      <c r="E3201" t="str">
        <f>VLOOKUP(B3201,'PROCV GERENTES BD'!A:B,2,0)</f>
        <v>CAIO</v>
      </c>
      <c r="F3201" s="4" t="str">
        <f t="shared" si="294"/>
        <v>2025-07</v>
      </c>
      <c r="G3201" s="18">
        <f t="shared" si="295"/>
        <v>29</v>
      </c>
      <c r="H3201" t="str">
        <f t="shared" si="296"/>
        <v>CAIO</v>
      </c>
      <c r="I3201" t="str">
        <f t="shared" si="297"/>
        <v>LAF COMERCIAL LTDA ME</v>
      </c>
      <c r="J3201">
        <f t="shared" si="298"/>
        <v>0</v>
      </c>
      <c r="K3201">
        <f t="shared" si="299"/>
        <v>1</v>
      </c>
    </row>
    <row r="3202" spans="1:11" x14ac:dyDescent="0.25">
      <c r="A3202" t="s">
        <v>407</v>
      </c>
      <c r="B3202" t="s">
        <v>157</v>
      </c>
      <c r="C3202" t="s">
        <v>50</v>
      </c>
      <c r="D3202" s="6">
        <v>45853</v>
      </c>
      <c r="E3202" t="str">
        <f>VLOOKUP(B3202,'PROCV GERENTES BD'!A:B,2,0)</f>
        <v>NOELI SALETE</v>
      </c>
      <c r="F3202" s="4" t="str">
        <f t="shared" ref="F3202:F3265" si="300">YEAR(D3202)&amp;"-"&amp;TEXT(MONTH(D3202),"00")</f>
        <v>2025-07</v>
      </c>
      <c r="G3202" s="18">
        <f t="shared" ref="G3202:G3265" si="301">WEEKNUM(D3202)</f>
        <v>29</v>
      </c>
      <c r="H3202" t="str">
        <f t="shared" ref="H3202:H3265" si="302">E3202</f>
        <v>NOELI SALETE</v>
      </c>
      <c r="I3202" t="str">
        <f t="shared" ref="I3202:I3265" si="303">B3202</f>
        <v>SGAMAQ INOVACAO AGROINDUSTRIAL LTDA</v>
      </c>
      <c r="J3202">
        <f t="shared" ref="J3202:J3265" si="304">IF(OR(C3202="EXCLUSAO  ANOT.INADIMPLENCIA",C3202="INCL/EXCL ANOT.INADIMPLENCIA"),1,0)</f>
        <v>0</v>
      </c>
      <c r="K3202">
        <f t="shared" ref="K3202:K3265" si="305">IF(OR(C3202="INCLUSAO  ANOT.INADIMPLENCIA",C3202="INCL/EXCL ANOT.INADIMPLENCIA"),1,0)</f>
        <v>1</v>
      </c>
    </row>
    <row r="3203" spans="1:11" x14ac:dyDescent="0.25">
      <c r="A3203" t="s">
        <v>523</v>
      </c>
      <c r="B3203" t="s">
        <v>288</v>
      </c>
      <c r="C3203" t="s">
        <v>50</v>
      </c>
      <c r="D3203" s="6">
        <v>45854</v>
      </c>
      <c r="E3203" t="str">
        <f>VLOOKUP(B3203,'PROCV GERENTES BD'!A:B,2,0)</f>
        <v>ADMINISTRAÇÃO</v>
      </c>
      <c r="F3203" s="4" t="str">
        <f t="shared" si="300"/>
        <v>2025-07</v>
      </c>
      <c r="G3203" s="18">
        <f t="shared" si="301"/>
        <v>29</v>
      </c>
      <c r="H3203" t="str">
        <f t="shared" si="302"/>
        <v>ADMINISTRAÇÃO</v>
      </c>
      <c r="I3203" t="str">
        <f t="shared" si="303"/>
        <v>REFRACONT BRASIL LTDA</v>
      </c>
      <c r="J3203">
        <f t="shared" si="304"/>
        <v>0</v>
      </c>
      <c r="K3203">
        <f t="shared" si="305"/>
        <v>1</v>
      </c>
    </row>
    <row r="3204" spans="1:11" x14ac:dyDescent="0.25">
      <c r="A3204" t="s">
        <v>635</v>
      </c>
      <c r="B3204" t="s">
        <v>636</v>
      </c>
      <c r="C3204" t="s">
        <v>66</v>
      </c>
      <c r="D3204" s="6">
        <v>45854</v>
      </c>
      <c r="E3204" t="str">
        <f>VLOOKUP(B3204,'PROCV GERENTES BD'!A:B,2,0)</f>
        <v>TIAGO NEVES</v>
      </c>
      <c r="F3204" s="4" t="str">
        <f t="shared" si="300"/>
        <v>2025-07</v>
      </c>
      <c r="G3204" s="18">
        <f t="shared" si="301"/>
        <v>29</v>
      </c>
      <c r="H3204" t="str">
        <f t="shared" si="302"/>
        <v>TIAGO NEVES</v>
      </c>
      <c r="I3204" t="str">
        <f t="shared" si="303"/>
        <v>MG GLASS VIDROS PARA TRATORES E CAMINHOES LTDA ME</v>
      </c>
      <c r="J3204">
        <f t="shared" si="304"/>
        <v>1</v>
      </c>
      <c r="K3204">
        <f t="shared" si="305"/>
        <v>0</v>
      </c>
    </row>
    <row r="3205" spans="1:11" x14ac:dyDescent="0.25">
      <c r="A3205" t="s">
        <v>518</v>
      </c>
      <c r="B3205" t="s">
        <v>282</v>
      </c>
      <c r="C3205" t="s">
        <v>50</v>
      </c>
      <c r="D3205" s="6">
        <v>45854</v>
      </c>
      <c r="E3205" t="str">
        <f>VLOOKUP(B3205,'PROCV GERENTES BD'!A:B,2,0)</f>
        <v>ANTECIPA</v>
      </c>
      <c r="F3205" s="4" t="str">
        <f t="shared" si="300"/>
        <v>2025-07</v>
      </c>
      <c r="G3205" s="18">
        <f t="shared" si="301"/>
        <v>29</v>
      </c>
      <c r="H3205" t="str">
        <f t="shared" si="302"/>
        <v>ANTECIPA</v>
      </c>
      <c r="I3205" t="str">
        <f t="shared" si="303"/>
        <v>CENTRAL DE SUPRIMENTOS INDUSTRIAIS LTDA EPP</v>
      </c>
      <c r="J3205">
        <f t="shared" si="304"/>
        <v>0</v>
      </c>
      <c r="K3205">
        <f t="shared" si="305"/>
        <v>1</v>
      </c>
    </row>
    <row r="3206" spans="1:11" x14ac:dyDescent="0.25">
      <c r="A3206" t="s">
        <v>62</v>
      </c>
      <c r="B3206" t="s">
        <v>63</v>
      </c>
      <c r="C3206" t="s">
        <v>50</v>
      </c>
      <c r="D3206" s="6">
        <v>45854</v>
      </c>
      <c r="E3206" t="str">
        <f>VLOOKUP(B3206,'PROCV GERENTES BD'!A:B,2,0)</f>
        <v>PROSPECTAR</v>
      </c>
      <c r="F3206" s="4" t="str">
        <f t="shared" si="300"/>
        <v>2025-07</v>
      </c>
      <c r="G3206" s="18">
        <f t="shared" si="301"/>
        <v>29</v>
      </c>
      <c r="H3206" t="str">
        <f t="shared" si="302"/>
        <v>PROSPECTAR</v>
      </c>
      <c r="I3206" t="str">
        <f t="shared" si="303"/>
        <v>MAPP COM IMPORTACAO EXPORTACAO IND PRODUTOS ALIMEN</v>
      </c>
      <c r="J3206">
        <f t="shared" si="304"/>
        <v>0</v>
      </c>
      <c r="K3206">
        <f t="shared" si="305"/>
        <v>1</v>
      </c>
    </row>
    <row r="3207" spans="1:11" x14ac:dyDescent="0.25">
      <c r="A3207" t="s">
        <v>632</v>
      </c>
      <c r="B3207" t="s">
        <v>633</v>
      </c>
      <c r="C3207" t="s">
        <v>50</v>
      </c>
      <c r="D3207" s="6">
        <v>45854</v>
      </c>
      <c r="E3207" t="str">
        <f>VLOOKUP(B3207,'PROCV GERENTES BD'!A:B,2,0)</f>
        <v>TIAGO NEVES</v>
      </c>
      <c r="F3207" s="4" t="str">
        <f t="shared" si="300"/>
        <v>2025-07</v>
      </c>
      <c r="G3207" s="18">
        <f t="shared" si="301"/>
        <v>29</v>
      </c>
      <c r="H3207" t="str">
        <f t="shared" si="302"/>
        <v>TIAGO NEVES</v>
      </c>
      <c r="I3207" t="str">
        <f t="shared" si="303"/>
        <v>AUTO VIDROS MG INDUSTRIA E COMERCIO LTDA</v>
      </c>
      <c r="J3207">
        <f t="shared" si="304"/>
        <v>0</v>
      </c>
      <c r="K3207">
        <f t="shared" si="305"/>
        <v>1</v>
      </c>
    </row>
    <row r="3208" spans="1:11" x14ac:dyDescent="0.25">
      <c r="A3208" t="s">
        <v>631</v>
      </c>
      <c r="B3208" t="s">
        <v>561</v>
      </c>
      <c r="C3208" t="s">
        <v>50</v>
      </c>
      <c r="D3208" s="6">
        <v>45854</v>
      </c>
      <c r="E3208" t="str">
        <f>VLOOKUP(B3208,'PROCV GERENTES BD'!A:B,2,0)</f>
        <v>VALERIA</v>
      </c>
      <c r="F3208" s="4" t="str">
        <f t="shared" si="300"/>
        <v>2025-07</v>
      </c>
      <c r="G3208" s="18">
        <f t="shared" si="301"/>
        <v>29</v>
      </c>
      <c r="H3208" t="str">
        <f t="shared" si="302"/>
        <v>VALERIA</v>
      </c>
      <c r="I3208" t="str">
        <f t="shared" si="303"/>
        <v>TRANSPORTADORA PACHECO LTDA EPP</v>
      </c>
      <c r="J3208">
        <f t="shared" si="304"/>
        <v>0</v>
      </c>
      <c r="K3208">
        <f t="shared" si="305"/>
        <v>1</v>
      </c>
    </row>
    <row r="3209" spans="1:11" x14ac:dyDescent="0.25">
      <c r="A3209" t="s">
        <v>58</v>
      </c>
      <c r="B3209" t="s">
        <v>59</v>
      </c>
      <c r="C3209" t="s">
        <v>50</v>
      </c>
      <c r="D3209" s="6">
        <v>45854</v>
      </c>
      <c r="E3209" t="str">
        <f>VLOOKUP(B3209,'PROCV GERENTES BD'!A:B,2,0)</f>
        <v>ADMINISTRAÇÃO</v>
      </c>
      <c r="F3209" s="4" t="str">
        <f t="shared" si="300"/>
        <v>2025-07</v>
      </c>
      <c r="G3209" s="18">
        <f t="shared" si="301"/>
        <v>29</v>
      </c>
      <c r="H3209" t="str">
        <f t="shared" si="302"/>
        <v>ADMINISTRAÇÃO</v>
      </c>
      <c r="I3209" t="str">
        <f t="shared" si="303"/>
        <v>BIOTECH LOGISTICA LTDA</v>
      </c>
      <c r="J3209">
        <f t="shared" si="304"/>
        <v>0</v>
      </c>
      <c r="K3209">
        <f t="shared" si="305"/>
        <v>1</v>
      </c>
    </row>
    <row r="3210" spans="1:11" x14ac:dyDescent="0.25">
      <c r="A3210" t="s">
        <v>56</v>
      </c>
      <c r="B3210" t="s">
        <v>57</v>
      </c>
      <c r="C3210" t="s">
        <v>50</v>
      </c>
      <c r="D3210" s="6">
        <v>45854</v>
      </c>
      <c r="E3210" t="str">
        <f>VLOOKUP(B3210,'PROCV GERENTES BD'!A:B,2,0)</f>
        <v xml:space="preserve">ROGERIO </v>
      </c>
      <c r="F3210" s="4" t="str">
        <f t="shared" si="300"/>
        <v>2025-07</v>
      </c>
      <c r="G3210" s="18">
        <f t="shared" si="301"/>
        <v>29</v>
      </c>
      <c r="H3210" t="str">
        <f t="shared" si="302"/>
        <v xml:space="preserve">ROGERIO </v>
      </c>
      <c r="I3210" t="str">
        <f t="shared" si="303"/>
        <v>RODOVIEIRA TRANSPORTE LTDA</v>
      </c>
      <c r="J3210">
        <f t="shared" si="304"/>
        <v>0</v>
      </c>
      <c r="K3210">
        <f t="shared" si="305"/>
        <v>1</v>
      </c>
    </row>
    <row r="3211" spans="1:11" x14ac:dyDescent="0.25">
      <c r="A3211" t="s">
        <v>314</v>
      </c>
      <c r="B3211" t="s">
        <v>246</v>
      </c>
      <c r="C3211" t="s">
        <v>66</v>
      </c>
      <c r="D3211" s="6">
        <v>45854</v>
      </c>
      <c r="E3211" t="str">
        <f>VLOOKUP(B3211,'PROCV GERENTES BD'!A:B,2,0)</f>
        <v xml:space="preserve">ROGERIO </v>
      </c>
      <c r="F3211" s="4" t="str">
        <f t="shared" si="300"/>
        <v>2025-07</v>
      </c>
      <c r="G3211" s="18">
        <f t="shared" si="301"/>
        <v>29</v>
      </c>
      <c r="H3211" t="str">
        <f t="shared" si="302"/>
        <v xml:space="preserve">ROGERIO </v>
      </c>
      <c r="I3211" t="str">
        <f t="shared" si="303"/>
        <v>MUTCD CENTRO DE DISTRIBUICAO DE IND FABRICANTE DE</v>
      </c>
      <c r="J3211">
        <f t="shared" si="304"/>
        <v>1</v>
      </c>
      <c r="K3211">
        <f t="shared" si="305"/>
        <v>0</v>
      </c>
    </row>
    <row r="3212" spans="1:11" x14ac:dyDescent="0.25">
      <c r="A3212" t="s">
        <v>331</v>
      </c>
      <c r="B3212" t="s">
        <v>144</v>
      </c>
      <c r="C3212" t="s">
        <v>50</v>
      </c>
      <c r="D3212" s="6">
        <v>45854</v>
      </c>
      <c r="E3212" t="str">
        <f>VLOOKUP(B3212,'PROCV GERENTES BD'!A:B,2,0)</f>
        <v>ADMINISTRAÇÃO</v>
      </c>
      <c r="F3212" s="4" t="str">
        <f t="shared" si="300"/>
        <v>2025-07</v>
      </c>
      <c r="G3212" s="18">
        <f t="shared" si="301"/>
        <v>29</v>
      </c>
      <c r="H3212" t="str">
        <f t="shared" si="302"/>
        <v>ADMINISTRAÇÃO</v>
      </c>
      <c r="I3212" t="str">
        <f t="shared" si="303"/>
        <v>BOM PASTOR PAPEIS LTDA EM RECUPERACAO JUDICIAL</v>
      </c>
      <c r="J3212">
        <f t="shared" si="304"/>
        <v>0</v>
      </c>
      <c r="K3212">
        <f t="shared" si="305"/>
        <v>1</v>
      </c>
    </row>
    <row r="3213" spans="1:11" x14ac:dyDescent="0.25">
      <c r="A3213" t="s">
        <v>434</v>
      </c>
      <c r="B3213" t="s">
        <v>185</v>
      </c>
      <c r="C3213" t="s">
        <v>66</v>
      </c>
      <c r="D3213" s="6">
        <v>45854</v>
      </c>
      <c r="E3213" t="str">
        <f>VLOOKUP(B3213,'PROCV GERENTES BD'!A:B,2,0)</f>
        <v>RAFAEL PARISE</v>
      </c>
      <c r="F3213" s="4" t="str">
        <f t="shared" si="300"/>
        <v>2025-07</v>
      </c>
      <c r="G3213" s="18">
        <f t="shared" si="301"/>
        <v>29</v>
      </c>
      <c r="H3213" t="str">
        <f t="shared" si="302"/>
        <v>RAFAEL PARISE</v>
      </c>
      <c r="I3213" t="str">
        <f t="shared" si="303"/>
        <v>MARCAS COMERCIO LTDA ME</v>
      </c>
      <c r="J3213">
        <f t="shared" si="304"/>
        <v>1</v>
      </c>
      <c r="K3213">
        <f t="shared" si="305"/>
        <v>0</v>
      </c>
    </row>
    <row r="3214" spans="1:11" x14ac:dyDescent="0.25">
      <c r="A3214" t="s">
        <v>321</v>
      </c>
      <c r="B3214" t="s">
        <v>264</v>
      </c>
      <c r="C3214" t="s">
        <v>66</v>
      </c>
      <c r="D3214" s="6">
        <v>45854</v>
      </c>
      <c r="E3214" t="str">
        <f>VLOOKUP(B3214,'PROCV GERENTES BD'!A:B,2,0)</f>
        <v>RAFAEL PARISE</v>
      </c>
      <c r="F3214" s="4" t="str">
        <f t="shared" si="300"/>
        <v>2025-07</v>
      </c>
      <c r="G3214" s="18">
        <f t="shared" si="301"/>
        <v>29</v>
      </c>
      <c r="H3214" t="str">
        <f t="shared" si="302"/>
        <v>RAFAEL PARISE</v>
      </c>
      <c r="I3214" t="str">
        <f t="shared" si="303"/>
        <v>METALCROMO METALIZACAO E CROMO DURO INDUSTRIAL LTD</v>
      </c>
      <c r="J3214">
        <f t="shared" si="304"/>
        <v>1</v>
      </c>
      <c r="K3214">
        <f t="shared" si="305"/>
        <v>0</v>
      </c>
    </row>
    <row r="3215" spans="1:11" x14ac:dyDescent="0.25">
      <c r="A3215" t="s">
        <v>51</v>
      </c>
      <c r="B3215" t="s">
        <v>52</v>
      </c>
      <c r="C3215" t="s">
        <v>50</v>
      </c>
      <c r="D3215" s="6">
        <v>45854</v>
      </c>
      <c r="E3215" t="str">
        <f>VLOOKUP(B3215,'PROCV GERENTES BD'!A:B,2,0)</f>
        <v>RAFAEL PARISE</v>
      </c>
      <c r="F3215" s="4" t="str">
        <f t="shared" si="300"/>
        <v>2025-07</v>
      </c>
      <c r="G3215" s="18">
        <f t="shared" si="301"/>
        <v>29</v>
      </c>
      <c r="H3215" t="str">
        <f t="shared" si="302"/>
        <v>RAFAEL PARISE</v>
      </c>
      <c r="I3215" t="str">
        <f t="shared" si="303"/>
        <v>TDR TRANSPORTES LOGISTICA LTDA</v>
      </c>
      <c r="J3215">
        <f t="shared" si="304"/>
        <v>0</v>
      </c>
      <c r="K3215">
        <f t="shared" si="305"/>
        <v>1</v>
      </c>
    </row>
    <row r="3216" spans="1:11" x14ac:dyDescent="0.25">
      <c r="A3216" t="s">
        <v>629</v>
      </c>
      <c r="B3216" t="s">
        <v>550</v>
      </c>
      <c r="C3216" t="s">
        <v>50</v>
      </c>
      <c r="D3216" s="6">
        <v>45854</v>
      </c>
      <c r="E3216" t="str">
        <f>VLOOKUP(B3216,'PROCV GERENTES BD'!A:B,2,0)</f>
        <v>CREDTEM</v>
      </c>
      <c r="F3216" s="4" t="str">
        <f t="shared" si="300"/>
        <v>2025-07</v>
      </c>
      <c r="G3216" s="18">
        <f t="shared" si="301"/>
        <v>29</v>
      </c>
      <c r="H3216" t="str">
        <f t="shared" si="302"/>
        <v>CREDTEM</v>
      </c>
      <c r="I3216" t="str">
        <f t="shared" si="303"/>
        <v>W M DE CASTRO NETO PRODUTOS FARMACEUTICOS EPP</v>
      </c>
      <c r="J3216">
        <f t="shared" si="304"/>
        <v>0</v>
      </c>
      <c r="K3216">
        <f t="shared" si="305"/>
        <v>1</v>
      </c>
    </row>
    <row r="3217" spans="1:11" x14ac:dyDescent="0.25">
      <c r="A3217" t="s">
        <v>323</v>
      </c>
      <c r="B3217" t="s">
        <v>109</v>
      </c>
      <c r="C3217" t="s">
        <v>66</v>
      </c>
      <c r="D3217" s="6">
        <v>45854</v>
      </c>
      <c r="E3217" t="str">
        <f>VLOOKUP(B3217,'PROCV GERENTES BD'!A:B,2,0)</f>
        <v>PROSPECTAR</v>
      </c>
      <c r="F3217" s="4" t="str">
        <f t="shared" si="300"/>
        <v>2025-07</v>
      </c>
      <c r="G3217" s="18">
        <f t="shared" si="301"/>
        <v>29</v>
      </c>
      <c r="H3217" t="str">
        <f t="shared" si="302"/>
        <v>PROSPECTAR</v>
      </c>
      <c r="I3217" t="str">
        <f t="shared" si="303"/>
        <v>SIAP COMERCIO DE PRODUTOS AGROPECUARIOS LTDA</v>
      </c>
      <c r="J3217">
        <f t="shared" si="304"/>
        <v>1</v>
      </c>
      <c r="K3217">
        <f t="shared" si="305"/>
        <v>0</v>
      </c>
    </row>
    <row r="3218" spans="1:11" x14ac:dyDescent="0.25">
      <c r="A3218" t="s">
        <v>524</v>
      </c>
      <c r="B3218" t="s">
        <v>289</v>
      </c>
      <c r="C3218" t="s">
        <v>50</v>
      </c>
      <c r="D3218" s="6">
        <v>45854</v>
      </c>
      <c r="E3218" t="str">
        <f>VLOOKUP(B3218,'PROCV GERENTES BD'!A:B,2,0)</f>
        <v>DALVA</v>
      </c>
      <c r="F3218" s="4" t="str">
        <f t="shared" si="300"/>
        <v>2025-07</v>
      </c>
      <c r="G3218" s="18">
        <f t="shared" si="301"/>
        <v>29</v>
      </c>
      <c r="H3218" t="str">
        <f t="shared" si="302"/>
        <v>DALVA</v>
      </c>
      <c r="I3218" t="str">
        <f t="shared" si="303"/>
        <v>FRAITECH INTELIGENCIA EM AUTOMACAO LTDA</v>
      </c>
      <c r="J3218">
        <f t="shared" si="304"/>
        <v>0</v>
      </c>
      <c r="K3218">
        <f t="shared" si="305"/>
        <v>1</v>
      </c>
    </row>
    <row r="3219" spans="1:11" x14ac:dyDescent="0.25">
      <c r="A3219" t="s">
        <v>305</v>
      </c>
      <c r="B3219" t="s">
        <v>141</v>
      </c>
      <c r="C3219" t="s">
        <v>66</v>
      </c>
      <c r="D3219" s="6">
        <v>45854</v>
      </c>
      <c r="E3219" t="str">
        <f>VLOOKUP(B3219,'PROCV GERENTES BD'!A:B,2,0)</f>
        <v>NOELI SALETE</v>
      </c>
      <c r="F3219" s="4" t="str">
        <f t="shared" si="300"/>
        <v>2025-07</v>
      </c>
      <c r="G3219" s="18">
        <f t="shared" si="301"/>
        <v>29</v>
      </c>
      <c r="H3219" t="str">
        <f t="shared" si="302"/>
        <v>NOELI SALETE</v>
      </c>
      <c r="I3219" t="str">
        <f t="shared" si="303"/>
        <v>JMS EMBALAGENS INDUSTRIAIS LTDA</v>
      </c>
      <c r="J3219">
        <f t="shared" si="304"/>
        <v>1</v>
      </c>
      <c r="K3219">
        <f t="shared" si="305"/>
        <v>0</v>
      </c>
    </row>
    <row r="3220" spans="1:11" x14ac:dyDescent="0.25">
      <c r="A3220" t="s">
        <v>358</v>
      </c>
      <c r="B3220" t="s">
        <v>104</v>
      </c>
      <c r="C3220" t="s">
        <v>50</v>
      </c>
      <c r="D3220" s="6">
        <v>45854</v>
      </c>
      <c r="E3220" t="str">
        <f>VLOOKUP(B3220,'PROCV GERENTES BD'!A:B,2,0)</f>
        <v>DIOGO AZEVEDO</v>
      </c>
      <c r="F3220" s="4" t="str">
        <f t="shared" si="300"/>
        <v>2025-07</v>
      </c>
      <c r="G3220" s="18">
        <f t="shared" si="301"/>
        <v>29</v>
      </c>
      <c r="H3220" t="str">
        <f t="shared" si="302"/>
        <v>DIOGO AZEVEDO</v>
      </c>
      <c r="I3220" t="str">
        <f t="shared" si="303"/>
        <v>INDUSTRIA E CERVEJARIA ARTESANAL DE MINAS GERAIS L</v>
      </c>
      <c r="J3220">
        <f t="shared" si="304"/>
        <v>0</v>
      </c>
      <c r="K3220">
        <f t="shared" si="305"/>
        <v>1</v>
      </c>
    </row>
    <row r="3221" spans="1:11" x14ac:dyDescent="0.25">
      <c r="A3221" t="s">
        <v>460</v>
      </c>
      <c r="B3221" t="s">
        <v>217</v>
      </c>
      <c r="C3221" t="s">
        <v>50</v>
      </c>
      <c r="D3221" s="6">
        <v>45854</v>
      </c>
      <c r="E3221" t="str">
        <f>VLOOKUP(B3221,'PROCV GERENTES BD'!A:B,2,0)</f>
        <v>CELIO PIMENTA</v>
      </c>
      <c r="F3221" s="4" t="str">
        <f t="shared" si="300"/>
        <v>2025-07</v>
      </c>
      <c r="G3221" s="18">
        <f t="shared" si="301"/>
        <v>29</v>
      </c>
      <c r="H3221" t="str">
        <f t="shared" si="302"/>
        <v>CELIO PIMENTA</v>
      </c>
      <c r="I3221" t="str">
        <f t="shared" si="303"/>
        <v>MINAS CLEAN DISTRIBUIDORA DE PRODUTOS PARA LIMPEZA</v>
      </c>
      <c r="J3221">
        <f t="shared" si="304"/>
        <v>0</v>
      </c>
      <c r="K3221">
        <f t="shared" si="305"/>
        <v>1</v>
      </c>
    </row>
    <row r="3222" spans="1:11" x14ac:dyDescent="0.25">
      <c r="A3222" t="s">
        <v>529</v>
      </c>
      <c r="B3222" t="s">
        <v>297</v>
      </c>
      <c r="C3222" t="s">
        <v>50</v>
      </c>
      <c r="D3222" s="6">
        <v>45855</v>
      </c>
      <c r="E3222" t="str">
        <f>VLOOKUP(B3222,'PROCV GERENTES BD'!A:B,2,0)</f>
        <v>ANDRE CUNHA</v>
      </c>
      <c r="F3222" s="4" t="str">
        <f t="shared" si="300"/>
        <v>2025-07</v>
      </c>
      <c r="G3222" s="18">
        <f t="shared" si="301"/>
        <v>29</v>
      </c>
      <c r="H3222" t="str">
        <f t="shared" si="302"/>
        <v>ANDRE CUNHA</v>
      </c>
      <c r="I3222" t="str">
        <f t="shared" si="303"/>
        <v>REVPACK TECNOLOGIA E COMERCIO DE COMPONENTES PLAST</v>
      </c>
      <c r="J3222">
        <f t="shared" si="304"/>
        <v>0</v>
      </c>
      <c r="K3222">
        <f t="shared" si="305"/>
        <v>1</v>
      </c>
    </row>
    <row r="3223" spans="1:11" x14ac:dyDescent="0.25">
      <c r="A3223" t="s">
        <v>369</v>
      </c>
      <c r="B3223" t="s">
        <v>113</v>
      </c>
      <c r="C3223" t="s">
        <v>66</v>
      </c>
      <c r="D3223" s="6">
        <v>45855</v>
      </c>
      <c r="E3223" t="str">
        <f>VLOOKUP(B3223,'PROCV GERENTES BD'!A:B,2,0)</f>
        <v xml:space="preserve">MARCUS VINICIUS </v>
      </c>
      <c r="F3223" s="4" t="str">
        <f t="shared" si="300"/>
        <v>2025-07</v>
      </c>
      <c r="G3223" s="18">
        <f t="shared" si="301"/>
        <v>29</v>
      </c>
      <c r="H3223" t="str">
        <f t="shared" si="302"/>
        <v xml:space="preserve">MARCUS VINICIUS </v>
      </c>
      <c r="I3223" t="str">
        <f t="shared" si="303"/>
        <v>ISOBASE POLIESTIRENO LTDA EPP</v>
      </c>
      <c r="J3223">
        <f t="shared" si="304"/>
        <v>1</v>
      </c>
      <c r="K3223">
        <f t="shared" si="305"/>
        <v>0</v>
      </c>
    </row>
    <row r="3224" spans="1:11" x14ac:dyDescent="0.25">
      <c r="A3224" t="s">
        <v>515</v>
      </c>
      <c r="B3224" t="s">
        <v>277</v>
      </c>
      <c r="C3224" t="s">
        <v>66</v>
      </c>
      <c r="D3224" s="6">
        <v>45855</v>
      </c>
      <c r="E3224" t="str">
        <f>VLOOKUP(B3224,'PROCV GERENTES BD'!A:B,2,0)</f>
        <v>ALISSON DE SOUZA LIMA</v>
      </c>
      <c r="F3224" s="4" t="str">
        <f t="shared" si="300"/>
        <v>2025-07</v>
      </c>
      <c r="G3224" s="18">
        <f t="shared" si="301"/>
        <v>29</v>
      </c>
      <c r="H3224" t="str">
        <f t="shared" si="302"/>
        <v>ALISSON DE SOUZA LIMA</v>
      </c>
      <c r="I3224" t="str">
        <f t="shared" si="303"/>
        <v>COMERCIAL GTS INFORMATICA LTDA EPP</v>
      </c>
      <c r="J3224">
        <f t="shared" si="304"/>
        <v>1</v>
      </c>
      <c r="K3224">
        <f t="shared" si="305"/>
        <v>0</v>
      </c>
    </row>
    <row r="3225" spans="1:11" x14ac:dyDescent="0.25">
      <c r="A3225" t="s">
        <v>448</v>
      </c>
      <c r="B3225" t="s">
        <v>201</v>
      </c>
      <c r="C3225" t="s">
        <v>66</v>
      </c>
      <c r="D3225" s="6">
        <v>45855</v>
      </c>
      <c r="E3225" t="str">
        <f>VLOOKUP(B3225,'PROCV GERENTES BD'!A:B,2,0)</f>
        <v>PRISCILA METZ</v>
      </c>
      <c r="F3225" s="4" t="str">
        <f t="shared" si="300"/>
        <v>2025-07</v>
      </c>
      <c r="G3225" s="18">
        <f t="shared" si="301"/>
        <v>29</v>
      </c>
      <c r="H3225" t="str">
        <f t="shared" si="302"/>
        <v>PRISCILA METZ</v>
      </c>
      <c r="I3225" t="str">
        <f t="shared" si="303"/>
        <v>M TRATORES LTDA EPP</v>
      </c>
      <c r="J3225">
        <f t="shared" si="304"/>
        <v>1</v>
      </c>
      <c r="K3225">
        <f t="shared" si="305"/>
        <v>0</v>
      </c>
    </row>
    <row r="3226" spans="1:11" x14ac:dyDescent="0.25">
      <c r="A3226" t="s">
        <v>67</v>
      </c>
      <c r="B3226" t="s">
        <v>68</v>
      </c>
      <c r="C3226" t="s">
        <v>66</v>
      </c>
      <c r="D3226" s="6">
        <v>45855</v>
      </c>
      <c r="E3226" t="str">
        <f>VLOOKUP(B3226,'PROCV GERENTES BD'!A:B,2,0)</f>
        <v xml:space="preserve">ROGERIO </v>
      </c>
      <c r="F3226" s="4" t="str">
        <f t="shared" si="300"/>
        <v>2025-07</v>
      </c>
      <c r="G3226" s="18">
        <f t="shared" si="301"/>
        <v>29</v>
      </c>
      <c r="H3226" t="str">
        <f t="shared" si="302"/>
        <v xml:space="preserve">ROGERIO </v>
      </c>
      <c r="I3226" t="str">
        <f t="shared" si="303"/>
        <v>DIOTTONI INDUSTRIA E COMERCIO DE ALIMENTOS LTDA ME</v>
      </c>
      <c r="J3226">
        <f t="shared" si="304"/>
        <v>1</v>
      </c>
      <c r="K3226">
        <f t="shared" si="305"/>
        <v>0</v>
      </c>
    </row>
    <row r="3227" spans="1:11" x14ac:dyDescent="0.25">
      <c r="A3227" t="s">
        <v>632</v>
      </c>
      <c r="B3227" t="s">
        <v>633</v>
      </c>
      <c r="C3227" t="s">
        <v>50</v>
      </c>
      <c r="D3227" s="6">
        <v>45855</v>
      </c>
      <c r="E3227" t="str">
        <f>VLOOKUP(B3227,'PROCV GERENTES BD'!A:B,2,0)</f>
        <v>TIAGO NEVES</v>
      </c>
      <c r="F3227" s="4" t="str">
        <f t="shared" si="300"/>
        <v>2025-07</v>
      </c>
      <c r="G3227" s="18">
        <f t="shared" si="301"/>
        <v>29</v>
      </c>
      <c r="H3227" t="str">
        <f t="shared" si="302"/>
        <v>TIAGO NEVES</v>
      </c>
      <c r="I3227" t="str">
        <f t="shared" si="303"/>
        <v>AUTO VIDROS MG INDUSTRIA E COMERCIO LTDA</v>
      </c>
      <c r="J3227">
        <f t="shared" si="304"/>
        <v>0</v>
      </c>
      <c r="K3227">
        <f t="shared" si="305"/>
        <v>1</v>
      </c>
    </row>
    <row r="3228" spans="1:11" x14ac:dyDescent="0.25">
      <c r="A3228" t="s">
        <v>475</v>
      </c>
      <c r="B3228" t="s">
        <v>232</v>
      </c>
      <c r="C3228" t="s">
        <v>66</v>
      </c>
      <c r="D3228" s="6">
        <v>45855</v>
      </c>
      <c r="E3228" t="str">
        <f>VLOOKUP(B3228,'PROCV GERENTES BD'!A:B,2,0)</f>
        <v>POENATELA</v>
      </c>
      <c r="F3228" s="4" t="str">
        <f t="shared" si="300"/>
        <v>2025-07</v>
      </c>
      <c r="G3228" s="18">
        <f t="shared" si="301"/>
        <v>29</v>
      </c>
      <c r="H3228" t="str">
        <f t="shared" si="302"/>
        <v>POENATELA</v>
      </c>
      <c r="I3228" t="str">
        <f t="shared" si="303"/>
        <v>JUATUBA MOVEIS E EMBALAGENS LTDA</v>
      </c>
      <c r="J3228">
        <f t="shared" si="304"/>
        <v>1</v>
      </c>
      <c r="K3228">
        <f t="shared" si="305"/>
        <v>0</v>
      </c>
    </row>
    <row r="3229" spans="1:11" x14ac:dyDescent="0.25">
      <c r="A3229" t="s">
        <v>355</v>
      </c>
      <c r="B3229" t="s">
        <v>100</v>
      </c>
      <c r="C3229" t="s">
        <v>66</v>
      </c>
      <c r="D3229" s="6">
        <v>45855</v>
      </c>
      <c r="E3229" t="str">
        <f>VLOOKUP(B3229,'PROCV GERENTES BD'!A:B,2,0)</f>
        <v>ADMINISTRAÇÃO</v>
      </c>
      <c r="F3229" s="4" t="str">
        <f t="shared" si="300"/>
        <v>2025-07</v>
      </c>
      <c r="G3229" s="18">
        <f t="shared" si="301"/>
        <v>29</v>
      </c>
      <c r="H3229" t="str">
        <f t="shared" si="302"/>
        <v>ADMINISTRAÇÃO</v>
      </c>
      <c r="I3229" t="str">
        <f t="shared" si="303"/>
        <v>DECISION DESENVOLVIMENTO DE SISTEMAS LTDA</v>
      </c>
      <c r="J3229">
        <f t="shared" si="304"/>
        <v>1</v>
      </c>
      <c r="K3229">
        <f t="shared" si="305"/>
        <v>0</v>
      </c>
    </row>
    <row r="3230" spans="1:11" x14ac:dyDescent="0.25">
      <c r="A3230" t="s">
        <v>319</v>
      </c>
      <c r="B3230" t="s">
        <v>80</v>
      </c>
      <c r="C3230" t="s">
        <v>50</v>
      </c>
      <c r="D3230" s="6">
        <v>45855</v>
      </c>
      <c r="E3230" t="str">
        <f>VLOOKUP(B3230,'PROCV GERENTES BD'!A:B,2,0)</f>
        <v>CELIO PIMENTA</v>
      </c>
      <c r="F3230" s="4" t="str">
        <f t="shared" si="300"/>
        <v>2025-07</v>
      </c>
      <c r="G3230" s="18">
        <f t="shared" si="301"/>
        <v>29</v>
      </c>
      <c r="H3230" t="str">
        <f t="shared" si="302"/>
        <v>CELIO PIMENTA</v>
      </c>
      <c r="I3230" t="str">
        <f t="shared" si="303"/>
        <v>IMPORTEXTIL COMERCIO DE TECIDOS LTDA</v>
      </c>
      <c r="J3230">
        <f t="shared" si="304"/>
        <v>0</v>
      </c>
      <c r="K3230">
        <f t="shared" si="305"/>
        <v>1</v>
      </c>
    </row>
    <row r="3231" spans="1:11" x14ac:dyDescent="0.25">
      <c r="A3231" t="s">
        <v>56</v>
      </c>
      <c r="B3231" t="s">
        <v>57</v>
      </c>
      <c r="C3231" t="s">
        <v>50</v>
      </c>
      <c r="D3231" s="6">
        <v>45855</v>
      </c>
      <c r="E3231" t="str">
        <f>VLOOKUP(B3231,'PROCV GERENTES BD'!A:B,2,0)</f>
        <v xml:space="preserve">ROGERIO </v>
      </c>
      <c r="F3231" s="4" t="str">
        <f t="shared" si="300"/>
        <v>2025-07</v>
      </c>
      <c r="G3231" s="18">
        <f t="shared" si="301"/>
        <v>29</v>
      </c>
      <c r="H3231" t="str">
        <f t="shared" si="302"/>
        <v xml:space="preserve">ROGERIO </v>
      </c>
      <c r="I3231" t="str">
        <f t="shared" si="303"/>
        <v>RODOVIEIRA TRANSPORTE LTDA</v>
      </c>
      <c r="J3231">
        <f t="shared" si="304"/>
        <v>0</v>
      </c>
      <c r="K3231">
        <f t="shared" si="305"/>
        <v>1</v>
      </c>
    </row>
    <row r="3232" spans="1:11" x14ac:dyDescent="0.25">
      <c r="A3232" t="s">
        <v>639</v>
      </c>
      <c r="B3232" t="s">
        <v>564</v>
      </c>
      <c r="C3232" t="s">
        <v>66</v>
      </c>
      <c r="D3232" s="6">
        <v>45855</v>
      </c>
      <c r="E3232" t="str">
        <f>VLOOKUP(B3232,'PROCV GERENTES BD'!A:B,2,0)</f>
        <v>CAIO</v>
      </c>
      <c r="F3232" s="4" t="str">
        <f t="shared" si="300"/>
        <v>2025-07</v>
      </c>
      <c r="G3232" s="18">
        <f t="shared" si="301"/>
        <v>29</v>
      </c>
      <c r="H3232" t="str">
        <f t="shared" si="302"/>
        <v>CAIO</v>
      </c>
      <c r="I3232" t="str">
        <f t="shared" si="303"/>
        <v>FRUTABELLA INDUSTRIA E COMERCIO DE ALIMENTOS LTDA</v>
      </c>
      <c r="J3232">
        <f t="shared" si="304"/>
        <v>1</v>
      </c>
      <c r="K3232">
        <f t="shared" si="305"/>
        <v>0</v>
      </c>
    </row>
    <row r="3233" spans="1:11" x14ac:dyDescent="0.25">
      <c r="A3233" t="s">
        <v>385</v>
      </c>
      <c r="B3233" t="s">
        <v>132</v>
      </c>
      <c r="C3233" t="s">
        <v>50</v>
      </c>
      <c r="D3233" s="6">
        <v>45855</v>
      </c>
      <c r="E3233" t="str">
        <f>VLOOKUP(B3233,'PROCV GERENTES BD'!A:B,2,0)</f>
        <v xml:space="preserve">MARCUS VINICIUS </v>
      </c>
      <c r="F3233" s="4" t="str">
        <f t="shared" si="300"/>
        <v>2025-07</v>
      </c>
      <c r="G3233" s="18">
        <f t="shared" si="301"/>
        <v>29</v>
      </c>
      <c r="H3233" t="str">
        <f t="shared" si="302"/>
        <v xml:space="preserve">MARCUS VINICIUS </v>
      </c>
      <c r="I3233" t="str">
        <f t="shared" si="303"/>
        <v>RODOANEL REFORMADORA DE IMPLEMENTOS RODOVIARIOS LT</v>
      </c>
      <c r="J3233">
        <f t="shared" si="304"/>
        <v>0</v>
      </c>
      <c r="K3233">
        <f t="shared" si="305"/>
        <v>1</v>
      </c>
    </row>
    <row r="3234" spans="1:11" x14ac:dyDescent="0.25">
      <c r="A3234" t="s">
        <v>51</v>
      </c>
      <c r="B3234" t="s">
        <v>52</v>
      </c>
      <c r="C3234" t="s">
        <v>50</v>
      </c>
      <c r="D3234" s="6">
        <v>45855</v>
      </c>
      <c r="E3234" t="str">
        <f>VLOOKUP(B3234,'PROCV GERENTES BD'!A:B,2,0)</f>
        <v>RAFAEL PARISE</v>
      </c>
      <c r="F3234" s="4" t="str">
        <f t="shared" si="300"/>
        <v>2025-07</v>
      </c>
      <c r="G3234" s="18">
        <f t="shared" si="301"/>
        <v>29</v>
      </c>
      <c r="H3234" t="str">
        <f t="shared" si="302"/>
        <v>RAFAEL PARISE</v>
      </c>
      <c r="I3234" t="str">
        <f t="shared" si="303"/>
        <v>TDR TRANSPORTES LOGISTICA LTDA</v>
      </c>
      <c r="J3234">
        <f t="shared" si="304"/>
        <v>0</v>
      </c>
      <c r="K3234">
        <f t="shared" si="305"/>
        <v>1</v>
      </c>
    </row>
    <row r="3235" spans="1:11" x14ac:dyDescent="0.25">
      <c r="A3235" t="s">
        <v>629</v>
      </c>
      <c r="B3235" t="s">
        <v>550</v>
      </c>
      <c r="C3235" t="s">
        <v>50</v>
      </c>
      <c r="D3235" s="6">
        <v>45855</v>
      </c>
      <c r="E3235" t="str">
        <f>VLOOKUP(B3235,'PROCV GERENTES BD'!A:B,2,0)</f>
        <v>CREDTEM</v>
      </c>
      <c r="F3235" s="4" t="str">
        <f t="shared" si="300"/>
        <v>2025-07</v>
      </c>
      <c r="G3235" s="18">
        <f t="shared" si="301"/>
        <v>29</v>
      </c>
      <c r="H3235" t="str">
        <f t="shared" si="302"/>
        <v>CREDTEM</v>
      </c>
      <c r="I3235" t="str">
        <f t="shared" si="303"/>
        <v>W M DE CASTRO NETO PRODUTOS FARMACEUTICOS EPP</v>
      </c>
      <c r="J3235">
        <f t="shared" si="304"/>
        <v>0</v>
      </c>
      <c r="K3235">
        <f t="shared" si="305"/>
        <v>1</v>
      </c>
    </row>
    <row r="3236" spans="1:11" x14ac:dyDescent="0.25">
      <c r="A3236" t="s">
        <v>324</v>
      </c>
      <c r="B3236" t="s">
        <v>119</v>
      </c>
      <c r="C3236" t="s">
        <v>50</v>
      </c>
      <c r="D3236" s="6">
        <v>45855</v>
      </c>
      <c r="E3236" t="str">
        <f>VLOOKUP(B3236,'PROCV GERENTES BD'!A:B,2,0)</f>
        <v>PROSPECTAR</v>
      </c>
      <c r="F3236" s="4" t="str">
        <f t="shared" si="300"/>
        <v>2025-07</v>
      </c>
      <c r="G3236" s="18">
        <f t="shared" si="301"/>
        <v>29</v>
      </c>
      <c r="H3236" t="str">
        <f t="shared" si="302"/>
        <v>PROSPECTAR</v>
      </c>
      <c r="I3236" t="str">
        <f t="shared" si="303"/>
        <v>TRANSHENRY TRANSPORTES LTDA</v>
      </c>
      <c r="J3236">
        <f t="shared" si="304"/>
        <v>0</v>
      </c>
      <c r="K3236">
        <f t="shared" si="305"/>
        <v>1</v>
      </c>
    </row>
    <row r="3237" spans="1:11" x14ac:dyDescent="0.25">
      <c r="A3237" t="s">
        <v>482</v>
      </c>
      <c r="B3237" t="s">
        <v>239</v>
      </c>
      <c r="C3237" t="s">
        <v>66</v>
      </c>
      <c r="D3237" s="6">
        <v>45855</v>
      </c>
      <c r="E3237" t="str">
        <f>VLOOKUP(B3237,'PROCV GERENTES BD'!A:B,2,0)</f>
        <v>RAFAEL PARISE</v>
      </c>
      <c r="F3237" s="4" t="str">
        <f t="shared" si="300"/>
        <v>2025-07</v>
      </c>
      <c r="G3237" s="18">
        <f t="shared" si="301"/>
        <v>29</v>
      </c>
      <c r="H3237" t="str">
        <f t="shared" si="302"/>
        <v>RAFAEL PARISE</v>
      </c>
      <c r="I3237" t="str">
        <f t="shared" si="303"/>
        <v>RENOVAR AGRICOLA LTDA</v>
      </c>
      <c r="J3237">
        <f t="shared" si="304"/>
        <v>1</v>
      </c>
      <c r="K3237">
        <f t="shared" si="305"/>
        <v>0</v>
      </c>
    </row>
    <row r="3238" spans="1:11" x14ac:dyDescent="0.25">
      <c r="A3238" t="s">
        <v>415</v>
      </c>
      <c r="B3238" t="s">
        <v>165</v>
      </c>
      <c r="C3238" t="s">
        <v>50</v>
      </c>
      <c r="D3238" s="6">
        <v>45855</v>
      </c>
      <c r="E3238" t="str">
        <f>VLOOKUP(B3238,'PROCV GERENTES BD'!A:B,2,0)</f>
        <v>PROSPECTAR</v>
      </c>
      <c r="F3238" s="4" t="str">
        <f t="shared" si="300"/>
        <v>2025-07</v>
      </c>
      <c r="G3238" s="18">
        <f t="shared" si="301"/>
        <v>29</v>
      </c>
      <c r="H3238" t="str">
        <f t="shared" si="302"/>
        <v>PROSPECTAR</v>
      </c>
      <c r="I3238" t="str">
        <f t="shared" si="303"/>
        <v>STA SERVICOS LTDA</v>
      </c>
      <c r="J3238">
        <f t="shared" si="304"/>
        <v>0</v>
      </c>
      <c r="K3238">
        <f t="shared" si="305"/>
        <v>1</v>
      </c>
    </row>
    <row r="3239" spans="1:11" x14ac:dyDescent="0.25">
      <c r="A3239" t="s">
        <v>305</v>
      </c>
      <c r="B3239" t="s">
        <v>141</v>
      </c>
      <c r="C3239" t="s">
        <v>53</v>
      </c>
      <c r="D3239" s="6">
        <v>45855</v>
      </c>
      <c r="E3239" t="str">
        <f>VLOOKUP(B3239,'PROCV GERENTES BD'!A:B,2,0)</f>
        <v>NOELI SALETE</v>
      </c>
      <c r="F3239" s="4" t="str">
        <f t="shared" si="300"/>
        <v>2025-07</v>
      </c>
      <c r="G3239" s="18">
        <f t="shared" si="301"/>
        <v>29</v>
      </c>
      <c r="H3239" t="str">
        <f t="shared" si="302"/>
        <v>NOELI SALETE</v>
      </c>
      <c r="I3239" t="str">
        <f t="shared" si="303"/>
        <v>JMS EMBALAGENS INDUSTRIAIS LTDA</v>
      </c>
      <c r="J3239">
        <f t="shared" si="304"/>
        <v>1</v>
      </c>
      <c r="K3239">
        <f t="shared" si="305"/>
        <v>1</v>
      </c>
    </row>
    <row r="3240" spans="1:11" x14ac:dyDescent="0.25">
      <c r="A3240" t="s">
        <v>370</v>
      </c>
      <c r="B3240" t="s">
        <v>114</v>
      </c>
      <c r="C3240" t="s">
        <v>50</v>
      </c>
      <c r="D3240" s="6">
        <v>45855</v>
      </c>
      <c r="E3240" t="str">
        <f>VLOOKUP(B3240,'PROCV GERENTES BD'!A:B,2,0)</f>
        <v>POENATELA</v>
      </c>
      <c r="F3240" s="4" t="str">
        <f t="shared" si="300"/>
        <v>2025-07</v>
      </c>
      <c r="G3240" s="18">
        <f t="shared" si="301"/>
        <v>29</v>
      </c>
      <c r="H3240" t="str">
        <f t="shared" si="302"/>
        <v>POENATELA</v>
      </c>
      <c r="I3240" t="str">
        <f t="shared" si="303"/>
        <v>COOPERATIVA TRANSP AUTON CARGAS PASSAG SERVICOS LO</v>
      </c>
      <c r="J3240">
        <f t="shared" si="304"/>
        <v>0</v>
      </c>
      <c r="K3240">
        <f t="shared" si="305"/>
        <v>1</v>
      </c>
    </row>
    <row r="3241" spans="1:11" x14ac:dyDescent="0.25">
      <c r="A3241" t="s">
        <v>508</v>
      </c>
      <c r="B3241" t="s">
        <v>271</v>
      </c>
      <c r="C3241" t="s">
        <v>66</v>
      </c>
      <c r="D3241" s="6">
        <v>45855</v>
      </c>
      <c r="E3241" t="str">
        <f>VLOOKUP(B3241,'PROCV GERENTES BD'!A:B,2,0)</f>
        <v>PRISCILA METZ</v>
      </c>
      <c r="F3241" s="4" t="str">
        <f t="shared" si="300"/>
        <v>2025-07</v>
      </c>
      <c r="G3241" s="18">
        <f t="shared" si="301"/>
        <v>29</v>
      </c>
      <c r="H3241" t="str">
        <f t="shared" si="302"/>
        <v>PRISCILA METZ</v>
      </c>
      <c r="I3241" t="str">
        <f t="shared" si="303"/>
        <v>TUBOLARES VITORIA INDUSTRIA E COMERCIO LTDA ME</v>
      </c>
      <c r="J3241">
        <f t="shared" si="304"/>
        <v>1</v>
      </c>
      <c r="K3241">
        <f t="shared" si="305"/>
        <v>0</v>
      </c>
    </row>
    <row r="3242" spans="1:11" x14ac:dyDescent="0.25">
      <c r="A3242" t="s">
        <v>529</v>
      </c>
      <c r="B3242" t="s">
        <v>297</v>
      </c>
      <c r="C3242" t="s">
        <v>50</v>
      </c>
      <c r="D3242" s="6">
        <v>45855</v>
      </c>
      <c r="E3242" t="str">
        <f>VLOOKUP(B3242,'PROCV GERENTES BD'!A:B,2,0)</f>
        <v>ANDRE CUNHA</v>
      </c>
      <c r="F3242" s="4" t="str">
        <f t="shared" si="300"/>
        <v>2025-07</v>
      </c>
      <c r="G3242" s="18">
        <f t="shared" si="301"/>
        <v>29</v>
      </c>
      <c r="H3242" t="str">
        <f t="shared" si="302"/>
        <v>ANDRE CUNHA</v>
      </c>
      <c r="I3242" t="str">
        <f t="shared" si="303"/>
        <v>REVPACK TECNOLOGIA E COMERCIO DE COMPONENTES PLAST</v>
      </c>
      <c r="J3242">
        <f t="shared" si="304"/>
        <v>0</v>
      </c>
      <c r="K3242">
        <f t="shared" si="305"/>
        <v>1</v>
      </c>
    </row>
    <row r="3243" spans="1:11" x14ac:dyDescent="0.25">
      <c r="A3243" t="s">
        <v>369</v>
      </c>
      <c r="B3243" t="s">
        <v>113</v>
      </c>
      <c r="C3243" t="s">
        <v>66</v>
      </c>
      <c r="D3243" s="6">
        <v>45855</v>
      </c>
      <c r="E3243" t="str">
        <f>VLOOKUP(B3243,'PROCV GERENTES BD'!A:B,2,0)</f>
        <v xml:space="preserve">MARCUS VINICIUS </v>
      </c>
      <c r="F3243" s="4" t="str">
        <f t="shared" si="300"/>
        <v>2025-07</v>
      </c>
      <c r="G3243" s="18">
        <f t="shared" si="301"/>
        <v>29</v>
      </c>
      <c r="H3243" t="str">
        <f t="shared" si="302"/>
        <v xml:space="preserve">MARCUS VINICIUS </v>
      </c>
      <c r="I3243" t="str">
        <f t="shared" si="303"/>
        <v>ISOBASE POLIESTIRENO LTDA EPP</v>
      </c>
      <c r="J3243">
        <f t="shared" si="304"/>
        <v>1</v>
      </c>
      <c r="K3243">
        <f t="shared" si="305"/>
        <v>0</v>
      </c>
    </row>
    <row r="3244" spans="1:11" x14ac:dyDescent="0.25">
      <c r="A3244" t="s">
        <v>515</v>
      </c>
      <c r="B3244" t="s">
        <v>277</v>
      </c>
      <c r="C3244" t="s">
        <v>66</v>
      </c>
      <c r="D3244" s="6">
        <v>45855</v>
      </c>
      <c r="E3244" t="str">
        <f>VLOOKUP(B3244,'PROCV GERENTES BD'!A:B,2,0)</f>
        <v>ALISSON DE SOUZA LIMA</v>
      </c>
      <c r="F3244" s="4" t="str">
        <f t="shared" si="300"/>
        <v>2025-07</v>
      </c>
      <c r="G3244" s="18">
        <f t="shared" si="301"/>
        <v>29</v>
      </c>
      <c r="H3244" t="str">
        <f t="shared" si="302"/>
        <v>ALISSON DE SOUZA LIMA</v>
      </c>
      <c r="I3244" t="str">
        <f t="shared" si="303"/>
        <v>COMERCIAL GTS INFORMATICA LTDA EPP</v>
      </c>
      <c r="J3244">
        <f t="shared" si="304"/>
        <v>1</v>
      </c>
      <c r="K3244">
        <f t="shared" si="305"/>
        <v>0</v>
      </c>
    </row>
    <row r="3245" spans="1:11" x14ac:dyDescent="0.25">
      <c r="A3245" t="s">
        <v>448</v>
      </c>
      <c r="B3245" t="s">
        <v>201</v>
      </c>
      <c r="C3245" t="s">
        <v>66</v>
      </c>
      <c r="D3245" s="6">
        <v>45855</v>
      </c>
      <c r="E3245" t="str">
        <f>VLOOKUP(B3245,'PROCV GERENTES BD'!A:B,2,0)</f>
        <v>PRISCILA METZ</v>
      </c>
      <c r="F3245" s="4" t="str">
        <f t="shared" si="300"/>
        <v>2025-07</v>
      </c>
      <c r="G3245" s="18">
        <f t="shared" si="301"/>
        <v>29</v>
      </c>
      <c r="H3245" t="str">
        <f t="shared" si="302"/>
        <v>PRISCILA METZ</v>
      </c>
      <c r="I3245" t="str">
        <f t="shared" si="303"/>
        <v>M TRATORES LTDA EPP</v>
      </c>
      <c r="J3245">
        <f t="shared" si="304"/>
        <v>1</v>
      </c>
      <c r="K3245">
        <f t="shared" si="305"/>
        <v>0</v>
      </c>
    </row>
    <row r="3246" spans="1:11" x14ac:dyDescent="0.25">
      <c r="A3246" t="s">
        <v>67</v>
      </c>
      <c r="B3246" t="s">
        <v>68</v>
      </c>
      <c r="C3246" t="s">
        <v>66</v>
      </c>
      <c r="D3246" s="6">
        <v>45855</v>
      </c>
      <c r="E3246" t="str">
        <f>VLOOKUP(B3246,'PROCV GERENTES BD'!A:B,2,0)</f>
        <v xml:space="preserve">ROGERIO </v>
      </c>
      <c r="F3246" s="4" t="str">
        <f t="shared" si="300"/>
        <v>2025-07</v>
      </c>
      <c r="G3246" s="18">
        <f t="shared" si="301"/>
        <v>29</v>
      </c>
      <c r="H3246" t="str">
        <f t="shared" si="302"/>
        <v xml:space="preserve">ROGERIO </v>
      </c>
      <c r="I3246" t="str">
        <f t="shared" si="303"/>
        <v>DIOTTONI INDUSTRIA E COMERCIO DE ALIMENTOS LTDA ME</v>
      </c>
      <c r="J3246">
        <f t="shared" si="304"/>
        <v>1</v>
      </c>
      <c r="K3246">
        <f t="shared" si="305"/>
        <v>0</v>
      </c>
    </row>
    <row r="3247" spans="1:11" x14ac:dyDescent="0.25">
      <c r="A3247" t="s">
        <v>632</v>
      </c>
      <c r="B3247" t="s">
        <v>633</v>
      </c>
      <c r="C3247" t="s">
        <v>50</v>
      </c>
      <c r="D3247" s="6">
        <v>45855</v>
      </c>
      <c r="E3247" t="str">
        <f>VLOOKUP(B3247,'PROCV GERENTES BD'!A:B,2,0)</f>
        <v>TIAGO NEVES</v>
      </c>
      <c r="F3247" s="4" t="str">
        <f t="shared" si="300"/>
        <v>2025-07</v>
      </c>
      <c r="G3247" s="18">
        <f t="shared" si="301"/>
        <v>29</v>
      </c>
      <c r="H3247" t="str">
        <f t="shared" si="302"/>
        <v>TIAGO NEVES</v>
      </c>
      <c r="I3247" t="str">
        <f t="shared" si="303"/>
        <v>AUTO VIDROS MG INDUSTRIA E COMERCIO LTDA</v>
      </c>
      <c r="J3247">
        <f t="shared" si="304"/>
        <v>0</v>
      </c>
      <c r="K3247">
        <f t="shared" si="305"/>
        <v>1</v>
      </c>
    </row>
    <row r="3248" spans="1:11" x14ac:dyDescent="0.25">
      <c r="A3248" t="s">
        <v>475</v>
      </c>
      <c r="B3248" t="s">
        <v>232</v>
      </c>
      <c r="C3248" t="s">
        <v>66</v>
      </c>
      <c r="D3248" s="6">
        <v>45855</v>
      </c>
      <c r="E3248" t="str">
        <f>VLOOKUP(B3248,'PROCV GERENTES BD'!A:B,2,0)</f>
        <v>POENATELA</v>
      </c>
      <c r="F3248" s="4" t="str">
        <f t="shared" si="300"/>
        <v>2025-07</v>
      </c>
      <c r="G3248" s="18">
        <f t="shared" si="301"/>
        <v>29</v>
      </c>
      <c r="H3248" t="str">
        <f t="shared" si="302"/>
        <v>POENATELA</v>
      </c>
      <c r="I3248" t="str">
        <f t="shared" si="303"/>
        <v>JUATUBA MOVEIS E EMBALAGENS LTDA</v>
      </c>
      <c r="J3248">
        <f t="shared" si="304"/>
        <v>1</v>
      </c>
      <c r="K3248">
        <f t="shared" si="305"/>
        <v>0</v>
      </c>
    </row>
    <row r="3249" spans="1:11" x14ac:dyDescent="0.25">
      <c r="A3249" t="s">
        <v>355</v>
      </c>
      <c r="B3249" t="s">
        <v>100</v>
      </c>
      <c r="C3249" t="s">
        <v>66</v>
      </c>
      <c r="D3249" s="6">
        <v>45855</v>
      </c>
      <c r="E3249" t="str">
        <f>VLOOKUP(B3249,'PROCV GERENTES BD'!A:B,2,0)</f>
        <v>ADMINISTRAÇÃO</v>
      </c>
      <c r="F3249" s="4" t="str">
        <f t="shared" si="300"/>
        <v>2025-07</v>
      </c>
      <c r="G3249" s="18">
        <f t="shared" si="301"/>
        <v>29</v>
      </c>
      <c r="H3249" t="str">
        <f t="shared" si="302"/>
        <v>ADMINISTRAÇÃO</v>
      </c>
      <c r="I3249" t="str">
        <f t="shared" si="303"/>
        <v>DECISION DESENVOLVIMENTO DE SISTEMAS LTDA</v>
      </c>
      <c r="J3249">
        <f t="shared" si="304"/>
        <v>1</v>
      </c>
      <c r="K3249">
        <f t="shared" si="305"/>
        <v>0</v>
      </c>
    </row>
    <row r="3250" spans="1:11" x14ac:dyDescent="0.25">
      <c r="A3250" t="s">
        <v>319</v>
      </c>
      <c r="B3250" t="s">
        <v>80</v>
      </c>
      <c r="C3250" t="s">
        <v>50</v>
      </c>
      <c r="D3250" s="6">
        <v>45855</v>
      </c>
      <c r="E3250" t="str">
        <f>VLOOKUP(B3250,'PROCV GERENTES BD'!A:B,2,0)</f>
        <v>CELIO PIMENTA</v>
      </c>
      <c r="F3250" s="4" t="str">
        <f t="shared" si="300"/>
        <v>2025-07</v>
      </c>
      <c r="G3250" s="18">
        <f t="shared" si="301"/>
        <v>29</v>
      </c>
      <c r="H3250" t="str">
        <f t="shared" si="302"/>
        <v>CELIO PIMENTA</v>
      </c>
      <c r="I3250" t="str">
        <f t="shared" si="303"/>
        <v>IMPORTEXTIL COMERCIO DE TECIDOS LTDA</v>
      </c>
      <c r="J3250">
        <f t="shared" si="304"/>
        <v>0</v>
      </c>
      <c r="K3250">
        <f t="shared" si="305"/>
        <v>1</v>
      </c>
    </row>
    <row r="3251" spans="1:11" x14ac:dyDescent="0.25">
      <c r="A3251" t="s">
        <v>56</v>
      </c>
      <c r="B3251" t="s">
        <v>57</v>
      </c>
      <c r="C3251" t="s">
        <v>50</v>
      </c>
      <c r="D3251" s="6">
        <v>45855</v>
      </c>
      <c r="E3251" t="str">
        <f>VLOOKUP(B3251,'PROCV GERENTES BD'!A:B,2,0)</f>
        <v xml:space="preserve">ROGERIO </v>
      </c>
      <c r="F3251" s="4" t="str">
        <f t="shared" si="300"/>
        <v>2025-07</v>
      </c>
      <c r="G3251" s="18">
        <f t="shared" si="301"/>
        <v>29</v>
      </c>
      <c r="H3251" t="str">
        <f t="shared" si="302"/>
        <v xml:space="preserve">ROGERIO </v>
      </c>
      <c r="I3251" t="str">
        <f t="shared" si="303"/>
        <v>RODOVIEIRA TRANSPORTE LTDA</v>
      </c>
      <c r="J3251">
        <f t="shared" si="304"/>
        <v>0</v>
      </c>
      <c r="K3251">
        <f t="shared" si="305"/>
        <v>1</v>
      </c>
    </row>
    <row r="3252" spans="1:11" x14ac:dyDescent="0.25">
      <c r="A3252" t="s">
        <v>639</v>
      </c>
      <c r="B3252" t="s">
        <v>564</v>
      </c>
      <c r="C3252" t="s">
        <v>66</v>
      </c>
      <c r="D3252" s="6">
        <v>45855</v>
      </c>
      <c r="E3252" t="str">
        <f>VLOOKUP(B3252,'PROCV GERENTES BD'!A:B,2,0)</f>
        <v>CAIO</v>
      </c>
      <c r="F3252" s="4" t="str">
        <f t="shared" si="300"/>
        <v>2025-07</v>
      </c>
      <c r="G3252" s="18">
        <f t="shared" si="301"/>
        <v>29</v>
      </c>
      <c r="H3252" t="str">
        <f t="shared" si="302"/>
        <v>CAIO</v>
      </c>
      <c r="I3252" t="str">
        <f t="shared" si="303"/>
        <v>FRUTABELLA INDUSTRIA E COMERCIO DE ALIMENTOS LTDA</v>
      </c>
      <c r="J3252">
        <f t="shared" si="304"/>
        <v>1</v>
      </c>
      <c r="K3252">
        <f t="shared" si="305"/>
        <v>0</v>
      </c>
    </row>
    <row r="3253" spans="1:11" x14ac:dyDescent="0.25">
      <c r="A3253" t="s">
        <v>385</v>
      </c>
      <c r="B3253" t="s">
        <v>132</v>
      </c>
      <c r="C3253" t="s">
        <v>50</v>
      </c>
      <c r="D3253" s="6">
        <v>45855</v>
      </c>
      <c r="E3253" t="str">
        <f>VLOOKUP(B3253,'PROCV GERENTES BD'!A:B,2,0)</f>
        <v xml:space="preserve">MARCUS VINICIUS </v>
      </c>
      <c r="F3253" s="4" t="str">
        <f t="shared" si="300"/>
        <v>2025-07</v>
      </c>
      <c r="G3253" s="18">
        <f t="shared" si="301"/>
        <v>29</v>
      </c>
      <c r="H3253" t="str">
        <f t="shared" si="302"/>
        <v xml:space="preserve">MARCUS VINICIUS </v>
      </c>
      <c r="I3253" t="str">
        <f t="shared" si="303"/>
        <v>RODOANEL REFORMADORA DE IMPLEMENTOS RODOVIARIOS LT</v>
      </c>
      <c r="J3253">
        <f t="shared" si="304"/>
        <v>0</v>
      </c>
      <c r="K3253">
        <f t="shared" si="305"/>
        <v>1</v>
      </c>
    </row>
    <row r="3254" spans="1:11" x14ac:dyDescent="0.25">
      <c r="A3254" t="s">
        <v>51</v>
      </c>
      <c r="B3254" t="s">
        <v>52</v>
      </c>
      <c r="C3254" t="s">
        <v>50</v>
      </c>
      <c r="D3254" s="6">
        <v>45855</v>
      </c>
      <c r="E3254" t="str">
        <f>VLOOKUP(B3254,'PROCV GERENTES BD'!A:B,2,0)</f>
        <v>RAFAEL PARISE</v>
      </c>
      <c r="F3254" s="4" t="str">
        <f t="shared" si="300"/>
        <v>2025-07</v>
      </c>
      <c r="G3254" s="18">
        <f t="shared" si="301"/>
        <v>29</v>
      </c>
      <c r="H3254" t="str">
        <f t="shared" si="302"/>
        <v>RAFAEL PARISE</v>
      </c>
      <c r="I3254" t="str">
        <f t="shared" si="303"/>
        <v>TDR TRANSPORTES LOGISTICA LTDA</v>
      </c>
      <c r="J3254">
        <f t="shared" si="304"/>
        <v>0</v>
      </c>
      <c r="K3254">
        <f t="shared" si="305"/>
        <v>1</v>
      </c>
    </row>
    <row r="3255" spans="1:11" x14ac:dyDescent="0.25">
      <c r="A3255" t="s">
        <v>629</v>
      </c>
      <c r="B3255" t="s">
        <v>550</v>
      </c>
      <c r="C3255" t="s">
        <v>50</v>
      </c>
      <c r="D3255" s="6">
        <v>45855</v>
      </c>
      <c r="E3255" t="str">
        <f>VLOOKUP(B3255,'PROCV GERENTES BD'!A:B,2,0)</f>
        <v>CREDTEM</v>
      </c>
      <c r="F3255" s="4" t="str">
        <f t="shared" si="300"/>
        <v>2025-07</v>
      </c>
      <c r="G3255" s="18">
        <f t="shared" si="301"/>
        <v>29</v>
      </c>
      <c r="H3255" t="str">
        <f t="shared" si="302"/>
        <v>CREDTEM</v>
      </c>
      <c r="I3255" t="str">
        <f t="shared" si="303"/>
        <v>W M DE CASTRO NETO PRODUTOS FARMACEUTICOS EPP</v>
      </c>
      <c r="J3255">
        <f t="shared" si="304"/>
        <v>0</v>
      </c>
      <c r="K3255">
        <f t="shared" si="305"/>
        <v>1</v>
      </c>
    </row>
    <row r="3256" spans="1:11" x14ac:dyDescent="0.25">
      <c r="A3256" t="s">
        <v>324</v>
      </c>
      <c r="B3256" t="s">
        <v>119</v>
      </c>
      <c r="C3256" t="s">
        <v>50</v>
      </c>
      <c r="D3256" s="6">
        <v>45855</v>
      </c>
      <c r="E3256" t="str">
        <f>VLOOKUP(B3256,'PROCV GERENTES BD'!A:B,2,0)</f>
        <v>PROSPECTAR</v>
      </c>
      <c r="F3256" s="4" t="str">
        <f t="shared" si="300"/>
        <v>2025-07</v>
      </c>
      <c r="G3256" s="18">
        <f t="shared" si="301"/>
        <v>29</v>
      </c>
      <c r="H3256" t="str">
        <f t="shared" si="302"/>
        <v>PROSPECTAR</v>
      </c>
      <c r="I3256" t="str">
        <f t="shared" si="303"/>
        <v>TRANSHENRY TRANSPORTES LTDA</v>
      </c>
      <c r="J3256">
        <f t="shared" si="304"/>
        <v>0</v>
      </c>
      <c r="K3256">
        <f t="shared" si="305"/>
        <v>1</v>
      </c>
    </row>
    <row r="3257" spans="1:11" x14ac:dyDescent="0.25">
      <c r="A3257" t="s">
        <v>482</v>
      </c>
      <c r="B3257" t="s">
        <v>239</v>
      </c>
      <c r="C3257" t="s">
        <v>66</v>
      </c>
      <c r="D3257" s="6">
        <v>45855</v>
      </c>
      <c r="E3257" t="str">
        <f>VLOOKUP(B3257,'PROCV GERENTES BD'!A:B,2,0)</f>
        <v>RAFAEL PARISE</v>
      </c>
      <c r="F3257" s="4" t="str">
        <f t="shared" si="300"/>
        <v>2025-07</v>
      </c>
      <c r="G3257" s="18">
        <f t="shared" si="301"/>
        <v>29</v>
      </c>
      <c r="H3257" t="str">
        <f t="shared" si="302"/>
        <v>RAFAEL PARISE</v>
      </c>
      <c r="I3257" t="str">
        <f t="shared" si="303"/>
        <v>RENOVAR AGRICOLA LTDA</v>
      </c>
      <c r="J3257">
        <f t="shared" si="304"/>
        <v>1</v>
      </c>
      <c r="K3257">
        <f t="shared" si="305"/>
        <v>0</v>
      </c>
    </row>
    <row r="3258" spans="1:11" x14ac:dyDescent="0.25">
      <c r="A3258" t="s">
        <v>415</v>
      </c>
      <c r="B3258" t="s">
        <v>165</v>
      </c>
      <c r="C3258" t="s">
        <v>50</v>
      </c>
      <c r="D3258" s="6">
        <v>45855</v>
      </c>
      <c r="E3258" t="str">
        <f>VLOOKUP(B3258,'PROCV GERENTES BD'!A:B,2,0)</f>
        <v>PROSPECTAR</v>
      </c>
      <c r="F3258" s="4" t="str">
        <f t="shared" si="300"/>
        <v>2025-07</v>
      </c>
      <c r="G3258" s="18">
        <f t="shared" si="301"/>
        <v>29</v>
      </c>
      <c r="H3258" t="str">
        <f t="shared" si="302"/>
        <v>PROSPECTAR</v>
      </c>
      <c r="I3258" t="str">
        <f t="shared" si="303"/>
        <v>STA SERVICOS LTDA</v>
      </c>
      <c r="J3258">
        <f t="shared" si="304"/>
        <v>0</v>
      </c>
      <c r="K3258">
        <f t="shared" si="305"/>
        <v>1</v>
      </c>
    </row>
    <row r="3259" spans="1:11" x14ac:dyDescent="0.25">
      <c r="A3259" t="s">
        <v>305</v>
      </c>
      <c r="B3259" t="s">
        <v>141</v>
      </c>
      <c r="C3259" t="s">
        <v>53</v>
      </c>
      <c r="D3259" s="6">
        <v>45855</v>
      </c>
      <c r="E3259" t="str">
        <f>VLOOKUP(B3259,'PROCV GERENTES BD'!A:B,2,0)</f>
        <v>NOELI SALETE</v>
      </c>
      <c r="F3259" s="4" t="str">
        <f t="shared" si="300"/>
        <v>2025-07</v>
      </c>
      <c r="G3259" s="18">
        <f t="shared" si="301"/>
        <v>29</v>
      </c>
      <c r="H3259" t="str">
        <f t="shared" si="302"/>
        <v>NOELI SALETE</v>
      </c>
      <c r="I3259" t="str">
        <f t="shared" si="303"/>
        <v>JMS EMBALAGENS INDUSTRIAIS LTDA</v>
      </c>
      <c r="J3259">
        <f t="shared" si="304"/>
        <v>1</v>
      </c>
      <c r="K3259">
        <f t="shared" si="305"/>
        <v>1</v>
      </c>
    </row>
    <row r="3260" spans="1:11" x14ac:dyDescent="0.25">
      <c r="A3260" t="s">
        <v>370</v>
      </c>
      <c r="B3260" t="s">
        <v>114</v>
      </c>
      <c r="C3260" t="s">
        <v>50</v>
      </c>
      <c r="D3260" s="6">
        <v>45855</v>
      </c>
      <c r="E3260" t="str">
        <f>VLOOKUP(B3260,'PROCV GERENTES BD'!A:B,2,0)</f>
        <v>POENATELA</v>
      </c>
      <c r="F3260" s="4" t="str">
        <f t="shared" si="300"/>
        <v>2025-07</v>
      </c>
      <c r="G3260" s="18">
        <f t="shared" si="301"/>
        <v>29</v>
      </c>
      <c r="H3260" t="str">
        <f t="shared" si="302"/>
        <v>POENATELA</v>
      </c>
      <c r="I3260" t="str">
        <f t="shared" si="303"/>
        <v>COOPERATIVA TRANSP AUTON CARGAS PASSAG SERVICOS LO</v>
      </c>
      <c r="J3260">
        <f t="shared" si="304"/>
        <v>0</v>
      </c>
      <c r="K3260">
        <f t="shared" si="305"/>
        <v>1</v>
      </c>
    </row>
    <row r="3261" spans="1:11" x14ac:dyDescent="0.25">
      <c r="A3261" t="s">
        <v>508</v>
      </c>
      <c r="B3261" t="s">
        <v>271</v>
      </c>
      <c r="C3261" t="s">
        <v>66</v>
      </c>
      <c r="D3261" s="6">
        <v>45855</v>
      </c>
      <c r="E3261" t="str">
        <f>VLOOKUP(B3261,'PROCV GERENTES BD'!A:B,2,0)</f>
        <v>PRISCILA METZ</v>
      </c>
      <c r="F3261" s="4" t="str">
        <f t="shared" si="300"/>
        <v>2025-07</v>
      </c>
      <c r="G3261" s="18">
        <f t="shared" si="301"/>
        <v>29</v>
      </c>
      <c r="H3261" t="str">
        <f t="shared" si="302"/>
        <v>PRISCILA METZ</v>
      </c>
      <c r="I3261" t="str">
        <f t="shared" si="303"/>
        <v>TUBOLARES VITORIA INDUSTRIA E COMERCIO LTDA ME</v>
      </c>
      <c r="J3261">
        <f t="shared" si="304"/>
        <v>1</v>
      </c>
      <c r="K3261">
        <f t="shared" si="305"/>
        <v>0</v>
      </c>
    </row>
    <row r="3262" spans="1:11" x14ac:dyDescent="0.25">
      <c r="A3262" t="s">
        <v>529</v>
      </c>
      <c r="B3262" t="s">
        <v>297</v>
      </c>
      <c r="C3262" t="s">
        <v>50</v>
      </c>
      <c r="D3262" s="6">
        <v>45856</v>
      </c>
      <c r="E3262" t="str">
        <f>VLOOKUP(B3262,'PROCV GERENTES BD'!A:B,2,0)</f>
        <v>ANDRE CUNHA</v>
      </c>
      <c r="F3262" s="4" t="str">
        <f t="shared" si="300"/>
        <v>2025-07</v>
      </c>
      <c r="G3262" s="18">
        <f t="shared" si="301"/>
        <v>29</v>
      </c>
      <c r="H3262" t="str">
        <f t="shared" si="302"/>
        <v>ANDRE CUNHA</v>
      </c>
      <c r="I3262" t="str">
        <f t="shared" si="303"/>
        <v>REVPACK TECNOLOGIA E COMERCIO DE COMPONENTES PLAST</v>
      </c>
      <c r="J3262">
        <f t="shared" si="304"/>
        <v>0</v>
      </c>
      <c r="K3262">
        <f t="shared" si="305"/>
        <v>1</v>
      </c>
    </row>
    <row r="3263" spans="1:11" x14ac:dyDescent="0.25">
      <c r="A3263" t="s">
        <v>445</v>
      </c>
      <c r="B3263" t="s">
        <v>197</v>
      </c>
      <c r="C3263" t="s">
        <v>66</v>
      </c>
      <c r="D3263" s="6">
        <v>45856</v>
      </c>
      <c r="E3263" t="str">
        <f>VLOOKUP(B3263,'PROCV GERENTES BD'!A:B,2,0)</f>
        <v>ADMINISTRAÇÃO</v>
      </c>
      <c r="F3263" s="4" t="str">
        <f t="shared" si="300"/>
        <v>2025-07</v>
      </c>
      <c r="G3263" s="18">
        <f t="shared" si="301"/>
        <v>29</v>
      </c>
      <c r="H3263" t="str">
        <f t="shared" si="302"/>
        <v>ADMINISTRAÇÃO</v>
      </c>
      <c r="I3263" t="str">
        <f t="shared" si="303"/>
        <v>FARBIA CHEMICALS COMERCIO IMPORTACAO E EXPORTACAO</v>
      </c>
      <c r="J3263">
        <f t="shared" si="304"/>
        <v>1</v>
      </c>
      <c r="K3263">
        <f t="shared" si="305"/>
        <v>0</v>
      </c>
    </row>
    <row r="3264" spans="1:11" x14ac:dyDescent="0.25">
      <c r="A3264" t="s">
        <v>430</v>
      </c>
      <c r="B3264" t="s">
        <v>181</v>
      </c>
      <c r="C3264" t="s">
        <v>50</v>
      </c>
      <c r="D3264" s="6">
        <v>45856</v>
      </c>
      <c r="E3264" t="str">
        <f>VLOOKUP(B3264,'PROCV GERENTES BD'!A:B,2,0)</f>
        <v>PROSPECTAR</v>
      </c>
      <c r="F3264" s="4" t="str">
        <f t="shared" si="300"/>
        <v>2025-07</v>
      </c>
      <c r="G3264" s="18">
        <f t="shared" si="301"/>
        <v>29</v>
      </c>
      <c r="H3264" t="str">
        <f t="shared" si="302"/>
        <v>PROSPECTAR</v>
      </c>
      <c r="I3264" t="str">
        <f t="shared" si="303"/>
        <v>SIQUEIRA E GAIPO INDUSTRIA E MATERIAIS ESPORTIVOS</v>
      </c>
      <c r="J3264">
        <f t="shared" si="304"/>
        <v>0</v>
      </c>
      <c r="K3264">
        <f t="shared" si="305"/>
        <v>1</v>
      </c>
    </row>
    <row r="3265" spans="1:11" x14ac:dyDescent="0.25">
      <c r="A3265" t="s">
        <v>498</v>
      </c>
      <c r="B3265" t="s">
        <v>256</v>
      </c>
      <c r="C3265" t="s">
        <v>50</v>
      </c>
      <c r="D3265" s="6">
        <v>45856</v>
      </c>
      <c r="E3265" t="str">
        <f>VLOOKUP(B3265,'PROCV GERENTES BD'!A:B,2,0)</f>
        <v>CELIO PIMENTA</v>
      </c>
      <c r="F3265" s="4" t="str">
        <f t="shared" si="300"/>
        <v>2025-07</v>
      </c>
      <c r="G3265" s="18">
        <f t="shared" si="301"/>
        <v>29</v>
      </c>
      <c r="H3265" t="str">
        <f t="shared" si="302"/>
        <v>CELIO PIMENTA</v>
      </c>
      <c r="I3265" t="str">
        <f t="shared" si="303"/>
        <v>SEU TRATOR LTDA EPP</v>
      </c>
      <c r="J3265">
        <f t="shared" si="304"/>
        <v>0</v>
      </c>
      <c r="K3265">
        <f t="shared" si="305"/>
        <v>1</v>
      </c>
    </row>
    <row r="3266" spans="1:11" x14ac:dyDescent="0.25">
      <c r="A3266" t="s">
        <v>314</v>
      </c>
      <c r="B3266" t="s">
        <v>246</v>
      </c>
      <c r="C3266" t="s">
        <v>66</v>
      </c>
      <c r="D3266" s="6">
        <v>45856</v>
      </c>
      <c r="E3266" t="str">
        <f>VLOOKUP(B3266,'PROCV GERENTES BD'!A:B,2,0)</f>
        <v xml:space="preserve">ROGERIO </v>
      </c>
      <c r="F3266" s="4" t="str">
        <f t="shared" ref="F3266:F3329" si="306">YEAR(D3266)&amp;"-"&amp;TEXT(MONTH(D3266),"00")</f>
        <v>2025-07</v>
      </c>
      <c r="G3266" s="18">
        <f t="shared" ref="G3266:G3329" si="307">WEEKNUM(D3266)</f>
        <v>29</v>
      </c>
      <c r="H3266" t="str">
        <f t="shared" ref="H3266:H3329" si="308">E3266</f>
        <v xml:space="preserve">ROGERIO </v>
      </c>
      <c r="I3266" t="str">
        <f t="shared" ref="I3266:I3329" si="309">B3266</f>
        <v>MUTCD CENTRO DE DISTRIBUICAO DE IND FABRICANTE DE</v>
      </c>
      <c r="J3266">
        <f t="shared" ref="J3266:J3329" si="310">IF(OR(C3266="EXCLUSAO  ANOT.INADIMPLENCIA",C3266="INCL/EXCL ANOT.INADIMPLENCIA"),1,0)</f>
        <v>1</v>
      </c>
      <c r="K3266">
        <f t="shared" ref="K3266:K3329" si="311">IF(OR(C3266="INCLUSAO  ANOT.INADIMPLENCIA",C3266="INCL/EXCL ANOT.INADIMPLENCIA"),1,0)</f>
        <v>0</v>
      </c>
    </row>
    <row r="3267" spans="1:11" x14ac:dyDescent="0.25">
      <c r="A3267" t="s">
        <v>444</v>
      </c>
      <c r="B3267" t="s">
        <v>195</v>
      </c>
      <c r="C3267" t="s">
        <v>50</v>
      </c>
      <c r="D3267" s="6">
        <v>45856</v>
      </c>
      <c r="E3267" t="str">
        <f>VLOOKUP(B3267,'PROCV GERENTES BD'!A:B,2,0)</f>
        <v>RAFAEL PARISE</v>
      </c>
      <c r="F3267" s="4" t="str">
        <f t="shared" si="306"/>
        <v>2025-07</v>
      </c>
      <c r="G3267" s="18">
        <f t="shared" si="307"/>
        <v>29</v>
      </c>
      <c r="H3267" t="str">
        <f t="shared" si="308"/>
        <v>RAFAEL PARISE</v>
      </c>
      <c r="I3267" t="str">
        <f t="shared" si="309"/>
        <v>GEDIBOR RUBBER POLYURETHANE LTDA EPP</v>
      </c>
      <c r="J3267">
        <f t="shared" si="310"/>
        <v>0</v>
      </c>
      <c r="K3267">
        <f t="shared" si="311"/>
        <v>1</v>
      </c>
    </row>
    <row r="3268" spans="1:11" x14ac:dyDescent="0.25">
      <c r="A3268" t="s">
        <v>67</v>
      </c>
      <c r="B3268" t="s">
        <v>68</v>
      </c>
      <c r="C3268" t="s">
        <v>66</v>
      </c>
      <c r="D3268" s="6">
        <v>45856</v>
      </c>
      <c r="E3268" t="str">
        <f>VLOOKUP(B3268,'PROCV GERENTES BD'!A:B,2,0)</f>
        <v xml:space="preserve">ROGERIO </v>
      </c>
      <c r="F3268" s="4" t="str">
        <f t="shared" si="306"/>
        <v>2025-07</v>
      </c>
      <c r="G3268" s="18">
        <f t="shared" si="307"/>
        <v>29</v>
      </c>
      <c r="H3268" t="str">
        <f t="shared" si="308"/>
        <v xml:space="preserve">ROGERIO </v>
      </c>
      <c r="I3268" t="str">
        <f t="shared" si="309"/>
        <v>DIOTTONI INDUSTRIA E COMERCIO DE ALIMENTOS LTDA ME</v>
      </c>
      <c r="J3268">
        <f t="shared" si="310"/>
        <v>1</v>
      </c>
      <c r="K3268">
        <f t="shared" si="311"/>
        <v>0</v>
      </c>
    </row>
    <row r="3269" spans="1:11" x14ac:dyDescent="0.25">
      <c r="A3269" t="s">
        <v>64</v>
      </c>
      <c r="B3269" t="s">
        <v>65</v>
      </c>
      <c r="C3269" t="s">
        <v>50</v>
      </c>
      <c r="D3269" s="6">
        <v>45856</v>
      </c>
      <c r="E3269" t="str">
        <f>VLOOKUP(B3269,'PROCV GERENTES BD'!A:B,2,0)</f>
        <v>ADMINISTRAÇÃO</v>
      </c>
      <c r="F3269" s="4" t="str">
        <f t="shared" si="306"/>
        <v>2025-07</v>
      </c>
      <c r="G3269" s="18">
        <f t="shared" si="307"/>
        <v>29</v>
      </c>
      <c r="H3269" t="str">
        <f t="shared" si="308"/>
        <v>ADMINISTRAÇÃO</v>
      </c>
      <c r="I3269" t="str">
        <f t="shared" si="309"/>
        <v>SOCIAL S/A</v>
      </c>
      <c r="J3269">
        <f t="shared" si="310"/>
        <v>0</v>
      </c>
      <c r="K3269">
        <f t="shared" si="311"/>
        <v>1</v>
      </c>
    </row>
    <row r="3270" spans="1:11" x14ac:dyDescent="0.25">
      <c r="A3270" t="s">
        <v>62</v>
      </c>
      <c r="B3270" t="s">
        <v>63</v>
      </c>
      <c r="C3270" t="s">
        <v>50</v>
      </c>
      <c r="D3270" s="6">
        <v>45856</v>
      </c>
      <c r="E3270" t="str">
        <f>VLOOKUP(B3270,'PROCV GERENTES BD'!A:B,2,0)</f>
        <v>PROSPECTAR</v>
      </c>
      <c r="F3270" s="4" t="str">
        <f t="shared" si="306"/>
        <v>2025-07</v>
      </c>
      <c r="G3270" s="18">
        <f t="shared" si="307"/>
        <v>29</v>
      </c>
      <c r="H3270" t="str">
        <f t="shared" si="308"/>
        <v>PROSPECTAR</v>
      </c>
      <c r="I3270" t="str">
        <f t="shared" si="309"/>
        <v>MAPP COM IMPORTACAO EXPORTACAO IND PRODUTOS ALIMEN</v>
      </c>
      <c r="J3270">
        <f t="shared" si="310"/>
        <v>0</v>
      </c>
      <c r="K3270">
        <f t="shared" si="311"/>
        <v>1</v>
      </c>
    </row>
    <row r="3271" spans="1:11" x14ac:dyDescent="0.25">
      <c r="A3271" t="s">
        <v>519</v>
      </c>
      <c r="B3271" t="s">
        <v>283</v>
      </c>
      <c r="C3271" t="s">
        <v>66</v>
      </c>
      <c r="D3271" s="6">
        <v>45856</v>
      </c>
      <c r="E3271" t="str">
        <f>VLOOKUP(B3271,'PROCV GERENTES BD'!A:B,2,0)</f>
        <v>DALVA</v>
      </c>
      <c r="F3271" s="4" t="str">
        <f t="shared" si="306"/>
        <v>2025-07</v>
      </c>
      <c r="G3271" s="18">
        <f t="shared" si="307"/>
        <v>29</v>
      </c>
      <c r="H3271" t="str">
        <f t="shared" si="308"/>
        <v>DALVA</v>
      </c>
      <c r="I3271" t="str">
        <f t="shared" si="309"/>
        <v>LTA USINAGEM LTDA EPP</v>
      </c>
      <c r="J3271">
        <f t="shared" si="310"/>
        <v>1</v>
      </c>
      <c r="K3271">
        <f t="shared" si="311"/>
        <v>0</v>
      </c>
    </row>
    <row r="3272" spans="1:11" x14ac:dyDescent="0.25">
      <c r="A3272" t="s">
        <v>310</v>
      </c>
      <c r="B3272" t="s">
        <v>204</v>
      </c>
      <c r="C3272" t="s">
        <v>50</v>
      </c>
      <c r="D3272" s="6">
        <v>45856</v>
      </c>
      <c r="E3272" t="str">
        <f>VLOOKUP(B3272,'PROCV GERENTES BD'!A:B,2,0)</f>
        <v xml:space="preserve">MARCUS VINICIUS </v>
      </c>
      <c r="F3272" s="4" t="str">
        <f t="shared" si="306"/>
        <v>2025-07</v>
      </c>
      <c r="G3272" s="18">
        <f t="shared" si="307"/>
        <v>29</v>
      </c>
      <c r="H3272" t="str">
        <f t="shared" si="308"/>
        <v xml:space="preserve">MARCUS VINICIUS </v>
      </c>
      <c r="I3272" t="str">
        <f t="shared" si="309"/>
        <v>INDUSTRIA E COMERCIO DE CHURRASQUEIRAS BOM JESUS L</v>
      </c>
      <c r="J3272">
        <f t="shared" si="310"/>
        <v>0</v>
      </c>
      <c r="K3272">
        <f t="shared" si="311"/>
        <v>1</v>
      </c>
    </row>
    <row r="3273" spans="1:11" x14ac:dyDescent="0.25">
      <c r="A3273" t="s">
        <v>359</v>
      </c>
      <c r="B3273" t="s">
        <v>105</v>
      </c>
      <c r="C3273" t="s">
        <v>50</v>
      </c>
      <c r="D3273" s="6">
        <v>45856</v>
      </c>
      <c r="E3273" t="str">
        <f>VLOOKUP(B3273,'PROCV GERENTES BD'!A:B,2,0)</f>
        <v>PROSPECTAR</v>
      </c>
      <c r="F3273" s="4" t="str">
        <f t="shared" si="306"/>
        <v>2025-07</v>
      </c>
      <c r="G3273" s="18">
        <f t="shared" si="307"/>
        <v>29</v>
      </c>
      <c r="H3273" t="str">
        <f t="shared" si="308"/>
        <v>PROSPECTAR</v>
      </c>
      <c r="I3273" t="str">
        <f t="shared" si="309"/>
        <v>ALEXANDRE ROSA VICENTE E SERVICOS LTDA ME</v>
      </c>
      <c r="J3273">
        <f t="shared" si="310"/>
        <v>0</v>
      </c>
      <c r="K3273">
        <f t="shared" si="311"/>
        <v>1</v>
      </c>
    </row>
    <row r="3274" spans="1:11" x14ac:dyDescent="0.25">
      <c r="A3274" t="s">
        <v>352</v>
      </c>
      <c r="B3274" t="s">
        <v>96</v>
      </c>
      <c r="C3274" t="s">
        <v>66</v>
      </c>
      <c r="D3274" s="6">
        <v>45856</v>
      </c>
      <c r="E3274" t="str">
        <f>VLOOKUP(B3274,'PROCV GERENTES BD'!A:B,2,0)</f>
        <v>POENATELA</v>
      </c>
      <c r="F3274" s="4" t="str">
        <f t="shared" si="306"/>
        <v>2025-07</v>
      </c>
      <c r="G3274" s="18">
        <f t="shared" si="307"/>
        <v>29</v>
      </c>
      <c r="H3274" t="str">
        <f t="shared" si="308"/>
        <v>POENATELA</v>
      </c>
      <c r="I3274" t="str">
        <f t="shared" si="309"/>
        <v>SUPER HARD TECNOLOGIA EM TRATAMENTO DE SUPERFICIES</v>
      </c>
      <c r="J3274">
        <f t="shared" si="310"/>
        <v>1</v>
      </c>
      <c r="K3274">
        <f t="shared" si="311"/>
        <v>0</v>
      </c>
    </row>
    <row r="3275" spans="1:11" x14ac:dyDescent="0.25">
      <c r="A3275" t="s">
        <v>319</v>
      </c>
      <c r="B3275" t="s">
        <v>80</v>
      </c>
      <c r="C3275" t="s">
        <v>50</v>
      </c>
      <c r="D3275" s="6">
        <v>45856</v>
      </c>
      <c r="E3275" t="str">
        <f>VLOOKUP(B3275,'PROCV GERENTES BD'!A:B,2,0)</f>
        <v>CELIO PIMENTA</v>
      </c>
      <c r="F3275" s="4" t="str">
        <f t="shared" si="306"/>
        <v>2025-07</v>
      </c>
      <c r="G3275" s="18">
        <f t="shared" si="307"/>
        <v>29</v>
      </c>
      <c r="H3275" t="str">
        <f t="shared" si="308"/>
        <v>CELIO PIMENTA</v>
      </c>
      <c r="I3275" t="str">
        <f t="shared" si="309"/>
        <v>IMPORTEXTIL COMERCIO DE TECIDOS LTDA</v>
      </c>
      <c r="J3275">
        <f t="shared" si="310"/>
        <v>0</v>
      </c>
      <c r="K3275">
        <f t="shared" si="311"/>
        <v>1</v>
      </c>
    </row>
    <row r="3276" spans="1:11" x14ac:dyDescent="0.25">
      <c r="A3276" t="s">
        <v>358</v>
      </c>
      <c r="B3276" t="s">
        <v>104</v>
      </c>
      <c r="C3276" t="s">
        <v>53</v>
      </c>
      <c r="D3276" s="6">
        <v>45856</v>
      </c>
      <c r="E3276" t="str">
        <f>VLOOKUP(B3276,'PROCV GERENTES BD'!A:B,2,0)</f>
        <v>DIOGO AZEVEDO</v>
      </c>
      <c r="F3276" s="4" t="str">
        <f t="shared" si="306"/>
        <v>2025-07</v>
      </c>
      <c r="G3276" s="18">
        <f t="shared" si="307"/>
        <v>29</v>
      </c>
      <c r="H3276" t="str">
        <f t="shared" si="308"/>
        <v>DIOGO AZEVEDO</v>
      </c>
      <c r="I3276" t="str">
        <f t="shared" si="309"/>
        <v>INDUSTRIA E CERVEJARIA ARTESANAL DE MINAS GERAIS L</v>
      </c>
      <c r="J3276">
        <f t="shared" si="310"/>
        <v>1</v>
      </c>
      <c r="K3276">
        <f t="shared" si="311"/>
        <v>1</v>
      </c>
    </row>
    <row r="3277" spans="1:11" x14ac:dyDescent="0.25">
      <c r="A3277" t="s">
        <v>506</v>
      </c>
      <c r="B3277" t="s">
        <v>268</v>
      </c>
      <c r="C3277" t="s">
        <v>50</v>
      </c>
      <c r="D3277" s="6">
        <v>45856</v>
      </c>
      <c r="E3277" t="str">
        <f>VLOOKUP(B3277,'PROCV GERENTES BD'!A:B,2,0)</f>
        <v>CAIO</v>
      </c>
      <c r="F3277" s="4" t="str">
        <f t="shared" si="306"/>
        <v>2025-07</v>
      </c>
      <c r="G3277" s="18">
        <f t="shared" si="307"/>
        <v>29</v>
      </c>
      <c r="H3277" t="str">
        <f t="shared" si="308"/>
        <v>CAIO</v>
      </c>
      <c r="I3277" t="str">
        <f t="shared" si="309"/>
        <v>BEECORP BEM ESTAR CORPORATIVO LTDA ME</v>
      </c>
      <c r="J3277">
        <f t="shared" si="310"/>
        <v>0</v>
      </c>
      <c r="K3277">
        <f t="shared" si="311"/>
        <v>1</v>
      </c>
    </row>
    <row r="3278" spans="1:11" x14ac:dyDescent="0.25">
      <c r="A3278" t="s">
        <v>51</v>
      </c>
      <c r="B3278" t="s">
        <v>52</v>
      </c>
      <c r="C3278" t="s">
        <v>50</v>
      </c>
      <c r="D3278" s="6">
        <v>45856</v>
      </c>
      <c r="E3278" t="str">
        <f>VLOOKUP(B3278,'PROCV GERENTES BD'!A:B,2,0)</f>
        <v>RAFAEL PARISE</v>
      </c>
      <c r="F3278" s="4" t="str">
        <f t="shared" si="306"/>
        <v>2025-07</v>
      </c>
      <c r="G3278" s="18">
        <f t="shared" si="307"/>
        <v>29</v>
      </c>
      <c r="H3278" t="str">
        <f t="shared" si="308"/>
        <v>RAFAEL PARISE</v>
      </c>
      <c r="I3278" t="str">
        <f t="shared" si="309"/>
        <v>TDR TRANSPORTES LOGISTICA LTDA</v>
      </c>
      <c r="J3278">
        <f t="shared" si="310"/>
        <v>0</v>
      </c>
      <c r="K3278">
        <f t="shared" si="311"/>
        <v>1</v>
      </c>
    </row>
    <row r="3279" spans="1:11" x14ac:dyDescent="0.25">
      <c r="A3279" t="s">
        <v>324</v>
      </c>
      <c r="B3279" t="s">
        <v>119</v>
      </c>
      <c r="C3279" t="s">
        <v>66</v>
      </c>
      <c r="D3279" s="6">
        <v>45856</v>
      </c>
      <c r="E3279" t="str">
        <f>VLOOKUP(B3279,'PROCV GERENTES BD'!A:B,2,0)</f>
        <v>PROSPECTAR</v>
      </c>
      <c r="F3279" s="4" t="str">
        <f t="shared" si="306"/>
        <v>2025-07</v>
      </c>
      <c r="G3279" s="18">
        <f t="shared" si="307"/>
        <v>29</v>
      </c>
      <c r="H3279" t="str">
        <f t="shared" si="308"/>
        <v>PROSPECTAR</v>
      </c>
      <c r="I3279" t="str">
        <f t="shared" si="309"/>
        <v>TRANSHENRY TRANSPORTES LTDA</v>
      </c>
      <c r="J3279">
        <f t="shared" si="310"/>
        <v>1</v>
      </c>
      <c r="K3279">
        <f t="shared" si="311"/>
        <v>0</v>
      </c>
    </row>
    <row r="3280" spans="1:11" x14ac:dyDescent="0.25">
      <c r="A3280" t="s">
        <v>305</v>
      </c>
      <c r="B3280" t="s">
        <v>141</v>
      </c>
      <c r="C3280" t="s">
        <v>50</v>
      </c>
      <c r="D3280" s="6">
        <v>45856</v>
      </c>
      <c r="E3280" t="str">
        <f>VLOOKUP(B3280,'PROCV GERENTES BD'!A:B,2,0)</f>
        <v>NOELI SALETE</v>
      </c>
      <c r="F3280" s="4" t="str">
        <f t="shared" si="306"/>
        <v>2025-07</v>
      </c>
      <c r="G3280" s="18">
        <f t="shared" si="307"/>
        <v>29</v>
      </c>
      <c r="H3280" t="str">
        <f t="shared" si="308"/>
        <v>NOELI SALETE</v>
      </c>
      <c r="I3280" t="str">
        <f t="shared" si="309"/>
        <v>JMS EMBALAGENS INDUSTRIAIS LTDA</v>
      </c>
      <c r="J3280">
        <f t="shared" si="310"/>
        <v>0</v>
      </c>
      <c r="K3280">
        <f t="shared" si="311"/>
        <v>1</v>
      </c>
    </row>
    <row r="3281" spans="1:11" x14ac:dyDescent="0.25">
      <c r="A3281" t="s">
        <v>523</v>
      </c>
      <c r="B3281" t="s">
        <v>288</v>
      </c>
      <c r="C3281" t="s">
        <v>50</v>
      </c>
      <c r="D3281" s="6">
        <v>45856</v>
      </c>
      <c r="E3281" t="str">
        <f>VLOOKUP(B3281,'PROCV GERENTES BD'!A:B,2,0)</f>
        <v>ADMINISTRAÇÃO</v>
      </c>
      <c r="F3281" s="4" t="str">
        <f t="shared" si="306"/>
        <v>2025-07</v>
      </c>
      <c r="G3281" s="18">
        <f t="shared" si="307"/>
        <v>29</v>
      </c>
      <c r="H3281" t="str">
        <f t="shared" si="308"/>
        <v>ADMINISTRAÇÃO</v>
      </c>
      <c r="I3281" t="str">
        <f t="shared" si="309"/>
        <v>REFRACONT BRASIL LTDA</v>
      </c>
      <c r="J3281">
        <f t="shared" si="310"/>
        <v>0</v>
      </c>
      <c r="K3281">
        <f t="shared" si="311"/>
        <v>1</v>
      </c>
    </row>
    <row r="3282" spans="1:11" x14ac:dyDescent="0.25">
      <c r="A3282" t="s">
        <v>623</v>
      </c>
      <c r="B3282" t="s">
        <v>624</v>
      </c>
      <c r="C3282" t="s">
        <v>66</v>
      </c>
      <c r="D3282" s="6">
        <v>45856</v>
      </c>
      <c r="E3282" t="str">
        <f>VLOOKUP(B3282,'PROCV GERENTES BD'!A:B,2,0)</f>
        <v>ALISSON DE SOUZA LIMA</v>
      </c>
      <c r="F3282" s="4" t="str">
        <f t="shared" si="306"/>
        <v>2025-07</v>
      </c>
      <c r="G3282" s="18">
        <f t="shared" si="307"/>
        <v>29</v>
      </c>
      <c r="H3282" t="str">
        <f t="shared" si="308"/>
        <v>ALISSON DE SOUZA LIMA</v>
      </c>
      <c r="I3282" t="str">
        <f t="shared" si="309"/>
        <v>A2 VIDROS INDUSTRIA E COMERCIO LTDA</v>
      </c>
      <c r="J3282">
        <f t="shared" si="310"/>
        <v>1</v>
      </c>
      <c r="K3282">
        <f t="shared" si="311"/>
        <v>0</v>
      </c>
    </row>
    <row r="3283" spans="1:11" x14ac:dyDescent="0.25">
      <c r="A3283" t="s">
        <v>326</v>
      </c>
      <c r="B3283" t="s">
        <v>122</v>
      </c>
      <c r="C3283" t="s">
        <v>53</v>
      </c>
      <c r="D3283" s="6">
        <v>45856</v>
      </c>
      <c r="E3283" t="str">
        <f>VLOOKUP(B3283,'PROCV GERENTES BD'!A:B,2,0)</f>
        <v xml:space="preserve">ROGERIO </v>
      </c>
      <c r="F3283" s="4" t="str">
        <f t="shared" si="306"/>
        <v>2025-07</v>
      </c>
      <c r="G3283" s="18">
        <f t="shared" si="307"/>
        <v>29</v>
      </c>
      <c r="H3283" t="str">
        <f t="shared" si="308"/>
        <v xml:space="preserve">ROGERIO </v>
      </c>
      <c r="I3283" t="str">
        <f t="shared" si="309"/>
        <v>BIBE PRODUTOS INFANTIS LTDA</v>
      </c>
      <c r="J3283">
        <f t="shared" si="310"/>
        <v>1</v>
      </c>
      <c r="K3283">
        <f t="shared" si="311"/>
        <v>1</v>
      </c>
    </row>
    <row r="3284" spans="1:11" x14ac:dyDescent="0.25">
      <c r="A3284" t="s">
        <v>375</v>
      </c>
      <c r="B3284" t="s">
        <v>120</v>
      </c>
      <c r="C3284" t="s">
        <v>50</v>
      </c>
      <c r="D3284" s="6">
        <v>45857</v>
      </c>
      <c r="E3284" t="str">
        <f>VLOOKUP(B3284,'PROCV GERENTES BD'!A:B,2,0)</f>
        <v>ADMINISTRAÇÃO</v>
      </c>
      <c r="F3284" s="4" t="str">
        <f t="shared" si="306"/>
        <v>2025-07</v>
      </c>
      <c r="G3284" s="18">
        <f t="shared" si="307"/>
        <v>29</v>
      </c>
      <c r="H3284" t="str">
        <f t="shared" si="308"/>
        <v>ADMINISTRAÇÃO</v>
      </c>
      <c r="I3284" t="str">
        <f t="shared" si="309"/>
        <v>FARINELLI NUTRIMENTOS LTDA</v>
      </c>
      <c r="J3284">
        <f t="shared" si="310"/>
        <v>0</v>
      </c>
      <c r="K3284">
        <f t="shared" si="311"/>
        <v>1</v>
      </c>
    </row>
    <row r="3285" spans="1:11" x14ac:dyDescent="0.25">
      <c r="A3285" t="s">
        <v>460</v>
      </c>
      <c r="B3285" t="s">
        <v>217</v>
      </c>
      <c r="C3285" t="s">
        <v>50</v>
      </c>
      <c r="D3285" s="6">
        <v>45857</v>
      </c>
      <c r="E3285" t="str">
        <f>VLOOKUP(B3285,'PROCV GERENTES BD'!A:B,2,0)</f>
        <v>CELIO PIMENTA</v>
      </c>
      <c r="F3285" s="4" t="str">
        <f t="shared" si="306"/>
        <v>2025-07</v>
      </c>
      <c r="G3285" s="18">
        <f t="shared" si="307"/>
        <v>29</v>
      </c>
      <c r="H3285" t="str">
        <f t="shared" si="308"/>
        <v>CELIO PIMENTA</v>
      </c>
      <c r="I3285" t="str">
        <f t="shared" si="309"/>
        <v>MINAS CLEAN DISTRIBUIDORA DE PRODUTOS PARA LIMPEZA</v>
      </c>
      <c r="J3285">
        <f t="shared" si="310"/>
        <v>0</v>
      </c>
      <c r="K3285">
        <f t="shared" si="311"/>
        <v>1</v>
      </c>
    </row>
    <row r="3286" spans="1:11" x14ac:dyDescent="0.25">
      <c r="A3286" t="s">
        <v>457</v>
      </c>
      <c r="B3286" t="s">
        <v>214</v>
      </c>
      <c r="C3286" t="s">
        <v>66</v>
      </c>
      <c r="D3286" s="6">
        <v>45857</v>
      </c>
      <c r="E3286" t="str">
        <f>VLOOKUP(B3286,'PROCV GERENTES BD'!A:B,2,0)</f>
        <v xml:space="preserve">ROGERIO </v>
      </c>
      <c r="F3286" s="4" t="str">
        <f t="shared" si="306"/>
        <v>2025-07</v>
      </c>
      <c r="G3286" s="18">
        <f t="shared" si="307"/>
        <v>29</v>
      </c>
      <c r="H3286" t="str">
        <f t="shared" si="308"/>
        <v xml:space="preserve">ROGERIO </v>
      </c>
      <c r="I3286" t="str">
        <f t="shared" si="309"/>
        <v>METAL STAMP INDUSTRIA E COMERCIO LTDA</v>
      </c>
      <c r="J3286">
        <f t="shared" si="310"/>
        <v>1</v>
      </c>
      <c r="K3286">
        <f t="shared" si="311"/>
        <v>0</v>
      </c>
    </row>
    <row r="3287" spans="1:11" x14ac:dyDescent="0.25">
      <c r="A3287" t="s">
        <v>622</v>
      </c>
      <c r="B3287" t="s">
        <v>540</v>
      </c>
      <c r="C3287" t="s">
        <v>50</v>
      </c>
      <c r="D3287" s="6">
        <v>45857</v>
      </c>
      <c r="E3287" t="str">
        <f>VLOOKUP(B3287,'PROCV GERENTES BD'!A:B,2,0)</f>
        <v>ADMINISTRAÇÃO</v>
      </c>
      <c r="F3287" s="4" t="str">
        <f t="shared" si="306"/>
        <v>2025-07</v>
      </c>
      <c r="G3287" s="18">
        <f t="shared" si="307"/>
        <v>29</v>
      </c>
      <c r="H3287" t="str">
        <f t="shared" si="308"/>
        <v>ADMINISTRAÇÃO</v>
      </c>
      <c r="I3287" t="str">
        <f t="shared" si="309"/>
        <v>HBEAUTY COSMETICOS LTDA ME</v>
      </c>
      <c r="J3287">
        <f t="shared" si="310"/>
        <v>0</v>
      </c>
      <c r="K3287">
        <f t="shared" si="311"/>
        <v>1</v>
      </c>
    </row>
    <row r="3288" spans="1:11" x14ac:dyDescent="0.25">
      <c r="A3288" t="s">
        <v>478</v>
      </c>
      <c r="B3288" t="s">
        <v>235</v>
      </c>
      <c r="C3288" t="s">
        <v>50</v>
      </c>
      <c r="D3288" s="6">
        <v>45857</v>
      </c>
      <c r="E3288" t="str">
        <f>VLOOKUP(B3288,'PROCV GERENTES BD'!A:B,2,0)</f>
        <v>PROSPECTAR</v>
      </c>
      <c r="F3288" s="4" t="str">
        <f t="shared" si="306"/>
        <v>2025-07</v>
      </c>
      <c r="G3288" s="18">
        <f t="shared" si="307"/>
        <v>29</v>
      </c>
      <c r="H3288" t="str">
        <f t="shared" si="308"/>
        <v>PROSPECTAR</v>
      </c>
      <c r="I3288" t="str">
        <f t="shared" si="309"/>
        <v>NUTRIENS FERTIL LTDA ME</v>
      </c>
      <c r="J3288">
        <f t="shared" si="310"/>
        <v>0</v>
      </c>
      <c r="K3288">
        <f t="shared" si="311"/>
        <v>1</v>
      </c>
    </row>
    <row r="3289" spans="1:11" x14ac:dyDescent="0.25">
      <c r="A3289" t="s">
        <v>599</v>
      </c>
      <c r="B3289" t="s">
        <v>541</v>
      </c>
      <c r="C3289" t="s">
        <v>50</v>
      </c>
      <c r="D3289" s="6">
        <v>45857</v>
      </c>
      <c r="E3289" t="str">
        <f>VLOOKUP(B3289,'PROCV GERENTES BD'!A:B,2,0)</f>
        <v xml:space="preserve">MARCUS VINICIUS </v>
      </c>
      <c r="F3289" s="4" t="str">
        <f t="shared" si="306"/>
        <v>2025-07</v>
      </c>
      <c r="G3289" s="18">
        <f t="shared" si="307"/>
        <v>29</v>
      </c>
      <c r="H3289" t="str">
        <f t="shared" si="308"/>
        <v xml:space="preserve">MARCUS VINICIUS </v>
      </c>
      <c r="I3289" t="str">
        <f t="shared" si="309"/>
        <v>JSA INDUSTRIA DE COSMETICOS LTDA EPP</v>
      </c>
      <c r="J3289">
        <f t="shared" si="310"/>
        <v>0</v>
      </c>
      <c r="K3289">
        <f t="shared" si="311"/>
        <v>1</v>
      </c>
    </row>
    <row r="3290" spans="1:11" x14ac:dyDescent="0.25">
      <c r="A3290" t="s">
        <v>427</v>
      </c>
      <c r="B3290" t="s">
        <v>178</v>
      </c>
      <c r="C3290" t="s">
        <v>50</v>
      </c>
      <c r="D3290" s="6">
        <v>45857</v>
      </c>
      <c r="E3290" t="str">
        <f>VLOOKUP(B3290,'PROCV GERENTES BD'!A:B,2,0)</f>
        <v>ADMINISTRAÇÃO</v>
      </c>
      <c r="F3290" s="4" t="str">
        <f t="shared" si="306"/>
        <v>2025-07</v>
      </c>
      <c r="G3290" s="18">
        <f t="shared" si="307"/>
        <v>29</v>
      </c>
      <c r="H3290" t="str">
        <f t="shared" si="308"/>
        <v>ADMINISTRAÇÃO</v>
      </c>
      <c r="I3290" t="str">
        <f t="shared" si="309"/>
        <v>LIZZENA COSMETICOS LTDA EPP</v>
      </c>
      <c r="J3290">
        <f t="shared" si="310"/>
        <v>0</v>
      </c>
      <c r="K3290">
        <f t="shared" si="311"/>
        <v>1</v>
      </c>
    </row>
    <row r="3291" spans="1:11" x14ac:dyDescent="0.25">
      <c r="A3291" t="s">
        <v>64</v>
      </c>
      <c r="B3291" t="s">
        <v>65</v>
      </c>
      <c r="C3291" t="s">
        <v>50</v>
      </c>
      <c r="D3291" s="6">
        <v>45857</v>
      </c>
      <c r="E3291" t="str">
        <f>VLOOKUP(B3291,'PROCV GERENTES BD'!A:B,2,0)</f>
        <v>ADMINISTRAÇÃO</v>
      </c>
      <c r="F3291" s="4" t="str">
        <f t="shared" si="306"/>
        <v>2025-07</v>
      </c>
      <c r="G3291" s="18">
        <f t="shared" si="307"/>
        <v>29</v>
      </c>
      <c r="H3291" t="str">
        <f t="shared" si="308"/>
        <v>ADMINISTRAÇÃO</v>
      </c>
      <c r="I3291" t="str">
        <f t="shared" si="309"/>
        <v>SOCIAL S/A</v>
      </c>
      <c r="J3291">
        <f t="shared" si="310"/>
        <v>0</v>
      </c>
      <c r="K3291">
        <f t="shared" si="311"/>
        <v>1</v>
      </c>
    </row>
    <row r="3292" spans="1:11" x14ac:dyDescent="0.25">
      <c r="A3292" t="s">
        <v>317</v>
      </c>
      <c r="B3292" t="s">
        <v>280</v>
      </c>
      <c r="C3292" t="s">
        <v>50</v>
      </c>
      <c r="D3292" s="6">
        <v>45857</v>
      </c>
      <c r="E3292" t="str">
        <f>VLOOKUP(B3292,'PROCV GERENTES BD'!A:B,2,0)</f>
        <v>PROSPECTAR</v>
      </c>
      <c r="F3292" s="4" t="str">
        <f t="shared" si="306"/>
        <v>2025-07</v>
      </c>
      <c r="G3292" s="18">
        <f t="shared" si="307"/>
        <v>29</v>
      </c>
      <c r="H3292" t="str">
        <f t="shared" si="308"/>
        <v>PROSPECTAR</v>
      </c>
      <c r="I3292" t="str">
        <f t="shared" si="309"/>
        <v>STA TECHCANA LTDA</v>
      </c>
      <c r="J3292">
        <f t="shared" si="310"/>
        <v>0</v>
      </c>
      <c r="K3292">
        <f t="shared" si="311"/>
        <v>1</v>
      </c>
    </row>
    <row r="3293" spans="1:11" x14ac:dyDescent="0.25">
      <c r="A3293" t="s">
        <v>631</v>
      </c>
      <c r="B3293" t="s">
        <v>561</v>
      </c>
      <c r="C3293" t="s">
        <v>50</v>
      </c>
      <c r="D3293" s="6">
        <v>45857</v>
      </c>
      <c r="E3293" t="str">
        <f>VLOOKUP(B3293,'PROCV GERENTES BD'!A:B,2,0)</f>
        <v>VALERIA</v>
      </c>
      <c r="F3293" s="4" t="str">
        <f t="shared" si="306"/>
        <v>2025-07</v>
      </c>
      <c r="G3293" s="18">
        <f t="shared" si="307"/>
        <v>29</v>
      </c>
      <c r="H3293" t="str">
        <f t="shared" si="308"/>
        <v>VALERIA</v>
      </c>
      <c r="I3293" t="str">
        <f t="shared" si="309"/>
        <v>TRANSPORTADORA PACHECO LTDA EPP</v>
      </c>
      <c r="J3293">
        <f t="shared" si="310"/>
        <v>0</v>
      </c>
      <c r="K3293">
        <f t="shared" si="311"/>
        <v>1</v>
      </c>
    </row>
    <row r="3294" spans="1:11" x14ac:dyDescent="0.25">
      <c r="A3294" t="s">
        <v>318</v>
      </c>
      <c r="B3294" t="s">
        <v>203</v>
      </c>
      <c r="C3294" t="s">
        <v>50</v>
      </c>
      <c r="D3294" s="6">
        <v>45857</v>
      </c>
      <c r="E3294" t="str">
        <f>VLOOKUP(B3294,'PROCV GERENTES BD'!A:B,2,0)</f>
        <v>JOSE ROBERTO</v>
      </c>
      <c r="F3294" s="4" t="str">
        <f t="shared" si="306"/>
        <v>2025-07</v>
      </c>
      <c r="G3294" s="18">
        <f t="shared" si="307"/>
        <v>29</v>
      </c>
      <c r="H3294" t="str">
        <f t="shared" si="308"/>
        <v>JOSE ROBERTO</v>
      </c>
      <c r="I3294" t="str">
        <f t="shared" si="309"/>
        <v>FUNDACAO DE ENSINO E PESQUISA DO SUL DE MINAS FEPE</v>
      </c>
      <c r="J3294">
        <f t="shared" si="310"/>
        <v>0</v>
      </c>
      <c r="K3294">
        <f t="shared" si="311"/>
        <v>1</v>
      </c>
    </row>
    <row r="3295" spans="1:11" x14ac:dyDescent="0.25">
      <c r="A3295" t="s">
        <v>58</v>
      </c>
      <c r="B3295" t="s">
        <v>59</v>
      </c>
      <c r="C3295" t="s">
        <v>50</v>
      </c>
      <c r="D3295" s="6">
        <v>45857</v>
      </c>
      <c r="E3295" t="str">
        <f>VLOOKUP(B3295,'PROCV GERENTES BD'!A:B,2,0)</f>
        <v>ADMINISTRAÇÃO</v>
      </c>
      <c r="F3295" s="4" t="str">
        <f t="shared" si="306"/>
        <v>2025-07</v>
      </c>
      <c r="G3295" s="18">
        <f t="shared" si="307"/>
        <v>29</v>
      </c>
      <c r="H3295" t="str">
        <f t="shared" si="308"/>
        <v>ADMINISTRAÇÃO</v>
      </c>
      <c r="I3295" t="str">
        <f t="shared" si="309"/>
        <v>BIOTECH LOGISTICA LTDA</v>
      </c>
      <c r="J3295">
        <f t="shared" si="310"/>
        <v>0</v>
      </c>
      <c r="K3295">
        <f t="shared" si="311"/>
        <v>1</v>
      </c>
    </row>
    <row r="3296" spans="1:11" x14ac:dyDescent="0.25">
      <c r="A3296" t="s">
        <v>533</v>
      </c>
      <c r="B3296" t="s">
        <v>301</v>
      </c>
      <c r="C3296" t="s">
        <v>50</v>
      </c>
      <c r="D3296" s="6">
        <v>45857</v>
      </c>
      <c r="E3296" t="str">
        <f>VLOOKUP(B3296,'PROCV GERENTES BD'!A:B,2,0)</f>
        <v xml:space="preserve">MARCUS VINICIUS </v>
      </c>
      <c r="F3296" s="4" t="str">
        <f t="shared" si="306"/>
        <v>2025-07</v>
      </c>
      <c r="G3296" s="18">
        <f t="shared" si="307"/>
        <v>29</v>
      </c>
      <c r="H3296" t="str">
        <f t="shared" si="308"/>
        <v xml:space="preserve">MARCUS VINICIUS </v>
      </c>
      <c r="I3296" t="str">
        <f t="shared" si="309"/>
        <v>LINDINALDO ANISIO DA SILVA ME</v>
      </c>
      <c r="J3296">
        <f t="shared" si="310"/>
        <v>0</v>
      </c>
      <c r="K3296">
        <f t="shared" si="311"/>
        <v>1</v>
      </c>
    </row>
    <row r="3297" spans="1:11" x14ac:dyDescent="0.25">
      <c r="A3297" t="s">
        <v>506</v>
      </c>
      <c r="B3297" t="s">
        <v>268</v>
      </c>
      <c r="C3297" t="s">
        <v>66</v>
      </c>
      <c r="D3297" s="6">
        <v>45857</v>
      </c>
      <c r="E3297" t="str">
        <f>VLOOKUP(B3297,'PROCV GERENTES BD'!A:B,2,0)</f>
        <v>CAIO</v>
      </c>
      <c r="F3297" s="4" t="str">
        <f t="shared" si="306"/>
        <v>2025-07</v>
      </c>
      <c r="G3297" s="18">
        <f t="shared" si="307"/>
        <v>29</v>
      </c>
      <c r="H3297" t="str">
        <f t="shared" si="308"/>
        <v>CAIO</v>
      </c>
      <c r="I3297" t="str">
        <f t="shared" si="309"/>
        <v>BEECORP BEM ESTAR CORPORATIVO LTDA ME</v>
      </c>
      <c r="J3297">
        <f t="shared" si="310"/>
        <v>1</v>
      </c>
      <c r="K3297">
        <f t="shared" si="311"/>
        <v>0</v>
      </c>
    </row>
    <row r="3298" spans="1:11" x14ac:dyDescent="0.25">
      <c r="A3298" t="s">
        <v>387</v>
      </c>
      <c r="B3298" t="s">
        <v>134</v>
      </c>
      <c r="C3298" t="s">
        <v>50</v>
      </c>
      <c r="D3298" s="6">
        <v>45857</v>
      </c>
      <c r="E3298" t="str">
        <f>VLOOKUP(B3298,'PROCV GERENTES BD'!A:B,2,0)</f>
        <v>RAFAEL PARISE</v>
      </c>
      <c r="F3298" s="4" t="str">
        <f t="shared" si="306"/>
        <v>2025-07</v>
      </c>
      <c r="G3298" s="18">
        <f t="shared" si="307"/>
        <v>29</v>
      </c>
      <c r="H3298" t="str">
        <f t="shared" si="308"/>
        <v>RAFAEL PARISE</v>
      </c>
      <c r="I3298" t="str">
        <f t="shared" si="309"/>
        <v>MAIS DISTRIBUIDORA LTDA</v>
      </c>
      <c r="J3298">
        <f t="shared" si="310"/>
        <v>0</v>
      </c>
      <c r="K3298">
        <f t="shared" si="311"/>
        <v>1</v>
      </c>
    </row>
    <row r="3299" spans="1:11" x14ac:dyDescent="0.25">
      <c r="A3299" t="s">
        <v>385</v>
      </c>
      <c r="B3299" t="s">
        <v>132</v>
      </c>
      <c r="C3299" t="s">
        <v>50</v>
      </c>
      <c r="D3299" s="6">
        <v>45857</v>
      </c>
      <c r="E3299" t="str">
        <f>VLOOKUP(B3299,'PROCV GERENTES BD'!A:B,2,0)</f>
        <v xml:space="preserve">MARCUS VINICIUS </v>
      </c>
      <c r="F3299" s="4" t="str">
        <f t="shared" si="306"/>
        <v>2025-07</v>
      </c>
      <c r="G3299" s="18">
        <f t="shared" si="307"/>
        <v>29</v>
      </c>
      <c r="H3299" t="str">
        <f t="shared" si="308"/>
        <v xml:space="preserve">MARCUS VINICIUS </v>
      </c>
      <c r="I3299" t="str">
        <f t="shared" si="309"/>
        <v>RODOANEL REFORMADORA DE IMPLEMENTOS RODOVIARIOS LT</v>
      </c>
      <c r="J3299">
        <f t="shared" si="310"/>
        <v>0</v>
      </c>
      <c r="K3299">
        <f t="shared" si="311"/>
        <v>1</v>
      </c>
    </row>
    <row r="3300" spans="1:11" x14ac:dyDescent="0.25">
      <c r="A3300" t="s">
        <v>51</v>
      </c>
      <c r="B3300" t="s">
        <v>52</v>
      </c>
      <c r="C3300" t="s">
        <v>50</v>
      </c>
      <c r="D3300" s="6">
        <v>45857</v>
      </c>
      <c r="E3300" t="str">
        <f>VLOOKUP(B3300,'PROCV GERENTES BD'!A:B,2,0)</f>
        <v>RAFAEL PARISE</v>
      </c>
      <c r="F3300" s="4" t="str">
        <f t="shared" si="306"/>
        <v>2025-07</v>
      </c>
      <c r="G3300" s="18">
        <f t="shared" si="307"/>
        <v>29</v>
      </c>
      <c r="H3300" t="str">
        <f t="shared" si="308"/>
        <v>RAFAEL PARISE</v>
      </c>
      <c r="I3300" t="str">
        <f t="shared" si="309"/>
        <v>TDR TRANSPORTES LOGISTICA LTDA</v>
      </c>
      <c r="J3300">
        <f t="shared" si="310"/>
        <v>0</v>
      </c>
      <c r="K3300">
        <f t="shared" si="311"/>
        <v>1</v>
      </c>
    </row>
    <row r="3301" spans="1:11" x14ac:dyDescent="0.25">
      <c r="A3301" t="s">
        <v>524</v>
      </c>
      <c r="B3301" t="s">
        <v>289</v>
      </c>
      <c r="C3301" t="s">
        <v>50</v>
      </c>
      <c r="D3301" s="6">
        <v>45857</v>
      </c>
      <c r="E3301" t="str">
        <f>VLOOKUP(B3301,'PROCV GERENTES BD'!A:B,2,0)</f>
        <v>DALVA</v>
      </c>
      <c r="F3301" s="4" t="str">
        <f t="shared" si="306"/>
        <v>2025-07</v>
      </c>
      <c r="G3301" s="18">
        <f t="shared" si="307"/>
        <v>29</v>
      </c>
      <c r="H3301" t="str">
        <f t="shared" si="308"/>
        <v>DALVA</v>
      </c>
      <c r="I3301" t="str">
        <f t="shared" si="309"/>
        <v>FRAITECH INTELIGENCIA EM AUTOMACAO LTDA</v>
      </c>
      <c r="J3301">
        <f t="shared" si="310"/>
        <v>0</v>
      </c>
      <c r="K3301">
        <f t="shared" si="311"/>
        <v>1</v>
      </c>
    </row>
    <row r="3302" spans="1:11" x14ac:dyDescent="0.25">
      <c r="A3302" t="s">
        <v>305</v>
      </c>
      <c r="B3302" t="s">
        <v>141</v>
      </c>
      <c r="C3302" t="s">
        <v>66</v>
      </c>
      <c r="D3302" s="6">
        <v>45857</v>
      </c>
      <c r="E3302" t="str">
        <f>VLOOKUP(B3302,'PROCV GERENTES BD'!A:B,2,0)</f>
        <v>NOELI SALETE</v>
      </c>
      <c r="F3302" s="4" t="str">
        <f t="shared" si="306"/>
        <v>2025-07</v>
      </c>
      <c r="G3302" s="18">
        <f t="shared" si="307"/>
        <v>29</v>
      </c>
      <c r="H3302" t="str">
        <f t="shared" si="308"/>
        <v>NOELI SALETE</v>
      </c>
      <c r="I3302" t="str">
        <f t="shared" si="309"/>
        <v>JMS EMBALAGENS INDUSTRIAIS LTDA</v>
      </c>
      <c r="J3302">
        <f t="shared" si="310"/>
        <v>1</v>
      </c>
      <c r="K3302">
        <f t="shared" si="311"/>
        <v>0</v>
      </c>
    </row>
    <row r="3303" spans="1:11" x14ac:dyDescent="0.25">
      <c r="A3303" t="s">
        <v>523</v>
      </c>
      <c r="B3303" t="s">
        <v>288</v>
      </c>
      <c r="C3303" t="s">
        <v>50</v>
      </c>
      <c r="D3303" s="6">
        <v>45857</v>
      </c>
      <c r="E3303" t="str">
        <f>VLOOKUP(B3303,'PROCV GERENTES BD'!A:B,2,0)</f>
        <v>ADMINISTRAÇÃO</v>
      </c>
      <c r="F3303" s="4" t="str">
        <f t="shared" si="306"/>
        <v>2025-07</v>
      </c>
      <c r="G3303" s="18">
        <f t="shared" si="307"/>
        <v>29</v>
      </c>
      <c r="H3303" t="str">
        <f t="shared" si="308"/>
        <v>ADMINISTRAÇÃO</v>
      </c>
      <c r="I3303" t="str">
        <f t="shared" si="309"/>
        <v>REFRACONT BRASIL LTDA</v>
      </c>
      <c r="J3303">
        <f t="shared" si="310"/>
        <v>0</v>
      </c>
      <c r="K3303">
        <f t="shared" si="311"/>
        <v>1</v>
      </c>
    </row>
    <row r="3304" spans="1:11" x14ac:dyDescent="0.25">
      <c r="A3304" t="s">
        <v>311</v>
      </c>
      <c r="B3304" t="s">
        <v>81</v>
      </c>
      <c r="C3304" t="s">
        <v>66</v>
      </c>
      <c r="D3304" s="6">
        <v>45857</v>
      </c>
      <c r="E3304" t="str">
        <f>VLOOKUP(B3304,'PROCV GERENTES BD'!A:B,2,0)</f>
        <v>CELIO PIMENTA</v>
      </c>
      <c r="F3304" s="4" t="str">
        <f t="shared" si="306"/>
        <v>2025-07</v>
      </c>
      <c r="G3304" s="18">
        <f t="shared" si="307"/>
        <v>29</v>
      </c>
      <c r="H3304" t="str">
        <f t="shared" si="308"/>
        <v>CELIO PIMENTA</v>
      </c>
      <c r="I3304" t="str">
        <f t="shared" si="309"/>
        <v>MBIOLOG DIAGNOSTICOS LTDA</v>
      </c>
      <c r="J3304">
        <f t="shared" si="310"/>
        <v>1</v>
      </c>
      <c r="K3304">
        <f t="shared" si="311"/>
        <v>0</v>
      </c>
    </row>
    <row r="3305" spans="1:11" x14ac:dyDescent="0.25">
      <c r="A3305" t="s">
        <v>529</v>
      </c>
      <c r="B3305" t="s">
        <v>297</v>
      </c>
      <c r="C3305" t="s">
        <v>50</v>
      </c>
      <c r="D3305" s="6">
        <v>45857</v>
      </c>
      <c r="E3305" t="str">
        <f>VLOOKUP(B3305,'PROCV GERENTES BD'!A:B,2,0)</f>
        <v>ANDRE CUNHA</v>
      </c>
      <c r="F3305" s="4" t="str">
        <f t="shared" si="306"/>
        <v>2025-07</v>
      </c>
      <c r="G3305" s="18">
        <f t="shared" si="307"/>
        <v>29</v>
      </c>
      <c r="H3305" t="str">
        <f t="shared" si="308"/>
        <v>ANDRE CUNHA</v>
      </c>
      <c r="I3305" t="str">
        <f t="shared" si="309"/>
        <v>REVPACK TECNOLOGIA E COMERCIO DE COMPONENTES PLAST</v>
      </c>
      <c r="J3305">
        <f t="shared" si="310"/>
        <v>0</v>
      </c>
      <c r="K3305">
        <f t="shared" si="311"/>
        <v>1</v>
      </c>
    </row>
    <row r="3306" spans="1:11" x14ac:dyDescent="0.25">
      <c r="A3306" t="s">
        <v>326</v>
      </c>
      <c r="B3306" t="s">
        <v>122</v>
      </c>
      <c r="C3306" t="s">
        <v>66</v>
      </c>
      <c r="D3306" s="6">
        <v>45857</v>
      </c>
      <c r="E3306" t="str">
        <f>VLOOKUP(B3306,'PROCV GERENTES BD'!A:B,2,0)</f>
        <v xml:space="preserve">ROGERIO </v>
      </c>
      <c r="F3306" s="4" t="str">
        <f t="shared" si="306"/>
        <v>2025-07</v>
      </c>
      <c r="G3306" s="18">
        <f t="shared" si="307"/>
        <v>29</v>
      </c>
      <c r="H3306" t="str">
        <f t="shared" si="308"/>
        <v xml:space="preserve">ROGERIO </v>
      </c>
      <c r="I3306" t="str">
        <f t="shared" si="309"/>
        <v>BIBE PRODUTOS INFANTIS LTDA</v>
      </c>
      <c r="J3306">
        <f t="shared" si="310"/>
        <v>1</v>
      </c>
      <c r="K3306">
        <f t="shared" si="311"/>
        <v>0</v>
      </c>
    </row>
    <row r="3307" spans="1:11" x14ac:dyDescent="0.25">
      <c r="A3307" t="s">
        <v>603</v>
      </c>
      <c r="B3307" t="s">
        <v>587</v>
      </c>
      <c r="C3307" t="s">
        <v>71</v>
      </c>
      <c r="D3307" s="6">
        <v>45857</v>
      </c>
      <c r="E3307" t="str">
        <f>VLOOKUP(B3307,'PROCV GERENTES BD'!A:B,2,0)</f>
        <v>CAIO</v>
      </c>
      <c r="F3307" s="4" t="str">
        <f t="shared" si="306"/>
        <v>2025-07</v>
      </c>
      <c r="G3307" s="18">
        <f t="shared" si="307"/>
        <v>29</v>
      </c>
      <c r="H3307" t="str">
        <f t="shared" si="308"/>
        <v>CAIO</v>
      </c>
      <c r="I3307" t="str">
        <f t="shared" si="309"/>
        <v>CALDAS SEG INDUSTRIA E COMERCIO DE EPI S LTDA</v>
      </c>
      <c r="J3307">
        <f t="shared" si="310"/>
        <v>0</v>
      </c>
      <c r="K3307">
        <f t="shared" si="311"/>
        <v>0</v>
      </c>
    </row>
    <row r="3308" spans="1:11" x14ac:dyDescent="0.25">
      <c r="A3308" t="s">
        <v>529</v>
      </c>
      <c r="B3308" t="s">
        <v>297</v>
      </c>
      <c r="C3308" t="s">
        <v>53</v>
      </c>
      <c r="D3308" s="6">
        <v>45860</v>
      </c>
      <c r="E3308" t="str">
        <f>VLOOKUP(B3308,'PROCV GERENTES BD'!A:B,2,0)</f>
        <v>ANDRE CUNHA</v>
      </c>
      <c r="F3308" s="4" t="str">
        <f t="shared" si="306"/>
        <v>2025-07</v>
      </c>
      <c r="G3308" s="18">
        <f t="shared" si="307"/>
        <v>30</v>
      </c>
      <c r="H3308" t="str">
        <f t="shared" si="308"/>
        <v>ANDRE CUNHA</v>
      </c>
      <c r="I3308" t="str">
        <f t="shared" si="309"/>
        <v>REVPACK TECNOLOGIA E COMERCIO DE COMPONENTES PLAST</v>
      </c>
      <c r="J3308">
        <f t="shared" si="310"/>
        <v>1</v>
      </c>
      <c r="K3308">
        <f t="shared" si="311"/>
        <v>1</v>
      </c>
    </row>
    <row r="3309" spans="1:11" x14ac:dyDescent="0.25">
      <c r="A3309" t="s">
        <v>623</v>
      </c>
      <c r="B3309" t="s">
        <v>624</v>
      </c>
      <c r="C3309" t="s">
        <v>50</v>
      </c>
      <c r="D3309" s="6">
        <v>45860</v>
      </c>
      <c r="E3309" t="str">
        <f>VLOOKUP(B3309,'PROCV GERENTES BD'!A:B,2,0)</f>
        <v>ALISSON DE SOUZA LIMA</v>
      </c>
      <c r="F3309" s="4" t="str">
        <f t="shared" si="306"/>
        <v>2025-07</v>
      </c>
      <c r="G3309" s="18">
        <f t="shared" si="307"/>
        <v>30</v>
      </c>
      <c r="H3309" t="str">
        <f t="shared" si="308"/>
        <v>ALISSON DE SOUZA LIMA</v>
      </c>
      <c r="I3309" t="str">
        <f t="shared" si="309"/>
        <v>A2 VIDROS INDUSTRIA E COMERCIO LTDA</v>
      </c>
      <c r="J3309">
        <f t="shared" si="310"/>
        <v>0</v>
      </c>
      <c r="K3309">
        <f t="shared" si="311"/>
        <v>1</v>
      </c>
    </row>
    <row r="3310" spans="1:11" x14ac:dyDescent="0.25">
      <c r="A3310" t="s">
        <v>445</v>
      </c>
      <c r="B3310" t="s">
        <v>197</v>
      </c>
      <c r="C3310" t="s">
        <v>50</v>
      </c>
      <c r="D3310" s="6">
        <v>45860</v>
      </c>
      <c r="E3310" t="str">
        <f>VLOOKUP(B3310,'PROCV GERENTES BD'!A:B,2,0)</f>
        <v>ADMINISTRAÇÃO</v>
      </c>
      <c r="F3310" s="4" t="str">
        <f t="shared" si="306"/>
        <v>2025-07</v>
      </c>
      <c r="G3310" s="18">
        <f t="shared" si="307"/>
        <v>30</v>
      </c>
      <c r="H3310" t="str">
        <f t="shared" si="308"/>
        <v>ADMINISTRAÇÃO</v>
      </c>
      <c r="I3310" t="str">
        <f t="shared" si="309"/>
        <v>FARBIA CHEMICALS COMERCIO IMPORTACAO E EXPORTACAO</v>
      </c>
      <c r="J3310">
        <f t="shared" si="310"/>
        <v>0</v>
      </c>
      <c r="K3310">
        <f t="shared" si="311"/>
        <v>1</v>
      </c>
    </row>
    <row r="3311" spans="1:11" x14ac:dyDescent="0.25">
      <c r="A3311" t="s">
        <v>69</v>
      </c>
      <c r="B3311" t="s">
        <v>70</v>
      </c>
      <c r="C3311" t="s">
        <v>66</v>
      </c>
      <c r="D3311" s="6">
        <v>45860</v>
      </c>
      <c r="E3311" t="str">
        <f>VLOOKUP(B3311,'PROCV GERENTES BD'!A:B,2,0)</f>
        <v>ALISSON DE SOUZA LIMA</v>
      </c>
      <c r="F3311" s="4" t="str">
        <f t="shared" si="306"/>
        <v>2025-07</v>
      </c>
      <c r="G3311" s="18">
        <f t="shared" si="307"/>
        <v>30</v>
      </c>
      <c r="H3311" t="str">
        <f t="shared" si="308"/>
        <v>ALISSON DE SOUZA LIMA</v>
      </c>
      <c r="I3311" t="str">
        <f t="shared" si="309"/>
        <v>AUTOMOTIV DO BRASIL INDUSTRIAL LTDA</v>
      </c>
      <c r="J3311">
        <f t="shared" si="310"/>
        <v>1</v>
      </c>
      <c r="K3311">
        <f t="shared" si="311"/>
        <v>0</v>
      </c>
    </row>
    <row r="3312" spans="1:11" x14ac:dyDescent="0.25">
      <c r="A3312" t="s">
        <v>64</v>
      </c>
      <c r="B3312" t="s">
        <v>65</v>
      </c>
      <c r="C3312" t="s">
        <v>50</v>
      </c>
      <c r="D3312" s="6">
        <v>45860</v>
      </c>
      <c r="E3312" t="str">
        <f>VLOOKUP(B3312,'PROCV GERENTES BD'!A:B,2,0)</f>
        <v>ADMINISTRAÇÃO</v>
      </c>
      <c r="F3312" s="4" t="str">
        <f t="shared" si="306"/>
        <v>2025-07</v>
      </c>
      <c r="G3312" s="18">
        <f t="shared" si="307"/>
        <v>30</v>
      </c>
      <c r="H3312" t="str">
        <f t="shared" si="308"/>
        <v>ADMINISTRAÇÃO</v>
      </c>
      <c r="I3312" t="str">
        <f t="shared" si="309"/>
        <v>SOCIAL S/A</v>
      </c>
      <c r="J3312">
        <f t="shared" si="310"/>
        <v>0</v>
      </c>
      <c r="K3312">
        <f t="shared" si="311"/>
        <v>1</v>
      </c>
    </row>
    <row r="3313" spans="1:11" x14ac:dyDescent="0.25">
      <c r="A3313" t="s">
        <v>62</v>
      </c>
      <c r="B3313" t="s">
        <v>63</v>
      </c>
      <c r="C3313" t="s">
        <v>50</v>
      </c>
      <c r="D3313" s="6">
        <v>45860</v>
      </c>
      <c r="E3313" t="str">
        <f>VLOOKUP(B3313,'PROCV GERENTES BD'!A:B,2,0)</f>
        <v>PROSPECTAR</v>
      </c>
      <c r="F3313" s="4" t="str">
        <f t="shared" si="306"/>
        <v>2025-07</v>
      </c>
      <c r="G3313" s="18">
        <f t="shared" si="307"/>
        <v>30</v>
      </c>
      <c r="H3313" t="str">
        <f t="shared" si="308"/>
        <v>PROSPECTAR</v>
      </c>
      <c r="I3313" t="str">
        <f t="shared" si="309"/>
        <v>MAPP COM IMPORTACAO EXPORTACAO IND PRODUTOS ALIMEN</v>
      </c>
      <c r="J3313">
        <f t="shared" si="310"/>
        <v>0</v>
      </c>
      <c r="K3313">
        <f t="shared" si="311"/>
        <v>1</v>
      </c>
    </row>
    <row r="3314" spans="1:11" x14ac:dyDescent="0.25">
      <c r="A3314" t="s">
        <v>475</v>
      </c>
      <c r="B3314" t="s">
        <v>232</v>
      </c>
      <c r="C3314" t="s">
        <v>66</v>
      </c>
      <c r="D3314" s="6">
        <v>45860</v>
      </c>
      <c r="E3314" t="str">
        <f>VLOOKUP(B3314,'PROCV GERENTES BD'!A:B,2,0)</f>
        <v>POENATELA</v>
      </c>
      <c r="F3314" s="4" t="str">
        <f t="shared" si="306"/>
        <v>2025-07</v>
      </c>
      <c r="G3314" s="18">
        <f t="shared" si="307"/>
        <v>30</v>
      </c>
      <c r="H3314" t="str">
        <f t="shared" si="308"/>
        <v>POENATELA</v>
      </c>
      <c r="I3314" t="str">
        <f t="shared" si="309"/>
        <v>JUATUBA MOVEIS E EMBALAGENS LTDA</v>
      </c>
      <c r="J3314">
        <f t="shared" si="310"/>
        <v>1</v>
      </c>
      <c r="K3314">
        <f t="shared" si="311"/>
        <v>0</v>
      </c>
    </row>
    <row r="3315" spans="1:11" x14ac:dyDescent="0.25">
      <c r="A3315" t="s">
        <v>317</v>
      </c>
      <c r="B3315" t="s">
        <v>280</v>
      </c>
      <c r="C3315" t="s">
        <v>50</v>
      </c>
      <c r="D3315" s="6">
        <v>45860</v>
      </c>
      <c r="E3315" t="str">
        <f>VLOOKUP(B3315,'PROCV GERENTES BD'!A:B,2,0)</f>
        <v>PROSPECTAR</v>
      </c>
      <c r="F3315" s="4" t="str">
        <f t="shared" si="306"/>
        <v>2025-07</v>
      </c>
      <c r="G3315" s="18">
        <f t="shared" si="307"/>
        <v>30</v>
      </c>
      <c r="H3315" t="str">
        <f t="shared" si="308"/>
        <v>PROSPECTAR</v>
      </c>
      <c r="I3315" t="str">
        <f t="shared" si="309"/>
        <v>STA TECHCANA LTDA</v>
      </c>
      <c r="J3315">
        <f t="shared" si="310"/>
        <v>0</v>
      </c>
      <c r="K3315">
        <f t="shared" si="311"/>
        <v>1</v>
      </c>
    </row>
    <row r="3316" spans="1:11" x14ac:dyDescent="0.25">
      <c r="A3316" t="s">
        <v>631</v>
      </c>
      <c r="B3316" t="s">
        <v>561</v>
      </c>
      <c r="C3316" t="s">
        <v>50</v>
      </c>
      <c r="D3316" s="6">
        <v>45860</v>
      </c>
      <c r="E3316" t="str">
        <f>VLOOKUP(B3316,'PROCV GERENTES BD'!A:B,2,0)</f>
        <v>VALERIA</v>
      </c>
      <c r="F3316" s="4" t="str">
        <f t="shared" si="306"/>
        <v>2025-07</v>
      </c>
      <c r="G3316" s="18">
        <f t="shared" si="307"/>
        <v>30</v>
      </c>
      <c r="H3316" t="str">
        <f t="shared" si="308"/>
        <v>VALERIA</v>
      </c>
      <c r="I3316" t="str">
        <f t="shared" si="309"/>
        <v>TRANSPORTADORA PACHECO LTDA EPP</v>
      </c>
      <c r="J3316">
        <f t="shared" si="310"/>
        <v>0</v>
      </c>
      <c r="K3316">
        <f t="shared" si="311"/>
        <v>1</v>
      </c>
    </row>
    <row r="3317" spans="1:11" x14ac:dyDescent="0.25">
      <c r="A3317" t="s">
        <v>372</v>
      </c>
      <c r="B3317" t="s">
        <v>116</v>
      </c>
      <c r="C3317" t="s">
        <v>50</v>
      </c>
      <c r="D3317" s="6">
        <v>45860</v>
      </c>
      <c r="E3317" t="str">
        <f>VLOOKUP(B3317,'PROCV GERENTES BD'!A:B,2,0)</f>
        <v>ADMINISTRAÇÃO</v>
      </c>
      <c r="F3317" s="4" t="str">
        <f t="shared" si="306"/>
        <v>2025-07</v>
      </c>
      <c r="G3317" s="18">
        <f t="shared" si="307"/>
        <v>30</v>
      </c>
      <c r="H3317" t="str">
        <f t="shared" si="308"/>
        <v>ADMINISTRAÇÃO</v>
      </c>
      <c r="I3317" t="str">
        <f t="shared" si="309"/>
        <v>PREMOLDADOS MATOSINHOS LTDA EPP</v>
      </c>
      <c r="J3317">
        <f t="shared" si="310"/>
        <v>0</v>
      </c>
      <c r="K3317">
        <f t="shared" si="311"/>
        <v>1</v>
      </c>
    </row>
    <row r="3318" spans="1:11" x14ac:dyDescent="0.25">
      <c r="A3318" t="s">
        <v>58</v>
      </c>
      <c r="B3318" t="s">
        <v>59</v>
      </c>
      <c r="C3318" t="s">
        <v>50</v>
      </c>
      <c r="D3318" s="6">
        <v>45860</v>
      </c>
      <c r="E3318" t="str">
        <f>VLOOKUP(B3318,'PROCV GERENTES BD'!A:B,2,0)</f>
        <v>ADMINISTRAÇÃO</v>
      </c>
      <c r="F3318" s="4" t="str">
        <f t="shared" si="306"/>
        <v>2025-07</v>
      </c>
      <c r="G3318" s="18">
        <f t="shared" si="307"/>
        <v>30</v>
      </c>
      <c r="H3318" t="str">
        <f t="shared" si="308"/>
        <v>ADMINISTRAÇÃO</v>
      </c>
      <c r="I3318" t="str">
        <f t="shared" si="309"/>
        <v>BIOTECH LOGISTICA LTDA</v>
      </c>
      <c r="J3318">
        <f t="shared" si="310"/>
        <v>0</v>
      </c>
      <c r="K3318">
        <f t="shared" si="311"/>
        <v>1</v>
      </c>
    </row>
    <row r="3319" spans="1:11" x14ac:dyDescent="0.25">
      <c r="A3319" t="s">
        <v>56</v>
      </c>
      <c r="B3319" t="s">
        <v>57</v>
      </c>
      <c r="C3319" t="s">
        <v>50</v>
      </c>
      <c r="D3319" s="6">
        <v>45860</v>
      </c>
      <c r="E3319" t="str">
        <f>VLOOKUP(B3319,'PROCV GERENTES BD'!A:B,2,0)</f>
        <v xml:space="preserve">ROGERIO </v>
      </c>
      <c r="F3319" s="4" t="str">
        <f t="shared" si="306"/>
        <v>2025-07</v>
      </c>
      <c r="G3319" s="18">
        <f t="shared" si="307"/>
        <v>30</v>
      </c>
      <c r="H3319" t="str">
        <f t="shared" si="308"/>
        <v xml:space="preserve">ROGERIO </v>
      </c>
      <c r="I3319" t="str">
        <f t="shared" si="309"/>
        <v>RODOVIEIRA TRANSPORTE LTDA</v>
      </c>
      <c r="J3319">
        <f t="shared" si="310"/>
        <v>0</v>
      </c>
      <c r="K3319">
        <f t="shared" si="311"/>
        <v>1</v>
      </c>
    </row>
    <row r="3320" spans="1:11" x14ac:dyDescent="0.25">
      <c r="A3320" t="s">
        <v>395</v>
      </c>
      <c r="B3320" t="s">
        <v>145</v>
      </c>
      <c r="C3320" t="s">
        <v>66</v>
      </c>
      <c r="D3320" s="6">
        <v>45860</v>
      </c>
      <c r="E3320" t="str">
        <f>VLOOKUP(B3320,'PROCV GERENTES BD'!A:B,2,0)</f>
        <v>MARCIO LEONEL</v>
      </c>
      <c r="F3320" s="4" t="str">
        <f t="shared" si="306"/>
        <v>2025-07</v>
      </c>
      <c r="G3320" s="18">
        <f t="shared" si="307"/>
        <v>30</v>
      </c>
      <c r="H3320" t="str">
        <f t="shared" si="308"/>
        <v>MARCIO LEONEL</v>
      </c>
      <c r="I3320" t="str">
        <f t="shared" si="309"/>
        <v>MEDICAL PRIME IMP EXPORT DISTRIB PRODUTOS MEDICOS</v>
      </c>
      <c r="J3320">
        <f t="shared" si="310"/>
        <v>1</v>
      </c>
      <c r="K3320">
        <f t="shared" si="311"/>
        <v>0</v>
      </c>
    </row>
    <row r="3321" spans="1:11" x14ac:dyDescent="0.25">
      <c r="A3321" t="s">
        <v>331</v>
      </c>
      <c r="B3321" t="s">
        <v>144</v>
      </c>
      <c r="C3321" t="s">
        <v>50</v>
      </c>
      <c r="D3321" s="6">
        <v>45860</v>
      </c>
      <c r="E3321" t="str">
        <f>VLOOKUP(B3321,'PROCV GERENTES BD'!A:B,2,0)</f>
        <v>ADMINISTRAÇÃO</v>
      </c>
      <c r="F3321" s="4" t="str">
        <f t="shared" si="306"/>
        <v>2025-07</v>
      </c>
      <c r="G3321" s="18">
        <f t="shared" si="307"/>
        <v>30</v>
      </c>
      <c r="H3321" t="str">
        <f t="shared" si="308"/>
        <v>ADMINISTRAÇÃO</v>
      </c>
      <c r="I3321" t="str">
        <f t="shared" si="309"/>
        <v>BOM PASTOR PAPEIS LTDA EM RECUPERACAO JUDICIAL</v>
      </c>
      <c r="J3321">
        <f t="shared" si="310"/>
        <v>0</v>
      </c>
      <c r="K3321">
        <f t="shared" si="311"/>
        <v>1</v>
      </c>
    </row>
    <row r="3322" spans="1:11" x14ac:dyDescent="0.25">
      <c r="A3322" t="s">
        <v>358</v>
      </c>
      <c r="B3322" t="s">
        <v>104</v>
      </c>
      <c r="C3322" t="s">
        <v>50</v>
      </c>
      <c r="D3322" s="6">
        <v>45860</v>
      </c>
      <c r="E3322" t="str">
        <f>VLOOKUP(B3322,'PROCV GERENTES BD'!A:B,2,0)</f>
        <v>DIOGO AZEVEDO</v>
      </c>
      <c r="F3322" s="4" t="str">
        <f t="shared" si="306"/>
        <v>2025-07</v>
      </c>
      <c r="G3322" s="18">
        <f t="shared" si="307"/>
        <v>30</v>
      </c>
      <c r="H3322" t="str">
        <f t="shared" si="308"/>
        <v>DIOGO AZEVEDO</v>
      </c>
      <c r="I3322" t="str">
        <f t="shared" si="309"/>
        <v>INDUSTRIA E CERVEJARIA ARTESANAL DE MINAS GERAIS L</v>
      </c>
      <c r="J3322">
        <f t="shared" si="310"/>
        <v>0</v>
      </c>
      <c r="K3322">
        <f t="shared" si="311"/>
        <v>1</v>
      </c>
    </row>
    <row r="3323" spans="1:11" x14ac:dyDescent="0.25">
      <c r="A3323" t="s">
        <v>642</v>
      </c>
      <c r="B3323" t="s">
        <v>643</v>
      </c>
      <c r="C3323" t="s">
        <v>50</v>
      </c>
      <c r="D3323" s="6">
        <v>45860</v>
      </c>
      <c r="E3323" t="str">
        <f>VLOOKUP(B3323,'PROCV GERENTES BD'!A:B,2,0)</f>
        <v>DALVA</v>
      </c>
      <c r="F3323" s="4" t="str">
        <f t="shared" si="306"/>
        <v>2025-07</v>
      </c>
      <c r="G3323" s="18">
        <f t="shared" si="307"/>
        <v>30</v>
      </c>
      <c r="H3323" t="str">
        <f t="shared" si="308"/>
        <v>DALVA</v>
      </c>
      <c r="I3323" t="str">
        <f t="shared" si="309"/>
        <v>MINAS MIX INDUSTRIA E COMERCIO DE PRODUTOS ALIMENT</v>
      </c>
      <c r="J3323">
        <f t="shared" si="310"/>
        <v>0</v>
      </c>
      <c r="K3323">
        <f t="shared" si="311"/>
        <v>1</v>
      </c>
    </row>
    <row r="3324" spans="1:11" x14ac:dyDescent="0.25">
      <c r="A3324" t="s">
        <v>533</v>
      </c>
      <c r="B3324" t="s">
        <v>301</v>
      </c>
      <c r="C3324" t="s">
        <v>50</v>
      </c>
      <c r="D3324" s="6">
        <v>45860</v>
      </c>
      <c r="E3324" t="str">
        <f>VLOOKUP(B3324,'PROCV GERENTES BD'!A:B,2,0)</f>
        <v xml:space="preserve">MARCUS VINICIUS </v>
      </c>
      <c r="F3324" s="4" t="str">
        <f t="shared" si="306"/>
        <v>2025-07</v>
      </c>
      <c r="G3324" s="18">
        <f t="shared" si="307"/>
        <v>30</v>
      </c>
      <c r="H3324" t="str">
        <f t="shared" si="308"/>
        <v xml:space="preserve">MARCUS VINICIUS </v>
      </c>
      <c r="I3324" t="str">
        <f t="shared" si="309"/>
        <v>LINDINALDO ANISIO DA SILVA ME</v>
      </c>
      <c r="J3324">
        <f t="shared" si="310"/>
        <v>0</v>
      </c>
      <c r="K3324">
        <f t="shared" si="311"/>
        <v>1</v>
      </c>
    </row>
    <row r="3325" spans="1:11" x14ac:dyDescent="0.25">
      <c r="A3325" t="s">
        <v>48</v>
      </c>
      <c r="B3325" t="s">
        <v>49</v>
      </c>
      <c r="C3325" t="s">
        <v>50</v>
      </c>
      <c r="D3325" s="6">
        <v>45860</v>
      </c>
      <c r="E3325" t="str">
        <f>VLOOKUP(B3325,'PROCV GERENTES BD'!A:B,2,0)</f>
        <v xml:space="preserve">MARCUS VINICIUS </v>
      </c>
      <c r="F3325" s="4" t="str">
        <f t="shared" si="306"/>
        <v>2025-07</v>
      </c>
      <c r="G3325" s="18">
        <f t="shared" si="307"/>
        <v>30</v>
      </c>
      <c r="H3325" t="str">
        <f t="shared" si="308"/>
        <v xml:space="preserve">MARCUS VINICIUS </v>
      </c>
      <c r="I3325" t="str">
        <f t="shared" si="309"/>
        <v>PROMEL IND COM IMP E EXP DE PRODS NATURAIS LTDA</v>
      </c>
      <c r="J3325">
        <f t="shared" si="310"/>
        <v>0</v>
      </c>
      <c r="K3325">
        <f t="shared" si="311"/>
        <v>1</v>
      </c>
    </row>
    <row r="3326" spans="1:11" x14ac:dyDescent="0.25">
      <c r="A3326" t="s">
        <v>523</v>
      </c>
      <c r="B3326" t="s">
        <v>288</v>
      </c>
      <c r="C3326" t="s">
        <v>50</v>
      </c>
      <c r="D3326" s="6">
        <v>45860</v>
      </c>
      <c r="E3326" t="str">
        <f>VLOOKUP(B3326,'PROCV GERENTES BD'!A:B,2,0)</f>
        <v>ADMINISTRAÇÃO</v>
      </c>
      <c r="F3326" s="4" t="str">
        <f t="shared" si="306"/>
        <v>2025-07</v>
      </c>
      <c r="G3326" s="18">
        <f t="shared" si="307"/>
        <v>30</v>
      </c>
      <c r="H3326" t="str">
        <f t="shared" si="308"/>
        <v>ADMINISTRAÇÃO</v>
      </c>
      <c r="I3326" t="str">
        <f t="shared" si="309"/>
        <v>REFRACONT BRASIL LTDA</v>
      </c>
      <c r="J3326">
        <f t="shared" si="310"/>
        <v>0</v>
      </c>
      <c r="K3326">
        <f t="shared" si="311"/>
        <v>1</v>
      </c>
    </row>
    <row r="3327" spans="1:11" x14ac:dyDescent="0.25">
      <c r="A3327" t="s">
        <v>524</v>
      </c>
      <c r="B3327" t="s">
        <v>289</v>
      </c>
      <c r="C3327" t="s">
        <v>66</v>
      </c>
      <c r="D3327" s="6">
        <v>45860</v>
      </c>
      <c r="E3327" t="str">
        <f>VLOOKUP(B3327,'PROCV GERENTES BD'!A:B,2,0)</f>
        <v>DALVA</v>
      </c>
      <c r="F3327" s="4" t="str">
        <f t="shared" si="306"/>
        <v>2025-07</v>
      </c>
      <c r="G3327" s="18">
        <f t="shared" si="307"/>
        <v>30</v>
      </c>
      <c r="H3327" t="str">
        <f t="shared" si="308"/>
        <v>DALVA</v>
      </c>
      <c r="I3327" t="str">
        <f t="shared" si="309"/>
        <v>FRAITECH INTELIGENCIA EM AUTOMACAO LTDA</v>
      </c>
      <c r="J3327">
        <f t="shared" si="310"/>
        <v>1</v>
      </c>
      <c r="K3327">
        <f t="shared" si="311"/>
        <v>0</v>
      </c>
    </row>
    <row r="3328" spans="1:11" x14ac:dyDescent="0.25">
      <c r="A3328" t="s">
        <v>324</v>
      </c>
      <c r="B3328" t="s">
        <v>119</v>
      </c>
      <c r="C3328" t="s">
        <v>66</v>
      </c>
      <c r="D3328" s="6">
        <v>45860</v>
      </c>
      <c r="E3328" t="str">
        <f>VLOOKUP(B3328,'PROCV GERENTES BD'!A:B,2,0)</f>
        <v>PROSPECTAR</v>
      </c>
      <c r="F3328" s="4" t="str">
        <f t="shared" si="306"/>
        <v>2025-07</v>
      </c>
      <c r="G3328" s="18">
        <f t="shared" si="307"/>
        <v>30</v>
      </c>
      <c r="H3328" t="str">
        <f t="shared" si="308"/>
        <v>PROSPECTAR</v>
      </c>
      <c r="I3328" t="str">
        <f t="shared" si="309"/>
        <v>TRANSHENRY TRANSPORTES LTDA</v>
      </c>
      <c r="J3328">
        <f t="shared" si="310"/>
        <v>1</v>
      </c>
      <c r="K3328">
        <f t="shared" si="311"/>
        <v>0</v>
      </c>
    </row>
    <row r="3329" spans="1:11" x14ac:dyDescent="0.25">
      <c r="A3329" t="s">
        <v>323</v>
      </c>
      <c r="B3329" t="s">
        <v>109</v>
      </c>
      <c r="C3329" t="s">
        <v>50</v>
      </c>
      <c r="D3329" s="6">
        <v>45860</v>
      </c>
      <c r="E3329" t="str">
        <f>VLOOKUP(B3329,'PROCV GERENTES BD'!A:B,2,0)</f>
        <v>PROSPECTAR</v>
      </c>
      <c r="F3329" s="4" t="str">
        <f t="shared" si="306"/>
        <v>2025-07</v>
      </c>
      <c r="G3329" s="18">
        <f t="shared" si="307"/>
        <v>30</v>
      </c>
      <c r="H3329" t="str">
        <f t="shared" si="308"/>
        <v>PROSPECTAR</v>
      </c>
      <c r="I3329" t="str">
        <f t="shared" si="309"/>
        <v>SIAP COMERCIO DE PRODUTOS AGROPECUARIOS LTDA</v>
      </c>
      <c r="J3329">
        <f t="shared" si="310"/>
        <v>0</v>
      </c>
      <c r="K3329">
        <f t="shared" si="311"/>
        <v>1</v>
      </c>
    </row>
    <row r="3330" spans="1:11" x14ac:dyDescent="0.25">
      <c r="A3330" t="s">
        <v>629</v>
      </c>
      <c r="B3330" t="s">
        <v>550</v>
      </c>
      <c r="C3330" t="s">
        <v>66</v>
      </c>
      <c r="D3330" s="6">
        <v>45860</v>
      </c>
      <c r="E3330" t="str">
        <f>VLOOKUP(B3330,'PROCV GERENTES BD'!A:B,2,0)</f>
        <v>CREDTEM</v>
      </c>
      <c r="F3330" s="4" t="str">
        <f t="shared" ref="F3330:F3393" si="312">YEAR(D3330)&amp;"-"&amp;TEXT(MONTH(D3330),"00")</f>
        <v>2025-07</v>
      </c>
      <c r="G3330" s="18">
        <f t="shared" ref="G3330:G3393" si="313">WEEKNUM(D3330)</f>
        <v>30</v>
      </c>
      <c r="H3330" t="str">
        <f t="shared" ref="H3330:H3393" si="314">E3330</f>
        <v>CREDTEM</v>
      </c>
      <c r="I3330" t="str">
        <f t="shared" ref="I3330:I3393" si="315">B3330</f>
        <v>W M DE CASTRO NETO PRODUTOS FARMACEUTICOS EPP</v>
      </c>
      <c r="J3330">
        <f t="shared" ref="J3330:J3393" si="316">IF(OR(C3330="EXCLUSAO  ANOT.INADIMPLENCIA",C3330="INCL/EXCL ANOT.INADIMPLENCIA"),1,0)</f>
        <v>1</v>
      </c>
      <c r="K3330">
        <f t="shared" ref="K3330:K3393" si="317">IF(OR(C3330="INCLUSAO  ANOT.INADIMPLENCIA",C3330="INCL/EXCL ANOT.INADIMPLENCIA"),1,0)</f>
        <v>0</v>
      </c>
    </row>
    <row r="3331" spans="1:11" x14ac:dyDescent="0.25">
      <c r="A3331" t="s">
        <v>521</v>
      </c>
      <c r="B3331" t="s">
        <v>286</v>
      </c>
      <c r="C3331" t="s">
        <v>50</v>
      </c>
      <c r="D3331" s="6">
        <v>45860</v>
      </c>
      <c r="E3331" t="str">
        <f>VLOOKUP(B3331,'PROCV GERENTES BD'!A:B,2,0)</f>
        <v>CELIO PIMENTA</v>
      </c>
      <c r="F3331" s="4" t="str">
        <f t="shared" si="312"/>
        <v>2025-07</v>
      </c>
      <c r="G3331" s="18">
        <f t="shared" si="313"/>
        <v>30</v>
      </c>
      <c r="H3331" t="str">
        <f t="shared" si="314"/>
        <v>CELIO PIMENTA</v>
      </c>
      <c r="I3331" t="str">
        <f t="shared" si="315"/>
        <v>LINGERIE E CIA LTDA ME</v>
      </c>
      <c r="J3331">
        <f t="shared" si="316"/>
        <v>0</v>
      </c>
      <c r="K3331">
        <f t="shared" si="317"/>
        <v>1</v>
      </c>
    </row>
    <row r="3332" spans="1:11" x14ac:dyDescent="0.25">
      <c r="A3332" t="s">
        <v>51</v>
      </c>
      <c r="B3332" t="s">
        <v>52</v>
      </c>
      <c r="C3332" t="s">
        <v>50</v>
      </c>
      <c r="D3332" s="6">
        <v>45860</v>
      </c>
      <c r="E3332" t="str">
        <f>VLOOKUP(B3332,'PROCV GERENTES BD'!A:B,2,0)</f>
        <v>RAFAEL PARISE</v>
      </c>
      <c r="F3332" s="4" t="str">
        <f t="shared" si="312"/>
        <v>2025-07</v>
      </c>
      <c r="G3332" s="18">
        <f t="shared" si="313"/>
        <v>30</v>
      </c>
      <c r="H3332" t="str">
        <f t="shared" si="314"/>
        <v>RAFAEL PARISE</v>
      </c>
      <c r="I3332" t="str">
        <f t="shared" si="315"/>
        <v>TDR TRANSPORTES LOGISTICA LTDA</v>
      </c>
      <c r="J3332">
        <f t="shared" si="316"/>
        <v>0</v>
      </c>
      <c r="K3332">
        <f t="shared" si="317"/>
        <v>1</v>
      </c>
    </row>
    <row r="3333" spans="1:11" x14ac:dyDescent="0.25">
      <c r="A3333" t="s">
        <v>363</v>
      </c>
      <c r="B3333" t="s">
        <v>108</v>
      </c>
      <c r="C3333" t="s">
        <v>66</v>
      </c>
      <c r="D3333" s="6">
        <v>45860</v>
      </c>
      <c r="E3333" t="str">
        <f>VLOOKUP(B3333,'PROCV GERENTES BD'!A:B,2,0)</f>
        <v>ANDERSON FRAGA</v>
      </c>
      <c r="F3333" s="4" t="str">
        <f t="shared" si="312"/>
        <v>2025-07</v>
      </c>
      <c r="G3333" s="18">
        <f t="shared" si="313"/>
        <v>30</v>
      </c>
      <c r="H3333" t="str">
        <f t="shared" si="314"/>
        <v>ANDERSON FRAGA</v>
      </c>
      <c r="I3333" t="str">
        <f t="shared" si="315"/>
        <v>AMP INDUSTRIA E COMERCIO DE CONDUTORES LTDA</v>
      </c>
      <c r="J3333">
        <f t="shared" si="316"/>
        <v>1</v>
      </c>
      <c r="K3333">
        <f t="shared" si="317"/>
        <v>0</v>
      </c>
    </row>
    <row r="3334" spans="1:11" x14ac:dyDescent="0.25">
      <c r="A3334" t="s">
        <v>532</v>
      </c>
      <c r="B3334" t="s">
        <v>300</v>
      </c>
      <c r="C3334" t="s">
        <v>50</v>
      </c>
      <c r="D3334" s="6">
        <v>45860</v>
      </c>
      <c r="E3334" t="str">
        <f>VLOOKUP(B3334,'PROCV GERENTES BD'!A:B,2,0)</f>
        <v>RAFAEL PARISE</v>
      </c>
      <c r="F3334" s="4" t="str">
        <f t="shared" si="312"/>
        <v>2025-07</v>
      </c>
      <c r="G3334" s="18">
        <f t="shared" si="313"/>
        <v>30</v>
      </c>
      <c r="H3334" t="str">
        <f t="shared" si="314"/>
        <v>RAFAEL PARISE</v>
      </c>
      <c r="I3334" t="str">
        <f t="shared" si="315"/>
        <v>MINASPOL INDUSTRIA E COMERCIO DE COMPOSTOS POLIMER</v>
      </c>
      <c r="J3334">
        <f t="shared" si="316"/>
        <v>0</v>
      </c>
      <c r="K3334">
        <f t="shared" si="317"/>
        <v>1</v>
      </c>
    </row>
    <row r="3335" spans="1:11" x14ac:dyDescent="0.25">
      <c r="A3335" t="s">
        <v>381</v>
      </c>
      <c r="B3335" t="s">
        <v>128</v>
      </c>
      <c r="C3335" t="s">
        <v>50</v>
      </c>
      <c r="D3335" s="6">
        <v>45860</v>
      </c>
      <c r="E3335" t="str">
        <f>VLOOKUP(B3335,'PROCV GERENTES BD'!A:B,2,0)</f>
        <v>ADMINISTRAÇÃO</v>
      </c>
      <c r="F3335" s="4" t="str">
        <f t="shared" si="312"/>
        <v>2025-07</v>
      </c>
      <c r="G3335" s="18">
        <f t="shared" si="313"/>
        <v>30</v>
      </c>
      <c r="H3335" t="str">
        <f t="shared" si="314"/>
        <v>ADMINISTRAÇÃO</v>
      </c>
      <c r="I3335" t="str">
        <f t="shared" si="315"/>
        <v>MOLAS ANEL POSTO DE TROCA LTDA EPP</v>
      </c>
      <c r="J3335">
        <f t="shared" si="316"/>
        <v>0</v>
      </c>
      <c r="K3335">
        <f t="shared" si="317"/>
        <v>1</v>
      </c>
    </row>
    <row r="3336" spans="1:11" x14ac:dyDescent="0.25">
      <c r="A3336" t="s">
        <v>307</v>
      </c>
      <c r="B3336" t="s">
        <v>102</v>
      </c>
      <c r="C3336" t="s">
        <v>66</v>
      </c>
      <c r="D3336" s="6">
        <v>45860</v>
      </c>
      <c r="E3336" t="str">
        <f>VLOOKUP(B3336,'PROCV GERENTES BD'!A:B,2,0)</f>
        <v>POENATELA</v>
      </c>
      <c r="F3336" s="4" t="str">
        <f t="shared" si="312"/>
        <v>2025-07</v>
      </c>
      <c r="G3336" s="18">
        <f t="shared" si="313"/>
        <v>30</v>
      </c>
      <c r="H3336" t="str">
        <f t="shared" si="314"/>
        <v>POENATELA</v>
      </c>
      <c r="I3336" t="str">
        <f t="shared" si="315"/>
        <v>ECOPINUS INDUSTRIA E COMERCIO DE EMBALAGENS DE MAD</v>
      </c>
      <c r="J3336">
        <f t="shared" si="316"/>
        <v>1</v>
      </c>
      <c r="K3336">
        <f t="shared" si="317"/>
        <v>0</v>
      </c>
    </row>
    <row r="3337" spans="1:11" x14ac:dyDescent="0.25">
      <c r="A3337" t="s">
        <v>387</v>
      </c>
      <c r="B3337" t="s">
        <v>134</v>
      </c>
      <c r="C3337" t="s">
        <v>50</v>
      </c>
      <c r="D3337" s="6">
        <v>45860</v>
      </c>
      <c r="E3337" t="str">
        <f>VLOOKUP(B3337,'PROCV GERENTES BD'!A:B,2,0)</f>
        <v>RAFAEL PARISE</v>
      </c>
      <c r="F3337" s="4" t="str">
        <f t="shared" si="312"/>
        <v>2025-07</v>
      </c>
      <c r="G3337" s="18">
        <f t="shared" si="313"/>
        <v>30</v>
      </c>
      <c r="H3337" t="str">
        <f t="shared" si="314"/>
        <v>RAFAEL PARISE</v>
      </c>
      <c r="I3337" t="str">
        <f t="shared" si="315"/>
        <v>MAIS DISTRIBUIDORA LTDA</v>
      </c>
      <c r="J3337">
        <f t="shared" si="316"/>
        <v>0</v>
      </c>
      <c r="K3337">
        <f t="shared" si="317"/>
        <v>1</v>
      </c>
    </row>
    <row r="3338" spans="1:11" x14ac:dyDescent="0.25">
      <c r="A3338" t="s">
        <v>644</v>
      </c>
      <c r="B3338" t="s">
        <v>598</v>
      </c>
      <c r="C3338" t="s">
        <v>50</v>
      </c>
      <c r="D3338" s="6">
        <v>45860</v>
      </c>
      <c r="E3338" t="str">
        <f>VLOOKUP(B3338,'PROCV GERENTES BD'!A:B,2,0)</f>
        <v>DALVA</v>
      </c>
      <c r="F3338" s="4" t="str">
        <f t="shared" si="312"/>
        <v>2025-07</v>
      </c>
      <c r="G3338" s="18">
        <f t="shared" si="313"/>
        <v>30</v>
      </c>
      <c r="H3338" t="str">
        <f t="shared" si="314"/>
        <v>DALVA</v>
      </c>
      <c r="I3338" t="str">
        <f t="shared" si="315"/>
        <v>BH BRITADORES LTDA EPP</v>
      </c>
      <c r="J3338">
        <f t="shared" si="316"/>
        <v>0</v>
      </c>
      <c r="K3338">
        <f t="shared" si="317"/>
        <v>1</v>
      </c>
    </row>
    <row r="3339" spans="1:11" x14ac:dyDescent="0.25">
      <c r="A3339" t="s">
        <v>385</v>
      </c>
      <c r="B3339" t="s">
        <v>132</v>
      </c>
      <c r="C3339" t="s">
        <v>50</v>
      </c>
      <c r="D3339" s="6">
        <v>45860</v>
      </c>
      <c r="E3339" t="str">
        <f>VLOOKUP(B3339,'PROCV GERENTES BD'!A:B,2,0)</f>
        <v xml:space="preserve">MARCUS VINICIUS </v>
      </c>
      <c r="F3339" s="4" t="str">
        <f t="shared" si="312"/>
        <v>2025-07</v>
      </c>
      <c r="G3339" s="18">
        <f t="shared" si="313"/>
        <v>30</v>
      </c>
      <c r="H3339" t="str">
        <f t="shared" si="314"/>
        <v xml:space="preserve">MARCUS VINICIUS </v>
      </c>
      <c r="I3339" t="str">
        <f t="shared" si="315"/>
        <v>RODOANEL REFORMADORA DE IMPLEMENTOS RODOVIARIOS LT</v>
      </c>
      <c r="J3339">
        <f t="shared" si="316"/>
        <v>0</v>
      </c>
      <c r="K3339">
        <f t="shared" si="317"/>
        <v>1</v>
      </c>
    </row>
    <row r="3340" spans="1:11" x14ac:dyDescent="0.25">
      <c r="A3340" t="s">
        <v>407</v>
      </c>
      <c r="B3340" t="s">
        <v>157</v>
      </c>
      <c r="C3340" t="s">
        <v>66</v>
      </c>
      <c r="D3340" s="6">
        <v>45860</v>
      </c>
      <c r="E3340" t="str">
        <f>VLOOKUP(B3340,'PROCV GERENTES BD'!A:B,2,0)</f>
        <v>NOELI SALETE</v>
      </c>
      <c r="F3340" s="4" t="str">
        <f t="shared" si="312"/>
        <v>2025-07</v>
      </c>
      <c r="G3340" s="18">
        <f t="shared" si="313"/>
        <v>30</v>
      </c>
      <c r="H3340" t="str">
        <f t="shared" si="314"/>
        <v>NOELI SALETE</v>
      </c>
      <c r="I3340" t="str">
        <f t="shared" si="315"/>
        <v>SGAMAQ INOVACAO AGROINDUSTRIAL LTDA</v>
      </c>
      <c r="J3340">
        <f t="shared" si="316"/>
        <v>1</v>
      </c>
      <c r="K3340">
        <f t="shared" si="317"/>
        <v>0</v>
      </c>
    </row>
    <row r="3341" spans="1:11" x14ac:dyDescent="0.25">
      <c r="A3341" t="s">
        <v>529</v>
      </c>
      <c r="B3341" t="s">
        <v>297</v>
      </c>
      <c r="C3341" t="s">
        <v>50</v>
      </c>
      <c r="D3341" s="6">
        <v>45861</v>
      </c>
      <c r="E3341" t="str">
        <f>VLOOKUP(B3341,'PROCV GERENTES BD'!A:B,2,0)</f>
        <v>ANDRE CUNHA</v>
      </c>
      <c r="F3341" s="4" t="str">
        <f t="shared" si="312"/>
        <v>2025-07</v>
      </c>
      <c r="G3341" s="18">
        <f t="shared" si="313"/>
        <v>30</v>
      </c>
      <c r="H3341" t="str">
        <f t="shared" si="314"/>
        <v>ANDRE CUNHA</v>
      </c>
      <c r="I3341" t="str">
        <f t="shared" si="315"/>
        <v>REVPACK TECNOLOGIA E COMERCIO DE COMPONENTES PLAST</v>
      </c>
      <c r="J3341">
        <f t="shared" si="316"/>
        <v>0</v>
      </c>
      <c r="K3341">
        <f t="shared" si="317"/>
        <v>1</v>
      </c>
    </row>
    <row r="3342" spans="1:11" x14ac:dyDescent="0.25">
      <c r="A3342" t="s">
        <v>467</v>
      </c>
      <c r="B3342" t="s">
        <v>224</v>
      </c>
      <c r="C3342" t="s">
        <v>329</v>
      </c>
      <c r="D3342" s="6">
        <v>45861</v>
      </c>
      <c r="E3342" t="str">
        <f>VLOOKUP(B3342,'PROCV GERENTES BD'!A:B,2,0)</f>
        <v>DIOGO AZEVEDO</v>
      </c>
      <c r="F3342" s="4" t="str">
        <f t="shared" si="312"/>
        <v>2025-07</v>
      </c>
      <c r="G3342" s="18">
        <f t="shared" si="313"/>
        <v>30</v>
      </c>
      <c r="H3342" t="str">
        <f t="shared" si="314"/>
        <v>DIOGO AZEVEDO</v>
      </c>
      <c r="I3342" t="str">
        <f t="shared" si="315"/>
        <v>VGS COMERCIO DE EMBALAGENS DE MADEIRAS LTDA ME</v>
      </c>
      <c r="J3342">
        <f t="shared" si="316"/>
        <v>0</v>
      </c>
      <c r="K3342">
        <f t="shared" si="317"/>
        <v>0</v>
      </c>
    </row>
    <row r="3343" spans="1:11" x14ac:dyDescent="0.25">
      <c r="A3343" t="s">
        <v>610</v>
      </c>
      <c r="B3343" t="s">
        <v>611</v>
      </c>
      <c r="C3343" t="s">
        <v>66</v>
      </c>
      <c r="D3343" s="6">
        <v>45861</v>
      </c>
      <c r="E3343" t="str">
        <f>VLOOKUP(B3343,'PROCV GERENTES BD'!A:B,2,0)</f>
        <v>TIAGO NEVES</v>
      </c>
      <c r="F3343" s="4" t="str">
        <f t="shared" si="312"/>
        <v>2025-07</v>
      </c>
      <c r="G3343" s="18">
        <f t="shared" si="313"/>
        <v>30</v>
      </c>
      <c r="H3343" t="str">
        <f t="shared" si="314"/>
        <v>TIAGO NEVES</v>
      </c>
      <c r="I3343" t="str">
        <f t="shared" si="315"/>
        <v>TRATOR GLASS LTDA ME</v>
      </c>
      <c r="J3343">
        <f t="shared" si="316"/>
        <v>1</v>
      </c>
      <c r="K3343">
        <f t="shared" si="317"/>
        <v>0</v>
      </c>
    </row>
    <row r="3344" spans="1:11" x14ac:dyDescent="0.25">
      <c r="A3344" t="s">
        <v>599</v>
      </c>
      <c r="B3344" t="s">
        <v>541</v>
      </c>
      <c r="C3344" t="s">
        <v>50</v>
      </c>
      <c r="D3344" s="6">
        <v>45861</v>
      </c>
      <c r="E3344" t="str">
        <f>VLOOKUP(B3344,'PROCV GERENTES BD'!A:B,2,0)</f>
        <v xml:space="preserve">MARCUS VINICIUS </v>
      </c>
      <c r="F3344" s="4" t="str">
        <f t="shared" si="312"/>
        <v>2025-07</v>
      </c>
      <c r="G3344" s="18">
        <f t="shared" si="313"/>
        <v>30</v>
      </c>
      <c r="H3344" t="str">
        <f t="shared" si="314"/>
        <v xml:space="preserve">MARCUS VINICIUS </v>
      </c>
      <c r="I3344" t="str">
        <f t="shared" si="315"/>
        <v>JSA INDUSTRIA DE COSMETICOS LTDA EPP</v>
      </c>
      <c r="J3344">
        <f t="shared" si="316"/>
        <v>0</v>
      </c>
      <c r="K3344">
        <f t="shared" si="317"/>
        <v>1</v>
      </c>
    </row>
    <row r="3345" spans="1:11" x14ac:dyDescent="0.25">
      <c r="A3345" t="s">
        <v>599</v>
      </c>
      <c r="B3345" t="s">
        <v>541</v>
      </c>
      <c r="C3345" t="s">
        <v>327</v>
      </c>
      <c r="D3345" s="6">
        <v>45861</v>
      </c>
      <c r="E3345" t="str">
        <f>VLOOKUP(B3345,'PROCV GERENTES BD'!A:B,2,0)</f>
        <v xml:space="preserve">MARCUS VINICIUS </v>
      </c>
      <c r="F3345" s="4" t="str">
        <f t="shared" si="312"/>
        <v>2025-07</v>
      </c>
      <c r="G3345" s="18">
        <f t="shared" si="313"/>
        <v>30</v>
      </c>
      <c r="H3345" t="str">
        <f t="shared" si="314"/>
        <v xml:space="preserve">MARCUS VINICIUS </v>
      </c>
      <c r="I3345" t="str">
        <f t="shared" si="315"/>
        <v>JSA INDUSTRIA DE COSMETICOS LTDA EPP</v>
      </c>
      <c r="J3345">
        <f t="shared" si="316"/>
        <v>0</v>
      </c>
      <c r="K3345">
        <f t="shared" si="317"/>
        <v>0</v>
      </c>
    </row>
    <row r="3346" spans="1:11" x14ac:dyDescent="0.25">
      <c r="A3346" t="s">
        <v>74</v>
      </c>
      <c r="B3346" t="s">
        <v>75</v>
      </c>
      <c r="C3346" t="s">
        <v>50</v>
      </c>
      <c r="D3346" s="6">
        <v>45861</v>
      </c>
      <c r="E3346" t="str">
        <f>VLOOKUP(B3346,'PROCV GERENTES BD'!A:B,2,0)</f>
        <v>CAIO</v>
      </c>
      <c r="F3346" s="4" t="str">
        <f t="shared" si="312"/>
        <v>2025-07</v>
      </c>
      <c r="G3346" s="18">
        <f t="shared" si="313"/>
        <v>30</v>
      </c>
      <c r="H3346" t="str">
        <f t="shared" si="314"/>
        <v>CAIO</v>
      </c>
      <c r="I3346" t="str">
        <f t="shared" si="315"/>
        <v>TP DISTRIBUIDORA DE PECAS LTDA EPP</v>
      </c>
      <c r="J3346">
        <f t="shared" si="316"/>
        <v>0</v>
      </c>
      <c r="K3346">
        <f t="shared" si="317"/>
        <v>1</v>
      </c>
    </row>
    <row r="3347" spans="1:11" x14ac:dyDescent="0.25">
      <c r="A3347" t="s">
        <v>64</v>
      </c>
      <c r="B3347" t="s">
        <v>65</v>
      </c>
      <c r="C3347" t="s">
        <v>53</v>
      </c>
      <c r="D3347" s="6">
        <v>45861</v>
      </c>
      <c r="E3347" t="str">
        <f>VLOOKUP(B3347,'PROCV GERENTES BD'!A:B,2,0)</f>
        <v>ADMINISTRAÇÃO</v>
      </c>
      <c r="F3347" s="4" t="str">
        <f t="shared" si="312"/>
        <v>2025-07</v>
      </c>
      <c r="G3347" s="18">
        <f t="shared" si="313"/>
        <v>30</v>
      </c>
      <c r="H3347" t="str">
        <f t="shared" si="314"/>
        <v>ADMINISTRAÇÃO</v>
      </c>
      <c r="I3347" t="str">
        <f t="shared" si="315"/>
        <v>SOCIAL S/A</v>
      </c>
      <c r="J3347">
        <f t="shared" si="316"/>
        <v>1</v>
      </c>
      <c r="K3347">
        <f t="shared" si="317"/>
        <v>1</v>
      </c>
    </row>
    <row r="3348" spans="1:11" x14ac:dyDescent="0.25">
      <c r="A3348" t="s">
        <v>62</v>
      </c>
      <c r="B3348" t="s">
        <v>63</v>
      </c>
      <c r="C3348" t="s">
        <v>50</v>
      </c>
      <c r="D3348" s="6">
        <v>45861</v>
      </c>
      <c r="E3348" t="str">
        <f>VLOOKUP(B3348,'PROCV GERENTES BD'!A:B,2,0)</f>
        <v>PROSPECTAR</v>
      </c>
      <c r="F3348" s="4" t="str">
        <f t="shared" si="312"/>
        <v>2025-07</v>
      </c>
      <c r="G3348" s="18">
        <f t="shared" si="313"/>
        <v>30</v>
      </c>
      <c r="H3348" t="str">
        <f t="shared" si="314"/>
        <v>PROSPECTAR</v>
      </c>
      <c r="I3348" t="str">
        <f t="shared" si="315"/>
        <v>MAPP COM IMPORTACAO EXPORTACAO IND PRODUTOS ALIMEN</v>
      </c>
      <c r="J3348">
        <f t="shared" si="316"/>
        <v>0</v>
      </c>
      <c r="K3348">
        <f t="shared" si="317"/>
        <v>1</v>
      </c>
    </row>
    <row r="3349" spans="1:11" x14ac:dyDescent="0.25">
      <c r="A3349" t="s">
        <v>604</v>
      </c>
      <c r="B3349" t="s">
        <v>605</v>
      </c>
      <c r="C3349" t="s">
        <v>50</v>
      </c>
      <c r="D3349" s="6">
        <v>45861</v>
      </c>
      <c r="E3349" t="str">
        <f>VLOOKUP(B3349,'PROCV GERENTES BD'!A:B,2,0)</f>
        <v>ALISSON DE SOUZA LIMA</v>
      </c>
      <c r="F3349" s="4" t="str">
        <f t="shared" si="312"/>
        <v>2025-07</v>
      </c>
      <c r="G3349" s="18">
        <f t="shared" si="313"/>
        <v>30</v>
      </c>
      <c r="H3349" t="str">
        <f t="shared" si="314"/>
        <v>ALISSON DE SOUZA LIMA</v>
      </c>
      <c r="I3349" t="str">
        <f t="shared" si="315"/>
        <v>3J FUNDICAO INDUSTRIAL LTDA</v>
      </c>
      <c r="J3349">
        <f t="shared" si="316"/>
        <v>0</v>
      </c>
      <c r="K3349">
        <f t="shared" si="317"/>
        <v>1</v>
      </c>
    </row>
    <row r="3350" spans="1:11" x14ac:dyDescent="0.25">
      <c r="A3350" t="s">
        <v>475</v>
      </c>
      <c r="B3350" t="s">
        <v>232</v>
      </c>
      <c r="C3350" t="s">
        <v>66</v>
      </c>
      <c r="D3350" s="6">
        <v>45861</v>
      </c>
      <c r="E3350" t="str">
        <f>VLOOKUP(B3350,'PROCV GERENTES BD'!A:B,2,0)</f>
        <v>POENATELA</v>
      </c>
      <c r="F3350" s="4" t="str">
        <f t="shared" si="312"/>
        <v>2025-07</v>
      </c>
      <c r="G3350" s="18">
        <f t="shared" si="313"/>
        <v>30</v>
      </c>
      <c r="H3350" t="str">
        <f t="shared" si="314"/>
        <v>POENATELA</v>
      </c>
      <c r="I3350" t="str">
        <f t="shared" si="315"/>
        <v>JUATUBA MOVEIS E EMBALAGENS LTDA</v>
      </c>
      <c r="J3350">
        <f t="shared" si="316"/>
        <v>1</v>
      </c>
      <c r="K3350">
        <f t="shared" si="317"/>
        <v>0</v>
      </c>
    </row>
    <row r="3351" spans="1:11" x14ac:dyDescent="0.25">
      <c r="A3351" t="s">
        <v>467</v>
      </c>
      <c r="B3351" t="s">
        <v>224</v>
      </c>
      <c r="C3351" t="s">
        <v>327</v>
      </c>
      <c r="D3351" s="6">
        <v>45861</v>
      </c>
      <c r="E3351" t="str">
        <f>VLOOKUP(B3351,'PROCV GERENTES BD'!A:B,2,0)</f>
        <v>DIOGO AZEVEDO</v>
      </c>
      <c r="F3351" s="4" t="str">
        <f t="shared" si="312"/>
        <v>2025-07</v>
      </c>
      <c r="G3351" s="18">
        <f t="shared" si="313"/>
        <v>30</v>
      </c>
      <c r="H3351" t="str">
        <f t="shared" si="314"/>
        <v>DIOGO AZEVEDO</v>
      </c>
      <c r="I3351" t="str">
        <f t="shared" si="315"/>
        <v>VGS COMERCIO DE EMBALAGENS DE MADEIRAS LTDA ME</v>
      </c>
      <c r="J3351">
        <f t="shared" si="316"/>
        <v>0</v>
      </c>
      <c r="K3351">
        <f t="shared" si="317"/>
        <v>0</v>
      </c>
    </row>
    <row r="3352" spans="1:11" x14ac:dyDescent="0.25">
      <c r="A3352" t="s">
        <v>56</v>
      </c>
      <c r="B3352" t="s">
        <v>57</v>
      </c>
      <c r="C3352" t="s">
        <v>53</v>
      </c>
      <c r="D3352" s="6">
        <v>45861</v>
      </c>
      <c r="E3352" t="str">
        <f>VLOOKUP(B3352,'PROCV GERENTES BD'!A:B,2,0)</f>
        <v xml:space="preserve">ROGERIO </v>
      </c>
      <c r="F3352" s="4" t="str">
        <f t="shared" si="312"/>
        <v>2025-07</v>
      </c>
      <c r="G3352" s="18">
        <f t="shared" si="313"/>
        <v>30</v>
      </c>
      <c r="H3352" t="str">
        <f t="shared" si="314"/>
        <v xml:space="preserve">ROGERIO </v>
      </c>
      <c r="I3352" t="str">
        <f t="shared" si="315"/>
        <v>RODOVIEIRA TRANSPORTE LTDA</v>
      </c>
      <c r="J3352">
        <f t="shared" si="316"/>
        <v>1</v>
      </c>
      <c r="K3352">
        <f t="shared" si="317"/>
        <v>1</v>
      </c>
    </row>
    <row r="3353" spans="1:11" x14ac:dyDescent="0.25">
      <c r="A3353" t="s">
        <v>358</v>
      </c>
      <c r="B3353" t="s">
        <v>104</v>
      </c>
      <c r="C3353" t="s">
        <v>50</v>
      </c>
      <c r="D3353" s="6">
        <v>45861</v>
      </c>
      <c r="E3353" t="str">
        <f>VLOOKUP(B3353,'PROCV GERENTES BD'!A:B,2,0)</f>
        <v>DIOGO AZEVEDO</v>
      </c>
      <c r="F3353" s="4" t="str">
        <f t="shared" si="312"/>
        <v>2025-07</v>
      </c>
      <c r="G3353" s="18">
        <f t="shared" si="313"/>
        <v>30</v>
      </c>
      <c r="H3353" t="str">
        <f t="shared" si="314"/>
        <v>DIOGO AZEVEDO</v>
      </c>
      <c r="I3353" t="str">
        <f t="shared" si="315"/>
        <v>INDUSTRIA E CERVEJARIA ARTESANAL DE MINAS GERAIS L</v>
      </c>
      <c r="J3353">
        <f t="shared" si="316"/>
        <v>0</v>
      </c>
      <c r="K3353">
        <f t="shared" si="317"/>
        <v>1</v>
      </c>
    </row>
    <row r="3354" spans="1:11" x14ac:dyDescent="0.25">
      <c r="A3354" t="s">
        <v>434</v>
      </c>
      <c r="B3354" t="s">
        <v>185</v>
      </c>
      <c r="C3354" t="s">
        <v>50</v>
      </c>
      <c r="D3354" s="6">
        <v>45861</v>
      </c>
      <c r="E3354" t="str">
        <f>VLOOKUP(B3354,'PROCV GERENTES BD'!A:B,2,0)</f>
        <v>RAFAEL PARISE</v>
      </c>
      <c r="F3354" s="4" t="str">
        <f t="shared" si="312"/>
        <v>2025-07</v>
      </c>
      <c r="G3354" s="18">
        <f t="shared" si="313"/>
        <v>30</v>
      </c>
      <c r="H3354" t="str">
        <f t="shared" si="314"/>
        <v>RAFAEL PARISE</v>
      </c>
      <c r="I3354" t="str">
        <f t="shared" si="315"/>
        <v>MARCAS COMERCIO LTDA ME</v>
      </c>
      <c r="J3354">
        <f t="shared" si="316"/>
        <v>0</v>
      </c>
      <c r="K3354">
        <f t="shared" si="317"/>
        <v>1</v>
      </c>
    </row>
    <row r="3355" spans="1:11" x14ac:dyDescent="0.25">
      <c r="A3355" t="s">
        <v>381</v>
      </c>
      <c r="B3355" t="s">
        <v>128</v>
      </c>
      <c r="C3355" t="s">
        <v>50</v>
      </c>
      <c r="D3355" s="6">
        <v>45861</v>
      </c>
      <c r="E3355" t="str">
        <f>VLOOKUP(B3355,'PROCV GERENTES BD'!A:B,2,0)</f>
        <v>ADMINISTRAÇÃO</v>
      </c>
      <c r="F3355" s="4" t="str">
        <f t="shared" si="312"/>
        <v>2025-07</v>
      </c>
      <c r="G3355" s="18">
        <f t="shared" si="313"/>
        <v>30</v>
      </c>
      <c r="H3355" t="str">
        <f t="shared" si="314"/>
        <v>ADMINISTRAÇÃO</v>
      </c>
      <c r="I3355" t="str">
        <f t="shared" si="315"/>
        <v>MOLAS ANEL POSTO DE TROCA LTDA EPP</v>
      </c>
      <c r="J3355">
        <f t="shared" si="316"/>
        <v>0</v>
      </c>
      <c r="K3355">
        <f t="shared" si="317"/>
        <v>1</v>
      </c>
    </row>
    <row r="3356" spans="1:11" x14ac:dyDescent="0.25">
      <c r="A3356" t="s">
        <v>532</v>
      </c>
      <c r="B3356" t="s">
        <v>300</v>
      </c>
      <c r="C3356" t="s">
        <v>53</v>
      </c>
      <c r="D3356" s="6">
        <v>45861</v>
      </c>
      <c r="E3356" t="str">
        <f>VLOOKUP(B3356,'PROCV GERENTES BD'!A:B,2,0)</f>
        <v>RAFAEL PARISE</v>
      </c>
      <c r="F3356" s="4" t="str">
        <f t="shared" si="312"/>
        <v>2025-07</v>
      </c>
      <c r="G3356" s="18">
        <f t="shared" si="313"/>
        <v>30</v>
      </c>
      <c r="H3356" t="str">
        <f t="shared" si="314"/>
        <v>RAFAEL PARISE</v>
      </c>
      <c r="I3356" t="str">
        <f t="shared" si="315"/>
        <v>MINASPOL INDUSTRIA E COMERCIO DE COMPOSTOS POLIMER</v>
      </c>
      <c r="J3356">
        <f t="shared" si="316"/>
        <v>1</v>
      </c>
      <c r="K3356">
        <f t="shared" si="317"/>
        <v>1</v>
      </c>
    </row>
    <row r="3357" spans="1:11" x14ac:dyDescent="0.25">
      <c r="A3357" t="s">
        <v>51</v>
      </c>
      <c r="B3357" t="s">
        <v>52</v>
      </c>
      <c r="C3357" t="s">
        <v>50</v>
      </c>
      <c r="D3357" s="6">
        <v>45861</v>
      </c>
      <c r="E3357" t="str">
        <f>VLOOKUP(B3357,'PROCV GERENTES BD'!A:B,2,0)</f>
        <v>RAFAEL PARISE</v>
      </c>
      <c r="F3357" s="4" t="str">
        <f t="shared" si="312"/>
        <v>2025-07</v>
      </c>
      <c r="G3357" s="18">
        <f t="shared" si="313"/>
        <v>30</v>
      </c>
      <c r="H3357" t="str">
        <f t="shared" si="314"/>
        <v>RAFAEL PARISE</v>
      </c>
      <c r="I3357" t="str">
        <f t="shared" si="315"/>
        <v>TDR TRANSPORTES LOGISTICA LTDA</v>
      </c>
      <c r="J3357">
        <f t="shared" si="316"/>
        <v>0</v>
      </c>
      <c r="K3357">
        <f t="shared" si="317"/>
        <v>1</v>
      </c>
    </row>
    <row r="3358" spans="1:11" x14ac:dyDescent="0.25">
      <c r="A3358" t="s">
        <v>397</v>
      </c>
      <c r="B3358" t="s">
        <v>147</v>
      </c>
      <c r="C3358" t="s">
        <v>50</v>
      </c>
      <c r="D3358" s="6">
        <v>45861</v>
      </c>
      <c r="E3358" t="str">
        <f>VLOOKUP(B3358,'PROCV GERENTES BD'!A:B,2,0)</f>
        <v xml:space="preserve">MARCUS VINICIUS </v>
      </c>
      <c r="F3358" s="4" t="str">
        <f t="shared" si="312"/>
        <v>2025-07</v>
      </c>
      <c r="G3358" s="18">
        <f t="shared" si="313"/>
        <v>30</v>
      </c>
      <c r="H3358" t="str">
        <f t="shared" si="314"/>
        <v xml:space="preserve">MARCUS VINICIUS </v>
      </c>
      <c r="I3358" t="str">
        <f t="shared" si="315"/>
        <v>UNIVERSO INOX INDUSTRIA E COMERCIO LTDA EPP</v>
      </c>
      <c r="J3358">
        <f t="shared" si="316"/>
        <v>0</v>
      </c>
      <c r="K3358">
        <f t="shared" si="317"/>
        <v>1</v>
      </c>
    </row>
    <row r="3359" spans="1:11" x14ac:dyDescent="0.25">
      <c r="A3359" t="s">
        <v>523</v>
      </c>
      <c r="B3359" t="s">
        <v>288</v>
      </c>
      <c r="C3359" t="s">
        <v>53</v>
      </c>
      <c r="D3359" s="6">
        <v>45861</v>
      </c>
      <c r="E3359" t="str">
        <f>VLOOKUP(B3359,'PROCV GERENTES BD'!A:B,2,0)</f>
        <v>ADMINISTRAÇÃO</v>
      </c>
      <c r="F3359" s="4" t="str">
        <f t="shared" si="312"/>
        <v>2025-07</v>
      </c>
      <c r="G3359" s="18">
        <f t="shared" si="313"/>
        <v>30</v>
      </c>
      <c r="H3359" t="str">
        <f t="shared" si="314"/>
        <v>ADMINISTRAÇÃO</v>
      </c>
      <c r="I3359" t="str">
        <f t="shared" si="315"/>
        <v>REFRACONT BRASIL LTDA</v>
      </c>
      <c r="J3359">
        <f t="shared" si="316"/>
        <v>1</v>
      </c>
      <c r="K3359">
        <f t="shared" si="317"/>
        <v>1</v>
      </c>
    </row>
    <row r="3360" spans="1:11" x14ac:dyDescent="0.25">
      <c r="A3360" t="s">
        <v>58</v>
      </c>
      <c r="B3360" t="s">
        <v>59</v>
      </c>
      <c r="C3360" t="s">
        <v>53</v>
      </c>
      <c r="D3360" s="6">
        <v>45861</v>
      </c>
      <c r="E3360" t="str">
        <f>VLOOKUP(B3360,'PROCV GERENTES BD'!A:B,2,0)</f>
        <v>ADMINISTRAÇÃO</v>
      </c>
      <c r="F3360" s="4" t="str">
        <f t="shared" si="312"/>
        <v>2025-07</v>
      </c>
      <c r="G3360" s="18">
        <f t="shared" si="313"/>
        <v>30</v>
      </c>
      <c r="H3360" t="str">
        <f t="shared" si="314"/>
        <v>ADMINISTRAÇÃO</v>
      </c>
      <c r="I3360" t="str">
        <f t="shared" si="315"/>
        <v>BIOTECH LOGISTICA LTDA</v>
      </c>
      <c r="J3360">
        <f t="shared" si="316"/>
        <v>1</v>
      </c>
      <c r="K3360">
        <f t="shared" si="317"/>
        <v>1</v>
      </c>
    </row>
    <row r="3361" spans="1:11" x14ac:dyDescent="0.25">
      <c r="A3361" t="s">
        <v>314</v>
      </c>
      <c r="B3361" t="s">
        <v>246</v>
      </c>
      <c r="C3361" t="s">
        <v>66</v>
      </c>
      <c r="D3361" s="6">
        <v>45862</v>
      </c>
      <c r="E3361" t="str">
        <f>VLOOKUP(B3361,'PROCV GERENTES BD'!A:B,2,0)</f>
        <v xml:space="preserve">ROGERIO </v>
      </c>
      <c r="F3361" s="4" t="str">
        <f t="shared" si="312"/>
        <v>2025-07</v>
      </c>
      <c r="G3361" s="18">
        <f t="shared" si="313"/>
        <v>30</v>
      </c>
      <c r="H3361" t="str">
        <f t="shared" si="314"/>
        <v xml:space="preserve">ROGERIO </v>
      </c>
      <c r="I3361" t="str">
        <f t="shared" si="315"/>
        <v>MUTCD CENTRO DE DISTRIBUICAO DE IND FABRICANTE DE</v>
      </c>
      <c r="J3361">
        <f t="shared" si="316"/>
        <v>1</v>
      </c>
      <c r="K3361">
        <f t="shared" si="317"/>
        <v>0</v>
      </c>
    </row>
    <row r="3362" spans="1:11" x14ac:dyDescent="0.25">
      <c r="A3362" t="s">
        <v>478</v>
      </c>
      <c r="B3362" t="s">
        <v>235</v>
      </c>
      <c r="C3362" t="s">
        <v>50</v>
      </c>
      <c r="D3362" s="6">
        <v>45862</v>
      </c>
      <c r="E3362" t="str">
        <f>VLOOKUP(B3362,'PROCV GERENTES BD'!A:B,2,0)</f>
        <v>PROSPECTAR</v>
      </c>
      <c r="F3362" s="4" t="str">
        <f t="shared" si="312"/>
        <v>2025-07</v>
      </c>
      <c r="G3362" s="18">
        <f t="shared" si="313"/>
        <v>30</v>
      </c>
      <c r="H3362" t="str">
        <f t="shared" si="314"/>
        <v>PROSPECTAR</v>
      </c>
      <c r="I3362" t="str">
        <f t="shared" si="315"/>
        <v>NUTRIENS FERTIL LTDA ME</v>
      </c>
      <c r="J3362">
        <f t="shared" si="316"/>
        <v>0</v>
      </c>
      <c r="K3362">
        <f t="shared" si="317"/>
        <v>1</v>
      </c>
    </row>
    <row r="3363" spans="1:11" x14ac:dyDescent="0.25">
      <c r="A3363" t="s">
        <v>74</v>
      </c>
      <c r="B3363" t="s">
        <v>75</v>
      </c>
      <c r="C3363" t="s">
        <v>66</v>
      </c>
      <c r="D3363" s="6">
        <v>45862</v>
      </c>
      <c r="E3363" t="str">
        <f>VLOOKUP(B3363,'PROCV GERENTES BD'!A:B,2,0)</f>
        <v>CAIO</v>
      </c>
      <c r="F3363" s="4" t="str">
        <f t="shared" si="312"/>
        <v>2025-07</v>
      </c>
      <c r="G3363" s="18">
        <f t="shared" si="313"/>
        <v>30</v>
      </c>
      <c r="H3363" t="str">
        <f t="shared" si="314"/>
        <v>CAIO</v>
      </c>
      <c r="I3363" t="str">
        <f t="shared" si="315"/>
        <v>TP DISTRIBUIDORA DE PECAS LTDA EPP</v>
      </c>
      <c r="J3363">
        <f t="shared" si="316"/>
        <v>1</v>
      </c>
      <c r="K3363">
        <f t="shared" si="317"/>
        <v>0</v>
      </c>
    </row>
    <row r="3364" spans="1:11" x14ac:dyDescent="0.25">
      <c r="A3364" t="s">
        <v>64</v>
      </c>
      <c r="B3364" t="s">
        <v>65</v>
      </c>
      <c r="C3364" t="s">
        <v>53</v>
      </c>
      <c r="D3364" s="6">
        <v>45862</v>
      </c>
      <c r="E3364" t="str">
        <f>VLOOKUP(B3364,'PROCV GERENTES BD'!A:B,2,0)</f>
        <v>ADMINISTRAÇÃO</v>
      </c>
      <c r="F3364" s="4" t="str">
        <f t="shared" si="312"/>
        <v>2025-07</v>
      </c>
      <c r="G3364" s="18">
        <f t="shared" si="313"/>
        <v>30</v>
      </c>
      <c r="H3364" t="str">
        <f t="shared" si="314"/>
        <v>ADMINISTRAÇÃO</v>
      </c>
      <c r="I3364" t="str">
        <f t="shared" si="315"/>
        <v>SOCIAL S/A</v>
      </c>
      <c r="J3364">
        <f t="shared" si="316"/>
        <v>1</v>
      </c>
      <c r="K3364">
        <f t="shared" si="317"/>
        <v>1</v>
      </c>
    </row>
    <row r="3365" spans="1:11" x14ac:dyDescent="0.25">
      <c r="A3365" t="s">
        <v>604</v>
      </c>
      <c r="B3365" t="s">
        <v>605</v>
      </c>
      <c r="C3365" t="s">
        <v>50</v>
      </c>
      <c r="D3365" s="6">
        <v>45862</v>
      </c>
      <c r="E3365" t="str">
        <f>VLOOKUP(B3365,'PROCV GERENTES BD'!A:B,2,0)</f>
        <v>ALISSON DE SOUZA LIMA</v>
      </c>
      <c r="F3365" s="4" t="str">
        <f t="shared" si="312"/>
        <v>2025-07</v>
      </c>
      <c r="G3365" s="18">
        <f t="shared" si="313"/>
        <v>30</v>
      </c>
      <c r="H3365" t="str">
        <f t="shared" si="314"/>
        <v>ALISSON DE SOUZA LIMA</v>
      </c>
      <c r="I3365" t="str">
        <f t="shared" si="315"/>
        <v>3J FUNDICAO INDUSTRIAL LTDA</v>
      </c>
      <c r="J3365">
        <f t="shared" si="316"/>
        <v>0</v>
      </c>
      <c r="K3365">
        <f t="shared" si="317"/>
        <v>1</v>
      </c>
    </row>
    <row r="3366" spans="1:11" x14ac:dyDescent="0.25">
      <c r="A3366" t="s">
        <v>317</v>
      </c>
      <c r="B3366" t="s">
        <v>280</v>
      </c>
      <c r="C3366" t="s">
        <v>66</v>
      </c>
      <c r="D3366" s="6">
        <v>45862</v>
      </c>
      <c r="E3366" t="str">
        <f>VLOOKUP(B3366,'PROCV GERENTES BD'!A:B,2,0)</f>
        <v>PROSPECTAR</v>
      </c>
      <c r="F3366" s="4" t="str">
        <f t="shared" si="312"/>
        <v>2025-07</v>
      </c>
      <c r="G3366" s="18">
        <f t="shared" si="313"/>
        <v>30</v>
      </c>
      <c r="H3366" t="str">
        <f t="shared" si="314"/>
        <v>PROSPECTAR</v>
      </c>
      <c r="I3366" t="str">
        <f t="shared" si="315"/>
        <v>STA TECHCANA LTDA</v>
      </c>
      <c r="J3366">
        <f t="shared" si="316"/>
        <v>1</v>
      </c>
      <c r="K3366">
        <f t="shared" si="317"/>
        <v>0</v>
      </c>
    </row>
    <row r="3367" spans="1:11" x14ac:dyDescent="0.25">
      <c r="A3367" t="s">
        <v>318</v>
      </c>
      <c r="B3367" t="s">
        <v>203</v>
      </c>
      <c r="C3367" t="s">
        <v>50</v>
      </c>
      <c r="D3367" s="6">
        <v>45862</v>
      </c>
      <c r="E3367" t="str">
        <f>VLOOKUP(B3367,'PROCV GERENTES BD'!A:B,2,0)</f>
        <v>JOSE ROBERTO</v>
      </c>
      <c r="F3367" s="4" t="str">
        <f t="shared" si="312"/>
        <v>2025-07</v>
      </c>
      <c r="G3367" s="18">
        <f t="shared" si="313"/>
        <v>30</v>
      </c>
      <c r="H3367" t="str">
        <f t="shared" si="314"/>
        <v>JOSE ROBERTO</v>
      </c>
      <c r="I3367" t="str">
        <f t="shared" si="315"/>
        <v>FUNDACAO DE ENSINO E PESQUISA DO SUL DE MINAS FEPE</v>
      </c>
      <c r="J3367">
        <f t="shared" si="316"/>
        <v>0</v>
      </c>
      <c r="K3367">
        <f t="shared" si="317"/>
        <v>1</v>
      </c>
    </row>
    <row r="3368" spans="1:11" x14ac:dyDescent="0.25">
      <c r="A3368" t="s">
        <v>532</v>
      </c>
      <c r="B3368" t="s">
        <v>300</v>
      </c>
      <c r="C3368" t="s">
        <v>66</v>
      </c>
      <c r="D3368" s="6">
        <v>45862</v>
      </c>
      <c r="E3368" t="str">
        <f>VLOOKUP(B3368,'PROCV GERENTES BD'!A:B,2,0)</f>
        <v>RAFAEL PARISE</v>
      </c>
      <c r="F3368" s="4" t="str">
        <f t="shared" si="312"/>
        <v>2025-07</v>
      </c>
      <c r="G3368" s="18">
        <f t="shared" si="313"/>
        <v>30</v>
      </c>
      <c r="H3368" t="str">
        <f t="shared" si="314"/>
        <v>RAFAEL PARISE</v>
      </c>
      <c r="I3368" t="str">
        <f t="shared" si="315"/>
        <v>MINASPOL INDUSTRIA E COMERCIO DE COMPOSTOS POLIMER</v>
      </c>
      <c r="J3368">
        <f t="shared" si="316"/>
        <v>1</v>
      </c>
      <c r="K3368">
        <f t="shared" si="317"/>
        <v>0</v>
      </c>
    </row>
    <row r="3369" spans="1:11" x14ac:dyDescent="0.25">
      <c r="A3369" t="s">
        <v>533</v>
      </c>
      <c r="B3369" t="s">
        <v>301</v>
      </c>
      <c r="C3369" t="s">
        <v>50</v>
      </c>
      <c r="D3369" s="6">
        <v>45862</v>
      </c>
      <c r="E3369" t="str">
        <f>VLOOKUP(B3369,'PROCV GERENTES BD'!A:B,2,0)</f>
        <v xml:space="preserve">MARCUS VINICIUS </v>
      </c>
      <c r="F3369" s="4" t="str">
        <f t="shared" si="312"/>
        <v>2025-07</v>
      </c>
      <c r="G3369" s="18">
        <f t="shared" si="313"/>
        <v>30</v>
      </c>
      <c r="H3369" t="str">
        <f t="shared" si="314"/>
        <v xml:space="preserve">MARCUS VINICIUS </v>
      </c>
      <c r="I3369" t="str">
        <f t="shared" si="315"/>
        <v>LINDINALDO ANISIO DA SILVA ME</v>
      </c>
      <c r="J3369">
        <f t="shared" si="316"/>
        <v>0</v>
      </c>
      <c r="K3369">
        <f t="shared" si="317"/>
        <v>1</v>
      </c>
    </row>
    <row r="3370" spans="1:11" x14ac:dyDescent="0.25">
      <c r="A3370" t="s">
        <v>506</v>
      </c>
      <c r="B3370" t="s">
        <v>268</v>
      </c>
      <c r="C3370" t="s">
        <v>66</v>
      </c>
      <c r="D3370" s="6">
        <v>45862</v>
      </c>
      <c r="E3370" t="str">
        <f>VLOOKUP(B3370,'PROCV GERENTES BD'!A:B,2,0)</f>
        <v>CAIO</v>
      </c>
      <c r="F3370" s="4" t="str">
        <f t="shared" si="312"/>
        <v>2025-07</v>
      </c>
      <c r="G3370" s="18">
        <f t="shared" si="313"/>
        <v>30</v>
      </c>
      <c r="H3370" t="str">
        <f t="shared" si="314"/>
        <v>CAIO</v>
      </c>
      <c r="I3370" t="str">
        <f t="shared" si="315"/>
        <v>BEECORP BEM ESTAR CORPORATIVO LTDA ME</v>
      </c>
      <c r="J3370">
        <f t="shared" si="316"/>
        <v>1</v>
      </c>
      <c r="K3370">
        <f t="shared" si="317"/>
        <v>0</v>
      </c>
    </row>
    <row r="3371" spans="1:11" x14ac:dyDescent="0.25">
      <c r="A3371" t="s">
        <v>308</v>
      </c>
      <c r="B3371" t="s">
        <v>284</v>
      </c>
      <c r="C3371" t="s">
        <v>50</v>
      </c>
      <c r="D3371" s="6">
        <v>45862</v>
      </c>
      <c r="E3371" t="str">
        <f>VLOOKUP(B3371,'PROCV GERENTES BD'!A:B,2,0)</f>
        <v>CAIO</v>
      </c>
      <c r="F3371" s="4" t="str">
        <f t="shared" si="312"/>
        <v>2025-07</v>
      </c>
      <c r="G3371" s="18">
        <f t="shared" si="313"/>
        <v>30</v>
      </c>
      <c r="H3371" t="str">
        <f t="shared" si="314"/>
        <v>CAIO</v>
      </c>
      <c r="I3371" t="str">
        <f t="shared" si="315"/>
        <v>GLOBALMAX INDUSTRIA PLASTICA S/A</v>
      </c>
      <c r="J3371">
        <f t="shared" si="316"/>
        <v>0</v>
      </c>
      <c r="K3371">
        <f t="shared" si="317"/>
        <v>1</v>
      </c>
    </row>
    <row r="3372" spans="1:11" x14ac:dyDescent="0.25">
      <c r="A3372" t="s">
        <v>51</v>
      </c>
      <c r="B3372" t="s">
        <v>52</v>
      </c>
      <c r="C3372" t="s">
        <v>50</v>
      </c>
      <c r="D3372" s="6">
        <v>45862</v>
      </c>
      <c r="E3372" t="str">
        <f>VLOOKUP(B3372,'PROCV GERENTES BD'!A:B,2,0)</f>
        <v>RAFAEL PARISE</v>
      </c>
      <c r="F3372" s="4" t="str">
        <f t="shared" si="312"/>
        <v>2025-07</v>
      </c>
      <c r="G3372" s="18">
        <f t="shared" si="313"/>
        <v>30</v>
      </c>
      <c r="H3372" t="str">
        <f t="shared" si="314"/>
        <v>RAFAEL PARISE</v>
      </c>
      <c r="I3372" t="str">
        <f t="shared" si="315"/>
        <v>TDR TRANSPORTES LOGISTICA LTDA</v>
      </c>
      <c r="J3372">
        <f t="shared" si="316"/>
        <v>0</v>
      </c>
      <c r="K3372">
        <f t="shared" si="317"/>
        <v>1</v>
      </c>
    </row>
    <row r="3373" spans="1:11" x14ac:dyDescent="0.25">
      <c r="A3373" t="s">
        <v>306</v>
      </c>
      <c r="B3373" t="s">
        <v>266</v>
      </c>
      <c r="C3373" t="s">
        <v>50</v>
      </c>
      <c r="D3373" s="6">
        <v>45862</v>
      </c>
      <c r="E3373" t="str">
        <f>VLOOKUP(B3373,'PROCV GERENTES BD'!A:B,2,0)</f>
        <v>CAIO</v>
      </c>
      <c r="F3373" s="4" t="str">
        <f t="shared" si="312"/>
        <v>2025-07</v>
      </c>
      <c r="G3373" s="18">
        <f t="shared" si="313"/>
        <v>30</v>
      </c>
      <c r="H3373" t="str">
        <f t="shared" si="314"/>
        <v>CAIO</v>
      </c>
      <c r="I3373" t="str">
        <f t="shared" si="315"/>
        <v>MECALD MECANICA E CALDEIRARIA LTDA EPP</v>
      </c>
      <c r="J3373">
        <f t="shared" si="316"/>
        <v>0</v>
      </c>
      <c r="K3373">
        <f t="shared" si="317"/>
        <v>1</v>
      </c>
    </row>
    <row r="3374" spans="1:11" x14ac:dyDescent="0.25">
      <c r="A3374" t="s">
        <v>523</v>
      </c>
      <c r="B3374" t="s">
        <v>288</v>
      </c>
      <c r="C3374" t="s">
        <v>50</v>
      </c>
      <c r="D3374" s="6">
        <v>45862</v>
      </c>
      <c r="E3374" t="str">
        <f>VLOOKUP(B3374,'PROCV GERENTES BD'!A:B,2,0)</f>
        <v>ADMINISTRAÇÃO</v>
      </c>
      <c r="F3374" s="4" t="str">
        <f t="shared" si="312"/>
        <v>2025-07</v>
      </c>
      <c r="G3374" s="18">
        <f t="shared" si="313"/>
        <v>30</v>
      </c>
      <c r="H3374" t="str">
        <f t="shared" si="314"/>
        <v>ADMINISTRAÇÃO</v>
      </c>
      <c r="I3374" t="str">
        <f t="shared" si="315"/>
        <v>REFRACONT BRASIL LTDA</v>
      </c>
      <c r="J3374">
        <f t="shared" si="316"/>
        <v>0</v>
      </c>
      <c r="K3374">
        <f t="shared" si="317"/>
        <v>1</v>
      </c>
    </row>
    <row r="3375" spans="1:11" x14ac:dyDescent="0.25">
      <c r="A3375" t="s">
        <v>430</v>
      </c>
      <c r="B3375" t="s">
        <v>181</v>
      </c>
      <c r="C3375" t="s">
        <v>50</v>
      </c>
      <c r="D3375" s="6">
        <v>45862</v>
      </c>
      <c r="E3375" t="str">
        <f>VLOOKUP(B3375,'PROCV GERENTES BD'!A:B,2,0)</f>
        <v>PROSPECTAR</v>
      </c>
      <c r="F3375" s="4" t="str">
        <f t="shared" si="312"/>
        <v>2025-07</v>
      </c>
      <c r="G3375" s="18">
        <f t="shared" si="313"/>
        <v>30</v>
      </c>
      <c r="H3375" t="str">
        <f t="shared" si="314"/>
        <v>PROSPECTAR</v>
      </c>
      <c r="I3375" t="str">
        <f t="shared" si="315"/>
        <v>SIQUEIRA E GAIPO INDUSTRIA E MATERIAIS ESPORTIVOS</v>
      </c>
      <c r="J3375">
        <f t="shared" si="316"/>
        <v>0</v>
      </c>
      <c r="K3375">
        <f t="shared" si="317"/>
        <v>1</v>
      </c>
    </row>
    <row r="3376" spans="1:11" x14ac:dyDescent="0.25">
      <c r="A3376" t="s">
        <v>56</v>
      </c>
      <c r="B3376" t="s">
        <v>57</v>
      </c>
      <c r="C3376" t="s">
        <v>66</v>
      </c>
      <c r="D3376" s="6">
        <v>45862</v>
      </c>
      <c r="E3376" t="str">
        <f>VLOOKUP(B3376,'PROCV GERENTES BD'!A:B,2,0)</f>
        <v xml:space="preserve">ROGERIO </v>
      </c>
      <c r="F3376" s="4" t="str">
        <f t="shared" si="312"/>
        <v>2025-07</v>
      </c>
      <c r="G3376" s="18">
        <f t="shared" si="313"/>
        <v>30</v>
      </c>
      <c r="H3376" t="str">
        <f t="shared" si="314"/>
        <v xml:space="preserve">ROGERIO </v>
      </c>
      <c r="I3376" t="str">
        <f t="shared" si="315"/>
        <v>RODOVIEIRA TRANSPORTE LTDA</v>
      </c>
      <c r="J3376">
        <f t="shared" si="316"/>
        <v>1</v>
      </c>
      <c r="K3376">
        <f t="shared" si="317"/>
        <v>0</v>
      </c>
    </row>
    <row r="3377" spans="1:11" x14ac:dyDescent="0.25">
      <c r="A3377" t="s">
        <v>623</v>
      </c>
      <c r="B3377" t="s">
        <v>624</v>
      </c>
      <c r="C3377" t="s">
        <v>66</v>
      </c>
      <c r="D3377" s="6">
        <v>45862</v>
      </c>
      <c r="E3377" t="str">
        <f>VLOOKUP(B3377,'PROCV GERENTES BD'!A:B,2,0)</f>
        <v>ALISSON DE SOUZA LIMA</v>
      </c>
      <c r="F3377" s="4" t="str">
        <f t="shared" si="312"/>
        <v>2025-07</v>
      </c>
      <c r="G3377" s="18">
        <f t="shared" si="313"/>
        <v>30</v>
      </c>
      <c r="H3377" t="str">
        <f t="shared" si="314"/>
        <v>ALISSON DE SOUZA LIMA</v>
      </c>
      <c r="I3377" t="str">
        <f t="shared" si="315"/>
        <v>A2 VIDROS INDUSTRIA E COMERCIO LTDA</v>
      </c>
      <c r="J3377">
        <f t="shared" si="316"/>
        <v>1</v>
      </c>
      <c r="K3377">
        <f t="shared" si="317"/>
        <v>0</v>
      </c>
    </row>
    <row r="3378" spans="1:11" x14ac:dyDescent="0.25">
      <c r="A3378" t="s">
        <v>375</v>
      </c>
      <c r="B3378" t="s">
        <v>120</v>
      </c>
      <c r="C3378" t="s">
        <v>66</v>
      </c>
      <c r="D3378" s="6">
        <v>45863</v>
      </c>
      <c r="E3378" t="str">
        <f>VLOOKUP(B3378,'PROCV GERENTES BD'!A:B,2,0)</f>
        <v>ADMINISTRAÇÃO</v>
      </c>
      <c r="F3378" s="4" t="str">
        <f t="shared" si="312"/>
        <v>2025-07</v>
      </c>
      <c r="G3378" s="18">
        <f t="shared" si="313"/>
        <v>30</v>
      </c>
      <c r="H3378" t="str">
        <f t="shared" si="314"/>
        <v>ADMINISTRAÇÃO</v>
      </c>
      <c r="I3378" t="str">
        <f t="shared" si="315"/>
        <v>FARINELLI NUTRIMENTOS LTDA</v>
      </c>
      <c r="J3378">
        <f t="shared" si="316"/>
        <v>1</v>
      </c>
      <c r="K3378">
        <f t="shared" si="317"/>
        <v>0</v>
      </c>
    </row>
    <row r="3379" spans="1:11" x14ac:dyDescent="0.25">
      <c r="A3379" t="s">
        <v>610</v>
      </c>
      <c r="B3379" t="s">
        <v>611</v>
      </c>
      <c r="C3379" t="s">
        <v>66</v>
      </c>
      <c r="D3379" s="6">
        <v>45863</v>
      </c>
      <c r="E3379" t="str">
        <f>VLOOKUP(B3379,'PROCV GERENTES BD'!A:B,2,0)</f>
        <v>TIAGO NEVES</v>
      </c>
      <c r="F3379" s="4" t="str">
        <f t="shared" si="312"/>
        <v>2025-07</v>
      </c>
      <c r="G3379" s="18">
        <f t="shared" si="313"/>
        <v>30</v>
      </c>
      <c r="H3379" t="str">
        <f t="shared" si="314"/>
        <v>TIAGO NEVES</v>
      </c>
      <c r="I3379" t="str">
        <f t="shared" si="315"/>
        <v>TRATOR GLASS LTDA ME</v>
      </c>
      <c r="J3379">
        <f t="shared" si="316"/>
        <v>1</v>
      </c>
      <c r="K3379">
        <f t="shared" si="317"/>
        <v>0</v>
      </c>
    </row>
    <row r="3380" spans="1:11" x14ac:dyDescent="0.25">
      <c r="A3380" t="s">
        <v>645</v>
      </c>
      <c r="B3380" t="s">
        <v>646</v>
      </c>
      <c r="C3380" t="s">
        <v>50</v>
      </c>
      <c r="D3380" s="6">
        <v>45863</v>
      </c>
      <c r="E3380" t="str">
        <f>VLOOKUP(B3380,'PROCV GERENTES BD'!A:B,2,0)</f>
        <v>RAFAEL PARISE</v>
      </c>
      <c r="F3380" s="4" t="str">
        <f t="shared" si="312"/>
        <v>2025-07</v>
      </c>
      <c r="G3380" s="18">
        <f t="shared" si="313"/>
        <v>30</v>
      </c>
      <c r="H3380" t="str">
        <f t="shared" si="314"/>
        <v>RAFAEL PARISE</v>
      </c>
      <c r="I3380" t="str">
        <f t="shared" si="315"/>
        <v>SIGGA LOGISTICA LTDA</v>
      </c>
      <c r="J3380">
        <f t="shared" si="316"/>
        <v>0</v>
      </c>
      <c r="K3380">
        <f t="shared" si="317"/>
        <v>1</v>
      </c>
    </row>
    <row r="3381" spans="1:11" x14ac:dyDescent="0.25">
      <c r="A3381" t="s">
        <v>518</v>
      </c>
      <c r="B3381" t="s">
        <v>282</v>
      </c>
      <c r="C3381" t="s">
        <v>50</v>
      </c>
      <c r="D3381" s="6">
        <v>45863</v>
      </c>
      <c r="E3381" t="str">
        <f>VLOOKUP(B3381,'PROCV GERENTES BD'!A:B,2,0)</f>
        <v>ANTECIPA</v>
      </c>
      <c r="F3381" s="4" t="str">
        <f t="shared" si="312"/>
        <v>2025-07</v>
      </c>
      <c r="G3381" s="18">
        <f t="shared" si="313"/>
        <v>30</v>
      </c>
      <c r="H3381" t="str">
        <f t="shared" si="314"/>
        <v>ANTECIPA</v>
      </c>
      <c r="I3381" t="str">
        <f t="shared" si="315"/>
        <v>CENTRAL DE SUPRIMENTOS INDUSTRIAIS LTDA EPP</v>
      </c>
      <c r="J3381">
        <f t="shared" si="316"/>
        <v>0</v>
      </c>
      <c r="K3381">
        <f t="shared" si="317"/>
        <v>1</v>
      </c>
    </row>
    <row r="3382" spans="1:11" x14ac:dyDescent="0.25">
      <c r="A3382" t="s">
        <v>505</v>
      </c>
      <c r="B3382" t="s">
        <v>267</v>
      </c>
      <c r="C3382" t="s">
        <v>50</v>
      </c>
      <c r="D3382" s="6">
        <v>45863</v>
      </c>
      <c r="E3382" t="str">
        <f>VLOOKUP(B3382,'PROCV GERENTES BD'!A:B,2,0)</f>
        <v>PRISCILA METZ</v>
      </c>
      <c r="F3382" s="4" t="str">
        <f t="shared" si="312"/>
        <v>2025-07</v>
      </c>
      <c r="G3382" s="18">
        <f t="shared" si="313"/>
        <v>30</v>
      </c>
      <c r="H3382" t="str">
        <f t="shared" si="314"/>
        <v>PRISCILA METZ</v>
      </c>
      <c r="I3382" t="str">
        <f t="shared" si="315"/>
        <v>REAL DISTRIBUIDORA DE PRODUTOS PARA MARMORARIA LTD</v>
      </c>
      <c r="J3382">
        <f t="shared" si="316"/>
        <v>0</v>
      </c>
      <c r="K3382">
        <f t="shared" si="317"/>
        <v>1</v>
      </c>
    </row>
    <row r="3383" spans="1:11" x14ac:dyDescent="0.25">
      <c r="A3383" t="s">
        <v>625</v>
      </c>
      <c r="B3383" t="s">
        <v>537</v>
      </c>
      <c r="C3383" t="s">
        <v>50</v>
      </c>
      <c r="D3383" s="6">
        <v>45863</v>
      </c>
      <c r="E3383" t="str">
        <f>VLOOKUP(B3383,'PROCV GERENTES BD'!A:B,2,0)</f>
        <v>WASHINGTON</v>
      </c>
      <c r="F3383" s="4" t="str">
        <f t="shared" si="312"/>
        <v>2025-07</v>
      </c>
      <c r="G3383" s="18">
        <f t="shared" si="313"/>
        <v>30</v>
      </c>
      <c r="H3383" t="str">
        <f t="shared" si="314"/>
        <v>WASHINGTON</v>
      </c>
      <c r="I3383" t="str">
        <f t="shared" si="315"/>
        <v>COMERCIAL SEGURANCA LTDA ME</v>
      </c>
      <c r="J3383">
        <f t="shared" si="316"/>
        <v>0</v>
      </c>
      <c r="K3383">
        <f t="shared" si="317"/>
        <v>1</v>
      </c>
    </row>
    <row r="3384" spans="1:11" x14ac:dyDescent="0.25">
      <c r="A3384" t="s">
        <v>64</v>
      </c>
      <c r="B3384" t="s">
        <v>65</v>
      </c>
      <c r="C3384" t="s">
        <v>50</v>
      </c>
      <c r="D3384" s="6">
        <v>45863</v>
      </c>
      <c r="E3384" t="str">
        <f>VLOOKUP(B3384,'PROCV GERENTES BD'!A:B,2,0)</f>
        <v>ADMINISTRAÇÃO</v>
      </c>
      <c r="F3384" s="4" t="str">
        <f t="shared" si="312"/>
        <v>2025-07</v>
      </c>
      <c r="G3384" s="18">
        <f t="shared" si="313"/>
        <v>30</v>
      </c>
      <c r="H3384" t="str">
        <f t="shared" si="314"/>
        <v>ADMINISTRAÇÃO</v>
      </c>
      <c r="I3384" t="str">
        <f t="shared" si="315"/>
        <v>SOCIAL S/A</v>
      </c>
      <c r="J3384">
        <f t="shared" si="316"/>
        <v>0</v>
      </c>
      <c r="K3384">
        <f t="shared" si="317"/>
        <v>1</v>
      </c>
    </row>
    <row r="3385" spans="1:11" x14ac:dyDescent="0.25">
      <c r="A3385" t="s">
        <v>459</v>
      </c>
      <c r="B3385" t="s">
        <v>216</v>
      </c>
      <c r="C3385" t="s">
        <v>50</v>
      </c>
      <c r="D3385" s="6">
        <v>45863</v>
      </c>
      <c r="E3385" t="str">
        <f>VLOOKUP(B3385,'PROCV GERENTES BD'!A:B,2,0)</f>
        <v>ADMINISTRAÇÃO</v>
      </c>
      <c r="F3385" s="4" t="str">
        <f t="shared" si="312"/>
        <v>2025-07</v>
      </c>
      <c r="G3385" s="18">
        <f t="shared" si="313"/>
        <v>30</v>
      </c>
      <c r="H3385" t="str">
        <f t="shared" si="314"/>
        <v>ADMINISTRAÇÃO</v>
      </c>
      <c r="I3385" t="str">
        <f t="shared" si="315"/>
        <v>JABEZ SERVICOS COMPARTILHADOS LTDA ME</v>
      </c>
      <c r="J3385">
        <f t="shared" si="316"/>
        <v>0</v>
      </c>
      <c r="K3385">
        <f t="shared" si="317"/>
        <v>1</v>
      </c>
    </row>
    <row r="3386" spans="1:11" x14ac:dyDescent="0.25">
      <c r="A3386" t="s">
        <v>430</v>
      </c>
      <c r="B3386" t="s">
        <v>181</v>
      </c>
      <c r="C3386" t="s">
        <v>50</v>
      </c>
      <c r="D3386" s="6">
        <v>45863</v>
      </c>
      <c r="E3386" t="str">
        <f>VLOOKUP(B3386,'PROCV GERENTES BD'!A:B,2,0)</f>
        <v>PROSPECTAR</v>
      </c>
      <c r="F3386" s="4" t="str">
        <f t="shared" si="312"/>
        <v>2025-07</v>
      </c>
      <c r="G3386" s="18">
        <f t="shared" si="313"/>
        <v>30</v>
      </c>
      <c r="H3386" t="str">
        <f t="shared" si="314"/>
        <v>PROSPECTAR</v>
      </c>
      <c r="I3386" t="str">
        <f t="shared" si="315"/>
        <v>SIQUEIRA E GAIPO INDUSTRIA E MATERIAIS ESPORTIVOS</v>
      </c>
      <c r="J3386">
        <f t="shared" si="316"/>
        <v>0</v>
      </c>
      <c r="K3386">
        <f t="shared" si="317"/>
        <v>1</v>
      </c>
    </row>
    <row r="3387" spans="1:11" x14ac:dyDescent="0.25">
      <c r="A3387" t="s">
        <v>318</v>
      </c>
      <c r="B3387" t="s">
        <v>203</v>
      </c>
      <c r="C3387" t="s">
        <v>53</v>
      </c>
      <c r="D3387" s="6">
        <v>45863</v>
      </c>
      <c r="E3387" t="str">
        <f>VLOOKUP(B3387,'PROCV GERENTES BD'!A:B,2,0)</f>
        <v>JOSE ROBERTO</v>
      </c>
      <c r="F3387" s="4" t="str">
        <f t="shared" si="312"/>
        <v>2025-07</v>
      </c>
      <c r="G3387" s="18">
        <f t="shared" si="313"/>
        <v>30</v>
      </c>
      <c r="H3387" t="str">
        <f t="shared" si="314"/>
        <v>JOSE ROBERTO</v>
      </c>
      <c r="I3387" t="str">
        <f t="shared" si="315"/>
        <v>FUNDACAO DE ENSINO E PESQUISA DO SUL DE MINAS FEPE</v>
      </c>
      <c r="J3387">
        <f t="shared" si="316"/>
        <v>1</v>
      </c>
      <c r="K3387">
        <f t="shared" si="317"/>
        <v>1</v>
      </c>
    </row>
    <row r="3388" spans="1:11" x14ac:dyDescent="0.25">
      <c r="A3388" t="s">
        <v>331</v>
      </c>
      <c r="B3388" t="s">
        <v>144</v>
      </c>
      <c r="C3388" t="s">
        <v>66</v>
      </c>
      <c r="D3388" s="6">
        <v>45863</v>
      </c>
      <c r="E3388" t="str">
        <f>VLOOKUP(B3388,'PROCV GERENTES BD'!A:B,2,0)</f>
        <v>ADMINISTRAÇÃO</v>
      </c>
      <c r="F3388" s="4" t="str">
        <f t="shared" si="312"/>
        <v>2025-07</v>
      </c>
      <c r="G3388" s="18">
        <f t="shared" si="313"/>
        <v>30</v>
      </c>
      <c r="H3388" t="str">
        <f t="shared" si="314"/>
        <v>ADMINISTRAÇÃO</v>
      </c>
      <c r="I3388" t="str">
        <f t="shared" si="315"/>
        <v>BOM PASTOR PAPEIS LTDA EM RECUPERACAO JUDICIAL</v>
      </c>
      <c r="J3388">
        <f t="shared" si="316"/>
        <v>1</v>
      </c>
      <c r="K3388">
        <f t="shared" si="317"/>
        <v>0</v>
      </c>
    </row>
    <row r="3389" spans="1:11" x14ac:dyDescent="0.25">
      <c r="A3389" t="s">
        <v>358</v>
      </c>
      <c r="B3389" t="s">
        <v>104</v>
      </c>
      <c r="C3389" t="s">
        <v>50</v>
      </c>
      <c r="D3389" s="6">
        <v>45863</v>
      </c>
      <c r="E3389" t="str">
        <f>VLOOKUP(B3389,'PROCV GERENTES BD'!A:B,2,0)</f>
        <v>DIOGO AZEVEDO</v>
      </c>
      <c r="F3389" s="4" t="str">
        <f t="shared" si="312"/>
        <v>2025-07</v>
      </c>
      <c r="G3389" s="18">
        <f t="shared" si="313"/>
        <v>30</v>
      </c>
      <c r="H3389" t="str">
        <f t="shared" si="314"/>
        <v>DIOGO AZEVEDO</v>
      </c>
      <c r="I3389" t="str">
        <f t="shared" si="315"/>
        <v>INDUSTRIA E CERVEJARIA ARTESANAL DE MINAS GERAIS L</v>
      </c>
      <c r="J3389">
        <f t="shared" si="316"/>
        <v>0</v>
      </c>
      <c r="K3389">
        <f t="shared" si="317"/>
        <v>1</v>
      </c>
    </row>
    <row r="3390" spans="1:11" x14ac:dyDescent="0.25">
      <c r="A3390" t="s">
        <v>393</v>
      </c>
      <c r="B3390" t="s">
        <v>142</v>
      </c>
      <c r="C3390" t="s">
        <v>50</v>
      </c>
      <c r="D3390" s="6">
        <v>45863</v>
      </c>
      <c r="E3390" t="str">
        <f>VLOOKUP(B3390,'PROCV GERENTES BD'!A:B,2,0)</f>
        <v>ADMINISTRAÇÃO</v>
      </c>
      <c r="F3390" s="4" t="str">
        <f t="shared" si="312"/>
        <v>2025-07</v>
      </c>
      <c r="G3390" s="18">
        <f t="shared" si="313"/>
        <v>30</v>
      </c>
      <c r="H3390" t="str">
        <f t="shared" si="314"/>
        <v>ADMINISTRAÇÃO</v>
      </c>
      <c r="I3390" t="str">
        <f t="shared" si="315"/>
        <v>MONTAGEM MINAS GERAIS LTDA ME</v>
      </c>
      <c r="J3390">
        <f t="shared" si="316"/>
        <v>0</v>
      </c>
      <c r="K3390">
        <f t="shared" si="317"/>
        <v>1</v>
      </c>
    </row>
    <row r="3391" spans="1:11" x14ac:dyDescent="0.25">
      <c r="A3391" t="s">
        <v>322</v>
      </c>
      <c r="B3391" t="s">
        <v>294</v>
      </c>
      <c r="C3391" t="s">
        <v>50</v>
      </c>
      <c r="D3391" s="6">
        <v>45863</v>
      </c>
      <c r="E3391" t="str">
        <f>VLOOKUP(B3391,'PROCV GERENTES BD'!A:B,2,0)</f>
        <v>CAIO</v>
      </c>
      <c r="F3391" s="4" t="str">
        <f t="shared" si="312"/>
        <v>2025-07</v>
      </c>
      <c r="G3391" s="18">
        <f t="shared" si="313"/>
        <v>30</v>
      </c>
      <c r="H3391" t="str">
        <f t="shared" si="314"/>
        <v>CAIO</v>
      </c>
      <c r="I3391" t="str">
        <f t="shared" si="315"/>
        <v>LAF COMERCIAL LTDA ME</v>
      </c>
      <c r="J3391">
        <f t="shared" si="316"/>
        <v>0</v>
      </c>
      <c r="K3391">
        <f t="shared" si="317"/>
        <v>1</v>
      </c>
    </row>
    <row r="3392" spans="1:11" x14ac:dyDescent="0.25">
      <c r="A3392" t="s">
        <v>323</v>
      </c>
      <c r="B3392" t="s">
        <v>109</v>
      </c>
      <c r="C3392" t="s">
        <v>66</v>
      </c>
      <c r="D3392" s="6">
        <v>45863</v>
      </c>
      <c r="E3392" t="str">
        <f>VLOOKUP(B3392,'PROCV GERENTES BD'!A:B,2,0)</f>
        <v>PROSPECTAR</v>
      </c>
      <c r="F3392" s="4" t="str">
        <f t="shared" si="312"/>
        <v>2025-07</v>
      </c>
      <c r="G3392" s="18">
        <f t="shared" si="313"/>
        <v>30</v>
      </c>
      <c r="H3392" t="str">
        <f t="shared" si="314"/>
        <v>PROSPECTAR</v>
      </c>
      <c r="I3392" t="str">
        <f t="shared" si="315"/>
        <v>SIAP COMERCIO DE PRODUTOS AGROPECUARIOS LTDA</v>
      </c>
      <c r="J3392">
        <f t="shared" si="316"/>
        <v>1</v>
      </c>
      <c r="K3392">
        <f t="shared" si="317"/>
        <v>0</v>
      </c>
    </row>
    <row r="3393" spans="1:11" x14ac:dyDescent="0.25">
      <c r="A3393" t="s">
        <v>48</v>
      </c>
      <c r="B3393" t="s">
        <v>49</v>
      </c>
      <c r="C3393" t="s">
        <v>66</v>
      </c>
      <c r="D3393" s="6">
        <v>45863</v>
      </c>
      <c r="E3393" t="str">
        <f>VLOOKUP(B3393,'PROCV GERENTES BD'!A:B,2,0)</f>
        <v xml:space="preserve">MARCUS VINICIUS </v>
      </c>
      <c r="F3393" s="4" t="str">
        <f t="shared" si="312"/>
        <v>2025-07</v>
      </c>
      <c r="G3393" s="18">
        <f t="shared" si="313"/>
        <v>30</v>
      </c>
      <c r="H3393" t="str">
        <f t="shared" si="314"/>
        <v xml:space="preserve">MARCUS VINICIUS </v>
      </c>
      <c r="I3393" t="str">
        <f t="shared" si="315"/>
        <v>PROMEL IND COM IMP E EXP DE PRODS NATURAIS LTDA</v>
      </c>
      <c r="J3393">
        <f t="shared" si="316"/>
        <v>1</v>
      </c>
      <c r="K3393">
        <f t="shared" si="317"/>
        <v>0</v>
      </c>
    </row>
    <row r="3394" spans="1:11" x14ac:dyDescent="0.25">
      <c r="A3394" t="s">
        <v>529</v>
      </c>
      <c r="B3394" t="s">
        <v>297</v>
      </c>
      <c r="C3394" t="s">
        <v>53</v>
      </c>
      <c r="D3394" s="6">
        <v>45863</v>
      </c>
      <c r="E3394" t="str">
        <f>VLOOKUP(B3394,'PROCV GERENTES BD'!A:B,2,0)</f>
        <v>ANDRE CUNHA</v>
      </c>
      <c r="F3394" s="4" t="str">
        <f t="shared" ref="F3394:F3457" si="318">YEAR(D3394)&amp;"-"&amp;TEXT(MONTH(D3394),"00")</f>
        <v>2025-07</v>
      </c>
      <c r="G3394" s="18">
        <f t="shared" ref="G3394:G3457" si="319">WEEKNUM(D3394)</f>
        <v>30</v>
      </c>
      <c r="H3394" t="str">
        <f t="shared" ref="H3394:H3457" si="320">E3394</f>
        <v>ANDRE CUNHA</v>
      </c>
      <c r="I3394" t="str">
        <f t="shared" ref="I3394:I3457" si="321">B3394</f>
        <v>REVPACK TECNOLOGIA E COMERCIO DE COMPONENTES PLAST</v>
      </c>
      <c r="J3394">
        <f t="shared" ref="J3394:J3457" si="322">IF(OR(C3394="EXCLUSAO  ANOT.INADIMPLENCIA",C3394="INCL/EXCL ANOT.INADIMPLENCIA"),1,0)</f>
        <v>1</v>
      </c>
      <c r="K3394">
        <f t="shared" ref="K3394:K3457" si="323">IF(OR(C3394="INCLUSAO  ANOT.INADIMPLENCIA",C3394="INCL/EXCL ANOT.INADIMPLENCIA"),1,0)</f>
        <v>1</v>
      </c>
    </row>
    <row r="3395" spans="1:11" x14ac:dyDescent="0.25">
      <c r="A3395" t="s">
        <v>319</v>
      </c>
      <c r="B3395" t="s">
        <v>80</v>
      </c>
      <c r="C3395" t="s">
        <v>53</v>
      </c>
      <c r="D3395" s="6">
        <v>45863</v>
      </c>
      <c r="E3395" t="str">
        <f>VLOOKUP(B3395,'PROCV GERENTES BD'!A:B,2,0)</f>
        <v>CELIO PIMENTA</v>
      </c>
      <c r="F3395" s="4" t="str">
        <f t="shared" si="318"/>
        <v>2025-07</v>
      </c>
      <c r="G3395" s="18">
        <f t="shared" si="319"/>
        <v>30</v>
      </c>
      <c r="H3395" t="str">
        <f t="shared" si="320"/>
        <v>CELIO PIMENTA</v>
      </c>
      <c r="I3395" t="str">
        <f t="shared" si="321"/>
        <v>IMPORTEXTIL COMERCIO DE TECIDOS LTDA</v>
      </c>
      <c r="J3395">
        <f t="shared" si="322"/>
        <v>1</v>
      </c>
      <c r="K3395">
        <f t="shared" si="323"/>
        <v>1</v>
      </c>
    </row>
    <row r="3396" spans="1:11" x14ac:dyDescent="0.25">
      <c r="A3396" t="s">
        <v>445</v>
      </c>
      <c r="B3396" t="s">
        <v>197</v>
      </c>
      <c r="C3396" t="s">
        <v>50</v>
      </c>
      <c r="D3396" s="6">
        <v>45863</v>
      </c>
      <c r="E3396" t="str">
        <f>VLOOKUP(B3396,'PROCV GERENTES BD'!A:B,2,0)</f>
        <v>ADMINISTRAÇÃO</v>
      </c>
      <c r="F3396" s="4" t="str">
        <f t="shared" si="318"/>
        <v>2025-07</v>
      </c>
      <c r="G3396" s="18">
        <f t="shared" si="319"/>
        <v>30</v>
      </c>
      <c r="H3396" t="str">
        <f t="shared" si="320"/>
        <v>ADMINISTRAÇÃO</v>
      </c>
      <c r="I3396" t="str">
        <f t="shared" si="321"/>
        <v>FARBIA CHEMICALS COMERCIO IMPORTACAO E EXPORTACAO</v>
      </c>
      <c r="J3396">
        <f t="shared" si="322"/>
        <v>0</v>
      </c>
      <c r="K3396">
        <f t="shared" si="323"/>
        <v>1</v>
      </c>
    </row>
    <row r="3397" spans="1:11" x14ac:dyDescent="0.25">
      <c r="A3397" t="s">
        <v>529</v>
      </c>
      <c r="B3397" t="s">
        <v>297</v>
      </c>
      <c r="C3397" t="s">
        <v>50</v>
      </c>
      <c r="D3397" s="6">
        <v>45864</v>
      </c>
      <c r="E3397" t="str">
        <f>VLOOKUP(B3397,'PROCV GERENTES BD'!A:B,2,0)</f>
        <v>ANDRE CUNHA</v>
      </c>
      <c r="F3397" s="4" t="str">
        <f t="shared" si="318"/>
        <v>2025-07</v>
      </c>
      <c r="G3397" s="18">
        <f t="shared" si="319"/>
        <v>30</v>
      </c>
      <c r="H3397" t="str">
        <f t="shared" si="320"/>
        <v>ANDRE CUNHA</v>
      </c>
      <c r="I3397" t="str">
        <f t="shared" si="321"/>
        <v>REVPACK TECNOLOGIA E COMERCIO DE COMPONENTES PLAST</v>
      </c>
      <c r="J3397">
        <f t="shared" si="322"/>
        <v>0</v>
      </c>
      <c r="K3397">
        <f t="shared" si="323"/>
        <v>1</v>
      </c>
    </row>
    <row r="3398" spans="1:11" x14ac:dyDescent="0.25">
      <c r="A3398" t="s">
        <v>48</v>
      </c>
      <c r="B3398" t="s">
        <v>49</v>
      </c>
      <c r="C3398" t="s">
        <v>53</v>
      </c>
      <c r="D3398" s="6">
        <v>45864</v>
      </c>
      <c r="E3398" t="str">
        <f>VLOOKUP(B3398,'PROCV GERENTES BD'!A:B,2,0)</f>
        <v xml:space="preserve">MARCUS VINICIUS </v>
      </c>
      <c r="F3398" s="4" t="str">
        <f t="shared" si="318"/>
        <v>2025-07</v>
      </c>
      <c r="G3398" s="18">
        <f t="shared" si="319"/>
        <v>30</v>
      </c>
      <c r="H3398" t="str">
        <f t="shared" si="320"/>
        <v xml:space="preserve">MARCUS VINICIUS </v>
      </c>
      <c r="I3398" t="str">
        <f t="shared" si="321"/>
        <v>PROMEL IND COM IMP E EXP DE PRODS NATURAIS LTDA</v>
      </c>
      <c r="J3398">
        <f t="shared" si="322"/>
        <v>1</v>
      </c>
      <c r="K3398">
        <f t="shared" si="323"/>
        <v>1</v>
      </c>
    </row>
    <row r="3399" spans="1:11" x14ac:dyDescent="0.25">
      <c r="A3399" t="s">
        <v>523</v>
      </c>
      <c r="B3399" t="s">
        <v>288</v>
      </c>
      <c r="C3399" t="s">
        <v>50</v>
      </c>
      <c r="D3399" s="6">
        <v>45864</v>
      </c>
      <c r="E3399" t="str">
        <f>VLOOKUP(B3399,'PROCV GERENTES BD'!A:B,2,0)</f>
        <v>ADMINISTRAÇÃO</v>
      </c>
      <c r="F3399" s="4" t="str">
        <f t="shared" si="318"/>
        <v>2025-07</v>
      </c>
      <c r="G3399" s="18">
        <f t="shared" si="319"/>
        <v>30</v>
      </c>
      <c r="H3399" t="str">
        <f t="shared" si="320"/>
        <v>ADMINISTRAÇÃO</v>
      </c>
      <c r="I3399" t="str">
        <f t="shared" si="321"/>
        <v>REFRACONT BRASIL LTDA</v>
      </c>
      <c r="J3399">
        <f t="shared" si="322"/>
        <v>0</v>
      </c>
      <c r="K3399">
        <f t="shared" si="323"/>
        <v>1</v>
      </c>
    </row>
    <row r="3400" spans="1:11" x14ac:dyDescent="0.25">
      <c r="A3400" t="s">
        <v>532</v>
      </c>
      <c r="B3400" t="s">
        <v>300</v>
      </c>
      <c r="C3400" t="s">
        <v>50</v>
      </c>
      <c r="D3400" s="6">
        <v>45864</v>
      </c>
      <c r="E3400" t="str">
        <f>VLOOKUP(B3400,'PROCV GERENTES BD'!A:B,2,0)</f>
        <v>RAFAEL PARISE</v>
      </c>
      <c r="F3400" s="4" t="str">
        <f t="shared" si="318"/>
        <v>2025-07</v>
      </c>
      <c r="G3400" s="18">
        <f t="shared" si="319"/>
        <v>30</v>
      </c>
      <c r="H3400" t="str">
        <f t="shared" si="320"/>
        <v>RAFAEL PARISE</v>
      </c>
      <c r="I3400" t="str">
        <f t="shared" si="321"/>
        <v>MINASPOL INDUSTRIA E COMERCIO DE COMPOSTOS POLIMER</v>
      </c>
      <c r="J3400">
        <f t="shared" si="322"/>
        <v>0</v>
      </c>
      <c r="K3400">
        <f t="shared" si="323"/>
        <v>1</v>
      </c>
    </row>
    <row r="3401" spans="1:11" x14ac:dyDescent="0.25">
      <c r="A3401" t="s">
        <v>533</v>
      </c>
      <c r="B3401" t="s">
        <v>301</v>
      </c>
      <c r="C3401" t="s">
        <v>50</v>
      </c>
      <c r="D3401" s="6">
        <v>45864</v>
      </c>
      <c r="E3401" t="str">
        <f>VLOOKUP(B3401,'PROCV GERENTES BD'!A:B,2,0)</f>
        <v xml:space="preserve">MARCUS VINICIUS </v>
      </c>
      <c r="F3401" s="4" t="str">
        <f t="shared" si="318"/>
        <v>2025-07</v>
      </c>
      <c r="G3401" s="18">
        <f t="shared" si="319"/>
        <v>30</v>
      </c>
      <c r="H3401" t="str">
        <f t="shared" si="320"/>
        <v xml:space="preserve">MARCUS VINICIUS </v>
      </c>
      <c r="I3401" t="str">
        <f t="shared" si="321"/>
        <v>LINDINALDO ANISIO DA SILVA ME</v>
      </c>
      <c r="J3401">
        <f t="shared" si="322"/>
        <v>0</v>
      </c>
      <c r="K3401">
        <f t="shared" si="323"/>
        <v>1</v>
      </c>
    </row>
    <row r="3402" spans="1:11" x14ac:dyDescent="0.25">
      <c r="A3402" t="s">
        <v>358</v>
      </c>
      <c r="B3402" t="s">
        <v>104</v>
      </c>
      <c r="C3402" t="s">
        <v>53</v>
      </c>
      <c r="D3402" s="6">
        <v>45864</v>
      </c>
      <c r="E3402" t="str">
        <f>VLOOKUP(B3402,'PROCV GERENTES BD'!A:B,2,0)</f>
        <v>DIOGO AZEVEDO</v>
      </c>
      <c r="F3402" s="4" t="str">
        <f t="shared" si="318"/>
        <v>2025-07</v>
      </c>
      <c r="G3402" s="18">
        <f t="shared" si="319"/>
        <v>30</v>
      </c>
      <c r="H3402" t="str">
        <f t="shared" si="320"/>
        <v>DIOGO AZEVEDO</v>
      </c>
      <c r="I3402" t="str">
        <f t="shared" si="321"/>
        <v>INDUSTRIA E CERVEJARIA ARTESANAL DE MINAS GERAIS L</v>
      </c>
      <c r="J3402">
        <f t="shared" si="322"/>
        <v>1</v>
      </c>
      <c r="K3402">
        <f t="shared" si="323"/>
        <v>1</v>
      </c>
    </row>
    <row r="3403" spans="1:11" x14ac:dyDescent="0.25">
      <c r="A3403" t="s">
        <v>331</v>
      </c>
      <c r="B3403" t="s">
        <v>144</v>
      </c>
      <c r="C3403" t="s">
        <v>66</v>
      </c>
      <c r="D3403" s="6">
        <v>45864</v>
      </c>
      <c r="E3403" t="str">
        <f>VLOOKUP(B3403,'PROCV GERENTES BD'!A:B,2,0)</f>
        <v>ADMINISTRAÇÃO</v>
      </c>
      <c r="F3403" s="4" t="str">
        <f t="shared" si="318"/>
        <v>2025-07</v>
      </c>
      <c r="G3403" s="18">
        <f t="shared" si="319"/>
        <v>30</v>
      </c>
      <c r="H3403" t="str">
        <f t="shared" si="320"/>
        <v>ADMINISTRAÇÃO</v>
      </c>
      <c r="I3403" t="str">
        <f t="shared" si="321"/>
        <v>BOM PASTOR PAPEIS LTDA EM RECUPERACAO JUDICIAL</v>
      </c>
      <c r="J3403">
        <f t="shared" si="322"/>
        <v>1</v>
      </c>
      <c r="K3403">
        <f t="shared" si="323"/>
        <v>0</v>
      </c>
    </row>
    <row r="3404" spans="1:11" x14ac:dyDescent="0.25">
      <c r="A3404" t="s">
        <v>319</v>
      </c>
      <c r="B3404" t="s">
        <v>80</v>
      </c>
      <c r="C3404" t="s">
        <v>50</v>
      </c>
      <c r="D3404" s="6">
        <v>45864</v>
      </c>
      <c r="E3404" t="str">
        <f>VLOOKUP(B3404,'PROCV GERENTES BD'!A:B,2,0)</f>
        <v>CELIO PIMENTA</v>
      </c>
      <c r="F3404" s="4" t="str">
        <f t="shared" si="318"/>
        <v>2025-07</v>
      </c>
      <c r="G3404" s="18">
        <f t="shared" si="319"/>
        <v>30</v>
      </c>
      <c r="H3404" t="str">
        <f t="shared" si="320"/>
        <v>CELIO PIMENTA</v>
      </c>
      <c r="I3404" t="str">
        <f t="shared" si="321"/>
        <v>IMPORTEXTIL COMERCIO DE TECIDOS LTDA</v>
      </c>
      <c r="J3404">
        <f t="shared" si="322"/>
        <v>0</v>
      </c>
      <c r="K3404">
        <f t="shared" si="323"/>
        <v>1</v>
      </c>
    </row>
    <row r="3405" spans="1:11" x14ac:dyDescent="0.25">
      <c r="A3405" t="s">
        <v>58</v>
      </c>
      <c r="B3405" t="s">
        <v>59</v>
      </c>
      <c r="C3405" t="s">
        <v>50</v>
      </c>
      <c r="D3405" s="6">
        <v>45864</v>
      </c>
      <c r="E3405" t="str">
        <f>VLOOKUP(B3405,'PROCV GERENTES BD'!A:B,2,0)</f>
        <v>ADMINISTRAÇÃO</v>
      </c>
      <c r="F3405" s="4" t="str">
        <f t="shared" si="318"/>
        <v>2025-07</v>
      </c>
      <c r="G3405" s="18">
        <f t="shared" si="319"/>
        <v>30</v>
      </c>
      <c r="H3405" t="str">
        <f t="shared" si="320"/>
        <v>ADMINISTRAÇÃO</v>
      </c>
      <c r="I3405" t="str">
        <f t="shared" si="321"/>
        <v>BIOTECH LOGISTICA LTDA</v>
      </c>
      <c r="J3405">
        <f t="shared" si="322"/>
        <v>0</v>
      </c>
      <c r="K3405">
        <f t="shared" si="323"/>
        <v>1</v>
      </c>
    </row>
    <row r="3406" spans="1:11" x14ac:dyDescent="0.25">
      <c r="A3406" t="s">
        <v>631</v>
      </c>
      <c r="B3406" t="s">
        <v>561</v>
      </c>
      <c r="C3406" t="s">
        <v>50</v>
      </c>
      <c r="D3406" s="6">
        <v>45864</v>
      </c>
      <c r="E3406" t="str">
        <f>VLOOKUP(B3406,'PROCV GERENTES BD'!A:B,2,0)</f>
        <v>VALERIA</v>
      </c>
      <c r="F3406" s="4" t="str">
        <f t="shared" si="318"/>
        <v>2025-07</v>
      </c>
      <c r="G3406" s="18">
        <f t="shared" si="319"/>
        <v>30</v>
      </c>
      <c r="H3406" t="str">
        <f t="shared" si="320"/>
        <v>VALERIA</v>
      </c>
      <c r="I3406" t="str">
        <f t="shared" si="321"/>
        <v>TRANSPORTADORA PACHECO LTDA EPP</v>
      </c>
      <c r="J3406">
        <f t="shared" si="322"/>
        <v>0</v>
      </c>
      <c r="K3406">
        <f t="shared" si="323"/>
        <v>1</v>
      </c>
    </row>
    <row r="3407" spans="1:11" x14ac:dyDescent="0.25">
      <c r="A3407" t="s">
        <v>604</v>
      </c>
      <c r="B3407" t="s">
        <v>605</v>
      </c>
      <c r="C3407" t="s">
        <v>50</v>
      </c>
      <c r="D3407" s="6">
        <v>45864</v>
      </c>
      <c r="E3407" t="str">
        <f>VLOOKUP(B3407,'PROCV GERENTES BD'!A:B,2,0)</f>
        <v>ALISSON DE SOUZA LIMA</v>
      </c>
      <c r="F3407" s="4" t="str">
        <f t="shared" si="318"/>
        <v>2025-07</v>
      </c>
      <c r="G3407" s="18">
        <f t="shared" si="319"/>
        <v>30</v>
      </c>
      <c r="H3407" t="str">
        <f t="shared" si="320"/>
        <v>ALISSON DE SOUZA LIMA</v>
      </c>
      <c r="I3407" t="str">
        <f t="shared" si="321"/>
        <v>3J FUNDICAO INDUSTRIAL LTDA</v>
      </c>
      <c r="J3407">
        <f t="shared" si="322"/>
        <v>0</v>
      </c>
      <c r="K3407">
        <f t="shared" si="323"/>
        <v>1</v>
      </c>
    </row>
    <row r="3408" spans="1:11" x14ac:dyDescent="0.25">
      <c r="A3408" t="s">
        <v>64</v>
      </c>
      <c r="B3408" t="s">
        <v>65</v>
      </c>
      <c r="C3408" t="s">
        <v>53</v>
      </c>
      <c r="D3408" s="6">
        <v>45864</v>
      </c>
      <c r="E3408" t="str">
        <f>VLOOKUP(B3408,'PROCV GERENTES BD'!A:B,2,0)</f>
        <v>ADMINISTRAÇÃO</v>
      </c>
      <c r="F3408" s="4" t="str">
        <f t="shared" si="318"/>
        <v>2025-07</v>
      </c>
      <c r="G3408" s="18">
        <f t="shared" si="319"/>
        <v>30</v>
      </c>
      <c r="H3408" t="str">
        <f t="shared" si="320"/>
        <v>ADMINISTRAÇÃO</v>
      </c>
      <c r="I3408" t="str">
        <f t="shared" si="321"/>
        <v>SOCIAL S/A</v>
      </c>
      <c r="J3408">
        <f t="shared" si="322"/>
        <v>1</v>
      </c>
      <c r="K3408">
        <f t="shared" si="323"/>
        <v>1</v>
      </c>
    </row>
    <row r="3409" spans="1:11" x14ac:dyDescent="0.25">
      <c r="A3409" t="s">
        <v>625</v>
      </c>
      <c r="B3409" t="s">
        <v>537</v>
      </c>
      <c r="C3409" t="s">
        <v>50</v>
      </c>
      <c r="D3409" s="6">
        <v>45864</v>
      </c>
      <c r="E3409" t="str">
        <f>VLOOKUP(B3409,'PROCV GERENTES BD'!A:B,2,0)</f>
        <v>WASHINGTON</v>
      </c>
      <c r="F3409" s="4" t="str">
        <f t="shared" si="318"/>
        <v>2025-07</v>
      </c>
      <c r="G3409" s="18">
        <f t="shared" si="319"/>
        <v>30</v>
      </c>
      <c r="H3409" t="str">
        <f t="shared" si="320"/>
        <v>WASHINGTON</v>
      </c>
      <c r="I3409" t="str">
        <f t="shared" si="321"/>
        <v>COMERCIAL SEGURANCA LTDA ME</v>
      </c>
      <c r="J3409">
        <f t="shared" si="322"/>
        <v>0</v>
      </c>
      <c r="K3409">
        <f t="shared" si="323"/>
        <v>1</v>
      </c>
    </row>
    <row r="3410" spans="1:11" x14ac:dyDescent="0.25">
      <c r="A3410" t="s">
        <v>316</v>
      </c>
      <c r="B3410" t="s">
        <v>302</v>
      </c>
      <c r="C3410" t="s">
        <v>50</v>
      </c>
      <c r="D3410" s="6">
        <v>45864</v>
      </c>
      <c r="E3410" t="str">
        <f>VLOOKUP(B3410,'PROCV GERENTES BD'!A:B,2,0)</f>
        <v>CELIO PIMENTA</v>
      </c>
      <c r="F3410" s="4" t="str">
        <f t="shared" si="318"/>
        <v>2025-07</v>
      </c>
      <c r="G3410" s="18">
        <f t="shared" si="319"/>
        <v>30</v>
      </c>
      <c r="H3410" t="str">
        <f t="shared" si="320"/>
        <v>CELIO PIMENTA</v>
      </c>
      <c r="I3410" t="str">
        <f t="shared" si="321"/>
        <v>LOTUS DESENVOLVIMENTO IMOBILIARIO LTDA</v>
      </c>
      <c r="J3410">
        <f t="shared" si="322"/>
        <v>0</v>
      </c>
      <c r="K3410">
        <f t="shared" si="323"/>
        <v>1</v>
      </c>
    </row>
    <row r="3411" spans="1:11" x14ac:dyDescent="0.25">
      <c r="A3411" t="s">
        <v>599</v>
      </c>
      <c r="B3411" t="s">
        <v>541</v>
      </c>
      <c r="C3411" t="s">
        <v>50</v>
      </c>
      <c r="D3411" s="6">
        <v>45864</v>
      </c>
      <c r="E3411" t="str">
        <f>VLOOKUP(B3411,'PROCV GERENTES BD'!A:B,2,0)</f>
        <v xml:space="preserve">MARCUS VINICIUS </v>
      </c>
      <c r="F3411" s="4" t="str">
        <f t="shared" si="318"/>
        <v>2025-07</v>
      </c>
      <c r="G3411" s="18">
        <f t="shared" si="319"/>
        <v>30</v>
      </c>
      <c r="H3411" t="str">
        <f t="shared" si="320"/>
        <v xml:space="preserve">MARCUS VINICIUS </v>
      </c>
      <c r="I3411" t="str">
        <f t="shared" si="321"/>
        <v>JSA INDUSTRIA DE COSMETICOS LTDA EPP</v>
      </c>
      <c r="J3411">
        <f t="shared" si="322"/>
        <v>0</v>
      </c>
      <c r="K3411">
        <f t="shared" si="323"/>
        <v>1</v>
      </c>
    </row>
    <row r="3412" spans="1:11" x14ac:dyDescent="0.25">
      <c r="A3412" t="s">
        <v>413</v>
      </c>
      <c r="B3412" t="s">
        <v>163</v>
      </c>
      <c r="C3412" t="s">
        <v>50</v>
      </c>
      <c r="D3412" s="6">
        <v>45867</v>
      </c>
      <c r="E3412" t="str">
        <f>VLOOKUP(B3412,'PROCV GERENTES BD'!A:B,2,0)</f>
        <v>CELIO PIMENTA</v>
      </c>
      <c r="F3412" s="4" t="str">
        <f t="shared" si="318"/>
        <v>2025-07</v>
      </c>
      <c r="G3412" s="18">
        <f t="shared" si="319"/>
        <v>31</v>
      </c>
      <c r="H3412" t="str">
        <f t="shared" si="320"/>
        <v>CELIO PIMENTA</v>
      </c>
      <c r="I3412" t="str">
        <f t="shared" si="321"/>
        <v>TOUROS IMPLEMENTOS LTDA ME</v>
      </c>
      <c r="J3412">
        <f t="shared" si="322"/>
        <v>0</v>
      </c>
      <c r="K3412">
        <f t="shared" si="323"/>
        <v>1</v>
      </c>
    </row>
    <row r="3413" spans="1:11" x14ac:dyDescent="0.25">
      <c r="A3413" t="s">
        <v>456</v>
      </c>
      <c r="B3413" t="s">
        <v>213</v>
      </c>
      <c r="C3413" t="s">
        <v>50</v>
      </c>
      <c r="D3413" s="6">
        <v>45867</v>
      </c>
      <c r="E3413" t="str">
        <f>VLOOKUP(B3413,'PROCV GERENTES BD'!A:B,2,0)</f>
        <v>RAFAEL PARISE</v>
      </c>
      <c r="F3413" s="4" t="str">
        <f t="shared" si="318"/>
        <v>2025-07</v>
      </c>
      <c r="G3413" s="18">
        <f t="shared" si="319"/>
        <v>31</v>
      </c>
      <c r="H3413" t="str">
        <f t="shared" si="320"/>
        <v>RAFAEL PARISE</v>
      </c>
      <c r="I3413" t="str">
        <f t="shared" si="321"/>
        <v>ORNELAS RESENDE TORRES TRANSPORTE E LOGISTICA LTDA</v>
      </c>
      <c r="J3413">
        <f t="shared" si="322"/>
        <v>0</v>
      </c>
      <c r="K3413">
        <f t="shared" si="323"/>
        <v>1</v>
      </c>
    </row>
    <row r="3414" spans="1:11" x14ac:dyDescent="0.25">
      <c r="A3414" t="s">
        <v>457</v>
      </c>
      <c r="B3414" t="s">
        <v>214</v>
      </c>
      <c r="C3414" t="s">
        <v>66</v>
      </c>
      <c r="D3414" s="6">
        <v>45867</v>
      </c>
      <c r="E3414" t="str">
        <f>VLOOKUP(B3414,'PROCV GERENTES BD'!A:B,2,0)</f>
        <v xml:space="preserve">ROGERIO </v>
      </c>
      <c r="F3414" s="4" t="str">
        <f t="shared" si="318"/>
        <v>2025-07</v>
      </c>
      <c r="G3414" s="18">
        <f t="shared" si="319"/>
        <v>31</v>
      </c>
      <c r="H3414" t="str">
        <f t="shared" si="320"/>
        <v xml:space="preserve">ROGERIO </v>
      </c>
      <c r="I3414" t="str">
        <f t="shared" si="321"/>
        <v>METAL STAMP INDUSTRIA E COMERCIO LTDA</v>
      </c>
      <c r="J3414">
        <f t="shared" si="322"/>
        <v>1</v>
      </c>
      <c r="K3414">
        <f t="shared" si="323"/>
        <v>0</v>
      </c>
    </row>
    <row r="3415" spans="1:11" x14ac:dyDescent="0.25">
      <c r="A3415" t="s">
        <v>445</v>
      </c>
      <c r="B3415" t="s">
        <v>197</v>
      </c>
      <c r="C3415" t="s">
        <v>50</v>
      </c>
      <c r="D3415" s="6">
        <v>45867</v>
      </c>
      <c r="E3415" t="str">
        <f>VLOOKUP(B3415,'PROCV GERENTES BD'!A:B,2,0)</f>
        <v>ADMINISTRAÇÃO</v>
      </c>
      <c r="F3415" s="4" t="str">
        <f t="shared" si="318"/>
        <v>2025-07</v>
      </c>
      <c r="G3415" s="18">
        <f t="shared" si="319"/>
        <v>31</v>
      </c>
      <c r="H3415" t="str">
        <f t="shared" si="320"/>
        <v>ADMINISTRAÇÃO</v>
      </c>
      <c r="I3415" t="str">
        <f t="shared" si="321"/>
        <v>FARBIA CHEMICALS COMERCIO IMPORTACAO E EXPORTACAO</v>
      </c>
      <c r="J3415">
        <f t="shared" si="322"/>
        <v>0</v>
      </c>
      <c r="K3415">
        <f t="shared" si="323"/>
        <v>1</v>
      </c>
    </row>
    <row r="3416" spans="1:11" x14ac:dyDescent="0.25">
      <c r="A3416" t="s">
        <v>314</v>
      </c>
      <c r="B3416" t="s">
        <v>246</v>
      </c>
      <c r="C3416" t="s">
        <v>50</v>
      </c>
      <c r="D3416" s="6">
        <v>45867</v>
      </c>
      <c r="E3416" t="str">
        <f>VLOOKUP(B3416,'PROCV GERENTES BD'!A:B,2,0)</f>
        <v xml:space="preserve">ROGERIO </v>
      </c>
      <c r="F3416" s="4" t="str">
        <f t="shared" si="318"/>
        <v>2025-07</v>
      </c>
      <c r="G3416" s="18">
        <f t="shared" si="319"/>
        <v>31</v>
      </c>
      <c r="H3416" t="str">
        <f t="shared" si="320"/>
        <v xml:space="preserve">ROGERIO </v>
      </c>
      <c r="I3416" t="str">
        <f t="shared" si="321"/>
        <v>MUTCD CENTRO DE DISTRIBUICAO DE IND FABRICANTE DE</v>
      </c>
      <c r="J3416">
        <f t="shared" si="322"/>
        <v>0</v>
      </c>
      <c r="K3416">
        <f t="shared" si="323"/>
        <v>1</v>
      </c>
    </row>
    <row r="3417" spans="1:11" x14ac:dyDescent="0.25">
      <c r="A3417" t="s">
        <v>465</v>
      </c>
      <c r="B3417" t="s">
        <v>222</v>
      </c>
      <c r="C3417" t="s">
        <v>329</v>
      </c>
      <c r="D3417" s="6">
        <v>45867</v>
      </c>
      <c r="E3417" t="str">
        <f>VLOOKUP(B3417,'PROCV GERENTES BD'!A:B,2,0)</f>
        <v>ADMINISTRAÇÃO</v>
      </c>
      <c r="F3417" s="4" t="str">
        <f t="shared" si="318"/>
        <v>2025-07</v>
      </c>
      <c r="G3417" s="18">
        <f t="shared" si="319"/>
        <v>31</v>
      </c>
      <c r="H3417" t="str">
        <f t="shared" si="320"/>
        <v>ADMINISTRAÇÃO</v>
      </c>
      <c r="I3417" t="str">
        <f t="shared" si="321"/>
        <v>CF COMEX IMPORTACAO EQUIPAMENTOS E SERVICOS LTDA</v>
      </c>
      <c r="J3417">
        <f t="shared" si="322"/>
        <v>0</v>
      </c>
      <c r="K3417">
        <f t="shared" si="323"/>
        <v>0</v>
      </c>
    </row>
    <row r="3418" spans="1:11" x14ac:dyDescent="0.25">
      <c r="A3418" t="s">
        <v>465</v>
      </c>
      <c r="B3418" t="s">
        <v>222</v>
      </c>
      <c r="C3418" t="s">
        <v>327</v>
      </c>
      <c r="D3418" s="6">
        <v>45867</v>
      </c>
      <c r="E3418" t="str">
        <f>VLOOKUP(B3418,'PROCV GERENTES BD'!A:B,2,0)</f>
        <v>ADMINISTRAÇÃO</v>
      </c>
      <c r="F3418" s="4" t="str">
        <f t="shared" si="318"/>
        <v>2025-07</v>
      </c>
      <c r="G3418" s="18">
        <f t="shared" si="319"/>
        <v>31</v>
      </c>
      <c r="H3418" t="str">
        <f t="shared" si="320"/>
        <v>ADMINISTRAÇÃO</v>
      </c>
      <c r="I3418" t="str">
        <f t="shared" si="321"/>
        <v>CF COMEX IMPORTACAO EQUIPAMENTOS E SERVICOS LTDA</v>
      </c>
      <c r="J3418">
        <f t="shared" si="322"/>
        <v>0</v>
      </c>
      <c r="K3418">
        <f t="shared" si="323"/>
        <v>0</v>
      </c>
    </row>
    <row r="3419" spans="1:11" x14ac:dyDescent="0.25">
      <c r="A3419" t="s">
        <v>450</v>
      </c>
      <c r="B3419" t="s">
        <v>207</v>
      </c>
      <c r="C3419" t="s">
        <v>50</v>
      </c>
      <c r="D3419" s="6">
        <v>45867</v>
      </c>
      <c r="E3419" t="str">
        <f>VLOOKUP(B3419,'PROCV GERENTES BD'!A:B,2,0)</f>
        <v>CELIO PIMENTA</v>
      </c>
      <c r="F3419" s="4" t="str">
        <f t="shared" si="318"/>
        <v>2025-07</v>
      </c>
      <c r="G3419" s="18">
        <f t="shared" si="319"/>
        <v>31</v>
      </c>
      <c r="H3419" t="str">
        <f t="shared" si="320"/>
        <v>CELIO PIMENTA</v>
      </c>
      <c r="I3419" t="str">
        <f t="shared" si="321"/>
        <v>LIDER COMERCIO DE UNIFORMES E EPI S LTDA ME</v>
      </c>
      <c r="J3419">
        <f t="shared" si="322"/>
        <v>0</v>
      </c>
      <c r="K3419">
        <f t="shared" si="323"/>
        <v>1</v>
      </c>
    </row>
    <row r="3420" spans="1:11" x14ac:dyDescent="0.25">
      <c r="A3420" t="s">
        <v>369</v>
      </c>
      <c r="B3420" t="s">
        <v>113</v>
      </c>
      <c r="C3420" t="s">
        <v>50</v>
      </c>
      <c r="D3420" s="6">
        <v>45867</v>
      </c>
      <c r="E3420" t="str">
        <f>VLOOKUP(B3420,'PROCV GERENTES BD'!A:B,2,0)</f>
        <v xml:space="preserve">MARCUS VINICIUS </v>
      </c>
      <c r="F3420" s="4" t="str">
        <f t="shared" si="318"/>
        <v>2025-07</v>
      </c>
      <c r="G3420" s="18">
        <f t="shared" si="319"/>
        <v>31</v>
      </c>
      <c r="H3420" t="str">
        <f t="shared" si="320"/>
        <v xml:space="preserve">MARCUS VINICIUS </v>
      </c>
      <c r="I3420" t="str">
        <f t="shared" si="321"/>
        <v>ISOBASE POLIESTIRENO LTDA EPP</v>
      </c>
      <c r="J3420">
        <f t="shared" si="322"/>
        <v>0</v>
      </c>
      <c r="K3420">
        <f t="shared" si="323"/>
        <v>1</v>
      </c>
    </row>
    <row r="3421" spans="1:11" x14ac:dyDescent="0.25">
      <c r="A3421" t="s">
        <v>316</v>
      </c>
      <c r="B3421" t="s">
        <v>302</v>
      </c>
      <c r="C3421" t="s">
        <v>50</v>
      </c>
      <c r="D3421" s="6">
        <v>45867</v>
      </c>
      <c r="E3421" t="str">
        <f>VLOOKUP(B3421,'PROCV GERENTES BD'!A:B,2,0)</f>
        <v>CELIO PIMENTA</v>
      </c>
      <c r="F3421" s="4" t="str">
        <f t="shared" si="318"/>
        <v>2025-07</v>
      </c>
      <c r="G3421" s="18">
        <f t="shared" si="319"/>
        <v>31</v>
      </c>
      <c r="H3421" t="str">
        <f t="shared" si="320"/>
        <v>CELIO PIMENTA</v>
      </c>
      <c r="I3421" t="str">
        <f t="shared" si="321"/>
        <v>LOTUS DESENVOLVIMENTO IMOBILIARIO LTDA</v>
      </c>
      <c r="J3421">
        <f t="shared" si="322"/>
        <v>0</v>
      </c>
      <c r="K3421">
        <f t="shared" si="323"/>
        <v>1</v>
      </c>
    </row>
    <row r="3422" spans="1:11" x14ac:dyDescent="0.25">
      <c r="A3422" t="s">
        <v>62</v>
      </c>
      <c r="B3422" t="s">
        <v>63</v>
      </c>
      <c r="C3422" t="s">
        <v>50</v>
      </c>
      <c r="D3422" s="6">
        <v>45867</v>
      </c>
      <c r="E3422" t="str">
        <f>VLOOKUP(B3422,'PROCV GERENTES BD'!A:B,2,0)</f>
        <v>PROSPECTAR</v>
      </c>
      <c r="F3422" s="4" t="str">
        <f t="shared" si="318"/>
        <v>2025-07</v>
      </c>
      <c r="G3422" s="18">
        <f t="shared" si="319"/>
        <v>31</v>
      </c>
      <c r="H3422" t="str">
        <f t="shared" si="320"/>
        <v>PROSPECTAR</v>
      </c>
      <c r="I3422" t="str">
        <f t="shared" si="321"/>
        <v>MAPP COM IMPORTACAO EXPORTACAO IND PRODUTOS ALIMEN</v>
      </c>
      <c r="J3422">
        <f t="shared" si="322"/>
        <v>0</v>
      </c>
      <c r="K3422">
        <f t="shared" si="323"/>
        <v>1</v>
      </c>
    </row>
    <row r="3423" spans="1:11" x14ac:dyDescent="0.25">
      <c r="A3423" t="s">
        <v>519</v>
      </c>
      <c r="B3423" t="s">
        <v>283</v>
      </c>
      <c r="C3423" t="s">
        <v>50</v>
      </c>
      <c r="D3423" s="6">
        <v>45867</v>
      </c>
      <c r="E3423" t="str">
        <f>VLOOKUP(B3423,'PROCV GERENTES BD'!A:B,2,0)</f>
        <v>DALVA</v>
      </c>
      <c r="F3423" s="4" t="str">
        <f t="shared" si="318"/>
        <v>2025-07</v>
      </c>
      <c r="G3423" s="18">
        <f t="shared" si="319"/>
        <v>31</v>
      </c>
      <c r="H3423" t="str">
        <f t="shared" si="320"/>
        <v>DALVA</v>
      </c>
      <c r="I3423" t="str">
        <f t="shared" si="321"/>
        <v>LTA USINAGEM LTDA EPP</v>
      </c>
      <c r="J3423">
        <f t="shared" si="322"/>
        <v>0</v>
      </c>
      <c r="K3423">
        <f t="shared" si="323"/>
        <v>1</v>
      </c>
    </row>
    <row r="3424" spans="1:11" x14ac:dyDescent="0.25">
      <c r="A3424" t="s">
        <v>310</v>
      </c>
      <c r="B3424" t="s">
        <v>204</v>
      </c>
      <c r="C3424" t="s">
        <v>66</v>
      </c>
      <c r="D3424" s="6">
        <v>45867</v>
      </c>
      <c r="E3424" t="str">
        <f>VLOOKUP(B3424,'PROCV GERENTES BD'!A:B,2,0)</f>
        <v xml:space="preserve">MARCUS VINICIUS </v>
      </c>
      <c r="F3424" s="4" t="str">
        <f t="shared" si="318"/>
        <v>2025-07</v>
      </c>
      <c r="G3424" s="18">
        <f t="shared" si="319"/>
        <v>31</v>
      </c>
      <c r="H3424" t="str">
        <f t="shared" si="320"/>
        <v xml:space="preserve">MARCUS VINICIUS </v>
      </c>
      <c r="I3424" t="str">
        <f t="shared" si="321"/>
        <v>INDUSTRIA E COMERCIO DE CHURRASQUEIRAS BOM JESUS L</v>
      </c>
      <c r="J3424">
        <f t="shared" si="322"/>
        <v>1</v>
      </c>
      <c r="K3424">
        <f t="shared" si="323"/>
        <v>0</v>
      </c>
    </row>
    <row r="3425" spans="1:11" x14ac:dyDescent="0.25">
      <c r="A3425" t="s">
        <v>372</v>
      </c>
      <c r="B3425" t="s">
        <v>116</v>
      </c>
      <c r="C3425" t="s">
        <v>66</v>
      </c>
      <c r="D3425" s="6">
        <v>45867</v>
      </c>
      <c r="E3425" t="str">
        <f>VLOOKUP(B3425,'PROCV GERENTES BD'!A:B,2,0)</f>
        <v>ADMINISTRAÇÃO</v>
      </c>
      <c r="F3425" s="4" t="str">
        <f t="shared" si="318"/>
        <v>2025-07</v>
      </c>
      <c r="G3425" s="18">
        <f t="shared" si="319"/>
        <v>31</v>
      </c>
      <c r="H3425" t="str">
        <f t="shared" si="320"/>
        <v>ADMINISTRAÇÃO</v>
      </c>
      <c r="I3425" t="str">
        <f t="shared" si="321"/>
        <v>PREMOLDADOS MATOSINHOS LTDA EPP</v>
      </c>
      <c r="J3425">
        <f t="shared" si="322"/>
        <v>1</v>
      </c>
      <c r="K3425">
        <f t="shared" si="323"/>
        <v>0</v>
      </c>
    </row>
    <row r="3426" spans="1:11" x14ac:dyDescent="0.25">
      <c r="A3426" t="s">
        <v>608</v>
      </c>
      <c r="B3426" t="s">
        <v>609</v>
      </c>
      <c r="C3426" t="s">
        <v>50</v>
      </c>
      <c r="D3426" s="6">
        <v>45867</v>
      </c>
      <c r="E3426" t="str">
        <f>VLOOKUP(B3426,'PROCV GERENTES BD'!A:B,2,0)</f>
        <v>PROSPECTAR</v>
      </c>
      <c r="F3426" s="4" t="str">
        <f t="shared" si="318"/>
        <v>2025-07</v>
      </c>
      <c r="G3426" s="18">
        <f t="shared" si="319"/>
        <v>31</v>
      </c>
      <c r="H3426" t="str">
        <f t="shared" si="320"/>
        <v>PROSPECTAR</v>
      </c>
      <c r="I3426" t="str">
        <f t="shared" si="321"/>
        <v>SAGESSE INDUSTRIAL TEXTIL LTDA EPP</v>
      </c>
      <c r="J3426">
        <f t="shared" si="322"/>
        <v>0</v>
      </c>
      <c r="K3426">
        <f t="shared" si="323"/>
        <v>1</v>
      </c>
    </row>
    <row r="3427" spans="1:11" x14ac:dyDescent="0.25">
      <c r="A3427" t="s">
        <v>318</v>
      </c>
      <c r="B3427" t="s">
        <v>203</v>
      </c>
      <c r="C3427" t="s">
        <v>50</v>
      </c>
      <c r="D3427" s="6">
        <v>45867</v>
      </c>
      <c r="E3427" t="str">
        <f>VLOOKUP(B3427,'PROCV GERENTES BD'!A:B,2,0)</f>
        <v>JOSE ROBERTO</v>
      </c>
      <c r="F3427" s="4" t="str">
        <f t="shared" si="318"/>
        <v>2025-07</v>
      </c>
      <c r="G3427" s="18">
        <f t="shared" si="319"/>
        <v>31</v>
      </c>
      <c r="H3427" t="str">
        <f t="shared" si="320"/>
        <v>JOSE ROBERTO</v>
      </c>
      <c r="I3427" t="str">
        <f t="shared" si="321"/>
        <v>FUNDACAO DE ENSINO E PESQUISA DO SUL DE MINAS FEPE</v>
      </c>
      <c r="J3427">
        <f t="shared" si="322"/>
        <v>0</v>
      </c>
      <c r="K3427">
        <f t="shared" si="323"/>
        <v>1</v>
      </c>
    </row>
    <row r="3428" spans="1:11" x14ac:dyDescent="0.25">
      <c r="A3428" t="s">
        <v>56</v>
      </c>
      <c r="B3428" t="s">
        <v>57</v>
      </c>
      <c r="C3428" t="s">
        <v>50</v>
      </c>
      <c r="D3428" s="6">
        <v>45867</v>
      </c>
      <c r="E3428" t="str">
        <f>VLOOKUP(B3428,'PROCV GERENTES BD'!A:B,2,0)</f>
        <v xml:space="preserve">ROGERIO </v>
      </c>
      <c r="F3428" s="4" t="str">
        <f t="shared" si="318"/>
        <v>2025-07</v>
      </c>
      <c r="G3428" s="18">
        <f t="shared" si="319"/>
        <v>31</v>
      </c>
      <c r="H3428" t="str">
        <f t="shared" si="320"/>
        <v xml:space="preserve">ROGERIO </v>
      </c>
      <c r="I3428" t="str">
        <f t="shared" si="321"/>
        <v>RODOVIEIRA TRANSPORTE LTDA</v>
      </c>
      <c r="J3428">
        <f t="shared" si="322"/>
        <v>0</v>
      </c>
      <c r="K3428">
        <f t="shared" si="323"/>
        <v>1</v>
      </c>
    </row>
    <row r="3429" spans="1:11" x14ac:dyDescent="0.25">
      <c r="A3429" t="s">
        <v>634</v>
      </c>
      <c r="B3429" t="s">
        <v>585</v>
      </c>
      <c r="C3429" t="s">
        <v>50</v>
      </c>
      <c r="D3429" s="6">
        <v>45867</v>
      </c>
      <c r="E3429" t="str">
        <f>VLOOKUP(B3429,'PROCV GERENTES BD'!A:B,2,0)</f>
        <v>ANDERSON FRAGA</v>
      </c>
      <c r="F3429" s="4" t="str">
        <f t="shared" si="318"/>
        <v>2025-07</v>
      </c>
      <c r="G3429" s="18">
        <f t="shared" si="319"/>
        <v>31</v>
      </c>
      <c r="H3429" t="str">
        <f t="shared" si="320"/>
        <v>ANDERSON FRAGA</v>
      </c>
      <c r="I3429" t="str">
        <f t="shared" si="321"/>
        <v>E DE P BATISTA DISTRIBUIDORA ME</v>
      </c>
      <c r="J3429">
        <f t="shared" si="322"/>
        <v>0</v>
      </c>
      <c r="K3429">
        <f t="shared" si="323"/>
        <v>1</v>
      </c>
    </row>
    <row r="3430" spans="1:11" x14ac:dyDescent="0.25">
      <c r="A3430" t="s">
        <v>331</v>
      </c>
      <c r="B3430" t="s">
        <v>144</v>
      </c>
      <c r="C3430" t="s">
        <v>50</v>
      </c>
      <c r="D3430" s="6">
        <v>45867</v>
      </c>
      <c r="E3430" t="str">
        <f>VLOOKUP(B3430,'PROCV GERENTES BD'!A:B,2,0)</f>
        <v>ADMINISTRAÇÃO</v>
      </c>
      <c r="F3430" s="4" t="str">
        <f t="shared" si="318"/>
        <v>2025-07</v>
      </c>
      <c r="G3430" s="18">
        <f t="shared" si="319"/>
        <v>31</v>
      </c>
      <c r="H3430" t="str">
        <f t="shared" si="320"/>
        <v>ADMINISTRAÇÃO</v>
      </c>
      <c r="I3430" t="str">
        <f t="shared" si="321"/>
        <v>BOM PASTOR PAPEIS LTDA EM RECUPERACAO JUDICIAL</v>
      </c>
      <c r="J3430">
        <f t="shared" si="322"/>
        <v>0</v>
      </c>
      <c r="K3430">
        <f t="shared" si="323"/>
        <v>1</v>
      </c>
    </row>
    <row r="3431" spans="1:11" x14ac:dyDescent="0.25">
      <c r="A3431" t="s">
        <v>361</v>
      </c>
      <c r="B3431" t="s">
        <v>106</v>
      </c>
      <c r="C3431" t="s">
        <v>50</v>
      </c>
      <c r="D3431" s="6">
        <v>45867</v>
      </c>
      <c r="E3431" t="str">
        <f>VLOOKUP(B3431,'PROCV GERENTES BD'!A:B,2,0)</f>
        <v>PRISCILA METZ</v>
      </c>
      <c r="F3431" s="4" t="str">
        <f t="shared" si="318"/>
        <v>2025-07</v>
      </c>
      <c r="G3431" s="18">
        <f t="shared" si="319"/>
        <v>31</v>
      </c>
      <c r="H3431" t="str">
        <f t="shared" si="320"/>
        <v>PRISCILA METZ</v>
      </c>
      <c r="I3431" t="str">
        <f t="shared" si="321"/>
        <v>HERBAMED LABORATORIO NUTRACEUTICO LTDA</v>
      </c>
      <c r="J3431">
        <f t="shared" si="322"/>
        <v>0</v>
      </c>
      <c r="K3431">
        <f t="shared" si="323"/>
        <v>1</v>
      </c>
    </row>
    <row r="3432" spans="1:11" x14ac:dyDescent="0.25">
      <c r="A3432" t="s">
        <v>387</v>
      </c>
      <c r="B3432" t="s">
        <v>134</v>
      </c>
      <c r="C3432" t="s">
        <v>50</v>
      </c>
      <c r="D3432" s="6">
        <v>45867</v>
      </c>
      <c r="E3432" t="str">
        <f>VLOOKUP(B3432,'PROCV GERENTES BD'!A:B,2,0)</f>
        <v>RAFAEL PARISE</v>
      </c>
      <c r="F3432" s="4" t="str">
        <f t="shared" si="318"/>
        <v>2025-07</v>
      </c>
      <c r="G3432" s="18">
        <f t="shared" si="319"/>
        <v>31</v>
      </c>
      <c r="H3432" t="str">
        <f t="shared" si="320"/>
        <v>RAFAEL PARISE</v>
      </c>
      <c r="I3432" t="str">
        <f t="shared" si="321"/>
        <v>MAIS DISTRIBUIDORA LTDA</v>
      </c>
      <c r="J3432">
        <f t="shared" si="322"/>
        <v>0</v>
      </c>
      <c r="K3432">
        <f t="shared" si="323"/>
        <v>1</v>
      </c>
    </row>
    <row r="3433" spans="1:11" x14ac:dyDescent="0.25">
      <c r="A3433" t="s">
        <v>532</v>
      </c>
      <c r="B3433" t="s">
        <v>300</v>
      </c>
      <c r="C3433" t="s">
        <v>50</v>
      </c>
      <c r="D3433" s="6">
        <v>45867</v>
      </c>
      <c r="E3433" t="str">
        <f>VLOOKUP(B3433,'PROCV GERENTES BD'!A:B,2,0)</f>
        <v>RAFAEL PARISE</v>
      </c>
      <c r="F3433" s="4" t="str">
        <f t="shared" si="318"/>
        <v>2025-07</v>
      </c>
      <c r="G3433" s="18">
        <f t="shared" si="319"/>
        <v>31</v>
      </c>
      <c r="H3433" t="str">
        <f t="shared" si="320"/>
        <v>RAFAEL PARISE</v>
      </c>
      <c r="I3433" t="str">
        <f t="shared" si="321"/>
        <v>MINASPOL INDUSTRIA E COMERCIO DE COMPOSTOS POLIMER</v>
      </c>
      <c r="J3433">
        <f t="shared" si="322"/>
        <v>0</v>
      </c>
      <c r="K3433">
        <f t="shared" si="323"/>
        <v>1</v>
      </c>
    </row>
    <row r="3434" spans="1:11" x14ac:dyDescent="0.25">
      <c r="A3434" t="s">
        <v>385</v>
      </c>
      <c r="B3434" t="s">
        <v>132</v>
      </c>
      <c r="C3434" t="s">
        <v>50</v>
      </c>
      <c r="D3434" s="6">
        <v>45867</v>
      </c>
      <c r="E3434" t="str">
        <f>VLOOKUP(B3434,'PROCV GERENTES BD'!A:B,2,0)</f>
        <v xml:space="preserve">MARCUS VINICIUS </v>
      </c>
      <c r="F3434" s="4" t="str">
        <f t="shared" si="318"/>
        <v>2025-07</v>
      </c>
      <c r="G3434" s="18">
        <f t="shared" si="319"/>
        <v>31</v>
      </c>
      <c r="H3434" t="str">
        <f t="shared" si="320"/>
        <v xml:space="preserve">MARCUS VINICIUS </v>
      </c>
      <c r="I3434" t="str">
        <f t="shared" si="321"/>
        <v>RODOANEL REFORMADORA DE IMPLEMENTOS RODOVIARIOS LT</v>
      </c>
      <c r="J3434">
        <f t="shared" si="322"/>
        <v>0</v>
      </c>
      <c r="K3434">
        <f t="shared" si="323"/>
        <v>1</v>
      </c>
    </row>
    <row r="3435" spans="1:11" x14ac:dyDescent="0.25">
      <c r="A3435" t="s">
        <v>51</v>
      </c>
      <c r="B3435" t="s">
        <v>52</v>
      </c>
      <c r="C3435" t="s">
        <v>50</v>
      </c>
      <c r="D3435" s="6">
        <v>45867</v>
      </c>
      <c r="E3435" t="str">
        <f>VLOOKUP(B3435,'PROCV GERENTES BD'!A:B,2,0)</f>
        <v>RAFAEL PARISE</v>
      </c>
      <c r="F3435" s="4" t="str">
        <f t="shared" si="318"/>
        <v>2025-07</v>
      </c>
      <c r="G3435" s="18">
        <f t="shared" si="319"/>
        <v>31</v>
      </c>
      <c r="H3435" t="str">
        <f t="shared" si="320"/>
        <v>RAFAEL PARISE</v>
      </c>
      <c r="I3435" t="str">
        <f t="shared" si="321"/>
        <v>TDR TRANSPORTES LOGISTICA LTDA</v>
      </c>
      <c r="J3435">
        <f t="shared" si="322"/>
        <v>0</v>
      </c>
      <c r="K3435">
        <f t="shared" si="323"/>
        <v>1</v>
      </c>
    </row>
    <row r="3436" spans="1:11" x14ac:dyDescent="0.25">
      <c r="A3436" t="s">
        <v>523</v>
      </c>
      <c r="B3436" t="s">
        <v>288</v>
      </c>
      <c r="C3436" t="s">
        <v>50</v>
      </c>
      <c r="D3436" s="6">
        <v>45867</v>
      </c>
      <c r="E3436" t="str">
        <f>VLOOKUP(B3436,'PROCV GERENTES BD'!A:B,2,0)</f>
        <v>ADMINISTRAÇÃO</v>
      </c>
      <c r="F3436" s="4" t="str">
        <f t="shared" si="318"/>
        <v>2025-07</v>
      </c>
      <c r="G3436" s="18">
        <f t="shared" si="319"/>
        <v>31</v>
      </c>
      <c r="H3436" t="str">
        <f t="shared" si="320"/>
        <v>ADMINISTRAÇÃO</v>
      </c>
      <c r="I3436" t="str">
        <f t="shared" si="321"/>
        <v>REFRACONT BRASIL LTDA</v>
      </c>
      <c r="J3436">
        <f t="shared" si="322"/>
        <v>0</v>
      </c>
      <c r="K3436">
        <f t="shared" si="323"/>
        <v>1</v>
      </c>
    </row>
    <row r="3437" spans="1:11" x14ac:dyDescent="0.25">
      <c r="A3437" t="s">
        <v>48</v>
      </c>
      <c r="B3437" t="s">
        <v>49</v>
      </c>
      <c r="C3437" t="s">
        <v>50</v>
      </c>
      <c r="D3437" s="6">
        <v>45867</v>
      </c>
      <c r="E3437" t="str">
        <f>VLOOKUP(B3437,'PROCV GERENTES BD'!A:B,2,0)</f>
        <v xml:space="preserve">MARCUS VINICIUS </v>
      </c>
      <c r="F3437" s="4" t="str">
        <f t="shared" si="318"/>
        <v>2025-07</v>
      </c>
      <c r="G3437" s="18">
        <f t="shared" si="319"/>
        <v>31</v>
      </c>
      <c r="H3437" t="str">
        <f t="shared" si="320"/>
        <v xml:space="preserve">MARCUS VINICIUS </v>
      </c>
      <c r="I3437" t="str">
        <f t="shared" si="321"/>
        <v>PROMEL IND COM IMP E EXP DE PRODS NATURAIS LTDA</v>
      </c>
      <c r="J3437">
        <f t="shared" si="322"/>
        <v>0</v>
      </c>
      <c r="K3437">
        <f t="shared" si="323"/>
        <v>1</v>
      </c>
    </row>
    <row r="3438" spans="1:11" x14ac:dyDescent="0.25">
      <c r="A3438" t="s">
        <v>311</v>
      </c>
      <c r="B3438" t="s">
        <v>81</v>
      </c>
      <c r="C3438" t="s">
        <v>53</v>
      </c>
      <c r="D3438" s="6">
        <v>45867</v>
      </c>
      <c r="E3438" t="str">
        <f>VLOOKUP(B3438,'PROCV GERENTES BD'!A:B,2,0)</f>
        <v>CELIO PIMENTA</v>
      </c>
      <c r="F3438" s="4" t="str">
        <f t="shared" si="318"/>
        <v>2025-07</v>
      </c>
      <c r="G3438" s="18">
        <f t="shared" si="319"/>
        <v>31</v>
      </c>
      <c r="H3438" t="str">
        <f t="shared" si="320"/>
        <v>CELIO PIMENTA</v>
      </c>
      <c r="I3438" t="str">
        <f t="shared" si="321"/>
        <v>MBIOLOG DIAGNOSTICOS LTDA</v>
      </c>
      <c r="J3438">
        <f t="shared" si="322"/>
        <v>1</v>
      </c>
      <c r="K3438">
        <f t="shared" si="323"/>
        <v>1</v>
      </c>
    </row>
    <row r="3439" spans="1:11" x14ac:dyDescent="0.25">
      <c r="A3439" t="s">
        <v>529</v>
      </c>
      <c r="B3439" t="s">
        <v>297</v>
      </c>
      <c r="C3439" t="s">
        <v>50</v>
      </c>
      <c r="D3439" s="6">
        <v>45867</v>
      </c>
      <c r="E3439" t="str">
        <f>VLOOKUP(B3439,'PROCV GERENTES BD'!A:B,2,0)</f>
        <v>ANDRE CUNHA</v>
      </c>
      <c r="F3439" s="4" t="str">
        <f t="shared" si="318"/>
        <v>2025-07</v>
      </c>
      <c r="G3439" s="18">
        <f t="shared" si="319"/>
        <v>31</v>
      </c>
      <c r="H3439" t="str">
        <f t="shared" si="320"/>
        <v>ANDRE CUNHA</v>
      </c>
      <c r="I3439" t="str">
        <f t="shared" si="321"/>
        <v>REVPACK TECNOLOGIA E COMERCIO DE COMPONENTES PLAST</v>
      </c>
      <c r="J3439">
        <f t="shared" si="322"/>
        <v>0</v>
      </c>
      <c r="K3439">
        <f t="shared" si="323"/>
        <v>1</v>
      </c>
    </row>
    <row r="3440" spans="1:11" x14ac:dyDescent="0.25">
      <c r="A3440" t="s">
        <v>449</v>
      </c>
      <c r="B3440" t="s">
        <v>206</v>
      </c>
      <c r="C3440" t="s">
        <v>66</v>
      </c>
      <c r="D3440" s="6">
        <v>45867</v>
      </c>
      <c r="E3440" t="str">
        <f>VLOOKUP(B3440,'PROCV GERENTES BD'!A:B,2,0)</f>
        <v>ADMINISTRAÇÃO</v>
      </c>
      <c r="F3440" s="4" t="str">
        <f t="shared" si="318"/>
        <v>2025-07</v>
      </c>
      <c r="G3440" s="18">
        <f t="shared" si="319"/>
        <v>31</v>
      </c>
      <c r="H3440" t="str">
        <f t="shared" si="320"/>
        <v>ADMINISTRAÇÃO</v>
      </c>
      <c r="I3440" t="str">
        <f t="shared" si="321"/>
        <v>P P DISTRIBUIDORA LTDA</v>
      </c>
      <c r="J3440">
        <f t="shared" si="322"/>
        <v>1</v>
      </c>
      <c r="K3440">
        <f t="shared" si="323"/>
        <v>0</v>
      </c>
    </row>
    <row r="3441" spans="1:11" x14ac:dyDescent="0.25">
      <c r="A3441" t="s">
        <v>58</v>
      </c>
      <c r="B3441" t="s">
        <v>59</v>
      </c>
      <c r="C3441" t="s">
        <v>50</v>
      </c>
      <c r="D3441" s="6">
        <v>45867</v>
      </c>
      <c r="E3441" t="str">
        <f>VLOOKUP(B3441,'PROCV GERENTES BD'!A:B,2,0)</f>
        <v>ADMINISTRAÇÃO</v>
      </c>
      <c r="F3441" s="4" t="str">
        <f t="shared" si="318"/>
        <v>2025-07</v>
      </c>
      <c r="G3441" s="18">
        <f t="shared" si="319"/>
        <v>31</v>
      </c>
      <c r="H3441" t="str">
        <f t="shared" si="320"/>
        <v>ADMINISTRAÇÃO</v>
      </c>
      <c r="I3441" t="str">
        <f t="shared" si="321"/>
        <v>BIOTECH LOGISTICA LTDA</v>
      </c>
      <c r="J3441">
        <f t="shared" si="322"/>
        <v>0</v>
      </c>
      <c r="K3441">
        <f t="shared" si="323"/>
        <v>1</v>
      </c>
    </row>
    <row r="3442" spans="1:11" x14ac:dyDescent="0.25">
      <c r="A3442" t="s">
        <v>492</v>
      </c>
      <c r="B3442" t="s">
        <v>251</v>
      </c>
      <c r="C3442" t="s">
        <v>50</v>
      </c>
      <c r="D3442" s="6">
        <v>45867</v>
      </c>
      <c r="E3442" t="str">
        <f>VLOOKUP(B3442,'PROCV GERENTES BD'!A:B,2,0)</f>
        <v>PROSPECTAR</v>
      </c>
      <c r="F3442" s="4" t="str">
        <f t="shared" si="318"/>
        <v>2025-07</v>
      </c>
      <c r="G3442" s="18">
        <f t="shared" si="319"/>
        <v>31</v>
      </c>
      <c r="H3442" t="str">
        <f t="shared" si="320"/>
        <v>PROSPECTAR</v>
      </c>
      <c r="I3442" t="str">
        <f t="shared" si="321"/>
        <v>JANE FIGUEIRA CONFECCOES LTDA ME</v>
      </c>
      <c r="J3442">
        <f t="shared" si="322"/>
        <v>0</v>
      </c>
      <c r="K3442">
        <f t="shared" si="323"/>
        <v>1</v>
      </c>
    </row>
    <row r="3443" spans="1:11" x14ac:dyDescent="0.25">
      <c r="A3443" t="s">
        <v>529</v>
      </c>
      <c r="B3443" t="s">
        <v>297</v>
      </c>
      <c r="C3443" t="s">
        <v>53</v>
      </c>
      <c r="D3443" s="6">
        <v>45868</v>
      </c>
      <c r="E3443" t="str">
        <f>VLOOKUP(B3443,'PROCV GERENTES BD'!A:B,2,0)</f>
        <v>ANDRE CUNHA</v>
      </c>
      <c r="F3443" s="4" t="str">
        <f t="shared" si="318"/>
        <v>2025-07</v>
      </c>
      <c r="G3443" s="18">
        <f t="shared" si="319"/>
        <v>31</v>
      </c>
      <c r="H3443" t="str">
        <f t="shared" si="320"/>
        <v>ANDRE CUNHA</v>
      </c>
      <c r="I3443" t="str">
        <f t="shared" si="321"/>
        <v>REVPACK TECNOLOGIA E COMERCIO DE COMPONENTES PLAST</v>
      </c>
      <c r="J3443">
        <f t="shared" si="322"/>
        <v>1</v>
      </c>
      <c r="K3443">
        <f t="shared" si="323"/>
        <v>1</v>
      </c>
    </row>
    <row r="3444" spans="1:11" x14ac:dyDescent="0.25">
      <c r="A3444" t="s">
        <v>64</v>
      </c>
      <c r="B3444" t="s">
        <v>65</v>
      </c>
      <c r="C3444" t="s">
        <v>50</v>
      </c>
      <c r="D3444" s="6">
        <v>45868</v>
      </c>
      <c r="E3444" t="str">
        <f>VLOOKUP(B3444,'PROCV GERENTES BD'!A:B,2,0)</f>
        <v>ADMINISTRAÇÃO</v>
      </c>
      <c r="F3444" s="4" t="str">
        <f t="shared" si="318"/>
        <v>2025-07</v>
      </c>
      <c r="G3444" s="18">
        <f t="shared" si="319"/>
        <v>31</v>
      </c>
      <c r="H3444" t="str">
        <f t="shared" si="320"/>
        <v>ADMINISTRAÇÃO</v>
      </c>
      <c r="I3444" t="str">
        <f t="shared" si="321"/>
        <v>SOCIAL S/A</v>
      </c>
      <c r="J3444">
        <f t="shared" si="322"/>
        <v>0</v>
      </c>
      <c r="K3444">
        <f t="shared" si="323"/>
        <v>1</v>
      </c>
    </row>
    <row r="3445" spans="1:11" x14ac:dyDescent="0.25">
      <c r="A3445" t="s">
        <v>62</v>
      </c>
      <c r="B3445" t="s">
        <v>63</v>
      </c>
      <c r="C3445" t="s">
        <v>50</v>
      </c>
      <c r="D3445" s="6">
        <v>45868</v>
      </c>
      <c r="E3445" t="str">
        <f>VLOOKUP(B3445,'PROCV GERENTES BD'!A:B,2,0)</f>
        <v>PROSPECTAR</v>
      </c>
      <c r="F3445" s="4" t="str">
        <f t="shared" si="318"/>
        <v>2025-07</v>
      </c>
      <c r="G3445" s="18">
        <f t="shared" si="319"/>
        <v>31</v>
      </c>
      <c r="H3445" t="str">
        <f t="shared" si="320"/>
        <v>PROSPECTAR</v>
      </c>
      <c r="I3445" t="str">
        <f t="shared" si="321"/>
        <v>MAPP COM IMPORTACAO EXPORTACAO IND PRODUTOS ALIMEN</v>
      </c>
      <c r="J3445">
        <f t="shared" si="322"/>
        <v>0</v>
      </c>
      <c r="K3445">
        <f t="shared" si="323"/>
        <v>1</v>
      </c>
    </row>
    <row r="3446" spans="1:11" x14ac:dyDescent="0.25">
      <c r="A3446" t="s">
        <v>519</v>
      </c>
      <c r="B3446" t="s">
        <v>283</v>
      </c>
      <c r="C3446" t="s">
        <v>66</v>
      </c>
      <c r="D3446" s="6">
        <v>45868</v>
      </c>
      <c r="E3446" t="str">
        <f>VLOOKUP(B3446,'PROCV GERENTES BD'!A:B,2,0)</f>
        <v>DALVA</v>
      </c>
      <c r="F3446" s="4" t="str">
        <f t="shared" si="318"/>
        <v>2025-07</v>
      </c>
      <c r="G3446" s="18">
        <f t="shared" si="319"/>
        <v>31</v>
      </c>
      <c r="H3446" t="str">
        <f t="shared" si="320"/>
        <v>DALVA</v>
      </c>
      <c r="I3446" t="str">
        <f t="shared" si="321"/>
        <v>LTA USINAGEM LTDA EPP</v>
      </c>
      <c r="J3446">
        <f t="shared" si="322"/>
        <v>1</v>
      </c>
      <c r="K3446">
        <f t="shared" si="323"/>
        <v>0</v>
      </c>
    </row>
    <row r="3447" spans="1:11" x14ac:dyDescent="0.25">
      <c r="A3447" t="s">
        <v>56</v>
      </c>
      <c r="B3447" t="s">
        <v>57</v>
      </c>
      <c r="C3447" t="s">
        <v>66</v>
      </c>
      <c r="D3447" s="6">
        <v>45868</v>
      </c>
      <c r="E3447" t="str">
        <f>VLOOKUP(B3447,'PROCV GERENTES BD'!A:B,2,0)</f>
        <v xml:space="preserve">ROGERIO </v>
      </c>
      <c r="F3447" s="4" t="str">
        <f t="shared" si="318"/>
        <v>2025-07</v>
      </c>
      <c r="G3447" s="18">
        <f t="shared" si="319"/>
        <v>31</v>
      </c>
      <c r="H3447" t="str">
        <f t="shared" si="320"/>
        <v xml:space="preserve">ROGERIO </v>
      </c>
      <c r="I3447" t="str">
        <f t="shared" si="321"/>
        <v>RODOVIEIRA TRANSPORTE LTDA</v>
      </c>
      <c r="J3447">
        <f t="shared" si="322"/>
        <v>1</v>
      </c>
      <c r="K3447">
        <f t="shared" si="323"/>
        <v>0</v>
      </c>
    </row>
    <row r="3448" spans="1:11" x14ac:dyDescent="0.25">
      <c r="A3448" t="s">
        <v>507</v>
      </c>
      <c r="B3448" t="s">
        <v>269</v>
      </c>
      <c r="C3448" t="s">
        <v>50</v>
      </c>
      <c r="D3448" s="6">
        <v>45868</v>
      </c>
      <c r="E3448" t="str">
        <f>VLOOKUP(B3448,'PROCV GERENTES BD'!A:B,2,0)</f>
        <v>LIBER</v>
      </c>
      <c r="F3448" s="4" t="str">
        <f t="shared" si="318"/>
        <v>2025-07</v>
      </c>
      <c r="G3448" s="18">
        <f t="shared" si="319"/>
        <v>31</v>
      </c>
      <c r="H3448" t="str">
        <f t="shared" si="320"/>
        <v>LIBER</v>
      </c>
      <c r="I3448" t="str">
        <f t="shared" si="321"/>
        <v>ALPHA DISTRIBUIDORA DE PECAS LTDA ME</v>
      </c>
      <c r="J3448">
        <f t="shared" si="322"/>
        <v>0</v>
      </c>
      <c r="K3448">
        <f t="shared" si="323"/>
        <v>1</v>
      </c>
    </row>
    <row r="3449" spans="1:11" x14ac:dyDescent="0.25">
      <c r="A3449" t="s">
        <v>54</v>
      </c>
      <c r="B3449" t="s">
        <v>55</v>
      </c>
      <c r="C3449" t="s">
        <v>50</v>
      </c>
      <c r="D3449" s="6">
        <v>45868</v>
      </c>
      <c r="E3449" t="str">
        <f>VLOOKUP(B3449,'PROCV GERENTES BD'!A:B,2,0)</f>
        <v>CELIO PIMENTA</v>
      </c>
      <c r="F3449" s="4" t="str">
        <f t="shared" si="318"/>
        <v>2025-07</v>
      </c>
      <c r="G3449" s="18">
        <f t="shared" si="319"/>
        <v>31</v>
      </c>
      <c r="H3449" t="str">
        <f t="shared" si="320"/>
        <v>CELIO PIMENTA</v>
      </c>
      <c r="I3449" t="str">
        <f t="shared" si="321"/>
        <v>WJ CALDEIRARIA INDUSTRIA E COMERCIO LTDA ME</v>
      </c>
      <c r="J3449">
        <f t="shared" si="322"/>
        <v>0</v>
      </c>
      <c r="K3449">
        <f t="shared" si="323"/>
        <v>1</v>
      </c>
    </row>
    <row r="3450" spans="1:11" x14ac:dyDescent="0.25">
      <c r="A3450" t="s">
        <v>387</v>
      </c>
      <c r="B3450" t="s">
        <v>134</v>
      </c>
      <c r="C3450" t="s">
        <v>66</v>
      </c>
      <c r="D3450" s="6">
        <v>45868</v>
      </c>
      <c r="E3450" t="str">
        <f>VLOOKUP(B3450,'PROCV GERENTES BD'!A:B,2,0)</f>
        <v>RAFAEL PARISE</v>
      </c>
      <c r="F3450" s="4" t="str">
        <f t="shared" si="318"/>
        <v>2025-07</v>
      </c>
      <c r="G3450" s="18">
        <f t="shared" si="319"/>
        <v>31</v>
      </c>
      <c r="H3450" t="str">
        <f t="shared" si="320"/>
        <v>RAFAEL PARISE</v>
      </c>
      <c r="I3450" t="str">
        <f t="shared" si="321"/>
        <v>MAIS DISTRIBUIDORA LTDA</v>
      </c>
      <c r="J3450">
        <f t="shared" si="322"/>
        <v>1</v>
      </c>
      <c r="K3450">
        <f t="shared" si="323"/>
        <v>0</v>
      </c>
    </row>
    <row r="3451" spans="1:11" x14ac:dyDescent="0.25">
      <c r="A3451" t="s">
        <v>532</v>
      </c>
      <c r="B3451" t="s">
        <v>300</v>
      </c>
      <c r="C3451" t="s">
        <v>53</v>
      </c>
      <c r="D3451" s="6">
        <v>45868</v>
      </c>
      <c r="E3451" t="str">
        <f>VLOOKUP(B3451,'PROCV GERENTES BD'!A:B,2,0)</f>
        <v>RAFAEL PARISE</v>
      </c>
      <c r="F3451" s="4" t="str">
        <f t="shared" si="318"/>
        <v>2025-07</v>
      </c>
      <c r="G3451" s="18">
        <f t="shared" si="319"/>
        <v>31</v>
      </c>
      <c r="H3451" t="str">
        <f t="shared" si="320"/>
        <v>RAFAEL PARISE</v>
      </c>
      <c r="I3451" t="str">
        <f t="shared" si="321"/>
        <v>MINASPOL INDUSTRIA E COMERCIO DE COMPOSTOS POLIMER</v>
      </c>
      <c r="J3451">
        <f t="shared" si="322"/>
        <v>1</v>
      </c>
      <c r="K3451">
        <f t="shared" si="323"/>
        <v>1</v>
      </c>
    </row>
    <row r="3452" spans="1:11" x14ac:dyDescent="0.25">
      <c r="A3452" t="s">
        <v>51</v>
      </c>
      <c r="B3452" t="s">
        <v>52</v>
      </c>
      <c r="C3452" t="s">
        <v>53</v>
      </c>
      <c r="D3452" s="6">
        <v>45868</v>
      </c>
      <c r="E3452" t="str">
        <f>VLOOKUP(B3452,'PROCV GERENTES BD'!A:B,2,0)</f>
        <v>RAFAEL PARISE</v>
      </c>
      <c r="F3452" s="4" t="str">
        <f t="shared" si="318"/>
        <v>2025-07</v>
      </c>
      <c r="G3452" s="18">
        <f t="shared" si="319"/>
        <v>31</v>
      </c>
      <c r="H3452" t="str">
        <f t="shared" si="320"/>
        <v>RAFAEL PARISE</v>
      </c>
      <c r="I3452" t="str">
        <f t="shared" si="321"/>
        <v>TDR TRANSPORTES LOGISTICA LTDA</v>
      </c>
      <c r="J3452">
        <f t="shared" si="322"/>
        <v>1</v>
      </c>
      <c r="K3452">
        <f t="shared" si="323"/>
        <v>1</v>
      </c>
    </row>
    <row r="3453" spans="1:11" x14ac:dyDescent="0.25">
      <c r="A3453" t="s">
        <v>323</v>
      </c>
      <c r="B3453" t="s">
        <v>109</v>
      </c>
      <c r="C3453" t="s">
        <v>50</v>
      </c>
      <c r="D3453" s="6">
        <v>45868</v>
      </c>
      <c r="E3453" t="str">
        <f>VLOOKUP(B3453,'PROCV GERENTES BD'!A:B,2,0)</f>
        <v>PROSPECTAR</v>
      </c>
      <c r="F3453" s="4" t="str">
        <f t="shared" si="318"/>
        <v>2025-07</v>
      </c>
      <c r="G3453" s="18">
        <f t="shared" si="319"/>
        <v>31</v>
      </c>
      <c r="H3453" t="str">
        <f t="shared" si="320"/>
        <v>PROSPECTAR</v>
      </c>
      <c r="I3453" t="str">
        <f t="shared" si="321"/>
        <v>SIAP COMERCIO DE PRODUTOS AGROPECUARIOS LTDA</v>
      </c>
      <c r="J3453">
        <f t="shared" si="322"/>
        <v>0</v>
      </c>
      <c r="K3453">
        <f t="shared" si="323"/>
        <v>1</v>
      </c>
    </row>
    <row r="3454" spans="1:11" x14ac:dyDescent="0.25">
      <c r="A3454" t="s">
        <v>523</v>
      </c>
      <c r="B3454" t="s">
        <v>288</v>
      </c>
      <c r="C3454" t="s">
        <v>53</v>
      </c>
      <c r="D3454" s="6">
        <v>45868</v>
      </c>
      <c r="E3454" t="str">
        <f>VLOOKUP(B3454,'PROCV GERENTES BD'!A:B,2,0)</f>
        <v>ADMINISTRAÇÃO</v>
      </c>
      <c r="F3454" s="4" t="str">
        <f t="shared" si="318"/>
        <v>2025-07</v>
      </c>
      <c r="G3454" s="18">
        <f t="shared" si="319"/>
        <v>31</v>
      </c>
      <c r="H3454" t="str">
        <f t="shared" si="320"/>
        <v>ADMINISTRAÇÃO</v>
      </c>
      <c r="I3454" t="str">
        <f t="shared" si="321"/>
        <v>REFRACONT BRASIL LTDA</v>
      </c>
      <c r="J3454">
        <f t="shared" si="322"/>
        <v>1</v>
      </c>
      <c r="K3454">
        <f t="shared" si="323"/>
        <v>1</v>
      </c>
    </row>
    <row r="3455" spans="1:11" x14ac:dyDescent="0.25">
      <c r="A3455" t="s">
        <v>304</v>
      </c>
      <c r="B3455" t="s">
        <v>123</v>
      </c>
      <c r="C3455" t="s">
        <v>50</v>
      </c>
      <c r="D3455" s="6">
        <v>45868</v>
      </c>
      <c r="E3455" t="str">
        <f>VLOOKUP(B3455,'PROCV GERENTES BD'!A:B,2,0)</f>
        <v>ADMINISTRAÇÃO</v>
      </c>
      <c r="F3455" s="4" t="str">
        <f t="shared" si="318"/>
        <v>2025-07</v>
      </c>
      <c r="G3455" s="18">
        <f t="shared" si="319"/>
        <v>31</v>
      </c>
      <c r="H3455" t="str">
        <f t="shared" si="320"/>
        <v>ADMINISTRAÇÃO</v>
      </c>
      <c r="I3455" t="str">
        <f t="shared" si="321"/>
        <v>VIC LOGISTICA LTDA EM RECUPERACAO JUDICIAL</v>
      </c>
      <c r="J3455">
        <f t="shared" si="322"/>
        <v>0</v>
      </c>
      <c r="K3455">
        <f t="shared" si="323"/>
        <v>1</v>
      </c>
    </row>
    <row r="3456" spans="1:11" x14ac:dyDescent="0.25">
      <c r="A3456" t="s">
        <v>368</v>
      </c>
      <c r="B3456" t="s">
        <v>111</v>
      </c>
      <c r="C3456" t="s">
        <v>66</v>
      </c>
      <c r="D3456" s="6">
        <v>45868</v>
      </c>
      <c r="E3456" t="str">
        <f>VLOOKUP(B3456,'PROCV GERENTES BD'!A:B,2,0)</f>
        <v>ADMINISTRAÇÃO</v>
      </c>
      <c r="F3456" s="4" t="str">
        <f t="shared" si="318"/>
        <v>2025-07</v>
      </c>
      <c r="G3456" s="18">
        <f t="shared" si="319"/>
        <v>31</v>
      </c>
      <c r="H3456" t="str">
        <f t="shared" si="320"/>
        <v>ADMINISTRAÇÃO</v>
      </c>
      <c r="I3456" t="str">
        <f t="shared" si="321"/>
        <v>ARTECAL ELETROCENTROS S/A</v>
      </c>
      <c r="J3456">
        <f t="shared" si="322"/>
        <v>1</v>
      </c>
      <c r="K3456">
        <f t="shared" si="323"/>
        <v>0</v>
      </c>
    </row>
    <row r="3457" spans="1:11" x14ac:dyDescent="0.25">
      <c r="A3457" t="s">
        <v>48</v>
      </c>
      <c r="B3457" t="s">
        <v>49</v>
      </c>
      <c r="C3457" t="s">
        <v>53</v>
      </c>
      <c r="D3457" s="6">
        <v>45868</v>
      </c>
      <c r="E3457" t="str">
        <f>VLOOKUP(B3457,'PROCV GERENTES BD'!A:B,2,0)</f>
        <v xml:space="preserve">MARCUS VINICIUS </v>
      </c>
      <c r="F3457" s="4" t="str">
        <f t="shared" si="318"/>
        <v>2025-07</v>
      </c>
      <c r="G3457" s="18">
        <f t="shared" si="319"/>
        <v>31</v>
      </c>
      <c r="H3457" t="str">
        <f t="shared" si="320"/>
        <v xml:space="preserve">MARCUS VINICIUS </v>
      </c>
      <c r="I3457" t="str">
        <f t="shared" si="321"/>
        <v>PROMEL IND COM IMP E EXP DE PRODS NATURAIS LTDA</v>
      </c>
      <c r="J3457">
        <f t="shared" si="322"/>
        <v>1</v>
      </c>
      <c r="K3457">
        <f t="shared" si="323"/>
        <v>1</v>
      </c>
    </row>
    <row r="3458" spans="1:11" x14ac:dyDescent="0.25">
      <c r="A3458" t="s">
        <v>311</v>
      </c>
      <c r="B3458" t="s">
        <v>81</v>
      </c>
      <c r="C3458" t="s">
        <v>66</v>
      </c>
      <c r="D3458" s="6">
        <v>45868</v>
      </c>
      <c r="E3458" t="str">
        <f>VLOOKUP(B3458,'PROCV GERENTES BD'!A:B,2,0)</f>
        <v>CELIO PIMENTA</v>
      </c>
      <c r="F3458" s="4" t="str">
        <f t="shared" ref="F3458:F3521" si="324">YEAR(D3458)&amp;"-"&amp;TEXT(MONTH(D3458),"00")</f>
        <v>2025-07</v>
      </c>
      <c r="G3458" s="18">
        <f t="shared" ref="G3458:G3521" si="325">WEEKNUM(D3458)</f>
        <v>31</v>
      </c>
      <c r="H3458" t="str">
        <f t="shared" ref="H3458:H3521" si="326">E3458</f>
        <v>CELIO PIMENTA</v>
      </c>
      <c r="I3458" t="str">
        <f t="shared" ref="I3458:I3521" si="327">B3458</f>
        <v>MBIOLOG DIAGNOSTICOS LTDA</v>
      </c>
      <c r="J3458">
        <f t="shared" ref="J3458:J3521" si="328">IF(OR(C3458="EXCLUSAO  ANOT.INADIMPLENCIA",C3458="INCL/EXCL ANOT.INADIMPLENCIA"),1,0)</f>
        <v>1</v>
      </c>
      <c r="K3458">
        <f t="shared" ref="K3458:K3521" si="329">IF(OR(C3458="INCLUSAO  ANOT.INADIMPLENCIA",C3458="INCL/EXCL ANOT.INADIMPLENCIA"),1,0)</f>
        <v>0</v>
      </c>
    </row>
    <row r="3459" spans="1:11" x14ac:dyDescent="0.25">
      <c r="A3459" t="s">
        <v>599</v>
      </c>
      <c r="B3459" t="s">
        <v>541</v>
      </c>
      <c r="C3459" t="s">
        <v>66</v>
      </c>
      <c r="D3459" s="6">
        <v>45868</v>
      </c>
      <c r="E3459" t="str">
        <f>VLOOKUP(B3459,'PROCV GERENTES BD'!A:B,2,0)</f>
        <v xml:space="preserve">MARCUS VINICIUS </v>
      </c>
      <c r="F3459" s="4" t="str">
        <f t="shared" si="324"/>
        <v>2025-07</v>
      </c>
      <c r="G3459" s="18">
        <f t="shared" si="325"/>
        <v>31</v>
      </c>
      <c r="H3459" t="str">
        <f t="shared" si="326"/>
        <v xml:space="preserve">MARCUS VINICIUS </v>
      </c>
      <c r="I3459" t="str">
        <f t="shared" si="327"/>
        <v>JSA INDUSTRIA DE COSMETICOS LTDA EPP</v>
      </c>
      <c r="J3459">
        <f t="shared" si="328"/>
        <v>1</v>
      </c>
      <c r="K3459">
        <f t="shared" si="329"/>
        <v>0</v>
      </c>
    </row>
    <row r="3460" spans="1:11" x14ac:dyDescent="0.25">
      <c r="A3460" t="s">
        <v>461</v>
      </c>
      <c r="B3460" t="s">
        <v>218</v>
      </c>
      <c r="C3460" t="s">
        <v>50</v>
      </c>
      <c r="D3460" s="6">
        <v>45868</v>
      </c>
      <c r="E3460" t="str">
        <f>VLOOKUP(B3460,'PROCV GERENTES BD'!A:B,2,0)</f>
        <v>SACADO</v>
      </c>
      <c r="F3460" s="4" t="str">
        <f t="shared" si="324"/>
        <v>2025-07</v>
      </c>
      <c r="G3460" s="18">
        <f t="shared" si="325"/>
        <v>31</v>
      </c>
      <c r="H3460" t="str">
        <f t="shared" si="326"/>
        <v>SACADO</v>
      </c>
      <c r="I3460" t="str">
        <f t="shared" si="327"/>
        <v>KUARA COMERCIAL E EXPORTADORA DE FRUTAS LTDA</v>
      </c>
      <c r="J3460">
        <f t="shared" si="328"/>
        <v>0</v>
      </c>
      <c r="K3460">
        <f t="shared" si="329"/>
        <v>1</v>
      </c>
    </row>
    <row r="3461" spans="1:11" x14ac:dyDescent="0.25">
      <c r="A3461" t="s">
        <v>311</v>
      </c>
      <c r="B3461" t="s">
        <v>81</v>
      </c>
      <c r="C3461" t="s">
        <v>66</v>
      </c>
      <c r="D3461" s="6">
        <v>45869</v>
      </c>
      <c r="E3461" t="str">
        <f>VLOOKUP(B3461,'PROCV GERENTES BD'!A:B,2,0)</f>
        <v>CELIO PIMENTA</v>
      </c>
      <c r="F3461" s="4" t="str">
        <f t="shared" si="324"/>
        <v>2025-07</v>
      </c>
      <c r="G3461" s="18">
        <f t="shared" si="325"/>
        <v>31</v>
      </c>
      <c r="H3461" t="str">
        <f t="shared" si="326"/>
        <v>CELIO PIMENTA</v>
      </c>
      <c r="I3461" t="str">
        <f t="shared" si="327"/>
        <v>MBIOLOG DIAGNOSTICOS LTDA</v>
      </c>
      <c r="J3461">
        <f t="shared" si="328"/>
        <v>1</v>
      </c>
      <c r="K3461">
        <f t="shared" si="329"/>
        <v>0</v>
      </c>
    </row>
    <row r="3462" spans="1:11" x14ac:dyDescent="0.25">
      <c r="A3462" t="s">
        <v>445</v>
      </c>
      <c r="B3462" t="s">
        <v>197</v>
      </c>
      <c r="C3462" t="s">
        <v>66</v>
      </c>
      <c r="D3462" s="6">
        <v>45869</v>
      </c>
      <c r="E3462" t="str">
        <f>VLOOKUP(B3462,'PROCV GERENTES BD'!A:B,2,0)</f>
        <v>ADMINISTRAÇÃO</v>
      </c>
      <c r="F3462" s="4" t="str">
        <f t="shared" si="324"/>
        <v>2025-07</v>
      </c>
      <c r="G3462" s="18">
        <f t="shared" si="325"/>
        <v>31</v>
      </c>
      <c r="H3462" t="str">
        <f t="shared" si="326"/>
        <v>ADMINISTRAÇÃO</v>
      </c>
      <c r="I3462" t="str">
        <f t="shared" si="327"/>
        <v>FARBIA CHEMICALS COMERCIO IMPORTACAO E EXPORTACAO</v>
      </c>
      <c r="J3462">
        <f t="shared" si="328"/>
        <v>1</v>
      </c>
      <c r="K3462">
        <f t="shared" si="329"/>
        <v>0</v>
      </c>
    </row>
    <row r="3463" spans="1:11" x14ac:dyDescent="0.25">
      <c r="A3463" t="s">
        <v>488</v>
      </c>
      <c r="B3463" t="s">
        <v>247</v>
      </c>
      <c r="C3463" t="s">
        <v>50</v>
      </c>
      <c r="D3463" s="6">
        <v>45869</v>
      </c>
      <c r="E3463" t="str">
        <f>VLOOKUP(B3463,'PROCV GERENTES BD'!A:B,2,0)</f>
        <v>CELIO PIMENTA</v>
      </c>
      <c r="F3463" s="4" t="str">
        <f t="shared" si="324"/>
        <v>2025-07</v>
      </c>
      <c r="G3463" s="18">
        <f t="shared" si="325"/>
        <v>31</v>
      </c>
      <c r="H3463" t="str">
        <f t="shared" si="326"/>
        <v>CELIO PIMENTA</v>
      </c>
      <c r="I3463" t="str">
        <f t="shared" si="327"/>
        <v>AZ HIDRAULICA USINAGEM LTDA EPP</v>
      </c>
      <c r="J3463">
        <f t="shared" si="328"/>
        <v>0</v>
      </c>
      <c r="K3463">
        <f t="shared" si="329"/>
        <v>1</v>
      </c>
    </row>
    <row r="3464" spans="1:11" x14ac:dyDescent="0.25">
      <c r="A3464" t="s">
        <v>370</v>
      </c>
      <c r="B3464" t="s">
        <v>114</v>
      </c>
      <c r="C3464" t="s">
        <v>66</v>
      </c>
      <c r="D3464" s="6">
        <v>45869</v>
      </c>
      <c r="E3464" t="str">
        <f>VLOOKUP(B3464,'PROCV GERENTES BD'!A:B,2,0)</f>
        <v>POENATELA</v>
      </c>
      <c r="F3464" s="4" t="str">
        <f t="shared" si="324"/>
        <v>2025-07</v>
      </c>
      <c r="G3464" s="18">
        <f t="shared" si="325"/>
        <v>31</v>
      </c>
      <c r="H3464" t="str">
        <f t="shared" si="326"/>
        <v>POENATELA</v>
      </c>
      <c r="I3464" t="str">
        <f t="shared" si="327"/>
        <v>COOPERATIVA TRANSP AUTON CARGAS PASSAG SERVICOS LO</v>
      </c>
      <c r="J3464">
        <f t="shared" si="328"/>
        <v>1</v>
      </c>
      <c r="K3464">
        <f t="shared" si="329"/>
        <v>0</v>
      </c>
    </row>
    <row r="3465" spans="1:11" x14ac:dyDescent="0.25">
      <c r="A3465" t="s">
        <v>625</v>
      </c>
      <c r="B3465" t="s">
        <v>537</v>
      </c>
      <c r="C3465" t="s">
        <v>50</v>
      </c>
      <c r="D3465" s="6">
        <v>45869</v>
      </c>
      <c r="E3465" t="str">
        <f>VLOOKUP(B3465,'PROCV GERENTES BD'!A:B,2,0)</f>
        <v>WASHINGTON</v>
      </c>
      <c r="F3465" s="4" t="str">
        <f t="shared" si="324"/>
        <v>2025-07</v>
      </c>
      <c r="G3465" s="18">
        <f t="shared" si="325"/>
        <v>31</v>
      </c>
      <c r="H3465" t="str">
        <f t="shared" si="326"/>
        <v>WASHINGTON</v>
      </c>
      <c r="I3465" t="str">
        <f t="shared" si="327"/>
        <v>COMERCIAL SEGURANCA LTDA ME</v>
      </c>
      <c r="J3465">
        <f t="shared" si="328"/>
        <v>0</v>
      </c>
      <c r="K3465">
        <f t="shared" si="329"/>
        <v>1</v>
      </c>
    </row>
    <row r="3466" spans="1:11" x14ac:dyDescent="0.25">
      <c r="A3466" t="s">
        <v>64</v>
      </c>
      <c r="B3466" t="s">
        <v>65</v>
      </c>
      <c r="C3466" t="s">
        <v>53</v>
      </c>
      <c r="D3466" s="6">
        <v>45869</v>
      </c>
      <c r="E3466" t="str">
        <f>VLOOKUP(B3466,'PROCV GERENTES BD'!A:B,2,0)</f>
        <v>ADMINISTRAÇÃO</v>
      </c>
      <c r="F3466" s="4" t="str">
        <f t="shared" si="324"/>
        <v>2025-07</v>
      </c>
      <c r="G3466" s="18">
        <f t="shared" si="325"/>
        <v>31</v>
      </c>
      <c r="H3466" t="str">
        <f t="shared" si="326"/>
        <v>ADMINISTRAÇÃO</v>
      </c>
      <c r="I3466" t="str">
        <f t="shared" si="327"/>
        <v>SOCIAL S/A</v>
      </c>
      <c r="J3466">
        <f t="shared" si="328"/>
        <v>1</v>
      </c>
      <c r="K3466">
        <f t="shared" si="329"/>
        <v>1</v>
      </c>
    </row>
    <row r="3467" spans="1:11" x14ac:dyDescent="0.25">
      <c r="A3467" t="s">
        <v>62</v>
      </c>
      <c r="B3467" t="s">
        <v>63</v>
      </c>
      <c r="C3467" t="s">
        <v>66</v>
      </c>
      <c r="D3467" s="6">
        <v>45869</v>
      </c>
      <c r="E3467" t="str">
        <f>VLOOKUP(B3467,'PROCV GERENTES BD'!A:B,2,0)</f>
        <v>PROSPECTAR</v>
      </c>
      <c r="F3467" s="4" t="str">
        <f t="shared" si="324"/>
        <v>2025-07</v>
      </c>
      <c r="G3467" s="18">
        <f t="shared" si="325"/>
        <v>31</v>
      </c>
      <c r="H3467" t="str">
        <f t="shared" si="326"/>
        <v>PROSPECTAR</v>
      </c>
      <c r="I3467" t="str">
        <f t="shared" si="327"/>
        <v>MAPP COM IMPORTACAO EXPORTACAO IND PRODUTOS ALIMEN</v>
      </c>
      <c r="J3467">
        <f t="shared" si="328"/>
        <v>1</v>
      </c>
      <c r="K3467">
        <f t="shared" si="329"/>
        <v>0</v>
      </c>
    </row>
    <row r="3468" spans="1:11" x14ac:dyDescent="0.25">
      <c r="A3468" t="s">
        <v>604</v>
      </c>
      <c r="B3468" t="s">
        <v>605</v>
      </c>
      <c r="C3468" t="s">
        <v>50</v>
      </c>
      <c r="D3468" s="6">
        <v>45869</v>
      </c>
      <c r="E3468" t="str">
        <f>VLOOKUP(B3468,'PROCV GERENTES BD'!A:B,2,0)</f>
        <v>ALISSON DE SOUZA LIMA</v>
      </c>
      <c r="F3468" s="4" t="str">
        <f t="shared" si="324"/>
        <v>2025-07</v>
      </c>
      <c r="G3468" s="18">
        <f t="shared" si="325"/>
        <v>31</v>
      </c>
      <c r="H3468" t="str">
        <f t="shared" si="326"/>
        <v>ALISSON DE SOUZA LIMA</v>
      </c>
      <c r="I3468" t="str">
        <f t="shared" si="327"/>
        <v>3J FUNDICAO INDUSTRIAL LTDA</v>
      </c>
      <c r="J3468">
        <f t="shared" si="328"/>
        <v>0</v>
      </c>
      <c r="K3468">
        <f t="shared" si="329"/>
        <v>1</v>
      </c>
    </row>
    <row r="3469" spans="1:11" x14ac:dyDescent="0.25">
      <c r="A3469" t="s">
        <v>58</v>
      </c>
      <c r="B3469" t="s">
        <v>59</v>
      </c>
      <c r="C3469" t="s">
        <v>53</v>
      </c>
      <c r="D3469" s="6">
        <v>45869</v>
      </c>
      <c r="E3469" t="str">
        <f>VLOOKUP(B3469,'PROCV GERENTES BD'!A:B,2,0)</f>
        <v>ADMINISTRAÇÃO</v>
      </c>
      <c r="F3469" s="4" t="str">
        <f t="shared" si="324"/>
        <v>2025-07</v>
      </c>
      <c r="G3469" s="18">
        <f t="shared" si="325"/>
        <v>31</v>
      </c>
      <c r="H3469" t="str">
        <f t="shared" si="326"/>
        <v>ADMINISTRAÇÃO</v>
      </c>
      <c r="I3469" t="str">
        <f t="shared" si="327"/>
        <v>BIOTECH LOGISTICA LTDA</v>
      </c>
      <c r="J3469">
        <f t="shared" si="328"/>
        <v>1</v>
      </c>
      <c r="K3469">
        <f t="shared" si="329"/>
        <v>1</v>
      </c>
    </row>
    <row r="3470" spans="1:11" x14ac:dyDescent="0.25">
      <c r="A3470" t="s">
        <v>56</v>
      </c>
      <c r="B3470" t="s">
        <v>57</v>
      </c>
      <c r="C3470" t="s">
        <v>50</v>
      </c>
      <c r="D3470" s="6">
        <v>45869</v>
      </c>
      <c r="E3470" t="str">
        <f>VLOOKUP(B3470,'PROCV GERENTES BD'!A:B,2,0)</f>
        <v xml:space="preserve">ROGERIO </v>
      </c>
      <c r="F3470" s="4" t="str">
        <f t="shared" si="324"/>
        <v>2025-07</v>
      </c>
      <c r="G3470" s="18">
        <f t="shared" si="325"/>
        <v>31</v>
      </c>
      <c r="H3470" t="str">
        <f t="shared" si="326"/>
        <v xml:space="preserve">ROGERIO </v>
      </c>
      <c r="I3470" t="str">
        <f t="shared" si="327"/>
        <v>RODOVIEIRA TRANSPORTE LTDA</v>
      </c>
      <c r="J3470">
        <f t="shared" si="328"/>
        <v>0</v>
      </c>
      <c r="K3470">
        <f t="shared" si="329"/>
        <v>1</v>
      </c>
    </row>
    <row r="3471" spans="1:11" x14ac:dyDescent="0.25">
      <c r="A3471" t="s">
        <v>358</v>
      </c>
      <c r="B3471" t="s">
        <v>104</v>
      </c>
      <c r="C3471" t="s">
        <v>50</v>
      </c>
      <c r="D3471" s="6">
        <v>45869</v>
      </c>
      <c r="E3471" t="str">
        <f>VLOOKUP(B3471,'PROCV GERENTES BD'!A:B,2,0)</f>
        <v>DIOGO AZEVEDO</v>
      </c>
      <c r="F3471" s="4" t="str">
        <f t="shared" si="324"/>
        <v>2025-07</v>
      </c>
      <c r="G3471" s="18">
        <f t="shared" si="325"/>
        <v>31</v>
      </c>
      <c r="H3471" t="str">
        <f t="shared" si="326"/>
        <v>DIOGO AZEVEDO</v>
      </c>
      <c r="I3471" t="str">
        <f t="shared" si="327"/>
        <v>INDUSTRIA E CERVEJARIA ARTESANAL DE MINAS GERAIS L</v>
      </c>
      <c r="J3471">
        <f t="shared" si="328"/>
        <v>0</v>
      </c>
      <c r="K3471">
        <f t="shared" si="329"/>
        <v>1</v>
      </c>
    </row>
    <row r="3472" spans="1:11" x14ac:dyDescent="0.25">
      <c r="A3472" t="s">
        <v>533</v>
      </c>
      <c r="B3472" t="s">
        <v>301</v>
      </c>
      <c r="C3472" t="s">
        <v>50</v>
      </c>
      <c r="D3472" s="6">
        <v>45869</v>
      </c>
      <c r="E3472" t="str">
        <f>VLOOKUP(B3472,'PROCV GERENTES BD'!A:B,2,0)</f>
        <v xml:space="preserve">MARCUS VINICIUS </v>
      </c>
      <c r="F3472" s="4" t="str">
        <f t="shared" si="324"/>
        <v>2025-07</v>
      </c>
      <c r="G3472" s="18">
        <f t="shared" si="325"/>
        <v>31</v>
      </c>
      <c r="H3472" t="str">
        <f t="shared" si="326"/>
        <v xml:space="preserve">MARCUS VINICIUS </v>
      </c>
      <c r="I3472" t="str">
        <f t="shared" si="327"/>
        <v>LINDINALDO ANISIO DA SILVA ME</v>
      </c>
      <c r="J3472">
        <f t="shared" si="328"/>
        <v>0</v>
      </c>
      <c r="K3472">
        <f t="shared" si="329"/>
        <v>1</v>
      </c>
    </row>
    <row r="3473" spans="1:11" x14ac:dyDescent="0.25">
      <c r="A3473" t="s">
        <v>54</v>
      </c>
      <c r="B3473" t="s">
        <v>55</v>
      </c>
      <c r="C3473" t="s">
        <v>50</v>
      </c>
      <c r="D3473" s="6">
        <v>45869</v>
      </c>
      <c r="E3473" t="str">
        <f>VLOOKUP(B3473,'PROCV GERENTES BD'!A:B,2,0)</f>
        <v>CELIO PIMENTA</v>
      </c>
      <c r="F3473" s="4" t="str">
        <f t="shared" si="324"/>
        <v>2025-07</v>
      </c>
      <c r="G3473" s="18">
        <f t="shared" si="325"/>
        <v>31</v>
      </c>
      <c r="H3473" t="str">
        <f t="shared" si="326"/>
        <v>CELIO PIMENTA</v>
      </c>
      <c r="I3473" t="str">
        <f t="shared" si="327"/>
        <v>WJ CALDEIRARIA INDUSTRIA E COMERCIO LTDA ME</v>
      </c>
      <c r="J3473">
        <f t="shared" si="328"/>
        <v>0</v>
      </c>
      <c r="K3473">
        <f t="shared" si="329"/>
        <v>1</v>
      </c>
    </row>
    <row r="3474" spans="1:11" x14ac:dyDescent="0.25">
      <c r="A3474" t="s">
        <v>532</v>
      </c>
      <c r="B3474" t="s">
        <v>300</v>
      </c>
      <c r="C3474" t="s">
        <v>66</v>
      </c>
      <c r="D3474" s="6">
        <v>45869</v>
      </c>
      <c r="E3474" t="str">
        <f>VLOOKUP(B3474,'PROCV GERENTES BD'!A:B,2,0)</f>
        <v>RAFAEL PARISE</v>
      </c>
      <c r="F3474" s="4" t="str">
        <f t="shared" si="324"/>
        <v>2025-07</v>
      </c>
      <c r="G3474" s="18">
        <f t="shared" si="325"/>
        <v>31</v>
      </c>
      <c r="H3474" t="str">
        <f t="shared" si="326"/>
        <v>RAFAEL PARISE</v>
      </c>
      <c r="I3474" t="str">
        <f t="shared" si="327"/>
        <v>MINASPOL INDUSTRIA E COMERCIO DE COMPOSTOS POLIMER</v>
      </c>
      <c r="J3474">
        <f t="shared" si="328"/>
        <v>1</v>
      </c>
      <c r="K3474">
        <f t="shared" si="329"/>
        <v>0</v>
      </c>
    </row>
    <row r="3475" spans="1:11" x14ac:dyDescent="0.25">
      <c r="A3475" t="s">
        <v>51</v>
      </c>
      <c r="B3475" t="s">
        <v>52</v>
      </c>
      <c r="C3475" t="s">
        <v>66</v>
      </c>
      <c r="D3475" s="6">
        <v>45869</v>
      </c>
      <c r="E3475" t="str">
        <f>VLOOKUP(B3475,'PROCV GERENTES BD'!A:B,2,0)</f>
        <v>RAFAEL PARISE</v>
      </c>
      <c r="F3475" s="4" t="str">
        <f t="shared" si="324"/>
        <v>2025-07</v>
      </c>
      <c r="G3475" s="18">
        <f t="shared" si="325"/>
        <v>31</v>
      </c>
      <c r="H3475" t="str">
        <f t="shared" si="326"/>
        <v>RAFAEL PARISE</v>
      </c>
      <c r="I3475" t="str">
        <f t="shared" si="327"/>
        <v>TDR TRANSPORTES LOGISTICA LTDA</v>
      </c>
      <c r="J3475">
        <f t="shared" si="328"/>
        <v>1</v>
      </c>
      <c r="K3475">
        <f t="shared" si="329"/>
        <v>0</v>
      </c>
    </row>
    <row r="3476" spans="1:11" x14ac:dyDescent="0.25">
      <c r="A3476" t="s">
        <v>323</v>
      </c>
      <c r="B3476" t="s">
        <v>109</v>
      </c>
      <c r="C3476" t="s">
        <v>66</v>
      </c>
      <c r="D3476" s="6">
        <v>45869</v>
      </c>
      <c r="E3476" t="str">
        <f>VLOOKUP(B3476,'PROCV GERENTES BD'!A:B,2,0)</f>
        <v>PROSPECTAR</v>
      </c>
      <c r="F3476" s="4" t="str">
        <f t="shared" si="324"/>
        <v>2025-07</v>
      </c>
      <c r="G3476" s="18">
        <f t="shared" si="325"/>
        <v>31</v>
      </c>
      <c r="H3476" t="str">
        <f t="shared" si="326"/>
        <v>PROSPECTAR</v>
      </c>
      <c r="I3476" t="str">
        <f t="shared" si="327"/>
        <v>SIAP COMERCIO DE PRODUTOS AGROPECUARIOS LTDA</v>
      </c>
      <c r="J3476">
        <f t="shared" si="328"/>
        <v>1</v>
      </c>
      <c r="K3476">
        <f t="shared" si="329"/>
        <v>0</v>
      </c>
    </row>
    <row r="3477" spans="1:11" x14ac:dyDescent="0.25">
      <c r="A3477" t="s">
        <v>460</v>
      </c>
      <c r="B3477" t="s">
        <v>217</v>
      </c>
      <c r="C3477" t="s">
        <v>50</v>
      </c>
      <c r="D3477" s="6">
        <v>45869</v>
      </c>
      <c r="E3477" t="str">
        <f>VLOOKUP(B3477,'PROCV GERENTES BD'!A:B,2,0)</f>
        <v>CELIO PIMENTA</v>
      </c>
      <c r="F3477" s="4" t="str">
        <f t="shared" si="324"/>
        <v>2025-07</v>
      </c>
      <c r="G3477" s="18">
        <f t="shared" si="325"/>
        <v>31</v>
      </c>
      <c r="H3477" t="str">
        <f t="shared" si="326"/>
        <v>CELIO PIMENTA</v>
      </c>
      <c r="I3477" t="str">
        <f t="shared" si="327"/>
        <v>MINAS CLEAN DISTRIBUIDORA DE PRODUTOS PARA LIMPEZA</v>
      </c>
      <c r="J3477">
        <f t="shared" si="328"/>
        <v>0</v>
      </c>
      <c r="K3477">
        <f t="shared" si="329"/>
        <v>1</v>
      </c>
    </row>
    <row r="3478" spans="1:11" x14ac:dyDescent="0.25">
      <c r="A3478" t="s">
        <v>608</v>
      </c>
      <c r="B3478" t="s">
        <v>609</v>
      </c>
      <c r="C3478" t="s">
        <v>66</v>
      </c>
      <c r="D3478" s="6">
        <v>45869</v>
      </c>
      <c r="E3478" t="str">
        <f>VLOOKUP(B3478,'PROCV GERENTES BD'!A:B,2,0)</f>
        <v>PROSPECTAR</v>
      </c>
      <c r="F3478" s="4" t="str">
        <f t="shared" si="324"/>
        <v>2025-07</v>
      </c>
      <c r="G3478" s="18">
        <f t="shared" si="325"/>
        <v>31</v>
      </c>
      <c r="H3478" t="str">
        <f t="shared" si="326"/>
        <v>PROSPECTAR</v>
      </c>
      <c r="I3478" t="str">
        <f t="shared" si="327"/>
        <v>SAGESSE INDUSTRIAL TEXTIL LTDA EPP</v>
      </c>
      <c r="J3478">
        <f t="shared" si="328"/>
        <v>1</v>
      </c>
      <c r="K3478">
        <f t="shared" si="329"/>
        <v>0</v>
      </c>
    </row>
    <row r="3479" spans="1:11" x14ac:dyDescent="0.25">
      <c r="A3479" t="s">
        <v>529</v>
      </c>
      <c r="B3479" t="s">
        <v>297</v>
      </c>
      <c r="C3479" t="s">
        <v>50</v>
      </c>
      <c r="D3479" s="6">
        <v>45870</v>
      </c>
      <c r="E3479" t="str">
        <f>VLOOKUP(B3479,'PROCV GERENTES BD'!A:B,2,0)</f>
        <v>ANDRE CUNHA</v>
      </c>
      <c r="F3479" s="4" t="str">
        <f t="shared" si="324"/>
        <v>2025-08</v>
      </c>
      <c r="G3479" s="18">
        <f t="shared" si="325"/>
        <v>31</v>
      </c>
      <c r="H3479" t="str">
        <f t="shared" si="326"/>
        <v>ANDRE CUNHA</v>
      </c>
      <c r="I3479" t="str">
        <f t="shared" si="327"/>
        <v>REVPACK TECNOLOGIA E COMERCIO DE COMPONENTES PLAST</v>
      </c>
      <c r="J3479">
        <f t="shared" si="328"/>
        <v>0</v>
      </c>
      <c r="K3479">
        <f t="shared" si="329"/>
        <v>1</v>
      </c>
    </row>
    <row r="3480" spans="1:11" x14ac:dyDescent="0.25">
      <c r="A3480" t="s">
        <v>48</v>
      </c>
      <c r="B3480" t="s">
        <v>49</v>
      </c>
      <c r="C3480" t="s">
        <v>50</v>
      </c>
      <c r="D3480" s="6">
        <v>45870</v>
      </c>
      <c r="E3480" t="str">
        <f>VLOOKUP(B3480,'PROCV GERENTES BD'!A:B,2,0)</f>
        <v xml:space="preserve">MARCUS VINICIUS </v>
      </c>
      <c r="F3480" s="4" t="str">
        <f t="shared" si="324"/>
        <v>2025-08</v>
      </c>
      <c r="G3480" s="18">
        <f t="shared" si="325"/>
        <v>31</v>
      </c>
      <c r="H3480" t="str">
        <f t="shared" si="326"/>
        <v xml:space="preserve">MARCUS VINICIUS </v>
      </c>
      <c r="I3480" t="str">
        <f t="shared" si="327"/>
        <v>PROMEL IND COM IMP E EXP DE PRODS NATURAIS LTDA</v>
      </c>
      <c r="J3480">
        <f t="shared" si="328"/>
        <v>0</v>
      </c>
      <c r="K3480">
        <f t="shared" si="329"/>
        <v>1</v>
      </c>
    </row>
    <row r="3481" spans="1:11" x14ac:dyDescent="0.25">
      <c r="A3481" t="s">
        <v>304</v>
      </c>
      <c r="B3481" t="s">
        <v>123</v>
      </c>
      <c r="C3481" t="s">
        <v>50</v>
      </c>
      <c r="D3481" s="6">
        <v>45870</v>
      </c>
      <c r="E3481" t="str">
        <f>VLOOKUP(B3481,'PROCV GERENTES BD'!A:B,2,0)</f>
        <v>ADMINISTRAÇÃO</v>
      </c>
      <c r="F3481" s="4" t="str">
        <f t="shared" si="324"/>
        <v>2025-08</v>
      </c>
      <c r="G3481" s="18">
        <f t="shared" si="325"/>
        <v>31</v>
      </c>
      <c r="H3481" t="str">
        <f t="shared" si="326"/>
        <v>ADMINISTRAÇÃO</v>
      </c>
      <c r="I3481" t="str">
        <f t="shared" si="327"/>
        <v>VIC LOGISTICA LTDA EM RECUPERACAO JUDICIAL</v>
      </c>
      <c r="J3481">
        <f t="shared" si="328"/>
        <v>0</v>
      </c>
      <c r="K3481">
        <f t="shared" si="329"/>
        <v>1</v>
      </c>
    </row>
    <row r="3482" spans="1:11" x14ac:dyDescent="0.25">
      <c r="A3482" t="s">
        <v>523</v>
      </c>
      <c r="B3482" t="s">
        <v>288</v>
      </c>
      <c r="C3482" t="s">
        <v>66</v>
      </c>
      <c r="D3482" s="6">
        <v>45870</v>
      </c>
      <c r="E3482" t="str">
        <f>VLOOKUP(B3482,'PROCV GERENTES BD'!A:B,2,0)</f>
        <v>ADMINISTRAÇÃO</v>
      </c>
      <c r="F3482" s="4" t="str">
        <f t="shared" si="324"/>
        <v>2025-08</v>
      </c>
      <c r="G3482" s="18">
        <f t="shared" si="325"/>
        <v>31</v>
      </c>
      <c r="H3482" t="str">
        <f t="shared" si="326"/>
        <v>ADMINISTRAÇÃO</v>
      </c>
      <c r="I3482" t="str">
        <f t="shared" si="327"/>
        <v>REFRACONT BRASIL LTDA</v>
      </c>
      <c r="J3482">
        <f t="shared" si="328"/>
        <v>1</v>
      </c>
      <c r="K3482">
        <f t="shared" si="329"/>
        <v>0</v>
      </c>
    </row>
    <row r="3483" spans="1:11" x14ac:dyDescent="0.25">
      <c r="A3483" t="s">
        <v>51</v>
      </c>
      <c r="B3483" t="s">
        <v>52</v>
      </c>
      <c r="C3483" t="s">
        <v>53</v>
      </c>
      <c r="D3483" s="6">
        <v>45870</v>
      </c>
      <c r="E3483" t="str">
        <f>VLOOKUP(B3483,'PROCV GERENTES BD'!A:B,2,0)</f>
        <v>RAFAEL PARISE</v>
      </c>
      <c r="F3483" s="4" t="str">
        <f t="shared" si="324"/>
        <v>2025-08</v>
      </c>
      <c r="G3483" s="18">
        <f t="shared" si="325"/>
        <v>31</v>
      </c>
      <c r="H3483" t="str">
        <f t="shared" si="326"/>
        <v>RAFAEL PARISE</v>
      </c>
      <c r="I3483" t="str">
        <f t="shared" si="327"/>
        <v>TDR TRANSPORTES LOGISTICA LTDA</v>
      </c>
      <c r="J3483">
        <f t="shared" si="328"/>
        <v>1</v>
      </c>
      <c r="K3483">
        <f t="shared" si="329"/>
        <v>1</v>
      </c>
    </row>
    <row r="3484" spans="1:11" x14ac:dyDescent="0.25">
      <c r="A3484" t="s">
        <v>532</v>
      </c>
      <c r="B3484" t="s">
        <v>300</v>
      </c>
      <c r="C3484" t="s">
        <v>66</v>
      </c>
      <c r="D3484" s="6">
        <v>45870</v>
      </c>
      <c r="E3484" t="str">
        <f>VLOOKUP(B3484,'PROCV GERENTES BD'!A:B,2,0)</f>
        <v>RAFAEL PARISE</v>
      </c>
      <c r="F3484" s="4" t="str">
        <f t="shared" si="324"/>
        <v>2025-08</v>
      </c>
      <c r="G3484" s="18">
        <f t="shared" si="325"/>
        <v>31</v>
      </c>
      <c r="H3484" t="str">
        <f t="shared" si="326"/>
        <v>RAFAEL PARISE</v>
      </c>
      <c r="I3484" t="str">
        <f t="shared" si="327"/>
        <v>MINASPOL INDUSTRIA E COMERCIO DE COMPOSTOS POLIMER</v>
      </c>
      <c r="J3484">
        <f t="shared" si="328"/>
        <v>1</v>
      </c>
      <c r="K3484">
        <f t="shared" si="329"/>
        <v>0</v>
      </c>
    </row>
    <row r="3485" spans="1:11" x14ac:dyDescent="0.25">
      <c r="A3485" t="s">
        <v>361</v>
      </c>
      <c r="B3485" t="s">
        <v>106</v>
      </c>
      <c r="C3485" t="s">
        <v>66</v>
      </c>
      <c r="D3485" s="6">
        <v>45870</v>
      </c>
      <c r="E3485" t="str">
        <f>VLOOKUP(B3485,'PROCV GERENTES BD'!A:B,2,0)</f>
        <v>PRISCILA METZ</v>
      </c>
      <c r="F3485" s="4" t="str">
        <f t="shared" si="324"/>
        <v>2025-08</v>
      </c>
      <c r="G3485" s="18">
        <f t="shared" si="325"/>
        <v>31</v>
      </c>
      <c r="H3485" t="str">
        <f t="shared" si="326"/>
        <v>PRISCILA METZ</v>
      </c>
      <c r="I3485" t="str">
        <f t="shared" si="327"/>
        <v>HERBAMED LABORATORIO NUTRACEUTICO LTDA</v>
      </c>
      <c r="J3485">
        <f t="shared" si="328"/>
        <v>1</v>
      </c>
      <c r="K3485">
        <f t="shared" si="329"/>
        <v>0</v>
      </c>
    </row>
    <row r="3486" spans="1:11" x14ac:dyDescent="0.25">
      <c r="A3486" t="s">
        <v>533</v>
      </c>
      <c r="B3486" t="s">
        <v>301</v>
      </c>
      <c r="C3486" t="s">
        <v>50</v>
      </c>
      <c r="D3486" s="6">
        <v>45870</v>
      </c>
      <c r="E3486" t="str">
        <f>VLOOKUP(B3486,'PROCV GERENTES BD'!A:B,2,0)</f>
        <v xml:space="preserve">MARCUS VINICIUS </v>
      </c>
      <c r="F3486" s="4" t="str">
        <f t="shared" si="324"/>
        <v>2025-08</v>
      </c>
      <c r="G3486" s="18">
        <f t="shared" si="325"/>
        <v>31</v>
      </c>
      <c r="H3486" t="str">
        <f t="shared" si="326"/>
        <v xml:space="preserve">MARCUS VINICIUS </v>
      </c>
      <c r="I3486" t="str">
        <f t="shared" si="327"/>
        <v>LINDINALDO ANISIO DA SILVA ME</v>
      </c>
      <c r="J3486">
        <f t="shared" si="328"/>
        <v>0</v>
      </c>
      <c r="K3486">
        <f t="shared" si="329"/>
        <v>1</v>
      </c>
    </row>
    <row r="3487" spans="1:11" x14ac:dyDescent="0.25">
      <c r="A3487" t="s">
        <v>358</v>
      </c>
      <c r="B3487" t="s">
        <v>104</v>
      </c>
      <c r="C3487" t="s">
        <v>50</v>
      </c>
      <c r="D3487" s="6">
        <v>45870</v>
      </c>
      <c r="E3487" t="str">
        <f>VLOOKUP(B3487,'PROCV GERENTES BD'!A:B,2,0)</f>
        <v>DIOGO AZEVEDO</v>
      </c>
      <c r="F3487" s="4" t="str">
        <f t="shared" si="324"/>
        <v>2025-08</v>
      </c>
      <c r="G3487" s="18">
        <f t="shared" si="325"/>
        <v>31</v>
      </c>
      <c r="H3487" t="str">
        <f t="shared" si="326"/>
        <v>DIOGO AZEVEDO</v>
      </c>
      <c r="I3487" t="str">
        <f t="shared" si="327"/>
        <v>INDUSTRIA E CERVEJARIA ARTESANAL DE MINAS GERAIS L</v>
      </c>
      <c r="J3487">
        <f t="shared" si="328"/>
        <v>0</v>
      </c>
      <c r="K3487">
        <f t="shared" si="329"/>
        <v>1</v>
      </c>
    </row>
    <row r="3488" spans="1:11" x14ac:dyDescent="0.25">
      <c r="A3488" t="s">
        <v>319</v>
      </c>
      <c r="B3488" t="s">
        <v>80</v>
      </c>
      <c r="C3488" t="s">
        <v>50</v>
      </c>
      <c r="D3488" s="6">
        <v>45870</v>
      </c>
      <c r="E3488" t="str">
        <f>VLOOKUP(B3488,'PROCV GERENTES BD'!A:B,2,0)</f>
        <v>CELIO PIMENTA</v>
      </c>
      <c r="F3488" s="4" t="str">
        <f t="shared" si="324"/>
        <v>2025-08</v>
      </c>
      <c r="G3488" s="18">
        <f t="shared" si="325"/>
        <v>31</v>
      </c>
      <c r="H3488" t="str">
        <f t="shared" si="326"/>
        <v>CELIO PIMENTA</v>
      </c>
      <c r="I3488" t="str">
        <f t="shared" si="327"/>
        <v>IMPORTEXTIL COMERCIO DE TECIDOS LTDA</v>
      </c>
      <c r="J3488">
        <f t="shared" si="328"/>
        <v>0</v>
      </c>
      <c r="K3488">
        <f t="shared" si="329"/>
        <v>1</v>
      </c>
    </row>
    <row r="3489" spans="1:11" x14ac:dyDescent="0.25">
      <c r="A3489" t="s">
        <v>475</v>
      </c>
      <c r="B3489" t="s">
        <v>232</v>
      </c>
      <c r="C3489" t="s">
        <v>66</v>
      </c>
      <c r="D3489" s="6">
        <v>45870</v>
      </c>
      <c r="E3489" t="str">
        <f>VLOOKUP(B3489,'PROCV GERENTES BD'!A:B,2,0)</f>
        <v>POENATELA</v>
      </c>
      <c r="F3489" s="4" t="str">
        <f t="shared" si="324"/>
        <v>2025-08</v>
      </c>
      <c r="G3489" s="18">
        <f t="shared" si="325"/>
        <v>31</v>
      </c>
      <c r="H3489" t="str">
        <f t="shared" si="326"/>
        <v>POENATELA</v>
      </c>
      <c r="I3489" t="str">
        <f t="shared" si="327"/>
        <v>JUATUBA MOVEIS E EMBALAGENS LTDA</v>
      </c>
      <c r="J3489">
        <f t="shared" si="328"/>
        <v>1</v>
      </c>
      <c r="K3489">
        <f t="shared" si="329"/>
        <v>0</v>
      </c>
    </row>
    <row r="3490" spans="1:11" x14ac:dyDescent="0.25">
      <c r="A3490" t="s">
        <v>64</v>
      </c>
      <c r="B3490" t="s">
        <v>65</v>
      </c>
      <c r="C3490" t="s">
        <v>53</v>
      </c>
      <c r="D3490" s="6">
        <v>45870</v>
      </c>
      <c r="E3490" t="str">
        <f>VLOOKUP(B3490,'PROCV GERENTES BD'!A:B,2,0)</f>
        <v>ADMINISTRAÇÃO</v>
      </c>
      <c r="F3490" s="4" t="str">
        <f t="shared" si="324"/>
        <v>2025-08</v>
      </c>
      <c r="G3490" s="18">
        <f t="shared" si="325"/>
        <v>31</v>
      </c>
      <c r="H3490" t="str">
        <f t="shared" si="326"/>
        <v>ADMINISTRAÇÃO</v>
      </c>
      <c r="I3490" t="str">
        <f t="shared" si="327"/>
        <v>SOCIAL S/A</v>
      </c>
      <c r="J3490">
        <f t="shared" si="328"/>
        <v>1</v>
      </c>
      <c r="K3490">
        <f t="shared" si="329"/>
        <v>1</v>
      </c>
    </row>
    <row r="3491" spans="1:11" x14ac:dyDescent="0.25">
      <c r="A3491" t="s">
        <v>450</v>
      </c>
      <c r="B3491" t="s">
        <v>207</v>
      </c>
      <c r="C3491" t="s">
        <v>66</v>
      </c>
      <c r="D3491" s="6">
        <v>45870</v>
      </c>
      <c r="E3491" t="str">
        <f>VLOOKUP(B3491,'PROCV GERENTES BD'!A:B,2,0)</f>
        <v>CELIO PIMENTA</v>
      </c>
      <c r="F3491" s="4" t="str">
        <f t="shared" si="324"/>
        <v>2025-08</v>
      </c>
      <c r="G3491" s="18">
        <f t="shared" si="325"/>
        <v>31</v>
      </c>
      <c r="H3491" t="str">
        <f t="shared" si="326"/>
        <v>CELIO PIMENTA</v>
      </c>
      <c r="I3491" t="str">
        <f t="shared" si="327"/>
        <v>LIDER COMERCIO DE UNIFORMES E EPI S LTDA ME</v>
      </c>
      <c r="J3491">
        <f t="shared" si="328"/>
        <v>1</v>
      </c>
      <c r="K3491">
        <f t="shared" si="329"/>
        <v>0</v>
      </c>
    </row>
    <row r="3492" spans="1:11" x14ac:dyDescent="0.25">
      <c r="A3492" t="s">
        <v>645</v>
      </c>
      <c r="B3492" t="s">
        <v>646</v>
      </c>
      <c r="C3492" t="s">
        <v>66</v>
      </c>
      <c r="D3492" s="6">
        <v>45870</v>
      </c>
      <c r="E3492" t="str">
        <f>VLOOKUP(B3492,'PROCV GERENTES BD'!A:B,2,0)</f>
        <v>RAFAEL PARISE</v>
      </c>
      <c r="F3492" s="4" t="str">
        <f t="shared" si="324"/>
        <v>2025-08</v>
      </c>
      <c r="G3492" s="18">
        <f t="shared" si="325"/>
        <v>31</v>
      </c>
      <c r="H3492" t="str">
        <f t="shared" si="326"/>
        <v>RAFAEL PARISE</v>
      </c>
      <c r="I3492" t="str">
        <f t="shared" si="327"/>
        <v>SIGGA LOGISTICA LTDA</v>
      </c>
      <c r="J3492">
        <f t="shared" si="328"/>
        <v>1</v>
      </c>
      <c r="K3492">
        <f t="shared" si="329"/>
        <v>0</v>
      </c>
    </row>
    <row r="3493" spans="1:11" x14ac:dyDescent="0.25">
      <c r="A3493" t="s">
        <v>430</v>
      </c>
      <c r="B3493" t="s">
        <v>181</v>
      </c>
      <c r="C3493" t="s">
        <v>50</v>
      </c>
      <c r="D3493" s="6">
        <v>45870</v>
      </c>
      <c r="E3493" t="str">
        <f>VLOOKUP(B3493,'PROCV GERENTES BD'!A:B,2,0)</f>
        <v>PROSPECTAR</v>
      </c>
      <c r="F3493" s="4" t="str">
        <f t="shared" si="324"/>
        <v>2025-08</v>
      </c>
      <c r="G3493" s="18">
        <f t="shared" si="325"/>
        <v>31</v>
      </c>
      <c r="H3493" t="str">
        <f t="shared" si="326"/>
        <v>PROSPECTAR</v>
      </c>
      <c r="I3493" t="str">
        <f t="shared" si="327"/>
        <v>SIQUEIRA E GAIPO INDUSTRIA E MATERIAIS ESPORTIVOS</v>
      </c>
      <c r="J3493">
        <f t="shared" si="328"/>
        <v>0</v>
      </c>
      <c r="K3493">
        <f t="shared" si="329"/>
        <v>1</v>
      </c>
    </row>
    <row r="3494" spans="1:11" x14ac:dyDescent="0.25">
      <c r="A3494" t="s">
        <v>457</v>
      </c>
      <c r="B3494" t="s">
        <v>214</v>
      </c>
      <c r="C3494" t="s">
        <v>66</v>
      </c>
      <c r="D3494" s="6">
        <v>45870</v>
      </c>
      <c r="E3494" t="str">
        <f>VLOOKUP(B3494,'PROCV GERENTES BD'!A:B,2,0)</f>
        <v xml:space="preserve">ROGERIO </v>
      </c>
      <c r="F3494" s="4" t="str">
        <f t="shared" si="324"/>
        <v>2025-08</v>
      </c>
      <c r="G3494" s="18">
        <f t="shared" si="325"/>
        <v>31</v>
      </c>
      <c r="H3494" t="str">
        <f t="shared" si="326"/>
        <v xml:space="preserve">ROGERIO </v>
      </c>
      <c r="I3494" t="str">
        <f t="shared" si="327"/>
        <v>METAL STAMP INDUSTRIA E COMERCIO LTDA</v>
      </c>
      <c r="J3494">
        <f t="shared" si="328"/>
        <v>1</v>
      </c>
      <c r="K3494">
        <f t="shared" si="329"/>
        <v>0</v>
      </c>
    </row>
    <row r="3495" spans="1:11" x14ac:dyDescent="0.25">
      <c r="A3495" t="s">
        <v>529</v>
      </c>
      <c r="B3495" t="s">
        <v>297</v>
      </c>
      <c r="C3495" t="s">
        <v>50</v>
      </c>
      <c r="D3495" s="6">
        <v>45871</v>
      </c>
      <c r="E3495" t="str">
        <f>VLOOKUP(B3495,'PROCV GERENTES BD'!A:B,2,0)</f>
        <v>ANDRE CUNHA</v>
      </c>
      <c r="F3495" s="4" t="str">
        <f t="shared" si="324"/>
        <v>2025-08</v>
      </c>
      <c r="G3495" s="18">
        <f t="shared" si="325"/>
        <v>31</v>
      </c>
      <c r="H3495" t="str">
        <f t="shared" si="326"/>
        <v>ANDRE CUNHA</v>
      </c>
      <c r="I3495" t="str">
        <f t="shared" si="327"/>
        <v>REVPACK TECNOLOGIA E COMERCIO DE COMPONENTES PLAST</v>
      </c>
      <c r="J3495">
        <f t="shared" si="328"/>
        <v>0</v>
      </c>
      <c r="K3495">
        <f t="shared" si="329"/>
        <v>1</v>
      </c>
    </row>
    <row r="3496" spans="1:11" x14ac:dyDescent="0.25">
      <c r="A3496" t="s">
        <v>368</v>
      </c>
      <c r="B3496" t="s">
        <v>111</v>
      </c>
      <c r="C3496" t="s">
        <v>71</v>
      </c>
      <c r="D3496" s="6">
        <v>45871</v>
      </c>
      <c r="E3496" t="str">
        <f>VLOOKUP(B3496,'PROCV GERENTES BD'!A:B,2,0)</f>
        <v>ADMINISTRAÇÃO</v>
      </c>
      <c r="F3496" s="4" t="str">
        <f t="shared" si="324"/>
        <v>2025-08</v>
      </c>
      <c r="G3496" s="18">
        <f t="shared" si="325"/>
        <v>31</v>
      </c>
      <c r="H3496" t="str">
        <f t="shared" si="326"/>
        <v>ADMINISTRAÇÃO</v>
      </c>
      <c r="I3496" t="str">
        <f t="shared" si="327"/>
        <v>ARTECAL ELETROCENTROS S/A</v>
      </c>
      <c r="J3496">
        <f t="shared" si="328"/>
        <v>0</v>
      </c>
      <c r="K3496">
        <f t="shared" si="329"/>
        <v>0</v>
      </c>
    </row>
    <row r="3497" spans="1:11" x14ac:dyDescent="0.25">
      <c r="A3497" t="s">
        <v>445</v>
      </c>
      <c r="B3497" t="s">
        <v>197</v>
      </c>
      <c r="C3497" t="s">
        <v>50</v>
      </c>
      <c r="D3497" s="6">
        <v>45871</v>
      </c>
      <c r="E3497" t="str">
        <f>VLOOKUP(B3497,'PROCV GERENTES BD'!A:B,2,0)</f>
        <v>ADMINISTRAÇÃO</v>
      </c>
      <c r="F3497" s="4" t="str">
        <f t="shared" si="324"/>
        <v>2025-08</v>
      </c>
      <c r="G3497" s="18">
        <f t="shared" si="325"/>
        <v>31</v>
      </c>
      <c r="H3497" t="str">
        <f t="shared" si="326"/>
        <v>ADMINISTRAÇÃO</v>
      </c>
      <c r="I3497" t="str">
        <f t="shared" si="327"/>
        <v>FARBIA CHEMICALS COMERCIO IMPORTACAO E EXPORTACAO</v>
      </c>
      <c r="J3497">
        <f t="shared" si="328"/>
        <v>0</v>
      </c>
      <c r="K3497">
        <f t="shared" si="329"/>
        <v>1</v>
      </c>
    </row>
    <row r="3498" spans="1:11" x14ac:dyDescent="0.25">
      <c r="A3498" t="s">
        <v>647</v>
      </c>
      <c r="B3498" t="s">
        <v>581</v>
      </c>
      <c r="C3498" t="s">
        <v>71</v>
      </c>
      <c r="D3498" s="6">
        <v>45871</v>
      </c>
      <c r="E3498" t="str">
        <f>VLOOKUP(B3498,'PROCV GERENTES BD'!A:B,2,0)</f>
        <v>ADMINISTRAÇÃO</v>
      </c>
      <c r="F3498" s="4" t="str">
        <f t="shared" si="324"/>
        <v>2025-08</v>
      </c>
      <c r="G3498" s="18">
        <f t="shared" si="325"/>
        <v>31</v>
      </c>
      <c r="H3498" t="str">
        <f t="shared" si="326"/>
        <v>ADMINISTRAÇÃO</v>
      </c>
      <c r="I3498" t="str">
        <f t="shared" si="327"/>
        <v>ARTECAL ELETROCENTROS SERVICOS E SOLUCOES LTDA EPP</v>
      </c>
      <c r="J3498">
        <f t="shared" si="328"/>
        <v>0</v>
      </c>
      <c r="K3498">
        <f t="shared" si="329"/>
        <v>0</v>
      </c>
    </row>
    <row r="3499" spans="1:11" x14ac:dyDescent="0.25">
      <c r="A3499" t="s">
        <v>498</v>
      </c>
      <c r="B3499" t="s">
        <v>256</v>
      </c>
      <c r="C3499" t="s">
        <v>71</v>
      </c>
      <c r="D3499" s="6">
        <v>45871</v>
      </c>
      <c r="E3499" t="str">
        <f>VLOOKUP(B3499,'PROCV GERENTES BD'!A:B,2,0)</f>
        <v>CELIO PIMENTA</v>
      </c>
      <c r="F3499" s="4" t="str">
        <f t="shared" si="324"/>
        <v>2025-08</v>
      </c>
      <c r="G3499" s="18">
        <f t="shared" si="325"/>
        <v>31</v>
      </c>
      <c r="H3499" t="str">
        <f t="shared" si="326"/>
        <v>CELIO PIMENTA</v>
      </c>
      <c r="I3499" t="str">
        <f t="shared" si="327"/>
        <v>SEU TRATOR LTDA EPP</v>
      </c>
      <c r="J3499">
        <f t="shared" si="328"/>
        <v>0</v>
      </c>
      <c r="K3499">
        <f t="shared" si="329"/>
        <v>0</v>
      </c>
    </row>
    <row r="3500" spans="1:11" x14ac:dyDescent="0.25">
      <c r="A3500" t="s">
        <v>610</v>
      </c>
      <c r="B3500" t="s">
        <v>611</v>
      </c>
      <c r="C3500" t="s">
        <v>50</v>
      </c>
      <c r="D3500" s="6">
        <v>45871</v>
      </c>
      <c r="E3500" t="str">
        <f>VLOOKUP(B3500,'PROCV GERENTES BD'!A:B,2,0)</f>
        <v>TIAGO NEVES</v>
      </c>
      <c r="F3500" s="4" t="str">
        <f t="shared" si="324"/>
        <v>2025-08</v>
      </c>
      <c r="G3500" s="18">
        <f t="shared" si="325"/>
        <v>31</v>
      </c>
      <c r="H3500" t="str">
        <f t="shared" si="326"/>
        <v>TIAGO NEVES</v>
      </c>
      <c r="I3500" t="str">
        <f t="shared" si="327"/>
        <v>TRATOR GLASS LTDA ME</v>
      </c>
      <c r="J3500">
        <f t="shared" si="328"/>
        <v>0</v>
      </c>
      <c r="K3500">
        <f t="shared" si="329"/>
        <v>1</v>
      </c>
    </row>
    <row r="3501" spans="1:11" x14ac:dyDescent="0.25">
      <c r="A3501" t="s">
        <v>450</v>
      </c>
      <c r="B3501" t="s">
        <v>207</v>
      </c>
      <c r="C3501" t="s">
        <v>66</v>
      </c>
      <c r="D3501" s="6">
        <v>45871</v>
      </c>
      <c r="E3501" t="str">
        <f>VLOOKUP(B3501,'PROCV GERENTES BD'!A:B,2,0)</f>
        <v>CELIO PIMENTA</v>
      </c>
      <c r="F3501" s="4" t="str">
        <f t="shared" si="324"/>
        <v>2025-08</v>
      </c>
      <c r="G3501" s="18">
        <f t="shared" si="325"/>
        <v>31</v>
      </c>
      <c r="H3501" t="str">
        <f t="shared" si="326"/>
        <v>CELIO PIMENTA</v>
      </c>
      <c r="I3501" t="str">
        <f t="shared" si="327"/>
        <v>LIDER COMERCIO DE UNIFORMES E EPI S LTDA ME</v>
      </c>
      <c r="J3501">
        <f t="shared" si="328"/>
        <v>1</v>
      </c>
      <c r="K3501">
        <f t="shared" si="329"/>
        <v>0</v>
      </c>
    </row>
    <row r="3502" spans="1:11" x14ac:dyDescent="0.25">
      <c r="A3502" t="s">
        <v>635</v>
      </c>
      <c r="B3502" t="s">
        <v>636</v>
      </c>
      <c r="C3502" t="s">
        <v>50</v>
      </c>
      <c r="D3502" s="6">
        <v>45871</v>
      </c>
      <c r="E3502" t="str">
        <f>VLOOKUP(B3502,'PROCV GERENTES BD'!A:B,2,0)</f>
        <v>TIAGO NEVES</v>
      </c>
      <c r="F3502" s="4" t="str">
        <f t="shared" si="324"/>
        <v>2025-08</v>
      </c>
      <c r="G3502" s="18">
        <f t="shared" si="325"/>
        <v>31</v>
      </c>
      <c r="H3502" t="str">
        <f t="shared" si="326"/>
        <v>TIAGO NEVES</v>
      </c>
      <c r="I3502" t="str">
        <f t="shared" si="327"/>
        <v>MG GLASS VIDROS PARA TRATORES E CAMINHOES LTDA ME</v>
      </c>
      <c r="J3502">
        <f t="shared" si="328"/>
        <v>0</v>
      </c>
      <c r="K3502">
        <f t="shared" si="329"/>
        <v>1</v>
      </c>
    </row>
    <row r="3503" spans="1:11" x14ac:dyDescent="0.25">
      <c r="A3503" t="s">
        <v>625</v>
      </c>
      <c r="B3503" t="s">
        <v>537</v>
      </c>
      <c r="C3503" t="s">
        <v>50</v>
      </c>
      <c r="D3503" s="6">
        <v>45871</v>
      </c>
      <c r="E3503" t="str">
        <f>VLOOKUP(B3503,'PROCV GERENTES BD'!A:B,2,0)</f>
        <v>WASHINGTON</v>
      </c>
      <c r="F3503" s="4" t="str">
        <f t="shared" si="324"/>
        <v>2025-08</v>
      </c>
      <c r="G3503" s="18">
        <f t="shared" si="325"/>
        <v>31</v>
      </c>
      <c r="H3503" t="str">
        <f t="shared" si="326"/>
        <v>WASHINGTON</v>
      </c>
      <c r="I3503" t="str">
        <f t="shared" si="327"/>
        <v>COMERCIAL SEGURANCA LTDA ME</v>
      </c>
      <c r="J3503">
        <f t="shared" si="328"/>
        <v>0</v>
      </c>
      <c r="K3503">
        <f t="shared" si="329"/>
        <v>1</v>
      </c>
    </row>
    <row r="3504" spans="1:11" x14ac:dyDescent="0.25">
      <c r="A3504" t="s">
        <v>64</v>
      </c>
      <c r="B3504" t="s">
        <v>65</v>
      </c>
      <c r="C3504" t="s">
        <v>50</v>
      </c>
      <c r="D3504" s="6">
        <v>45871</v>
      </c>
      <c r="E3504" t="str">
        <f>VLOOKUP(B3504,'PROCV GERENTES BD'!A:B,2,0)</f>
        <v>ADMINISTRAÇÃO</v>
      </c>
      <c r="F3504" s="4" t="str">
        <f t="shared" si="324"/>
        <v>2025-08</v>
      </c>
      <c r="G3504" s="18">
        <f t="shared" si="325"/>
        <v>31</v>
      </c>
      <c r="H3504" t="str">
        <f t="shared" si="326"/>
        <v>ADMINISTRAÇÃO</v>
      </c>
      <c r="I3504" t="str">
        <f t="shared" si="327"/>
        <v>SOCIAL S/A</v>
      </c>
      <c r="J3504">
        <f t="shared" si="328"/>
        <v>0</v>
      </c>
      <c r="K3504">
        <f t="shared" si="329"/>
        <v>1</v>
      </c>
    </row>
    <row r="3505" spans="1:11" x14ac:dyDescent="0.25">
      <c r="A3505" t="s">
        <v>604</v>
      </c>
      <c r="B3505" t="s">
        <v>605</v>
      </c>
      <c r="C3505" t="s">
        <v>53</v>
      </c>
      <c r="D3505" s="6">
        <v>45871</v>
      </c>
      <c r="E3505" t="str">
        <f>VLOOKUP(B3505,'PROCV GERENTES BD'!A:B,2,0)</f>
        <v>ALISSON DE SOUZA LIMA</v>
      </c>
      <c r="F3505" s="4" t="str">
        <f t="shared" si="324"/>
        <v>2025-08</v>
      </c>
      <c r="G3505" s="18">
        <f t="shared" si="325"/>
        <v>31</v>
      </c>
      <c r="H3505" t="str">
        <f t="shared" si="326"/>
        <v>ALISSON DE SOUZA LIMA</v>
      </c>
      <c r="I3505" t="str">
        <f t="shared" si="327"/>
        <v>3J FUNDICAO INDUSTRIAL LTDA</v>
      </c>
      <c r="J3505">
        <f t="shared" si="328"/>
        <v>1</v>
      </c>
      <c r="K3505">
        <f t="shared" si="329"/>
        <v>1</v>
      </c>
    </row>
    <row r="3506" spans="1:11" x14ac:dyDescent="0.25">
      <c r="A3506" t="s">
        <v>631</v>
      </c>
      <c r="B3506" t="s">
        <v>561</v>
      </c>
      <c r="C3506" t="s">
        <v>50</v>
      </c>
      <c r="D3506" s="6">
        <v>45871</v>
      </c>
      <c r="E3506" t="str">
        <f>VLOOKUP(B3506,'PROCV GERENTES BD'!A:B,2,0)</f>
        <v>VALERIA</v>
      </c>
      <c r="F3506" s="4" t="str">
        <f t="shared" si="324"/>
        <v>2025-08</v>
      </c>
      <c r="G3506" s="18">
        <f t="shared" si="325"/>
        <v>31</v>
      </c>
      <c r="H3506" t="str">
        <f t="shared" si="326"/>
        <v>VALERIA</v>
      </c>
      <c r="I3506" t="str">
        <f t="shared" si="327"/>
        <v>TRANSPORTADORA PACHECO LTDA EPP</v>
      </c>
      <c r="J3506">
        <f t="shared" si="328"/>
        <v>0</v>
      </c>
      <c r="K3506">
        <f t="shared" si="329"/>
        <v>1</v>
      </c>
    </row>
    <row r="3507" spans="1:11" x14ac:dyDescent="0.25">
      <c r="A3507" t="s">
        <v>534</v>
      </c>
      <c r="B3507" t="s">
        <v>303</v>
      </c>
      <c r="C3507" t="s">
        <v>50</v>
      </c>
      <c r="D3507" s="6">
        <v>45871</v>
      </c>
      <c r="E3507" t="str">
        <f>VLOOKUP(B3507,'PROCV GERENTES BD'!A:B,2,0)</f>
        <v xml:space="preserve">MARCUS VINICIUS </v>
      </c>
      <c r="F3507" s="4" t="str">
        <f t="shared" si="324"/>
        <v>2025-08</v>
      </c>
      <c r="G3507" s="18">
        <f t="shared" si="325"/>
        <v>31</v>
      </c>
      <c r="H3507" t="str">
        <f t="shared" si="326"/>
        <v xml:space="preserve">MARCUS VINICIUS </v>
      </c>
      <c r="I3507" t="str">
        <f t="shared" si="327"/>
        <v>GRAFICA JSA LTDA EPP</v>
      </c>
      <c r="J3507">
        <f t="shared" si="328"/>
        <v>0</v>
      </c>
      <c r="K3507">
        <f t="shared" si="329"/>
        <v>1</v>
      </c>
    </row>
    <row r="3508" spans="1:11" x14ac:dyDescent="0.25">
      <c r="A3508" t="s">
        <v>318</v>
      </c>
      <c r="B3508" t="s">
        <v>203</v>
      </c>
      <c r="C3508" t="s">
        <v>50</v>
      </c>
      <c r="D3508" s="6">
        <v>45871</v>
      </c>
      <c r="E3508" t="str">
        <f>VLOOKUP(B3508,'PROCV GERENTES BD'!A:B,2,0)</f>
        <v>JOSE ROBERTO</v>
      </c>
      <c r="F3508" s="4" t="str">
        <f t="shared" si="324"/>
        <v>2025-08</v>
      </c>
      <c r="G3508" s="18">
        <f t="shared" si="325"/>
        <v>31</v>
      </c>
      <c r="H3508" t="str">
        <f t="shared" si="326"/>
        <v>JOSE ROBERTO</v>
      </c>
      <c r="I3508" t="str">
        <f t="shared" si="327"/>
        <v>FUNDACAO DE ENSINO E PESQUISA DO SUL DE MINAS FEPE</v>
      </c>
      <c r="J3508">
        <f t="shared" si="328"/>
        <v>0</v>
      </c>
      <c r="K3508">
        <f t="shared" si="329"/>
        <v>1</v>
      </c>
    </row>
    <row r="3509" spans="1:11" x14ac:dyDescent="0.25">
      <c r="A3509" t="s">
        <v>56</v>
      </c>
      <c r="B3509" t="s">
        <v>57</v>
      </c>
      <c r="C3509" t="s">
        <v>50</v>
      </c>
      <c r="D3509" s="6">
        <v>45871</v>
      </c>
      <c r="E3509" t="str">
        <f>VLOOKUP(B3509,'PROCV GERENTES BD'!A:B,2,0)</f>
        <v xml:space="preserve">ROGERIO </v>
      </c>
      <c r="F3509" s="4" t="str">
        <f t="shared" si="324"/>
        <v>2025-08</v>
      </c>
      <c r="G3509" s="18">
        <f t="shared" si="325"/>
        <v>31</v>
      </c>
      <c r="H3509" t="str">
        <f t="shared" si="326"/>
        <v xml:space="preserve">ROGERIO </v>
      </c>
      <c r="I3509" t="str">
        <f t="shared" si="327"/>
        <v>RODOVIEIRA TRANSPORTE LTDA</v>
      </c>
      <c r="J3509">
        <f t="shared" si="328"/>
        <v>0</v>
      </c>
      <c r="K3509">
        <f t="shared" si="329"/>
        <v>1</v>
      </c>
    </row>
    <row r="3510" spans="1:11" x14ac:dyDescent="0.25">
      <c r="A3510" t="s">
        <v>331</v>
      </c>
      <c r="B3510" t="s">
        <v>144</v>
      </c>
      <c r="C3510" t="s">
        <v>50</v>
      </c>
      <c r="D3510" s="6">
        <v>45871</v>
      </c>
      <c r="E3510" t="str">
        <f>VLOOKUP(B3510,'PROCV GERENTES BD'!A:B,2,0)</f>
        <v>ADMINISTRAÇÃO</v>
      </c>
      <c r="F3510" s="4" t="str">
        <f t="shared" si="324"/>
        <v>2025-08</v>
      </c>
      <c r="G3510" s="18">
        <f t="shared" si="325"/>
        <v>31</v>
      </c>
      <c r="H3510" t="str">
        <f t="shared" si="326"/>
        <v>ADMINISTRAÇÃO</v>
      </c>
      <c r="I3510" t="str">
        <f t="shared" si="327"/>
        <v>BOM PASTOR PAPEIS LTDA EM RECUPERACAO JUDICIAL</v>
      </c>
      <c r="J3510">
        <f t="shared" si="328"/>
        <v>0</v>
      </c>
      <c r="K3510">
        <f t="shared" si="329"/>
        <v>1</v>
      </c>
    </row>
    <row r="3511" spans="1:11" x14ac:dyDescent="0.25">
      <c r="A3511" t="s">
        <v>398</v>
      </c>
      <c r="B3511" t="s">
        <v>148</v>
      </c>
      <c r="C3511" t="s">
        <v>50</v>
      </c>
      <c r="D3511" s="6">
        <v>45871</v>
      </c>
      <c r="E3511" t="str">
        <f>VLOOKUP(B3511,'PROCV GERENTES BD'!A:B,2,0)</f>
        <v>PRISCILA METZ</v>
      </c>
      <c r="F3511" s="4" t="str">
        <f t="shared" si="324"/>
        <v>2025-08</v>
      </c>
      <c r="G3511" s="18">
        <f t="shared" si="325"/>
        <v>31</v>
      </c>
      <c r="H3511" t="str">
        <f t="shared" si="326"/>
        <v>PRISCILA METZ</v>
      </c>
      <c r="I3511" t="str">
        <f t="shared" si="327"/>
        <v>JF GOLD DISTRIBUIDORA LTDA EPP</v>
      </c>
      <c r="J3511">
        <f t="shared" si="328"/>
        <v>0</v>
      </c>
      <c r="K3511">
        <f t="shared" si="329"/>
        <v>1</v>
      </c>
    </row>
    <row r="3512" spans="1:11" x14ac:dyDescent="0.25">
      <c r="A3512" t="s">
        <v>639</v>
      </c>
      <c r="B3512" t="s">
        <v>564</v>
      </c>
      <c r="C3512" t="s">
        <v>50</v>
      </c>
      <c r="D3512" s="6">
        <v>45871</v>
      </c>
      <c r="E3512" t="str">
        <f>VLOOKUP(B3512,'PROCV GERENTES BD'!A:B,2,0)</f>
        <v>CAIO</v>
      </c>
      <c r="F3512" s="4" t="str">
        <f t="shared" si="324"/>
        <v>2025-08</v>
      </c>
      <c r="G3512" s="18">
        <f t="shared" si="325"/>
        <v>31</v>
      </c>
      <c r="H3512" t="str">
        <f t="shared" si="326"/>
        <v>CAIO</v>
      </c>
      <c r="I3512" t="str">
        <f t="shared" si="327"/>
        <v>FRUTABELLA INDUSTRIA E COMERCIO DE ALIMENTOS LTDA</v>
      </c>
      <c r="J3512">
        <f t="shared" si="328"/>
        <v>0</v>
      </c>
      <c r="K3512">
        <f t="shared" si="329"/>
        <v>1</v>
      </c>
    </row>
    <row r="3513" spans="1:11" x14ac:dyDescent="0.25">
      <c r="A3513" t="s">
        <v>532</v>
      </c>
      <c r="B3513" t="s">
        <v>300</v>
      </c>
      <c r="C3513" t="s">
        <v>66</v>
      </c>
      <c r="D3513" s="6">
        <v>45871</v>
      </c>
      <c r="E3513" t="str">
        <f>VLOOKUP(B3513,'PROCV GERENTES BD'!A:B,2,0)</f>
        <v>RAFAEL PARISE</v>
      </c>
      <c r="F3513" s="4" t="str">
        <f t="shared" si="324"/>
        <v>2025-08</v>
      </c>
      <c r="G3513" s="18">
        <f t="shared" si="325"/>
        <v>31</v>
      </c>
      <c r="H3513" t="str">
        <f t="shared" si="326"/>
        <v>RAFAEL PARISE</v>
      </c>
      <c r="I3513" t="str">
        <f t="shared" si="327"/>
        <v>MINASPOL INDUSTRIA E COMERCIO DE COMPOSTOS POLIMER</v>
      </c>
      <c r="J3513">
        <f t="shared" si="328"/>
        <v>1</v>
      </c>
      <c r="K3513">
        <f t="shared" si="329"/>
        <v>0</v>
      </c>
    </row>
    <row r="3514" spans="1:11" x14ac:dyDescent="0.25">
      <c r="A3514" t="s">
        <v>648</v>
      </c>
      <c r="B3514" t="s">
        <v>553</v>
      </c>
      <c r="C3514" t="s">
        <v>71</v>
      </c>
      <c r="D3514" s="6">
        <v>45871</v>
      </c>
      <c r="E3514" t="str">
        <f>VLOOKUP(B3514,'PROCV GERENTES BD'!A:B,2,0)</f>
        <v>DALVA</v>
      </c>
      <c r="F3514" s="4" t="str">
        <f t="shared" si="324"/>
        <v>2025-08</v>
      </c>
      <c r="G3514" s="18">
        <f t="shared" si="325"/>
        <v>31</v>
      </c>
      <c r="H3514" t="str">
        <f t="shared" si="326"/>
        <v>DALVA</v>
      </c>
      <c r="I3514" t="str">
        <f t="shared" si="327"/>
        <v>CALDENAS MONTAGEM DE CALDEIRARIA E SOLDAS LTDA</v>
      </c>
      <c r="J3514">
        <f t="shared" si="328"/>
        <v>0</v>
      </c>
      <c r="K3514">
        <f t="shared" si="329"/>
        <v>0</v>
      </c>
    </row>
    <row r="3515" spans="1:11" x14ac:dyDescent="0.25">
      <c r="A3515" t="s">
        <v>323</v>
      </c>
      <c r="B3515" t="s">
        <v>109</v>
      </c>
      <c r="C3515" t="s">
        <v>50</v>
      </c>
      <c r="D3515" s="6">
        <v>45871</v>
      </c>
      <c r="E3515" t="str">
        <f>VLOOKUP(B3515,'PROCV GERENTES BD'!A:B,2,0)</f>
        <v>PROSPECTAR</v>
      </c>
      <c r="F3515" s="4" t="str">
        <f t="shared" si="324"/>
        <v>2025-08</v>
      </c>
      <c r="G3515" s="18">
        <f t="shared" si="325"/>
        <v>31</v>
      </c>
      <c r="H3515" t="str">
        <f t="shared" si="326"/>
        <v>PROSPECTAR</v>
      </c>
      <c r="I3515" t="str">
        <f t="shared" si="327"/>
        <v>SIAP COMERCIO DE PRODUTOS AGROPECUARIOS LTDA</v>
      </c>
      <c r="J3515">
        <f t="shared" si="328"/>
        <v>0</v>
      </c>
      <c r="K3515">
        <f t="shared" si="329"/>
        <v>1</v>
      </c>
    </row>
    <row r="3516" spans="1:11" x14ac:dyDescent="0.25">
      <c r="A3516" t="s">
        <v>524</v>
      </c>
      <c r="B3516" t="s">
        <v>289</v>
      </c>
      <c r="C3516" t="s">
        <v>66</v>
      </c>
      <c r="D3516" s="6">
        <v>45871</v>
      </c>
      <c r="E3516" t="str">
        <f>VLOOKUP(B3516,'PROCV GERENTES BD'!A:B,2,0)</f>
        <v>DALVA</v>
      </c>
      <c r="F3516" s="4" t="str">
        <f t="shared" si="324"/>
        <v>2025-08</v>
      </c>
      <c r="G3516" s="18">
        <f t="shared" si="325"/>
        <v>31</v>
      </c>
      <c r="H3516" t="str">
        <f t="shared" si="326"/>
        <v>DALVA</v>
      </c>
      <c r="I3516" t="str">
        <f t="shared" si="327"/>
        <v>FRAITECH INTELIGENCIA EM AUTOMACAO LTDA</v>
      </c>
      <c r="J3516">
        <f t="shared" si="328"/>
        <v>1</v>
      </c>
      <c r="K3516">
        <f t="shared" si="329"/>
        <v>0</v>
      </c>
    </row>
    <row r="3517" spans="1:11" x14ac:dyDescent="0.25">
      <c r="A3517" t="s">
        <v>523</v>
      </c>
      <c r="B3517" t="s">
        <v>288</v>
      </c>
      <c r="C3517" t="s">
        <v>50</v>
      </c>
      <c r="D3517" s="6">
        <v>45871</v>
      </c>
      <c r="E3517" t="str">
        <f>VLOOKUP(B3517,'PROCV GERENTES BD'!A:B,2,0)</f>
        <v>ADMINISTRAÇÃO</v>
      </c>
      <c r="F3517" s="4" t="str">
        <f t="shared" si="324"/>
        <v>2025-08</v>
      </c>
      <c r="G3517" s="18">
        <f t="shared" si="325"/>
        <v>31</v>
      </c>
      <c r="H3517" t="str">
        <f t="shared" si="326"/>
        <v>ADMINISTRAÇÃO</v>
      </c>
      <c r="I3517" t="str">
        <f t="shared" si="327"/>
        <v>REFRACONT BRASIL LTDA</v>
      </c>
      <c r="J3517">
        <f t="shared" si="328"/>
        <v>0</v>
      </c>
      <c r="K3517">
        <f t="shared" si="329"/>
        <v>1</v>
      </c>
    </row>
    <row r="3518" spans="1:11" x14ac:dyDescent="0.25">
      <c r="A3518" t="s">
        <v>445</v>
      </c>
      <c r="B3518" t="s">
        <v>197</v>
      </c>
      <c r="C3518" t="s">
        <v>71</v>
      </c>
      <c r="D3518" s="6">
        <v>45871</v>
      </c>
      <c r="E3518" t="str">
        <f>VLOOKUP(B3518,'PROCV GERENTES BD'!A:B,2,0)</f>
        <v>ADMINISTRAÇÃO</v>
      </c>
      <c r="F3518" s="4" t="str">
        <f t="shared" si="324"/>
        <v>2025-08</v>
      </c>
      <c r="G3518" s="18">
        <f t="shared" si="325"/>
        <v>31</v>
      </c>
      <c r="H3518" t="str">
        <f t="shared" si="326"/>
        <v>ADMINISTRAÇÃO</v>
      </c>
      <c r="I3518" t="str">
        <f t="shared" si="327"/>
        <v>FARBIA CHEMICALS COMERCIO IMPORTACAO E EXPORTACAO</v>
      </c>
      <c r="J3518">
        <f t="shared" si="328"/>
        <v>0</v>
      </c>
      <c r="K3518">
        <f t="shared" si="329"/>
        <v>0</v>
      </c>
    </row>
    <row r="3519" spans="1:11" x14ac:dyDescent="0.25">
      <c r="A3519" t="s">
        <v>311</v>
      </c>
      <c r="B3519" t="s">
        <v>81</v>
      </c>
      <c r="C3519" t="s">
        <v>66</v>
      </c>
      <c r="D3519" s="6">
        <v>45871</v>
      </c>
      <c r="E3519" t="str">
        <f>VLOOKUP(B3519,'PROCV GERENTES BD'!A:B,2,0)</f>
        <v>CELIO PIMENTA</v>
      </c>
      <c r="F3519" s="4" t="str">
        <f t="shared" si="324"/>
        <v>2025-08</v>
      </c>
      <c r="G3519" s="18">
        <f t="shared" si="325"/>
        <v>31</v>
      </c>
      <c r="H3519" t="str">
        <f t="shared" si="326"/>
        <v>CELIO PIMENTA</v>
      </c>
      <c r="I3519" t="str">
        <f t="shared" si="327"/>
        <v>MBIOLOG DIAGNOSTICOS LTDA</v>
      </c>
      <c r="J3519">
        <f t="shared" si="328"/>
        <v>1</v>
      </c>
      <c r="K3519">
        <f t="shared" si="329"/>
        <v>0</v>
      </c>
    </row>
    <row r="3520" spans="1:11" x14ac:dyDescent="0.25">
      <c r="A3520" t="s">
        <v>58</v>
      </c>
      <c r="B3520" t="s">
        <v>59</v>
      </c>
      <c r="C3520" t="s">
        <v>50</v>
      </c>
      <c r="D3520" s="6">
        <v>45871</v>
      </c>
      <c r="E3520" t="str">
        <f>VLOOKUP(B3520,'PROCV GERENTES BD'!A:B,2,0)</f>
        <v>ADMINISTRAÇÃO</v>
      </c>
      <c r="F3520" s="4" t="str">
        <f t="shared" si="324"/>
        <v>2025-08</v>
      </c>
      <c r="G3520" s="18">
        <f t="shared" si="325"/>
        <v>31</v>
      </c>
      <c r="H3520" t="str">
        <f t="shared" si="326"/>
        <v>ADMINISTRAÇÃO</v>
      </c>
      <c r="I3520" t="str">
        <f t="shared" si="327"/>
        <v>BIOTECH LOGISTICA LTDA</v>
      </c>
      <c r="J3520">
        <f t="shared" si="328"/>
        <v>0</v>
      </c>
      <c r="K3520">
        <f t="shared" si="329"/>
        <v>1</v>
      </c>
    </row>
    <row r="3521" spans="1:11" x14ac:dyDescent="0.25">
      <c r="A3521" t="s">
        <v>504</v>
      </c>
      <c r="B3521" t="s">
        <v>265</v>
      </c>
      <c r="C3521" t="s">
        <v>71</v>
      </c>
      <c r="D3521" s="6">
        <v>45871</v>
      </c>
      <c r="E3521" t="str">
        <f>VLOOKUP(B3521,'PROCV GERENTES BD'!A:B,2,0)</f>
        <v>NOELI SALETE</v>
      </c>
      <c r="F3521" s="4" t="str">
        <f t="shared" si="324"/>
        <v>2025-08</v>
      </c>
      <c r="G3521" s="18">
        <f t="shared" si="325"/>
        <v>31</v>
      </c>
      <c r="H3521" t="str">
        <f t="shared" si="326"/>
        <v>NOELI SALETE</v>
      </c>
      <c r="I3521" t="str">
        <f t="shared" si="327"/>
        <v>TRANSPORTES TRANS BERTIN LTDA</v>
      </c>
      <c r="J3521">
        <f t="shared" si="328"/>
        <v>0</v>
      </c>
      <c r="K3521">
        <f t="shared" si="329"/>
        <v>0</v>
      </c>
    </row>
    <row r="3522" spans="1:11" x14ac:dyDescent="0.25">
      <c r="A3522" t="s">
        <v>529</v>
      </c>
      <c r="B3522" t="s">
        <v>297</v>
      </c>
      <c r="C3522" t="s">
        <v>50</v>
      </c>
      <c r="D3522" s="6">
        <v>45874</v>
      </c>
      <c r="E3522" t="str">
        <f>VLOOKUP(B3522,'PROCV GERENTES BD'!A:B,2,0)</f>
        <v>ANDRE CUNHA</v>
      </c>
      <c r="F3522" s="4" t="str">
        <f t="shared" ref="F3522:F3585" si="330">YEAR(D3522)&amp;"-"&amp;TEXT(MONTH(D3522),"00")</f>
        <v>2025-08</v>
      </c>
      <c r="G3522" s="18">
        <f t="shared" ref="G3522:G3585" si="331">WEEKNUM(D3522)</f>
        <v>32</v>
      </c>
      <c r="H3522" t="str">
        <f t="shared" ref="H3522:H3585" si="332">E3522</f>
        <v>ANDRE CUNHA</v>
      </c>
      <c r="I3522" t="str">
        <f t="shared" ref="I3522:I3585" si="333">B3522</f>
        <v>REVPACK TECNOLOGIA E COMERCIO DE COMPONENTES PLAST</v>
      </c>
      <c r="J3522">
        <f t="shared" ref="J3522:J3585" si="334">IF(OR(C3522="EXCLUSAO  ANOT.INADIMPLENCIA",C3522="INCL/EXCL ANOT.INADIMPLENCIA"),1,0)</f>
        <v>0</v>
      </c>
      <c r="K3522">
        <f t="shared" ref="K3522:K3585" si="335">IF(OR(C3522="INCLUSAO  ANOT.INADIMPLENCIA",C3522="INCL/EXCL ANOT.INADIMPLENCIA"),1,0)</f>
        <v>1</v>
      </c>
    </row>
    <row r="3523" spans="1:11" x14ac:dyDescent="0.25">
      <c r="A3523" t="s">
        <v>430</v>
      </c>
      <c r="B3523" t="s">
        <v>181</v>
      </c>
      <c r="C3523" t="s">
        <v>50</v>
      </c>
      <c r="D3523" s="6">
        <v>45874</v>
      </c>
      <c r="E3523" t="str">
        <f>VLOOKUP(B3523,'PROCV GERENTES BD'!A:B,2,0)</f>
        <v>PROSPECTAR</v>
      </c>
      <c r="F3523" s="4" t="str">
        <f t="shared" si="330"/>
        <v>2025-08</v>
      </c>
      <c r="G3523" s="18">
        <f t="shared" si="331"/>
        <v>32</v>
      </c>
      <c r="H3523" t="str">
        <f t="shared" si="332"/>
        <v>PROSPECTAR</v>
      </c>
      <c r="I3523" t="str">
        <f t="shared" si="333"/>
        <v>SIQUEIRA E GAIPO INDUSTRIA E MATERIAIS ESPORTIVOS</v>
      </c>
      <c r="J3523">
        <f t="shared" si="334"/>
        <v>0</v>
      </c>
      <c r="K3523">
        <f t="shared" si="335"/>
        <v>1</v>
      </c>
    </row>
    <row r="3524" spans="1:11" x14ac:dyDescent="0.25">
      <c r="A3524" t="s">
        <v>314</v>
      </c>
      <c r="B3524" t="s">
        <v>246</v>
      </c>
      <c r="C3524" t="s">
        <v>66</v>
      </c>
      <c r="D3524" s="6">
        <v>45874</v>
      </c>
      <c r="E3524" t="str">
        <f>VLOOKUP(B3524,'PROCV GERENTES BD'!A:B,2,0)</f>
        <v xml:space="preserve">ROGERIO </v>
      </c>
      <c r="F3524" s="4" t="str">
        <f t="shared" si="330"/>
        <v>2025-08</v>
      </c>
      <c r="G3524" s="18">
        <f t="shared" si="331"/>
        <v>32</v>
      </c>
      <c r="H3524" t="str">
        <f t="shared" si="332"/>
        <v xml:space="preserve">ROGERIO </v>
      </c>
      <c r="I3524" t="str">
        <f t="shared" si="333"/>
        <v>MUTCD CENTRO DE DISTRIBUICAO DE IND FABRICANTE DE</v>
      </c>
      <c r="J3524">
        <f t="shared" si="334"/>
        <v>1</v>
      </c>
      <c r="K3524">
        <f t="shared" si="335"/>
        <v>0</v>
      </c>
    </row>
    <row r="3525" spans="1:11" x14ac:dyDescent="0.25">
      <c r="A3525" t="s">
        <v>610</v>
      </c>
      <c r="B3525" t="s">
        <v>611</v>
      </c>
      <c r="C3525" t="s">
        <v>50</v>
      </c>
      <c r="D3525" s="6">
        <v>45874</v>
      </c>
      <c r="E3525" t="str">
        <f>VLOOKUP(B3525,'PROCV GERENTES BD'!A:B,2,0)</f>
        <v>TIAGO NEVES</v>
      </c>
      <c r="F3525" s="4" t="str">
        <f t="shared" si="330"/>
        <v>2025-08</v>
      </c>
      <c r="G3525" s="18">
        <f t="shared" si="331"/>
        <v>32</v>
      </c>
      <c r="H3525" t="str">
        <f t="shared" si="332"/>
        <v>TIAGO NEVES</v>
      </c>
      <c r="I3525" t="str">
        <f t="shared" si="333"/>
        <v>TRATOR GLASS LTDA ME</v>
      </c>
      <c r="J3525">
        <f t="shared" si="334"/>
        <v>0</v>
      </c>
      <c r="K3525">
        <f t="shared" si="335"/>
        <v>1</v>
      </c>
    </row>
    <row r="3526" spans="1:11" x14ac:dyDescent="0.25">
      <c r="A3526" t="s">
        <v>600</v>
      </c>
      <c r="B3526" t="s">
        <v>594</v>
      </c>
      <c r="C3526" t="s">
        <v>50</v>
      </c>
      <c r="D3526" s="6">
        <v>45874</v>
      </c>
      <c r="E3526" t="str">
        <f>VLOOKUP(B3526,'PROCV GERENTES BD'!A:B,2,0)</f>
        <v xml:space="preserve">ROGERIO </v>
      </c>
      <c r="F3526" s="4" t="str">
        <f t="shared" si="330"/>
        <v>2025-08</v>
      </c>
      <c r="G3526" s="18">
        <f t="shared" si="331"/>
        <v>32</v>
      </c>
      <c r="H3526" t="str">
        <f t="shared" si="332"/>
        <v xml:space="preserve">ROGERIO </v>
      </c>
      <c r="I3526" t="str">
        <f t="shared" si="333"/>
        <v>METALAB COMERCIO E INDUSTRIA FARMACEUTICA LTDA ME</v>
      </c>
      <c r="J3526">
        <f t="shared" si="334"/>
        <v>0</v>
      </c>
      <c r="K3526">
        <f t="shared" si="335"/>
        <v>1</v>
      </c>
    </row>
    <row r="3527" spans="1:11" x14ac:dyDescent="0.25">
      <c r="A3527" t="s">
        <v>461</v>
      </c>
      <c r="B3527" t="s">
        <v>218</v>
      </c>
      <c r="C3527" t="s">
        <v>66</v>
      </c>
      <c r="D3527" s="6">
        <v>45874</v>
      </c>
      <c r="E3527" t="str">
        <f>VLOOKUP(B3527,'PROCV GERENTES BD'!A:B,2,0)</f>
        <v>SACADO</v>
      </c>
      <c r="F3527" s="4" t="str">
        <f t="shared" si="330"/>
        <v>2025-08</v>
      </c>
      <c r="G3527" s="18">
        <f t="shared" si="331"/>
        <v>32</v>
      </c>
      <c r="H3527" t="str">
        <f t="shared" si="332"/>
        <v>SACADO</v>
      </c>
      <c r="I3527" t="str">
        <f t="shared" si="333"/>
        <v>KUARA COMERCIAL E EXPORTADORA DE FRUTAS LTDA</v>
      </c>
      <c r="J3527">
        <f t="shared" si="334"/>
        <v>1</v>
      </c>
      <c r="K3527">
        <f t="shared" si="335"/>
        <v>0</v>
      </c>
    </row>
    <row r="3528" spans="1:11" x14ac:dyDescent="0.25">
      <c r="A3528" t="s">
        <v>599</v>
      </c>
      <c r="B3528" t="s">
        <v>541</v>
      </c>
      <c r="C3528" t="s">
        <v>50</v>
      </c>
      <c r="D3528" s="6">
        <v>45874</v>
      </c>
      <c r="E3528" t="str">
        <f>VLOOKUP(B3528,'PROCV GERENTES BD'!A:B,2,0)</f>
        <v xml:space="preserve">MARCUS VINICIUS </v>
      </c>
      <c r="F3528" s="4" t="str">
        <f t="shared" si="330"/>
        <v>2025-08</v>
      </c>
      <c r="G3528" s="18">
        <f t="shared" si="331"/>
        <v>32</v>
      </c>
      <c r="H3528" t="str">
        <f t="shared" si="332"/>
        <v xml:space="preserve">MARCUS VINICIUS </v>
      </c>
      <c r="I3528" t="str">
        <f t="shared" si="333"/>
        <v>JSA INDUSTRIA DE COSMETICOS LTDA EPP</v>
      </c>
      <c r="J3528">
        <f t="shared" si="334"/>
        <v>0</v>
      </c>
      <c r="K3528">
        <f t="shared" si="335"/>
        <v>1</v>
      </c>
    </row>
    <row r="3529" spans="1:11" x14ac:dyDescent="0.25">
      <c r="A3529" t="s">
        <v>630</v>
      </c>
      <c r="B3529" t="s">
        <v>559</v>
      </c>
      <c r="C3529" t="s">
        <v>50</v>
      </c>
      <c r="D3529" s="6">
        <v>45874</v>
      </c>
      <c r="E3529" t="str">
        <f>VLOOKUP(B3529,'PROCV GERENTES BD'!A:B,2,0)</f>
        <v>ALISSON DE SOUZA LIMA</v>
      </c>
      <c r="F3529" s="4" t="str">
        <f t="shared" si="330"/>
        <v>2025-08</v>
      </c>
      <c r="G3529" s="18">
        <f t="shared" si="331"/>
        <v>32</v>
      </c>
      <c r="H3529" t="str">
        <f t="shared" si="332"/>
        <v>ALISSON DE SOUZA LIMA</v>
      </c>
      <c r="I3529" t="str">
        <f t="shared" si="333"/>
        <v>JRG SOLUCOES INDUSTRIAIS LTDA</v>
      </c>
      <c r="J3529">
        <f t="shared" si="334"/>
        <v>0</v>
      </c>
      <c r="K3529">
        <f t="shared" si="335"/>
        <v>1</v>
      </c>
    </row>
    <row r="3530" spans="1:11" x14ac:dyDescent="0.25">
      <c r="A3530" t="s">
        <v>427</v>
      </c>
      <c r="B3530" t="s">
        <v>178</v>
      </c>
      <c r="C3530" t="s">
        <v>50</v>
      </c>
      <c r="D3530" s="6">
        <v>45874</v>
      </c>
      <c r="E3530" t="str">
        <f>VLOOKUP(B3530,'PROCV GERENTES BD'!A:B,2,0)</f>
        <v>ADMINISTRAÇÃO</v>
      </c>
      <c r="F3530" s="4" t="str">
        <f t="shared" si="330"/>
        <v>2025-08</v>
      </c>
      <c r="G3530" s="18">
        <f t="shared" si="331"/>
        <v>32</v>
      </c>
      <c r="H3530" t="str">
        <f t="shared" si="332"/>
        <v>ADMINISTRAÇÃO</v>
      </c>
      <c r="I3530" t="str">
        <f t="shared" si="333"/>
        <v>LIZZENA COSMETICOS LTDA EPP</v>
      </c>
      <c r="J3530">
        <f t="shared" si="334"/>
        <v>0</v>
      </c>
      <c r="K3530">
        <f t="shared" si="335"/>
        <v>1</v>
      </c>
    </row>
    <row r="3531" spans="1:11" x14ac:dyDescent="0.25">
      <c r="A3531" t="s">
        <v>625</v>
      </c>
      <c r="B3531" t="s">
        <v>537</v>
      </c>
      <c r="C3531" t="s">
        <v>66</v>
      </c>
      <c r="D3531" s="6">
        <v>45874</v>
      </c>
      <c r="E3531" t="str">
        <f>VLOOKUP(B3531,'PROCV GERENTES BD'!A:B,2,0)</f>
        <v>WASHINGTON</v>
      </c>
      <c r="F3531" s="4" t="str">
        <f t="shared" si="330"/>
        <v>2025-08</v>
      </c>
      <c r="G3531" s="18">
        <f t="shared" si="331"/>
        <v>32</v>
      </c>
      <c r="H3531" t="str">
        <f t="shared" si="332"/>
        <v>WASHINGTON</v>
      </c>
      <c r="I3531" t="str">
        <f t="shared" si="333"/>
        <v>COMERCIAL SEGURANCA LTDA ME</v>
      </c>
      <c r="J3531">
        <f t="shared" si="334"/>
        <v>1</v>
      </c>
      <c r="K3531">
        <f t="shared" si="335"/>
        <v>0</v>
      </c>
    </row>
    <row r="3532" spans="1:11" x14ac:dyDescent="0.25">
      <c r="A3532" t="s">
        <v>614</v>
      </c>
      <c r="B3532" t="s">
        <v>615</v>
      </c>
      <c r="C3532" t="s">
        <v>50</v>
      </c>
      <c r="D3532" s="6">
        <v>45874</v>
      </c>
      <c r="E3532" t="str">
        <f>VLOOKUP(B3532,'PROCV GERENTES BD'!A:B,2,0)</f>
        <v>RAFAEL PARISE</v>
      </c>
      <c r="F3532" s="4" t="str">
        <f t="shared" si="330"/>
        <v>2025-08</v>
      </c>
      <c r="G3532" s="18">
        <f t="shared" si="331"/>
        <v>32</v>
      </c>
      <c r="H3532" t="str">
        <f t="shared" si="332"/>
        <v>RAFAEL PARISE</v>
      </c>
      <c r="I3532" t="str">
        <f t="shared" si="333"/>
        <v>SAGATEC LTDA</v>
      </c>
      <c r="J3532">
        <f t="shared" si="334"/>
        <v>0</v>
      </c>
      <c r="K3532">
        <f t="shared" si="335"/>
        <v>1</v>
      </c>
    </row>
    <row r="3533" spans="1:11" x14ac:dyDescent="0.25">
      <c r="A3533" t="s">
        <v>64</v>
      </c>
      <c r="B3533" t="s">
        <v>65</v>
      </c>
      <c r="C3533" t="s">
        <v>50</v>
      </c>
      <c r="D3533" s="6">
        <v>45874</v>
      </c>
      <c r="E3533" t="str">
        <f>VLOOKUP(B3533,'PROCV GERENTES BD'!A:B,2,0)</f>
        <v>ADMINISTRAÇÃO</v>
      </c>
      <c r="F3533" s="4" t="str">
        <f t="shared" si="330"/>
        <v>2025-08</v>
      </c>
      <c r="G3533" s="18">
        <f t="shared" si="331"/>
        <v>32</v>
      </c>
      <c r="H3533" t="str">
        <f t="shared" si="332"/>
        <v>ADMINISTRAÇÃO</v>
      </c>
      <c r="I3533" t="str">
        <f t="shared" si="333"/>
        <v>SOCIAL S/A</v>
      </c>
      <c r="J3533">
        <f t="shared" si="334"/>
        <v>0</v>
      </c>
      <c r="K3533">
        <f t="shared" si="335"/>
        <v>1</v>
      </c>
    </row>
    <row r="3534" spans="1:11" x14ac:dyDescent="0.25">
      <c r="A3534" t="s">
        <v>62</v>
      </c>
      <c r="B3534" t="s">
        <v>63</v>
      </c>
      <c r="C3534" t="s">
        <v>53</v>
      </c>
      <c r="D3534" s="6">
        <v>45874</v>
      </c>
      <c r="E3534" t="str">
        <f>VLOOKUP(B3534,'PROCV GERENTES BD'!A:B,2,0)</f>
        <v>PROSPECTAR</v>
      </c>
      <c r="F3534" s="4" t="str">
        <f t="shared" si="330"/>
        <v>2025-08</v>
      </c>
      <c r="G3534" s="18">
        <f t="shared" si="331"/>
        <v>32</v>
      </c>
      <c r="H3534" t="str">
        <f t="shared" si="332"/>
        <v>PROSPECTAR</v>
      </c>
      <c r="I3534" t="str">
        <f t="shared" si="333"/>
        <v>MAPP COM IMPORTACAO EXPORTACAO IND PRODUTOS ALIMEN</v>
      </c>
      <c r="J3534">
        <f t="shared" si="334"/>
        <v>1</v>
      </c>
      <c r="K3534">
        <f t="shared" si="335"/>
        <v>1</v>
      </c>
    </row>
    <row r="3535" spans="1:11" x14ac:dyDescent="0.25">
      <c r="A3535" t="s">
        <v>445</v>
      </c>
      <c r="B3535" t="s">
        <v>197</v>
      </c>
      <c r="C3535" t="s">
        <v>50</v>
      </c>
      <c r="D3535" s="6">
        <v>45874</v>
      </c>
      <c r="E3535" t="str">
        <f>VLOOKUP(B3535,'PROCV GERENTES BD'!A:B,2,0)</f>
        <v>ADMINISTRAÇÃO</v>
      </c>
      <c r="F3535" s="4" t="str">
        <f t="shared" si="330"/>
        <v>2025-08</v>
      </c>
      <c r="G3535" s="18">
        <f t="shared" si="331"/>
        <v>32</v>
      </c>
      <c r="H3535" t="str">
        <f t="shared" si="332"/>
        <v>ADMINISTRAÇÃO</v>
      </c>
      <c r="I3535" t="str">
        <f t="shared" si="333"/>
        <v>FARBIA CHEMICALS COMERCIO IMPORTACAO E EXPORTACAO</v>
      </c>
      <c r="J3535">
        <f t="shared" si="334"/>
        <v>0</v>
      </c>
      <c r="K3535">
        <f t="shared" si="335"/>
        <v>1</v>
      </c>
    </row>
    <row r="3536" spans="1:11" x14ac:dyDescent="0.25">
      <c r="A3536" t="s">
        <v>604</v>
      </c>
      <c r="B3536" t="s">
        <v>605</v>
      </c>
      <c r="C3536" t="s">
        <v>50</v>
      </c>
      <c r="D3536" s="6">
        <v>45874</v>
      </c>
      <c r="E3536" t="str">
        <f>VLOOKUP(B3536,'PROCV GERENTES BD'!A:B,2,0)</f>
        <v>ALISSON DE SOUZA LIMA</v>
      </c>
      <c r="F3536" s="4" t="str">
        <f t="shared" si="330"/>
        <v>2025-08</v>
      </c>
      <c r="G3536" s="18">
        <f t="shared" si="331"/>
        <v>32</v>
      </c>
      <c r="H3536" t="str">
        <f t="shared" si="332"/>
        <v>ALISSON DE SOUZA LIMA</v>
      </c>
      <c r="I3536" t="str">
        <f t="shared" si="333"/>
        <v>3J FUNDICAO INDUSTRIAL LTDA</v>
      </c>
      <c r="J3536">
        <f t="shared" si="334"/>
        <v>0</v>
      </c>
      <c r="K3536">
        <f t="shared" si="335"/>
        <v>1</v>
      </c>
    </row>
    <row r="3537" spans="1:11" x14ac:dyDescent="0.25">
      <c r="A3537" t="s">
        <v>318</v>
      </c>
      <c r="B3537" t="s">
        <v>203</v>
      </c>
      <c r="C3537" t="s">
        <v>50</v>
      </c>
      <c r="D3537" s="6">
        <v>45874</v>
      </c>
      <c r="E3537" t="str">
        <f>VLOOKUP(B3537,'PROCV GERENTES BD'!A:B,2,0)</f>
        <v>JOSE ROBERTO</v>
      </c>
      <c r="F3537" s="4" t="str">
        <f t="shared" si="330"/>
        <v>2025-08</v>
      </c>
      <c r="G3537" s="18">
        <f t="shared" si="331"/>
        <v>32</v>
      </c>
      <c r="H3537" t="str">
        <f t="shared" si="332"/>
        <v>JOSE ROBERTO</v>
      </c>
      <c r="I3537" t="str">
        <f t="shared" si="333"/>
        <v>FUNDACAO DE ENSINO E PESQUISA DO SUL DE MINAS FEPE</v>
      </c>
      <c r="J3537">
        <f t="shared" si="334"/>
        <v>0</v>
      </c>
      <c r="K3537">
        <f t="shared" si="335"/>
        <v>1</v>
      </c>
    </row>
    <row r="3538" spans="1:11" x14ac:dyDescent="0.25">
      <c r="A3538" t="s">
        <v>319</v>
      </c>
      <c r="B3538" t="s">
        <v>649</v>
      </c>
      <c r="C3538" t="s">
        <v>50</v>
      </c>
      <c r="D3538" s="6">
        <v>45874</v>
      </c>
      <c r="E3538" t="str">
        <f>VLOOKUP(B3538,'PROCV GERENTES BD'!A:B,2,0)</f>
        <v>CELIO PIMENTA</v>
      </c>
      <c r="F3538" s="4" t="str">
        <f t="shared" si="330"/>
        <v>2025-08</v>
      </c>
      <c r="G3538" s="18">
        <f t="shared" si="331"/>
        <v>32</v>
      </c>
      <c r="H3538" t="str">
        <f t="shared" si="332"/>
        <v>CELIO PIMENTA</v>
      </c>
      <c r="I3538" t="str">
        <f t="shared" si="333"/>
        <v>IMPORTEXTIL ASSESSORIA EMPRESARIAL LTDA</v>
      </c>
      <c r="J3538">
        <f t="shared" si="334"/>
        <v>0</v>
      </c>
      <c r="K3538">
        <f t="shared" si="335"/>
        <v>1</v>
      </c>
    </row>
    <row r="3539" spans="1:11" x14ac:dyDescent="0.25">
      <c r="A3539" t="s">
        <v>319</v>
      </c>
      <c r="B3539" t="s">
        <v>649</v>
      </c>
      <c r="C3539" t="s">
        <v>71</v>
      </c>
      <c r="D3539" s="6">
        <v>45874</v>
      </c>
      <c r="E3539" t="str">
        <f>VLOOKUP(B3539,'PROCV GERENTES BD'!A:B,2,0)</f>
        <v>CELIO PIMENTA</v>
      </c>
      <c r="F3539" s="4" t="str">
        <f t="shared" si="330"/>
        <v>2025-08</v>
      </c>
      <c r="G3539" s="18">
        <f t="shared" si="331"/>
        <v>32</v>
      </c>
      <c r="H3539" t="str">
        <f t="shared" si="332"/>
        <v>CELIO PIMENTA</v>
      </c>
      <c r="I3539" t="str">
        <f t="shared" si="333"/>
        <v>IMPORTEXTIL ASSESSORIA EMPRESARIAL LTDA</v>
      </c>
      <c r="J3539">
        <f t="shared" si="334"/>
        <v>0</v>
      </c>
      <c r="K3539">
        <f t="shared" si="335"/>
        <v>0</v>
      </c>
    </row>
    <row r="3540" spans="1:11" x14ac:dyDescent="0.25">
      <c r="A3540" t="s">
        <v>319</v>
      </c>
      <c r="B3540" t="s">
        <v>649</v>
      </c>
      <c r="C3540" t="s">
        <v>328</v>
      </c>
      <c r="D3540" s="6">
        <v>45874</v>
      </c>
      <c r="E3540" t="str">
        <f>VLOOKUP(B3540,'PROCV GERENTES BD'!A:B,2,0)</f>
        <v>CELIO PIMENTA</v>
      </c>
      <c r="F3540" s="4" t="str">
        <f t="shared" si="330"/>
        <v>2025-08</v>
      </c>
      <c r="G3540" s="18">
        <f t="shared" si="331"/>
        <v>32</v>
      </c>
      <c r="H3540" t="str">
        <f t="shared" si="332"/>
        <v>CELIO PIMENTA</v>
      </c>
      <c r="I3540" t="str">
        <f t="shared" si="333"/>
        <v>IMPORTEXTIL ASSESSORIA EMPRESARIAL LTDA</v>
      </c>
      <c r="J3540">
        <f t="shared" si="334"/>
        <v>0</v>
      </c>
      <c r="K3540">
        <f t="shared" si="335"/>
        <v>0</v>
      </c>
    </row>
    <row r="3541" spans="1:11" x14ac:dyDescent="0.25">
      <c r="A3541" t="s">
        <v>56</v>
      </c>
      <c r="B3541" t="s">
        <v>57</v>
      </c>
      <c r="C3541" t="s">
        <v>53</v>
      </c>
      <c r="D3541" s="6">
        <v>45874</v>
      </c>
      <c r="E3541" t="str">
        <f>VLOOKUP(B3541,'PROCV GERENTES BD'!A:B,2,0)</f>
        <v xml:space="preserve">ROGERIO </v>
      </c>
      <c r="F3541" s="4" t="str">
        <f t="shared" si="330"/>
        <v>2025-08</v>
      </c>
      <c r="G3541" s="18">
        <f t="shared" si="331"/>
        <v>32</v>
      </c>
      <c r="H3541" t="str">
        <f t="shared" si="332"/>
        <v xml:space="preserve">ROGERIO </v>
      </c>
      <c r="I3541" t="str">
        <f t="shared" si="333"/>
        <v>RODOVIEIRA TRANSPORTE LTDA</v>
      </c>
      <c r="J3541">
        <f t="shared" si="334"/>
        <v>1</v>
      </c>
      <c r="K3541">
        <f t="shared" si="335"/>
        <v>1</v>
      </c>
    </row>
    <row r="3542" spans="1:11" x14ac:dyDescent="0.25">
      <c r="A3542" t="s">
        <v>638</v>
      </c>
      <c r="B3542" t="s">
        <v>539</v>
      </c>
      <c r="C3542" t="s">
        <v>50</v>
      </c>
      <c r="D3542" s="6">
        <v>45874</v>
      </c>
      <c r="E3542" t="str">
        <f>VLOOKUP(B3542,'PROCV GERENTES BD'!A:B,2,0)</f>
        <v>JJPH</v>
      </c>
      <c r="F3542" s="4" t="str">
        <f t="shared" si="330"/>
        <v>2025-08</v>
      </c>
      <c r="G3542" s="18">
        <f t="shared" si="331"/>
        <v>32</v>
      </c>
      <c r="H3542" t="str">
        <f t="shared" si="332"/>
        <v>JJPH</v>
      </c>
      <c r="I3542" t="str">
        <f t="shared" si="333"/>
        <v>DIFARMIG LTDA</v>
      </c>
      <c r="J3542">
        <f t="shared" si="334"/>
        <v>0</v>
      </c>
      <c r="K3542">
        <f t="shared" si="335"/>
        <v>1</v>
      </c>
    </row>
    <row r="3543" spans="1:11" x14ac:dyDescent="0.25">
      <c r="A3543" t="s">
        <v>634</v>
      </c>
      <c r="B3543" t="s">
        <v>585</v>
      </c>
      <c r="C3543" t="s">
        <v>50</v>
      </c>
      <c r="D3543" s="6">
        <v>45874</v>
      </c>
      <c r="E3543" t="str">
        <f>VLOOKUP(B3543,'PROCV GERENTES BD'!A:B,2,0)</f>
        <v>ANDERSON FRAGA</v>
      </c>
      <c r="F3543" s="4" t="str">
        <f t="shared" si="330"/>
        <v>2025-08</v>
      </c>
      <c r="G3543" s="18">
        <f t="shared" si="331"/>
        <v>32</v>
      </c>
      <c r="H3543" t="str">
        <f t="shared" si="332"/>
        <v>ANDERSON FRAGA</v>
      </c>
      <c r="I3543" t="str">
        <f t="shared" si="333"/>
        <v>E DE P BATISTA DISTRIBUIDORA ME</v>
      </c>
      <c r="J3543">
        <f t="shared" si="334"/>
        <v>0</v>
      </c>
      <c r="K3543">
        <f t="shared" si="335"/>
        <v>1</v>
      </c>
    </row>
    <row r="3544" spans="1:11" x14ac:dyDescent="0.25">
      <c r="A3544" t="s">
        <v>358</v>
      </c>
      <c r="B3544" t="s">
        <v>104</v>
      </c>
      <c r="C3544" t="s">
        <v>50</v>
      </c>
      <c r="D3544" s="6">
        <v>45874</v>
      </c>
      <c r="E3544" t="str">
        <f>VLOOKUP(B3544,'PROCV GERENTES BD'!A:B,2,0)</f>
        <v>DIOGO AZEVEDO</v>
      </c>
      <c r="F3544" s="4" t="str">
        <f t="shared" si="330"/>
        <v>2025-08</v>
      </c>
      <c r="G3544" s="18">
        <f t="shared" si="331"/>
        <v>32</v>
      </c>
      <c r="H3544" t="str">
        <f t="shared" si="332"/>
        <v>DIOGO AZEVEDO</v>
      </c>
      <c r="I3544" t="str">
        <f t="shared" si="333"/>
        <v>INDUSTRIA E CERVEJARIA ARTESANAL DE MINAS GERAIS L</v>
      </c>
      <c r="J3544">
        <f t="shared" si="334"/>
        <v>0</v>
      </c>
      <c r="K3544">
        <f t="shared" si="335"/>
        <v>1</v>
      </c>
    </row>
    <row r="3545" spans="1:11" x14ac:dyDescent="0.25">
      <c r="A3545" t="s">
        <v>308</v>
      </c>
      <c r="B3545" t="s">
        <v>284</v>
      </c>
      <c r="C3545" t="s">
        <v>66</v>
      </c>
      <c r="D3545" s="6">
        <v>45874</v>
      </c>
      <c r="E3545" t="str">
        <f>VLOOKUP(B3545,'PROCV GERENTES BD'!A:B,2,0)</f>
        <v>CAIO</v>
      </c>
      <c r="F3545" s="4" t="str">
        <f t="shared" si="330"/>
        <v>2025-08</v>
      </c>
      <c r="G3545" s="18">
        <f t="shared" si="331"/>
        <v>32</v>
      </c>
      <c r="H3545" t="str">
        <f t="shared" si="332"/>
        <v>CAIO</v>
      </c>
      <c r="I3545" t="str">
        <f t="shared" si="333"/>
        <v>GLOBALMAX INDUSTRIA PLASTICA S/A</v>
      </c>
      <c r="J3545">
        <f t="shared" si="334"/>
        <v>1</v>
      </c>
      <c r="K3545">
        <f t="shared" si="335"/>
        <v>0</v>
      </c>
    </row>
    <row r="3546" spans="1:11" x14ac:dyDescent="0.25">
      <c r="A3546" t="s">
        <v>532</v>
      </c>
      <c r="B3546" t="s">
        <v>300</v>
      </c>
      <c r="C3546" t="s">
        <v>50</v>
      </c>
      <c r="D3546" s="6">
        <v>45874</v>
      </c>
      <c r="E3546" t="str">
        <f>VLOOKUP(B3546,'PROCV GERENTES BD'!A:B,2,0)</f>
        <v>RAFAEL PARISE</v>
      </c>
      <c r="F3546" s="4" t="str">
        <f t="shared" si="330"/>
        <v>2025-08</v>
      </c>
      <c r="G3546" s="18">
        <f t="shared" si="331"/>
        <v>32</v>
      </c>
      <c r="H3546" t="str">
        <f t="shared" si="332"/>
        <v>RAFAEL PARISE</v>
      </c>
      <c r="I3546" t="str">
        <f t="shared" si="333"/>
        <v>MINASPOL INDUSTRIA E COMERCIO DE COMPOSTOS POLIMER</v>
      </c>
      <c r="J3546">
        <f t="shared" si="334"/>
        <v>0</v>
      </c>
      <c r="K3546">
        <f t="shared" si="335"/>
        <v>1</v>
      </c>
    </row>
    <row r="3547" spans="1:11" x14ac:dyDescent="0.25">
      <c r="A3547" t="s">
        <v>51</v>
      </c>
      <c r="B3547" t="s">
        <v>52</v>
      </c>
      <c r="C3547" t="s">
        <v>50</v>
      </c>
      <c r="D3547" s="6">
        <v>45874</v>
      </c>
      <c r="E3547" t="str">
        <f>VLOOKUP(B3547,'PROCV GERENTES BD'!A:B,2,0)</f>
        <v>RAFAEL PARISE</v>
      </c>
      <c r="F3547" s="4" t="str">
        <f t="shared" si="330"/>
        <v>2025-08</v>
      </c>
      <c r="G3547" s="18">
        <f t="shared" si="331"/>
        <v>32</v>
      </c>
      <c r="H3547" t="str">
        <f t="shared" si="332"/>
        <v>RAFAEL PARISE</v>
      </c>
      <c r="I3547" t="str">
        <f t="shared" si="333"/>
        <v>TDR TRANSPORTES LOGISTICA LTDA</v>
      </c>
      <c r="J3547">
        <f t="shared" si="334"/>
        <v>0</v>
      </c>
      <c r="K3547">
        <f t="shared" si="335"/>
        <v>1</v>
      </c>
    </row>
    <row r="3548" spans="1:11" x14ac:dyDescent="0.25">
      <c r="A3548" t="s">
        <v>523</v>
      </c>
      <c r="B3548" t="s">
        <v>288</v>
      </c>
      <c r="C3548" t="s">
        <v>50</v>
      </c>
      <c r="D3548" s="6">
        <v>45874</v>
      </c>
      <c r="E3548" t="str">
        <f>VLOOKUP(B3548,'PROCV GERENTES BD'!A:B,2,0)</f>
        <v>ADMINISTRAÇÃO</v>
      </c>
      <c r="F3548" s="4" t="str">
        <f t="shared" si="330"/>
        <v>2025-08</v>
      </c>
      <c r="G3548" s="18">
        <f t="shared" si="331"/>
        <v>32</v>
      </c>
      <c r="H3548" t="str">
        <f t="shared" si="332"/>
        <v>ADMINISTRAÇÃO</v>
      </c>
      <c r="I3548" t="str">
        <f t="shared" si="333"/>
        <v>REFRACONT BRASIL LTDA</v>
      </c>
      <c r="J3548">
        <f t="shared" si="334"/>
        <v>0</v>
      </c>
      <c r="K3548">
        <f t="shared" si="335"/>
        <v>1</v>
      </c>
    </row>
    <row r="3549" spans="1:11" x14ac:dyDescent="0.25">
      <c r="A3549" t="s">
        <v>631</v>
      </c>
      <c r="B3549" t="s">
        <v>561</v>
      </c>
      <c r="C3549" t="s">
        <v>50</v>
      </c>
      <c r="D3549" s="6">
        <v>45874</v>
      </c>
      <c r="E3549" t="str">
        <f>VLOOKUP(B3549,'PROCV GERENTES BD'!A:B,2,0)</f>
        <v>VALERIA</v>
      </c>
      <c r="F3549" s="4" t="str">
        <f t="shared" si="330"/>
        <v>2025-08</v>
      </c>
      <c r="G3549" s="18">
        <f t="shared" si="331"/>
        <v>32</v>
      </c>
      <c r="H3549" t="str">
        <f t="shared" si="332"/>
        <v>VALERIA</v>
      </c>
      <c r="I3549" t="str">
        <f t="shared" si="333"/>
        <v>TRANSPORTADORA PACHECO LTDA EPP</v>
      </c>
      <c r="J3549">
        <f t="shared" si="334"/>
        <v>0</v>
      </c>
      <c r="K3549">
        <f t="shared" si="335"/>
        <v>1</v>
      </c>
    </row>
    <row r="3550" spans="1:11" x14ac:dyDescent="0.25">
      <c r="A3550" t="s">
        <v>521</v>
      </c>
      <c r="B3550" t="s">
        <v>286</v>
      </c>
      <c r="C3550" t="s">
        <v>50</v>
      </c>
      <c r="D3550" s="6">
        <v>45874</v>
      </c>
      <c r="E3550" t="str">
        <f>VLOOKUP(B3550,'PROCV GERENTES BD'!A:B,2,0)</f>
        <v>CELIO PIMENTA</v>
      </c>
      <c r="F3550" s="4" t="str">
        <f t="shared" si="330"/>
        <v>2025-08</v>
      </c>
      <c r="G3550" s="18">
        <f t="shared" si="331"/>
        <v>32</v>
      </c>
      <c r="H3550" t="str">
        <f t="shared" si="332"/>
        <v>CELIO PIMENTA</v>
      </c>
      <c r="I3550" t="str">
        <f t="shared" si="333"/>
        <v>LINGERIE E CIA LTDA ME</v>
      </c>
      <c r="J3550">
        <f t="shared" si="334"/>
        <v>0</v>
      </c>
      <c r="K3550">
        <f t="shared" si="335"/>
        <v>1</v>
      </c>
    </row>
    <row r="3551" spans="1:11" x14ac:dyDescent="0.25">
      <c r="A3551" t="s">
        <v>529</v>
      </c>
      <c r="B3551" t="s">
        <v>297</v>
      </c>
      <c r="C3551" t="s">
        <v>66</v>
      </c>
      <c r="D3551" s="6">
        <v>45875</v>
      </c>
      <c r="E3551" t="str">
        <f>VLOOKUP(B3551,'PROCV GERENTES BD'!A:B,2,0)</f>
        <v>ANDRE CUNHA</v>
      </c>
      <c r="F3551" s="4" t="str">
        <f t="shared" si="330"/>
        <v>2025-08</v>
      </c>
      <c r="G3551" s="18">
        <f t="shared" si="331"/>
        <v>32</v>
      </c>
      <c r="H3551" t="str">
        <f t="shared" si="332"/>
        <v>ANDRE CUNHA</v>
      </c>
      <c r="I3551" t="str">
        <f t="shared" si="333"/>
        <v>REVPACK TECNOLOGIA E COMERCIO DE COMPONENTES PLAST</v>
      </c>
      <c r="J3551">
        <f t="shared" si="334"/>
        <v>1</v>
      </c>
      <c r="K3551">
        <f t="shared" si="335"/>
        <v>0</v>
      </c>
    </row>
    <row r="3552" spans="1:11" x14ac:dyDescent="0.25">
      <c r="A3552" t="s">
        <v>445</v>
      </c>
      <c r="B3552" t="s">
        <v>197</v>
      </c>
      <c r="C3552" t="s">
        <v>66</v>
      </c>
      <c r="D3552" s="6">
        <v>45875</v>
      </c>
      <c r="E3552" t="str">
        <f>VLOOKUP(B3552,'PROCV GERENTES BD'!A:B,2,0)</f>
        <v>ADMINISTRAÇÃO</v>
      </c>
      <c r="F3552" s="4" t="str">
        <f t="shared" si="330"/>
        <v>2025-08</v>
      </c>
      <c r="G3552" s="18">
        <f t="shared" si="331"/>
        <v>32</v>
      </c>
      <c r="H3552" t="str">
        <f t="shared" si="332"/>
        <v>ADMINISTRAÇÃO</v>
      </c>
      <c r="I3552" t="str">
        <f t="shared" si="333"/>
        <v>FARBIA CHEMICALS COMERCIO IMPORTACAO E EXPORTACAO</v>
      </c>
      <c r="J3552">
        <f t="shared" si="334"/>
        <v>1</v>
      </c>
      <c r="K3552">
        <f t="shared" si="335"/>
        <v>0</v>
      </c>
    </row>
    <row r="3553" spans="1:11" x14ac:dyDescent="0.25">
      <c r="A3553" t="s">
        <v>498</v>
      </c>
      <c r="B3553" t="s">
        <v>256</v>
      </c>
      <c r="C3553" t="s">
        <v>50</v>
      </c>
      <c r="D3553" s="6">
        <v>45875</v>
      </c>
      <c r="E3553" t="str">
        <f>VLOOKUP(B3553,'PROCV GERENTES BD'!A:B,2,0)</f>
        <v>CELIO PIMENTA</v>
      </c>
      <c r="F3553" s="4" t="str">
        <f t="shared" si="330"/>
        <v>2025-08</v>
      </c>
      <c r="G3553" s="18">
        <f t="shared" si="331"/>
        <v>32</v>
      </c>
      <c r="H3553" t="str">
        <f t="shared" si="332"/>
        <v>CELIO PIMENTA</v>
      </c>
      <c r="I3553" t="str">
        <f t="shared" si="333"/>
        <v>SEU TRATOR LTDA EPP</v>
      </c>
      <c r="J3553">
        <f t="shared" si="334"/>
        <v>0</v>
      </c>
      <c r="K3553">
        <f t="shared" si="335"/>
        <v>1</v>
      </c>
    </row>
    <row r="3554" spans="1:11" x14ac:dyDescent="0.25">
      <c r="A3554" t="s">
        <v>630</v>
      </c>
      <c r="B3554" t="s">
        <v>559</v>
      </c>
      <c r="C3554" t="s">
        <v>66</v>
      </c>
      <c r="D3554" s="6">
        <v>45875</v>
      </c>
      <c r="E3554" t="str">
        <f>VLOOKUP(B3554,'PROCV GERENTES BD'!A:B,2,0)</f>
        <v>ALISSON DE SOUZA LIMA</v>
      </c>
      <c r="F3554" s="4" t="str">
        <f t="shared" si="330"/>
        <v>2025-08</v>
      </c>
      <c r="G3554" s="18">
        <f t="shared" si="331"/>
        <v>32</v>
      </c>
      <c r="H3554" t="str">
        <f t="shared" si="332"/>
        <v>ALISSON DE SOUZA LIMA</v>
      </c>
      <c r="I3554" t="str">
        <f t="shared" si="333"/>
        <v>JRG SOLUCOES INDUSTRIAIS LTDA</v>
      </c>
      <c r="J3554">
        <f t="shared" si="334"/>
        <v>1</v>
      </c>
      <c r="K3554">
        <f t="shared" si="335"/>
        <v>0</v>
      </c>
    </row>
    <row r="3555" spans="1:11" x14ac:dyDescent="0.25">
      <c r="A3555" t="s">
        <v>625</v>
      </c>
      <c r="B3555" t="s">
        <v>537</v>
      </c>
      <c r="C3555" t="s">
        <v>66</v>
      </c>
      <c r="D3555" s="6">
        <v>45875</v>
      </c>
      <c r="E3555" t="str">
        <f>VLOOKUP(B3555,'PROCV GERENTES BD'!A:B,2,0)</f>
        <v>WASHINGTON</v>
      </c>
      <c r="F3555" s="4" t="str">
        <f t="shared" si="330"/>
        <v>2025-08</v>
      </c>
      <c r="G3555" s="18">
        <f t="shared" si="331"/>
        <v>32</v>
      </c>
      <c r="H3555" t="str">
        <f t="shared" si="332"/>
        <v>WASHINGTON</v>
      </c>
      <c r="I3555" t="str">
        <f t="shared" si="333"/>
        <v>COMERCIAL SEGURANCA LTDA ME</v>
      </c>
      <c r="J3555">
        <f t="shared" si="334"/>
        <v>1</v>
      </c>
      <c r="K3555">
        <f t="shared" si="335"/>
        <v>0</v>
      </c>
    </row>
    <row r="3556" spans="1:11" x14ac:dyDescent="0.25">
      <c r="A3556" t="s">
        <v>614</v>
      </c>
      <c r="B3556" t="s">
        <v>615</v>
      </c>
      <c r="C3556" t="s">
        <v>66</v>
      </c>
      <c r="D3556" s="6">
        <v>45875</v>
      </c>
      <c r="E3556" t="str">
        <f>VLOOKUP(B3556,'PROCV GERENTES BD'!A:B,2,0)</f>
        <v>RAFAEL PARISE</v>
      </c>
      <c r="F3556" s="4" t="str">
        <f t="shared" si="330"/>
        <v>2025-08</v>
      </c>
      <c r="G3556" s="18">
        <f t="shared" si="331"/>
        <v>32</v>
      </c>
      <c r="H3556" t="str">
        <f t="shared" si="332"/>
        <v>RAFAEL PARISE</v>
      </c>
      <c r="I3556" t="str">
        <f t="shared" si="333"/>
        <v>SAGATEC LTDA</v>
      </c>
      <c r="J3556">
        <f t="shared" si="334"/>
        <v>1</v>
      </c>
      <c r="K3556">
        <f t="shared" si="335"/>
        <v>0</v>
      </c>
    </row>
    <row r="3557" spans="1:11" x14ac:dyDescent="0.25">
      <c r="A3557" t="s">
        <v>64</v>
      </c>
      <c r="B3557" t="s">
        <v>65</v>
      </c>
      <c r="C3557" t="s">
        <v>50</v>
      </c>
      <c r="D3557" s="6">
        <v>45875</v>
      </c>
      <c r="E3557" t="str">
        <f>VLOOKUP(B3557,'PROCV GERENTES BD'!A:B,2,0)</f>
        <v>ADMINISTRAÇÃO</v>
      </c>
      <c r="F3557" s="4" t="str">
        <f t="shared" si="330"/>
        <v>2025-08</v>
      </c>
      <c r="G3557" s="18">
        <f t="shared" si="331"/>
        <v>32</v>
      </c>
      <c r="H3557" t="str">
        <f t="shared" si="332"/>
        <v>ADMINISTRAÇÃO</v>
      </c>
      <c r="I3557" t="str">
        <f t="shared" si="333"/>
        <v>SOCIAL S/A</v>
      </c>
      <c r="J3557">
        <f t="shared" si="334"/>
        <v>0</v>
      </c>
      <c r="K3557">
        <f t="shared" si="335"/>
        <v>1</v>
      </c>
    </row>
    <row r="3558" spans="1:11" x14ac:dyDescent="0.25">
      <c r="A3558" t="s">
        <v>62</v>
      </c>
      <c r="B3558" t="s">
        <v>63</v>
      </c>
      <c r="C3558" t="s">
        <v>50</v>
      </c>
      <c r="D3558" s="6">
        <v>45875</v>
      </c>
      <c r="E3558" t="str">
        <f>VLOOKUP(B3558,'PROCV GERENTES BD'!A:B,2,0)</f>
        <v>PROSPECTAR</v>
      </c>
      <c r="F3558" s="4" t="str">
        <f t="shared" si="330"/>
        <v>2025-08</v>
      </c>
      <c r="G3558" s="18">
        <f t="shared" si="331"/>
        <v>32</v>
      </c>
      <c r="H3558" t="str">
        <f t="shared" si="332"/>
        <v>PROSPECTAR</v>
      </c>
      <c r="I3558" t="str">
        <f t="shared" si="333"/>
        <v>MAPP COM IMPORTACAO EXPORTACAO IND PRODUTOS ALIMEN</v>
      </c>
      <c r="J3558">
        <f t="shared" si="334"/>
        <v>0</v>
      </c>
      <c r="K3558">
        <f t="shared" si="335"/>
        <v>1</v>
      </c>
    </row>
    <row r="3559" spans="1:11" x14ac:dyDescent="0.25">
      <c r="A3559" t="s">
        <v>604</v>
      </c>
      <c r="B3559" t="s">
        <v>605</v>
      </c>
      <c r="C3559" t="s">
        <v>50</v>
      </c>
      <c r="D3559" s="6">
        <v>45875</v>
      </c>
      <c r="E3559" t="str">
        <f>VLOOKUP(B3559,'PROCV GERENTES BD'!A:B,2,0)</f>
        <v>ALISSON DE SOUZA LIMA</v>
      </c>
      <c r="F3559" s="4" t="str">
        <f t="shared" si="330"/>
        <v>2025-08</v>
      </c>
      <c r="G3559" s="18">
        <f t="shared" si="331"/>
        <v>32</v>
      </c>
      <c r="H3559" t="str">
        <f t="shared" si="332"/>
        <v>ALISSON DE SOUZA LIMA</v>
      </c>
      <c r="I3559" t="str">
        <f t="shared" si="333"/>
        <v>3J FUNDICAO INDUSTRIAL LTDA</v>
      </c>
      <c r="J3559">
        <f t="shared" si="334"/>
        <v>0</v>
      </c>
      <c r="K3559">
        <f t="shared" si="335"/>
        <v>1</v>
      </c>
    </row>
    <row r="3560" spans="1:11" x14ac:dyDescent="0.25">
      <c r="A3560" t="s">
        <v>631</v>
      </c>
      <c r="B3560" t="s">
        <v>561</v>
      </c>
      <c r="C3560" t="s">
        <v>50</v>
      </c>
      <c r="D3560" s="6">
        <v>45875</v>
      </c>
      <c r="E3560" t="str">
        <f>VLOOKUP(B3560,'PROCV GERENTES BD'!A:B,2,0)</f>
        <v>VALERIA</v>
      </c>
      <c r="F3560" s="4" t="str">
        <f t="shared" si="330"/>
        <v>2025-08</v>
      </c>
      <c r="G3560" s="18">
        <f t="shared" si="331"/>
        <v>32</v>
      </c>
      <c r="H3560" t="str">
        <f t="shared" si="332"/>
        <v>VALERIA</v>
      </c>
      <c r="I3560" t="str">
        <f t="shared" si="333"/>
        <v>TRANSPORTADORA PACHECO LTDA EPP</v>
      </c>
      <c r="J3560">
        <f t="shared" si="334"/>
        <v>0</v>
      </c>
      <c r="K3560">
        <f t="shared" si="335"/>
        <v>1</v>
      </c>
    </row>
    <row r="3561" spans="1:11" x14ac:dyDescent="0.25">
      <c r="A3561" t="s">
        <v>473</v>
      </c>
      <c r="B3561" t="s">
        <v>230</v>
      </c>
      <c r="C3561" t="s">
        <v>66</v>
      </c>
      <c r="D3561" s="6">
        <v>45875</v>
      </c>
      <c r="E3561" t="str">
        <f>VLOOKUP(B3561,'PROCV GERENTES BD'!A:B,2,0)</f>
        <v>ADMINISTRAÇÃO</v>
      </c>
      <c r="F3561" s="4" t="str">
        <f t="shared" si="330"/>
        <v>2025-08</v>
      </c>
      <c r="G3561" s="18">
        <f t="shared" si="331"/>
        <v>32</v>
      </c>
      <c r="H3561" t="str">
        <f t="shared" si="332"/>
        <v>ADMINISTRAÇÃO</v>
      </c>
      <c r="I3561" t="str">
        <f t="shared" si="333"/>
        <v>ALTAG NEGOCIOS AGRICOLAS LTDA</v>
      </c>
      <c r="J3561">
        <f t="shared" si="334"/>
        <v>1</v>
      </c>
      <c r="K3561">
        <f t="shared" si="335"/>
        <v>0</v>
      </c>
    </row>
    <row r="3562" spans="1:11" x14ac:dyDescent="0.25">
      <c r="A3562" t="s">
        <v>372</v>
      </c>
      <c r="B3562" t="s">
        <v>116</v>
      </c>
      <c r="C3562" t="s">
        <v>50</v>
      </c>
      <c r="D3562" s="6">
        <v>45875</v>
      </c>
      <c r="E3562" t="str">
        <f>VLOOKUP(B3562,'PROCV GERENTES BD'!A:B,2,0)</f>
        <v>ADMINISTRAÇÃO</v>
      </c>
      <c r="F3562" s="4" t="str">
        <f t="shared" si="330"/>
        <v>2025-08</v>
      </c>
      <c r="G3562" s="18">
        <f t="shared" si="331"/>
        <v>32</v>
      </c>
      <c r="H3562" t="str">
        <f t="shared" si="332"/>
        <v>ADMINISTRAÇÃO</v>
      </c>
      <c r="I3562" t="str">
        <f t="shared" si="333"/>
        <v>PREMOLDADOS MATOSINHOS LTDA EPP</v>
      </c>
      <c r="J3562">
        <f t="shared" si="334"/>
        <v>0</v>
      </c>
      <c r="K3562">
        <f t="shared" si="335"/>
        <v>1</v>
      </c>
    </row>
    <row r="3563" spans="1:11" x14ac:dyDescent="0.25">
      <c r="A3563" t="s">
        <v>638</v>
      </c>
      <c r="B3563" t="s">
        <v>539</v>
      </c>
      <c r="C3563" t="s">
        <v>66</v>
      </c>
      <c r="D3563" s="6">
        <v>45875</v>
      </c>
      <c r="E3563" t="str">
        <f>VLOOKUP(B3563,'PROCV GERENTES BD'!A:B,2,0)</f>
        <v>JJPH</v>
      </c>
      <c r="F3563" s="4" t="str">
        <f t="shared" si="330"/>
        <v>2025-08</v>
      </c>
      <c r="G3563" s="18">
        <f t="shared" si="331"/>
        <v>32</v>
      </c>
      <c r="H3563" t="str">
        <f t="shared" si="332"/>
        <v>JJPH</v>
      </c>
      <c r="I3563" t="str">
        <f t="shared" si="333"/>
        <v>DIFARMIG LTDA</v>
      </c>
      <c r="J3563">
        <f t="shared" si="334"/>
        <v>1</v>
      </c>
      <c r="K3563">
        <f t="shared" si="335"/>
        <v>0</v>
      </c>
    </row>
    <row r="3564" spans="1:11" x14ac:dyDescent="0.25">
      <c r="A3564" t="s">
        <v>320</v>
      </c>
      <c r="B3564" t="s">
        <v>205</v>
      </c>
      <c r="C3564" t="s">
        <v>50</v>
      </c>
      <c r="D3564" s="6">
        <v>45875</v>
      </c>
      <c r="E3564" t="str">
        <f>VLOOKUP(B3564,'PROCV GERENTES BD'!A:B,2,0)</f>
        <v xml:space="preserve">MARCUS VINICIUS </v>
      </c>
      <c r="F3564" s="4" t="str">
        <f t="shared" si="330"/>
        <v>2025-08</v>
      </c>
      <c r="G3564" s="18">
        <f t="shared" si="331"/>
        <v>32</v>
      </c>
      <c r="H3564" t="str">
        <f t="shared" si="332"/>
        <v xml:space="preserve">MARCUS VINICIUS </v>
      </c>
      <c r="I3564" t="str">
        <f t="shared" si="333"/>
        <v>COMERCIAL GODINHO FERREIRA LTDA</v>
      </c>
      <c r="J3564">
        <f t="shared" si="334"/>
        <v>0</v>
      </c>
      <c r="K3564">
        <f t="shared" si="335"/>
        <v>1</v>
      </c>
    </row>
    <row r="3565" spans="1:11" x14ac:dyDescent="0.25">
      <c r="A3565" t="s">
        <v>331</v>
      </c>
      <c r="B3565" t="s">
        <v>144</v>
      </c>
      <c r="C3565" t="s">
        <v>50</v>
      </c>
      <c r="D3565" s="6">
        <v>45875</v>
      </c>
      <c r="E3565" t="str">
        <f>VLOOKUP(B3565,'PROCV GERENTES BD'!A:B,2,0)</f>
        <v>ADMINISTRAÇÃO</v>
      </c>
      <c r="F3565" s="4" t="str">
        <f t="shared" si="330"/>
        <v>2025-08</v>
      </c>
      <c r="G3565" s="18">
        <f t="shared" si="331"/>
        <v>32</v>
      </c>
      <c r="H3565" t="str">
        <f t="shared" si="332"/>
        <v>ADMINISTRAÇÃO</v>
      </c>
      <c r="I3565" t="str">
        <f t="shared" si="333"/>
        <v>BOM PASTOR PAPEIS LTDA EM RECUPERACAO JUDICIAL</v>
      </c>
      <c r="J3565">
        <f t="shared" si="334"/>
        <v>0</v>
      </c>
      <c r="K3565">
        <f t="shared" si="335"/>
        <v>1</v>
      </c>
    </row>
    <row r="3566" spans="1:11" x14ac:dyDescent="0.25">
      <c r="A3566" t="s">
        <v>358</v>
      </c>
      <c r="B3566" t="s">
        <v>104</v>
      </c>
      <c r="C3566" t="s">
        <v>50</v>
      </c>
      <c r="D3566" s="6">
        <v>45875</v>
      </c>
      <c r="E3566" t="str">
        <f>VLOOKUP(B3566,'PROCV GERENTES BD'!A:B,2,0)</f>
        <v>DIOGO AZEVEDO</v>
      </c>
      <c r="F3566" s="4" t="str">
        <f t="shared" si="330"/>
        <v>2025-08</v>
      </c>
      <c r="G3566" s="18">
        <f t="shared" si="331"/>
        <v>32</v>
      </c>
      <c r="H3566" t="str">
        <f t="shared" si="332"/>
        <v>DIOGO AZEVEDO</v>
      </c>
      <c r="I3566" t="str">
        <f t="shared" si="333"/>
        <v>INDUSTRIA E CERVEJARIA ARTESANAL DE MINAS GERAIS L</v>
      </c>
      <c r="J3566">
        <f t="shared" si="334"/>
        <v>0</v>
      </c>
      <c r="K3566">
        <f t="shared" si="335"/>
        <v>1</v>
      </c>
    </row>
    <row r="3567" spans="1:11" x14ac:dyDescent="0.25">
      <c r="A3567" t="s">
        <v>393</v>
      </c>
      <c r="B3567" t="s">
        <v>142</v>
      </c>
      <c r="C3567" t="s">
        <v>66</v>
      </c>
      <c r="D3567" s="6">
        <v>45875</v>
      </c>
      <c r="E3567" t="str">
        <f>VLOOKUP(B3567,'PROCV GERENTES BD'!A:B,2,0)</f>
        <v>ADMINISTRAÇÃO</v>
      </c>
      <c r="F3567" s="4" t="str">
        <f t="shared" si="330"/>
        <v>2025-08</v>
      </c>
      <c r="G3567" s="18">
        <f t="shared" si="331"/>
        <v>32</v>
      </c>
      <c r="H3567" t="str">
        <f t="shared" si="332"/>
        <v>ADMINISTRAÇÃO</v>
      </c>
      <c r="I3567" t="str">
        <f t="shared" si="333"/>
        <v>MONTAGEM MINAS GERAIS LTDA ME</v>
      </c>
      <c r="J3567">
        <f t="shared" si="334"/>
        <v>1</v>
      </c>
      <c r="K3567">
        <f t="shared" si="335"/>
        <v>0</v>
      </c>
    </row>
    <row r="3568" spans="1:11" x14ac:dyDescent="0.25">
      <c r="A3568" t="s">
        <v>387</v>
      </c>
      <c r="B3568" t="s">
        <v>134</v>
      </c>
      <c r="C3568" t="s">
        <v>50</v>
      </c>
      <c r="D3568" s="6">
        <v>45875</v>
      </c>
      <c r="E3568" t="str">
        <f>VLOOKUP(B3568,'PROCV GERENTES BD'!A:B,2,0)</f>
        <v>RAFAEL PARISE</v>
      </c>
      <c r="F3568" s="4" t="str">
        <f t="shared" si="330"/>
        <v>2025-08</v>
      </c>
      <c r="G3568" s="18">
        <f t="shared" si="331"/>
        <v>32</v>
      </c>
      <c r="H3568" t="str">
        <f t="shared" si="332"/>
        <v>RAFAEL PARISE</v>
      </c>
      <c r="I3568" t="str">
        <f t="shared" si="333"/>
        <v>MAIS DISTRIBUIDORA LTDA</v>
      </c>
      <c r="J3568">
        <f t="shared" si="334"/>
        <v>0</v>
      </c>
      <c r="K3568">
        <f t="shared" si="335"/>
        <v>1</v>
      </c>
    </row>
    <row r="3569" spans="1:11" x14ac:dyDescent="0.25">
      <c r="A3569" t="s">
        <v>51</v>
      </c>
      <c r="B3569" t="s">
        <v>52</v>
      </c>
      <c r="C3569" t="s">
        <v>53</v>
      </c>
      <c r="D3569" s="6">
        <v>45875</v>
      </c>
      <c r="E3569" t="str">
        <f>VLOOKUP(B3569,'PROCV GERENTES BD'!A:B,2,0)</f>
        <v>RAFAEL PARISE</v>
      </c>
      <c r="F3569" s="4" t="str">
        <f t="shared" si="330"/>
        <v>2025-08</v>
      </c>
      <c r="G3569" s="18">
        <f t="shared" si="331"/>
        <v>32</v>
      </c>
      <c r="H3569" t="str">
        <f t="shared" si="332"/>
        <v>RAFAEL PARISE</v>
      </c>
      <c r="I3569" t="str">
        <f t="shared" si="333"/>
        <v>TDR TRANSPORTES LOGISTICA LTDA</v>
      </c>
      <c r="J3569">
        <f t="shared" si="334"/>
        <v>1</v>
      </c>
      <c r="K3569">
        <f t="shared" si="335"/>
        <v>1</v>
      </c>
    </row>
    <row r="3570" spans="1:11" x14ac:dyDescent="0.25">
      <c r="A3570" t="s">
        <v>305</v>
      </c>
      <c r="B3570" t="s">
        <v>141</v>
      </c>
      <c r="C3570" t="s">
        <v>66</v>
      </c>
      <c r="D3570" s="6">
        <v>45875</v>
      </c>
      <c r="E3570" t="str">
        <f>VLOOKUP(B3570,'PROCV GERENTES BD'!A:B,2,0)</f>
        <v>NOELI SALETE</v>
      </c>
      <c r="F3570" s="4" t="str">
        <f t="shared" si="330"/>
        <v>2025-08</v>
      </c>
      <c r="G3570" s="18">
        <f t="shared" si="331"/>
        <v>32</v>
      </c>
      <c r="H3570" t="str">
        <f t="shared" si="332"/>
        <v>NOELI SALETE</v>
      </c>
      <c r="I3570" t="str">
        <f t="shared" si="333"/>
        <v>JMS EMBALAGENS INDUSTRIAIS LTDA</v>
      </c>
      <c r="J3570">
        <f t="shared" si="334"/>
        <v>1</v>
      </c>
      <c r="K3570">
        <f t="shared" si="335"/>
        <v>0</v>
      </c>
    </row>
    <row r="3571" spans="1:11" x14ac:dyDescent="0.25">
      <c r="A3571" t="s">
        <v>523</v>
      </c>
      <c r="B3571" t="s">
        <v>288</v>
      </c>
      <c r="C3571" t="s">
        <v>53</v>
      </c>
      <c r="D3571" s="6">
        <v>45875</v>
      </c>
      <c r="E3571" t="str">
        <f>VLOOKUP(B3571,'PROCV GERENTES BD'!A:B,2,0)</f>
        <v>ADMINISTRAÇÃO</v>
      </c>
      <c r="F3571" s="4" t="str">
        <f t="shared" si="330"/>
        <v>2025-08</v>
      </c>
      <c r="G3571" s="18">
        <f t="shared" si="331"/>
        <v>32</v>
      </c>
      <c r="H3571" t="str">
        <f t="shared" si="332"/>
        <v>ADMINISTRAÇÃO</v>
      </c>
      <c r="I3571" t="str">
        <f t="shared" si="333"/>
        <v>REFRACONT BRASIL LTDA</v>
      </c>
      <c r="J3571">
        <f t="shared" si="334"/>
        <v>1</v>
      </c>
      <c r="K3571">
        <f t="shared" si="335"/>
        <v>1</v>
      </c>
    </row>
    <row r="3572" spans="1:11" x14ac:dyDescent="0.25">
      <c r="A3572" t="s">
        <v>319</v>
      </c>
      <c r="B3572" t="s">
        <v>649</v>
      </c>
      <c r="C3572" t="s">
        <v>50</v>
      </c>
      <c r="D3572" s="6">
        <v>45875</v>
      </c>
      <c r="E3572" t="str">
        <f>VLOOKUP(B3572,'PROCV GERENTES BD'!A:B,2,0)</f>
        <v>CELIO PIMENTA</v>
      </c>
      <c r="F3572" s="4" t="str">
        <f t="shared" si="330"/>
        <v>2025-08</v>
      </c>
      <c r="G3572" s="18">
        <f t="shared" si="331"/>
        <v>32</v>
      </c>
      <c r="H3572" t="str">
        <f t="shared" si="332"/>
        <v>CELIO PIMENTA</v>
      </c>
      <c r="I3572" t="str">
        <f t="shared" si="333"/>
        <v>IMPORTEXTIL ASSESSORIA EMPRESARIAL LTDA</v>
      </c>
      <c r="J3572">
        <f t="shared" si="334"/>
        <v>0</v>
      </c>
      <c r="K3572">
        <f t="shared" si="335"/>
        <v>1</v>
      </c>
    </row>
    <row r="3573" spans="1:11" x14ac:dyDescent="0.25">
      <c r="A3573" t="s">
        <v>534</v>
      </c>
      <c r="B3573" t="s">
        <v>303</v>
      </c>
      <c r="C3573" t="s">
        <v>50</v>
      </c>
      <c r="D3573" s="6">
        <v>45875</v>
      </c>
      <c r="E3573" t="str">
        <f>VLOOKUP(B3573,'PROCV GERENTES BD'!A:B,2,0)</f>
        <v xml:space="preserve">MARCUS VINICIUS </v>
      </c>
      <c r="F3573" s="4" t="str">
        <f t="shared" si="330"/>
        <v>2025-08</v>
      </c>
      <c r="G3573" s="18">
        <f t="shared" si="331"/>
        <v>32</v>
      </c>
      <c r="H3573" t="str">
        <f t="shared" si="332"/>
        <v xml:space="preserve">MARCUS VINICIUS </v>
      </c>
      <c r="I3573" t="str">
        <f t="shared" si="333"/>
        <v>GRAFICA JSA LTDA EPP</v>
      </c>
      <c r="J3573">
        <f t="shared" si="334"/>
        <v>0</v>
      </c>
      <c r="K3573">
        <f t="shared" si="335"/>
        <v>1</v>
      </c>
    </row>
    <row r="3574" spans="1:11" x14ac:dyDescent="0.25">
      <c r="A3574" t="s">
        <v>529</v>
      </c>
      <c r="B3574" t="s">
        <v>297</v>
      </c>
      <c r="C3574" t="s">
        <v>50</v>
      </c>
      <c r="D3574" s="6">
        <v>45876</v>
      </c>
      <c r="E3574" t="str">
        <f>VLOOKUP(B3574,'PROCV GERENTES BD'!A:B,2,0)</f>
        <v>ANDRE CUNHA</v>
      </c>
      <c r="F3574" s="4" t="str">
        <f t="shared" si="330"/>
        <v>2025-08</v>
      </c>
      <c r="G3574" s="18">
        <f t="shared" si="331"/>
        <v>32</v>
      </c>
      <c r="H3574" t="str">
        <f t="shared" si="332"/>
        <v>ANDRE CUNHA</v>
      </c>
      <c r="I3574" t="str">
        <f t="shared" si="333"/>
        <v>REVPACK TECNOLOGIA E COMERCIO DE COMPONENTES PLAST</v>
      </c>
      <c r="J3574">
        <f t="shared" si="334"/>
        <v>0</v>
      </c>
      <c r="K3574">
        <f t="shared" si="335"/>
        <v>1</v>
      </c>
    </row>
    <row r="3575" spans="1:11" x14ac:dyDescent="0.25">
      <c r="A3575" t="s">
        <v>630</v>
      </c>
      <c r="B3575" t="s">
        <v>559</v>
      </c>
      <c r="C3575" t="s">
        <v>50</v>
      </c>
      <c r="D3575" s="6">
        <v>45876</v>
      </c>
      <c r="E3575" t="str">
        <f>VLOOKUP(B3575,'PROCV GERENTES BD'!A:B,2,0)</f>
        <v>ALISSON DE SOUZA LIMA</v>
      </c>
      <c r="F3575" s="4" t="str">
        <f t="shared" si="330"/>
        <v>2025-08</v>
      </c>
      <c r="G3575" s="18">
        <f t="shared" si="331"/>
        <v>32</v>
      </c>
      <c r="H3575" t="str">
        <f t="shared" si="332"/>
        <v>ALISSON DE SOUZA LIMA</v>
      </c>
      <c r="I3575" t="str">
        <f t="shared" si="333"/>
        <v>JRG SOLUCOES INDUSTRIAIS LTDA</v>
      </c>
      <c r="J3575">
        <f t="shared" si="334"/>
        <v>0</v>
      </c>
      <c r="K3575">
        <f t="shared" si="335"/>
        <v>1</v>
      </c>
    </row>
    <row r="3576" spans="1:11" x14ac:dyDescent="0.25">
      <c r="A3576" t="s">
        <v>635</v>
      </c>
      <c r="B3576" t="s">
        <v>636</v>
      </c>
      <c r="C3576" t="s">
        <v>66</v>
      </c>
      <c r="D3576" s="6">
        <v>45876</v>
      </c>
      <c r="E3576" t="str">
        <f>VLOOKUP(B3576,'PROCV GERENTES BD'!A:B,2,0)</f>
        <v>TIAGO NEVES</v>
      </c>
      <c r="F3576" s="4" t="str">
        <f t="shared" si="330"/>
        <v>2025-08</v>
      </c>
      <c r="G3576" s="18">
        <f t="shared" si="331"/>
        <v>32</v>
      </c>
      <c r="H3576" t="str">
        <f t="shared" si="332"/>
        <v>TIAGO NEVES</v>
      </c>
      <c r="I3576" t="str">
        <f t="shared" si="333"/>
        <v>MG GLASS VIDROS PARA TRATORES E CAMINHOES LTDA ME</v>
      </c>
      <c r="J3576">
        <f t="shared" si="334"/>
        <v>1</v>
      </c>
      <c r="K3576">
        <f t="shared" si="335"/>
        <v>0</v>
      </c>
    </row>
    <row r="3577" spans="1:11" x14ac:dyDescent="0.25">
      <c r="A3577" t="s">
        <v>625</v>
      </c>
      <c r="B3577" t="s">
        <v>537</v>
      </c>
      <c r="C3577" t="s">
        <v>50</v>
      </c>
      <c r="D3577" s="6">
        <v>45876</v>
      </c>
      <c r="E3577" t="str">
        <f>VLOOKUP(B3577,'PROCV GERENTES BD'!A:B,2,0)</f>
        <v>WASHINGTON</v>
      </c>
      <c r="F3577" s="4" t="str">
        <f t="shared" si="330"/>
        <v>2025-08</v>
      </c>
      <c r="G3577" s="18">
        <f t="shared" si="331"/>
        <v>32</v>
      </c>
      <c r="H3577" t="str">
        <f t="shared" si="332"/>
        <v>WASHINGTON</v>
      </c>
      <c r="I3577" t="str">
        <f t="shared" si="333"/>
        <v>COMERCIAL SEGURANCA LTDA ME</v>
      </c>
      <c r="J3577">
        <f t="shared" si="334"/>
        <v>0</v>
      </c>
      <c r="K3577">
        <f t="shared" si="335"/>
        <v>1</v>
      </c>
    </row>
    <row r="3578" spans="1:11" x14ac:dyDescent="0.25">
      <c r="A3578" t="s">
        <v>64</v>
      </c>
      <c r="B3578" t="s">
        <v>65</v>
      </c>
      <c r="C3578" t="s">
        <v>50</v>
      </c>
      <c r="D3578" s="6">
        <v>45876</v>
      </c>
      <c r="E3578" t="str">
        <f>VLOOKUP(B3578,'PROCV GERENTES BD'!A:B,2,0)</f>
        <v>ADMINISTRAÇÃO</v>
      </c>
      <c r="F3578" s="4" t="str">
        <f t="shared" si="330"/>
        <v>2025-08</v>
      </c>
      <c r="G3578" s="18">
        <f t="shared" si="331"/>
        <v>32</v>
      </c>
      <c r="H3578" t="str">
        <f t="shared" si="332"/>
        <v>ADMINISTRAÇÃO</v>
      </c>
      <c r="I3578" t="str">
        <f t="shared" si="333"/>
        <v>SOCIAL S/A</v>
      </c>
      <c r="J3578">
        <f t="shared" si="334"/>
        <v>0</v>
      </c>
      <c r="K3578">
        <f t="shared" si="335"/>
        <v>1</v>
      </c>
    </row>
    <row r="3579" spans="1:11" x14ac:dyDescent="0.25">
      <c r="A3579" t="s">
        <v>62</v>
      </c>
      <c r="B3579" t="s">
        <v>63</v>
      </c>
      <c r="C3579" t="s">
        <v>50</v>
      </c>
      <c r="D3579" s="6">
        <v>45876</v>
      </c>
      <c r="E3579" t="str">
        <f>VLOOKUP(B3579,'PROCV GERENTES BD'!A:B,2,0)</f>
        <v>PROSPECTAR</v>
      </c>
      <c r="F3579" s="4" t="str">
        <f t="shared" si="330"/>
        <v>2025-08</v>
      </c>
      <c r="G3579" s="18">
        <f t="shared" si="331"/>
        <v>32</v>
      </c>
      <c r="H3579" t="str">
        <f t="shared" si="332"/>
        <v>PROSPECTAR</v>
      </c>
      <c r="I3579" t="str">
        <f t="shared" si="333"/>
        <v>MAPP COM IMPORTACAO EXPORTACAO IND PRODUTOS ALIMEN</v>
      </c>
      <c r="J3579">
        <f t="shared" si="334"/>
        <v>0</v>
      </c>
      <c r="K3579">
        <f t="shared" si="335"/>
        <v>1</v>
      </c>
    </row>
    <row r="3580" spans="1:11" x14ac:dyDescent="0.25">
      <c r="A3580" t="s">
        <v>604</v>
      </c>
      <c r="B3580" t="s">
        <v>605</v>
      </c>
      <c r="C3580" t="s">
        <v>50</v>
      </c>
      <c r="D3580" s="6">
        <v>45876</v>
      </c>
      <c r="E3580" t="str">
        <f>VLOOKUP(B3580,'PROCV GERENTES BD'!A:B,2,0)</f>
        <v>ALISSON DE SOUZA LIMA</v>
      </c>
      <c r="F3580" s="4" t="str">
        <f t="shared" si="330"/>
        <v>2025-08</v>
      </c>
      <c r="G3580" s="18">
        <f t="shared" si="331"/>
        <v>32</v>
      </c>
      <c r="H3580" t="str">
        <f t="shared" si="332"/>
        <v>ALISSON DE SOUZA LIMA</v>
      </c>
      <c r="I3580" t="str">
        <f t="shared" si="333"/>
        <v>3J FUNDICAO INDUSTRIAL LTDA</v>
      </c>
      <c r="J3580">
        <f t="shared" si="334"/>
        <v>0</v>
      </c>
      <c r="K3580">
        <f t="shared" si="335"/>
        <v>1</v>
      </c>
    </row>
    <row r="3581" spans="1:11" x14ac:dyDescent="0.25">
      <c r="A3581" t="s">
        <v>317</v>
      </c>
      <c r="B3581" t="s">
        <v>280</v>
      </c>
      <c r="C3581" t="s">
        <v>50</v>
      </c>
      <c r="D3581" s="6">
        <v>45876</v>
      </c>
      <c r="E3581" t="str">
        <f>VLOOKUP(B3581,'PROCV GERENTES BD'!A:B,2,0)</f>
        <v>PROSPECTAR</v>
      </c>
      <c r="F3581" s="4" t="str">
        <f t="shared" si="330"/>
        <v>2025-08</v>
      </c>
      <c r="G3581" s="18">
        <f t="shared" si="331"/>
        <v>32</v>
      </c>
      <c r="H3581" t="str">
        <f t="shared" si="332"/>
        <v>PROSPECTAR</v>
      </c>
      <c r="I3581" t="str">
        <f t="shared" si="333"/>
        <v>STA TECHCANA LTDA</v>
      </c>
      <c r="J3581">
        <f t="shared" si="334"/>
        <v>0</v>
      </c>
      <c r="K3581">
        <f t="shared" si="335"/>
        <v>1</v>
      </c>
    </row>
    <row r="3582" spans="1:11" x14ac:dyDescent="0.25">
      <c r="A3582" t="s">
        <v>600</v>
      </c>
      <c r="B3582" t="s">
        <v>594</v>
      </c>
      <c r="C3582" t="s">
        <v>66</v>
      </c>
      <c r="D3582" s="6">
        <v>45876</v>
      </c>
      <c r="E3582" t="str">
        <f>VLOOKUP(B3582,'PROCV GERENTES BD'!A:B,2,0)</f>
        <v xml:space="preserve">ROGERIO </v>
      </c>
      <c r="F3582" s="4" t="str">
        <f t="shared" si="330"/>
        <v>2025-08</v>
      </c>
      <c r="G3582" s="18">
        <f t="shared" si="331"/>
        <v>32</v>
      </c>
      <c r="H3582" t="str">
        <f t="shared" si="332"/>
        <v xml:space="preserve">ROGERIO </v>
      </c>
      <c r="I3582" t="str">
        <f t="shared" si="333"/>
        <v>METALAB COMERCIO E INDUSTRIA FARMACEUTICA LTDA ME</v>
      </c>
      <c r="J3582">
        <f t="shared" si="334"/>
        <v>1</v>
      </c>
      <c r="K3582">
        <f t="shared" si="335"/>
        <v>0</v>
      </c>
    </row>
    <row r="3583" spans="1:11" x14ac:dyDescent="0.25">
      <c r="A3583" t="s">
        <v>359</v>
      </c>
      <c r="B3583" t="s">
        <v>105</v>
      </c>
      <c r="C3583" t="s">
        <v>66</v>
      </c>
      <c r="D3583" s="6">
        <v>45876</v>
      </c>
      <c r="E3583" t="str">
        <f>VLOOKUP(B3583,'PROCV GERENTES BD'!A:B,2,0)</f>
        <v>PROSPECTAR</v>
      </c>
      <c r="F3583" s="4" t="str">
        <f t="shared" si="330"/>
        <v>2025-08</v>
      </c>
      <c r="G3583" s="18">
        <f t="shared" si="331"/>
        <v>32</v>
      </c>
      <c r="H3583" t="str">
        <f t="shared" si="332"/>
        <v>PROSPECTAR</v>
      </c>
      <c r="I3583" t="str">
        <f t="shared" si="333"/>
        <v>ALEXANDRE ROSA VICENTE E SERVICOS LTDA ME</v>
      </c>
      <c r="J3583">
        <f t="shared" si="334"/>
        <v>1</v>
      </c>
      <c r="K3583">
        <f t="shared" si="335"/>
        <v>0</v>
      </c>
    </row>
    <row r="3584" spans="1:11" x14ac:dyDescent="0.25">
      <c r="A3584" t="s">
        <v>398</v>
      </c>
      <c r="B3584" t="s">
        <v>148</v>
      </c>
      <c r="C3584" t="s">
        <v>50</v>
      </c>
      <c r="D3584" s="6">
        <v>45876</v>
      </c>
      <c r="E3584" t="str">
        <f>VLOOKUP(B3584,'PROCV GERENTES BD'!A:B,2,0)</f>
        <v>PRISCILA METZ</v>
      </c>
      <c r="F3584" s="4" t="str">
        <f t="shared" si="330"/>
        <v>2025-08</v>
      </c>
      <c r="G3584" s="18">
        <f t="shared" si="331"/>
        <v>32</v>
      </c>
      <c r="H3584" t="str">
        <f t="shared" si="332"/>
        <v>PRISCILA METZ</v>
      </c>
      <c r="I3584" t="str">
        <f t="shared" si="333"/>
        <v>JF GOLD DISTRIBUIDORA LTDA EPP</v>
      </c>
      <c r="J3584">
        <f t="shared" si="334"/>
        <v>0</v>
      </c>
      <c r="K3584">
        <f t="shared" si="335"/>
        <v>1</v>
      </c>
    </row>
    <row r="3585" spans="1:11" x14ac:dyDescent="0.25">
      <c r="A3585" t="s">
        <v>532</v>
      </c>
      <c r="B3585" t="s">
        <v>300</v>
      </c>
      <c r="C3585" t="s">
        <v>66</v>
      </c>
      <c r="D3585" s="6">
        <v>45876</v>
      </c>
      <c r="E3585" t="str">
        <f>VLOOKUP(B3585,'PROCV GERENTES BD'!A:B,2,0)</f>
        <v>RAFAEL PARISE</v>
      </c>
      <c r="F3585" s="4" t="str">
        <f t="shared" si="330"/>
        <v>2025-08</v>
      </c>
      <c r="G3585" s="18">
        <f t="shared" si="331"/>
        <v>32</v>
      </c>
      <c r="H3585" t="str">
        <f t="shared" si="332"/>
        <v>RAFAEL PARISE</v>
      </c>
      <c r="I3585" t="str">
        <f t="shared" si="333"/>
        <v>MINASPOL INDUSTRIA E COMERCIO DE COMPOSTOS POLIMER</v>
      </c>
      <c r="J3585">
        <f t="shared" si="334"/>
        <v>1</v>
      </c>
      <c r="K3585">
        <f t="shared" si="335"/>
        <v>0</v>
      </c>
    </row>
    <row r="3586" spans="1:11" x14ac:dyDescent="0.25">
      <c r="A3586" t="s">
        <v>51</v>
      </c>
      <c r="B3586" t="s">
        <v>52</v>
      </c>
      <c r="C3586" t="s">
        <v>53</v>
      </c>
      <c r="D3586" s="6">
        <v>45876</v>
      </c>
      <c r="E3586" t="str">
        <f>VLOOKUP(B3586,'PROCV GERENTES BD'!A:B,2,0)</f>
        <v>RAFAEL PARISE</v>
      </c>
      <c r="F3586" s="4" t="str">
        <f t="shared" ref="F3586:F3649" si="336">YEAR(D3586)&amp;"-"&amp;TEXT(MONTH(D3586),"00")</f>
        <v>2025-08</v>
      </c>
      <c r="G3586" s="18">
        <f t="shared" ref="G3586:G3649" si="337">WEEKNUM(D3586)</f>
        <v>32</v>
      </c>
      <c r="H3586" t="str">
        <f t="shared" ref="H3586:H3649" si="338">E3586</f>
        <v>RAFAEL PARISE</v>
      </c>
      <c r="I3586" t="str">
        <f t="shared" ref="I3586:I3649" si="339">B3586</f>
        <v>TDR TRANSPORTES LOGISTICA LTDA</v>
      </c>
      <c r="J3586">
        <f t="shared" ref="J3586:J3649" si="340">IF(OR(C3586="EXCLUSAO  ANOT.INADIMPLENCIA",C3586="INCL/EXCL ANOT.INADIMPLENCIA"),1,0)</f>
        <v>1</v>
      </c>
      <c r="K3586">
        <f t="shared" ref="K3586:K3649" si="341">IF(OR(C3586="INCLUSAO  ANOT.INADIMPLENCIA",C3586="INCL/EXCL ANOT.INADIMPLENCIA"),1,0)</f>
        <v>1</v>
      </c>
    </row>
    <row r="3587" spans="1:11" x14ac:dyDescent="0.25">
      <c r="A3587" t="s">
        <v>324</v>
      </c>
      <c r="B3587" t="s">
        <v>119</v>
      </c>
      <c r="C3587" t="s">
        <v>66</v>
      </c>
      <c r="D3587" s="6">
        <v>45876</v>
      </c>
      <c r="E3587" t="str">
        <f>VLOOKUP(B3587,'PROCV GERENTES BD'!A:B,2,0)</f>
        <v>PROSPECTAR</v>
      </c>
      <c r="F3587" s="4" t="str">
        <f t="shared" si="336"/>
        <v>2025-08</v>
      </c>
      <c r="G3587" s="18">
        <f t="shared" si="337"/>
        <v>32</v>
      </c>
      <c r="H3587" t="str">
        <f t="shared" si="338"/>
        <v>PROSPECTAR</v>
      </c>
      <c r="I3587" t="str">
        <f t="shared" si="339"/>
        <v>TRANSHENRY TRANSPORTES LTDA</v>
      </c>
      <c r="J3587">
        <f t="shared" si="340"/>
        <v>1</v>
      </c>
      <c r="K3587">
        <f t="shared" si="341"/>
        <v>0</v>
      </c>
    </row>
    <row r="3588" spans="1:11" x14ac:dyDescent="0.25">
      <c r="A3588" t="s">
        <v>305</v>
      </c>
      <c r="B3588" t="s">
        <v>141</v>
      </c>
      <c r="C3588" t="s">
        <v>50</v>
      </c>
      <c r="D3588" s="6">
        <v>45876</v>
      </c>
      <c r="E3588" t="str">
        <f>VLOOKUP(B3588,'PROCV GERENTES BD'!A:B,2,0)</f>
        <v>NOELI SALETE</v>
      </c>
      <c r="F3588" s="4" t="str">
        <f t="shared" si="336"/>
        <v>2025-08</v>
      </c>
      <c r="G3588" s="18">
        <f t="shared" si="337"/>
        <v>32</v>
      </c>
      <c r="H3588" t="str">
        <f t="shared" si="338"/>
        <v>NOELI SALETE</v>
      </c>
      <c r="I3588" t="str">
        <f t="shared" si="339"/>
        <v>JMS EMBALAGENS INDUSTRIAIS LTDA</v>
      </c>
      <c r="J3588">
        <f t="shared" si="340"/>
        <v>0</v>
      </c>
      <c r="K3588">
        <f t="shared" si="341"/>
        <v>1</v>
      </c>
    </row>
    <row r="3589" spans="1:11" x14ac:dyDescent="0.25">
      <c r="A3589" t="s">
        <v>368</v>
      </c>
      <c r="B3589" t="s">
        <v>111</v>
      </c>
      <c r="C3589" t="s">
        <v>66</v>
      </c>
      <c r="D3589" s="6">
        <v>45876</v>
      </c>
      <c r="E3589" t="str">
        <f>VLOOKUP(B3589,'PROCV GERENTES BD'!A:B,2,0)</f>
        <v>ADMINISTRAÇÃO</v>
      </c>
      <c r="F3589" s="4" t="str">
        <f t="shared" si="336"/>
        <v>2025-08</v>
      </c>
      <c r="G3589" s="18">
        <f t="shared" si="337"/>
        <v>32</v>
      </c>
      <c r="H3589" t="str">
        <f t="shared" si="338"/>
        <v>ADMINISTRAÇÃO</v>
      </c>
      <c r="I3589" t="str">
        <f t="shared" si="339"/>
        <v>ARTECAL ELETROCENTROS S/A</v>
      </c>
      <c r="J3589">
        <f t="shared" si="340"/>
        <v>1</v>
      </c>
      <c r="K3589">
        <f t="shared" si="341"/>
        <v>0</v>
      </c>
    </row>
    <row r="3590" spans="1:11" x14ac:dyDescent="0.25">
      <c r="A3590" t="s">
        <v>311</v>
      </c>
      <c r="B3590" t="s">
        <v>81</v>
      </c>
      <c r="C3590" t="s">
        <v>50</v>
      </c>
      <c r="D3590" s="6">
        <v>45876</v>
      </c>
      <c r="E3590" t="str">
        <f>VLOOKUP(B3590,'PROCV GERENTES BD'!A:B,2,0)</f>
        <v>CELIO PIMENTA</v>
      </c>
      <c r="F3590" s="4" t="str">
        <f t="shared" si="336"/>
        <v>2025-08</v>
      </c>
      <c r="G3590" s="18">
        <f t="shared" si="337"/>
        <v>32</v>
      </c>
      <c r="H3590" t="str">
        <f t="shared" si="338"/>
        <v>CELIO PIMENTA</v>
      </c>
      <c r="I3590" t="str">
        <f t="shared" si="339"/>
        <v>MBIOLOG DIAGNOSTICOS LTDA</v>
      </c>
      <c r="J3590">
        <f t="shared" si="340"/>
        <v>0</v>
      </c>
      <c r="K3590">
        <f t="shared" si="341"/>
        <v>1</v>
      </c>
    </row>
    <row r="3591" spans="1:11" x14ac:dyDescent="0.25">
      <c r="A3591" t="s">
        <v>631</v>
      </c>
      <c r="B3591" t="s">
        <v>561</v>
      </c>
      <c r="C3591" t="s">
        <v>50</v>
      </c>
      <c r="D3591" s="6">
        <v>45876</v>
      </c>
      <c r="E3591" t="str">
        <f>VLOOKUP(B3591,'PROCV GERENTES BD'!A:B,2,0)</f>
        <v>VALERIA</v>
      </c>
      <c r="F3591" s="4" t="str">
        <f t="shared" si="336"/>
        <v>2025-08</v>
      </c>
      <c r="G3591" s="18">
        <f t="shared" si="337"/>
        <v>32</v>
      </c>
      <c r="H3591" t="str">
        <f t="shared" si="338"/>
        <v>VALERIA</v>
      </c>
      <c r="I3591" t="str">
        <f t="shared" si="339"/>
        <v>TRANSPORTADORA PACHECO LTDA EPP</v>
      </c>
      <c r="J3591">
        <f t="shared" si="340"/>
        <v>0</v>
      </c>
      <c r="K3591">
        <f t="shared" si="341"/>
        <v>1</v>
      </c>
    </row>
    <row r="3592" spans="1:11" x14ac:dyDescent="0.25">
      <c r="A3592" t="s">
        <v>445</v>
      </c>
      <c r="B3592" t="s">
        <v>197</v>
      </c>
      <c r="C3592" t="s">
        <v>50</v>
      </c>
      <c r="D3592" s="6">
        <v>45876</v>
      </c>
      <c r="E3592" t="str">
        <f>VLOOKUP(B3592,'PROCV GERENTES BD'!A:B,2,0)</f>
        <v>ADMINISTRAÇÃO</v>
      </c>
      <c r="F3592" s="4" t="str">
        <f t="shared" si="336"/>
        <v>2025-08</v>
      </c>
      <c r="G3592" s="18">
        <f t="shared" si="337"/>
        <v>32</v>
      </c>
      <c r="H3592" t="str">
        <f t="shared" si="338"/>
        <v>ADMINISTRAÇÃO</v>
      </c>
      <c r="I3592" t="str">
        <f t="shared" si="339"/>
        <v>FARBIA CHEMICALS COMERCIO IMPORTACAO E EXPORTACAO</v>
      </c>
      <c r="J3592">
        <f t="shared" si="340"/>
        <v>0</v>
      </c>
      <c r="K3592">
        <f t="shared" si="341"/>
        <v>1</v>
      </c>
    </row>
    <row r="3593" spans="1:11" x14ac:dyDescent="0.25">
      <c r="A3593" t="s">
        <v>529</v>
      </c>
      <c r="B3593" t="s">
        <v>297</v>
      </c>
      <c r="C3593" t="s">
        <v>50</v>
      </c>
      <c r="D3593" s="6">
        <v>45877</v>
      </c>
      <c r="E3593" t="str">
        <f>VLOOKUP(B3593,'PROCV GERENTES BD'!A:B,2,0)</f>
        <v>ANDRE CUNHA</v>
      </c>
      <c r="F3593" s="4" t="str">
        <f t="shared" si="336"/>
        <v>2025-08</v>
      </c>
      <c r="G3593" s="18">
        <f t="shared" si="337"/>
        <v>32</v>
      </c>
      <c r="H3593" t="str">
        <f t="shared" si="338"/>
        <v>ANDRE CUNHA</v>
      </c>
      <c r="I3593" t="str">
        <f t="shared" si="339"/>
        <v>REVPACK TECNOLOGIA E COMERCIO DE COMPONENTES PLAST</v>
      </c>
      <c r="J3593">
        <f t="shared" si="340"/>
        <v>0</v>
      </c>
      <c r="K3593">
        <f t="shared" si="341"/>
        <v>1</v>
      </c>
    </row>
    <row r="3594" spans="1:11" x14ac:dyDescent="0.25">
      <c r="A3594" t="s">
        <v>48</v>
      </c>
      <c r="B3594" t="s">
        <v>49</v>
      </c>
      <c r="C3594" t="s">
        <v>50</v>
      </c>
      <c r="D3594" s="6">
        <v>45877</v>
      </c>
      <c r="E3594" t="str">
        <f>VLOOKUP(B3594,'PROCV GERENTES BD'!A:B,2,0)</f>
        <v xml:space="preserve">MARCUS VINICIUS </v>
      </c>
      <c r="F3594" s="4" t="str">
        <f t="shared" si="336"/>
        <v>2025-08</v>
      </c>
      <c r="G3594" s="18">
        <f t="shared" si="337"/>
        <v>32</v>
      </c>
      <c r="H3594" t="str">
        <f t="shared" si="338"/>
        <v xml:space="preserve">MARCUS VINICIUS </v>
      </c>
      <c r="I3594" t="str">
        <f t="shared" si="339"/>
        <v>PROMEL IND COM IMP E EXP DE PRODS NATURAIS LTDA</v>
      </c>
      <c r="J3594">
        <f t="shared" si="340"/>
        <v>0</v>
      </c>
      <c r="K3594">
        <f t="shared" si="341"/>
        <v>1</v>
      </c>
    </row>
    <row r="3595" spans="1:11" x14ac:dyDescent="0.25">
      <c r="A3595" t="s">
        <v>51</v>
      </c>
      <c r="B3595" t="s">
        <v>52</v>
      </c>
      <c r="C3595" t="s">
        <v>50</v>
      </c>
      <c r="D3595" s="6">
        <v>45877</v>
      </c>
      <c r="E3595" t="str">
        <f>VLOOKUP(B3595,'PROCV GERENTES BD'!A:B,2,0)</f>
        <v>RAFAEL PARISE</v>
      </c>
      <c r="F3595" s="4" t="str">
        <f t="shared" si="336"/>
        <v>2025-08</v>
      </c>
      <c r="G3595" s="18">
        <f t="shared" si="337"/>
        <v>32</v>
      </c>
      <c r="H3595" t="str">
        <f t="shared" si="338"/>
        <v>RAFAEL PARISE</v>
      </c>
      <c r="I3595" t="str">
        <f t="shared" si="339"/>
        <v>TDR TRANSPORTES LOGISTICA LTDA</v>
      </c>
      <c r="J3595">
        <f t="shared" si="340"/>
        <v>0</v>
      </c>
      <c r="K3595">
        <f t="shared" si="341"/>
        <v>1</v>
      </c>
    </row>
    <row r="3596" spans="1:11" x14ac:dyDescent="0.25">
      <c r="A3596" t="s">
        <v>533</v>
      </c>
      <c r="B3596" t="s">
        <v>301</v>
      </c>
      <c r="C3596" t="s">
        <v>66</v>
      </c>
      <c r="D3596" s="6">
        <v>45877</v>
      </c>
      <c r="E3596" t="str">
        <f>VLOOKUP(B3596,'PROCV GERENTES BD'!A:B,2,0)</f>
        <v xml:space="preserve">MARCUS VINICIUS </v>
      </c>
      <c r="F3596" s="4" t="str">
        <f t="shared" si="336"/>
        <v>2025-08</v>
      </c>
      <c r="G3596" s="18">
        <f t="shared" si="337"/>
        <v>32</v>
      </c>
      <c r="H3596" t="str">
        <f t="shared" si="338"/>
        <v xml:space="preserve">MARCUS VINICIUS </v>
      </c>
      <c r="I3596" t="str">
        <f t="shared" si="339"/>
        <v>LINDINALDO ANISIO DA SILVA ME</v>
      </c>
      <c r="J3596">
        <f t="shared" si="340"/>
        <v>1</v>
      </c>
      <c r="K3596">
        <f t="shared" si="341"/>
        <v>0</v>
      </c>
    </row>
    <row r="3597" spans="1:11" x14ac:dyDescent="0.25">
      <c r="A3597" t="s">
        <v>58</v>
      </c>
      <c r="B3597" t="s">
        <v>59</v>
      </c>
      <c r="C3597" t="s">
        <v>50</v>
      </c>
      <c r="D3597" s="6">
        <v>45877</v>
      </c>
      <c r="E3597" t="str">
        <f>VLOOKUP(B3597,'PROCV GERENTES BD'!A:B,2,0)</f>
        <v>ADMINISTRAÇÃO</v>
      </c>
      <c r="F3597" s="4" t="str">
        <f t="shared" si="336"/>
        <v>2025-08</v>
      </c>
      <c r="G3597" s="18">
        <f t="shared" si="337"/>
        <v>32</v>
      </c>
      <c r="H3597" t="str">
        <f t="shared" si="338"/>
        <v>ADMINISTRAÇÃO</v>
      </c>
      <c r="I3597" t="str">
        <f t="shared" si="339"/>
        <v>BIOTECH LOGISTICA LTDA</v>
      </c>
      <c r="J3597">
        <f t="shared" si="340"/>
        <v>0</v>
      </c>
      <c r="K3597">
        <f t="shared" si="341"/>
        <v>1</v>
      </c>
    </row>
    <row r="3598" spans="1:11" x14ac:dyDescent="0.25">
      <c r="A3598" t="s">
        <v>318</v>
      </c>
      <c r="B3598" t="s">
        <v>203</v>
      </c>
      <c r="C3598" t="s">
        <v>66</v>
      </c>
      <c r="D3598" s="6">
        <v>45877</v>
      </c>
      <c r="E3598" t="str">
        <f>VLOOKUP(B3598,'PROCV GERENTES BD'!A:B,2,0)</f>
        <v>JOSE ROBERTO</v>
      </c>
      <c r="F3598" s="4" t="str">
        <f t="shared" si="336"/>
        <v>2025-08</v>
      </c>
      <c r="G3598" s="18">
        <f t="shared" si="337"/>
        <v>32</v>
      </c>
      <c r="H3598" t="str">
        <f t="shared" si="338"/>
        <v>JOSE ROBERTO</v>
      </c>
      <c r="I3598" t="str">
        <f t="shared" si="339"/>
        <v>FUNDACAO DE ENSINO E PESQUISA DO SUL DE MINAS FEPE</v>
      </c>
      <c r="J3598">
        <f t="shared" si="340"/>
        <v>1</v>
      </c>
      <c r="K3598">
        <f t="shared" si="341"/>
        <v>0</v>
      </c>
    </row>
    <row r="3599" spans="1:11" x14ac:dyDescent="0.25">
      <c r="A3599" t="s">
        <v>604</v>
      </c>
      <c r="B3599" t="s">
        <v>605</v>
      </c>
      <c r="C3599" t="s">
        <v>50</v>
      </c>
      <c r="D3599" s="6">
        <v>45877</v>
      </c>
      <c r="E3599" t="str">
        <f>VLOOKUP(B3599,'PROCV GERENTES BD'!A:B,2,0)</f>
        <v>ALISSON DE SOUZA LIMA</v>
      </c>
      <c r="F3599" s="4" t="str">
        <f t="shared" si="336"/>
        <v>2025-08</v>
      </c>
      <c r="G3599" s="18">
        <f t="shared" si="337"/>
        <v>32</v>
      </c>
      <c r="H3599" t="str">
        <f t="shared" si="338"/>
        <v>ALISSON DE SOUZA LIMA</v>
      </c>
      <c r="I3599" t="str">
        <f t="shared" si="339"/>
        <v>3J FUNDICAO INDUSTRIAL LTDA</v>
      </c>
      <c r="J3599">
        <f t="shared" si="340"/>
        <v>0</v>
      </c>
      <c r="K3599">
        <f t="shared" si="341"/>
        <v>1</v>
      </c>
    </row>
    <row r="3600" spans="1:11" x14ac:dyDescent="0.25">
      <c r="A3600" t="s">
        <v>64</v>
      </c>
      <c r="B3600" t="s">
        <v>65</v>
      </c>
      <c r="C3600" t="s">
        <v>50</v>
      </c>
      <c r="D3600" s="6">
        <v>45877</v>
      </c>
      <c r="E3600" t="str">
        <f>VLOOKUP(B3600,'PROCV GERENTES BD'!A:B,2,0)</f>
        <v>ADMINISTRAÇÃO</v>
      </c>
      <c r="F3600" s="4" t="str">
        <f t="shared" si="336"/>
        <v>2025-08</v>
      </c>
      <c r="G3600" s="18">
        <f t="shared" si="337"/>
        <v>32</v>
      </c>
      <c r="H3600" t="str">
        <f t="shared" si="338"/>
        <v>ADMINISTRAÇÃO</v>
      </c>
      <c r="I3600" t="str">
        <f t="shared" si="339"/>
        <v>SOCIAL S/A</v>
      </c>
      <c r="J3600">
        <f t="shared" si="340"/>
        <v>0</v>
      </c>
      <c r="K3600">
        <f t="shared" si="341"/>
        <v>1</v>
      </c>
    </row>
    <row r="3601" spans="1:11" x14ac:dyDescent="0.25">
      <c r="A3601" t="s">
        <v>651</v>
      </c>
      <c r="B3601" t="s">
        <v>652</v>
      </c>
      <c r="C3601" t="s">
        <v>66</v>
      </c>
      <c r="D3601" s="6">
        <v>45877</v>
      </c>
      <c r="E3601" t="str">
        <f>VLOOKUP(B3601,'PROCV GERENTES BD'!A:B,2,0)</f>
        <v>PROSPECTAR</v>
      </c>
      <c r="F3601" s="4" t="str">
        <f t="shared" si="336"/>
        <v>2025-08</v>
      </c>
      <c r="G3601" s="18">
        <f t="shared" si="337"/>
        <v>32</v>
      </c>
      <c r="H3601" t="str">
        <f t="shared" si="338"/>
        <v>PROSPECTAR</v>
      </c>
      <c r="I3601" t="str">
        <f t="shared" si="339"/>
        <v>C A M DIAS SOARES LTDA EPP</v>
      </c>
      <c r="J3601">
        <f t="shared" si="340"/>
        <v>1</v>
      </c>
      <c r="K3601">
        <f t="shared" si="341"/>
        <v>0</v>
      </c>
    </row>
    <row r="3602" spans="1:11" x14ac:dyDescent="0.25">
      <c r="A3602" t="s">
        <v>444</v>
      </c>
      <c r="B3602" t="s">
        <v>195</v>
      </c>
      <c r="C3602" t="s">
        <v>66</v>
      </c>
      <c r="D3602" s="6">
        <v>45877</v>
      </c>
      <c r="E3602" t="str">
        <f>VLOOKUP(B3602,'PROCV GERENTES BD'!A:B,2,0)</f>
        <v>RAFAEL PARISE</v>
      </c>
      <c r="F3602" s="4" t="str">
        <f t="shared" si="336"/>
        <v>2025-08</v>
      </c>
      <c r="G3602" s="18">
        <f t="shared" si="337"/>
        <v>32</v>
      </c>
      <c r="H3602" t="str">
        <f t="shared" si="338"/>
        <v>RAFAEL PARISE</v>
      </c>
      <c r="I3602" t="str">
        <f t="shared" si="339"/>
        <v>GEDIBOR RUBBER POLYURETHANE LTDA EPP</v>
      </c>
      <c r="J3602">
        <f t="shared" si="340"/>
        <v>1</v>
      </c>
      <c r="K3602">
        <f t="shared" si="341"/>
        <v>0</v>
      </c>
    </row>
    <row r="3603" spans="1:11" x14ac:dyDescent="0.25">
      <c r="A3603" t="s">
        <v>445</v>
      </c>
      <c r="B3603" t="s">
        <v>197</v>
      </c>
      <c r="C3603" t="s">
        <v>66</v>
      </c>
      <c r="D3603" s="6">
        <v>45877</v>
      </c>
      <c r="E3603" t="str">
        <f>VLOOKUP(B3603,'PROCV GERENTES BD'!A:B,2,0)</f>
        <v>ADMINISTRAÇÃO</v>
      </c>
      <c r="F3603" s="4" t="str">
        <f t="shared" si="336"/>
        <v>2025-08</v>
      </c>
      <c r="G3603" s="18">
        <f t="shared" si="337"/>
        <v>32</v>
      </c>
      <c r="H3603" t="str">
        <f t="shared" si="338"/>
        <v>ADMINISTRAÇÃO</v>
      </c>
      <c r="I3603" t="str">
        <f t="shared" si="339"/>
        <v>FARBIA CHEMICALS COMERCIO IMPORTACAO E EXPORTACAO</v>
      </c>
      <c r="J3603">
        <f t="shared" si="340"/>
        <v>1</v>
      </c>
      <c r="K3603">
        <f t="shared" si="341"/>
        <v>0</v>
      </c>
    </row>
    <row r="3604" spans="1:11" x14ac:dyDescent="0.25">
      <c r="A3604" t="s">
        <v>460</v>
      </c>
      <c r="B3604" t="s">
        <v>217</v>
      </c>
      <c r="C3604" t="s">
        <v>50</v>
      </c>
      <c r="D3604" s="6">
        <v>45877</v>
      </c>
      <c r="E3604" t="str">
        <f>VLOOKUP(B3604,'PROCV GERENTES BD'!A:B,2,0)</f>
        <v>CELIO PIMENTA</v>
      </c>
      <c r="F3604" s="4" t="str">
        <f t="shared" si="336"/>
        <v>2025-08</v>
      </c>
      <c r="G3604" s="18">
        <f t="shared" si="337"/>
        <v>32</v>
      </c>
      <c r="H3604" t="str">
        <f t="shared" si="338"/>
        <v>CELIO PIMENTA</v>
      </c>
      <c r="I3604" t="str">
        <f t="shared" si="339"/>
        <v>MINAS CLEAN DISTRIBUIDORA DE PRODUTOS PARA LIMPEZA</v>
      </c>
      <c r="J3604">
        <f t="shared" si="340"/>
        <v>0</v>
      </c>
      <c r="K3604">
        <f t="shared" si="341"/>
        <v>1</v>
      </c>
    </row>
    <row r="3605" spans="1:11" x14ac:dyDescent="0.25">
      <c r="A3605" t="s">
        <v>510</v>
      </c>
      <c r="B3605" t="s">
        <v>273</v>
      </c>
      <c r="C3605" t="s">
        <v>50</v>
      </c>
      <c r="D3605" s="6">
        <v>45877</v>
      </c>
      <c r="E3605" t="str">
        <f>VLOOKUP(B3605,'PROCV GERENTES BD'!A:B,2,0)</f>
        <v>CELIO PIMENTA</v>
      </c>
      <c r="F3605" s="4" t="str">
        <f t="shared" si="336"/>
        <v>2025-08</v>
      </c>
      <c r="G3605" s="18">
        <f t="shared" si="337"/>
        <v>32</v>
      </c>
      <c r="H3605" t="str">
        <f t="shared" si="338"/>
        <v>CELIO PIMENTA</v>
      </c>
      <c r="I3605" t="str">
        <f t="shared" si="339"/>
        <v>PRADO MOREIRA TEXTIL LTDA ME</v>
      </c>
      <c r="J3605">
        <f t="shared" si="340"/>
        <v>0</v>
      </c>
      <c r="K3605">
        <f t="shared" si="341"/>
        <v>1</v>
      </c>
    </row>
    <row r="3606" spans="1:11" x14ac:dyDescent="0.25">
      <c r="A3606" t="s">
        <v>326</v>
      </c>
      <c r="B3606" t="s">
        <v>122</v>
      </c>
      <c r="C3606" t="s">
        <v>66</v>
      </c>
      <c r="D3606" s="6">
        <v>45877</v>
      </c>
      <c r="E3606" t="str">
        <f>VLOOKUP(B3606,'PROCV GERENTES BD'!A:B,2,0)</f>
        <v xml:space="preserve">ROGERIO </v>
      </c>
      <c r="F3606" s="4" t="str">
        <f t="shared" si="336"/>
        <v>2025-08</v>
      </c>
      <c r="G3606" s="18">
        <f t="shared" si="337"/>
        <v>32</v>
      </c>
      <c r="H3606" t="str">
        <f t="shared" si="338"/>
        <v xml:space="preserve">ROGERIO </v>
      </c>
      <c r="I3606" t="str">
        <f t="shared" si="339"/>
        <v>BIBE PRODUTOS INFANTIS LTDA</v>
      </c>
      <c r="J3606">
        <f t="shared" si="340"/>
        <v>1</v>
      </c>
      <c r="K3606">
        <f t="shared" si="341"/>
        <v>0</v>
      </c>
    </row>
    <row r="3607" spans="1:11" x14ac:dyDescent="0.25">
      <c r="A3607" t="s">
        <v>48</v>
      </c>
      <c r="B3607" t="s">
        <v>49</v>
      </c>
      <c r="C3607" t="s">
        <v>50</v>
      </c>
      <c r="D3607" s="6">
        <v>45878</v>
      </c>
      <c r="E3607" t="str">
        <f>VLOOKUP(B3607,'PROCV GERENTES BD'!A:B,2,0)</f>
        <v xml:space="preserve">MARCUS VINICIUS </v>
      </c>
      <c r="F3607" s="4" t="str">
        <f t="shared" si="336"/>
        <v>2025-08</v>
      </c>
      <c r="G3607" s="18">
        <f t="shared" si="337"/>
        <v>32</v>
      </c>
      <c r="H3607" t="str">
        <f t="shared" si="338"/>
        <v xml:space="preserve">MARCUS VINICIUS </v>
      </c>
      <c r="I3607" t="str">
        <f t="shared" si="339"/>
        <v>PROMEL IND COM IMP E EXP DE PRODS NATURAIS LTDA</v>
      </c>
      <c r="J3607">
        <f t="shared" si="340"/>
        <v>0</v>
      </c>
      <c r="K3607">
        <f t="shared" si="341"/>
        <v>1</v>
      </c>
    </row>
    <row r="3608" spans="1:11" x14ac:dyDescent="0.25">
      <c r="A3608" t="s">
        <v>653</v>
      </c>
      <c r="B3608" t="s">
        <v>566</v>
      </c>
      <c r="C3608" t="s">
        <v>50</v>
      </c>
      <c r="D3608" s="6">
        <v>45878</v>
      </c>
      <c r="E3608" t="str">
        <f>VLOOKUP(B3608,'PROCV GERENTES BD'!A:B,2,0)</f>
        <v>DIOGO AZEVEDO</v>
      </c>
      <c r="F3608" s="4" t="str">
        <f t="shared" si="336"/>
        <v>2025-08</v>
      </c>
      <c r="G3608" s="18">
        <f t="shared" si="337"/>
        <v>32</v>
      </c>
      <c r="H3608" t="str">
        <f t="shared" si="338"/>
        <v>DIOGO AZEVEDO</v>
      </c>
      <c r="I3608" t="str">
        <f t="shared" si="339"/>
        <v>MILK LAT LTDA EPP</v>
      </c>
      <c r="J3608">
        <f t="shared" si="340"/>
        <v>0</v>
      </c>
      <c r="K3608">
        <f t="shared" si="341"/>
        <v>1</v>
      </c>
    </row>
    <row r="3609" spans="1:11" x14ac:dyDescent="0.25">
      <c r="A3609" t="s">
        <v>314</v>
      </c>
      <c r="B3609" t="s">
        <v>246</v>
      </c>
      <c r="C3609" t="s">
        <v>66</v>
      </c>
      <c r="D3609" s="6">
        <v>45878</v>
      </c>
      <c r="E3609" t="str">
        <f>VLOOKUP(B3609,'PROCV GERENTES BD'!A:B,2,0)</f>
        <v xml:space="preserve">ROGERIO </v>
      </c>
      <c r="F3609" s="4" t="str">
        <f t="shared" si="336"/>
        <v>2025-08</v>
      </c>
      <c r="G3609" s="18">
        <f t="shared" si="337"/>
        <v>32</v>
      </c>
      <c r="H3609" t="str">
        <f t="shared" si="338"/>
        <v xml:space="preserve">ROGERIO </v>
      </c>
      <c r="I3609" t="str">
        <f t="shared" si="339"/>
        <v>MUTCD CENTRO DE DISTRIBUICAO DE IND FABRICANTE DE</v>
      </c>
      <c r="J3609">
        <f t="shared" si="340"/>
        <v>1</v>
      </c>
      <c r="K3609">
        <f t="shared" si="341"/>
        <v>0</v>
      </c>
    </row>
    <row r="3610" spans="1:11" x14ac:dyDescent="0.25">
      <c r="A3610" t="s">
        <v>370</v>
      </c>
      <c r="B3610" t="s">
        <v>114</v>
      </c>
      <c r="C3610" t="s">
        <v>50</v>
      </c>
      <c r="D3610" s="6">
        <v>45878</v>
      </c>
      <c r="E3610" t="str">
        <f>VLOOKUP(B3610,'PROCV GERENTES BD'!A:B,2,0)</f>
        <v>POENATELA</v>
      </c>
      <c r="F3610" s="4" t="str">
        <f t="shared" si="336"/>
        <v>2025-08</v>
      </c>
      <c r="G3610" s="18">
        <f t="shared" si="337"/>
        <v>32</v>
      </c>
      <c r="H3610" t="str">
        <f t="shared" si="338"/>
        <v>POENATELA</v>
      </c>
      <c r="I3610" t="str">
        <f t="shared" si="339"/>
        <v>COOPERATIVA TRANSP AUTON CARGAS PASSAG SERVICOS LO</v>
      </c>
      <c r="J3610">
        <f t="shared" si="340"/>
        <v>0</v>
      </c>
      <c r="K3610">
        <f t="shared" si="341"/>
        <v>1</v>
      </c>
    </row>
    <row r="3611" spans="1:11" x14ac:dyDescent="0.25">
      <c r="A3611" t="s">
        <v>450</v>
      </c>
      <c r="B3611" t="s">
        <v>207</v>
      </c>
      <c r="C3611" t="s">
        <v>50</v>
      </c>
      <c r="D3611" s="6">
        <v>45878</v>
      </c>
      <c r="E3611" t="str">
        <f>VLOOKUP(B3611,'PROCV GERENTES BD'!A:B,2,0)</f>
        <v>CELIO PIMENTA</v>
      </c>
      <c r="F3611" s="4" t="str">
        <f t="shared" si="336"/>
        <v>2025-08</v>
      </c>
      <c r="G3611" s="18">
        <f t="shared" si="337"/>
        <v>32</v>
      </c>
      <c r="H3611" t="str">
        <f t="shared" si="338"/>
        <v>CELIO PIMENTA</v>
      </c>
      <c r="I3611" t="str">
        <f t="shared" si="339"/>
        <v>LIDER COMERCIO DE UNIFORMES E EPI S LTDA ME</v>
      </c>
      <c r="J3611">
        <f t="shared" si="340"/>
        <v>0</v>
      </c>
      <c r="K3611">
        <f t="shared" si="341"/>
        <v>1</v>
      </c>
    </row>
    <row r="3612" spans="1:11" x14ac:dyDescent="0.25">
      <c r="A3612" t="s">
        <v>630</v>
      </c>
      <c r="B3612" t="s">
        <v>559</v>
      </c>
      <c r="C3612" t="s">
        <v>50</v>
      </c>
      <c r="D3612" s="6">
        <v>45878</v>
      </c>
      <c r="E3612" t="str">
        <f>VLOOKUP(B3612,'PROCV GERENTES BD'!A:B,2,0)</f>
        <v>ALISSON DE SOUZA LIMA</v>
      </c>
      <c r="F3612" s="4" t="str">
        <f t="shared" si="336"/>
        <v>2025-08</v>
      </c>
      <c r="G3612" s="18">
        <f t="shared" si="337"/>
        <v>32</v>
      </c>
      <c r="H3612" t="str">
        <f t="shared" si="338"/>
        <v>ALISSON DE SOUZA LIMA</v>
      </c>
      <c r="I3612" t="str">
        <f t="shared" si="339"/>
        <v>JRG SOLUCOES INDUSTRIAIS LTDA</v>
      </c>
      <c r="J3612">
        <f t="shared" si="340"/>
        <v>0</v>
      </c>
      <c r="K3612">
        <f t="shared" si="341"/>
        <v>1</v>
      </c>
    </row>
    <row r="3613" spans="1:11" x14ac:dyDescent="0.25">
      <c r="A3613" t="s">
        <v>64</v>
      </c>
      <c r="B3613" t="s">
        <v>65</v>
      </c>
      <c r="C3613" t="s">
        <v>50</v>
      </c>
      <c r="D3613" s="6">
        <v>45878</v>
      </c>
      <c r="E3613" t="str">
        <f>VLOOKUP(B3613,'PROCV GERENTES BD'!A:B,2,0)</f>
        <v>ADMINISTRAÇÃO</v>
      </c>
      <c r="F3613" s="4" t="str">
        <f t="shared" si="336"/>
        <v>2025-08</v>
      </c>
      <c r="G3613" s="18">
        <f t="shared" si="337"/>
        <v>32</v>
      </c>
      <c r="H3613" t="str">
        <f t="shared" si="338"/>
        <v>ADMINISTRAÇÃO</v>
      </c>
      <c r="I3613" t="str">
        <f t="shared" si="339"/>
        <v>SOCIAL S/A</v>
      </c>
      <c r="J3613">
        <f t="shared" si="340"/>
        <v>0</v>
      </c>
      <c r="K3613">
        <f t="shared" si="341"/>
        <v>1</v>
      </c>
    </row>
    <row r="3614" spans="1:11" x14ac:dyDescent="0.25">
      <c r="A3614" t="s">
        <v>604</v>
      </c>
      <c r="B3614" t="s">
        <v>605</v>
      </c>
      <c r="C3614" t="s">
        <v>50</v>
      </c>
      <c r="D3614" s="6">
        <v>45878</v>
      </c>
      <c r="E3614" t="str">
        <f>VLOOKUP(B3614,'PROCV GERENTES BD'!A:B,2,0)</f>
        <v>ALISSON DE SOUZA LIMA</v>
      </c>
      <c r="F3614" s="4" t="str">
        <f t="shared" si="336"/>
        <v>2025-08</v>
      </c>
      <c r="G3614" s="18">
        <f t="shared" si="337"/>
        <v>32</v>
      </c>
      <c r="H3614" t="str">
        <f t="shared" si="338"/>
        <v>ALISSON DE SOUZA LIMA</v>
      </c>
      <c r="I3614" t="str">
        <f t="shared" si="339"/>
        <v>3J FUNDICAO INDUSTRIAL LTDA</v>
      </c>
      <c r="J3614">
        <f t="shared" si="340"/>
        <v>0</v>
      </c>
      <c r="K3614">
        <f t="shared" si="341"/>
        <v>1</v>
      </c>
    </row>
    <row r="3615" spans="1:11" x14ac:dyDescent="0.25">
      <c r="A3615" t="s">
        <v>632</v>
      </c>
      <c r="B3615" t="s">
        <v>633</v>
      </c>
      <c r="C3615" t="s">
        <v>50</v>
      </c>
      <c r="D3615" s="6">
        <v>45878</v>
      </c>
      <c r="E3615" t="str">
        <f>VLOOKUP(B3615,'PROCV GERENTES BD'!A:B,2,0)</f>
        <v>TIAGO NEVES</v>
      </c>
      <c r="F3615" s="4" t="str">
        <f t="shared" si="336"/>
        <v>2025-08</v>
      </c>
      <c r="G3615" s="18">
        <f t="shared" si="337"/>
        <v>32</v>
      </c>
      <c r="H3615" t="str">
        <f t="shared" si="338"/>
        <v>TIAGO NEVES</v>
      </c>
      <c r="I3615" t="str">
        <f t="shared" si="339"/>
        <v>AUTO VIDROS MG INDUSTRIA E COMERCIO LTDA</v>
      </c>
      <c r="J3615">
        <f t="shared" si="340"/>
        <v>0</v>
      </c>
      <c r="K3615">
        <f t="shared" si="341"/>
        <v>1</v>
      </c>
    </row>
    <row r="3616" spans="1:11" x14ac:dyDescent="0.25">
      <c r="A3616" t="s">
        <v>492</v>
      </c>
      <c r="B3616" t="s">
        <v>251</v>
      </c>
      <c r="C3616" t="s">
        <v>50</v>
      </c>
      <c r="D3616" s="6">
        <v>45878</v>
      </c>
      <c r="E3616" t="str">
        <f>VLOOKUP(B3616,'PROCV GERENTES BD'!A:B,2,0)</f>
        <v>PROSPECTAR</v>
      </c>
      <c r="F3616" s="4" t="str">
        <f t="shared" si="336"/>
        <v>2025-08</v>
      </c>
      <c r="G3616" s="18">
        <f t="shared" si="337"/>
        <v>32</v>
      </c>
      <c r="H3616" t="str">
        <f t="shared" si="338"/>
        <v>PROSPECTAR</v>
      </c>
      <c r="I3616" t="str">
        <f t="shared" si="339"/>
        <v>JANE FIGUEIRA CONFECCOES LTDA ME</v>
      </c>
      <c r="J3616">
        <f t="shared" si="340"/>
        <v>0</v>
      </c>
      <c r="K3616">
        <f t="shared" si="341"/>
        <v>1</v>
      </c>
    </row>
    <row r="3617" spans="1:11" x14ac:dyDescent="0.25">
      <c r="A3617" t="s">
        <v>459</v>
      </c>
      <c r="B3617" t="s">
        <v>216</v>
      </c>
      <c r="C3617" t="s">
        <v>50</v>
      </c>
      <c r="D3617" s="6">
        <v>45878</v>
      </c>
      <c r="E3617" t="str">
        <f>VLOOKUP(B3617,'PROCV GERENTES BD'!A:B,2,0)</f>
        <v>ADMINISTRAÇÃO</v>
      </c>
      <c r="F3617" s="4" t="str">
        <f t="shared" si="336"/>
        <v>2025-08</v>
      </c>
      <c r="G3617" s="18">
        <f t="shared" si="337"/>
        <v>32</v>
      </c>
      <c r="H3617" t="str">
        <f t="shared" si="338"/>
        <v>ADMINISTRAÇÃO</v>
      </c>
      <c r="I3617" t="str">
        <f t="shared" si="339"/>
        <v>JABEZ SERVICOS COMPARTILHADOS LTDA ME</v>
      </c>
      <c r="J3617">
        <f t="shared" si="340"/>
        <v>0</v>
      </c>
      <c r="K3617">
        <f t="shared" si="341"/>
        <v>1</v>
      </c>
    </row>
    <row r="3618" spans="1:11" x14ac:dyDescent="0.25">
      <c r="A3618" t="s">
        <v>58</v>
      </c>
      <c r="B3618" t="s">
        <v>59</v>
      </c>
      <c r="C3618" t="s">
        <v>66</v>
      </c>
      <c r="D3618" s="6">
        <v>45878</v>
      </c>
      <c r="E3618" t="str">
        <f>VLOOKUP(B3618,'PROCV GERENTES BD'!A:B,2,0)</f>
        <v>ADMINISTRAÇÃO</v>
      </c>
      <c r="F3618" s="4" t="str">
        <f t="shared" si="336"/>
        <v>2025-08</v>
      </c>
      <c r="G3618" s="18">
        <f t="shared" si="337"/>
        <v>32</v>
      </c>
      <c r="H3618" t="str">
        <f t="shared" si="338"/>
        <v>ADMINISTRAÇÃO</v>
      </c>
      <c r="I3618" t="str">
        <f t="shared" si="339"/>
        <v>BIOTECH LOGISTICA LTDA</v>
      </c>
      <c r="J3618">
        <f t="shared" si="340"/>
        <v>1</v>
      </c>
      <c r="K3618">
        <f t="shared" si="341"/>
        <v>0</v>
      </c>
    </row>
    <row r="3619" spans="1:11" x14ac:dyDescent="0.25">
      <c r="A3619" t="s">
        <v>56</v>
      </c>
      <c r="B3619" t="s">
        <v>57</v>
      </c>
      <c r="C3619" t="s">
        <v>50</v>
      </c>
      <c r="D3619" s="6">
        <v>45878</v>
      </c>
      <c r="E3619" t="str">
        <f>VLOOKUP(B3619,'PROCV GERENTES BD'!A:B,2,0)</f>
        <v xml:space="preserve">ROGERIO </v>
      </c>
      <c r="F3619" s="4" t="str">
        <f t="shared" si="336"/>
        <v>2025-08</v>
      </c>
      <c r="G3619" s="18">
        <f t="shared" si="337"/>
        <v>32</v>
      </c>
      <c r="H3619" t="str">
        <f t="shared" si="338"/>
        <v xml:space="preserve">ROGERIO </v>
      </c>
      <c r="I3619" t="str">
        <f t="shared" si="339"/>
        <v>RODOVIEIRA TRANSPORTE LTDA</v>
      </c>
      <c r="J3619">
        <f t="shared" si="340"/>
        <v>0</v>
      </c>
      <c r="K3619">
        <f t="shared" si="341"/>
        <v>1</v>
      </c>
    </row>
    <row r="3620" spans="1:11" x14ac:dyDescent="0.25">
      <c r="A3620" t="s">
        <v>331</v>
      </c>
      <c r="B3620" t="s">
        <v>144</v>
      </c>
      <c r="C3620" t="s">
        <v>50</v>
      </c>
      <c r="D3620" s="6">
        <v>45878</v>
      </c>
      <c r="E3620" t="str">
        <f>VLOOKUP(B3620,'PROCV GERENTES BD'!A:B,2,0)</f>
        <v>ADMINISTRAÇÃO</v>
      </c>
      <c r="F3620" s="4" t="str">
        <f t="shared" si="336"/>
        <v>2025-08</v>
      </c>
      <c r="G3620" s="18">
        <f t="shared" si="337"/>
        <v>32</v>
      </c>
      <c r="H3620" t="str">
        <f t="shared" si="338"/>
        <v>ADMINISTRAÇÃO</v>
      </c>
      <c r="I3620" t="str">
        <f t="shared" si="339"/>
        <v>BOM PASTOR PAPEIS LTDA EM RECUPERACAO JUDICIAL</v>
      </c>
      <c r="J3620">
        <f t="shared" si="340"/>
        <v>0</v>
      </c>
      <c r="K3620">
        <f t="shared" si="341"/>
        <v>1</v>
      </c>
    </row>
    <row r="3621" spans="1:11" x14ac:dyDescent="0.25">
      <c r="A3621" t="s">
        <v>358</v>
      </c>
      <c r="B3621" t="s">
        <v>104</v>
      </c>
      <c r="C3621" t="s">
        <v>66</v>
      </c>
      <c r="D3621" s="6">
        <v>45878</v>
      </c>
      <c r="E3621" t="str">
        <f>VLOOKUP(B3621,'PROCV GERENTES BD'!A:B,2,0)</f>
        <v>DIOGO AZEVEDO</v>
      </c>
      <c r="F3621" s="4" t="str">
        <f t="shared" si="336"/>
        <v>2025-08</v>
      </c>
      <c r="G3621" s="18">
        <f t="shared" si="337"/>
        <v>32</v>
      </c>
      <c r="H3621" t="str">
        <f t="shared" si="338"/>
        <v>DIOGO AZEVEDO</v>
      </c>
      <c r="I3621" t="str">
        <f t="shared" si="339"/>
        <v>INDUSTRIA E CERVEJARIA ARTESANAL DE MINAS GERAIS L</v>
      </c>
      <c r="J3621">
        <f t="shared" si="340"/>
        <v>1</v>
      </c>
      <c r="K3621">
        <f t="shared" si="341"/>
        <v>0</v>
      </c>
    </row>
    <row r="3622" spans="1:11" x14ac:dyDescent="0.25">
      <c r="A3622" t="s">
        <v>507</v>
      </c>
      <c r="B3622" t="s">
        <v>269</v>
      </c>
      <c r="C3622" t="s">
        <v>66</v>
      </c>
      <c r="D3622" s="6">
        <v>45878</v>
      </c>
      <c r="E3622" t="str">
        <f>VLOOKUP(B3622,'PROCV GERENTES BD'!A:B,2,0)</f>
        <v>LIBER</v>
      </c>
      <c r="F3622" s="4" t="str">
        <f t="shared" si="336"/>
        <v>2025-08</v>
      </c>
      <c r="G3622" s="18">
        <f t="shared" si="337"/>
        <v>32</v>
      </c>
      <c r="H3622" t="str">
        <f t="shared" si="338"/>
        <v>LIBER</v>
      </c>
      <c r="I3622" t="str">
        <f t="shared" si="339"/>
        <v>ALPHA DISTRIBUIDORA DE PECAS LTDA ME</v>
      </c>
      <c r="J3622">
        <f t="shared" si="340"/>
        <v>1</v>
      </c>
      <c r="K3622">
        <f t="shared" si="341"/>
        <v>0</v>
      </c>
    </row>
    <row r="3623" spans="1:11" x14ac:dyDescent="0.25">
      <c r="A3623" t="s">
        <v>51</v>
      </c>
      <c r="B3623" t="s">
        <v>52</v>
      </c>
      <c r="C3623" t="s">
        <v>50</v>
      </c>
      <c r="D3623" s="6">
        <v>45878</v>
      </c>
      <c r="E3623" t="str">
        <f>VLOOKUP(B3623,'PROCV GERENTES BD'!A:B,2,0)</f>
        <v>RAFAEL PARISE</v>
      </c>
      <c r="F3623" s="4" t="str">
        <f t="shared" si="336"/>
        <v>2025-08</v>
      </c>
      <c r="G3623" s="18">
        <f t="shared" si="337"/>
        <v>32</v>
      </c>
      <c r="H3623" t="str">
        <f t="shared" si="338"/>
        <v>RAFAEL PARISE</v>
      </c>
      <c r="I3623" t="str">
        <f t="shared" si="339"/>
        <v>TDR TRANSPORTES LOGISTICA LTDA</v>
      </c>
      <c r="J3623">
        <f t="shared" si="340"/>
        <v>0</v>
      </c>
      <c r="K3623">
        <f t="shared" si="341"/>
        <v>1</v>
      </c>
    </row>
    <row r="3624" spans="1:11" x14ac:dyDescent="0.25">
      <c r="A3624" t="s">
        <v>305</v>
      </c>
      <c r="B3624" t="s">
        <v>141</v>
      </c>
      <c r="C3624" t="s">
        <v>50</v>
      </c>
      <c r="D3624" s="6">
        <v>45878</v>
      </c>
      <c r="E3624" t="str">
        <f>VLOOKUP(B3624,'PROCV GERENTES BD'!A:B,2,0)</f>
        <v>NOELI SALETE</v>
      </c>
      <c r="F3624" s="4" t="str">
        <f t="shared" si="336"/>
        <v>2025-08</v>
      </c>
      <c r="G3624" s="18">
        <f t="shared" si="337"/>
        <v>32</v>
      </c>
      <c r="H3624" t="str">
        <f t="shared" si="338"/>
        <v>NOELI SALETE</v>
      </c>
      <c r="I3624" t="str">
        <f t="shared" si="339"/>
        <v>JMS EMBALAGENS INDUSTRIAIS LTDA</v>
      </c>
      <c r="J3624">
        <f t="shared" si="340"/>
        <v>0</v>
      </c>
      <c r="K3624">
        <f t="shared" si="341"/>
        <v>1</v>
      </c>
    </row>
    <row r="3625" spans="1:11" x14ac:dyDescent="0.25">
      <c r="A3625" t="s">
        <v>523</v>
      </c>
      <c r="B3625" t="s">
        <v>288</v>
      </c>
      <c r="C3625" t="s">
        <v>66</v>
      </c>
      <c r="D3625" s="6">
        <v>45878</v>
      </c>
      <c r="E3625" t="str">
        <f>VLOOKUP(B3625,'PROCV GERENTES BD'!A:B,2,0)</f>
        <v>ADMINISTRAÇÃO</v>
      </c>
      <c r="F3625" s="4" t="str">
        <f t="shared" si="336"/>
        <v>2025-08</v>
      </c>
      <c r="G3625" s="18">
        <f t="shared" si="337"/>
        <v>32</v>
      </c>
      <c r="H3625" t="str">
        <f t="shared" si="338"/>
        <v>ADMINISTRAÇÃO</v>
      </c>
      <c r="I3625" t="str">
        <f t="shared" si="339"/>
        <v>REFRACONT BRASIL LTDA</v>
      </c>
      <c r="J3625">
        <f t="shared" si="340"/>
        <v>1</v>
      </c>
      <c r="K3625">
        <f t="shared" si="341"/>
        <v>0</v>
      </c>
    </row>
    <row r="3626" spans="1:11" x14ac:dyDescent="0.25">
      <c r="A3626" t="s">
        <v>631</v>
      </c>
      <c r="B3626" t="s">
        <v>561</v>
      </c>
      <c r="C3626" t="s">
        <v>50</v>
      </c>
      <c r="D3626" s="6">
        <v>45878</v>
      </c>
      <c r="E3626" t="str">
        <f>VLOOKUP(B3626,'PROCV GERENTES BD'!A:B,2,0)</f>
        <v>VALERIA</v>
      </c>
      <c r="F3626" s="4" t="str">
        <f t="shared" si="336"/>
        <v>2025-08</v>
      </c>
      <c r="G3626" s="18">
        <f t="shared" si="337"/>
        <v>32</v>
      </c>
      <c r="H3626" t="str">
        <f t="shared" si="338"/>
        <v>VALERIA</v>
      </c>
      <c r="I3626" t="str">
        <f t="shared" si="339"/>
        <v>TRANSPORTADORA PACHECO LTDA EPP</v>
      </c>
      <c r="J3626">
        <f t="shared" si="340"/>
        <v>0</v>
      </c>
      <c r="K3626">
        <f t="shared" si="341"/>
        <v>1</v>
      </c>
    </row>
    <row r="3627" spans="1:11" x14ac:dyDescent="0.25">
      <c r="A3627" t="s">
        <v>510</v>
      </c>
      <c r="B3627" t="s">
        <v>273</v>
      </c>
      <c r="C3627" t="s">
        <v>50</v>
      </c>
      <c r="D3627" s="6">
        <v>45878</v>
      </c>
      <c r="E3627" t="str">
        <f>VLOOKUP(B3627,'PROCV GERENTES BD'!A:B,2,0)</f>
        <v>CELIO PIMENTA</v>
      </c>
      <c r="F3627" s="4" t="str">
        <f t="shared" si="336"/>
        <v>2025-08</v>
      </c>
      <c r="G3627" s="18">
        <f t="shared" si="337"/>
        <v>32</v>
      </c>
      <c r="H3627" t="str">
        <f t="shared" si="338"/>
        <v>CELIO PIMENTA</v>
      </c>
      <c r="I3627" t="str">
        <f t="shared" si="339"/>
        <v>PRADO MOREIRA TEXTIL LTDA ME</v>
      </c>
      <c r="J3627">
        <f t="shared" si="340"/>
        <v>0</v>
      </c>
      <c r="K3627">
        <f t="shared" si="341"/>
        <v>1</v>
      </c>
    </row>
    <row r="3628" spans="1:11" x14ac:dyDescent="0.25">
      <c r="A3628" t="s">
        <v>529</v>
      </c>
      <c r="B3628" t="s">
        <v>297</v>
      </c>
      <c r="C3628" t="s">
        <v>50</v>
      </c>
      <c r="D3628" s="6">
        <v>45881</v>
      </c>
      <c r="E3628" t="str">
        <f>VLOOKUP(B3628,'PROCV GERENTES BD'!A:B,2,0)</f>
        <v>ANDRE CUNHA</v>
      </c>
      <c r="F3628" s="4" t="str">
        <f t="shared" si="336"/>
        <v>2025-08</v>
      </c>
      <c r="G3628" s="18">
        <f t="shared" si="337"/>
        <v>33</v>
      </c>
      <c r="H3628" t="str">
        <f t="shared" si="338"/>
        <v>ANDRE CUNHA</v>
      </c>
      <c r="I3628" t="str">
        <f t="shared" si="339"/>
        <v>REVPACK TECNOLOGIA E COMERCIO DE COMPONENTES PLAST</v>
      </c>
      <c r="J3628">
        <f t="shared" si="340"/>
        <v>0</v>
      </c>
      <c r="K3628">
        <f t="shared" si="341"/>
        <v>1</v>
      </c>
    </row>
    <row r="3629" spans="1:11" x14ac:dyDescent="0.25">
      <c r="A3629" t="s">
        <v>654</v>
      </c>
      <c r="B3629" t="s">
        <v>544</v>
      </c>
      <c r="C3629" t="s">
        <v>50</v>
      </c>
      <c r="D3629" s="6">
        <v>45881</v>
      </c>
      <c r="E3629" t="str">
        <f>VLOOKUP(B3629,'PROCV GERENTES BD'!A:B,2,0)</f>
        <v>PROSPECTAR</v>
      </c>
      <c r="F3629" s="4" t="str">
        <f t="shared" si="336"/>
        <v>2025-08</v>
      </c>
      <c r="G3629" s="18">
        <f t="shared" si="337"/>
        <v>33</v>
      </c>
      <c r="H3629" t="str">
        <f t="shared" si="338"/>
        <v>PROSPECTAR</v>
      </c>
      <c r="I3629" t="str">
        <f t="shared" si="339"/>
        <v>SAGESSE TEXTIL LTDA EPP</v>
      </c>
      <c r="J3629">
        <f t="shared" si="340"/>
        <v>0</v>
      </c>
      <c r="K3629">
        <f t="shared" si="341"/>
        <v>1</v>
      </c>
    </row>
    <row r="3630" spans="1:11" x14ac:dyDescent="0.25">
      <c r="A3630" t="s">
        <v>370</v>
      </c>
      <c r="B3630" t="s">
        <v>114</v>
      </c>
      <c r="C3630" t="s">
        <v>66</v>
      </c>
      <c r="D3630" s="6">
        <v>45881</v>
      </c>
      <c r="E3630" t="str">
        <f>VLOOKUP(B3630,'PROCV GERENTES BD'!A:B,2,0)</f>
        <v>POENATELA</v>
      </c>
      <c r="F3630" s="4" t="str">
        <f t="shared" si="336"/>
        <v>2025-08</v>
      </c>
      <c r="G3630" s="18">
        <f t="shared" si="337"/>
        <v>33</v>
      </c>
      <c r="H3630" t="str">
        <f t="shared" si="338"/>
        <v>POENATELA</v>
      </c>
      <c r="I3630" t="str">
        <f t="shared" si="339"/>
        <v>COOPERATIVA TRANSP AUTON CARGAS PASSAG SERVICOS LO</v>
      </c>
      <c r="J3630">
        <f t="shared" si="340"/>
        <v>1</v>
      </c>
      <c r="K3630">
        <f t="shared" si="341"/>
        <v>0</v>
      </c>
    </row>
    <row r="3631" spans="1:11" x14ac:dyDescent="0.25">
      <c r="A3631" t="s">
        <v>630</v>
      </c>
      <c r="B3631" t="s">
        <v>559</v>
      </c>
      <c r="C3631" t="s">
        <v>50</v>
      </c>
      <c r="D3631" s="6">
        <v>45881</v>
      </c>
      <c r="E3631" t="str">
        <f>VLOOKUP(B3631,'PROCV GERENTES BD'!A:B,2,0)</f>
        <v>ALISSON DE SOUZA LIMA</v>
      </c>
      <c r="F3631" s="4" t="str">
        <f t="shared" si="336"/>
        <v>2025-08</v>
      </c>
      <c r="G3631" s="18">
        <f t="shared" si="337"/>
        <v>33</v>
      </c>
      <c r="H3631" t="str">
        <f t="shared" si="338"/>
        <v>ALISSON DE SOUZA LIMA</v>
      </c>
      <c r="I3631" t="str">
        <f t="shared" si="339"/>
        <v>JRG SOLUCOES INDUSTRIAIS LTDA</v>
      </c>
      <c r="J3631">
        <f t="shared" si="340"/>
        <v>0</v>
      </c>
      <c r="K3631">
        <f t="shared" si="341"/>
        <v>1</v>
      </c>
    </row>
    <row r="3632" spans="1:11" x14ac:dyDescent="0.25">
      <c r="A3632" t="s">
        <v>64</v>
      </c>
      <c r="B3632" t="s">
        <v>65</v>
      </c>
      <c r="C3632" t="s">
        <v>66</v>
      </c>
      <c r="D3632" s="6">
        <v>45881</v>
      </c>
      <c r="E3632" t="str">
        <f>VLOOKUP(B3632,'PROCV GERENTES BD'!A:B,2,0)</f>
        <v>ADMINISTRAÇÃO</v>
      </c>
      <c r="F3632" s="4" t="str">
        <f t="shared" si="336"/>
        <v>2025-08</v>
      </c>
      <c r="G3632" s="18">
        <f t="shared" si="337"/>
        <v>33</v>
      </c>
      <c r="H3632" t="str">
        <f t="shared" si="338"/>
        <v>ADMINISTRAÇÃO</v>
      </c>
      <c r="I3632" t="str">
        <f t="shared" si="339"/>
        <v>SOCIAL S/A</v>
      </c>
      <c r="J3632">
        <f t="shared" si="340"/>
        <v>1</v>
      </c>
      <c r="K3632">
        <f t="shared" si="341"/>
        <v>0</v>
      </c>
    </row>
    <row r="3633" spans="1:11" x14ac:dyDescent="0.25">
      <c r="A3633" t="s">
        <v>62</v>
      </c>
      <c r="B3633" t="s">
        <v>63</v>
      </c>
      <c r="C3633" t="s">
        <v>50</v>
      </c>
      <c r="D3633" s="6">
        <v>45881</v>
      </c>
      <c r="E3633" t="str">
        <f>VLOOKUP(B3633,'PROCV GERENTES BD'!A:B,2,0)</f>
        <v>PROSPECTAR</v>
      </c>
      <c r="F3633" s="4" t="str">
        <f t="shared" si="336"/>
        <v>2025-08</v>
      </c>
      <c r="G3633" s="18">
        <f t="shared" si="337"/>
        <v>33</v>
      </c>
      <c r="H3633" t="str">
        <f t="shared" si="338"/>
        <v>PROSPECTAR</v>
      </c>
      <c r="I3633" t="str">
        <f t="shared" si="339"/>
        <v>MAPP COM IMPORTACAO EXPORTACAO IND PRODUTOS ALIMEN</v>
      </c>
      <c r="J3633">
        <f t="shared" si="340"/>
        <v>0</v>
      </c>
      <c r="K3633">
        <f t="shared" si="341"/>
        <v>1</v>
      </c>
    </row>
    <row r="3634" spans="1:11" x14ac:dyDescent="0.25">
      <c r="A3634" t="s">
        <v>604</v>
      </c>
      <c r="B3634" t="s">
        <v>605</v>
      </c>
      <c r="C3634" t="s">
        <v>50</v>
      </c>
      <c r="D3634" s="6">
        <v>45881</v>
      </c>
      <c r="E3634" t="str">
        <f>VLOOKUP(B3634,'PROCV GERENTES BD'!A:B,2,0)</f>
        <v>ALISSON DE SOUZA LIMA</v>
      </c>
      <c r="F3634" s="4" t="str">
        <f t="shared" si="336"/>
        <v>2025-08</v>
      </c>
      <c r="G3634" s="18">
        <f t="shared" si="337"/>
        <v>33</v>
      </c>
      <c r="H3634" t="str">
        <f t="shared" si="338"/>
        <v>ALISSON DE SOUZA LIMA</v>
      </c>
      <c r="I3634" t="str">
        <f t="shared" si="339"/>
        <v>3J FUNDICAO INDUSTRIAL LTDA</v>
      </c>
      <c r="J3634">
        <f t="shared" si="340"/>
        <v>0</v>
      </c>
      <c r="K3634">
        <f t="shared" si="341"/>
        <v>1</v>
      </c>
    </row>
    <row r="3635" spans="1:11" x14ac:dyDescent="0.25">
      <c r="A3635" t="s">
        <v>317</v>
      </c>
      <c r="B3635" t="s">
        <v>280</v>
      </c>
      <c r="C3635" t="s">
        <v>50</v>
      </c>
      <c r="D3635" s="6">
        <v>45881</v>
      </c>
      <c r="E3635" t="str">
        <f>VLOOKUP(B3635,'PROCV GERENTES BD'!A:B,2,0)</f>
        <v>PROSPECTAR</v>
      </c>
      <c r="F3635" s="4" t="str">
        <f t="shared" si="336"/>
        <v>2025-08</v>
      </c>
      <c r="G3635" s="18">
        <f t="shared" si="337"/>
        <v>33</v>
      </c>
      <c r="H3635" t="str">
        <f t="shared" si="338"/>
        <v>PROSPECTAR</v>
      </c>
      <c r="I3635" t="str">
        <f t="shared" si="339"/>
        <v>STA TECHCANA LTDA</v>
      </c>
      <c r="J3635">
        <f t="shared" si="340"/>
        <v>0</v>
      </c>
      <c r="K3635">
        <f t="shared" si="341"/>
        <v>1</v>
      </c>
    </row>
    <row r="3636" spans="1:11" x14ac:dyDescent="0.25">
      <c r="A3636" t="s">
        <v>631</v>
      </c>
      <c r="B3636" t="s">
        <v>561</v>
      </c>
      <c r="C3636" t="s">
        <v>50</v>
      </c>
      <c r="D3636" s="6">
        <v>45881</v>
      </c>
      <c r="E3636" t="str">
        <f>VLOOKUP(B3636,'PROCV GERENTES BD'!A:B,2,0)</f>
        <v>VALERIA</v>
      </c>
      <c r="F3636" s="4" t="str">
        <f t="shared" si="336"/>
        <v>2025-08</v>
      </c>
      <c r="G3636" s="18">
        <f t="shared" si="337"/>
        <v>33</v>
      </c>
      <c r="H3636" t="str">
        <f t="shared" si="338"/>
        <v>VALERIA</v>
      </c>
      <c r="I3636" t="str">
        <f t="shared" si="339"/>
        <v>TRANSPORTADORA PACHECO LTDA EPP</v>
      </c>
      <c r="J3636">
        <f t="shared" si="340"/>
        <v>0</v>
      </c>
      <c r="K3636">
        <f t="shared" si="341"/>
        <v>1</v>
      </c>
    </row>
    <row r="3637" spans="1:11" x14ac:dyDescent="0.25">
      <c r="A3637" t="s">
        <v>510</v>
      </c>
      <c r="B3637" t="s">
        <v>273</v>
      </c>
      <c r="C3637" t="s">
        <v>50</v>
      </c>
      <c r="D3637" s="6">
        <v>45881</v>
      </c>
      <c r="E3637" t="str">
        <f>VLOOKUP(B3637,'PROCV GERENTES BD'!A:B,2,0)</f>
        <v>CELIO PIMENTA</v>
      </c>
      <c r="F3637" s="4" t="str">
        <f t="shared" si="336"/>
        <v>2025-08</v>
      </c>
      <c r="G3637" s="18">
        <f t="shared" si="337"/>
        <v>33</v>
      </c>
      <c r="H3637" t="str">
        <f t="shared" si="338"/>
        <v>CELIO PIMENTA</v>
      </c>
      <c r="I3637" t="str">
        <f t="shared" si="339"/>
        <v>PRADO MOREIRA TEXTIL LTDA ME</v>
      </c>
      <c r="J3637">
        <f t="shared" si="340"/>
        <v>0</v>
      </c>
      <c r="K3637">
        <f t="shared" si="341"/>
        <v>1</v>
      </c>
    </row>
    <row r="3638" spans="1:11" x14ac:dyDescent="0.25">
      <c r="A3638" t="s">
        <v>58</v>
      </c>
      <c r="B3638" t="s">
        <v>59</v>
      </c>
      <c r="C3638" t="s">
        <v>53</v>
      </c>
      <c r="D3638" s="6">
        <v>45881</v>
      </c>
      <c r="E3638" t="str">
        <f>VLOOKUP(B3638,'PROCV GERENTES BD'!A:B,2,0)</f>
        <v>ADMINISTRAÇÃO</v>
      </c>
      <c r="F3638" s="4" t="str">
        <f t="shared" si="336"/>
        <v>2025-08</v>
      </c>
      <c r="G3638" s="18">
        <f t="shared" si="337"/>
        <v>33</v>
      </c>
      <c r="H3638" t="str">
        <f t="shared" si="338"/>
        <v>ADMINISTRAÇÃO</v>
      </c>
      <c r="I3638" t="str">
        <f t="shared" si="339"/>
        <v>BIOTECH LOGISTICA LTDA</v>
      </c>
      <c r="J3638">
        <f t="shared" si="340"/>
        <v>1</v>
      </c>
      <c r="K3638">
        <f t="shared" si="341"/>
        <v>1</v>
      </c>
    </row>
    <row r="3639" spans="1:11" x14ac:dyDescent="0.25">
      <c r="A3639" t="s">
        <v>56</v>
      </c>
      <c r="B3639" t="s">
        <v>57</v>
      </c>
      <c r="C3639" t="s">
        <v>50</v>
      </c>
      <c r="D3639" s="6">
        <v>45881</v>
      </c>
      <c r="E3639" t="str">
        <f>VLOOKUP(B3639,'PROCV GERENTES BD'!A:B,2,0)</f>
        <v xml:space="preserve">ROGERIO </v>
      </c>
      <c r="F3639" s="4" t="str">
        <f t="shared" si="336"/>
        <v>2025-08</v>
      </c>
      <c r="G3639" s="18">
        <f t="shared" si="337"/>
        <v>33</v>
      </c>
      <c r="H3639" t="str">
        <f t="shared" si="338"/>
        <v xml:space="preserve">ROGERIO </v>
      </c>
      <c r="I3639" t="str">
        <f t="shared" si="339"/>
        <v>RODOVIEIRA TRANSPORTE LTDA</v>
      </c>
      <c r="J3639">
        <f t="shared" si="340"/>
        <v>0</v>
      </c>
      <c r="K3639">
        <f t="shared" si="341"/>
        <v>1</v>
      </c>
    </row>
    <row r="3640" spans="1:11" x14ac:dyDescent="0.25">
      <c r="A3640" t="s">
        <v>331</v>
      </c>
      <c r="B3640" t="s">
        <v>144</v>
      </c>
      <c r="C3640" t="s">
        <v>50</v>
      </c>
      <c r="D3640" s="6">
        <v>45881</v>
      </c>
      <c r="E3640" t="str">
        <f>VLOOKUP(B3640,'PROCV GERENTES BD'!A:B,2,0)</f>
        <v>ADMINISTRAÇÃO</v>
      </c>
      <c r="F3640" s="4" t="str">
        <f t="shared" si="336"/>
        <v>2025-08</v>
      </c>
      <c r="G3640" s="18">
        <f t="shared" si="337"/>
        <v>33</v>
      </c>
      <c r="H3640" t="str">
        <f t="shared" si="338"/>
        <v>ADMINISTRAÇÃO</v>
      </c>
      <c r="I3640" t="str">
        <f t="shared" si="339"/>
        <v>BOM PASTOR PAPEIS LTDA EM RECUPERACAO JUDICIAL</v>
      </c>
      <c r="J3640">
        <f t="shared" si="340"/>
        <v>0</v>
      </c>
      <c r="K3640">
        <f t="shared" si="341"/>
        <v>1</v>
      </c>
    </row>
    <row r="3641" spans="1:11" x14ac:dyDescent="0.25">
      <c r="A3641" t="s">
        <v>387</v>
      </c>
      <c r="B3641" t="s">
        <v>134</v>
      </c>
      <c r="C3641" t="s">
        <v>53</v>
      </c>
      <c r="D3641" s="6">
        <v>45881</v>
      </c>
      <c r="E3641" t="str">
        <f>VLOOKUP(B3641,'PROCV GERENTES BD'!A:B,2,0)</f>
        <v>RAFAEL PARISE</v>
      </c>
      <c r="F3641" s="4" t="str">
        <f t="shared" si="336"/>
        <v>2025-08</v>
      </c>
      <c r="G3641" s="18">
        <f t="shared" si="337"/>
        <v>33</v>
      </c>
      <c r="H3641" t="str">
        <f t="shared" si="338"/>
        <v>RAFAEL PARISE</v>
      </c>
      <c r="I3641" t="str">
        <f t="shared" si="339"/>
        <v>MAIS DISTRIBUIDORA LTDA</v>
      </c>
      <c r="J3641">
        <f t="shared" si="340"/>
        <v>1</v>
      </c>
      <c r="K3641">
        <f t="shared" si="341"/>
        <v>1</v>
      </c>
    </row>
    <row r="3642" spans="1:11" x14ac:dyDescent="0.25">
      <c r="A3642" t="s">
        <v>51</v>
      </c>
      <c r="B3642" t="s">
        <v>52</v>
      </c>
      <c r="C3642" t="s">
        <v>53</v>
      </c>
      <c r="D3642" s="6">
        <v>45881</v>
      </c>
      <c r="E3642" t="str">
        <f>VLOOKUP(B3642,'PROCV GERENTES BD'!A:B,2,0)</f>
        <v>RAFAEL PARISE</v>
      </c>
      <c r="F3642" s="4" t="str">
        <f t="shared" si="336"/>
        <v>2025-08</v>
      </c>
      <c r="G3642" s="18">
        <f t="shared" si="337"/>
        <v>33</v>
      </c>
      <c r="H3642" t="str">
        <f t="shared" si="338"/>
        <v>RAFAEL PARISE</v>
      </c>
      <c r="I3642" t="str">
        <f t="shared" si="339"/>
        <v>TDR TRANSPORTES LOGISTICA LTDA</v>
      </c>
      <c r="J3642">
        <f t="shared" si="340"/>
        <v>1</v>
      </c>
      <c r="K3642">
        <f t="shared" si="341"/>
        <v>1</v>
      </c>
    </row>
    <row r="3643" spans="1:11" x14ac:dyDescent="0.25">
      <c r="A3643" t="s">
        <v>305</v>
      </c>
      <c r="B3643" t="s">
        <v>141</v>
      </c>
      <c r="C3643" t="s">
        <v>66</v>
      </c>
      <c r="D3643" s="6">
        <v>45881</v>
      </c>
      <c r="E3643" t="str">
        <f>VLOOKUP(B3643,'PROCV GERENTES BD'!A:B,2,0)</f>
        <v>NOELI SALETE</v>
      </c>
      <c r="F3643" s="4" t="str">
        <f t="shared" si="336"/>
        <v>2025-08</v>
      </c>
      <c r="G3643" s="18">
        <f t="shared" si="337"/>
        <v>33</v>
      </c>
      <c r="H3643" t="str">
        <f t="shared" si="338"/>
        <v>NOELI SALETE</v>
      </c>
      <c r="I3643" t="str">
        <f t="shared" si="339"/>
        <v>JMS EMBALAGENS INDUSTRIAIS LTDA</v>
      </c>
      <c r="J3643">
        <f t="shared" si="340"/>
        <v>1</v>
      </c>
      <c r="K3643">
        <f t="shared" si="341"/>
        <v>0</v>
      </c>
    </row>
    <row r="3644" spans="1:11" x14ac:dyDescent="0.25">
      <c r="A3644" t="s">
        <v>523</v>
      </c>
      <c r="B3644" t="s">
        <v>288</v>
      </c>
      <c r="C3644" t="s">
        <v>50</v>
      </c>
      <c r="D3644" s="6">
        <v>45881</v>
      </c>
      <c r="E3644" t="str">
        <f>VLOOKUP(B3644,'PROCV GERENTES BD'!A:B,2,0)</f>
        <v>ADMINISTRAÇÃO</v>
      </c>
      <c r="F3644" s="4" t="str">
        <f t="shared" si="336"/>
        <v>2025-08</v>
      </c>
      <c r="G3644" s="18">
        <f t="shared" si="337"/>
        <v>33</v>
      </c>
      <c r="H3644" t="str">
        <f t="shared" si="338"/>
        <v>ADMINISTRAÇÃO</v>
      </c>
      <c r="I3644" t="str">
        <f t="shared" si="339"/>
        <v>REFRACONT BRASIL LTDA</v>
      </c>
      <c r="J3644">
        <f t="shared" si="340"/>
        <v>0</v>
      </c>
      <c r="K3644">
        <f t="shared" si="341"/>
        <v>1</v>
      </c>
    </row>
    <row r="3645" spans="1:11" x14ac:dyDescent="0.25">
      <c r="A3645" t="s">
        <v>48</v>
      </c>
      <c r="B3645" t="s">
        <v>49</v>
      </c>
      <c r="C3645" t="s">
        <v>50</v>
      </c>
      <c r="D3645" s="6">
        <v>45881</v>
      </c>
      <c r="E3645" t="str">
        <f>VLOOKUP(B3645,'PROCV GERENTES BD'!A:B,2,0)</f>
        <v xml:space="preserve">MARCUS VINICIUS </v>
      </c>
      <c r="F3645" s="4" t="str">
        <f t="shared" si="336"/>
        <v>2025-08</v>
      </c>
      <c r="G3645" s="18">
        <f t="shared" si="337"/>
        <v>33</v>
      </c>
      <c r="H3645" t="str">
        <f t="shared" si="338"/>
        <v xml:space="preserve">MARCUS VINICIUS </v>
      </c>
      <c r="I3645" t="str">
        <f t="shared" si="339"/>
        <v>PROMEL IND COM IMP E EXP DE PRODS NATURAIS LTDA</v>
      </c>
      <c r="J3645">
        <f t="shared" si="340"/>
        <v>0</v>
      </c>
      <c r="K3645">
        <f t="shared" si="341"/>
        <v>1</v>
      </c>
    </row>
    <row r="3646" spans="1:11" x14ac:dyDescent="0.25">
      <c r="A3646" t="s">
        <v>311</v>
      </c>
      <c r="B3646" t="s">
        <v>81</v>
      </c>
      <c r="C3646" t="s">
        <v>50</v>
      </c>
      <c r="D3646" s="6">
        <v>45881</v>
      </c>
      <c r="E3646" t="str">
        <f>VLOOKUP(B3646,'PROCV GERENTES BD'!A:B,2,0)</f>
        <v>CELIO PIMENTA</v>
      </c>
      <c r="F3646" s="4" t="str">
        <f t="shared" si="336"/>
        <v>2025-08</v>
      </c>
      <c r="G3646" s="18">
        <f t="shared" si="337"/>
        <v>33</v>
      </c>
      <c r="H3646" t="str">
        <f t="shared" si="338"/>
        <v>CELIO PIMENTA</v>
      </c>
      <c r="I3646" t="str">
        <f t="shared" si="339"/>
        <v>MBIOLOG DIAGNOSTICOS LTDA</v>
      </c>
      <c r="J3646">
        <f t="shared" si="340"/>
        <v>0</v>
      </c>
      <c r="K3646">
        <f t="shared" si="341"/>
        <v>1</v>
      </c>
    </row>
    <row r="3647" spans="1:11" x14ac:dyDescent="0.25">
      <c r="A3647" t="s">
        <v>319</v>
      </c>
      <c r="B3647" t="s">
        <v>649</v>
      </c>
      <c r="C3647" t="s">
        <v>50</v>
      </c>
      <c r="D3647" s="6">
        <v>45881</v>
      </c>
      <c r="E3647" t="str">
        <f>VLOOKUP(B3647,'PROCV GERENTES BD'!A:B,2,0)</f>
        <v>CELIO PIMENTA</v>
      </c>
      <c r="F3647" s="4" t="str">
        <f t="shared" si="336"/>
        <v>2025-08</v>
      </c>
      <c r="G3647" s="18">
        <f t="shared" si="337"/>
        <v>33</v>
      </c>
      <c r="H3647" t="str">
        <f t="shared" si="338"/>
        <v>CELIO PIMENTA</v>
      </c>
      <c r="I3647" t="str">
        <f t="shared" si="339"/>
        <v>IMPORTEXTIL ASSESSORIA EMPRESARIAL LTDA</v>
      </c>
      <c r="J3647">
        <f t="shared" si="340"/>
        <v>0</v>
      </c>
      <c r="K3647">
        <f t="shared" si="341"/>
        <v>1</v>
      </c>
    </row>
    <row r="3648" spans="1:11" x14ac:dyDescent="0.25">
      <c r="A3648" t="s">
        <v>326</v>
      </c>
      <c r="B3648" t="s">
        <v>122</v>
      </c>
      <c r="C3648" t="s">
        <v>50</v>
      </c>
      <c r="D3648" s="6">
        <v>45881</v>
      </c>
      <c r="E3648" t="str">
        <f>VLOOKUP(B3648,'PROCV GERENTES BD'!A:B,2,0)</f>
        <v xml:space="preserve">ROGERIO </v>
      </c>
      <c r="F3648" s="4" t="str">
        <f t="shared" si="336"/>
        <v>2025-08</v>
      </c>
      <c r="G3648" s="18">
        <f t="shared" si="337"/>
        <v>33</v>
      </c>
      <c r="H3648" t="str">
        <f t="shared" si="338"/>
        <v xml:space="preserve">ROGERIO </v>
      </c>
      <c r="I3648" t="str">
        <f t="shared" si="339"/>
        <v>BIBE PRODUTOS INFANTIS LTDA</v>
      </c>
      <c r="J3648">
        <f t="shared" si="340"/>
        <v>0</v>
      </c>
      <c r="K3648">
        <f t="shared" si="341"/>
        <v>1</v>
      </c>
    </row>
    <row r="3649" spans="1:11" x14ac:dyDescent="0.25">
      <c r="A3649" t="s">
        <v>529</v>
      </c>
      <c r="B3649" t="s">
        <v>297</v>
      </c>
      <c r="C3649" t="s">
        <v>50</v>
      </c>
      <c r="D3649" s="6">
        <v>45882</v>
      </c>
      <c r="E3649" t="str">
        <f>VLOOKUP(B3649,'PROCV GERENTES BD'!A:B,2,0)</f>
        <v>ANDRE CUNHA</v>
      </c>
      <c r="F3649" s="4" t="str">
        <f t="shared" si="336"/>
        <v>2025-08</v>
      </c>
      <c r="G3649" s="18">
        <f t="shared" si="337"/>
        <v>33</v>
      </c>
      <c r="H3649" t="str">
        <f t="shared" si="338"/>
        <v>ANDRE CUNHA</v>
      </c>
      <c r="I3649" t="str">
        <f t="shared" si="339"/>
        <v>REVPACK TECNOLOGIA E COMERCIO DE COMPONENTES PLAST</v>
      </c>
      <c r="J3649">
        <f t="shared" si="340"/>
        <v>0</v>
      </c>
      <c r="K3649">
        <f t="shared" si="341"/>
        <v>1</v>
      </c>
    </row>
    <row r="3650" spans="1:11" x14ac:dyDescent="0.25">
      <c r="A3650" t="s">
        <v>373</v>
      </c>
      <c r="B3650" t="s">
        <v>117</v>
      </c>
      <c r="C3650" t="s">
        <v>50</v>
      </c>
      <c r="D3650" s="6">
        <v>45882</v>
      </c>
      <c r="E3650" t="str">
        <f>VLOOKUP(B3650,'PROCV GERENTES BD'!A:B,2,0)</f>
        <v>ADMINISTRAÇÃO</v>
      </c>
      <c r="F3650" s="4" t="str">
        <f t="shared" ref="F3650:F3713" si="342">YEAR(D3650)&amp;"-"&amp;TEXT(MONTH(D3650),"00")</f>
        <v>2025-08</v>
      </c>
      <c r="G3650" s="18">
        <f t="shared" ref="G3650:G3713" si="343">WEEKNUM(D3650)</f>
        <v>33</v>
      </c>
      <c r="H3650" t="str">
        <f t="shared" ref="H3650:H3713" si="344">E3650</f>
        <v>ADMINISTRAÇÃO</v>
      </c>
      <c r="I3650" t="str">
        <f t="shared" ref="I3650:I3713" si="345">B3650</f>
        <v>VIVAN TRANSPORTES LTDA</v>
      </c>
      <c r="J3650">
        <f t="shared" ref="J3650:J3713" si="346">IF(OR(C3650="EXCLUSAO  ANOT.INADIMPLENCIA",C3650="INCL/EXCL ANOT.INADIMPLENCIA"),1,0)</f>
        <v>0</v>
      </c>
      <c r="K3650">
        <f t="shared" ref="K3650:K3713" si="347">IF(OR(C3650="INCLUSAO  ANOT.INADIMPLENCIA",C3650="INCL/EXCL ANOT.INADIMPLENCIA"),1,0)</f>
        <v>1</v>
      </c>
    </row>
    <row r="3651" spans="1:11" x14ac:dyDescent="0.25">
      <c r="A3651" t="s">
        <v>58</v>
      </c>
      <c r="B3651" t="s">
        <v>59</v>
      </c>
      <c r="C3651" t="s">
        <v>53</v>
      </c>
      <c r="D3651" s="6">
        <v>45882</v>
      </c>
      <c r="E3651" t="str">
        <f>VLOOKUP(B3651,'PROCV GERENTES BD'!A:B,2,0)</f>
        <v>ADMINISTRAÇÃO</v>
      </c>
      <c r="F3651" s="4" t="str">
        <f t="shared" si="342"/>
        <v>2025-08</v>
      </c>
      <c r="G3651" s="18">
        <f t="shared" si="343"/>
        <v>33</v>
      </c>
      <c r="H3651" t="str">
        <f t="shared" si="344"/>
        <v>ADMINISTRAÇÃO</v>
      </c>
      <c r="I3651" t="str">
        <f t="shared" si="345"/>
        <v>BIOTECH LOGISTICA LTDA</v>
      </c>
      <c r="J3651">
        <f t="shared" si="346"/>
        <v>1</v>
      </c>
      <c r="K3651">
        <f t="shared" si="347"/>
        <v>1</v>
      </c>
    </row>
    <row r="3652" spans="1:11" x14ac:dyDescent="0.25">
      <c r="A3652" t="s">
        <v>318</v>
      </c>
      <c r="B3652" t="s">
        <v>203</v>
      </c>
      <c r="C3652" t="s">
        <v>53</v>
      </c>
      <c r="D3652" s="6">
        <v>45882</v>
      </c>
      <c r="E3652" t="str">
        <f>VLOOKUP(B3652,'PROCV GERENTES BD'!A:B,2,0)</f>
        <v>JOSE ROBERTO</v>
      </c>
      <c r="F3652" s="4" t="str">
        <f t="shared" si="342"/>
        <v>2025-08</v>
      </c>
      <c r="G3652" s="18">
        <f t="shared" si="343"/>
        <v>33</v>
      </c>
      <c r="H3652" t="str">
        <f t="shared" si="344"/>
        <v>JOSE ROBERTO</v>
      </c>
      <c r="I3652" t="str">
        <f t="shared" si="345"/>
        <v>FUNDACAO DE ENSINO E PESQUISA DO SUL DE MINAS FEPE</v>
      </c>
      <c r="J3652">
        <f t="shared" si="346"/>
        <v>1</v>
      </c>
      <c r="K3652">
        <f t="shared" si="347"/>
        <v>1</v>
      </c>
    </row>
    <row r="3653" spans="1:11" x14ac:dyDescent="0.25">
      <c r="A3653" t="s">
        <v>372</v>
      </c>
      <c r="B3653" t="s">
        <v>116</v>
      </c>
      <c r="C3653" t="s">
        <v>50</v>
      </c>
      <c r="D3653" s="6">
        <v>45882</v>
      </c>
      <c r="E3653" t="str">
        <f>VLOOKUP(B3653,'PROCV GERENTES BD'!A:B,2,0)</f>
        <v>ADMINISTRAÇÃO</v>
      </c>
      <c r="F3653" s="4" t="str">
        <f t="shared" si="342"/>
        <v>2025-08</v>
      </c>
      <c r="G3653" s="18">
        <f t="shared" si="343"/>
        <v>33</v>
      </c>
      <c r="H3653" t="str">
        <f t="shared" si="344"/>
        <v>ADMINISTRAÇÃO</v>
      </c>
      <c r="I3653" t="str">
        <f t="shared" si="345"/>
        <v>PREMOLDADOS MATOSINHOS LTDA EPP</v>
      </c>
      <c r="J3653">
        <f t="shared" si="346"/>
        <v>0</v>
      </c>
      <c r="K3653">
        <f t="shared" si="347"/>
        <v>1</v>
      </c>
    </row>
    <row r="3654" spans="1:11" x14ac:dyDescent="0.25">
      <c r="A3654" t="s">
        <v>352</v>
      </c>
      <c r="B3654" t="s">
        <v>96</v>
      </c>
      <c r="C3654" t="s">
        <v>50</v>
      </c>
      <c r="D3654" s="6">
        <v>45882</v>
      </c>
      <c r="E3654" t="str">
        <f>VLOOKUP(B3654,'PROCV GERENTES BD'!A:B,2,0)</f>
        <v>POENATELA</v>
      </c>
      <c r="F3654" s="4" t="str">
        <f t="shared" si="342"/>
        <v>2025-08</v>
      </c>
      <c r="G3654" s="18">
        <f t="shared" si="343"/>
        <v>33</v>
      </c>
      <c r="H3654" t="str">
        <f t="shared" si="344"/>
        <v>POENATELA</v>
      </c>
      <c r="I3654" t="str">
        <f t="shared" si="345"/>
        <v>SUPER HARD TECNOLOGIA EM TRATAMENTO DE SUPERFICIES</v>
      </c>
      <c r="J3654">
        <f t="shared" si="346"/>
        <v>0</v>
      </c>
      <c r="K3654">
        <f t="shared" si="347"/>
        <v>1</v>
      </c>
    </row>
    <row r="3655" spans="1:11" x14ac:dyDescent="0.25">
      <c r="A3655" t="s">
        <v>604</v>
      </c>
      <c r="B3655" t="s">
        <v>605</v>
      </c>
      <c r="C3655" t="s">
        <v>50</v>
      </c>
      <c r="D3655" s="6">
        <v>45882</v>
      </c>
      <c r="E3655" t="str">
        <f>VLOOKUP(B3655,'PROCV GERENTES BD'!A:B,2,0)</f>
        <v>ALISSON DE SOUZA LIMA</v>
      </c>
      <c r="F3655" s="4" t="str">
        <f t="shared" si="342"/>
        <v>2025-08</v>
      </c>
      <c r="G3655" s="18">
        <f t="shared" si="343"/>
        <v>33</v>
      </c>
      <c r="H3655" t="str">
        <f t="shared" si="344"/>
        <v>ALISSON DE SOUZA LIMA</v>
      </c>
      <c r="I3655" t="str">
        <f t="shared" si="345"/>
        <v>3J FUNDICAO INDUSTRIAL LTDA</v>
      </c>
      <c r="J3655">
        <f t="shared" si="346"/>
        <v>0</v>
      </c>
      <c r="K3655">
        <f t="shared" si="347"/>
        <v>1</v>
      </c>
    </row>
    <row r="3656" spans="1:11" x14ac:dyDescent="0.25">
      <c r="A3656" t="s">
        <v>62</v>
      </c>
      <c r="B3656" t="s">
        <v>63</v>
      </c>
      <c r="C3656" t="s">
        <v>50</v>
      </c>
      <c r="D3656" s="6">
        <v>45882</v>
      </c>
      <c r="E3656" t="str">
        <f>VLOOKUP(B3656,'PROCV GERENTES BD'!A:B,2,0)</f>
        <v>PROSPECTAR</v>
      </c>
      <c r="F3656" s="4" t="str">
        <f t="shared" si="342"/>
        <v>2025-08</v>
      </c>
      <c r="G3656" s="18">
        <f t="shared" si="343"/>
        <v>33</v>
      </c>
      <c r="H3656" t="str">
        <f t="shared" si="344"/>
        <v>PROSPECTAR</v>
      </c>
      <c r="I3656" t="str">
        <f t="shared" si="345"/>
        <v>MAPP COM IMPORTACAO EXPORTACAO IND PRODUTOS ALIMEN</v>
      </c>
      <c r="J3656">
        <f t="shared" si="346"/>
        <v>0</v>
      </c>
      <c r="K3656">
        <f t="shared" si="347"/>
        <v>1</v>
      </c>
    </row>
    <row r="3657" spans="1:11" x14ac:dyDescent="0.25">
      <c r="A3657" t="s">
        <v>630</v>
      </c>
      <c r="B3657" t="s">
        <v>559</v>
      </c>
      <c r="C3657" t="s">
        <v>53</v>
      </c>
      <c r="D3657" s="6">
        <v>45882</v>
      </c>
      <c r="E3657" t="str">
        <f>VLOOKUP(B3657,'PROCV GERENTES BD'!A:B,2,0)</f>
        <v>ALISSON DE SOUZA LIMA</v>
      </c>
      <c r="F3657" s="4" t="str">
        <f t="shared" si="342"/>
        <v>2025-08</v>
      </c>
      <c r="G3657" s="18">
        <f t="shared" si="343"/>
        <v>33</v>
      </c>
      <c r="H3657" t="str">
        <f t="shared" si="344"/>
        <v>ALISSON DE SOUZA LIMA</v>
      </c>
      <c r="I3657" t="str">
        <f t="shared" si="345"/>
        <v>JRG SOLUCOES INDUSTRIAIS LTDA</v>
      </c>
      <c r="J3657">
        <f t="shared" si="346"/>
        <v>1</v>
      </c>
      <c r="K3657">
        <f t="shared" si="347"/>
        <v>1</v>
      </c>
    </row>
    <row r="3658" spans="1:11" x14ac:dyDescent="0.25">
      <c r="A3658" t="s">
        <v>370</v>
      </c>
      <c r="B3658" t="s">
        <v>114</v>
      </c>
      <c r="C3658" t="s">
        <v>50</v>
      </c>
      <c r="D3658" s="6">
        <v>45882</v>
      </c>
      <c r="E3658" t="str">
        <f>VLOOKUP(B3658,'PROCV GERENTES BD'!A:B,2,0)</f>
        <v>POENATELA</v>
      </c>
      <c r="F3658" s="4" t="str">
        <f t="shared" si="342"/>
        <v>2025-08</v>
      </c>
      <c r="G3658" s="18">
        <f t="shared" si="343"/>
        <v>33</v>
      </c>
      <c r="H3658" t="str">
        <f t="shared" si="344"/>
        <v>POENATELA</v>
      </c>
      <c r="I3658" t="str">
        <f t="shared" si="345"/>
        <v>COOPERATIVA TRANSP AUTON CARGAS PASSAG SERVICOS LO</v>
      </c>
      <c r="J3658">
        <f t="shared" si="346"/>
        <v>0</v>
      </c>
      <c r="K3658">
        <f t="shared" si="347"/>
        <v>1</v>
      </c>
    </row>
    <row r="3659" spans="1:11" x14ac:dyDescent="0.25">
      <c r="A3659" t="s">
        <v>465</v>
      </c>
      <c r="B3659" t="s">
        <v>222</v>
      </c>
      <c r="C3659" t="s">
        <v>50</v>
      </c>
      <c r="D3659" s="6">
        <v>45882</v>
      </c>
      <c r="E3659" t="str">
        <f>VLOOKUP(B3659,'PROCV GERENTES BD'!A:B,2,0)</f>
        <v>ADMINISTRAÇÃO</v>
      </c>
      <c r="F3659" s="4" t="str">
        <f t="shared" si="342"/>
        <v>2025-08</v>
      </c>
      <c r="G3659" s="18">
        <f t="shared" si="343"/>
        <v>33</v>
      </c>
      <c r="H3659" t="str">
        <f t="shared" si="344"/>
        <v>ADMINISTRAÇÃO</v>
      </c>
      <c r="I3659" t="str">
        <f t="shared" si="345"/>
        <v>CF COMEX IMPORTACAO EQUIPAMENTOS E SERVICOS LTDA</v>
      </c>
      <c r="J3659">
        <f t="shared" si="346"/>
        <v>0</v>
      </c>
      <c r="K3659">
        <f t="shared" si="347"/>
        <v>1</v>
      </c>
    </row>
    <row r="3660" spans="1:11" x14ac:dyDescent="0.25">
      <c r="A3660" t="s">
        <v>655</v>
      </c>
      <c r="B3660" t="s">
        <v>548</v>
      </c>
      <c r="C3660" t="s">
        <v>50</v>
      </c>
      <c r="D3660" s="6">
        <v>45882</v>
      </c>
      <c r="E3660" t="str">
        <f>VLOOKUP(B3660,'PROCV GERENTES BD'!A:B,2,0)</f>
        <v xml:space="preserve">ROGERIO </v>
      </c>
      <c r="F3660" s="4" t="str">
        <f t="shared" si="342"/>
        <v>2025-08</v>
      </c>
      <c r="G3660" s="18">
        <f t="shared" si="343"/>
        <v>33</v>
      </c>
      <c r="H3660" t="str">
        <f t="shared" si="344"/>
        <v xml:space="preserve">ROGERIO </v>
      </c>
      <c r="I3660" t="str">
        <f t="shared" si="345"/>
        <v>AGROEP PISCICULTURA LTDA ME</v>
      </c>
      <c r="J3660">
        <f t="shared" si="346"/>
        <v>0</v>
      </c>
      <c r="K3660">
        <f t="shared" si="347"/>
        <v>1</v>
      </c>
    </row>
    <row r="3661" spans="1:11" x14ac:dyDescent="0.25">
      <c r="A3661" t="s">
        <v>314</v>
      </c>
      <c r="B3661" t="s">
        <v>246</v>
      </c>
      <c r="C3661" t="s">
        <v>50</v>
      </c>
      <c r="D3661" s="6">
        <v>45882</v>
      </c>
      <c r="E3661" t="str">
        <f>VLOOKUP(B3661,'PROCV GERENTES BD'!A:B,2,0)</f>
        <v xml:space="preserve">ROGERIO </v>
      </c>
      <c r="F3661" s="4" t="str">
        <f t="shared" si="342"/>
        <v>2025-08</v>
      </c>
      <c r="G3661" s="18">
        <f t="shared" si="343"/>
        <v>33</v>
      </c>
      <c r="H3661" t="str">
        <f t="shared" si="344"/>
        <v xml:space="preserve">ROGERIO </v>
      </c>
      <c r="I3661" t="str">
        <f t="shared" si="345"/>
        <v>MUTCD CENTRO DE DISTRIBUICAO DE IND FABRICANTE DE</v>
      </c>
      <c r="J3661">
        <f t="shared" si="346"/>
        <v>0</v>
      </c>
      <c r="K3661">
        <f t="shared" si="347"/>
        <v>1</v>
      </c>
    </row>
    <row r="3662" spans="1:11" x14ac:dyDescent="0.25">
      <c r="A3662" t="s">
        <v>460</v>
      </c>
      <c r="B3662" t="s">
        <v>217</v>
      </c>
      <c r="C3662" t="s">
        <v>50</v>
      </c>
      <c r="D3662" s="6">
        <v>45882</v>
      </c>
      <c r="E3662" t="str">
        <f>VLOOKUP(B3662,'PROCV GERENTES BD'!A:B,2,0)</f>
        <v>CELIO PIMENTA</v>
      </c>
      <c r="F3662" s="4" t="str">
        <f t="shared" si="342"/>
        <v>2025-08</v>
      </c>
      <c r="G3662" s="18">
        <f t="shared" si="343"/>
        <v>33</v>
      </c>
      <c r="H3662" t="str">
        <f t="shared" si="344"/>
        <v>CELIO PIMENTA</v>
      </c>
      <c r="I3662" t="str">
        <f t="shared" si="345"/>
        <v>MINAS CLEAN DISTRIBUIDORA DE PRODUTOS PARA LIMPEZA</v>
      </c>
      <c r="J3662">
        <f t="shared" si="346"/>
        <v>0</v>
      </c>
      <c r="K3662">
        <f t="shared" si="347"/>
        <v>1</v>
      </c>
    </row>
    <row r="3663" spans="1:11" x14ac:dyDescent="0.25">
      <c r="A3663" t="s">
        <v>490</v>
      </c>
      <c r="B3663" t="s">
        <v>248</v>
      </c>
      <c r="C3663" t="s">
        <v>50</v>
      </c>
      <c r="D3663" s="6">
        <v>45882</v>
      </c>
      <c r="E3663" t="str">
        <f>VLOOKUP(B3663,'PROCV GERENTES BD'!A:B,2,0)</f>
        <v>PROSPECTAR</v>
      </c>
      <c r="F3663" s="4" t="str">
        <f t="shared" si="342"/>
        <v>2025-08</v>
      </c>
      <c r="G3663" s="18">
        <f t="shared" si="343"/>
        <v>33</v>
      </c>
      <c r="H3663" t="str">
        <f t="shared" si="344"/>
        <v>PROSPECTAR</v>
      </c>
      <c r="I3663" t="str">
        <f t="shared" si="345"/>
        <v>PRODUTOS PORTEIRAO COM DIST E REP LTDA EPP</v>
      </c>
      <c r="J3663">
        <f t="shared" si="346"/>
        <v>0</v>
      </c>
      <c r="K3663">
        <f t="shared" si="347"/>
        <v>1</v>
      </c>
    </row>
    <row r="3664" spans="1:11" x14ac:dyDescent="0.25">
      <c r="A3664" t="s">
        <v>48</v>
      </c>
      <c r="B3664" t="s">
        <v>49</v>
      </c>
      <c r="C3664" t="s">
        <v>66</v>
      </c>
      <c r="D3664" s="6">
        <v>45883</v>
      </c>
      <c r="E3664" t="str">
        <f>VLOOKUP(B3664,'PROCV GERENTES BD'!A:B,2,0)</f>
        <v xml:space="preserve">MARCUS VINICIUS </v>
      </c>
      <c r="F3664" s="4" t="str">
        <f t="shared" si="342"/>
        <v>2025-08</v>
      </c>
      <c r="G3664" s="18">
        <f t="shared" si="343"/>
        <v>33</v>
      </c>
      <c r="H3664" t="str">
        <f t="shared" si="344"/>
        <v xml:space="preserve">MARCUS VINICIUS </v>
      </c>
      <c r="I3664" t="str">
        <f t="shared" si="345"/>
        <v>PROMEL IND COM IMP E EXP DE PRODS NATURAIS LTDA</v>
      </c>
      <c r="J3664">
        <f t="shared" si="346"/>
        <v>1</v>
      </c>
      <c r="K3664">
        <f t="shared" si="347"/>
        <v>0</v>
      </c>
    </row>
    <row r="3665" spans="1:11" x14ac:dyDescent="0.25">
      <c r="A3665" t="s">
        <v>523</v>
      </c>
      <c r="B3665" t="s">
        <v>288</v>
      </c>
      <c r="C3665" t="s">
        <v>66</v>
      </c>
      <c r="D3665" s="6">
        <v>45883</v>
      </c>
      <c r="E3665" t="str">
        <f>VLOOKUP(B3665,'PROCV GERENTES BD'!A:B,2,0)</f>
        <v>ADMINISTRAÇÃO</v>
      </c>
      <c r="F3665" s="4" t="str">
        <f t="shared" si="342"/>
        <v>2025-08</v>
      </c>
      <c r="G3665" s="18">
        <f t="shared" si="343"/>
        <v>33</v>
      </c>
      <c r="H3665" t="str">
        <f t="shared" si="344"/>
        <v>ADMINISTRAÇÃO</v>
      </c>
      <c r="I3665" t="str">
        <f t="shared" si="345"/>
        <v>REFRACONT BRASIL LTDA</v>
      </c>
      <c r="J3665">
        <f t="shared" si="346"/>
        <v>1</v>
      </c>
      <c r="K3665">
        <f t="shared" si="347"/>
        <v>0</v>
      </c>
    </row>
    <row r="3666" spans="1:11" x14ac:dyDescent="0.25">
      <c r="A3666" t="s">
        <v>305</v>
      </c>
      <c r="B3666" t="s">
        <v>141</v>
      </c>
      <c r="C3666" t="s">
        <v>50</v>
      </c>
      <c r="D3666" s="6">
        <v>45883</v>
      </c>
      <c r="E3666" t="str">
        <f>VLOOKUP(B3666,'PROCV GERENTES BD'!A:B,2,0)</f>
        <v>NOELI SALETE</v>
      </c>
      <c r="F3666" s="4" t="str">
        <f t="shared" si="342"/>
        <v>2025-08</v>
      </c>
      <c r="G3666" s="18">
        <f t="shared" si="343"/>
        <v>33</v>
      </c>
      <c r="H3666" t="str">
        <f t="shared" si="344"/>
        <v>NOELI SALETE</v>
      </c>
      <c r="I3666" t="str">
        <f t="shared" si="345"/>
        <v>JMS EMBALAGENS INDUSTRIAIS LTDA</v>
      </c>
      <c r="J3666">
        <f t="shared" si="346"/>
        <v>0</v>
      </c>
      <c r="K3666">
        <f t="shared" si="347"/>
        <v>1</v>
      </c>
    </row>
    <row r="3667" spans="1:11" x14ac:dyDescent="0.25">
      <c r="A3667" t="s">
        <v>656</v>
      </c>
      <c r="B3667" t="s">
        <v>657</v>
      </c>
      <c r="C3667" t="s">
        <v>71</v>
      </c>
      <c r="D3667" s="6">
        <v>45883</v>
      </c>
      <c r="E3667" t="str">
        <f>VLOOKUP(B3667,'PROCV GERENTES BD'!A:B,2,0)</f>
        <v>ADMINISTRAÇÃO</v>
      </c>
      <c r="F3667" s="4" t="str">
        <f t="shared" si="342"/>
        <v>2025-08</v>
      </c>
      <c r="G3667" s="18">
        <f t="shared" si="343"/>
        <v>33</v>
      </c>
      <c r="H3667" t="str">
        <f t="shared" si="344"/>
        <v>ADMINISTRAÇÃO</v>
      </c>
      <c r="I3667" t="str">
        <f t="shared" si="345"/>
        <v>NCBA INTERMEDIACAO LTDA ME</v>
      </c>
      <c r="J3667">
        <f t="shared" si="346"/>
        <v>0</v>
      </c>
      <c r="K3667">
        <f t="shared" si="347"/>
        <v>0</v>
      </c>
    </row>
    <row r="3668" spans="1:11" x14ac:dyDescent="0.25">
      <c r="A3668" t="s">
        <v>415</v>
      </c>
      <c r="B3668" t="s">
        <v>165</v>
      </c>
      <c r="C3668" t="s">
        <v>50</v>
      </c>
      <c r="D3668" s="6">
        <v>45883</v>
      </c>
      <c r="E3668" t="str">
        <f>VLOOKUP(B3668,'PROCV GERENTES BD'!A:B,2,0)</f>
        <v>PROSPECTAR</v>
      </c>
      <c r="F3668" s="4" t="str">
        <f t="shared" si="342"/>
        <v>2025-08</v>
      </c>
      <c r="G3668" s="18">
        <f t="shared" si="343"/>
        <v>33</v>
      </c>
      <c r="H3668" t="str">
        <f t="shared" si="344"/>
        <v>PROSPECTAR</v>
      </c>
      <c r="I3668" t="str">
        <f t="shared" si="345"/>
        <v>STA SERVICOS LTDA</v>
      </c>
      <c r="J3668">
        <f t="shared" si="346"/>
        <v>0</v>
      </c>
      <c r="K3668">
        <f t="shared" si="347"/>
        <v>1</v>
      </c>
    </row>
    <row r="3669" spans="1:11" x14ac:dyDescent="0.25">
      <c r="A3669" t="s">
        <v>51</v>
      </c>
      <c r="B3669" t="s">
        <v>52</v>
      </c>
      <c r="C3669" t="s">
        <v>50</v>
      </c>
      <c r="D3669" s="6">
        <v>45883</v>
      </c>
      <c r="E3669" t="str">
        <f>VLOOKUP(B3669,'PROCV GERENTES BD'!A:B,2,0)</f>
        <v>RAFAEL PARISE</v>
      </c>
      <c r="F3669" s="4" t="str">
        <f t="shared" si="342"/>
        <v>2025-08</v>
      </c>
      <c r="G3669" s="18">
        <f t="shared" si="343"/>
        <v>33</v>
      </c>
      <c r="H3669" t="str">
        <f t="shared" si="344"/>
        <v>RAFAEL PARISE</v>
      </c>
      <c r="I3669" t="str">
        <f t="shared" si="345"/>
        <v>TDR TRANSPORTES LOGISTICA LTDA</v>
      </c>
      <c r="J3669">
        <f t="shared" si="346"/>
        <v>0</v>
      </c>
      <c r="K3669">
        <f t="shared" si="347"/>
        <v>1</v>
      </c>
    </row>
    <row r="3670" spans="1:11" x14ac:dyDescent="0.25">
      <c r="A3670" t="s">
        <v>631</v>
      </c>
      <c r="B3670" t="s">
        <v>561</v>
      </c>
      <c r="C3670" t="s">
        <v>66</v>
      </c>
      <c r="D3670" s="6">
        <v>45883</v>
      </c>
      <c r="E3670" t="str">
        <f>VLOOKUP(B3670,'PROCV GERENTES BD'!A:B,2,0)</f>
        <v>VALERIA</v>
      </c>
      <c r="F3670" s="4" t="str">
        <f t="shared" si="342"/>
        <v>2025-08</v>
      </c>
      <c r="G3670" s="18">
        <f t="shared" si="343"/>
        <v>33</v>
      </c>
      <c r="H3670" t="str">
        <f t="shared" si="344"/>
        <v>VALERIA</v>
      </c>
      <c r="I3670" t="str">
        <f t="shared" si="345"/>
        <v>TRANSPORTADORA PACHECO LTDA EPP</v>
      </c>
      <c r="J3670">
        <f t="shared" si="346"/>
        <v>1</v>
      </c>
      <c r="K3670">
        <f t="shared" si="347"/>
        <v>0</v>
      </c>
    </row>
    <row r="3671" spans="1:11" x14ac:dyDescent="0.25">
      <c r="A3671" t="s">
        <v>317</v>
      </c>
      <c r="B3671" t="s">
        <v>280</v>
      </c>
      <c r="C3671" t="s">
        <v>66</v>
      </c>
      <c r="D3671" s="6">
        <v>45883</v>
      </c>
      <c r="E3671" t="str">
        <f>VLOOKUP(B3671,'PROCV GERENTES BD'!A:B,2,0)</f>
        <v>PROSPECTAR</v>
      </c>
      <c r="F3671" s="4" t="str">
        <f t="shared" si="342"/>
        <v>2025-08</v>
      </c>
      <c r="G3671" s="18">
        <f t="shared" si="343"/>
        <v>33</v>
      </c>
      <c r="H3671" t="str">
        <f t="shared" si="344"/>
        <v>PROSPECTAR</v>
      </c>
      <c r="I3671" t="str">
        <f t="shared" si="345"/>
        <v>STA TECHCANA LTDA</v>
      </c>
      <c r="J3671">
        <f t="shared" si="346"/>
        <v>1</v>
      </c>
      <c r="K3671">
        <f t="shared" si="347"/>
        <v>0</v>
      </c>
    </row>
    <row r="3672" spans="1:11" x14ac:dyDescent="0.25">
      <c r="A3672" t="s">
        <v>604</v>
      </c>
      <c r="B3672" t="s">
        <v>605</v>
      </c>
      <c r="C3672" t="s">
        <v>50</v>
      </c>
      <c r="D3672" s="6">
        <v>45883</v>
      </c>
      <c r="E3672" t="str">
        <f>VLOOKUP(B3672,'PROCV GERENTES BD'!A:B,2,0)</f>
        <v>ALISSON DE SOUZA LIMA</v>
      </c>
      <c r="F3672" s="4" t="str">
        <f t="shared" si="342"/>
        <v>2025-08</v>
      </c>
      <c r="G3672" s="18">
        <f t="shared" si="343"/>
        <v>33</v>
      </c>
      <c r="H3672" t="str">
        <f t="shared" si="344"/>
        <v>ALISSON DE SOUZA LIMA</v>
      </c>
      <c r="I3672" t="str">
        <f t="shared" si="345"/>
        <v>3J FUNDICAO INDUSTRIAL LTDA</v>
      </c>
      <c r="J3672">
        <f t="shared" si="346"/>
        <v>0</v>
      </c>
      <c r="K3672">
        <f t="shared" si="347"/>
        <v>1</v>
      </c>
    </row>
    <row r="3673" spans="1:11" x14ac:dyDescent="0.25">
      <c r="A3673" t="s">
        <v>64</v>
      </c>
      <c r="B3673" t="s">
        <v>65</v>
      </c>
      <c r="C3673" t="s">
        <v>50</v>
      </c>
      <c r="D3673" s="6">
        <v>45883</v>
      </c>
      <c r="E3673" t="str">
        <f>VLOOKUP(B3673,'PROCV GERENTES BD'!A:B,2,0)</f>
        <v>ADMINISTRAÇÃO</v>
      </c>
      <c r="F3673" s="4" t="str">
        <f t="shared" si="342"/>
        <v>2025-08</v>
      </c>
      <c r="G3673" s="18">
        <f t="shared" si="343"/>
        <v>33</v>
      </c>
      <c r="H3673" t="str">
        <f t="shared" si="344"/>
        <v>ADMINISTRAÇÃO</v>
      </c>
      <c r="I3673" t="str">
        <f t="shared" si="345"/>
        <v>SOCIAL S/A</v>
      </c>
      <c r="J3673">
        <f t="shared" si="346"/>
        <v>0</v>
      </c>
      <c r="K3673">
        <f t="shared" si="347"/>
        <v>1</v>
      </c>
    </row>
    <row r="3674" spans="1:11" x14ac:dyDescent="0.25">
      <c r="A3674" t="s">
        <v>655</v>
      </c>
      <c r="B3674" t="s">
        <v>548</v>
      </c>
      <c r="C3674" t="s">
        <v>66</v>
      </c>
      <c r="D3674" s="6">
        <v>45883</v>
      </c>
      <c r="E3674" t="str">
        <f>VLOOKUP(B3674,'PROCV GERENTES BD'!A:B,2,0)</f>
        <v xml:space="preserve">ROGERIO </v>
      </c>
      <c r="F3674" s="4" t="str">
        <f t="shared" si="342"/>
        <v>2025-08</v>
      </c>
      <c r="G3674" s="18">
        <f t="shared" si="343"/>
        <v>33</v>
      </c>
      <c r="H3674" t="str">
        <f t="shared" si="344"/>
        <v xml:space="preserve">ROGERIO </v>
      </c>
      <c r="I3674" t="str">
        <f t="shared" si="345"/>
        <v>AGROEP PISCICULTURA LTDA ME</v>
      </c>
      <c r="J3674">
        <f t="shared" si="346"/>
        <v>1</v>
      </c>
      <c r="K3674">
        <f t="shared" si="347"/>
        <v>0</v>
      </c>
    </row>
    <row r="3675" spans="1:11" x14ac:dyDescent="0.25">
      <c r="A3675" t="s">
        <v>490</v>
      </c>
      <c r="B3675" t="s">
        <v>248</v>
      </c>
      <c r="C3675" t="s">
        <v>50</v>
      </c>
      <c r="D3675" s="6">
        <v>45883</v>
      </c>
      <c r="E3675" t="str">
        <f>VLOOKUP(B3675,'PROCV GERENTES BD'!A:B,2,0)</f>
        <v>PROSPECTAR</v>
      </c>
      <c r="F3675" s="4" t="str">
        <f t="shared" si="342"/>
        <v>2025-08</v>
      </c>
      <c r="G3675" s="18">
        <f t="shared" si="343"/>
        <v>33</v>
      </c>
      <c r="H3675" t="str">
        <f t="shared" si="344"/>
        <v>PROSPECTAR</v>
      </c>
      <c r="I3675" t="str">
        <f t="shared" si="345"/>
        <v>PRODUTOS PORTEIRAO COM DIST E REP LTDA EPP</v>
      </c>
      <c r="J3675">
        <f t="shared" si="346"/>
        <v>0</v>
      </c>
      <c r="K3675">
        <f t="shared" si="347"/>
        <v>1</v>
      </c>
    </row>
    <row r="3676" spans="1:11" x14ac:dyDescent="0.25">
      <c r="A3676" t="s">
        <v>326</v>
      </c>
      <c r="B3676" t="s">
        <v>122</v>
      </c>
      <c r="C3676" t="s">
        <v>50</v>
      </c>
      <c r="D3676" s="6">
        <v>45883</v>
      </c>
      <c r="E3676" t="str">
        <f>VLOOKUP(B3676,'PROCV GERENTES BD'!A:B,2,0)</f>
        <v xml:space="preserve">ROGERIO </v>
      </c>
      <c r="F3676" s="4" t="str">
        <f t="shared" si="342"/>
        <v>2025-08</v>
      </c>
      <c r="G3676" s="18">
        <f t="shared" si="343"/>
        <v>33</v>
      </c>
      <c r="H3676" t="str">
        <f t="shared" si="344"/>
        <v xml:space="preserve">ROGERIO </v>
      </c>
      <c r="I3676" t="str">
        <f t="shared" si="345"/>
        <v>BIBE PRODUTOS INFANTIS LTDA</v>
      </c>
      <c r="J3676">
        <f t="shared" si="346"/>
        <v>0</v>
      </c>
      <c r="K3676">
        <f t="shared" si="347"/>
        <v>1</v>
      </c>
    </row>
    <row r="3677" spans="1:11" x14ac:dyDescent="0.25">
      <c r="A3677" t="s">
        <v>529</v>
      </c>
      <c r="B3677" t="s">
        <v>297</v>
      </c>
      <c r="C3677" t="s">
        <v>66</v>
      </c>
      <c r="D3677" s="6">
        <v>45884</v>
      </c>
      <c r="E3677" t="str">
        <f>VLOOKUP(B3677,'PROCV GERENTES BD'!A:B,2,0)</f>
        <v>ANDRE CUNHA</v>
      </c>
      <c r="F3677" s="4" t="str">
        <f t="shared" si="342"/>
        <v>2025-08</v>
      </c>
      <c r="G3677" s="18">
        <f t="shared" si="343"/>
        <v>33</v>
      </c>
      <c r="H3677" t="str">
        <f t="shared" si="344"/>
        <v>ANDRE CUNHA</v>
      </c>
      <c r="I3677" t="str">
        <f t="shared" si="345"/>
        <v>REVPACK TECNOLOGIA E COMERCIO DE COMPONENTES PLAST</v>
      </c>
      <c r="J3677">
        <f t="shared" si="346"/>
        <v>1</v>
      </c>
      <c r="K3677">
        <f t="shared" si="347"/>
        <v>0</v>
      </c>
    </row>
    <row r="3678" spans="1:11" x14ac:dyDescent="0.25">
      <c r="A3678" t="s">
        <v>442</v>
      </c>
      <c r="B3678" t="s">
        <v>193</v>
      </c>
      <c r="C3678" t="s">
        <v>50</v>
      </c>
      <c r="D3678" s="6">
        <v>45884</v>
      </c>
      <c r="E3678" t="str">
        <f>VLOOKUP(B3678,'PROCV GERENTES BD'!A:B,2,0)</f>
        <v>CELIO PIMENTA</v>
      </c>
      <c r="F3678" s="4" t="str">
        <f t="shared" si="342"/>
        <v>2025-08</v>
      </c>
      <c r="G3678" s="18">
        <f t="shared" si="343"/>
        <v>33</v>
      </c>
      <c r="H3678" t="str">
        <f t="shared" si="344"/>
        <v>CELIO PIMENTA</v>
      </c>
      <c r="I3678" t="str">
        <f t="shared" si="345"/>
        <v>CIA TEXTIL LTDA ME</v>
      </c>
      <c r="J3678">
        <f t="shared" si="346"/>
        <v>0</v>
      </c>
      <c r="K3678">
        <f t="shared" si="347"/>
        <v>1</v>
      </c>
    </row>
    <row r="3679" spans="1:11" x14ac:dyDescent="0.25">
      <c r="A3679" t="s">
        <v>64</v>
      </c>
      <c r="B3679" t="s">
        <v>65</v>
      </c>
      <c r="C3679" t="s">
        <v>50</v>
      </c>
      <c r="D3679" s="6">
        <v>45884</v>
      </c>
      <c r="E3679" t="str">
        <f>VLOOKUP(B3679,'PROCV GERENTES BD'!A:B,2,0)</f>
        <v>ADMINISTRAÇÃO</v>
      </c>
      <c r="F3679" s="4" t="str">
        <f t="shared" si="342"/>
        <v>2025-08</v>
      </c>
      <c r="G3679" s="18">
        <f t="shared" si="343"/>
        <v>33</v>
      </c>
      <c r="H3679" t="str">
        <f t="shared" si="344"/>
        <v>ADMINISTRAÇÃO</v>
      </c>
      <c r="I3679" t="str">
        <f t="shared" si="345"/>
        <v>SOCIAL S/A</v>
      </c>
      <c r="J3679">
        <f t="shared" si="346"/>
        <v>0</v>
      </c>
      <c r="K3679">
        <f t="shared" si="347"/>
        <v>1</v>
      </c>
    </row>
    <row r="3680" spans="1:11" x14ac:dyDescent="0.25">
      <c r="A3680" t="s">
        <v>519</v>
      </c>
      <c r="B3680" t="s">
        <v>283</v>
      </c>
      <c r="C3680" t="s">
        <v>50</v>
      </c>
      <c r="D3680" s="6">
        <v>45884</v>
      </c>
      <c r="E3680" t="str">
        <f>VLOOKUP(B3680,'PROCV GERENTES BD'!A:B,2,0)</f>
        <v>DALVA</v>
      </c>
      <c r="F3680" s="4" t="str">
        <f t="shared" si="342"/>
        <v>2025-08</v>
      </c>
      <c r="G3680" s="18">
        <f t="shared" si="343"/>
        <v>33</v>
      </c>
      <c r="H3680" t="str">
        <f t="shared" si="344"/>
        <v>DALVA</v>
      </c>
      <c r="I3680" t="str">
        <f t="shared" si="345"/>
        <v>LTA USINAGEM LTDA EPP</v>
      </c>
      <c r="J3680">
        <f t="shared" si="346"/>
        <v>0</v>
      </c>
      <c r="K3680">
        <f t="shared" si="347"/>
        <v>1</v>
      </c>
    </row>
    <row r="3681" spans="1:11" x14ac:dyDescent="0.25">
      <c r="A3681" t="s">
        <v>604</v>
      </c>
      <c r="B3681" t="s">
        <v>605</v>
      </c>
      <c r="C3681" t="s">
        <v>50</v>
      </c>
      <c r="D3681" s="6">
        <v>45884</v>
      </c>
      <c r="E3681" t="str">
        <f>VLOOKUP(B3681,'PROCV GERENTES BD'!A:B,2,0)</f>
        <v>ALISSON DE SOUZA LIMA</v>
      </c>
      <c r="F3681" s="4" t="str">
        <f t="shared" si="342"/>
        <v>2025-08</v>
      </c>
      <c r="G3681" s="18">
        <f t="shared" si="343"/>
        <v>33</v>
      </c>
      <c r="H3681" t="str">
        <f t="shared" si="344"/>
        <v>ALISSON DE SOUZA LIMA</v>
      </c>
      <c r="I3681" t="str">
        <f t="shared" si="345"/>
        <v>3J FUNDICAO INDUSTRIAL LTDA</v>
      </c>
      <c r="J3681">
        <f t="shared" si="346"/>
        <v>0</v>
      </c>
      <c r="K3681">
        <f t="shared" si="347"/>
        <v>1</v>
      </c>
    </row>
    <row r="3682" spans="1:11" x14ac:dyDescent="0.25">
      <c r="A3682" t="s">
        <v>352</v>
      </c>
      <c r="B3682" t="s">
        <v>96</v>
      </c>
      <c r="C3682" t="s">
        <v>66</v>
      </c>
      <c r="D3682" s="6">
        <v>45884</v>
      </c>
      <c r="E3682" t="str">
        <f>VLOOKUP(B3682,'PROCV GERENTES BD'!A:B,2,0)</f>
        <v>POENATELA</v>
      </c>
      <c r="F3682" s="4" t="str">
        <f t="shared" si="342"/>
        <v>2025-08</v>
      </c>
      <c r="G3682" s="18">
        <f t="shared" si="343"/>
        <v>33</v>
      </c>
      <c r="H3682" t="str">
        <f t="shared" si="344"/>
        <v>POENATELA</v>
      </c>
      <c r="I3682" t="str">
        <f t="shared" si="345"/>
        <v>SUPER HARD TECNOLOGIA EM TRATAMENTO DE SUPERFICIES</v>
      </c>
      <c r="J3682">
        <f t="shared" si="346"/>
        <v>1</v>
      </c>
      <c r="K3682">
        <f t="shared" si="347"/>
        <v>0</v>
      </c>
    </row>
    <row r="3683" spans="1:11" x14ac:dyDescent="0.25">
      <c r="A3683" t="s">
        <v>510</v>
      </c>
      <c r="B3683" t="s">
        <v>273</v>
      </c>
      <c r="C3683" t="s">
        <v>50</v>
      </c>
      <c r="D3683" s="6">
        <v>45884</v>
      </c>
      <c r="E3683" t="str">
        <f>VLOOKUP(B3683,'PROCV GERENTES BD'!A:B,2,0)</f>
        <v>CELIO PIMENTA</v>
      </c>
      <c r="F3683" s="4" t="str">
        <f t="shared" si="342"/>
        <v>2025-08</v>
      </c>
      <c r="G3683" s="18">
        <f t="shared" si="343"/>
        <v>33</v>
      </c>
      <c r="H3683" t="str">
        <f t="shared" si="344"/>
        <v>CELIO PIMENTA</v>
      </c>
      <c r="I3683" t="str">
        <f t="shared" si="345"/>
        <v>PRADO MOREIRA TEXTIL LTDA ME</v>
      </c>
      <c r="J3683">
        <f t="shared" si="346"/>
        <v>0</v>
      </c>
      <c r="K3683">
        <f t="shared" si="347"/>
        <v>1</v>
      </c>
    </row>
    <row r="3684" spans="1:11" x14ac:dyDescent="0.25">
      <c r="A3684" t="s">
        <v>56</v>
      </c>
      <c r="B3684" t="s">
        <v>57</v>
      </c>
      <c r="C3684" t="s">
        <v>66</v>
      </c>
      <c r="D3684" s="6">
        <v>45884</v>
      </c>
      <c r="E3684" t="str">
        <f>VLOOKUP(B3684,'PROCV GERENTES BD'!A:B,2,0)</f>
        <v xml:space="preserve">ROGERIO </v>
      </c>
      <c r="F3684" s="4" t="str">
        <f t="shared" si="342"/>
        <v>2025-08</v>
      </c>
      <c r="G3684" s="18">
        <f t="shared" si="343"/>
        <v>33</v>
      </c>
      <c r="H3684" t="str">
        <f t="shared" si="344"/>
        <v xml:space="preserve">ROGERIO </v>
      </c>
      <c r="I3684" t="str">
        <f t="shared" si="345"/>
        <v>RODOVIEIRA TRANSPORTE LTDA</v>
      </c>
      <c r="J3684">
        <f t="shared" si="346"/>
        <v>1</v>
      </c>
      <c r="K3684">
        <f t="shared" si="347"/>
        <v>0</v>
      </c>
    </row>
    <row r="3685" spans="1:11" x14ac:dyDescent="0.25">
      <c r="A3685" t="s">
        <v>361</v>
      </c>
      <c r="B3685" t="s">
        <v>106</v>
      </c>
      <c r="C3685" t="s">
        <v>50</v>
      </c>
      <c r="D3685" s="6">
        <v>45884</v>
      </c>
      <c r="E3685" t="str">
        <f>VLOOKUP(B3685,'PROCV GERENTES BD'!A:B,2,0)</f>
        <v>PRISCILA METZ</v>
      </c>
      <c r="F3685" s="4" t="str">
        <f t="shared" si="342"/>
        <v>2025-08</v>
      </c>
      <c r="G3685" s="18">
        <f t="shared" si="343"/>
        <v>33</v>
      </c>
      <c r="H3685" t="str">
        <f t="shared" si="344"/>
        <v>PRISCILA METZ</v>
      </c>
      <c r="I3685" t="str">
        <f t="shared" si="345"/>
        <v>HERBAMED LABORATORIO NUTRACEUTICO LTDA</v>
      </c>
      <c r="J3685">
        <f t="shared" si="346"/>
        <v>0</v>
      </c>
      <c r="K3685">
        <f t="shared" si="347"/>
        <v>1</v>
      </c>
    </row>
    <row r="3686" spans="1:11" x14ac:dyDescent="0.25">
      <c r="A3686" t="s">
        <v>322</v>
      </c>
      <c r="B3686" t="s">
        <v>294</v>
      </c>
      <c r="C3686" t="s">
        <v>50</v>
      </c>
      <c r="D3686" s="6">
        <v>45884</v>
      </c>
      <c r="E3686" t="str">
        <f>VLOOKUP(B3686,'PROCV GERENTES BD'!A:B,2,0)</f>
        <v>CAIO</v>
      </c>
      <c r="F3686" s="4" t="str">
        <f t="shared" si="342"/>
        <v>2025-08</v>
      </c>
      <c r="G3686" s="18">
        <f t="shared" si="343"/>
        <v>33</v>
      </c>
      <c r="H3686" t="str">
        <f t="shared" si="344"/>
        <v>CAIO</v>
      </c>
      <c r="I3686" t="str">
        <f t="shared" si="345"/>
        <v>LAF COMERCIAL LTDA ME</v>
      </c>
      <c r="J3686">
        <f t="shared" si="346"/>
        <v>0</v>
      </c>
      <c r="K3686">
        <f t="shared" si="347"/>
        <v>1</v>
      </c>
    </row>
    <row r="3687" spans="1:11" x14ac:dyDescent="0.25">
      <c r="A3687" t="s">
        <v>523</v>
      </c>
      <c r="B3687" t="s">
        <v>288</v>
      </c>
      <c r="C3687" t="s">
        <v>50</v>
      </c>
      <c r="D3687" s="6">
        <v>45884</v>
      </c>
      <c r="E3687" t="str">
        <f>VLOOKUP(B3687,'PROCV GERENTES BD'!A:B,2,0)</f>
        <v>ADMINISTRAÇÃO</v>
      </c>
      <c r="F3687" s="4" t="str">
        <f t="shared" si="342"/>
        <v>2025-08</v>
      </c>
      <c r="G3687" s="18">
        <f t="shared" si="343"/>
        <v>33</v>
      </c>
      <c r="H3687" t="str">
        <f t="shared" si="344"/>
        <v>ADMINISTRAÇÃO</v>
      </c>
      <c r="I3687" t="str">
        <f t="shared" si="345"/>
        <v>REFRACONT BRASIL LTDA</v>
      </c>
      <c r="J3687">
        <f t="shared" si="346"/>
        <v>0</v>
      </c>
      <c r="K3687">
        <f t="shared" si="347"/>
        <v>1</v>
      </c>
    </row>
    <row r="3688" spans="1:11" x14ac:dyDescent="0.25">
      <c r="A3688" t="s">
        <v>48</v>
      </c>
      <c r="B3688" t="s">
        <v>49</v>
      </c>
      <c r="C3688" t="s">
        <v>66</v>
      </c>
      <c r="D3688" s="6">
        <v>45884</v>
      </c>
      <c r="E3688" t="str">
        <f>VLOOKUP(B3688,'PROCV GERENTES BD'!A:B,2,0)</f>
        <v xml:space="preserve">MARCUS VINICIUS </v>
      </c>
      <c r="F3688" s="4" t="str">
        <f t="shared" si="342"/>
        <v>2025-08</v>
      </c>
      <c r="G3688" s="18">
        <f t="shared" si="343"/>
        <v>33</v>
      </c>
      <c r="H3688" t="str">
        <f t="shared" si="344"/>
        <v xml:space="preserve">MARCUS VINICIUS </v>
      </c>
      <c r="I3688" t="str">
        <f t="shared" si="345"/>
        <v>PROMEL IND COM IMP E EXP DE PRODS NATURAIS LTDA</v>
      </c>
      <c r="J3688">
        <f t="shared" si="346"/>
        <v>1</v>
      </c>
      <c r="K3688">
        <f t="shared" si="347"/>
        <v>0</v>
      </c>
    </row>
    <row r="3689" spans="1:11" x14ac:dyDescent="0.25">
      <c r="A3689" t="s">
        <v>58</v>
      </c>
      <c r="B3689" t="s">
        <v>59</v>
      </c>
      <c r="C3689" t="s">
        <v>50</v>
      </c>
      <c r="D3689" s="6">
        <v>45884</v>
      </c>
      <c r="E3689" t="str">
        <f>VLOOKUP(B3689,'PROCV GERENTES BD'!A:B,2,0)</f>
        <v>ADMINISTRAÇÃO</v>
      </c>
      <c r="F3689" s="4" t="str">
        <f t="shared" si="342"/>
        <v>2025-08</v>
      </c>
      <c r="G3689" s="18">
        <f t="shared" si="343"/>
        <v>33</v>
      </c>
      <c r="H3689" t="str">
        <f t="shared" si="344"/>
        <v>ADMINISTRAÇÃO</v>
      </c>
      <c r="I3689" t="str">
        <f t="shared" si="345"/>
        <v>BIOTECH LOGISTICA LTDA</v>
      </c>
      <c r="J3689">
        <f t="shared" si="346"/>
        <v>0</v>
      </c>
      <c r="K3689">
        <f t="shared" si="347"/>
        <v>1</v>
      </c>
    </row>
    <row r="3690" spans="1:11" x14ac:dyDescent="0.25">
      <c r="A3690" t="s">
        <v>599</v>
      </c>
      <c r="B3690" t="s">
        <v>541</v>
      </c>
      <c r="C3690" t="s">
        <v>66</v>
      </c>
      <c r="D3690" s="6">
        <v>45885</v>
      </c>
      <c r="E3690" t="str">
        <f>VLOOKUP(B3690,'PROCV GERENTES BD'!A:B,2,0)</f>
        <v xml:space="preserve">MARCUS VINICIUS </v>
      </c>
      <c r="F3690" s="4" t="str">
        <f t="shared" si="342"/>
        <v>2025-08</v>
      </c>
      <c r="G3690" s="18">
        <f t="shared" si="343"/>
        <v>33</v>
      </c>
      <c r="H3690" t="str">
        <f t="shared" si="344"/>
        <v xml:space="preserve">MARCUS VINICIUS </v>
      </c>
      <c r="I3690" t="str">
        <f t="shared" si="345"/>
        <v>JSA INDUSTRIA DE COSMETICOS LTDA EPP</v>
      </c>
      <c r="J3690">
        <f t="shared" si="346"/>
        <v>1</v>
      </c>
      <c r="K3690">
        <f t="shared" si="347"/>
        <v>0</v>
      </c>
    </row>
    <row r="3691" spans="1:11" x14ac:dyDescent="0.25">
      <c r="A3691" t="s">
        <v>427</v>
      </c>
      <c r="B3691" t="s">
        <v>178</v>
      </c>
      <c r="C3691" t="s">
        <v>66</v>
      </c>
      <c r="D3691" s="6">
        <v>45885</v>
      </c>
      <c r="E3691" t="str">
        <f>VLOOKUP(B3691,'PROCV GERENTES BD'!A:B,2,0)</f>
        <v>ADMINISTRAÇÃO</v>
      </c>
      <c r="F3691" s="4" t="str">
        <f t="shared" si="342"/>
        <v>2025-08</v>
      </c>
      <c r="G3691" s="18">
        <f t="shared" si="343"/>
        <v>33</v>
      </c>
      <c r="H3691" t="str">
        <f t="shared" si="344"/>
        <v>ADMINISTRAÇÃO</v>
      </c>
      <c r="I3691" t="str">
        <f t="shared" si="345"/>
        <v>LIZZENA COSMETICOS LTDA EPP</v>
      </c>
      <c r="J3691">
        <f t="shared" si="346"/>
        <v>1</v>
      </c>
      <c r="K3691">
        <f t="shared" si="347"/>
        <v>0</v>
      </c>
    </row>
    <row r="3692" spans="1:11" x14ac:dyDescent="0.25">
      <c r="A3692" t="s">
        <v>635</v>
      </c>
      <c r="B3692" t="s">
        <v>636</v>
      </c>
      <c r="C3692" t="s">
        <v>50</v>
      </c>
      <c r="D3692" s="6">
        <v>45885</v>
      </c>
      <c r="E3692" t="str">
        <f>VLOOKUP(B3692,'PROCV GERENTES BD'!A:B,2,0)</f>
        <v>TIAGO NEVES</v>
      </c>
      <c r="F3692" s="4" t="str">
        <f t="shared" si="342"/>
        <v>2025-08</v>
      </c>
      <c r="G3692" s="18">
        <f t="shared" si="343"/>
        <v>33</v>
      </c>
      <c r="H3692" t="str">
        <f t="shared" si="344"/>
        <v>TIAGO NEVES</v>
      </c>
      <c r="I3692" t="str">
        <f t="shared" si="345"/>
        <v>MG GLASS VIDROS PARA TRATORES E CAMINHOES LTDA ME</v>
      </c>
      <c r="J3692">
        <f t="shared" si="346"/>
        <v>0</v>
      </c>
      <c r="K3692">
        <f t="shared" si="347"/>
        <v>1</v>
      </c>
    </row>
    <row r="3693" spans="1:11" x14ac:dyDescent="0.25">
      <c r="A3693" t="s">
        <v>604</v>
      </c>
      <c r="B3693" t="s">
        <v>605</v>
      </c>
      <c r="C3693" t="s">
        <v>50</v>
      </c>
      <c r="D3693" s="6">
        <v>45885</v>
      </c>
      <c r="E3693" t="str">
        <f>VLOOKUP(B3693,'PROCV GERENTES BD'!A:B,2,0)</f>
        <v>ALISSON DE SOUZA LIMA</v>
      </c>
      <c r="F3693" s="4" t="str">
        <f t="shared" si="342"/>
        <v>2025-08</v>
      </c>
      <c r="G3693" s="18">
        <f t="shared" si="343"/>
        <v>33</v>
      </c>
      <c r="H3693" t="str">
        <f t="shared" si="344"/>
        <v>ALISSON DE SOUZA LIMA</v>
      </c>
      <c r="I3693" t="str">
        <f t="shared" si="345"/>
        <v>3J FUNDICAO INDUSTRIAL LTDA</v>
      </c>
      <c r="J3693">
        <f t="shared" si="346"/>
        <v>0</v>
      </c>
      <c r="K3693">
        <f t="shared" si="347"/>
        <v>1</v>
      </c>
    </row>
    <row r="3694" spans="1:11" x14ac:dyDescent="0.25">
      <c r="A3694" t="s">
        <v>631</v>
      </c>
      <c r="B3694" t="s">
        <v>561</v>
      </c>
      <c r="C3694" t="s">
        <v>50</v>
      </c>
      <c r="D3694" s="6">
        <v>45885</v>
      </c>
      <c r="E3694" t="str">
        <f>VLOOKUP(B3694,'PROCV GERENTES BD'!A:B,2,0)</f>
        <v>VALERIA</v>
      </c>
      <c r="F3694" s="4" t="str">
        <f t="shared" si="342"/>
        <v>2025-08</v>
      </c>
      <c r="G3694" s="18">
        <f t="shared" si="343"/>
        <v>33</v>
      </c>
      <c r="H3694" t="str">
        <f t="shared" si="344"/>
        <v>VALERIA</v>
      </c>
      <c r="I3694" t="str">
        <f t="shared" si="345"/>
        <v>TRANSPORTADORA PACHECO LTDA EPP</v>
      </c>
      <c r="J3694">
        <f t="shared" si="346"/>
        <v>0</v>
      </c>
      <c r="K3694">
        <f t="shared" si="347"/>
        <v>1</v>
      </c>
    </row>
    <row r="3695" spans="1:11" x14ac:dyDescent="0.25">
      <c r="A3695" t="s">
        <v>387</v>
      </c>
      <c r="B3695" t="s">
        <v>134</v>
      </c>
      <c r="C3695" t="s">
        <v>53</v>
      </c>
      <c r="D3695" s="6">
        <v>45885</v>
      </c>
      <c r="E3695" t="str">
        <f>VLOOKUP(B3695,'PROCV GERENTES BD'!A:B,2,0)</f>
        <v>RAFAEL PARISE</v>
      </c>
      <c r="F3695" s="4" t="str">
        <f t="shared" si="342"/>
        <v>2025-08</v>
      </c>
      <c r="G3695" s="18">
        <f t="shared" si="343"/>
        <v>33</v>
      </c>
      <c r="H3695" t="str">
        <f t="shared" si="344"/>
        <v>RAFAEL PARISE</v>
      </c>
      <c r="I3695" t="str">
        <f t="shared" si="345"/>
        <v>MAIS DISTRIBUIDORA LTDA</v>
      </c>
      <c r="J3695">
        <f t="shared" si="346"/>
        <v>1</v>
      </c>
      <c r="K3695">
        <f t="shared" si="347"/>
        <v>1</v>
      </c>
    </row>
    <row r="3696" spans="1:11" x14ac:dyDescent="0.25">
      <c r="A3696" t="s">
        <v>331</v>
      </c>
      <c r="B3696" t="s">
        <v>144</v>
      </c>
      <c r="C3696" t="s">
        <v>66</v>
      </c>
      <c r="D3696" s="6">
        <v>45885</v>
      </c>
      <c r="E3696" t="str">
        <f>VLOOKUP(B3696,'PROCV GERENTES BD'!A:B,2,0)</f>
        <v>ADMINISTRAÇÃO</v>
      </c>
      <c r="F3696" s="4" t="str">
        <f t="shared" si="342"/>
        <v>2025-08</v>
      </c>
      <c r="G3696" s="18">
        <f t="shared" si="343"/>
        <v>33</v>
      </c>
      <c r="H3696" t="str">
        <f t="shared" si="344"/>
        <v>ADMINISTRAÇÃO</v>
      </c>
      <c r="I3696" t="str">
        <f t="shared" si="345"/>
        <v>BOM PASTOR PAPEIS LTDA EM RECUPERACAO JUDICIAL</v>
      </c>
      <c r="J3696">
        <f t="shared" si="346"/>
        <v>1</v>
      </c>
      <c r="K3696">
        <f t="shared" si="347"/>
        <v>0</v>
      </c>
    </row>
    <row r="3697" spans="1:11" x14ac:dyDescent="0.25">
      <c r="A3697" t="s">
        <v>51</v>
      </c>
      <c r="B3697" t="s">
        <v>52</v>
      </c>
      <c r="C3697" t="s">
        <v>50</v>
      </c>
      <c r="D3697" s="6">
        <v>45885</v>
      </c>
      <c r="E3697" t="str">
        <f>VLOOKUP(B3697,'PROCV GERENTES BD'!A:B,2,0)</f>
        <v>RAFAEL PARISE</v>
      </c>
      <c r="F3697" s="4" t="str">
        <f t="shared" si="342"/>
        <v>2025-08</v>
      </c>
      <c r="G3697" s="18">
        <f t="shared" si="343"/>
        <v>33</v>
      </c>
      <c r="H3697" t="str">
        <f t="shared" si="344"/>
        <v>RAFAEL PARISE</v>
      </c>
      <c r="I3697" t="str">
        <f t="shared" si="345"/>
        <v>TDR TRANSPORTES LOGISTICA LTDA</v>
      </c>
      <c r="J3697">
        <f t="shared" si="346"/>
        <v>0</v>
      </c>
      <c r="K3697">
        <f t="shared" si="347"/>
        <v>1</v>
      </c>
    </row>
    <row r="3698" spans="1:11" x14ac:dyDescent="0.25">
      <c r="A3698" t="s">
        <v>305</v>
      </c>
      <c r="B3698" t="s">
        <v>141</v>
      </c>
      <c r="C3698" t="s">
        <v>53</v>
      </c>
      <c r="D3698" s="6">
        <v>45885</v>
      </c>
      <c r="E3698" t="str">
        <f>VLOOKUP(B3698,'PROCV GERENTES BD'!A:B,2,0)</f>
        <v>NOELI SALETE</v>
      </c>
      <c r="F3698" s="4" t="str">
        <f t="shared" si="342"/>
        <v>2025-08</v>
      </c>
      <c r="G3698" s="18">
        <f t="shared" si="343"/>
        <v>33</v>
      </c>
      <c r="H3698" t="str">
        <f t="shared" si="344"/>
        <v>NOELI SALETE</v>
      </c>
      <c r="I3698" t="str">
        <f t="shared" si="345"/>
        <v>JMS EMBALAGENS INDUSTRIAIS LTDA</v>
      </c>
      <c r="J3698">
        <f t="shared" si="346"/>
        <v>1</v>
      </c>
      <c r="K3698">
        <f t="shared" si="347"/>
        <v>1</v>
      </c>
    </row>
    <row r="3699" spans="1:11" x14ac:dyDescent="0.25">
      <c r="A3699" t="s">
        <v>523</v>
      </c>
      <c r="B3699" t="s">
        <v>288</v>
      </c>
      <c r="C3699" t="s">
        <v>50</v>
      </c>
      <c r="D3699" s="6">
        <v>45885</v>
      </c>
      <c r="E3699" t="str">
        <f>VLOOKUP(B3699,'PROCV GERENTES BD'!A:B,2,0)</f>
        <v>ADMINISTRAÇÃO</v>
      </c>
      <c r="F3699" s="4" t="str">
        <f t="shared" si="342"/>
        <v>2025-08</v>
      </c>
      <c r="G3699" s="18">
        <f t="shared" si="343"/>
        <v>33</v>
      </c>
      <c r="H3699" t="str">
        <f t="shared" si="344"/>
        <v>ADMINISTRAÇÃO</v>
      </c>
      <c r="I3699" t="str">
        <f t="shared" si="345"/>
        <v>REFRACONT BRASIL LTDA</v>
      </c>
      <c r="J3699">
        <f t="shared" si="346"/>
        <v>0</v>
      </c>
      <c r="K3699">
        <f t="shared" si="347"/>
        <v>1</v>
      </c>
    </row>
    <row r="3700" spans="1:11" x14ac:dyDescent="0.25">
      <c r="A3700" t="s">
        <v>314</v>
      </c>
      <c r="B3700" t="s">
        <v>246</v>
      </c>
      <c r="C3700" t="s">
        <v>50</v>
      </c>
      <c r="D3700" s="6">
        <v>45885</v>
      </c>
      <c r="E3700" t="str">
        <f>VLOOKUP(B3700,'PROCV GERENTES BD'!A:B,2,0)</f>
        <v xml:space="preserve">ROGERIO </v>
      </c>
      <c r="F3700" s="4" t="str">
        <f t="shared" si="342"/>
        <v>2025-08</v>
      </c>
      <c r="G3700" s="18">
        <f t="shared" si="343"/>
        <v>33</v>
      </c>
      <c r="H3700" t="str">
        <f t="shared" si="344"/>
        <v xml:space="preserve">ROGERIO </v>
      </c>
      <c r="I3700" t="str">
        <f t="shared" si="345"/>
        <v>MUTCD CENTRO DE DISTRIBUICAO DE IND FABRICANTE DE</v>
      </c>
      <c r="J3700">
        <f t="shared" si="346"/>
        <v>0</v>
      </c>
      <c r="K3700">
        <f t="shared" si="347"/>
        <v>1</v>
      </c>
    </row>
    <row r="3701" spans="1:11" x14ac:dyDescent="0.25">
      <c r="A3701" t="s">
        <v>638</v>
      </c>
      <c r="B3701" t="s">
        <v>539</v>
      </c>
      <c r="C3701" t="s">
        <v>50</v>
      </c>
      <c r="D3701" s="6">
        <v>45885</v>
      </c>
      <c r="E3701" t="str">
        <f>VLOOKUP(B3701,'PROCV GERENTES BD'!A:B,2,0)</f>
        <v>JJPH</v>
      </c>
      <c r="F3701" s="4" t="str">
        <f t="shared" si="342"/>
        <v>2025-08</v>
      </c>
      <c r="G3701" s="18">
        <f t="shared" si="343"/>
        <v>33</v>
      </c>
      <c r="H3701" t="str">
        <f t="shared" si="344"/>
        <v>JJPH</v>
      </c>
      <c r="I3701" t="str">
        <f t="shared" si="345"/>
        <v>DIFARMIG LTDA</v>
      </c>
      <c r="J3701">
        <f t="shared" si="346"/>
        <v>0</v>
      </c>
      <c r="K3701">
        <f t="shared" si="347"/>
        <v>1</v>
      </c>
    </row>
    <row r="3702" spans="1:11" x14ac:dyDescent="0.25">
      <c r="A3702" t="s">
        <v>325</v>
      </c>
      <c r="B3702" t="s">
        <v>138</v>
      </c>
      <c r="C3702" t="s">
        <v>50</v>
      </c>
      <c r="D3702" s="6">
        <v>45885</v>
      </c>
      <c r="E3702" t="str">
        <f>VLOOKUP(B3702,'PROCV GERENTES BD'!A:B,2,0)</f>
        <v>SACADO</v>
      </c>
      <c r="F3702" s="4" t="str">
        <f t="shared" si="342"/>
        <v>2025-08</v>
      </c>
      <c r="G3702" s="18">
        <f t="shared" si="343"/>
        <v>33</v>
      </c>
      <c r="H3702" t="str">
        <f t="shared" si="344"/>
        <v>SACADO</v>
      </c>
      <c r="I3702" t="str">
        <f t="shared" si="345"/>
        <v>ALLIAGE S A INDUSTRIAS MEDICO ODONTOLOGICA</v>
      </c>
      <c r="J3702">
        <f t="shared" si="346"/>
        <v>0</v>
      </c>
      <c r="K3702">
        <f t="shared" si="347"/>
        <v>1</v>
      </c>
    </row>
    <row r="3703" spans="1:11" x14ac:dyDescent="0.25">
      <c r="A3703" t="s">
        <v>48</v>
      </c>
      <c r="B3703" t="s">
        <v>49</v>
      </c>
      <c r="C3703" t="s">
        <v>50</v>
      </c>
      <c r="D3703" s="6">
        <v>45888</v>
      </c>
      <c r="E3703" t="str">
        <f>VLOOKUP(B3703,'PROCV GERENTES BD'!A:B,2,0)</f>
        <v xml:space="preserve">MARCUS VINICIUS </v>
      </c>
      <c r="F3703" s="4" t="str">
        <f t="shared" si="342"/>
        <v>2025-08</v>
      </c>
      <c r="G3703" s="18">
        <f t="shared" si="343"/>
        <v>34</v>
      </c>
      <c r="H3703" t="str">
        <f t="shared" si="344"/>
        <v xml:space="preserve">MARCUS VINICIUS </v>
      </c>
      <c r="I3703" t="str">
        <f t="shared" si="345"/>
        <v>PROMEL IND COM IMP E EXP DE PRODS NATURAIS LTDA</v>
      </c>
      <c r="J3703">
        <f t="shared" si="346"/>
        <v>0</v>
      </c>
      <c r="K3703">
        <f t="shared" si="347"/>
        <v>1</v>
      </c>
    </row>
    <row r="3704" spans="1:11" x14ac:dyDescent="0.25">
      <c r="A3704" t="s">
        <v>623</v>
      </c>
      <c r="B3704" t="s">
        <v>624</v>
      </c>
      <c r="C3704" t="s">
        <v>50</v>
      </c>
      <c r="D3704" s="6">
        <v>45888</v>
      </c>
      <c r="E3704" t="str">
        <f>VLOOKUP(B3704,'PROCV GERENTES BD'!A:B,2,0)</f>
        <v>ALISSON DE SOUZA LIMA</v>
      </c>
      <c r="F3704" s="4" t="str">
        <f t="shared" si="342"/>
        <v>2025-08</v>
      </c>
      <c r="G3704" s="18">
        <f t="shared" si="343"/>
        <v>34</v>
      </c>
      <c r="H3704" t="str">
        <f t="shared" si="344"/>
        <v>ALISSON DE SOUZA LIMA</v>
      </c>
      <c r="I3704" t="str">
        <f t="shared" si="345"/>
        <v>A2 VIDROS INDUSTRIA E COMERCIO LTDA</v>
      </c>
      <c r="J3704">
        <f t="shared" si="346"/>
        <v>0</v>
      </c>
      <c r="K3704">
        <f t="shared" si="347"/>
        <v>1</v>
      </c>
    </row>
    <row r="3705" spans="1:11" x14ac:dyDescent="0.25">
      <c r="A3705" t="s">
        <v>430</v>
      </c>
      <c r="B3705" t="s">
        <v>181</v>
      </c>
      <c r="C3705" t="s">
        <v>50</v>
      </c>
      <c r="D3705" s="6">
        <v>45888</v>
      </c>
      <c r="E3705" t="str">
        <f>VLOOKUP(B3705,'PROCV GERENTES BD'!A:B,2,0)</f>
        <v>PROSPECTAR</v>
      </c>
      <c r="F3705" s="4" t="str">
        <f t="shared" si="342"/>
        <v>2025-08</v>
      </c>
      <c r="G3705" s="18">
        <f t="shared" si="343"/>
        <v>34</v>
      </c>
      <c r="H3705" t="str">
        <f t="shared" si="344"/>
        <v>PROSPECTAR</v>
      </c>
      <c r="I3705" t="str">
        <f t="shared" si="345"/>
        <v>SIQUEIRA E GAIPO INDUSTRIA E MATERIAIS ESPORTIVOS</v>
      </c>
      <c r="J3705">
        <f t="shared" si="346"/>
        <v>0</v>
      </c>
      <c r="K3705">
        <f t="shared" si="347"/>
        <v>1</v>
      </c>
    </row>
    <row r="3706" spans="1:11" x14ac:dyDescent="0.25">
      <c r="A3706" t="s">
        <v>440</v>
      </c>
      <c r="B3706" t="s">
        <v>191</v>
      </c>
      <c r="C3706" t="s">
        <v>50</v>
      </c>
      <c r="D3706" s="6">
        <v>45888</v>
      </c>
      <c r="E3706" t="str">
        <f>VLOOKUP(B3706,'PROCV GERENTES BD'!A:B,2,0)</f>
        <v>PROSPECTAR</v>
      </c>
      <c r="F3706" s="4" t="str">
        <f t="shared" si="342"/>
        <v>2025-08</v>
      </c>
      <c r="G3706" s="18">
        <f t="shared" si="343"/>
        <v>34</v>
      </c>
      <c r="H3706" t="str">
        <f t="shared" si="344"/>
        <v>PROSPECTAR</v>
      </c>
      <c r="I3706" t="str">
        <f t="shared" si="345"/>
        <v>SAFRA OURO AGRONEGOCIOS LTDA EPP</v>
      </c>
      <c r="J3706">
        <f t="shared" si="346"/>
        <v>0</v>
      </c>
      <c r="K3706">
        <f t="shared" si="347"/>
        <v>1</v>
      </c>
    </row>
    <row r="3707" spans="1:11" x14ac:dyDescent="0.25">
      <c r="A3707" t="s">
        <v>508</v>
      </c>
      <c r="B3707" t="s">
        <v>271</v>
      </c>
      <c r="C3707" t="s">
        <v>66</v>
      </c>
      <c r="D3707" s="6">
        <v>45888</v>
      </c>
      <c r="E3707" t="str">
        <f>VLOOKUP(B3707,'PROCV GERENTES BD'!A:B,2,0)</f>
        <v>PRISCILA METZ</v>
      </c>
      <c r="F3707" s="4" t="str">
        <f t="shared" si="342"/>
        <v>2025-08</v>
      </c>
      <c r="G3707" s="18">
        <f t="shared" si="343"/>
        <v>34</v>
      </c>
      <c r="H3707" t="str">
        <f t="shared" si="344"/>
        <v>PRISCILA METZ</v>
      </c>
      <c r="I3707" t="str">
        <f t="shared" si="345"/>
        <v>TUBOLARES VITORIA INDUSTRIA E COMERCIO LTDA ME</v>
      </c>
      <c r="J3707">
        <f t="shared" si="346"/>
        <v>1</v>
      </c>
      <c r="K3707">
        <f t="shared" si="347"/>
        <v>0</v>
      </c>
    </row>
    <row r="3708" spans="1:11" x14ac:dyDescent="0.25">
      <c r="A3708" t="s">
        <v>600</v>
      </c>
      <c r="B3708" t="s">
        <v>594</v>
      </c>
      <c r="C3708" t="s">
        <v>50</v>
      </c>
      <c r="D3708" s="6">
        <v>45888</v>
      </c>
      <c r="E3708" t="str">
        <f>VLOOKUP(B3708,'PROCV GERENTES BD'!A:B,2,0)</f>
        <v xml:space="preserve">ROGERIO </v>
      </c>
      <c r="F3708" s="4" t="str">
        <f t="shared" si="342"/>
        <v>2025-08</v>
      </c>
      <c r="G3708" s="18">
        <f t="shared" si="343"/>
        <v>34</v>
      </c>
      <c r="H3708" t="str">
        <f t="shared" si="344"/>
        <v xml:space="preserve">ROGERIO </v>
      </c>
      <c r="I3708" t="str">
        <f t="shared" si="345"/>
        <v>METALAB COMERCIO E INDUSTRIA FARMACEUTICA LTDA ME</v>
      </c>
      <c r="J3708">
        <f t="shared" si="346"/>
        <v>0</v>
      </c>
      <c r="K3708">
        <f t="shared" si="347"/>
        <v>1</v>
      </c>
    </row>
    <row r="3709" spans="1:11" x14ac:dyDescent="0.25">
      <c r="A3709" t="s">
        <v>370</v>
      </c>
      <c r="B3709" t="s">
        <v>114</v>
      </c>
      <c r="C3709" t="s">
        <v>66</v>
      </c>
      <c r="D3709" s="6">
        <v>45888</v>
      </c>
      <c r="E3709" t="str">
        <f>VLOOKUP(B3709,'PROCV GERENTES BD'!A:B,2,0)</f>
        <v>POENATELA</v>
      </c>
      <c r="F3709" s="4" t="str">
        <f t="shared" si="342"/>
        <v>2025-08</v>
      </c>
      <c r="G3709" s="18">
        <f t="shared" si="343"/>
        <v>34</v>
      </c>
      <c r="H3709" t="str">
        <f t="shared" si="344"/>
        <v>POENATELA</v>
      </c>
      <c r="I3709" t="str">
        <f t="shared" si="345"/>
        <v>COOPERATIVA TRANSP AUTON CARGAS PASSAG SERVICOS LO</v>
      </c>
      <c r="J3709">
        <f t="shared" si="346"/>
        <v>1</v>
      </c>
      <c r="K3709">
        <f t="shared" si="347"/>
        <v>0</v>
      </c>
    </row>
    <row r="3710" spans="1:11" x14ac:dyDescent="0.25">
      <c r="A3710" t="s">
        <v>630</v>
      </c>
      <c r="B3710" t="s">
        <v>559</v>
      </c>
      <c r="C3710" t="s">
        <v>50</v>
      </c>
      <c r="D3710" s="6">
        <v>45888</v>
      </c>
      <c r="E3710" t="str">
        <f>VLOOKUP(B3710,'PROCV GERENTES BD'!A:B,2,0)</f>
        <v>ALISSON DE SOUZA LIMA</v>
      </c>
      <c r="F3710" s="4" t="str">
        <f t="shared" si="342"/>
        <v>2025-08</v>
      </c>
      <c r="G3710" s="18">
        <f t="shared" si="343"/>
        <v>34</v>
      </c>
      <c r="H3710" t="str">
        <f t="shared" si="344"/>
        <v>ALISSON DE SOUZA LIMA</v>
      </c>
      <c r="I3710" t="str">
        <f t="shared" si="345"/>
        <v>JRG SOLUCOES INDUSTRIAIS LTDA</v>
      </c>
      <c r="J3710">
        <f t="shared" si="346"/>
        <v>0</v>
      </c>
      <c r="K3710">
        <f t="shared" si="347"/>
        <v>1</v>
      </c>
    </row>
    <row r="3711" spans="1:11" x14ac:dyDescent="0.25">
      <c r="A3711" t="s">
        <v>427</v>
      </c>
      <c r="B3711" t="s">
        <v>178</v>
      </c>
      <c r="C3711" t="s">
        <v>50</v>
      </c>
      <c r="D3711" s="6">
        <v>45888</v>
      </c>
      <c r="E3711" t="str">
        <f>VLOOKUP(B3711,'PROCV GERENTES BD'!A:B,2,0)</f>
        <v>ADMINISTRAÇÃO</v>
      </c>
      <c r="F3711" s="4" t="str">
        <f t="shared" si="342"/>
        <v>2025-08</v>
      </c>
      <c r="G3711" s="18">
        <f t="shared" si="343"/>
        <v>34</v>
      </c>
      <c r="H3711" t="str">
        <f t="shared" si="344"/>
        <v>ADMINISTRAÇÃO</v>
      </c>
      <c r="I3711" t="str">
        <f t="shared" si="345"/>
        <v>LIZZENA COSMETICOS LTDA EPP</v>
      </c>
      <c r="J3711">
        <f t="shared" si="346"/>
        <v>0</v>
      </c>
      <c r="K3711">
        <f t="shared" si="347"/>
        <v>1</v>
      </c>
    </row>
    <row r="3712" spans="1:11" x14ac:dyDescent="0.25">
      <c r="A3712" t="s">
        <v>515</v>
      </c>
      <c r="B3712" t="s">
        <v>277</v>
      </c>
      <c r="C3712" t="s">
        <v>50</v>
      </c>
      <c r="D3712" s="6">
        <v>45888</v>
      </c>
      <c r="E3712" t="str">
        <f>VLOOKUP(B3712,'PROCV GERENTES BD'!A:B,2,0)</f>
        <v>ALISSON DE SOUZA LIMA</v>
      </c>
      <c r="F3712" s="4" t="str">
        <f t="shared" si="342"/>
        <v>2025-08</v>
      </c>
      <c r="G3712" s="18">
        <f t="shared" si="343"/>
        <v>34</v>
      </c>
      <c r="H3712" t="str">
        <f t="shared" si="344"/>
        <v>ALISSON DE SOUZA LIMA</v>
      </c>
      <c r="I3712" t="str">
        <f t="shared" si="345"/>
        <v>COMERCIAL GTS INFORMATICA LTDA EPP</v>
      </c>
      <c r="J3712">
        <f t="shared" si="346"/>
        <v>0</v>
      </c>
      <c r="K3712">
        <f t="shared" si="347"/>
        <v>1</v>
      </c>
    </row>
    <row r="3713" spans="1:11" x14ac:dyDescent="0.25">
      <c r="A3713" t="s">
        <v>505</v>
      </c>
      <c r="B3713" t="s">
        <v>267</v>
      </c>
      <c r="C3713" t="s">
        <v>50</v>
      </c>
      <c r="D3713" s="6">
        <v>45888</v>
      </c>
      <c r="E3713" t="str">
        <f>VLOOKUP(B3713,'PROCV GERENTES BD'!A:B,2,0)</f>
        <v>PRISCILA METZ</v>
      </c>
      <c r="F3713" s="4" t="str">
        <f t="shared" si="342"/>
        <v>2025-08</v>
      </c>
      <c r="G3713" s="18">
        <f t="shared" si="343"/>
        <v>34</v>
      </c>
      <c r="H3713" t="str">
        <f t="shared" si="344"/>
        <v>PRISCILA METZ</v>
      </c>
      <c r="I3713" t="str">
        <f t="shared" si="345"/>
        <v>REAL DISTRIBUIDORA DE PRODUTOS PARA MARMORARIA LTD</v>
      </c>
      <c r="J3713">
        <f t="shared" si="346"/>
        <v>0</v>
      </c>
      <c r="K3713">
        <f t="shared" si="347"/>
        <v>1</v>
      </c>
    </row>
    <row r="3714" spans="1:11" x14ac:dyDescent="0.25">
      <c r="A3714" t="s">
        <v>651</v>
      </c>
      <c r="B3714" t="s">
        <v>652</v>
      </c>
      <c r="C3714" t="s">
        <v>50</v>
      </c>
      <c r="D3714" s="6">
        <v>45888</v>
      </c>
      <c r="E3714" t="str">
        <f>VLOOKUP(B3714,'PROCV GERENTES BD'!A:B,2,0)</f>
        <v>PROSPECTAR</v>
      </c>
      <c r="F3714" s="4" t="str">
        <f t="shared" ref="F3714:F3777" si="348">YEAR(D3714)&amp;"-"&amp;TEXT(MONTH(D3714),"00")</f>
        <v>2025-08</v>
      </c>
      <c r="G3714" s="18">
        <f t="shared" ref="G3714:G3777" si="349">WEEKNUM(D3714)</f>
        <v>34</v>
      </c>
      <c r="H3714" t="str">
        <f t="shared" ref="H3714:H3777" si="350">E3714</f>
        <v>PROSPECTAR</v>
      </c>
      <c r="I3714" t="str">
        <f t="shared" ref="I3714:I3777" si="351">B3714</f>
        <v>C A M DIAS SOARES LTDA EPP</v>
      </c>
      <c r="J3714">
        <f t="shared" ref="J3714:J3777" si="352">IF(OR(C3714="EXCLUSAO  ANOT.INADIMPLENCIA",C3714="INCL/EXCL ANOT.INADIMPLENCIA"),1,0)</f>
        <v>0</v>
      </c>
      <c r="K3714">
        <f t="shared" ref="K3714:K3777" si="353">IF(OR(C3714="INCLUSAO  ANOT.INADIMPLENCIA",C3714="INCL/EXCL ANOT.INADIMPLENCIA"),1,0)</f>
        <v>1</v>
      </c>
    </row>
    <row r="3715" spans="1:11" x14ac:dyDescent="0.25">
      <c r="A3715" t="s">
        <v>448</v>
      </c>
      <c r="B3715" t="s">
        <v>201</v>
      </c>
      <c r="C3715" t="s">
        <v>50</v>
      </c>
      <c r="D3715" s="6">
        <v>45888</v>
      </c>
      <c r="E3715" t="str">
        <f>VLOOKUP(B3715,'PROCV GERENTES BD'!A:B,2,0)</f>
        <v>PRISCILA METZ</v>
      </c>
      <c r="F3715" s="4" t="str">
        <f t="shared" si="348"/>
        <v>2025-08</v>
      </c>
      <c r="G3715" s="18">
        <f t="shared" si="349"/>
        <v>34</v>
      </c>
      <c r="H3715" t="str">
        <f t="shared" si="350"/>
        <v>PRISCILA METZ</v>
      </c>
      <c r="I3715" t="str">
        <f t="shared" si="351"/>
        <v>M TRATORES LTDA EPP</v>
      </c>
      <c r="J3715">
        <f t="shared" si="352"/>
        <v>0</v>
      </c>
      <c r="K3715">
        <f t="shared" si="353"/>
        <v>1</v>
      </c>
    </row>
    <row r="3716" spans="1:11" x14ac:dyDescent="0.25">
      <c r="A3716" t="s">
        <v>64</v>
      </c>
      <c r="B3716" t="s">
        <v>65</v>
      </c>
      <c r="C3716" t="s">
        <v>50</v>
      </c>
      <c r="D3716" s="6">
        <v>45888</v>
      </c>
      <c r="E3716" t="str">
        <f>VLOOKUP(B3716,'PROCV GERENTES BD'!A:B,2,0)</f>
        <v>ADMINISTRAÇÃO</v>
      </c>
      <c r="F3716" s="4" t="str">
        <f t="shared" si="348"/>
        <v>2025-08</v>
      </c>
      <c r="G3716" s="18">
        <f t="shared" si="349"/>
        <v>34</v>
      </c>
      <c r="H3716" t="str">
        <f t="shared" si="350"/>
        <v>ADMINISTRAÇÃO</v>
      </c>
      <c r="I3716" t="str">
        <f t="shared" si="351"/>
        <v>SOCIAL S/A</v>
      </c>
      <c r="J3716">
        <f t="shared" si="352"/>
        <v>0</v>
      </c>
      <c r="K3716">
        <f t="shared" si="353"/>
        <v>1</v>
      </c>
    </row>
    <row r="3717" spans="1:11" x14ac:dyDescent="0.25">
      <c r="A3717" t="s">
        <v>62</v>
      </c>
      <c r="B3717" t="s">
        <v>63</v>
      </c>
      <c r="C3717" t="s">
        <v>50</v>
      </c>
      <c r="D3717" s="6">
        <v>45888</v>
      </c>
      <c r="E3717" t="str">
        <f>VLOOKUP(B3717,'PROCV GERENTES BD'!A:B,2,0)</f>
        <v>PROSPECTAR</v>
      </c>
      <c r="F3717" s="4" t="str">
        <f t="shared" si="348"/>
        <v>2025-08</v>
      </c>
      <c r="G3717" s="18">
        <f t="shared" si="349"/>
        <v>34</v>
      </c>
      <c r="H3717" t="str">
        <f t="shared" si="350"/>
        <v>PROSPECTAR</v>
      </c>
      <c r="I3717" t="str">
        <f t="shared" si="351"/>
        <v>MAPP COM IMPORTACAO EXPORTACAO IND PRODUTOS ALIMEN</v>
      </c>
      <c r="J3717">
        <f t="shared" si="352"/>
        <v>0</v>
      </c>
      <c r="K3717">
        <f t="shared" si="353"/>
        <v>1</v>
      </c>
    </row>
    <row r="3718" spans="1:11" x14ac:dyDescent="0.25">
      <c r="A3718" t="s">
        <v>628</v>
      </c>
      <c r="B3718" t="s">
        <v>626</v>
      </c>
      <c r="C3718" t="s">
        <v>50</v>
      </c>
      <c r="D3718" s="6">
        <v>45888</v>
      </c>
      <c r="E3718" t="str">
        <f>VLOOKUP(B3718,'PROCV GERENTES BD'!A:B,2,0)</f>
        <v>FERNANDO ABRAS</v>
      </c>
      <c r="F3718" s="4" t="str">
        <f t="shared" si="348"/>
        <v>2025-08</v>
      </c>
      <c r="G3718" s="18">
        <f t="shared" si="349"/>
        <v>34</v>
      </c>
      <c r="H3718" t="str">
        <f t="shared" si="350"/>
        <v>FERNANDO ABRAS</v>
      </c>
      <c r="I3718" t="str">
        <f t="shared" si="351"/>
        <v>SKY JEANS LTDA ME</v>
      </c>
      <c r="J3718">
        <f t="shared" si="352"/>
        <v>0</v>
      </c>
      <c r="K3718">
        <f t="shared" si="353"/>
        <v>1</v>
      </c>
    </row>
    <row r="3719" spans="1:11" x14ac:dyDescent="0.25">
      <c r="A3719" t="s">
        <v>604</v>
      </c>
      <c r="B3719" t="s">
        <v>605</v>
      </c>
      <c r="C3719" t="s">
        <v>50</v>
      </c>
      <c r="D3719" s="6">
        <v>45888</v>
      </c>
      <c r="E3719" t="str">
        <f>VLOOKUP(B3719,'PROCV GERENTES BD'!A:B,2,0)</f>
        <v>ALISSON DE SOUZA LIMA</v>
      </c>
      <c r="F3719" s="4" t="str">
        <f t="shared" si="348"/>
        <v>2025-08</v>
      </c>
      <c r="G3719" s="18">
        <f t="shared" si="349"/>
        <v>34</v>
      </c>
      <c r="H3719" t="str">
        <f t="shared" si="350"/>
        <v>ALISSON DE SOUZA LIMA</v>
      </c>
      <c r="I3719" t="str">
        <f t="shared" si="351"/>
        <v>3J FUNDICAO INDUSTRIAL LTDA</v>
      </c>
      <c r="J3719">
        <f t="shared" si="352"/>
        <v>0</v>
      </c>
      <c r="K3719">
        <f t="shared" si="353"/>
        <v>1</v>
      </c>
    </row>
    <row r="3720" spans="1:11" x14ac:dyDescent="0.25">
      <c r="A3720" t="s">
        <v>631</v>
      </c>
      <c r="B3720" t="s">
        <v>561</v>
      </c>
      <c r="C3720" t="s">
        <v>53</v>
      </c>
      <c r="D3720" s="6">
        <v>45888</v>
      </c>
      <c r="E3720" t="str">
        <f>VLOOKUP(B3720,'PROCV GERENTES BD'!A:B,2,0)</f>
        <v>VALERIA</v>
      </c>
      <c r="F3720" s="4" t="str">
        <f t="shared" si="348"/>
        <v>2025-08</v>
      </c>
      <c r="G3720" s="18">
        <f t="shared" si="349"/>
        <v>34</v>
      </c>
      <c r="H3720" t="str">
        <f t="shared" si="350"/>
        <v>VALERIA</v>
      </c>
      <c r="I3720" t="str">
        <f t="shared" si="351"/>
        <v>TRANSPORTADORA PACHECO LTDA EPP</v>
      </c>
      <c r="J3720">
        <f t="shared" si="352"/>
        <v>1</v>
      </c>
      <c r="K3720">
        <f t="shared" si="353"/>
        <v>1</v>
      </c>
    </row>
    <row r="3721" spans="1:11" x14ac:dyDescent="0.25">
      <c r="A3721" t="s">
        <v>523</v>
      </c>
      <c r="B3721" t="s">
        <v>288</v>
      </c>
      <c r="C3721" t="s">
        <v>66</v>
      </c>
      <c r="D3721" s="6">
        <v>45888</v>
      </c>
      <c r="E3721" t="str">
        <f>VLOOKUP(B3721,'PROCV GERENTES BD'!A:B,2,0)</f>
        <v>ADMINISTRAÇÃO</v>
      </c>
      <c r="F3721" s="4" t="str">
        <f t="shared" si="348"/>
        <v>2025-08</v>
      </c>
      <c r="G3721" s="18">
        <f t="shared" si="349"/>
        <v>34</v>
      </c>
      <c r="H3721" t="str">
        <f t="shared" si="350"/>
        <v>ADMINISTRAÇÃO</v>
      </c>
      <c r="I3721" t="str">
        <f t="shared" si="351"/>
        <v>REFRACONT BRASIL LTDA</v>
      </c>
      <c r="J3721">
        <f t="shared" si="352"/>
        <v>1</v>
      </c>
      <c r="K3721">
        <f t="shared" si="353"/>
        <v>0</v>
      </c>
    </row>
    <row r="3722" spans="1:11" x14ac:dyDescent="0.25">
      <c r="A3722" t="s">
        <v>397</v>
      </c>
      <c r="B3722" t="s">
        <v>147</v>
      </c>
      <c r="C3722" t="s">
        <v>50</v>
      </c>
      <c r="D3722" s="6">
        <v>45888</v>
      </c>
      <c r="E3722" t="str">
        <f>VLOOKUP(B3722,'PROCV GERENTES BD'!A:B,2,0)</f>
        <v xml:space="preserve">MARCUS VINICIUS </v>
      </c>
      <c r="F3722" s="4" t="str">
        <f t="shared" si="348"/>
        <v>2025-08</v>
      </c>
      <c r="G3722" s="18">
        <f t="shared" si="349"/>
        <v>34</v>
      </c>
      <c r="H3722" t="str">
        <f t="shared" si="350"/>
        <v xml:space="preserve">MARCUS VINICIUS </v>
      </c>
      <c r="I3722" t="str">
        <f t="shared" si="351"/>
        <v>UNIVERSO INOX INDUSTRIA E COMERCIO LTDA EPP</v>
      </c>
      <c r="J3722">
        <f t="shared" si="352"/>
        <v>0</v>
      </c>
      <c r="K3722">
        <f t="shared" si="353"/>
        <v>1</v>
      </c>
    </row>
    <row r="3723" spans="1:11" x14ac:dyDescent="0.25">
      <c r="A3723" t="s">
        <v>323</v>
      </c>
      <c r="B3723" t="s">
        <v>109</v>
      </c>
      <c r="C3723" t="s">
        <v>50</v>
      </c>
      <c r="D3723" s="6">
        <v>45888</v>
      </c>
      <c r="E3723" t="str">
        <f>VLOOKUP(B3723,'PROCV GERENTES BD'!A:B,2,0)</f>
        <v>PROSPECTAR</v>
      </c>
      <c r="F3723" s="4" t="str">
        <f t="shared" si="348"/>
        <v>2025-08</v>
      </c>
      <c r="G3723" s="18">
        <f t="shared" si="349"/>
        <v>34</v>
      </c>
      <c r="H3723" t="str">
        <f t="shared" si="350"/>
        <v>PROSPECTAR</v>
      </c>
      <c r="I3723" t="str">
        <f t="shared" si="351"/>
        <v>SIAP COMERCIO DE PRODUTOS AGROPECUARIOS LTDA</v>
      </c>
      <c r="J3723">
        <f t="shared" si="352"/>
        <v>0</v>
      </c>
      <c r="K3723">
        <f t="shared" si="353"/>
        <v>1</v>
      </c>
    </row>
    <row r="3724" spans="1:11" x14ac:dyDescent="0.25">
      <c r="A3724" t="s">
        <v>51</v>
      </c>
      <c r="B3724" t="s">
        <v>52</v>
      </c>
      <c r="C3724" t="s">
        <v>50</v>
      </c>
      <c r="D3724" s="6">
        <v>45888</v>
      </c>
      <c r="E3724" t="str">
        <f>VLOOKUP(B3724,'PROCV GERENTES BD'!A:B,2,0)</f>
        <v>RAFAEL PARISE</v>
      </c>
      <c r="F3724" s="4" t="str">
        <f t="shared" si="348"/>
        <v>2025-08</v>
      </c>
      <c r="G3724" s="18">
        <f t="shared" si="349"/>
        <v>34</v>
      </c>
      <c r="H3724" t="str">
        <f t="shared" si="350"/>
        <v>RAFAEL PARISE</v>
      </c>
      <c r="I3724" t="str">
        <f t="shared" si="351"/>
        <v>TDR TRANSPORTES LOGISTICA LTDA</v>
      </c>
      <c r="J3724">
        <f t="shared" si="352"/>
        <v>0</v>
      </c>
      <c r="K3724">
        <f t="shared" si="353"/>
        <v>1</v>
      </c>
    </row>
    <row r="3725" spans="1:11" x14ac:dyDescent="0.25">
      <c r="A3725" t="s">
        <v>532</v>
      </c>
      <c r="B3725" t="s">
        <v>300</v>
      </c>
      <c r="C3725" t="s">
        <v>50</v>
      </c>
      <c r="D3725" s="6">
        <v>45888</v>
      </c>
      <c r="E3725" t="str">
        <f>VLOOKUP(B3725,'PROCV GERENTES BD'!A:B,2,0)</f>
        <v>RAFAEL PARISE</v>
      </c>
      <c r="F3725" s="4" t="str">
        <f t="shared" si="348"/>
        <v>2025-08</v>
      </c>
      <c r="G3725" s="18">
        <f t="shared" si="349"/>
        <v>34</v>
      </c>
      <c r="H3725" t="str">
        <f t="shared" si="350"/>
        <v>RAFAEL PARISE</v>
      </c>
      <c r="I3725" t="str">
        <f t="shared" si="351"/>
        <v>MINASPOL INDUSTRIA E COMERCIO DE COMPOSTOS POLIMER</v>
      </c>
      <c r="J3725">
        <f t="shared" si="352"/>
        <v>0</v>
      </c>
      <c r="K3725">
        <f t="shared" si="353"/>
        <v>1</v>
      </c>
    </row>
    <row r="3726" spans="1:11" x14ac:dyDescent="0.25">
      <c r="A3726" t="s">
        <v>387</v>
      </c>
      <c r="B3726" t="s">
        <v>134</v>
      </c>
      <c r="C3726" t="s">
        <v>50</v>
      </c>
      <c r="D3726" s="6">
        <v>45888</v>
      </c>
      <c r="E3726" t="str">
        <f>VLOOKUP(B3726,'PROCV GERENTES BD'!A:B,2,0)</f>
        <v>RAFAEL PARISE</v>
      </c>
      <c r="F3726" s="4" t="str">
        <f t="shared" si="348"/>
        <v>2025-08</v>
      </c>
      <c r="G3726" s="18">
        <f t="shared" si="349"/>
        <v>34</v>
      </c>
      <c r="H3726" t="str">
        <f t="shared" si="350"/>
        <v>RAFAEL PARISE</v>
      </c>
      <c r="I3726" t="str">
        <f t="shared" si="351"/>
        <v>MAIS DISTRIBUIDORA LTDA</v>
      </c>
      <c r="J3726">
        <f t="shared" si="352"/>
        <v>0</v>
      </c>
      <c r="K3726">
        <f t="shared" si="353"/>
        <v>1</v>
      </c>
    </row>
    <row r="3727" spans="1:11" x14ac:dyDescent="0.25">
      <c r="A3727" t="s">
        <v>534</v>
      </c>
      <c r="B3727" t="s">
        <v>303</v>
      </c>
      <c r="C3727" t="s">
        <v>66</v>
      </c>
      <c r="D3727" s="6">
        <v>45888</v>
      </c>
      <c r="E3727" t="str">
        <f>VLOOKUP(B3727,'PROCV GERENTES BD'!A:B,2,0)</f>
        <v xml:space="preserve">MARCUS VINICIUS </v>
      </c>
      <c r="F3727" s="4" t="str">
        <f t="shared" si="348"/>
        <v>2025-08</v>
      </c>
      <c r="G3727" s="18">
        <f t="shared" si="349"/>
        <v>34</v>
      </c>
      <c r="H3727" t="str">
        <f t="shared" si="350"/>
        <v xml:space="preserve">MARCUS VINICIUS </v>
      </c>
      <c r="I3727" t="str">
        <f t="shared" si="351"/>
        <v>GRAFICA JSA LTDA EPP</v>
      </c>
      <c r="J3727">
        <f t="shared" si="352"/>
        <v>1</v>
      </c>
      <c r="K3727">
        <f t="shared" si="353"/>
        <v>0</v>
      </c>
    </row>
    <row r="3728" spans="1:11" x14ac:dyDescent="0.25">
      <c r="A3728" t="s">
        <v>322</v>
      </c>
      <c r="B3728" t="s">
        <v>294</v>
      </c>
      <c r="C3728" t="s">
        <v>50</v>
      </c>
      <c r="D3728" s="6">
        <v>45888</v>
      </c>
      <c r="E3728" t="str">
        <f>VLOOKUP(B3728,'PROCV GERENTES BD'!A:B,2,0)</f>
        <v>CAIO</v>
      </c>
      <c r="F3728" s="4" t="str">
        <f t="shared" si="348"/>
        <v>2025-08</v>
      </c>
      <c r="G3728" s="18">
        <f t="shared" si="349"/>
        <v>34</v>
      </c>
      <c r="H3728" t="str">
        <f t="shared" si="350"/>
        <v>CAIO</v>
      </c>
      <c r="I3728" t="str">
        <f t="shared" si="351"/>
        <v>LAF COMERCIAL LTDA ME</v>
      </c>
      <c r="J3728">
        <f t="shared" si="352"/>
        <v>0</v>
      </c>
      <c r="K3728">
        <f t="shared" si="353"/>
        <v>1</v>
      </c>
    </row>
    <row r="3729" spans="1:11" x14ac:dyDescent="0.25">
      <c r="A3729" t="s">
        <v>361</v>
      </c>
      <c r="B3729" t="s">
        <v>106</v>
      </c>
      <c r="C3729" t="s">
        <v>50</v>
      </c>
      <c r="D3729" s="6">
        <v>45888</v>
      </c>
      <c r="E3729" t="str">
        <f>VLOOKUP(B3729,'PROCV GERENTES BD'!A:B,2,0)</f>
        <v>PRISCILA METZ</v>
      </c>
      <c r="F3729" s="4" t="str">
        <f t="shared" si="348"/>
        <v>2025-08</v>
      </c>
      <c r="G3729" s="18">
        <f t="shared" si="349"/>
        <v>34</v>
      </c>
      <c r="H3729" t="str">
        <f t="shared" si="350"/>
        <v>PRISCILA METZ</v>
      </c>
      <c r="I3729" t="str">
        <f t="shared" si="351"/>
        <v>HERBAMED LABORATORIO NUTRACEUTICO LTDA</v>
      </c>
      <c r="J3729">
        <f t="shared" si="352"/>
        <v>0</v>
      </c>
      <c r="K3729">
        <f t="shared" si="353"/>
        <v>1</v>
      </c>
    </row>
    <row r="3730" spans="1:11" x14ac:dyDescent="0.25">
      <c r="A3730" t="s">
        <v>358</v>
      </c>
      <c r="B3730" t="s">
        <v>104</v>
      </c>
      <c r="C3730" t="s">
        <v>53</v>
      </c>
      <c r="D3730" s="6">
        <v>45888</v>
      </c>
      <c r="E3730" t="str">
        <f>VLOOKUP(B3730,'PROCV GERENTES BD'!A:B,2,0)</f>
        <v>DIOGO AZEVEDO</v>
      </c>
      <c r="F3730" s="4" t="str">
        <f t="shared" si="348"/>
        <v>2025-08</v>
      </c>
      <c r="G3730" s="18">
        <f t="shared" si="349"/>
        <v>34</v>
      </c>
      <c r="H3730" t="str">
        <f t="shared" si="350"/>
        <v>DIOGO AZEVEDO</v>
      </c>
      <c r="I3730" t="str">
        <f t="shared" si="351"/>
        <v>INDUSTRIA E CERVEJARIA ARTESANAL DE MINAS GERAIS L</v>
      </c>
      <c r="J3730">
        <f t="shared" si="352"/>
        <v>1</v>
      </c>
      <c r="K3730">
        <f t="shared" si="353"/>
        <v>1</v>
      </c>
    </row>
    <row r="3731" spans="1:11" x14ac:dyDescent="0.25">
      <c r="A3731" t="s">
        <v>331</v>
      </c>
      <c r="B3731" t="s">
        <v>144</v>
      </c>
      <c r="C3731" t="s">
        <v>50</v>
      </c>
      <c r="D3731" s="6">
        <v>45888</v>
      </c>
      <c r="E3731" t="str">
        <f>VLOOKUP(B3731,'PROCV GERENTES BD'!A:B,2,0)</f>
        <v>ADMINISTRAÇÃO</v>
      </c>
      <c r="F3731" s="4" t="str">
        <f t="shared" si="348"/>
        <v>2025-08</v>
      </c>
      <c r="G3731" s="18">
        <f t="shared" si="349"/>
        <v>34</v>
      </c>
      <c r="H3731" t="str">
        <f t="shared" si="350"/>
        <v>ADMINISTRAÇÃO</v>
      </c>
      <c r="I3731" t="str">
        <f t="shared" si="351"/>
        <v>BOM PASTOR PAPEIS LTDA EM RECUPERACAO JUDICIAL</v>
      </c>
      <c r="J3731">
        <f t="shared" si="352"/>
        <v>0</v>
      </c>
      <c r="K3731">
        <f t="shared" si="353"/>
        <v>1</v>
      </c>
    </row>
    <row r="3732" spans="1:11" x14ac:dyDescent="0.25">
      <c r="A3732" t="s">
        <v>56</v>
      </c>
      <c r="B3732" t="s">
        <v>57</v>
      </c>
      <c r="C3732" t="s">
        <v>53</v>
      </c>
      <c r="D3732" s="6">
        <v>45888</v>
      </c>
      <c r="E3732" t="str">
        <f>VLOOKUP(B3732,'PROCV GERENTES BD'!A:B,2,0)</f>
        <v xml:space="preserve">ROGERIO </v>
      </c>
      <c r="F3732" s="4" t="str">
        <f t="shared" si="348"/>
        <v>2025-08</v>
      </c>
      <c r="G3732" s="18">
        <f t="shared" si="349"/>
        <v>34</v>
      </c>
      <c r="H3732" t="str">
        <f t="shared" si="350"/>
        <v xml:space="preserve">ROGERIO </v>
      </c>
      <c r="I3732" t="str">
        <f t="shared" si="351"/>
        <v>RODOVIEIRA TRANSPORTE LTDA</v>
      </c>
      <c r="J3732">
        <f t="shared" si="352"/>
        <v>1</v>
      </c>
      <c r="K3732">
        <f t="shared" si="353"/>
        <v>1</v>
      </c>
    </row>
    <row r="3733" spans="1:11" x14ac:dyDescent="0.25">
      <c r="A3733" t="s">
        <v>319</v>
      </c>
      <c r="B3733" t="s">
        <v>649</v>
      </c>
      <c r="C3733" t="s">
        <v>50</v>
      </c>
      <c r="D3733" s="6">
        <v>45888</v>
      </c>
      <c r="E3733" t="str">
        <f>VLOOKUP(B3733,'PROCV GERENTES BD'!A:B,2,0)</f>
        <v>CELIO PIMENTA</v>
      </c>
      <c r="F3733" s="4" t="str">
        <f t="shared" si="348"/>
        <v>2025-08</v>
      </c>
      <c r="G3733" s="18">
        <f t="shared" si="349"/>
        <v>34</v>
      </c>
      <c r="H3733" t="str">
        <f t="shared" si="350"/>
        <v>CELIO PIMENTA</v>
      </c>
      <c r="I3733" t="str">
        <f t="shared" si="351"/>
        <v>IMPORTEXTIL ASSESSORIA EMPRESARIAL LTDA</v>
      </c>
      <c r="J3733">
        <f t="shared" si="352"/>
        <v>0</v>
      </c>
      <c r="K3733">
        <f t="shared" si="353"/>
        <v>1</v>
      </c>
    </row>
    <row r="3734" spans="1:11" x14ac:dyDescent="0.25">
      <c r="A3734" t="s">
        <v>318</v>
      </c>
      <c r="B3734" t="s">
        <v>203</v>
      </c>
      <c r="C3734" t="s">
        <v>50</v>
      </c>
      <c r="D3734" s="6">
        <v>45888</v>
      </c>
      <c r="E3734" t="str">
        <f>VLOOKUP(B3734,'PROCV GERENTES BD'!A:B,2,0)</f>
        <v>JOSE ROBERTO</v>
      </c>
      <c r="F3734" s="4" t="str">
        <f t="shared" si="348"/>
        <v>2025-08</v>
      </c>
      <c r="G3734" s="18">
        <f t="shared" si="349"/>
        <v>34</v>
      </c>
      <c r="H3734" t="str">
        <f t="shared" si="350"/>
        <v>JOSE ROBERTO</v>
      </c>
      <c r="I3734" t="str">
        <f t="shared" si="351"/>
        <v>FUNDACAO DE ENSINO E PESQUISA DO SUL DE MINAS FEPE</v>
      </c>
      <c r="J3734">
        <f t="shared" si="352"/>
        <v>0</v>
      </c>
      <c r="K3734">
        <f t="shared" si="353"/>
        <v>1</v>
      </c>
    </row>
    <row r="3735" spans="1:11" x14ac:dyDescent="0.25">
      <c r="A3735" t="s">
        <v>639</v>
      </c>
      <c r="B3735" t="s">
        <v>564</v>
      </c>
      <c r="C3735" t="s">
        <v>50</v>
      </c>
      <c r="D3735" s="6">
        <v>45888</v>
      </c>
      <c r="E3735" t="str">
        <f>VLOOKUP(B3735,'PROCV GERENTES BD'!A:B,2,0)</f>
        <v>CAIO</v>
      </c>
      <c r="F3735" s="4" t="str">
        <f t="shared" si="348"/>
        <v>2025-08</v>
      </c>
      <c r="G3735" s="18">
        <f t="shared" si="349"/>
        <v>34</v>
      </c>
      <c r="H3735" t="str">
        <f t="shared" si="350"/>
        <v>CAIO</v>
      </c>
      <c r="I3735" t="str">
        <f t="shared" si="351"/>
        <v>FRUTABELLA INDUSTRIA E COMERCIO DE ALIMENTOS LTDA</v>
      </c>
      <c r="J3735">
        <f t="shared" si="352"/>
        <v>0</v>
      </c>
      <c r="K3735">
        <f t="shared" si="353"/>
        <v>1</v>
      </c>
    </row>
    <row r="3736" spans="1:11" x14ac:dyDescent="0.25">
      <c r="A3736" t="s">
        <v>325</v>
      </c>
      <c r="B3736" t="s">
        <v>138</v>
      </c>
      <c r="C3736" t="s">
        <v>50</v>
      </c>
      <c r="D3736" s="6">
        <v>45888</v>
      </c>
      <c r="E3736" t="str">
        <f>VLOOKUP(B3736,'PROCV GERENTES BD'!A:B,2,0)</f>
        <v>SACADO</v>
      </c>
      <c r="F3736" s="4" t="str">
        <f t="shared" si="348"/>
        <v>2025-08</v>
      </c>
      <c r="G3736" s="18">
        <f t="shared" si="349"/>
        <v>34</v>
      </c>
      <c r="H3736" t="str">
        <f t="shared" si="350"/>
        <v>SACADO</v>
      </c>
      <c r="I3736" t="str">
        <f t="shared" si="351"/>
        <v>ALLIAGE S A INDUSTRIAS MEDICO ODONTOLOGICA</v>
      </c>
      <c r="J3736">
        <f t="shared" si="352"/>
        <v>0</v>
      </c>
      <c r="K3736">
        <f t="shared" si="353"/>
        <v>1</v>
      </c>
    </row>
    <row r="3737" spans="1:11" x14ac:dyDescent="0.25">
      <c r="A3737" t="s">
        <v>48</v>
      </c>
      <c r="B3737" t="s">
        <v>49</v>
      </c>
      <c r="C3737" t="s">
        <v>50</v>
      </c>
      <c r="D3737" s="6">
        <v>45889</v>
      </c>
      <c r="E3737" t="str">
        <f>VLOOKUP(B3737,'PROCV GERENTES BD'!A:B,2,0)</f>
        <v xml:space="preserve">MARCUS VINICIUS </v>
      </c>
      <c r="F3737" s="4" t="str">
        <f t="shared" si="348"/>
        <v>2025-08</v>
      </c>
      <c r="G3737" s="18">
        <f t="shared" si="349"/>
        <v>34</v>
      </c>
      <c r="H3737" t="str">
        <f t="shared" si="350"/>
        <v xml:space="preserve">MARCUS VINICIUS </v>
      </c>
      <c r="I3737" t="str">
        <f t="shared" si="351"/>
        <v>PROMEL IND COM IMP E EXP DE PRODS NATURAIS LTDA</v>
      </c>
      <c r="J3737">
        <f t="shared" si="352"/>
        <v>0</v>
      </c>
      <c r="K3737">
        <f t="shared" si="353"/>
        <v>1</v>
      </c>
    </row>
    <row r="3738" spans="1:11" x14ac:dyDescent="0.25">
      <c r="A3738" t="s">
        <v>623</v>
      </c>
      <c r="B3738" t="s">
        <v>624</v>
      </c>
      <c r="C3738" t="s">
        <v>50</v>
      </c>
      <c r="D3738" s="6">
        <v>45889</v>
      </c>
      <c r="E3738" t="str">
        <f>VLOOKUP(B3738,'PROCV GERENTES BD'!A:B,2,0)</f>
        <v>ALISSON DE SOUZA LIMA</v>
      </c>
      <c r="F3738" s="4" t="str">
        <f t="shared" si="348"/>
        <v>2025-08</v>
      </c>
      <c r="G3738" s="18">
        <f t="shared" si="349"/>
        <v>34</v>
      </c>
      <c r="H3738" t="str">
        <f t="shared" si="350"/>
        <v>ALISSON DE SOUZA LIMA</v>
      </c>
      <c r="I3738" t="str">
        <f t="shared" si="351"/>
        <v>A2 VIDROS INDUSTRIA E COMERCIO LTDA</v>
      </c>
      <c r="J3738">
        <f t="shared" si="352"/>
        <v>0</v>
      </c>
      <c r="K3738">
        <f t="shared" si="353"/>
        <v>1</v>
      </c>
    </row>
    <row r="3739" spans="1:11" x14ac:dyDescent="0.25">
      <c r="A3739" t="s">
        <v>430</v>
      </c>
      <c r="B3739" t="s">
        <v>181</v>
      </c>
      <c r="C3739" t="s">
        <v>50</v>
      </c>
      <c r="D3739" s="6">
        <v>45889</v>
      </c>
      <c r="E3739" t="str">
        <f>VLOOKUP(B3739,'PROCV GERENTES BD'!A:B,2,0)</f>
        <v>PROSPECTAR</v>
      </c>
      <c r="F3739" s="4" t="str">
        <f t="shared" si="348"/>
        <v>2025-08</v>
      </c>
      <c r="G3739" s="18">
        <f t="shared" si="349"/>
        <v>34</v>
      </c>
      <c r="H3739" t="str">
        <f t="shared" si="350"/>
        <v>PROSPECTAR</v>
      </c>
      <c r="I3739" t="str">
        <f t="shared" si="351"/>
        <v>SIQUEIRA E GAIPO INDUSTRIA E MATERIAIS ESPORTIVOS</v>
      </c>
      <c r="J3739">
        <f t="shared" si="352"/>
        <v>0</v>
      </c>
      <c r="K3739">
        <f t="shared" si="353"/>
        <v>1</v>
      </c>
    </row>
    <row r="3740" spans="1:11" x14ac:dyDescent="0.25">
      <c r="A3740" t="s">
        <v>508</v>
      </c>
      <c r="B3740" t="s">
        <v>271</v>
      </c>
      <c r="C3740" t="s">
        <v>50</v>
      </c>
      <c r="D3740" s="6">
        <v>45889</v>
      </c>
      <c r="E3740" t="str">
        <f>VLOOKUP(B3740,'PROCV GERENTES BD'!A:B,2,0)</f>
        <v>PRISCILA METZ</v>
      </c>
      <c r="F3740" s="4" t="str">
        <f t="shared" si="348"/>
        <v>2025-08</v>
      </c>
      <c r="G3740" s="18">
        <f t="shared" si="349"/>
        <v>34</v>
      </c>
      <c r="H3740" t="str">
        <f t="shared" si="350"/>
        <v>PRISCILA METZ</v>
      </c>
      <c r="I3740" t="str">
        <f t="shared" si="351"/>
        <v>TUBOLARES VITORIA INDUSTRIA E COMERCIO LTDA ME</v>
      </c>
      <c r="J3740">
        <f t="shared" si="352"/>
        <v>0</v>
      </c>
      <c r="K3740">
        <f t="shared" si="353"/>
        <v>1</v>
      </c>
    </row>
    <row r="3741" spans="1:11" x14ac:dyDescent="0.25">
      <c r="A3741" t="s">
        <v>314</v>
      </c>
      <c r="B3741" t="s">
        <v>246</v>
      </c>
      <c r="C3741" t="s">
        <v>66</v>
      </c>
      <c r="D3741" s="6">
        <v>45889</v>
      </c>
      <c r="E3741" t="str">
        <f>VLOOKUP(B3741,'PROCV GERENTES BD'!A:B,2,0)</f>
        <v xml:space="preserve">ROGERIO </v>
      </c>
      <c r="F3741" s="4" t="str">
        <f t="shared" si="348"/>
        <v>2025-08</v>
      </c>
      <c r="G3741" s="18">
        <f t="shared" si="349"/>
        <v>34</v>
      </c>
      <c r="H3741" t="str">
        <f t="shared" si="350"/>
        <v xml:space="preserve">ROGERIO </v>
      </c>
      <c r="I3741" t="str">
        <f t="shared" si="351"/>
        <v>MUTCD CENTRO DE DISTRIBUICAO DE IND FABRICANTE DE</v>
      </c>
      <c r="J3741">
        <f t="shared" si="352"/>
        <v>1</v>
      </c>
      <c r="K3741">
        <f t="shared" si="353"/>
        <v>0</v>
      </c>
    </row>
    <row r="3742" spans="1:11" x14ac:dyDescent="0.25">
      <c r="A3742" t="s">
        <v>370</v>
      </c>
      <c r="B3742" t="s">
        <v>114</v>
      </c>
      <c r="C3742" t="s">
        <v>50</v>
      </c>
      <c r="D3742" s="6">
        <v>45889</v>
      </c>
      <c r="E3742" t="str">
        <f>VLOOKUP(B3742,'PROCV GERENTES BD'!A:B,2,0)</f>
        <v>POENATELA</v>
      </c>
      <c r="F3742" s="4" t="str">
        <f t="shared" si="348"/>
        <v>2025-08</v>
      </c>
      <c r="G3742" s="18">
        <f t="shared" si="349"/>
        <v>34</v>
      </c>
      <c r="H3742" t="str">
        <f t="shared" si="350"/>
        <v>POENATELA</v>
      </c>
      <c r="I3742" t="str">
        <f t="shared" si="351"/>
        <v>COOPERATIVA TRANSP AUTON CARGAS PASSAG SERVICOS LO</v>
      </c>
      <c r="J3742">
        <f t="shared" si="352"/>
        <v>0</v>
      </c>
      <c r="K3742">
        <f t="shared" si="353"/>
        <v>1</v>
      </c>
    </row>
    <row r="3743" spans="1:11" x14ac:dyDescent="0.25">
      <c r="A3743" t="s">
        <v>630</v>
      </c>
      <c r="B3743" t="s">
        <v>559</v>
      </c>
      <c r="C3743" t="s">
        <v>66</v>
      </c>
      <c r="D3743" s="6">
        <v>45889</v>
      </c>
      <c r="E3743" t="str">
        <f>VLOOKUP(B3743,'PROCV GERENTES BD'!A:B,2,0)</f>
        <v>ALISSON DE SOUZA LIMA</v>
      </c>
      <c r="F3743" s="4" t="str">
        <f t="shared" si="348"/>
        <v>2025-08</v>
      </c>
      <c r="G3743" s="18">
        <f t="shared" si="349"/>
        <v>34</v>
      </c>
      <c r="H3743" t="str">
        <f t="shared" si="350"/>
        <v>ALISSON DE SOUZA LIMA</v>
      </c>
      <c r="I3743" t="str">
        <f t="shared" si="351"/>
        <v>JRG SOLUCOES INDUSTRIAIS LTDA</v>
      </c>
      <c r="J3743">
        <f t="shared" si="352"/>
        <v>1</v>
      </c>
      <c r="K3743">
        <f t="shared" si="353"/>
        <v>0</v>
      </c>
    </row>
    <row r="3744" spans="1:11" x14ac:dyDescent="0.25">
      <c r="A3744" t="s">
        <v>448</v>
      </c>
      <c r="B3744" t="s">
        <v>201</v>
      </c>
      <c r="C3744" t="s">
        <v>66</v>
      </c>
      <c r="D3744" s="6">
        <v>45889</v>
      </c>
      <c r="E3744" t="str">
        <f>VLOOKUP(B3744,'PROCV GERENTES BD'!A:B,2,0)</f>
        <v>PRISCILA METZ</v>
      </c>
      <c r="F3744" s="4" t="str">
        <f t="shared" si="348"/>
        <v>2025-08</v>
      </c>
      <c r="G3744" s="18">
        <f t="shared" si="349"/>
        <v>34</v>
      </c>
      <c r="H3744" t="str">
        <f t="shared" si="350"/>
        <v>PRISCILA METZ</v>
      </c>
      <c r="I3744" t="str">
        <f t="shared" si="351"/>
        <v>M TRATORES LTDA EPP</v>
      </c>
      <c r="J3744">
        <f t="shared" si="352"/>
        <v>1</v>
      </c>
      <c r="K3744">
        <f t="shared" si="353"/>
        <v>0</v>
      </c>
    </row>
    <row r="3745" spans="1:11" x14ac:dyDescent="0.25">
      <c r="A3745" t="s">
        <v>62</v>
      </c>
      <c r="B3745" t="s">
        <v>63</v>
      </c>
      <c r="C3745" t="s">
        <v>50</v>
      </c>
      <c r="D3745" s="6">
        <v>45889</v>
      </c>
      <c r="E3745" t="str">
        <f>VLOOKUP(B3745,'PROCV GERENTES BD'!A:B,2,0)</f>
        <v>PROSPECTAR</v>
      </c>
      <c r="F3745" s="4" t="str">
        <f t="shared" si="348"/>
        <v>2025-08</v>
      </c>
      <c r="G3745" s="18">
        <f t="shared" si="349"/>
        <v>34</v>
      </c>
      <c r="H3745" t="str">
        <f t="shared" si="350"/>
        <v>PROSPECTAR</v>
      </c>
      <c r="I3745" t="str">
        <f t="shared" si="351"/>
        <v>MAPP COM IMPORTACAO EXPORTACAO IND PRODUTOS ALIMEN</v>
      </c>
      <c r="J3745">
        <f t="shared" si="352"/>
        <v>0</v>
      </c>
      <c r="K3745">
        <f t="shared" si="353"/>
        <v>1</v>
      </c>
    </row>
    <row r="3746" spans="1:11" x14ac:dyDescent="0.25">
      <c r="A3746" t="s">
        <v>519</v>
      </c>
      <c r="B3746" t="s">
        <v>283</v>
      </c>
      <c r="C3746" t="s">
        <v>66</v>
      </c>
      <c r="D3746" s="6">
        <v>45889</v>
      </c>
      <c r="E3746" t="str">
        <f>VLOOKUP(B3746,'PROCV GERENTES BD'!A:B,2,0)</f>
        <v>DALVA</v>
      </c>
      <c r="F3746" s="4" t="str">
        <f t="shared" si="348"/>
        <v>2025-08</v>
      </c>
      <c r="G3746" s="18">
        <f t="shared" si="349"/>
        <v>34</v>
      </c>
      <c r="H3746" t="str">
        <f t="shared" si="350"/>
        <v>DALVA</v>
      </c>
      <c r="I3746" t="str">
        <f t="shared" si="351"/>
        <v>LTA USINAGEM LTDA EPP</v>
      </c>
      <c r="J3746">
        <f t="shared" si="352"/>
        <v>1</v>
      </c>
      <c r="K3746">
        <f t="shared" si="353"/>
        <v>0</v>
      </c>
    </row>
    <row r="3747" spans="1:11" x14ac:dyDescent="0.25">
      <c r="A3747" t="s">
        <v>604</v>
      </c>
      <c r="B3747" t="s">
        <v>605</v>
      </c>
      <c r="C3747" t="s">
        <v>50</v>
      </c>
      <c r="D3747" s="6">
        <v>45889</v>
      </c>
      <c r="E3747" t="str">
        <f>VLOOKUP(B3747,'PROCV GERENTES BD'!A:B,2,0)</f>
        <v>ALISSON DE SOUZA LIMA</v>
      </c>
      <c r="F3747" s="4" t="str">
        <f t="shared" si="348"/>
        <v>2025-08</v>
      </c>
      <c r="G3747" s="18">
        <f t="shared" si="349"/>
        <v>34</v>
      </c>
      <c r="H3747" t="str">
        <f t="shared" si="350"/>
        <v>ALISSON DE SOUZA LIMA</v>
      </c>
      <c r="I3747" t="str">
        <f t="shared" si="351"/>
        <v>3J FUNDICAO INDUSTRIAL LTDA</v>
      </c>
      <c r="J3747">
        <f t="shared" si="352"/>
        <v>0</v>
      </c>
      <c r="K3747">
        <f t="shared" si="353"/>
        <v>1</v>
      </c>
    </row>
    <row r="3748" spans="1:11" x14ac:dyDescent="0.25">
      <c r="A3748" t="s">
        <v>631</v>
      </c>
      <c r="B3748" t="s">
        <v>561</v>
      </c>
      <c r="C3748" t="s">
        <v>66</v>
      </c>
      <c r="D3748" s="6">
        <v>45889</v>
      </c>
      <c r="E3748" t="str">
        <f>VLOOKUP(B3748,'PROCV GERENTES BD'!A:B,2,0)</f>
        <v>VALERIA</v>
      </c>
      <c r="F3748" s="4" t="str">
        <f t="shared" si="348"/>
        <v>2025-08</v>
      </c>
      <c r="G3748" s="18">
        <f t="shared" si="349"/>
        <v>34</v>
      </c>
      <c r="H3748" t="str">
        <f t="shared" si="350"/>
        <v>VALERIA</v>
      </c>
      <c r="I3748" t="str">
        <f t="shared" si="351"/>
        <v>TRANSPORTADORA PACHECO LTDA EPP</v>
      </c>
      <c r="J3748">
        <f t="shared" si="352"/>
        <v>1</v>
      </c>
      <c r="K3748">
        <f t="shared" si="353"/>
        <v>0</v>
      </c>
    </row>
    <row r="3749" spans="1:11" x14ac:dyDescent="0.25">
      <c r="A3749" t="s">
        <v>372</v>
      </c>
      <c r="B3749" t="s">
        <v>116</v>
      </c>
      <c r="C3749" t="s">
        <v>50</v>
      </c>
      <c r="D3749" s="6">
        <v>45889</v>
      </c>
      <c r="E3749" t="str">
        <f>VLOOKUP(B3749,'PROCV GERENTES BD'!A:B,2,0)</f>
        <v>ADMINISTRAÇÃO</v>
      </c>
      <c r="F3749" s="4" t="str">
        <f t="shared" si="348"/>
        <v>2025-08</v>
      </c>
      <c r="G3749" s="18">
        <f t="shared" si="349"/>
        <v>34</v>
      </c>
      <c r="H3749" t="str">
        <f t="shared" si="350"/>
        <v>ADMINISTRAÇÃO</v>
      </c>
      <c r="I3749" t="str">
        <f t="shared" si="351"/>
        <v>PREMOLDADOS MATOSINHOS LTDA EPP</v>
      </c>
      <c r="J3749">
        <f t="shared" si="352"/>
        <v>0</v>
      </c>
      <c r="K3749">
        <f t="shared" si="353"/>
        <v>1</v>
      </c>
    </row>
    <row r="3750" spans="1:11" x14ac:dyDescent="0.25">
      <c r="A3750" t="s">
        <v>58</v>
      </c>
      <c r="B3750" t="s">
        <v>59</v>
      </c>
      <c r="C3750" t="s">
        <v>50</v>
      </c>
      <c r="D3750" s="6">
        <v>45889</v>
      </c>
      <c r="E3750" t="str">
        <f>VLOOKUP(B3750,'PROCV GERENTES BD'!A:B,2,0)</f>
        <v>ADMINISTRAÇÃO</v>
      </c>
      <c r="F3750" s="4" t="str">
        <f t="shared" si="348"/>
        <v>2025-08</v>
      </c>
      <c r="G3750" s="18">
        <f t="shared" si="349"/>
        <v>34</v>
      </c>
      <c r="H3750" t="str">
        <f t="shared" si="350"/>
        <v>ADMINISTRAÇÃO</v>
      </c>
      <c r="I3750" t="str">
        <f t="shared" si="351"/>
        <v>BIOTECH LOGISTICA LTDA</v>
      </c>
      <c r="J3750">
        <f t="shared" si="352"/>
        <v>0</v>
      </c>
      <c r="K3750">
        <f t="shared" si="353"/>
        <v>1</v>
      </c>
    </row>
    <row r="3751" spans="1:11" x14ac:dyDescent="0.25">
      <c r="A3751" t="s">
        <v>319</v>
      </c>
      <c r="B3751" t="s">
        <v>649</v>
      </c>
      <c r="C3751" t="s">
        <v>50</v>
      </c>
      <c r="D3751" s="6">
        <v>45889</v>
      </c>
      <c r="E3751" t="str">
        <f>VLOOKUP(B3751,'PROCV GERENTES BD'!A:B,2,0)</f>
        <v>CELIO PIMENTA</v>
      </c>
      <c r="F3751" s="4" t="str">
        <f t="shared" si="348"/>
        <v>2025-08</v>
      </c>
      <c r="G3751" s="18">
        <f t="shared" si="349"/>
        <v>34</v>
      </c>
      <c r="H3751" t="str">
        <f t="shared" si="350"/>
        <v>CELIO PIMENTA</v>
      </c>
      <c r="I3751" t="str">
        <f t="shared" si="351"/>
        <v>IMPORTEXTIL ASSESSORIA EMPRESARIAL LTDA</v>
      </c>
      <c r="J3751">
        <f t="shared" si="352"/>
        <v>0</v>
      </c>
      <c r="K3751">
        <f t="shared" si="353"/>
        <v>1</v>
      </c>
    </row>
    <row r="3752" spans="1:11" x14ac:dyDescent="0.25">
      <c r="A3752" t="s">
        <v>56</v>
      </c>
      <c r="B3752" t="s">
        <v>57</v>
      </c>
      <c r="C3752" t="s">
        <v>50</v>
      </c>
      <c r="D3752" s="6">
        <v>45889</v>
      </c>
      <c r="E3752" t="str">
        <f>VLOOKUP(B3752,'PROCV GERENTES BD'!A:B,2,0)</f>
        <v xml:space="preserve">ROGERIO </v>
      </c>
      <c r="F3752" s="4" t="str">
        <f t="shared" si="348"/>
        <v>2025-08</v>
      </c>
      <c r="G3752" s="18">
        <f t="shared" si="349"/>
        <v>34</v>
      </c>
      <c r="H3752" t="str">
        <f t="shared" si="350"/>
        <v xml:space="preserve">ROGERIO </v>
      </c>
      <c r="I3752" t="str">
        <f t="shared" si="351"/>
        <v>RODOVIEIRA TRANSPORTE LTDA</v>
      </c>
      <c r="J3752">
        <f t="shared" si="352"/>
        <v>0</v>
      </c>
      <c r="K3752">
        <f t="shared" si="353"/>
        <v>1</v>
      </c>
    </row>
    <row r="3753" spans="1:11" x14ac:dyDescent="0.25">
      <c r="A3753" t="s">
        <v>387</v>
      </c>
      <c r="B3753" t="s">
        <v>134</v>
      </c>
      <c r="C3753" t="s">
        <v>50</v>
      </c>
      <c r="D3753" s="6">
        <v>45889</v>
      </c>
      <c r="E3753" t="str">
        <f>VLOOKUP(B3753,'PROCV GERENTES BD'!A:B,2,0)</f>
        <v>RAFAEL PARISE</v>
      </c>
      <c r="F3753" s="4" t="str">
        <f t="shared" si="348"/>
        <v>2025-08</v>
      </c>
      <c r="G3753" s="18">
        <f t="shared" si="349"/>
        <v>34</v>
      </c>
      <c r="H3753" t="str">
        <f t="shared" si="350"/>
        <v>RAFAEL PARISE</v>
      </c>
      <c r="I3753" t="str">
        <f t="shared" si="351"/>
        <v>MAIS DISTRIBUIDORA LTDA</v>
      </c>
      <c r="J3753">
        <f t="shared" si="352"/>
        <v>0</v>
      </c>
      <c r="K3753">
        <f t="shared" si="353"/>
        <v>1</v>
      </c>
    </row>
    <row r="3754" spans="1:11" x14ac:dyDescent="0.25">
      <c r="A3754" t="s">
        <v>323</v>
      </c>
      <c r="B3754" t="s">
        <v>109</v>
      </c>
      <c r="C3754" t="s">
        <v>50</v>
      </c>
      <c r="D3754" s="6">
        <v>45889</v>
      </c>
      <c r="E3754" t="str">
        <f>VLOOKUP(B3754,'PROCV GERENTES BD'!A:B,2,0)</f>
        <v>PROSPECTAR</v>
      </c>
      <c r="F3754" s="4" t="str">
        <f t="shared" si="348"/>
        <v>2025-08</v>
      </c>
      <c r="G3754" s="18">
        <f t="shared" si="349"/>
        <v>34</v>
      </c>
      <c r="H3754" t="str">
        <f t="shared" si="350"/>
        <v>PROSPECTAR</v>
      </c>
      <c r="I3754" t="str">
        <f t="shared" si="351"/>
        <v>SIAP COMERCIO DE PRODUTOS AGROPECUARIOS LTDA</v>
      </c>
      <c r="J3754">
        <f t="shared" si="352"/>
        <v>0</v>
      </c>
      <c r="K3754">
        <f t="shared" si="353"/>
        <v>1</v>
      </c>
    </row>
    <row r="3755" spans="1:11" x14ac:dyDescent="0.25">
      <c r="A3755" t="s">
        <v>325</v>
      </c>
      <c r="B3755" t="s">
        <v>138</v>
      </c>
      <c r="C3755" t="s">
        <v>66</v>
      </c>
      <c r="D3755" s="6">
        <v>45889</v>
      </c>
      <c r="E3755" t="str">
        <f>VLOOKUP(B3755,'PROCV GERENTES BD'!A:B,2,0)</f>
        <v>SACADO</v>
      </c>
      <c r="F3755" s="4" t="str">
        <f t="shared" si="348"/>
        <v>2025-08</v>
      </c>
      <c r="G3755" s="18">
        <f t="shared" si="349"/>
        <v>34</v>
      </c>
      <c r="H3755" t="str">
        <f t="shared" si="350"/>
        <v>SACADO</v>
      </c>
      <c r="I3755" t="str">
        <f t="shared" si="351"/>
        <v>ALLIAGE S A INDUSTRIAS MEDICO ODONTOLOGICA</v>
      </c>
      <c r="J3755">
        <f t="shared" si="352"/>
        <v>1</v>
      </c>
      <c r="K3755">
        <f t="shared" si="353"/>
        <v>0</v>
      </c>
    </row>
    <row r="3756" spans="1:11" x14ac:dyDescent="0.25">
      <c r="A3756" t="s">
        <v>510</v>
      </c>
      <c r="B3756" t="s">
        <v>273</v>
      </c>
      <c r="C3756" t="s">
        <v>50</v>
      </c>
      <c r="D3756" s="6">
        <v>45889</v>
      </c>
      <c r="E3756" t="str">
        <f>VLOOKUP(B3756,'PROCV GERENTES BD'!A:B,2,0)</f>
        <v>CELIO PIMENTA</v>
      </c>
      <c r="F3756" s="4" t="str">
        <f t="shared" si="348"/>
        <v>2025-08</v>
      </c>
      <c r="G3756" s="18">
        <f t="shared" si="349"/>
        <v>34</v>
      </c>
      <c r="H3756" t="str">
        <f t="shared" si="350"/>
        <v>CELIO PIMENTA</v>
      </c>
      <c r="I3756" t="str">
        <f t="shared" si="351"/>
        <v>PRADO MOREIRA TEXTIL LTDA ME</v>
      </c>
      <c r="J3756">
        <f t="shared" si="352"/>
        <v>0</v>
      </c>
      <c r="K3756">
        <f t="shared" si="353"/>
        <v>1</v>
      </c>
    </row>
    <row r="3757" spans="1:11" x14ac:dyDescent="0.25">
      <c r="A3757" t="s">
        <v>397</v>
      </c>
      <c r="B3757" t="s">
        <v>147</v>
      </c>
      <c r="C3757" t="s">
        <v>50</v>
      </c>
      <c r="D3757" s="6">
        <v>45890</v>
      </c>
      <c r="E3757" t="str">
        <f>VLOOKUP(B3757,'PROCV GERENTES BD'!A:B,2,0)</f>
        <v xml:space="preserve">MARCUS VINICIUS </v>
      </c>
      <c r="F3757" s="4" t="str">
        <f t="shared" si="348"/>
        <v>2025-08</v>
      </c>
      <c r="G3757" s="18">
        <f t="shared" si="349"/>
        <v>34</v>
      </c>
      <c r="H3757" t="str">
        <f t="shared" si="350"/>
        <v xml:space="preserve">MARCUS VINICIUS </v>
      </c>
      <c r="I3757" t="str">
        <f t="shared" si="351"/>
        <v>UNIVERSO INOX INDUSTRIA E COMERCIO LTDA EPP</v>
      </c>
      <c r="J3757">
        <f t="shared" si="352"/>
        <v>0</v>
      </c>
      <c r="K3757">
        <f t="shared" si="353"/>
        <v>1</v>
      </c>
    </row>
    <row r="3758" spans="1:11" x14ac:dyDescent="0.25">
      <c r="A3758" t="s">
        <v>307</v>
      </c>
      <c r="B3758" t="s">
        <v>102</v>
      </c>
      <c r="C3758" t="s">
        <v>66</v>
      </c>
      <c r="D3758" s="6">
        <v>45890</v>
      </c>
      <c r="E3758" t="str">
        <f>VLOOKUP(B3758,'PROCV GERENTES BD'!A:B,2,0)</f>
        <v>POENATELA</v>
      </c>
      <c r="F3758" s="4" t="str">
        <f t="shared" si="348"/>
        <v>2025-08</v>
      </c>
      <c r="G3758" s="18">
        <f t="shared" si="349"/>
        <v>34</v>
      </c>
      <c r="H3758" t="str">
        <f t="shared" si="350"/>
        <v>POENATELA</v>
      </c>
      <c r="I3758" t="str">
        <f t="shared" si="351"/>
        <v>ECOPINUS INDUSTRIA E COMERCIO DE EMBALAGENS DE MAD</v>
      </c>
      <c r="J3758">
        <f t="shared" si="352"/>
        <v>1</v>
      </c>
      <c r="K3758">
        <f t="shared" si="353"/>
        <v>0</v>
      </c>
    </row>
    <row r="3759" spans="1:11" x14ac:dyDescent="0.25">
      <c r="A3759" t="s">
        <v>361</v>
      </c>
      <c r="B3759" t="s">
        <v>106</v>
      </c>
      <c r="C3759" t="s">
        <v>66</v>
      </c>
      <c r="D3759" s="6">
        <v>45890</v>
      </c>
      <c r="E3759" t="str">
        <f>VLOOKUP(B3759,'PROCV GERENTES BD'!A:B,2,0)</f>
        <v>PRISCILA METZ</v>
      </c>
      <c r="F3759" s="4" t="str">
        <f t="shared" si="348"/>
        <v>2025-08</v>
      </c>
      <c r="G3759" s="18">
        <f t="shared" si="349"/>
        <v>34</v>
      </c>
      <c r="H3759" t="str">
        <f t="shared" si="350"/>
        <v>PRISCILA METZ</v>
      </c>
      <c r="I3759" t="str">
        <f t="shared" si="351"/>
        <v>HERBAMED LABORATORIO NUTRACEUTICO LTDA</v>
      </c>
      <c r="J3759">
        <f t="shared" si="352"/>
        <v>1</v>
      </c>
      <c r="K3759">
        <f t="shared" si="353"/>
        <v>0</v>
      </c>
    </row>
    <row r="3760" spans="1:11" x14ac:dyDescent="0.25">
      <c r="A3760" t="s">
        <v>358</v>
      </c>
      <c r="B3760" t="s">
        <v>104</v>
      </c>
      <c r="C3760" t="s">
        <v>50</v>
      </c>
      <c r="D3760" s="6">
        <v>45890</v>
      </c>
      <c r="E3760" t="str">
        <f>VLOOKUP(B3760,'PROCV GERENTES BD'!A:B,2,0)</f>
        <v>DIOGO AZEVEDO</v>
      </c>
      <c r="F3760" s="4" t="str">
        <f t="shared" si="348"/>
        <v>2025-08</v>
      </c>
      <c r="G3760" s="18">
        <f t="shared" si="349"/>
        <v>34</v>
      </c>
      <c r="H3760" t="str">
        <f t="shared" si="350"/>
        <v>DIOGO AZEVEDO</v>
      </c>
      <c r="I3760" t="str">
        <f t="shared" si="351"/>
        <v>INDUSTRIA E CERVEJARIA ARTESANAL DE MINAS GERAIS L</v>
      </c>
      <c r="J3760">
        <f t="shared" si="352"/>
        <v>0</v>
      </c>
      <c r="K3760">
        <f t="shared" si="353"/>
        <v>1</v>
      </c>
    </row>
    <row r="3761" spans="1:11" x14ac:dyDescent="0.25">
      <c r="A3761" t="s">
        <v>475</v>
      </c>
      <c r="B3761" t="s">
        <v>232</v>
      </c>
      <c r="C3761" t="s">
        <v>66</v>
      </c>
      <c r="D3761" s="6">
        <v>45890</v>
      </c>
      <c r="E3761" t="str">
        <f>VLOOKUP(B3761,'PROCV GERENTES BD'!A:B,2,0)</f>
        <v>POENATELA</v>
      </c>
      <c r="F3761" s="4" t="str">
        <f t="shared" si="348"/>
        <v>2025-08</v>
      </c>
      <c r="G3761" s="18">
        <f t="shared" si="349"/>
        <v>34</v>
      </c>
      <c r="H3761" t="str">
        <f t="shared" si="350"/>
        <v>POENATELA</v>
      </c>
      <c r="I3761" t="str">
        <f t="shared" si="351"/>
        <v>JUATUBA MOVEIS E EMBALAGENS LTDA</v>
      </c>
      <c r="J3761">
        <f t="shared" si="352"/>
        <v>1</v>
      </c>
      <c r="K3761">
        <f t="shared" si="353"/>
        <v>0</v>
      </c>
    </row>
    <row r="3762" spans="1:11" x14ac:dyDescent="0.25">
      <c r="A3762" t="s">
        <v>604</v>
      </c>
      <c r="B3762" t="s">
        <v>605</v>
      </c>
      <c r="C3762" t="s">
        <v>50</v>
      </c>
      <c r="D3762" s="6">
        <v>45890</v>
      </c>
      <c r="E3762" t="str">
        <f>VLOOKUP(B3762,'PROCV GERENTES BD'!A:B,2,0)</f>
        <v>ALISSON DE SOUZA LIMA</v>
      </c>
      <c r="F3762" s="4" t="str">
        <f t="shared" si="348"/>
        <v>2025-08</v>
      </c>
      <c r="G3762" s="18">
        <f t="shared" si="349"/>
        <v>34</v>
      </c>
      <c r="H3762" t="str">
        <f t="shared" si="350"/>
        <v>ALISSON DE SOUZA LIMA</v>
      </c>
      <c r="I3762" t="str">
        <f t="shared" si="351"/>
        <v>3J FUNDICAO INDUSTRIAL LTDA</v>
      </c>
      <c r="J3762">
        <f t="shared" si="352"/>
        <v>0</v>
      </c>
      <c r="K3762">
        <f t="shared" si="353"/>
        <v>1</v>
      </c>
    </row>
    <row r="3763" spans="1:11" x14ac:dyDescent="0.25">
      <c r="A3763" t="s">
        <v>64</v>
      </c>
      <c r="B3763" t="s">
        <v>65</v>
      </c>
      <c r="C3763" t="s">
        <v>53</v>
      </c>
      <c r="D3763" s="6">
        <v>45890</v>
      </c>
      <c r="E3763" t="str">
        <f>VLOOKUP(B3763,'PROCV GERENTES BD'!A:B,2,0)</f>
        <v>ADMINISTRAÇÃO</v>
      </c>
      <c r="F3763" s="4" t="str">
        <f t="shared" si="348"/>
        <v>2025-08</v>
      </c>
      <c r="G3763" s="18">
        <f t="shared" si="349"/>
        <v>34</v>
      </c>
      <c r="H3763" t="str">
        <f t="shared" si="350"/>
        <v>ADMINISTRAÇÃO</v>
      </c>
      <c r="I3763" t="str">
        <f t="shared" si="351"/>
        <v>SOCIAL S/A</v>
      </c>
      <c r="J3763">
        <f t="shared" si="352"/>
        <v>1</v>
      </c>
      <c r="K3763">
        <f t="shared" si="353"/>
        <v>1</v>
      </c>
    </row>
    <row r="3764" spans="1:11" x14ac:dyDescent="0.25">
      <c r="A3764" t="s">
        <v>515</v>
      </c>
      <c r="B3764" t="s">
        <v>277</v>
      </c>
      <c r="C3764" t="s">
        <v>50</v>
      </c>
      <c r="D3764" s="6">
        <v>45890</v>
      </c>
      <c r="E3764" t="str">
        <f>VLOOKUP(B3764,'PROCV GERENTES BD'!A:B,2,0)</f>
        <v>ALISSON DE SOUZA LIMA</v>
      </c>
      <c r="F3764" s="4" t="str">
        <f t="shared" si="348"/>
        <v>2025-08</v>
      </c>
      <c r="G3764" s="18">
        <f t="shared" si="349"/>
        <v>34</v>
      </c>
      <c r="H3764" t="str">
        <f t="shared" si="350"/>
        <v>ALISSON DE SOUZA LIMA</v>
      </c>
      <c r="I3764" t="str">
        <f t="shared" si="351"/>
        <v>COMERCIAL GTS INFORMATICA LTDA EPP</v>
      </c>
      <c r="J3764">
        <f t="shared" si="352"/>
        <v>0</v>
      </c>
      <c r="K3764">
        <f t="shared" si="353"/>
        <v>1</v>
      </c>
    </row>
    <row r="3765" spans="1:11" x14ac:dyDescent="0.25">
      <c r="A3765" t="s">
        <v>488</v>
      </c>
      <c r="B3765" t="s">
        <v>247</v>
      </c>
      <c r="C3765" t="s">
        <v>50</v>
      </c>
      <c r="D3765" s="6">
        <v>45890</v>
      </c>
      <c r="E3765" t="str">
        <f>VLOOKUP(B3765,'PROCV GERENTES BD'!A:B,2,0)</f>
        <v>CELIO PIMENTA</v>
      </c>
      <c r="F3765" s="4" t="str">
        <f t="shared" si="348"/>
        <v>2025-08</v>
      </c>
      <c r="G3765" s="18">
        <f t="shared" si="349"/>
        <v>34</v>
      </c>
      <c r="H3765" t="str">
        <f t="shared" si="350"/>
        <v>CELIO PIMENTA</v>
      </c>
      <c r="I3765" t="str">
        <f t="shared" si="351"/>
        <v>AZ HIDRAULICA USINAGEM LTDA EPP</v>
      </c>
      <c r="J3765">
        <f t="shared" si="352"/>
        <v>0</v>
      </c>
      <c r="K3765">
        <f t="shared" si="353"/>
        <v>1</v>
      </c>
    </row>
    <row r="3766" spans="1:11" x14ac:dyDescent="0.25">
      <c r="A3766" t="s">
        <v>653</v>
      </c>
      <c r="B3766" t="s">
        <v>566</v>
      </c>
      <c r="C3766" t="s">
        <v>66</v>
      </c>
      <c r="D3766" s="6">
        <v>45890</v>
      </c>
      <c r="E3766" t="str">
        <f>VLOOKUP(B3766,'PROCV GERENTES BD'!A:B,2,0)</f>
        <v>DIOGO AZEVEDO</v>
      </c>
      <c r="F3766" s="4" t="str">
        <f t="shared" si="348"/>
        <v>2025-08</v>
      </c>
      <c r="G3766" s="18">
        <f t="shared" si="349"/>
        <v>34</v>
      </c>
      <c r="H3766" t="str">
        <f t="shared" si="350"/>
        <v>DIOGO AZEVEDO</v>
      </c>
      <c r="I3766" t="str">
        <f t="shared" si="351"/>
        <v>MILK LAT LTDA EPP</v>
      </c>
      <c r="J3766">
        <f t="shared" si="352"/>
        <v>1</v>
      </c>
      <c r="K3766">
        <f t="shared" si="353"/>
        <v>0</v>
      </c>
    </row>
    <row r="3767" spans="1:11" x14ac:dyDescent="0.25">
      <c r="A3767" t="s">
        <v>460</v>
      </c>
      <c r="B3767" t="s">
        <v>217</v>
      </c>
      <c r="C3767" t="s">
        <v>50</v>
      </c>
      <c r="D3767" s="6">
        <v>45890</v>
      </c>
      <c r="E3767" t="str">
        <f>VLOOKUP(B3767,'PROCV GERENTES BD'!A:B,2,0)</f>
        <v>CELIO PIMENTA</v>
      </c>
      <c r="F3767" s="4" t="str">
        <f t="shared" si="348"/>
        <v>2025-08</v>
      </c>
      <c r="G3767" s="18">
        <f t="shared" si="349"/>
        <v>34</v>
      </c>
      <c r="H3767" t="str">
        <f t="shared" si="350"/>
        <v>CELIO PIMENTA</v>
      </c>
      <c r="I3767" t="str">
        <f t="shared" si="351"/>
        <v>MINAS CLEAN DISTRIBUIDORA DE PRODUTOS PARA LIMPEZA</v>
      </c>
      <c r="J3767">
        <f t="shared" si="352"/>
        <v>0</v>
      </c>
      <c r="K3767">
        <f t="shared" si="353"/>
        <v>1</v>
      </c>
    </row>
    <row r="3768" spans="1:11" x14ac:dyDescent="0.25">
      <c r="A3768" t="s">
        <v>326</v>
      </c>
      <c r="B3768" t="s">
        <v>122</v>
      </c>
      <c r="C3768" t="s">
        <v>66</v>
      </c>
      <c r="D3768" s="6">
        <v>45890</v>
      </c>
      <c r="E3768" t="str">
        <f>VLOOKUP(B3768,'PROCV GERENTES BD'!A:B,2,0)</f>
        <v xml:space="preserve">ROGERIO </v>
      </c>
      <c r="F3768" s="4" t="str">
        <f t="shared" si="348"/>
        <v>2025-08</v>
      </c>
      <c r="G3768" s="18">
        <f t="shared" si="349"/>
        <v>34</v>
      </c>
      <c r="H3768" t="str">
        <f t="shared" si="350"/>
        <v xml:space="preserve">ROGERIO </v>
      </c>
      <c r="I3768" t="str">
        <f t="shared" si="351"/>
        <v>BIBE PRODUTOS INFANTIS LTDA</v>
      </c>
      <c r="J3768">
        <f t="shared" si="352"/>
        <v>1</v>
      </c>
      <c r="K3768">
        <f t="shared" si="353"/>
        <v>0</v>
      </c>
    </row>
    <row r="3769" spans="1:11" x14ac:dyDescent="0.25">
      <c r="A3769" t="s">
        <v>522</v>
      </c>
      <c r="B3769" t="s">
        <v>290</v>
      </c>
      <c r="C3769" t="s">
        <v>50</v>
      </c>
      <c r="D3769" s="6">
        <v>45891</v>
      </c>
      <c r="E3769" t="str">
        <f>VLOOKUP(B3769,'PROCV GERENTES BD'!A:B,2,0)</f>
        <v>CAIO</v>
      </c>
      <c r="F3769" s="4" t="str">
        <f t="shared" si="348"/>
        <v>2025-08</v>
      </c>
      <c r="G3769" s="18">
        <f t="shared" si="349"/>
        <v>34</v>
      </c>
      <c r="H3769" t="str">
        <f t="shared" si="350"/>
        <v>CAIO</v>
      </c>
      <c r="I3769" t="str">
        <f t="shared" si="351"/>
        <v>C V T O IND E COM LTDA EPP</v>
      </c>
      <c r="J3769">
        <f t="shared" si="352"/>
        <v>0</v>
      </c>
      <c r="K3769">
        <f t="shared" si="353"/>
        <v>1</v>
      </c>
    </row>
    <row r="3770" spans="1:11" x14ac:dyDescent="0.25">
      <c r="A3770" t="s">
        <v>610</v>
      </c>
      <c r="B3770" t="s">
        <v>611</v>
      </c>
      <c r="C3770" t="s">
        <v>50</v>
      </c>
      <c r="D3770" s="6">
        <v>45891</v>
      </c>
      <c r="E3770" t="str">
        <f>VLOOKUP(B3770,'PROCV GERENTES BD'!A:B,2,0)</f>
        <v>TIAGO NEVES</v>
      </c>
      <c r="F3770" s="4" t="str">
        <f t="shared" si="348"/>
        <v>2025-08</v>
      </c>
      <c r="G3770" s="18">
        <f t="shared" si="349"/>
        <v>34</v>
      </c>
      <c r="H3770" t="str">
        <f t="shared" si="350"/>
        <v>TIAGO NEVES</v>
      </c>
      <c r="I3770" t="str">
        <f t="shared" si="351"/>
        <v>TRATOR GLASS LTDA ME</v>
      </c>
      <c r="J3770">
        <f t="shared" si="352"/>
        <v>0</v>
      </c>
      <c r="K3770">
        <f t="shared" si="353"/>
        <v>1</v>
      </c>
    </row>
    <row r="3771" spans="1:11" x14ac:dyDescent="0.25">
      <c r="A3771" t="s">
        <v>601</v>
      </c>
      <c r="B3771" t="s">
        <v>552</v>
      </c>
      <c r="C3771" t="s">
        <v>50</v>
      </c>
      <c r="D3771" s="6">
        <v>45891</v>
      </c>
      <c r="E3771" t="str">
        <f>VLOOKUP(B3771,'PROCV GERENTES BD'!A:B,2,0)</f>
        <v>DALVA</v>
      </c>
      <c r="F3771" s="4" t="str">
        <f t="shared" si="348"/>
        <v>2025-08</v>
      </c>
      <c r="G3771" s="18">
        <f t="shared" si="349"/>
        <v>34</v>
      </c>
      <c r="H3771" t="str">
        <f t="shared" si="350"/>
        <v>DALVA</v>
      </c>
      <c r="I3771" t="str">
        <f t="shared" si="351"/>
        <v>NOVA CALDERARIA MONTAGEM LTDA EPP</v>
      </c>
      <c r="J3771">
        <f t="shared" si="352"/>
        <v>0</v>
      </c>
      <c r="K3771">
        <f t="shared" si="353"/>
        <v>1</v>
      </c>
    </row>
    <row r="3772" spans="1:11" x14ac:dyDescent="0.25">
      <c r="A3772" t="s">
        <v>67</v>
      </c>
      <c r="B3772" t="s">
        <v>68</v>
      </c>
      <c r="C3772" t="s">
        <v>66</v>
      </c>
      <c r="D3772" s="6">
        <v>45891</v>
      </c>
      <c r="E3772" t="str">
        <f>VLOOKUP(B3772,'PROCV GERENTES BD'!A:B,2,0)</f>
        <v xml:space="preserve">ROGERIO </v>
      </c>
      <c r="F3772" s="4" t="str">
        <f t="shared" si="348"/>
        <v>2025-08</v>
      </c>
      <c r="G3772" s="18">
        <f t="shared" si="349"/>
        <v>34</v>
      </c>
      <c r="H3772" t="str">
        <f t="shared" si="350"/>
        <v xml:space="preserve">ROGERIO </v>
      </c>
      <c r="I3772" t="str">
        <f t="shared" si="351"/>
        <v>DIOTTONI INDUSTRIA E COMERCIO DE ALIMENTOS LTDA ME</v>
      </c>
      <c r="J3772">
        <f t="shared" si="352"/>
        <v>1</v>
      </c>
      <c r="K3772">
        <f t="shared" si="353"/>
        <v>0</v>
      </c>
    </row>
    <row r="3773" spans="1:11" x14ac:dyDescent="0.25">
      <c r="A3773" t="s">
        <v>64</v>
      </c>
      <c r="B3773" t="s">
        <v>65</v>
      </c>
      <c r="C3773" t="s">
        <v>50</v>
      </c>
      <c r="D3773" s="6">
        <v>45891</v>
      </c>
      <c r="E3773" t="str">
        <f>VLOOKUP(B3773,'PROCV GERENTES BD'!A:B,2,0)</f>
        <v>ADMINISTRAÇÃO</v>
      </c>
      <c r="F3773" s="4" t="str">
        <f t="shared" si="348"/>
        <v>2025-08</v>
      </c>
      <c r="G3773" s="18">
        <f t="shared" si="349"/>
        <v>34</v>
      </c>
      <c r="H3773" t="str">
        <f t="shared" si="350"/>
        <v>ADMINISTRAÇÃO</v>
      </c>
      <c r="I3773" t="str">
        <f t="shared" si="351"/>
        <v>SOCIAL S/A</v>
      </c>
      <c r="J3773">
        <f t="shared" si="352"/>
        <v>0</v>
      </c>
      <c r="K3773">
        <f t="shared" si="353"/>
        <v>1</v>
      </c>
    </row>
    <row r="3774" spans="1:11" x14ac:dyDescent="0.25">
      <c r="A3774" t="s">
        <v>499</v>
      </c>
      <c r="B3774" t="s">
        <v>258</v>
      </c>
      <c r="C3774" t="s">
        <v>50</v>
      </c>
      <c r="D3774" s="6">
        <v>45891</v>
      </c>
      <c r="E3774" t="str">
        <f>VLOOKUP(B3774,'PROCV GERENTES BD'!A:B,2,0)</f>
        <v>PRISCILA METZ</v>
      </c>
      <c r="F3774" s="4" t="str">
        <f t="shared" si="348"/>
        <v>2025-08</v>
      </c>
      <c r="G3774" s="18">
        <f t="shared" si="349"/>
        <v>34</v>
      </c>
      <c r="H3774" t="str">
        <f t="shared" si="350"/>
        <v>PRISCILA METZ</v>
      </c>
      <c r="I3774" t="str">
        <f t="shared" si="351"/>
        <v>PLATINUM INDUSTRIA DE CONFECCOES LTDA</v>
      </c>
      <c r="J3774">
        <f t="shared" si="352"/>
        <v>0</v>
      </c>
      <c r="K3774">
        <f t="shared" si="353"/>
        <v>1</v>
      </c>
    </row>
    <row r="3775" spans="1:11" x14ac:dyDescent="0.25">
      <c r="A3775" t="s">
        <v>604</v>
      </c>
      <c r="B3775" t="s">
        <v>605</v>
      </c>
      <c r="C3775" t="s">
        <v>50</v>
      </c>
      <c r="D3775" s="6">
        <v>45891</v>
      </c>
      <c r="E3775" t="str">
        <f>VLOOKUP(B3775,'PROCV GERENTES BD'!A:B,2,0)</f>
        <v>ALISSON DE SOUZA LIMA</v>
      </c>
      <c r="F3775" s="4" t="str">
        <f t="shared" si="348"/>
        <v>2025-08</v>
      </c>
      <c r="G3775" s="18">
        <f t="shared" si="349"/>
        <v>34</v>
      </c>
      <c r="H3775" t="str">
        <f t="shared" si="350"/>
        <v>ALISSON DE SOUZA LIMA</v>
      </c>
      <c r="I3775" t="str">
        <f t="shared" si="351"/>
        <v>3J FUNDICAO INDUSTRIAL LTDA</v>
      </c>
      <c r="J3775">
        <f t="shared" si="352"/>
        <v>0</v>
      </c>
      <c r="K3775">
        <f t="shared" si="353"/>
        <v>1</v>
      </c>
    </row>
    <row r="3776" spans="1:11" x14ac:dyDescent="0.25">
      <c r="A3776" t="s">
        <v>56</v>
      </c>
      <c r="B3776" t="s">
        <v>57</v>
      </c>
      <c r="C3776" t="s">
        <v>66</v>
      </c>
      <c r="D3776" s="6">
        <v>45891</v>
      </c>
      <c r="E3776" t="str">
        <f>VLOOKUP(B3776,'PROCV GERENTES BD'!A:B,2,0)</f>
        <v xml:space="preserve">ROGERIO </v>
      </c>
      <c r="F3776" s="4" t="str">
        <f t="shared" si="348"/>
        <v>2025-08</v>
      </c>
      <c r="G3776" s="18">
        <f t="shared" si="349"/>
        <v>34</v>
      </c>
      <c r="H3776" t="str">
        <f t="shared" si="350"/>
        <v xml:space="preserve">ROGERIO </v>
      </c>
      <c r="I3776" t="str">
        <f t="shared" si="351"/>
        <v>RODOVIEIRA TRANSPORTE LTDA</v>
      </c>
      <c r="J3776">
        <f t="shared" si="352"/>
        <v>1</v>
      </c>
      <c r="K3776">
        <f t="shared" si="353"/>
        <v>0</v>
      </c>
    </row>
    <row r="3777" spans="1:11" x14ac:dyDescent="0.25">
      <c r="A3777" t="s">
        <v>358</v>
      </c>
      <c r="B3777" t="s">
        <v>104</v>
      </c>
      <c r="C3777" t="s">
        <v>50</v>
      </c>
      <c r="D3777" s="6">
        <v>45891</v>
      </c>
      <c r="E3777" t="str">
        <f>VLOOKUP(B3777,'PROCV GERENTES BD'!A:B,2,0)</f>
        <v>DIOGO AZEVEDO</v>
      </c>
      <c r="F3777" s="4" t="str">
        <f t="shared" si="348"/>
        <v>2025-08</v>
      </c>
      <c r="G3777" s="18">
        <f t="shared" si="349"/>
        <v>34</v>
      </c>
      <c r="H3777" t="str">
        <f t="shared" si="350"/>
        <v>DIOGO AZEVEDO</v>
      </c>
      <c r="I3777" t="str">
        <f t="shared" si="351"/>
        <v>INDUSTRIA E CERVEJARIA ARTESANAL DE MINAS GERAIS L</v>
      </c>
      <c r="J3777">
        <f t="shared" si="352"/>
        <v>0</v>
      </c>
      <c r="K3777">
        <f t="shared" si="353"/>
        <v>1</v>
      </c>
    </row>
    <row r="3778" spans="1:11" x14ac:dyDescent="0.25">
      <c r="A3778" t="s">
        <v>361</v>
      </c>
      <c r="B3778" t="s">
        <v>106</v>
      </c>
      <c r="C3778" t="s">
        <v>50</v>
      </c>
      <c r="D3778" s="6">
        <v>45891</v>
      </c>
      <c r="E3778" t="str">
        <f>VLOOKUP(B3778,'PROCV GERENTES BD'!A:B,2,0)</f>
        <v>PRISCILA METZ</v>
      </c>
      <c r="F3778" s="4" t="str">
        <f t="shared" ref="F3778:F3841" si="354">YEAR(D3778)&amp;"-"&amp;TEXT(MONTH(D3778),"00")</f>
        <v>2025-08</v>
      </c>
      <c r="G3778" s="18">
        <f t="shared" ref="G3778:G3841" si="355">WEEKNUM(D3778)</f>
        <v>34</v>
      </c>
      <c r="H3778" t="str">
        <f t="shared" ref="H3778:H3841" si="356">E3778</f>
        <v>PRISCILA METZ</v>
      </c>
      <c r="I3778" t="str">
        <f t="shared" ref="I3778:I3841" si="357">B3778</f>
        <v>HERBAMED LABORATORIO NUTRACEUTICO LTDA</v>
      </c>
      <c r="J3778">
        <f t="shared" ref="J3778:J3841" si="358">IF(OR(C3778="EXCLUSAO  ANOT.INADIMPLENCIA",C3778="INCL/EXCL ANOT.INADIMPLENCIA"),1,0)</f>
        <v>0</v>
      </c>
      <c r="K3778">
        <f t="shared" ref="K3778:K3841" si="359">IF(OR(C3778="INCLUSAO  ANOT.INADIMPLENCIA",C3778="INCL/EXCL ANOT.INADIMPLENCIA"),1,0)</f>
        <v>1</v>
      </c>
    </row>
    <row r="3779" spans="1:11" x14ac:dyDescent="0.25">
      <c r="A3779" t="s">
        <v>387</v>
      </c>
      <c r="B3779" t="s">
        <v>134</v>
      </c>
      <c r="C3779" t="s">
        <v>50</v>
      </c>
      <c r="D3779" s="6">
        <v>45891</v>
      </c>
      <c r="E3779" t="str">
        <f>VLOOKUP(B3779,'PROCV GERENTES BD'!A:B,2,0)</f>
        <v>RAFAEL PARISE</v>
      </c>
      <c r="F3779" s="4" t="str">
        <f t="shared" si="354"/>
        <v>2025-08</v>
      </c>
      <c r="G3779" s="18">
        <f t="shared" si="355"/>
        <v>34</v>
      </c>
      <c r="H3779" t="str">
        <f t="shared" si="356"/>
        <v>RAFAEL PARISE</v>
      </c>
      <c r="I3779" t="str">
        <f t="shared" si="357"/>
        <v>MAIS DISTRIBUIDORA LTDA</v>
      </c>
      <c r="J3779">
        <f t="shared" si="358"/>
        <v>0</v>
      </c>
      <c r="K3779">
        <f t="shared" si="359"/>
        <v>1</v>
      </c>
    </row>
    <row r="3780" spans="1:11" x14ac:dyDescent="0.25">
      <c r="A3780" t="s">
        <v>629</v>
      </c>
      <c r="B3780" t="s">
        <v>550</v>
      </c>
      <c r="C3780" t="s">
        <v>50</v>
      </c>
      <c r="D3780" s="6">
        <v>45891</v>
      </c>
      <c r="E3780" t="str">
        <f>VLOOKUP(B3780,'PROCV GERENTES BD'!A:B,2,0)</f>
        <v>CREDTEM</v>
      </c>
      <c r="F3780" s="4" t="str">
        <f t="shared" si="354"/>
        <v>2025-08</v>
      </c>
      <c r="G3780" s="18">
        <f t="shared" si="355"/>
        <v>34</v>
      </c>
      <c r="H3780" t="str">
        <f t="shared" si="356"/>
        <v>CREDTEM</v>
      </c>
      <c r="I3780" t="str">
        <f t="shared" si="357"/>
        <v>W M DE CASTRO NETO PRODUTOS FARMACEUTICOS EPP</v>
      </c>
      <c r="J3780">
        <f t="shared" si="358"/>
        <v>0</v>
      </c>
      <c r="K3780">
        <f t="shared" si="359"/>
        <v>1</v>
      </c>
    </row>
    <row r="3781" spans="1:11" x14ac:dyDescent="0.25">
      <c r="A3781" t="s">
        <v>323</v>
      </c>
      <c r="B3781" t="s">
        <v>109</v>
      </c>
      <c r="C3781" t="s">
        <v>66</v>
      </c>
      <c r="D3781" s="6">
        <v>45891</v>
      </c>
      <c r="E3781" t="str">
        <f>VLOOKUP(B3781,'PROCV GERENTES BD'!A:B,2,0)</f>
        <v>PROSPECTAR</v>
      </c>
      <c r="F3781" s="4" t="str">
        <f t="shared" si="354"/>
        <v>2025-08</v>
      </c>
      <c r="G3781" s="18">
        <f t="shared" si="355"/>
        <v>34</v>
      </c>
      <c r="H3781" t="str">
        <f t="shared" si="356"/>
        <v>PROSPECTAR</v>
      </c>
      <c r="I3781" t="str">
        <f t="shared" si="357"/>
        <v>SIAP COMERCIO DE PRODUTOS AGROPECUARIOS LTDA</v>
      </c>
      <c r="J3781">
        <f t="shared" si="358"/>
        <v>1</v>
      </c>
      <c r="K3781">
        <f t="shared" si="359"/>
        <v>0</v>
      </c>
    </row>
    <row r="3782" spans="1:11" x14ac:dyDescent="0.25">
      <c r="A3782" t="s">
        <v>324</v>
      </c>
      <c r="B3782" t="s">
        <v>119</v>
      </c>
      <c r="C3782" t="s">
        <v>66</v>
      </c>
      <c r="D3782" s="6">
        <v>45891</v>
      </c>
      <c r="E3782" t="str">
        <f>VLOOKUP(B3782,'PROCV GERENTES BD'!A:B,2,0)</f>
        <v>PROSPECTAR</v>
      </c>
      <c r="F3782" s="4" t="str">
        <f t="shared" si="354"/>
        <v>2025-08</v>
      </c>
      <c r="G3782" s="18">
        <f t="shared" si="355"/>
        <v>34</v>
      </c>
      <c r="H3782" t="str">
        <f t="shared" si="356"/>
        <v>PROSPECTAR</v>
      </c>
      <c r="I3782" t="str">
        <f t="shared" si="357"/>
        <v>TRANSHENRY TRANSPORTES LTDA</v>
      </c>
      <c r="J3782">
        <f t="shared" si="358"/>
        <v>1</v>
      </c>
      <c r="K3782">
        <f t="shared" si="359"/>
        <v>0</v>
      </c>
    </row>
    <row r="3783" spans="1:11" x14ac:dyDescent="0.25">
      <c r="A3783" t="s">
        <v>389</v>
      </c>
      <c r="B3783" t="s">
        <v>263</v>
      </c>
      <c r="C3783" t="s">
        <v>66</v>
      </c>
      <c r="D3783" s="6">
        <v>45891</v>
      </c>
      <c r="E3783" t="str">
        <f>VLOOKUP(B3783,'PROCV GERENTES BD'!A:B,2,0)</f>
        <v>POENATELA</v>
      </c>
      <c r="F3783" s="4" t="str">
        <f t="shared" si="354"/>
        <v>2025-08</v>
      </c>
      <c r="G3783" s="18">
        <f t="shared" si="355"/>
        <v>34</v>
      </c>
      <c r="H3783" t="str">
        <f t="shared" si="356"/>
        <v>POENATELA</v>
      </c>
      <c r="I3783" t="str">
        <f t="shared" si="357"/>
        <v>CONQUISTA INDUSTRIA DE MOVEIS S A EM RECUPERACAO J</v>
      </c>
      <c r="J3783">
        <f t="shared" si="358"/>
        <v>1</v>
      </c>
      <c r="K3783">
        <f t="shared" si="359"/>
        <v>0</v>
      </c>
    </row>
    <row r="3784" spans="1:11" x14ac:dyDescent="0.25">
      <c r="A3784" t="s">
        <v>397</v>
      </c>
      <c r="B3784" t="s">
        <v>147</v>
      </c>
      <c r="C3784" t="s">
        <v>66</v>
      </c>
      <c r="D3784" s="6">
        <v>45891</v>
      </c>
      <c r="E3784" t="str">
        <f>VLOOKUP(B3784,'PROCV GERENTES BD'!A:B,2,0)</f>
        <v xml:space="preserve">MARCUS VINICIUS </v>
      </c>
      <c r="F3784" s="4" t="str">
        <f t="shared" si="354"/>
        <v>2025-08</v>
      </c>
      <c r="G3784" s="18">
        <f t="shared" si="355"/>
        <v>34</v>
      </c>
      <c r="H3784" t="str">
        <f t="shared" si="356"/>
        <v xml:space="preserve">MARCUS VINICIUS </v>
      </c>
      <c r="I3784" t="str">
        <f t="shared" si="357"/>
        <v>UNIVERSO INOX INDUSTRIA E COMERCIO LTDA EPP</v>
      </c>
      <c r="J3784">
        <f t="shared" si="358"/>
        <v>1</v>
      </c>
      <c r="K3784">
        <f t="shared" si="359"/>
        <v>0</v>
      </c>
    </row>
    <row r="3785" spans="1:11" x14ac:dyDescent="0.25">
      <c r="A3785" t="s">
        <v>523</v>
      </c>
      <c r="B3785" t="s">
        <v>288</v>
      </c>
      <c r="C3785" t="s">
        <v>66</v>
      </c>
      <c r="D3785" s="6">
        <v>45891</v>
      </c>
      <c r="E3785" t="str">
        <f>VLOOKUP(B3785,'PROCV GERENTES BD'!A:B,2,0)</f>
        <v>ADMINISTRAÇÃO</v>
      </c>
      <c r="F3785" s="4" t="str">
        <f t="shared" si="354"/>
        <v>2025-08</v>
      </c>
      <c r="G3785" s="18">
        <f t="shared" si="355"/>
        <v>34</v>
      </c>
      <c r="H3785" t="str">
        <f t="shared" si="356"/>
        <v>ADMINISTRAÇÃO</v>
      </c>
      <c r="I3785" t="str">
        <f t="shared" si="357"/>
        <v>REFRACONT BRASIL LTDA</v>
      </c>
      <c r="J3785">
        <f t="shared" si="358"/>
        <v>1</v>
      </c>
      <c r="K3785">
        <f t="shared" si="359"/>
        <v>0</v>
      </c>
    </row>
    <row r="3786" spans="1:11" x14ac:dyDescent="0.25">
      <c r="A3786" t="s">
        <v>48</v>
      </c>
      <c r="B3786" t="s">
        <v>49</v>
      </c>
      <c r="C3786" t="s">
        <v>50</v>
      </c>
      <c r="D3786" s="6">
        <v>45891</v>
      </c>
      <c r="E3786" t="str">
        <f>VLOOKUP(B3786,'PROCV GERENTES BD'!A:B,2,0)</f>
        <v xml:space="preserve">MARCUS VINICIUS </v>
      </c>
      <c r="F3786" s="4" t="str">
        <f t="shared" si="354"/>
        <v>2025-08</v>
      </c>
      <c r="G3786" s="18">
        <f t="shared" si="355"/>
        <v>34</v>
      </c>
      <c r="H3786" t="str">
        <f t="shared" si="356"/>
        <v xml:space="preserve">MARCUS VINICIUS </v>
      </c>
      <c r="I3786" t="str">
        <f t="shared" si="357"/>
        <v>PROMEL IND COM IMP E EXP DE PRODS NATURAIS LTDA</v>
      </c>
      <c r="J3786">
        <f t="shared" si="358"/>
        <v>0</v>
      </c>
      <c r="K3786">
        <f t="shared" si="359"/>
        <v>1</v>
      </c>
    </row>
    <row r="3787" spans="1:11" x14ac:dyDescent="0.25">
      <c r="A3787" t="s">
        <v>654</v>
      </c>
      <c r="B3787" t="s">
        <v>544</v>
      </c>
      <c r="C3787" t="s">
        <v>66</v>
      </c>
      <c r="D3787" s="6">
        <v>45891</v>
      </c>
      <c r="E3787" t="str">
        <f>VLOOKUP(B3787,'PROCV GERENTES BD'!A:B,2,0)</f>
        <v>PROSPECTAR</v>
      </c>
      <c r="F3787" s="4" t="str">
        <f t="shared" si="354"/>
        <v>2025-08</v>
      </c>
      <c r="G3787" s="18">
        <f t="shared" si="355"/>
        <v>34</v>
      </c>
      <c r="H3787" t="str">
        <f t="shared" si="356"/>
        <v>PROSPECTAR</v>
      </c>
      <c r="I3787" t="str">
        <f t="shared" si="357"/>
        <v>SAGESSE TEXTIL LTDA EPP</v>
      </c>
      <c r="J3787">
        <f t="shared" si="358"/>
        <v>1</v>
      </c>
      <c r="K3787">
        <f t="shared" si="359"/>
        <v>0</v>
      </c>
    </row>
    <row r="3788" spans="1:11" x14ac:dyDescent="0.25">
      <c r="A3788" t="s">
        <v>325</v>
      </c>
      <c r="B3788" t="s">
        <v>138</v>
      </c>
      <c r="C3788" t="s">
        <v>66</v>
      </c>
      <c r="D3788" s="6">
        <v>45891</v>
      </c>
      <c r="E3788" t="str">
        <f>VLOOKUP(B3788,'PROCV GERENTES BD'!A:B,2,0)</f>
        <v>SACADO</v>
      </c>
      <c r="F3788" s="4" t="str">
        <f t="shared" si="354"/>
        <v>2025-08</v>
      </c>
      <c r="G3788" s="18">
        <f t="shared" si="355"/>
        <v>34</v>
      </c>
      <c r="H3788" t="str">
        <f t="shared" si="356"/>
        <v>SACADO</v>
      </c>
      <c r="I3788" t="str">
        <f t="shared" si="357"/>
        <v>ALLIAGE S A INDUSTRIAS MEDICO ODONTOLOGICA</v>
      </c>
      <c r="J3788">
        <f t="shared" si="358"/>
        <v>1</v>
      </c>
      <c r="K3788">
        <f t="shared" si="359"/>
        <v>0</v>
      </c>
    </row>
    <row r="3789" spans="1:11" x14ac:dyDescent="0.25">
      <c r="A3789" t="s">
        <v>523</v>
      </c>
      <c r="B3789" t="s">
        <v>288</v>
      </c>
      <c r="C3789" t="s">
        <v>66</v>
      </c>
      <c r="D3789" s="6">
        <v>45892</v>
      </c>
      <c r="E3789" t="str">
        <f>VLOOKUP(B3789,'PROCV GERENTES BD'!A:B,2,0)</f>
        <v>ADMINISTRAÇÃO</v>
      </c>
      <c r="F3789" s="4" t="str">
        <f t="shared" si="354"/>
        <v>2025-08</v>
      </c>
      <c r="G3789" s="18">
        <f t="shared" si="355"/>
        <v>34</v>
      </c>
      <c r="H3789" t="str">
        <f t="shared" si="356"/>
        <v>ADMINISTRAÇÃO</v>
      </c>
      <c r="I3789" t="str">
        <f t="shared" si="357"/>
        <v>REFRACONT BRASIL LTDA</v>
      </c>
      <c r="J3789">
        <f t="shared" si="358"/>
        <v>1</v>
      </c>
      <c r="K3789">
        <f t="shared" si="359"/>
        <v>0</v>
      </c>
    </row>
    <row r="3790" spans="1:11" x14ac:dyDescent="0.25">
      <c r="A3790" t="s">
        <v>478</v>
      </c>
      <c r="B3790" t="s">
        <v>235</v>
      </c>
      <c r="C3790" t="s">
        <v>50</v>
      </c>
      <c r="D3790" s="6">
        <v>45892</v>
      </c>
      <c r="E3790" t="str">
        <f>VLOOKUP(B3790,'PROCV GERENTES BD'!A:B,2,0)</f>
        <v>PROSPECTAR</v>
      </c>
      <c r="F3790" s="4" t="str">
        <f t="shared" si="354"/>
        <v>2025-08</v>
      </c>
      <c r="G3790" s="18">
        <f t="shared" si="355"/>
        <v>34</v>
      </c>
      <c r="H3790" t="str">
        <f t="shared" si="356"/>
        <v>PROSPECTAR</v>
      </c>
      <c r="I3790" t="str">
        <f t="shared" si="357"/>
        <v>NUTRIENS FERTIL LTDA ME</v>
      </c>
      <c r="J3790">
        <f t="shared" si="358"/>
        <v>0</v>
      </c>
      <c r="K3790">
        <f t="shared" si="359"/>
        <v>1</v>
      </c>
    </row>
    <row r="3791" spans="1:11" x14ac:dyDescent="0.25">
      <c r="A3791" t="s">
        <v>515</v>
      </c>
      <c r="B3791" t="s">
        <v>277</v>
      </c>
      <c r="C3791" t="s">
        <v>66</v>
      </c>
      <c r="D3791" s="6">
        <v>45892</v>
      </c>
      <c r="E3791" t="str">
        <f>VLOOKUP(B3791,'PROCV GERENTES BD'!A:B,2,0)</f>
        <v>ALISSON DE SOUZA LIMA</v>
      </c>
      <c r="F3791" s="4" t="str">
        <f t="shared" si="354"/>
        <v>2025-08</v>
      </c>
      <c r="G3791" s="18">
        <f t="shared" si="355"/>
        <v>34</v>
      </c>
      <c r="H3791" t="str">
        <f t="shared" si="356"/>
        <v>ALISSON DE SOUZA LIMA</v>
      </c>
      <c r="I3791" t="str">
        <f t="shared" si="357"/>
        <v>COMERCIAL GTS INFORMATICA LTDA EPP</v>
      </c>
      <c r="J3791">
        <f t="shared" si="358"/>
        <v>1</v>
      </c>
      <c r="K3791">
        <f t="shared" si="359"/>
        <v>0</v>
      </c>
    </row>
    <row r="3792" spans="1:11" x14ac:dyDescent="0.25">
      <c r="A3792" t="s">
        <v>67</v>
      </c>
      <c r="B3792" t="s">
        <v>68</v>
      </c>
      <c r="C3792" t="s">
        <v>50</v>
      </c>
      <c r="D3792" s="6">
        <v>45892</v>
      </c>
      <c r="E3792" t="str">
        <f>VLOOKUP(B3792,'PROCV GERENTES BD'!A:B,2,0)</f>
        <v xml:space="preserve">ROGERIO </v>
      </c>
      <c r="F3792" s="4" t="str">
        <f t="shared" si="354"/>
        <v>2025-08</v>
      </c>
      <c r="G3792" s="18">
        <f t="shared" si="355"/>
        <v>34</v>
      </c>
      <c r="H3792" t="str">
        <f t="shared" si="356"/>
        <v xml:space="preserve">ROGERIO </v>
      </c>
      <c r="I3792" t="str">
        <f t="shared" si="357"/>
        <v>DIOTTONI INDUSTRIA E COMERCIO DE ALIMENTOS LTDA ME</v>
      </c>
      <c r="J3792">
        <f t="shared" si="358"/>
        <v>0</v>
      </c>
      <c r="K3792">
        <f t="shared" si="359"/>
        <v>1</v>
      </c>
    </row>
    <row r="3793" spans="1:11" x14ac:dyDescent="0.25">
      <c r="A3793" t="s">
        <v>64</v>
      </c>
      <c r="B3793" t="s">
        <v>65</v>
      </c>
      <c r="C3793" t="s">
        <v>53</v>
      </c>
      <c r="D3793" s="6">
        <v>45892</v>
      </c>
      <c r="E3793" t="str">
        <f>VLOOKUP(B3793,'PROCV GERENTES BD'!A:B,2,0)</f>
        <v>ADMINISTRAÇÃO</v>
      </c>
      <c r="F3793" s="4" t="str">
        <f t="shared" si="354"/>
        <v>2025-08</v>
      </c>
      <c r="G3793" s="18">
        <f t="shared" si="355"/>
        <v>34</v>
      </c>
      <c r="H3793" t="str">
        <f t="shared" si="356"/>
        <v>ADMINISTRAÇÃO</v>
      </c>
      <c r="I3793" t="str">
        <f t="shared" si="357"/>
        <v>SOCIAL S/A</v>
      </c>
      <c r="J3793">
        <f t="shared" si="358"/>
        <v>1</v>
      </c>
      <c r="K3793">
        <f t="shared" si="359"/>
        <v>1</v>
      </c>
    </row>
    <row r="3794" spans="1:11" x14ac:dyDescent="0.25">
      <c r="A3794" t="s">
        <v>62</v>
      </c>
      <c r="B3794" t="s">
        <v>63</v>
      </c>
      <c r="C3794" t="s">
        <v>50</v>
      </c>
      <c r="D3794" s="6">
        <v>45892</v>
      </c>
      <c r="E3794" t="str">
        <f>VLOOKUP(B3794,'PROCV GERENTES BD'!A:B,2,0)</f>
        <v>PROSPECTAR</v>
      </c>
      <c r="F3794" s="4" t="str">
        <f t="shared" si="354"/>
        <v>2025-08</v>
      </c>
      <c r="G3794" s="18">
        <f t="shared" si="355"/>
        <v>34</v>
      </c>
      <c r="H3794" t="str">
        <f t="shared" si="356"/>
        <v>PROSPECTAR</v>
      </c>
      <c r="I3794" t="str">
        <f t="shared" si="357"/>
        <v>MAPP COM IMPORTACAO EXPORTACAO IND PRODUTOS ALIMEN</v>
      </c>
      <c r="J3794">
        <f t="shared" si="358"/>
        <v>0</v>
      </c>
      <c r="K3794">
        <f t="shared" si="359"/>
        <v>1</v>
      </c>
    </row>
    <row r="3795" spans="1:11" x14ac:dyDescent="0.25">
      <c r="A3795" t="s">
        <v>499</v>
      </c>
      <c r="B3795" t="s">
        <v>258</v>
      </c>
      <c r="C3795" t="s">
        <v>66</v>
      </c>
      <c r="D3795" s="6">
        <v>45892</v>
      </c>
      <c r="E3795" t="str">
        <f>VLOOKUP(B3795,'PROCV GERENTES BD'!A:B,2,0)</f>
        <v>PRISCILA METZ</v>
      </c>
      <c r="F3795" s="4" t="str">
        <f t="shared" si="354"/>
        <v>2025-08</v>
      </c>
      <c r="G3795" s="18">
        <f t="shared" si="355"/>
        <v>34</v>
      </c>
      <c r="H3795" t="str">
        <f t="shared" si="356"/>
        <v>PRISCILA METZ</v>
      </c>
      <c r="I3795" t="str">
        <f t="shared" si="357"/>
        <v>PLATINUM INDUSTRIA DE CONFECCOES LTDA</v>
      </c>
      <c r="J3795">
        <f t="shared" si="358"/>
        <v>1</v>
      </c>
      <c r="K3795">
        <f t="shared" si="359"/>
        <v>0</v>
      </c>
    </row>
    <row r="3796" spans="1:11" x14ac:dyDescent="0.25">
      <c r="A3796" t="s">
        <v>604</v>
      </c>
      <c r="B3796" t="s">
        <v>605</v>
      </c>
      <c r="C3796" t="s">
        <v>50</v>
      </c>
      <c r="D3796" s="6">
        <v>45892</v>
      </c>
      <c r="E3796" t="str">
        <f>VLOOKUP(B3796,'PROCV GERENTES BD'!A:B,2,0)</f>
        <v>ALISSON DE SOUZA LIMA</v>
      </c>
      <c r="F3796" s="4" t="str">
        <f t="shared" si="354"/>
        <v>2025-08</v>
      </c>
      <c r="G3796" s="18">
        <f t="shared" si="355"/>
        <v>34</v>
      </c>
      <c r="H3796" t="str">
        <f t="shared" si="356"/>
        <v>ALISSON DE SOUZA LIMA</v>
      </c>
      <c r="I3796" t="str">
        <f t="shared" si="357"/>
        <v>3J FUNDICAO INDUSTRIAL LTDA</v>
      </c>
      <c r="J3796">
        <f t="shared" si="358"/>
        <v>0</v>
      </c>
      <c r="K3796">
        <f t="shared" si="359"/>
        <v>1</v>
      </c>
    </row>
    <row r="3797" spans="1:11" x14ac:dyDescent="0.25">
      <c r="A3797" t="s">
        <v>325</v>
      </c>
      <c r="B3797" t="s">
        <v>138</v>
      </c>
      <c r="C3797" t="s">
        <v>66</v>
      </c>
      <c r="D3797" s="6">
        <v>45892</v>
      </c>
      <c r="E3797" t="str">
        <f>VLOOKUP(B3797,'PROCV GERENTES BD'!A:B,2,0)</f>
        <v>SACADO</v>
      </c>
      <c r="F3797" s="4" t="str">
        <f t="shared" si="354"/>
        <v>2025-08</v>
      </c>
      <c r="G3797" s="18">
        <f t="shared" si="355"/>
        <v>34</v>
      </c>
      <c r="H3797" t="str">
        <f t="shared" si="356"/>
        <v>SACADO</v>
      </c>
      <c r="I3797" t="str">
        <f t="shared" si="357"/>
        <v>ALLIAGE S A INDUSTRIAS MEDICO ODONTOLOGICA</v>
      </c>
      <c r="J3797">
        <f t="shared" si="358"/>
        <v>1</v>
      </c>
      <c r="K3797">
        <f t="shared" si="359"/>
        <v>0</v>
      </c>
    </row>
    <row r="3798" spans="1:11" x14ac:dyDescent="0.25">
      <c r="A3798" t="s">
        <v>355</v>
      </c>
      <c r="B3798" t="s">
        <v>100</v>
      </c>
      <c r="C3798" t="s">
        <v>50</v>
      </c>
      <c r="D3798" s="6">
        <v>45892</v>
      </c>
      <c r="E3798" t="str">
        <f>VLOOKUP(B3798,'PROCV GERENTES BD'!A:B,2,0)</f>
        <v>ADMINISTRAÇÃO</v>
      </c>
      <c r="F3798" s="4" t="str">
        <f t="shared" si="354"/>
        <v>2025-08</v>
      </c>
      <c r="G3798" s="18">
        <f t="shared" si="355"/>
        <v>34</v>
      </c>
      <c r="H3798" t="str">
        <f t="shared" si="356"/>
        <v>ADMINISTRAÇÃO</v>
      </c>
      <c r="I3798" t="str">
        <f t="shared" si="357"/>
        <v>DECISION DESENVOLVIMENTO DE SISTEMAS LTDA</v>
      </c>
      <c r="J3798">
        <f t="shared" si="358"/>
        <v>0</v>
      </c>
      <c r="K3798">
        <f t="shared" si="359"/>
        <v>1</v>
      </c>
    </row>
    <row r="3799" spans="1:11" x14ac:dyDescent="0.25">
      <c r="A3799" t="s">
        <v>372</v>
      </c>
      <c r="B3799" t="s">
        <v>116</v>
      </c>
      <c r="C3799" t="s">
        <v>66</v>
      </c>
      <c r="D3799" s="6">
        <v>45892</v>
      </c>
      <c r="E3799" t="str">
        <f>VLOOKUP(B3799,'PROCV GERENTES BD'!A:B,2,0)</f>
        <v>ADMINISTRAÇÃO</v>
      </c>
      <c r="F3799" s="4" t="str">
        <f t="shared" si="354"/>
        <v>2025-08</v>
      </c>
      <c r="G3799" s="18">
        <f t="shared" si="355"/>
        <v>34</v>
      </c>
      <c r="H3799" t="str">
        <f t="shared" si="356"/>
        <v>ADMINISTRAÇÃO</v>
      </c>
      <c r="I3799" t="str">
        <f t="shared" si="357"/>
        <v>PREMOLDADOS MATOSINHOS LTDA EPP</v>
      </c>
      <c r="J3799">
        <f t="shared" si="358"/>
        <v>1</v>
      </c>
      <c r="K3799">
        <f t="shared" si="359"/>
        <v>0</v>
      </c>
    </row>
    <row r="3800" spans="1:11" x14ac:dyDescent="0.25">
      <c r="A3800" t="s">
        <v>358</v>
      </c>
      <c r="B3800" t="s">
        <v>104</v>
      </c>
      <c r="C3800" t="s">
        <v>50</v>
      </c>
      <c r="D3800" s="6">
        <v>45892</v>
      </c>
      <c r="E3800" t="str">
        <f>VLOOKUP(B3800,'PROCV GERENTES BD'!A:B,2,0)</f>
        <v>DIOGO AZEVEDO</v>
      </c>
      <c r="F3800" s="4" t="str">
        <f t="shared" si="354"/>
        <v>2025-08</v>
      </c>
      <c r="G3800" s="18">
        <f t="shared" si="355"/>
        <v>34</v>
      </c>
      <c r="H3800" t="str">
        <f t="shared" si="356"/>
        <v>DIOGO AZEVEDO</v>
      </c>
      <c r="I3800" t="str">
        <f t="shared" si="357"/>
        <v>INDUSTRIA E CERVEJARIA ARTESANAL DE MINAS GERAIS L</v>
      </c>
      <c r="J3800">
        <f t="shared" si="358"/>
        <v>0</v>
      </c>
      <c r="K3800">
        <f t="shared" si="359"/>
        <v>1</v>
      </c>
    </row>
    <row r="3801" spans="1:11" x14ac:dyDescent="0.25">
      <c r="A3801" t="s">
        <v>387</v>
      </c>
      <c r="B3801" t="s">
        <v>134</v>
      </c>
      <c r="C3801" t="s">
        <v>50</v>
      </c>
      <c r="D3801" s="6">
        <v>45892</v>
      </c>
      <c r="E3801" t="str">
        <f>VLOOKUP(B3801,'PROCV GERENTES BD'!A:B,2,0)</f>
        <v>RAFAEL PARISE</v>
      </c>
      <c r="F3801" s="4" t="str">
        <f t="shared" si="354"/>
        <v>2025-08</v>
      </c>
      <c r="G3801" s="18">
        <f t="shared" si="355"/>
        <v>34</v>
      </c>
      <c r="H3801" t="str">
        <f t="shared" si="356"/>
        <v>RAFAEL PARISE</v>
      </c>
      <c r="I3801" t="str">
        <f t="shared" si="357"/>
        <v>MAIS DISTRIBUIDORA LTDA</v>
      </c>
      <c r="J3801">
        <f t="shared" si="358"/>
        <v>0</v>
      </c>
      <c r="K3801">
        <f t="shared" si="359"/>
        <v>1</v>
      </c>
    </row>
    <row r="3802" spans="1:11" x14ac:dyDescent="0.25">
      <c r="A3802" t="s">
        <v>532</v>
      </c>
      <c r="B3802" t="s">
        <v>300</v>
      </c>
      <c r="C3802" t="s">
        <v>66</v>
      </c>
      <c r="D3802" s="6">
        <v>45892</v>
      </c>
      <c r="E3802" t="str">
        <f>VLOOKUP(B3802,'PROCV GERENTES BD'!A:B,2,0)</f>
        <v>RAFAEL PARISE</v>
      </c>
      <c r="F3802" s="4" t="str">
        <f t="shared" si="354"/>
        <v>2025-08</v>
      </c>
      <c r="G3802" s="18">
        <f t="shared" si="355"/>
        <v>34</v>
      </c>
      <c r="H3802" t="str">
        <f t="shared" si="356"/>
        <v>RAFAEL PARISE</v>
      </c>
      <c r="I3802" t="str">
        <f t="shared" si="357"/>
        <v>MINASPOL INDUSTRIA E COMERCIO DE COMPOSTOS POLIMER</v>
      </c>
      <c r="J3802">
        <f t="shared" si="358"/>
        <v>1</v>
      </c>
      <c r="K3802">
        <f t="shared" si="359"/>
        <v>0</v>
      </c>
    </row>
    <row r="3803" spans="1:11" x14ac:dyDescent="0.25">
      <c r="A3803" t="s">
        <v>51</v>
      </c>
      <c r="B3803" t="s">
        <v>52</v>
      </c>
      <c r="C3803" t="s">
        <v>50</v>
      </c>
      <c r="D3803" s="6">
        <v>45892</v>
      </c>
      <c r="E3803" t="str">
        <f>VLOOKUP(B3803,'PROCV GERENTES BD'!A:B,2,0)</f>
        <v>RAFAEL PARISE</v>
      </c>
      <c r="F3803" s="4" t="str">
        <f t="shared" si="354"/>
        <v>2025-08</v>
      </c>
      <c r="G3803" s="18">
        <f t="shared" si="355"/>
        <v>34</v>
      </c>
      <c r="H3803" t="str">
        <f t="shared" si="356"/>
        <v>RAFAEL PARISE</v>
      </c>
      <c r="I3803" t="str">
        <f t="shared" si="357"/>
        <v>TDR TRANSPORTES LOGISTICA LTDA</v>
      </c>
      <c r="J3803">
        <f t="shared" si="358"/>
        <v>0</v>
      </c>
      <c r="K3803">
        <f t="shared" si="359"/>
        <v>1</v>
      </c>
    </row>
    <row r="3804" spans="1:11" x14ac:dyDescent="0.25">
      <c r="A3804" t="s">
        <v>629</v>
      </c>
      <c r="B3804" t="s">
        <v>550</v>
      </c>
      <c r="C3804" t="s">
        <v>50</v>
      </c>
      <c r="D3804" s="6">
        <v>45892</v>
      </c>
      <c r="E3804" t="str">
        <f>VLOOKUP(B3804,'PROCV GERENTES BD'!A:B,2,0)</f>
        <v>CREDTEM</v>
      </c>
      <c r="F3804" s="4" t="str">
        <f t="shared" si="354"/>
        <v>2025-08</v>
      </c>
      <c r="G3804" s="18">
        <f t="shared" si="355"/>
        <v>34</v>
      </c>
      <c r="H3804" t="str">
        <f t="shared" si="356"/>
        <v>CREDTEM</v>
      </c>
      <c r="I3804" t="str">
        <f t="shared" si="357"/>
        <v>W M DE CASTRO NETO PRODUTOS FARMACEUTICOS EPP</v>
      </c>
      <c r="J3804">
        <f t="shared" si="358"/>
        <v>0</v>
      </c>
      <c r="K3804">
        <f t="shared" si="359"/>
        <v>1</v>
      </c>
    </row>
    <row r="3805" spans="1:11" x14ac:dyDescent="0.25">
      <c r="A3805" t="s">
        <v>324</v>
      </c>
      <c r="B3805" t="s">
        <v>119</v>
      </c>
      <c r="C3805" t="s">
        <v>66</v>
      </c>
      <c r="D3805" s="6">
        <v>45892</v>
      </c>
      <c r="E3805" t="str">
        <f>VLOOKUP(B3805,'PROCV GERENTES BD'!A:B,2,0)</f>
        <v>PROSPECTAR</v>
      </c>
      <c r="F3805" s="4" t="str">
        <f t="shared" si="354"/>
        <v>2025-08</v>
      </c>
      <c r="G3805" s="18">
        <f t="shared" si="355"/>
        <v>34</v>
      </c>
      <c r="H3805" t="str">
        <f t="shared" si="356"/>
        <v>PROSPECTAR</v>
      </c>
      <c r="I3805" t="str">
        <f t="shared" si="357"/>
        <v>TRANSHENRY TRANSPORTES LTDA</v>
      </c>
      <c r="J3805">
        <f t="shared" si="358"/>
        <v>1</v>
      </c>
      <c r="K3805">
        <f t="shared" si="359"/>
        <v>0</v>
      </c>
    </row>
    <row r="3806" spans="1:11" x14ac:dyDescent="0.25">
      <c r="A3806" t="s">
        <v>631</v>
      </c>
      <c r="B3806" t="s">
        <v>561</v>
      </c>
      <c r="C3806" t="s">
        <v>66</v>
      </c>
      <c r="D3806" s="6">
        <v>45892</v>
      </c>
      <c r="E3806" t="str">
        <f>VLOOKUP(B3806,'PROCV GERENTES BD'!A:B,2,0)</f>
        <v>VALERIA</v>
      </c>
      <c r="F3806" s="4" t="str">
        <f t="shared" si="354"/>
        <v>2025-08</v>
      </c>
      <c r="G3806" s="18">
        <f t="shared" si="355"/>
        <v>34</v>
      </c>
      <c r="H3806" t="str">
        <f t="shared" si="356"/>
        <v>VALERIA</v>
      </c>
      <c r="I3806" t="str">
        <f t="shared" si="357"/>
        <v>TRANSPORTADORA PACHECO LTDA EPP</v>
      </c>
      <c r="J3806">
        <f t="shared" si="358"/>
        <v>1</v>
      </c>
      <c r="K3806">
        <f t="shared" si="359"/>
        <v>0</v>
      </c>
    </row>
    <row r="3807" spans="1:11" x14ac:dyDescent="0.25">
      <c r="A3807" t="s">
        <v>510</v>
      </c>
      <c r="B3807" t="s">
        <v>273</v>
      </c>
      <c r="C3807" t="s">
        <v>50</v>
      </c>
      <c r="D3807" s="6">
        <v>45892</v>
      </c>
      <c r="E3807" t="str">
        <f>VLOOKUP(B3807,'PROCV GERENTES BD'!A:B,2,0)</f>
        <v>CELIO PIMENTA</v>
      </c>
      <c r="F3807" s="4" t="str">
        <f t="shared" si="354"/>
        <v>2025-08</v>
      </c>
      <c r="G3807" s="18">
        <f t="shared" si="355"/>
        <v>34</v>
      </c>
      <c r="H3807" t="str">
        <f t="shared" si="356"/>
        <v>CELIO PIMENTA</v>
      </c>
      <c r="I3807" t="str">
        <f t="shared" si="357"/>
        <v>PRADO MOREIRA TEXTIL LTDA ME</v>
      </c>
      <c r="J3807">
        <f t="shared" si="358"/>
        <v>0</v>
      </c>
      <c r="K3807">
        <f t="shared" si="359"/>
        <v>1</v>
      </c>
    </row>
    <row r="3808" spans="1:11" x14ac:dyDescent="0.25">
      <c r="A3808" t="s">
        <v>485</v>
      </c>
      <c r="B3808" t="s">
        <v>242</v>
      </c>
      <c r="C3808" t="s">
        <v>50</v>
      </c>
      <c r="D3808" s="6">
        <v>45895</v>
      </c>
      <c r="E3808" t="str">
        <f>VLOOKUP(B3808,'PROCV GERENTES BD'!A:B,2,0)</f>
        <v>PROSPECTAR</v>
      </c>
      <c r="F3808" s="4" t="str">
        <f t="shared" si="354"/>
        <v>2025-08</v>
      </c>
      <c r="G3808" s="18">
        <f t="shared" si="355"/>
        <v>35</v>
      </c>
      <c r="H3808" t="str">
        <f t="shared" si="356"/>
        <v>PROSPECTAR</v>
      </c>
      <c r="I3808" t="str">
        <f t="shared" si="357"/>
        <v>GOIARTE SOLUCOES CONSTRUTIVAS EM CONCRETO LTDA</v>
      </c>
      <c r="J3808">
        <f t="shared" si="358"/>
        <v>0</v>
      </c>
      <c r="K3808">
        <f t="shared" si="359"/>
        <v>1</v>
      </c>
    </row>
    <row r="3809" spans="1:11" x14ac:dyDescent="0.25">
      <c r="A3809" t="s">
        <v>407</v>
      </c>
      <c r="B3809" t="s">
        <v>157</v>
      </c>
      <c r="C3809" t="s">
        <v>50</v>
      </c>
      <c r="D3809" s="6">
        <v>45895</v>
      </c>
      <c r="E3809" t="str">
        <f>VLOOKUP(B3809,'PROCV GERENTES BD'!A:B,2,0)</f>
        <v>NOELI SALETE</v>
      </c>
      <c r="F3809" s="4" t="str">
        <f t="shared" si="354"/>
        <v>2025-08</v>
      </c>
      <c r="G3809" s="18">
        <f t="shared" si="355"/>
        <v>35</v>
      </c>
      <c r="H3809" t="str">
        <f t="shared" si="356"/>
        <v>NOELI SALETE</v>
      </c>
      <c r="I3809" t="str">
        <f t="shared" si="357"/>
        <v>SGAMAQ INOVACAO AGROINDUSTRIAL LTDA</v>
      </c>
      <c r="J3809">
        <f t="shared" si="358"/>
        <v>0</v>
      </c>
      <c r="K3809">
        <f t="shared" si="359"/>
        <v>1</v>
      </c>
    </row>
    <row r="3810" spans="1:11" x14ac:dyDescent="0.25">
      <c r="A3810" t="s">
        <v>326</v>
      </c>
      <c r="B3810" t="s">
        <v>122</v>
      </c>
      <c r="C3810" t="s">
        <v>66</v>
      </c>
      <c r="D3810" s="6">
        <v>45895</v>
      </c>
      <c r="E3810" t="str">
        <f>VLOOKUP(B3810,'PROCV GERENTES BD'!A:B,2,0)</f>
        <v xml:space="preserve">ROGERIO </v>
      </c>
      <c r="F3810" s="4" t="str">
        <f t="shared" si="354"/>
        <v>2025-08</v>
      </c>
      <c r="G3810" s="18">
        <f t="shared" si="355"/>
        <v>35</v>
      </c>
      <c r="H3810" t="str">
        <f t="shared" si="356"/>
        <v xml:space="preserve">ROGERIO </v>
      </c>
      <c r="I3810" t="str">
        <f t="shared" si="357"/>
        <v>BIBE PRODUTOS INFANTIS LTDA</v>
      </c>
      <c r="J3810">
        <f t="shared" si="358"/>
        <v>1</v>
      </c>
      <c r="K3810">
        <f t="shared" si="359"/>
        <v>0</v>
      </c>
    </row>
    <row r="3811" spans="1:11" x14ac:dyDescent="0.25">
      <c r="A3811" t="s">
        <v>510</v>
      </c>
      <c r="B3811" t="s">
        <v>273</v>
      </c>
      <c r="C3811" t="s">
        <v>50</v>
      </c>
      <c r="D3811" s="6">
        <v>45895</v>
      </c>
      <c r="E3811" t="str">
        <f>VLOOKUP(B3811,'PROCV GERENTES BD'!A:B,2,0)</f>
        <v>CELIO PIMENTA</v>
      </c>
      <c r="F3811" s="4" t="str">
        <f t="shared" si="354"/>
        <v>2025-08</v>
      </c>
      <c r="G3811" s="18">
        <f t="shared" si="355"/>
        <v>35</v>
      </c>
      <c r="H3811" t="str">
        <f t="shared" si="356"/>
        <v>CELIO PIMENTA</v>
      </c>
      <c r="I3811" t="str">
        <f t="shared" si="357"/>
        <v>PRADO MOREIRA TEXTIL LTDA ME</v>
      </c>
      <c r="J3811">
        <f t="shared" si="358"/>
        <v>0</v>
      </c>
      <c r="K3811">
        <f t="shared" si="359"/>
        <v>1</v>
      </c>
    </row>
    <row r="3812" spans="1:11" x14ac:dyDescent="0.25">
      <c r="A3812" t="s">
        <v>492</v>
      </c>
      <c r="B3812" t="s">
        <v>251</v>
      </c>
      <c r="C3812" t="s">
        <v>50</v>
      </c>
      <c r="D3812" s="6">
        <v>45895</v>
      </c>
      <c r="E3812" t="str">
        <f>VLOOKUP(B3812,'PROCV GERENTES BD'!A:B,2,0)</f>
        <v>PROSPECTAR</v>
      </c>
      <c r="F3812" s="4" t="str">
        <f t="shared" si="354"/>
        <v>2025-08</v>
      </c>
      <c r="G3812" s="18">
        <f t="shared" si="355"/>
        <v>35</v>
      </c>
      <c r="H3812" t="str">
        <f t="shared" si="356"/>
        <v>PROSPECTAR</v>
      </c>
      <c r="I3812" t="str">
        <f t="shared" si="357"/>
        <v>JANE FIGUEIRA CONFECCOES LTDA ME</v>
      </c>
      <c r="J3812">
        <f t="shared" si="358"/>
        <v>0</v>
      </c>
      <c r="K3812">
        <f t="shared" si="359"/>
        <v>1</v>
      </c>
    </row>
    <row r="3813" spans="1:11" x14ac:dyDescent="0.25">
      <c r="A3813" t="s">
        <v>623</v>
      </c>
      <c r="B3813" t="s">
        <v>624</v>
      </c>
      <c r="C3813" t="s">
        <v>50</v>
      </c>
      <c r="D3813" s="6">
        <v>45895</v>
      </c>
      <c r="E3813" t="str">
        <f>VLOOKUP(B3813,'PROCV GERENTES BD'!A:B,2,0)</f>
        <v>ALISSON DE SOUZA LIMA</v>
      </c>
      <c r="F3813" s="4" t="str">
        <f t="shared" si="354"/>
        <v>2025-08</v>
      </c>
      <c r="G3813" s="18">
        <f t="shared" si="355"/>
        <v>35</v>
      </c>
      <c r="H3813" t="str">
        <f t="shared" si="356"/>
        <v>ALISSON DE SOUZA LIMA</v>
      </c>
      <c r="I3813" t="str">
        <f t="shared" si="357"/>
        <v>A2 VIDROS INDUSTRIA E COMERCIO LTDA</v>
      </c>
      <c r="J3813">
        <f t="shared" si="358"/>
        <v>0</v>
      </c>
      <c r="K3813">
        <f t="shared" si="359"/>
        <v>1</v>
      </c>
    </row>
    <row r="3814" spans="1:11" x14ac:dyDescent="0.25">
      <c r="A3814" t="s">
        <v>599</v>
      </c>
      <c r="B3814" t="s">
        <v>541</v>
      </c>
      <c r="C3814" t="s">
        <v>66</v>
      </c>
      <c r="D3814" s="6">
        <v>45895</v>
      </c>
      <c r="E3814" t="str">
        <f>VLOOKUP(B3814,'PROCV GERENTES BD'!A:B,2,0)</f>
        <v xml:space="preserve">MARCUS VINICIUS </v>
      </c>
      <c r="F3814" s="4" t="str">
        <f t="shared" si="354"/>
        <v>2025-08</v>
      </c>
      <c r="G3814" s="18">
        <f t="shared" si="355"/>
        <v>35</v>
      </c>
      <c r="H3814" t="str">
        <f t="shared" si="356"/>
        <v xml:space="preserve">MARCUS VINICIUS </v>
      </c>
      <c r="I3814" t="str">
        <f t="shared" si="357"/>
        <v>JSA INDUSTRIA DE COSMETICOS LTDA EPP</v>
      </c>
      <c r="J3814">
        <f t="shared" si="358"/>
        <v>1</v>
      </c>
      <c r="K3814">
        <f t="shared" si="359"/>
        <v>0</v>
      </c>
    </row>
    <row r="3815" spans="1:11" x14ac:dyDescent="0.25">
      <c r="A3815" t="s">
        <v>658</v>
      </c>
      <c r="B3815" t="s">
        <v>659</v>
      </c>
      <c r="C3815" t="s">
        <v>50</v>
      </c>
      <c r="D3815" s="6">
        <v>45895</v>
      </c>
      <c r="E3815" t="str">
        <f>VLOOKUP(B3815,'PROCV GERENTES BD'!A:B,2,0)</f>
        <v>ADMINISTRAÇÃO</v>
      </c>
      <c r="F3815" s="4" t="str">
        <f t="shared" si="354"/>
        <v>2025-08</v>
      </c>
      <c r="G3815" s="18">
        <f t="shared" si="355"/>
        <v>35</v>
      </c>
      <c r="H3815" t="str">
        <f t="shared" si="356"/>
        <v>ADMINISTRAÇÃO</v>
      </c>
      <c r="I3815" t="str">
        <f t="shared" si="357"/>
        <v>LEFORM PLANEJADOS LTDA ME</v>
      </c>
      <c r="J3815">
        <f t="shared" si="358"/>
        <v>0</v>
      </c>
      <c r="K3815">
        <f t="shared" si="359"/>
        <v>1</v>
      </c>
    </row>
    <row r="3816" spans="1:11" x14ac:dyDescent="0.25">
      <c r="A3816" t="s">
        <v>630</v>
      </c>
      <c r="B3816" t="s">
        <v>559</v>
      </c>
      <c r="C3816" t="s">
        <v>66</v>
      </c>
      <c r="D3816" s="6">
        <v>45895</v>
      </c>
      <c r="E3816" t="str">
        <f>VLOOKUP(B3816,'PROCV GERENTES BD'!A:B,2,0)</f>
        <v>ALISSON DE SOUZA LIMA</v>
      </c>
      <c r="F3816" s="4" t="str">
        <f t="shared" si="354"/>
        <v>2025-08</v>
      </c>
      <c r="G3816" s="18">
        <f t="shared" si="355"/>
        <v>35</v>
      </c>
      <c r="H3816" t="str">
        <f t="shared" si="356"/>
        <v>ALISSON DE SOUZA LIMA</v>
      </c>
      <c r="I3816" t="str">
        <f t="shared" si="357"/>
        <v>JRG SOLUCOES INDUSTRIAIS LTDA</v>
      </c>
      <c r="J3816">
        <f t="shared" si="358"/>
        <v>1</v>
      </c>
      <c r="K3816">
        <f t="shared" si="359"/>
        <v>0</v>
      </c>
    </row>
    <row r="3817" spans="1:11" x14ac:dyDescent="0.25">
      <c r="A3817" t="s">
        <v>316</v>
      </c>
      <c r="B3817" t="s">
        <v>302</v>
      </c>
      <c r="C3817" t="s">
        <v>50</v>
      </c>
      <c r="D3817" s="6">
        <v>45895</v>
      </c>
      <c r="E3817" t="str">
        <f>VLOOKUP(B3817,'PROCV GERENTES BD'!A:B,2,0)</f>
        <v>CELIO PIMENTA</v>
      </c>
      <c r="F3817" s="4" t="str">
        <f t="shared" si="354"/>
        <v>2025-08</v>
      </c>
      <c r="G3817" s="18">
        <f t="shared" si="355"/>
        <v>35</v>
      </c>
      <c r="H3817" t="str">
        <f t="shared" si="356"/>
        <v>CELIO PIMENTA</v>
      </c>
      <c r="I3817" t="str">
        <f t="shared" si="357"/>
        <v>LOTUS DESENVOLVIMENTO IMOBILIARIO LTDA</v>
      </c>
      <c r="J3817">
        <f t="shared" si="358"/>
        <v>0</v>
      </c>
      <c r="K3817">
        <f t="shared" si="359"/>
        <v>1</v>
      </c>
    </row>
    <row r="3818" spans="1:11" x14ac:dyDescent="0.25">
      <c r="A3818" t="s">
        <v>625</v>
      </c>
      <c r="B3818" t="s">
        <v>537</v>
      </c>
      <c r="C3818" t="s">
        <v>66</v>
      </c>
      <c r="D3818" s="6">
        <v>45895</v>
      </c>
      <c r="E3818" t="str">
        <f>VLOOKUP(B3818,'PROCV GERENTES BD'!A:B,2,0)</f>
        <v>WASHINGTON</v>
      </c>
      <c r="F3818" s="4" t="str">
        <f t="shared" si="354"/>
        <v>2025-08</v>
      </c>
      <c r="G3818" s="18">
        <f t="shared" si="355"/>
        <v>35</v>
      </c>
      <c r="H3818" t="str">
        <f t="shared" si="356"/>
        <v>WASHINGTON</v>
      </c>
      <c r="I3818" t="str">
        <f t="shared" si="357"/>
        <v>COMERCIAL SEGURANCA LTDA ME</v>
      </c>
      <c r="J3818">
        <f t="shared" si="358"/>
        <v>1</v>
      </c>
      <c r="K3818">
        <f t="shared" si="359"/>
        <v>0</v>
      </c>
    </row>
    <row r="3819" spans="1:11" x14ac:dyDescent="0.25">
      <c r="A3819" t="s">
        <v>64</v>
      </c>
      <c r="B3819" t="s">
        <v>65</v>
      </c>
      <c r="C3819" t="s">
        <v>50</v>
      </c>
      <c r="D3819" s="6">
        <v>45895</v>
      </c>
      <c r="E3819" t="str">
        <f>VLOOKUP(B3819,'PROCV GERENTES BD'!A:B,2,0)</f>
        <v>ADMINISTRAÇÃO</v>
      </c>
      <c r="F3819" s="4" t="str">
        <f t="shared" si="354"/>
        <v>2025-08</v>
      </c>
      <c r="G3819" s="18">
        <f t="shared" si="355"/>
        <v>35</v>
      </c>
      <c r="H3819" t="str">
        <f t="shared" si="356"/>
        <v>ADMINISTRAÇÃO</v>
      </c>
      <c r="I3819" t="str">
        <f t="shared" si="357"/>
        <v>SOCIAL S/A</v>
      </c>
      <c r="J3819">
        <f t="shared" si="358"/>
        <v>0</v>
      </c>
      <c r="K3819">
        <f t="shared" si="359"/>
        <v>1</v>
      </c>
    </row>
    <row r="3820" spans="1:11" x14ac:dyDescent="0.25">
      <c r="A3820" t="s">
        <v>604</v>
      </c>
      <c r="B3820" t="s">
        <v>605</v>
      </c>
      <c r="C3820" t="s">
        <v>50</v>
      </c>
      <c r="D3820" s="6">
        <v>45895</v>
      </c>
      <c r="E3820" t="str">
        <f>VLOOKUP(B3820,'PROCV GERENTES BD'!A:B,2,0)</f>
        <v>ALISSON DE SOUZA LIMA</v>
      </c>
      <c r="F3820" s="4" t="str">
        <f t="shared" si="354"/>
        <v>2025-08</v>
      </c>
      <c r="G3820" s="18">
        <f t="shared" si="355"/>
        <v>35</v>
      </c>
      <c r="H3820" t="str">
        <f t="shared" si="356"/>
        <v>ALISSON DE SOUZA LIMA</v>
      </c>
      <c r="I3820" t="str">
        <f t="shared" si="357"/>
        <v>3J FUNDICAO INDUSTRIAL LTDA</v>
      </c>
      <c r="J3820">
        <f t="shared" si="358"/>
        <v>0</v>
      </c>
      <c r="K3820">
        <f t="shared" si="359"/>
        <v>1</v>
      </c>
    </row>
    <row r="3821" spans="1:11" x14ac:dyDescent="0.25">
      <c r="A3821" t="s">
        <v>631</v>
      </c>
      <c r="B3821" t="s">
        <v>561</v>
      </c>
      <c r="C3821" t="s">
        <v>66</v>
      </c>
      <c r="D3821" s="6">
        <v>45895</v>
      </c>
      <c r="E3821" t="str">
        <f>VLOOKUP(B3821,'PROCV GERENTES BD'!A:B,2,0)</f>
        <v>VALERIA</v>
      </c>
      <c r="F3821" s="4" t="str">
        <f t="shared" si="354"/>
        <v>2025-08</v>
      </c>
      <c r="G3821" s="18">
        <f t="shared" si="355"/>
        <v>35</v>
      </c>
      <c r="H3821" t="str">
        <f t="shared" si="356"/>
        <v>VALERIA</v>
      </c>
      <c r="I3821" t="str">
        <f t="shared" si="357"/>
        <v>TRANSPORTADORA PACHECO LTDA EPP</v>
      </c>
      <c r="J3821">
        <f t="shared" si="358"/>
        <v>1</v>
      </c>
      <c r="K3821">
        <f t="shared" si="359"/>
        <v>0</v>
      </c>
    </row>
    <row r="3822" spans="1:11" x14ac:dyDescent="0.25">
      <c r="A3822" t="s">
        <v>318</v>
      </c>
      <c r="B3822" t="s">
        <v>203</v>
      </c>
      <c r="C3822" t="s">
        <v>53</v>
      </c>
      <c r="D3822" s="6">
        <v>45895</v>
      </c>
      <c r="E3822" t="str">
        <f>VLOOKUP(B3822,'PROCV GERENTES BD'!A:B,2,0)</f>
        <v>JOSE ROBERTO</v>
      </c>
      <c r="F3822" s="4" t="str">
        <f t="shared" si="354"/>
        <v>2025-08</v>
      </c>
      <c r="G3822" s="18">
        <f t="shared" si="355"/>
        <v>35</v>
      </c>
      <c r="H3822" t="str">
        <f t="shared" si="356"/>
        <v>JOSE ROBERTO</v>
      </c>
      <c r="I3822" t="str">
        <f t="shared" si="357"/>
        <v>FUNDACAO DE ENSINO E PESQUISA DO SUL DE MINAS FEPE</v>
      </c>
      <c r="J3822">
        <f t="shared" si="358"/>
        <v>1</v>
      </c>
      <c r="K3822">
        <f t="shared" si="359"/>
        <v>1</v>
      </c>
    </row>
    <row r="3823" spans="1:11" x14ac:dyDescent="0.25">
      <c r="A3823" t="s">
        <v>499</v>
      </c>
      <c r="B3823" t="s">
        <v>258</v>
      </c>
      <c r="C3823" t="s">
        <v>50</v>
      </c>
      <c r="D3823" s="6">
        <v>45895</v>
      </c>
      <c r="E3823" t="str">
        <f>VLOOKUP(B3823,'PROCV GERENTES BD'!A:B,2,0)</f>
        <v>PRISCILA METZ</v>
      </c>
      <c r="F3823" s="4" t="str">
        <f t="shared" si="354"/>
        <v>2025-08</v>
      </c>
      <c r="G3823" s="18">
        <f t="shared" si="355"/>
        <v>35</v>
      </c>
      <c r="H3823" t="str">
        <f t="shared" si="356"/>
        <v>PRISCILA METZ</v>
      </c>
      <c r="I3823" t="str">
        <f t="shared" si="357"/>
        <v>PLATINUM INDUSTRIA DE CONFECCOES LTDA</v>
      </c>
      <c r="J3823">
        <f t="shared" si="358"/>
        <v>0</v>
      </c>
      <c r="K3823">
        <f t="shared" si="359"/>
        <v>1</v>
      </c>
    </row>
    <row r="3824" spans="1:11" x14ac:dyDescent="0.25">
      <c r="A3824" t="s">
        <v>533</v>
      </c>
      <c r="B3824" t="s">
        <v>301</v>
      </c>
      <c r="C3824" t="s">
        <v>50</v>
      </c>
      <c r="D3824" s="6">
        <v>45895</v>
      </c>
      <c r="E3824" t="str">
        <f>VLOOKUP(B3824,'PROCV GERENTES BD'!A:B,2,0)</f>
        <v xml:space="preserve">MARCUS VINICIUS </v>
      </c>
      <c r="F3824" s="4" t="str">
        <f t="shared" si="354"/>
        <v>2025-08</v>
      </c>
      <c r="G3824" s="18">
        <f t="shared" si="355"/>
        <v>35</v>
      </c>
      <c r="H3824" t="str">
        <f t="shared" si="356"/>
        <v xml:space="preserve">MARCUS VINICIUS </v>
      </c>
      <c r="I3824" t="str">
        <f t="shared" si="357"/>
        <v>LINDINALDO ANISIO DA SILVA ME</v>
      </c>
      <c r="J3824">
        <f t="shared" si="358"/>
        <v>0</v>
      </c>
      <c r="K3824">
        <f t="shared" si="359"/>
        <v>1</v>
      </c>
    </row>
    <row r="3825" spans="1:11" x14ac:dyDescent="0.25">
      <c r="A3825" t="s">
        <v>529</v>
      </c>
      <c r="B3825" t="s">
        <v>297</v>
      </c>
      <c r="C3825" t="s">
        <v>66</v>
      </c>
      <c r="D3825" s="6">
        <v>45895</v>
      </c>
      <c r="E3825" t="str">
        <f>VLOOKUP(B3825,'PROCV GERENTES BD'!A:B,2,0)</f>
        <v>ANDRE CUNHA</v>
      </c>
      <c r="F3825" s="4" t="str">
        <f t="shared" si="354"/>
        <v>2025-08</v>
      </c>
      <c r="G3825" s="18">
        <f t="shared" si="355"/>
        <v>35</v>
      </c>
      <c r="H3825" t="str">
        <f t="shared" si="356"/>
        <v>ANDRE CUNHA</v>
      </c>
      <c r="I3825" t="str">
        <f t="shared" si="357"/>
        <v>REVPACK TECNOLOGIA E COMERCIO DE COMPONENTES PLAST</v>
      </c>
      <c r="J3825">
        <f t="shared" si="358"/>
        <v>1</v>
      </c>
      <c r="K3825">
        <f t="shared" si="359"/>
        <v>0</v>
      </c>
    </row>
    <row r="3826" spans="1:11" x14ac:dyDescent="0.25">
      <c r="A3826" t="s">
        <v>311</v>
      </c>
      <c r="B3826" t="s">
        <v>81</v>
      </c>
      <c r="C3826" t="s">
        <v>50</v>
      </c>
      <c r="D3826" s="6">
        <v>45895</v>
      </c>
      <c r="E3826" t="str">
        <f>VLOOKUP(B3826,'PROCV GERENTES BD'!A:B,2,0)</f>
        <v>CELIO PIMENTA</v>
      </c>
      <c r="F3826" s="4" t="str">
        <f t="shared" si="354"/>
        <v>2025-08</v>
      </c>
      <c r="G3826" s="18">
        <f t="shared" si="355"/>
        <v>35</v>
      </c>
      <c r="H3826" t="str">
        <f t="shared" si="356"/>
        <v>CELIO PIMENTA</v>
      </c>
      <c r="I3826" t="str">
        <f t="shared" si="357"/>
        <v>MBIOLOG DIAGNOSTICOS LTDA</v>
      </c>
      <c r="J3826">
        <f t="shared" si="358"/>
        <v>0</v>
      </c>
      <c r="K3826">
        <f t="shared" si="359"/>
        <v>1</v>
      </c>
    </row>
    <row r="3827" spans="1:11" x14ac:dyDescent="0.25">
      <c r="A3827" t="s">
        <v>48</v>
      </c>
      <c r="B3827" t="s">
        <v>49</v>
      </c>
      <c r="C3827" t="s">
        <v>50</v>
      </c>
      <c r="D3827" s="6">
        <v>45895</v>
      </c>
      <c r="E3827" t="str">
        <f>VLOOKUP(B3827,'PROCV GERENTES BD'!A:B,2,0)</f>
        <v xml:space="preserve">MARCUS VINICIUS </v>
      </c>
      <c r="F3827" s="4" t="str">
        <f t="shared" si="354"/>
        <v>2025-08</v>
      </c>
      <c r="G3827" s="18">
        <f t="shared" si="355"/>
        <v>35</v>
      </c>
      <c r="H3827" t="str">
        <f t="shared" si="356"/>
        <v xml:space="preserve">MARCUS VINICIUS </v>
      </c>
      <c r="I3827" t="str">
        <f t="shared" si="357"/>
        <v>PROMEL IND COM IMP E EXP DE PRODS NATURAIS LTDA</v>
      </c>
      <c r="J3827">
        <f t="shared" si="358"/>
        <v>0</v>
      </c>
      <c r="K3827">
        <f t="shared" si="359"/>
        <v>1</v>
      </c>
    </row>
    <row r="3828" spans="1:11" x14ac:dyDescent="0.25">
      <c r="A3828" t="s">
        <v>58</v>
      </c>
      <c r="B3828" t="s">
        <v>59</v>
      </c>
      <c r="C3828" t="s">
        <v>50</v>
      </c>
      <c r="D3828" s="6">
        <v>45895</v>
      </c>
      <c r="E3828" t="str">
        <f>VLOOKUP(B3828,'PROCV GERENTES BD'!A:B,2,0)</f>
        <v>ADMINISTRAÇÃO</v>
      </c>
      <c r="F3828" s="4" t="str">
        <f t="shared" si="354"/>
        <v>2025-08</v>
      </c>
      <c r="G3828" s="18">
        <f t="shared" si="355"/>
        <v>35</v>
      </c>
      <c r="H3828" t="str">
        <f t="shared" si="356"/>
        <v>ADMINISTRAÇÃO</v>
      </c>
      <c r="I3828" t="str">
        <f t="shared" si="357"/>
        <v>BIOTECH LOGISTICA LTDA</v>
      </c>
      <c r="J3828">
        <f t="shared" si="358"/>
        <v>0</v>
      </c>
      <c r="K3828">
        <f t="shared" si="359"/>
        <v>1</v>
      </c>
    </row>
    <row r="3829" spans="1:11" x14ac:dyDescent="0.25">
      <c r="A3829" t="s">
        <v>324</v>
      </c>
      <c r="B3829" t="s">
        <v>119</v>
      </c>
      <c r="C3829" t="s">
        <v>50</v>
      </c>
      <c r="D3829" s="6">
        <v>45895</v>
      </c>
      <c r="E3829" t="str">
        <f>VLOOKUP(B3829,'PROCV GERENTES BD'!A:B,2,0)</f>
        <v>PROSPECTAR</v>
      </c>
      <c r="F3829" s="4" t="str">
        <f t="shared" si="354"/>
        <v>2025-08</v>
      </c>
      <c r="G3829" s="18">
        <f t="shared" si="355"/>
        <v>35</v>
      </c>
      <c r="H3829" t="str">
        <f t="shared" si="356"/>
        <v>PROSPECTAR</v>
      </c>
      <c r="I3829" t="str">
        <f t="shared" si="357"/>
        <v>TRANSHENRY TRANSPORTES LTDA</v>
      </c>
      <c r="J3829">
        <f t="shared" si="358"/>
        <v>0</v>
      </c>
      <c r="K3829">
        <f t="shared" si="359"/>
        <v>1</v>
      </c>
    </row>
    <row r="3830" spans="1:11" x14ac:dyDescent="0.25">
      <c r="A3830" t="s">
        <v>660</v>
      </c>
      <c r="B3830" t="s">
        <v>545</v>
      </c>
      <c r="C3830" t="s">
        <v>50</v>
      </c>
      <c r="D3830" s="6">
        <v>45895</v>
      </c>
      <c r="E3830" t="str">
        <f>VLOOKUP(B3830,'PROCV GERENTES BD'!A:B,2,0)</f>
        <v xml:space="preserve">ROGERIO </v>
      </c>
      <c r="F3830" s="4" t="str">
        <f t="shared" si="354"/>
        <v>2025-08</v>
      </c>
      <c r="G3830" s="18">
        <f t="shared" si="355"/>
        <v>35</v>
      </c>
      <c r="H3830" t="str">
        <f t="shared" si="356"/>
        <v xml:space="preserve">ROGERIO </v>
      </c>
      <c r="I3830" t="str">
        <f t="shared" si="357"/>
        <v>DISEP ALIMENTOS LTDA ME</v>
      </c>
      <c r="J3830">
        <f t="shared" si="358"/>
        <v>0</v>
      </c>
      <c r="K3830">
        <f t="shared" si="359"/>
        <v>1</v>
      </c>
    </row>
    <row r="3831" spans="1:11" x14ac:dyDescent="0.25">
      <c r="A3831" t="s">
        <v>531</v>
      </c>
      <c r="B3831" t="s">
        <v>299</v>
      </c>
      <c r="C3831" t="s">
        <v>66</v>
      </c>
      <c r="D3831" s="6">
        <v>45895</v>
      </c>
      <c r="E3831" t="str">
        <f>VLOOKUP(B3831,'PROCV GERENTES BD'!A:B,2,0)</f>
        <v>RAFAEL PARISE</v>
      </c>
      <c r="F3831" s="4" t="str">
        <f t="shared" si="354"/>
        <v>2025-08</v>
      </c>
      <c r="G3831" s="18">
        <f t="shared" si="355"/>
        <v>35</v>
      </c>
      <c r="H3831" t="str">
        <f t="shared" si="356"/>
        <v>RAFAEL PARISE</v>
      </c>
      <c r="I3831" t="str">
        <f t="shared" si="357"/>
        <v>GAMA COMERCIO E TRANSPORTES LTDA EPP</v>
      </c>
      <c r="J3831">
        <f t="shared" si="358"/>
        <v>1</v>
      </c>
      <c r="K3831">
        <f t="shared" si="359"/>
        <v>0</v>
      </c>
    </row>
    <row r="3832" spans="1:11" x14ac:dyDescent="0.25">
      <c r="A3832" t="s">
        <v>523</v>
      </c>
      <c r="B3832" t="s">
        <v>288</v>
      </c>
      <c r="C3832" t="s">
        <v>66</v>
      </c>
      <c r="D3832" s="6">
        <v>45895</v>
      </c>
      <c r="E3832" t="str">
        <f>VLOOKUP(B3832,'PROCV GERENTES BD'!A:B,2,0)</f>
        <v>ADMINISTRAÇÃO</v>
      </c>
      <c r="F3832" s="4" t="str">
        <f t="shared" si="354"/>
        <v>2025-08</v>
      </c>
      <c r="G3832" s="18">
        <f t="shared" si="355"/>
        <v>35</v>
      </c>
      <c r="H3832" t="str">
        <f t="shared" si="356"/>
        <v>ADMINISTRAÇÃO</v>
      </c>
      <c r="I3832" t="str">
        <f t="shared" si="357"/>
        <v>REFRACONT BRASIL LTDA</v>
      </c>
      <c r="J3832">
        <f t="shared" si="358"/>
        <v>1</v>
      </c>
      <c r="K3832">
        <f t="shared" si="359"/>
        <v>0</v>
      </c>
    </row>
    <row r="3833" spans="1:11" x14ac:dyDescent="0.25">
      <c r="A3833" t="s">
        <v>532</v>
      </c>
      <c r="B3833" t="s">
        <v>300</v>
      </c>
      <c r="C3833" t="s">
        <v>50</v>
      </c>
      <c r="D3833" s="6">
        <v>45895</v>
      </c>
      <c r="E3833" t="str">
        <f>VLOOKUP(B3833,'PROCV GERENTES BD'!A:B,2,0)</f>
        <v>RAFAEL PARISE</v>
      </c>
      <c r="F3833" s="4" t="str">
        <f t="shared" si="354"/>
        <v>2025-08</v>
      </c>
      <c r="G3833" s="18">
        <f t="shared" si="355"/>
        <v>35</v>
      </c>
      <c r="H3833" t="str">
        <f t="shared" si="356"/>
        <v>RAFAEL PARISE</v>
      </c>
      <c r="I3833" t="str">
        <f t="shared" si="357"/>
        <v>MINASPOL INDUSTRIA E COMERCIO DE COMPOSTOS POLIMER</v>
      </c>
      <c r="J3833">
        <f t="shared" si="358"/>
        <v>0</v>
      </c>
      <c r="K3833">
        <f t="shared" si="359"/>
        <v>1</v>
      </c>
    </row>
    <row r="3834" spans="1:11" x14ac:dyDescent="0.25">
      <c r="A3834" t="s">
        <v>54</v>
      </c>
      <c r="B3834" t="s">
        <v>55</v>
      </c>
      <c r="C3834" t="s">
        <v>50</v>
      </c>
      <c r="D3834" s="6">
        <v>45895</v>
      </c>
      <c r="E3834" t="str">
        <f>VLOOKUP(B3834,'PROCV GERENTES BD'!A:B,2,0)</f>
        <v>CELIO PIMENTA</v>
      </c>
      <c r="F3834" s="4" t="str">
        <f t="shared" si="354"/>
        <v>2025-08</v>
      </c>
      <c r="G3834" s="18">
        <f t="shared" si="355"/>
        <v>35</v>
      </c>
      <c r="H3834" t="str">
        <f t="shared" si="356"/>
        <v>CELIO PIMENTA</v>
      </c>
      <c r="I3834" t="str">
        <f t="shared" si="357"/>
        <v>WJ CALDEIRARIA INDUSTRIA E COMERCIO LTDA ME</v>
      </c>
      <c r="J3834">
        <f t="shared" si="358"/>
        <v>0</v>
      </c>
      <c r="K3834">
        <f t="shared" si="359"/>
        <v>1</v>
      </c>
    </row>
    <row r="3835" spans="1:11" x14ac:dyDescent="0.25">
      <c r="A3835" t="s">
        <v>308</v>
      </c>
      <c r="B3835" t="s">
        <v>284</v>
      </c>
      <c r="C3835" t="s">
        <v>50</v>
      </c>
      <c r="D3835" s="6">
        <v>45895</v>
      </c>
      <c r="E3835" t="str">
        <f>VLOOKUP(B3835,'PROCV GERENTES BD'!A:B,2,0)</f>
        <v>CAIO</v>
      </c>
      <c r="F3835" s="4" t="str">
        <f t="shared" si="354"/>
        <v>2025-08</v>
      </c>
      <c r="G3835" s="18">
        <f t="shared" si="355"/>
        <v>35</v>
      </c>
      <c r="H3835" t="str">
        <f t="shared" si="356"/>
        <v>CAIO</v>
      </c>
      <c r="I3835" t="str">
        <f t="shared" si="357"/>
        <v>GLOBALMAX INDUSTRIA PLASTICA S/A</v>
      </c>
      <c r="J3835">
        <f t="shared" si="358"/>
        <v>0</v>
      </c>
      <c r="K3835">
        <f t="shared" si="359"/>
        <v>1</v>
      </c>
    </row>
    <row r="3836" spans="1:11" x14ac:dyDescent="0.25">
      <c r="A3836" t="s">
        <v>644</v>
      </c>
      <c r="B3836" t="s">
        <v>598</v>
      </c>
      <c r="C3836" t="s">
        <v>50</v>
      </c>
      <c r="D3836" s="6">
        <v>45895</v>
      </c>
      <c r="E3836" t="str">
        <f>VLOOKUP(B3836,'PROCV GERENTES BD'!A:B,2,0)</f>
        <v>DALVA</v>
      </c>
      <c r="F3836" s="4" t="str">
        <f t="shared" si="354"/>
        <v>2025-08</v>
      </c>
      <c r="G3836" s="18">
        <f t="shared" si="355"/>
        <v>35</v>
      </c>
      <c r="H3836" t="str">
        <f t="shared" si="356"/>
        <v>DALVA</v>
      </c>
      <c r="I3836" t="str">
        <f t="shared" si="357"/>
        <v>BH BRITADORES LTDA EPP</v>
      </c>
      <c r="J3836">
        <f t="shared" si="358"/>
        <v>0</v>
      </c>
      <c r="K3836">
        <f t="shared" si="359"/>
        <v>1</v>
      </c>
    </row>
    <row r="3837" spans="1:11" x14ac:dyDescent="0.25">
      <c r="A3837" t="s">
        <v>361</v>
      </c>
      <c r="B3837" t="s">
        <v>106</v>
      </c>
      <c r="C3837" t="s">
        <v>50</v>
      </c>
      <c r="D3837" s="6">
        <v>45895</v>
      </c>
      <c r="E3837" t="str">
        <f>VLOOKUP(B3837,'PROCV GERENTES BD'!A:B,2,0)</f>
        <v>PRISCILA METZ</v>
      </c>
      <c r="F3837" s="4" t="str">
        <f t="shared" si="354"/>
        <v>2025-08</v>
      </c>
      <c r="G3837" s="18">
        <f t="shared" si="355"/>
        <v>35</v>
      </c>
      <c r="H3837" t="str">
        <f t="shared" si="356"/>
        <v>PRISCILA METZ</v>
      </c>
      <c r="I3837" t="str">
        <f t="shared" si="357"/>
        <v>HERBAMED LABORATORIO NUTRACEUTICO LTDA</v>
      </c>
      <c r="J3837">
        <f t="shared" si="358"/>
        <v>0</v>
      </c>
      <c r="K3837">
        <f t="shared" si="359"/>
        <v>1</v>
      </c>
    </row>
    <row r="3838" spans="1:11" x14ac:dyDescent="0.25">
      <c r="A3838" t="s">
        <v>629</v>
      </c>
      <c r="B3838" t="s">
        <v>550</v>
      </c>
      <c r="C3838" t="s">
        <v>50</v>
      </c>
      <c r="D3838" s="6">
        <v>45895</v>
      </c>
      <c r="E3838" t="str">
        <f>VLOOKUP(B3838,'PROCV GERENTES BD'!A:B,2,0)</f>
        <v>CREDTEM</v>
      </c>
      <c r="F3838" s="4" t="str">
        <f t="shared" si="354"/>
        <v>2025-08</v>
      </c>
      <c r="G3838" s="18">
        <f t="shared" si="355"/>
        <v>35</v>
      </c>
      <c r="H3838" t="str">
        <f t="shared" si="356"/>
        <v>CREDTEM</v>
      </c>
      <c r="I3838" t="str">
        <f t="shared" si="357"/>
        <v>W M DE CASTRO NETO PRODUTOS FARMACEUTICOS EPP</v>
      </c>
      <c r="J3838">
        <f t="shared" si="358"/>
        <v>0</v>
      </c>
      <c r="K3838">
        <f t="shared" si="359"/>
        <v>1</v>
      </c>
    </row>
    <row r="3839" spans="1:11" x14ac:dyDescent="0.25">
      <c r="A3839" t="s">
        <v>518</v>
      </c>
      <c r="B3839" t="s">
        <v>282</v>
      </c>
      <c r="C3839" t="s">
        <v>50</v>
      </c>
      <c r="D3839" s="6">
        <v>45896</v>
      </c>
      <c r="E3839" t="str">
        <f>VLOOKUP(B3839,'PROCV GERENTES BD'!A:B,2,0)</f>
        <v>ANTECIPA</v>
      </c>
      <c r="F3839" s="4" t="str">
        <f t="shared" si="354"/>
        <v>2025-08</v>
      </c>
      <c r="G3839" s="18">
        <f t="shared" si="355"/>
        <v>35</v>
      </c>
      <c r="H3839" t="str">
        <f t="shared" si="356"/>
        <v>ANTECIPA</v>
      </c>
      <c r="I3839" t="str">
        <f t="shared" si="357"/>
        <v>CENTRAL DE SUPRIMENTOS INDUSTRIAIS LTDA EPP</v>
      </c>
      <c r="J3839">
        <f t="shared" si="358"/>
        <v>0</v>
      </c>
      <c r="K3839">
        <f t="shared" si="359"/>
        <v>1</v>
      </c>
    </row>
    <row r="3840" spans="1:11" x14ac:dyDescent="0.25">
      <c r="A3840" t="s">
        <v>511</v>
      </c>
      <c r="B3840" t="s">
        <v>274</v>
      </c>
      <c r="C3840" t="s">
        <v>66</v>
      </c>
      <c r="D3840" s="6">
        <v>45896</v>
      </c>
      <c r="E3840" t="str">
        <f>VLOOKUP(B3840,'PROCV GERENTES BD'!A:B,2,0)</f>
        <v>RAFAEL PARISE</v>
      </c>
      <c r="F3840" s="4" t="str">
        <f t="shared" si="354"/>
        <v>2025-08</v>
      </c>
      <c r="G3840" s="18">
        <f t="shared" si="355"/>
        <v>35</v>
      </c>
      <c r="H3840" t="str">
        <f t="shared" si="356"/>
        <v>RAFAEL PARISE</v>
      </c>
      <c r="I3840" t="str">
        <f t="shared" si="357"/>
        <v>ARTE FINAL INDUSTRIA E COMERCIO DE COURO LTDA</v>
      </c>
      <c r="J3840">
        <f t="shared" si="358"/>
        <v>1</v>
      </c>
      <c r="K3840">
        <f t="shared" si="359"/>
        <v>0</v>
      </c>
    </row>
    <row r="3841" spans="1:11" x14ac:dyDescent="0.25">
      <c r="A3841" t="s">
        <v>510</v>
      </c>
      <c r="B3841" t="s">
        <v>273</v>
      </c>
      <c r="C3841" t="s">
        <v>50</v>
      </c>
      <c r="D3841" s="6">
        <v>45896</v>
      </c>
      <c r="E3841" t="str">
        <f>VLOOKUP(B3841,'PROCV GERENTES BD'!A:B,2,0)</f>
        <v>CELIO PIMENTA</v>
      </c>
      <c r="F3841" s="4" t="str">
        <f t="shared" si="354"/>
        <v>2025-08</v>
      </c>
      <c r="G3841" s="18">
        <f t="shared" si="355"/>
        <v>35</v>
      </c>
      <c r="H3841" t="str">
        <f t="shared" si="356"/>
        <v>CELIO PIMENTA</v>
      </c>
      <c r="I3841" t="str">
        <f t="shared" si="357"/>
        <v>PRADO MOREIRA TEXTIL LTDA ME</v>
      </c>
      <c r="J3841">
        <f t="shared" si="358"/>
        <v>0</v>
      </c>
      <c r="K3841">
        <f t="shared" si="359"/>
        <v>1</v>
      </c>
    </row>
    <row r="3842" spans="1:11" x14ac:dyDescent="0.25">
      <c r="A3842" t="s">
        <v>325</v>
      </c>
      <c r="B3842" t="s">
        <v>138</v>
      </c>
      <c r="C3842" t="s">
        <v>50</v>
      </c>
      <c r="D3842" s="6">
        <v>45896</v>
      </c>
      <c r="E3842" t="str">
        <f>VLOOKUP(B3842,'PROCV GERENTES BD'!A:B,2,0)</f>
        <v>SACADO</v>
      </c>
      <c r="F3842" s="4" t="str">
        <f t="shared" ref="F3842:F3905" si="360">YEAR(D3842)&amp;"-"&amp;TEXT(MONTH(D3842),"00")</f>
        <v>2025-08</v>
      </c>
      <c r="G3842" s="18">
        <f t="shared" ref="G3842:G3905" si="361">WEEKNUM(D3842)</f>
        <v>35</v>
      </c>
      <c r="H3842" t="str">
        <f t="shared" ref="H3842:H3905" si="362">E3842</f>
        <v>SACADO</v>
      </c>
      <c r="I3842" t="str">
        <f t="shared" ref="I3842:I3905" si="363">B3842</f>
        <v>ALLIAGE S A INDUSTRIAS MEDICO ODONTOLOGICA</v>
      </c>
      <c r="J3842">
        <f t="shared" ref="J3842:J3905" si="364">IF(OR(C3842="EXCLUSAO  ANOT.INADIMPLENCIA",C3842="INCL/EXCL ANOT.INADIMPLENCIA"),1,0)</f>
        <v>0</v>
      </c>
      <c r="K3842">
        <f t="shared" ref="K3842:K3905" si="365">IF(OR(C3842="INCLUSAO  ANOT.INADIMPLENCIA",C3842="INCL/EXCL ANOT.INADIMPLENCIA"),1,0)</f>
        <v>1</v>
      </c>
    </row>
    <row r="3843" spans="1:11" x14ac:dyDescent="0.25">
      <c r="A3843" t="s">
        <v>623</v>
      </c>
      <c r="B3843" t="s">
        <v>624</v>
      </c>
      <c r="C3843" t="s">
        <v>50</v>
      </c>
      <c r="D3843" s="6">
        <v>45896</v>
      </c>
      <c r="E3843" t="str">
        <f>VLOOKUP(B3843,'PROCV GERENTES BD'!A:B,2,0)</f>
        <v>ALISSON DE SOUZA LIMA</v>
      </c>
      <c r="F3843" s="4" t="str">
        <f t="shared" si="360"/>
        <v>2025-08</v>
      </c>
      <c r="G3843" s="18">
        <f t="shared" si="361"/>
        <v>35</v>
      </c>
      <c r="H3843" t="str">
        <f t="shared" si="362"/>
        <v>ALISSON DE SOUZA LIMA</v>
      </c>
      <c r="I3843" t="str">
        <f t="shared" si="363"/>
        <v>A2 VIDROS INDUSTRIA E COMERCIO LTDA</v>
      </c>
      <c r="J3843">
        <f t="shared" si="364"/>
        <v>0</v>
      </c>
      <c r="K3843">
        <f t="shared" si="365"/>
        <v>1</v>
      </c>
    </row>
    <row r="3844" spans="1:11" x14ac:dyDescent="0.25">
      <c r="A3844" t="s">
        <v>622</v>
      </c>
      <c r="B3844" t="s">
        <v>540</v>
      </c>
      <c r="C3844" t="s">
        <v>50</v>
      </c>
      <c r="D3844" s="6">
        <v>45896</v>
      </c>
      <c r="E3844" t="str">
        <f>VLOOKUP(B3844,'PROCV GERENTES BD'!A:B,2,0)</f>
        <v>ADMINISTRAÇÃO</v>
      </c>
      <c r="F3844" s="4" t="str">
        <f t="shared" si="360"/>
        <v>2025-08</v>
      </c>
      <c r="G3844" s="18">
        <f t="shared" si="361"/>
        <v>35</v>
      </c>
      <c r="H3844" t="str">
        <f t="shared" si="362"/>
        <v>ADMINISTRAÇÃO</v>
      </c>
      <c r="I3844" t="str">
        <f t="shared" si="363"/>
        <v>HBEAUTY COSMETICOS LTDA ME</v>
      </c>
      <c r="J3844">
        <f t="shared" si="364"/>
        <v>0</v>
      </c>
      <c r="K3844">
        <f t="shared" si="365"/>
        <v>1</v>
      </c>
    </row>
    <row r="3845" spans="1:11" x14ac:dyDescent="0.25">
      <c r="A3845" t="s">
        <v>444</v>
      </c>
      <c r="B3845" t="s">
        <v>195</v>
      </c>
      <c r="C3845" t="s">
        <v>50</v>
      </c>
      <c r="D3845" s="6">
        <v>45896</v>
      </c>
      <c r="E3845" t="str">
        <f>VLOOKUP(B3845,'PROCV GERENTES BD'!A:B,2,0)</f>
        <v>RAFAEL PARISE</v>
      </c>
      <c r="F3845" s="4" t="str">
        <f t="shared" si="360"/>
        <v>2025-08</v>
      </c>
      <c r="G3845" s="18">
        <f t="shared" si="361"/>
        <v>35</v>
      </c>
      <c r="H3845" t="str">
        <f t="shared" si="362"/>
        <v>RAFAEL PARISE</v>
      </c>
      <c r="I3845" t="str">
        <f t="shared" si="363"/>
        <v>GEDIBOR RUBBER POLYURETHANE LTDA EPP</v>
      </c>
      <c r="J3845">
        <f t="shared" si="364"/>
        <v>0</v>
      </c>
      <c r="K3845">
        <f t="shared" si="365"/>
        <v>1</v>
      </c>
    </row>
    <row r="3846" spans="1:11" x14ac:dyDescent="0.25">
      <c r="A3846" t="s">
        <v>69</v>
      </c>
      <c r="B3846" t="s">
        <v>70</v>
      </c>
      <c r="C3846" t="s">
        <v>50</v>
      </c>
      <c r="D3846" s="6">
        <v>45896</v>
      </c>
      <c r="E3846" t="str">
        <f>VLOOKUP(B3846,'PROCV GERENTES BD'!A:B,2,0)</f>
        <v>ALISSON DE SOUZA LIMA</v>
      </c>
      <c r="F3846" s="4" t="str">
        <f t="shared" si="360"/>
        <v>2025-08</v>
      </c>
      <c r="G3846" s="18">
        <f t="shared" si="361"/>
        <v>35</v>
      </c>
      <c r="H3846" t="str">
        <f t="shared" si="362"/>
        <v>ALISSON DE SOUZA LIMA</v>
      </c>
      <c r="I3846" t="str">
        <f t="shared" si="363"/>
        <v>AUTOMOTIV DO BRASIL INDUSTRIAL LTDA</v>
      </c>
      <c r="J3846">
        <f t="shared" si="364"/>
        <v>0</v>
      </c>
      <c r="K3846">
        <f t="shared" si="365"/>
        <v>1</v>
      </c>
    </row>
    <row r="3847" spans="1:11" x14ac:dyDescent="0.25">
      <c r="A3847" t="s">
        <v>515</v>
      </c>
      <c r="B3847" t="s">
        <v>277</v>
      </c>
      <c r="C3847" t="s">
        <v>53</v>
      </c>
      <c r="D3847" s="6">
        <v>45896</v>
      </c>
      <c r="E3847" t="str">
        <f>VLOOKUP(B3847,'PROCV GERENTES BD'!A:B,2,0)</f>
        <v>ALISSON DE SOUZA LIMA</v>
      </c>
      <c r="F3847" s="4" t="str">
        <f t="shared" si="360"/>
        <v>2025-08</v>
      </c>
      <c r="G3847" s="18">
        <f t="shared" si="361"/>
        <v>35</v>
      </c>
      <c r="H3847" t="str">
        <f t="shared" si="362"/>
        <v>ALISSON DE SOUZA LIMA</v>
      </c>
      <c r="I3847" t="str">
        <f t="shared" si="363"/>
        <v>COMERCIAL GTS INFORMATICA LTDA EPP</v>
      </c>
      <c r="J3847">
        <f t="shared" si="364"/>
        <v>1</v>
      </c>
      <c r="K3847">
        <f t="shared" si="365"/>
        <v>1</v>
      </c>
    </row>
    <row r="3848" spans="1:11" x14ac:dyDescent="0.25">
      <c r="A3848" t="s">
        <v>48</v>
      </c>
      <c r="B3848" t="s">
        <v>49</v>
      </c>
      <c r="C3848" t="s">
        <v>66</v>
      </c>
      <c r="D3848" s="6">
        <v>45896</v>
      </c>
      <c r="E3848" t="str">
        <f>VLOOKUP(B3848,'PROCV GERENTES BD'!A:B,2,0)</f>
        <v xml:space="preserve">MARCUS VINICIUS </v>
      </c>
      <c r="F3848" s="4" t="str">
        <f t="shared" si="360"/>
        <v>2025-08</v>
      </c>
      <c r="G3848" s="18">
        <f t="shared" si="361"/>
        <v>35</v>
      </c>
      <c r="H3848" t="str">
        <f t="shared" si="362"/>
        <v xml:space="preserve">MARCUS VINICIUS </v>
      </c>
      <c r="I3848" t="str">
        <f t="shared" si="363"/>
        <v>PROMEL IND COM IMP E EXP DE PRODS NATURAIS LTDA</v>
      </c>
      <c r="J3848">
        <f t="shared" si="364"/>
        <v>1</v>
      </c>
      <c r="K3848">
        <f t="shared" si="365"/>
        <v>0</v>
      </c>
    </row>
    <row r="3849" spans="1:11" x14ac:dyDescent="0.25">
      <c r="A3849" t="s">
        <v>631</v>
      </c>
      <c r="B3849" t="s">
        <v>561</v>
      </c>
      <c r="C3849" t="s">
        <v>66</v>
      </c>
      <c r="D3849" s="6">
        <v>45896</v>
      </c>
      <c r="E3849" t="str">
        <f>VLOOKUP(B3849,'PROCV GERENTES BD'!A:B,2,0)</f>
        <v>VALERIA</v>
      </c>
      <c r="F3849" s="4" t="str">
        <f t="shared" si="360"/>
        <v>2025-08</v>
      </c>
      <c r="G3849" s="18">
        <f t="shared" si="361"/>
        <v>35</v>
      </c>
      <c r="H3849" t="str">
        <f t="shared" si="362"/>
        <v>VALERIA</v>
      </c>
      <c r="I3849" t="str">
        <f t="shared" si="363"/>
        <v>TRANSPORTADORA PACHECO LTDA EPP</v>
      </c>
      <c r="J3849">
        <f t="shared" si="364"/>
        <v>1</v>
      </c>
      <c r="K3849">
        <f t="shared" si="365"/>
        <v>0</v>
      </c>
    </row>
    <row r="3850" spans="1:11" x14ac:dyDescent="0.25">
      <c r="A3850" t="s">
        <v>372</v>
      </c>
      <c r="B3850" t="s">
        <v>116</v>
      </c>
      <c r="C3850" t="s">
        <v>50</v>
      </c>
      <c r="D3850" s="6">
        <v>45896</v>
      </c>
      <c r="E3850" t="str">
        <f>VLOOKUP(B3850,'PROCV GERENTES BD'!A:B,2,0)</f>
        <v>ADMINISTRAÇÃO</v>
      </c>
      <c r="F3850" s="4" t="str">
        <f t="shared" si="360"/>
        <v>2025-08</v>
      </c>
      <c r="G3850" s="18">
        <f t="shared" si="361"/>
        <v>35</v>
      </c>
      <c r="H3850" t="str">
        <f t="shared" si="362"/>
        <v>ADMINISTRAÇÃO</v>
      </c>
      <c r="I3850" t="str">
        <f t="shared" si="363"/>
        <v>PREMOLDADOS MATOSINHOS LTDA EPP</v>
      </c>
      <c r="J3850">
        <f t="shared" si="364"/>
        <v>0</v>
      </c>
      <c r="K3850">
        <f t="shared" si="365"/>
        <v>1</v>
      </c>
    </row>
    <row r="3851" spans="1:11" x14ac:dyDescent="0.25">
      <c r="A3851" t="s">
        <v>395</v>
      </c>
      <c r="B3851" t="s">
        <v>145</v>
      </c>
      <c r="C3851" t="s">
        <v>50</v>
      </c>
      <c r="D3851" s="6">
        <v>45896</v>
      </c>
      <c r="E3851" t="str">
        <f>VLOOKUP(B3851,'PROCV GERENTES BD'!A:B,2,0)</f>
        <v>MARCIO LEONEL</v>
      </c>
      <c r="F3851" s="4" t="str">
        <f t="shared" si="360"/>
        <v>2025-08</v>
      </c>
      <c r="G3851" s="18">
        <f t="shared" si="361"/>
        <v>35</v>
      </c>
      <c r="H3851" t="str">
        <f t="shared" si="362"/>
        <v>MARCIO LEONEL</v>
      </c>
      <c r="I3851" t="str">
        <f t="shared" si="363"/>
        <v>MEDICAL PRIME IMP EXPORT DISTRIB PRODUTOS MEDICOS</v>
      </c>
      <c r="J3851">
        <f t="shared" si="364"/>
        <v>0</v>
      </c>
      <c r="K3851">
        <f t="shared" si="365"/>
        <v>1</v>
      </c>
    </row>
    <row r="3852" spans="1:11" x14ac:dyDescent="0.25">
      <c r="A3852" t="s">
        <v>532</v>
      </c>
      <c r="B3852" t="s">
        <v>300</v>
      </c>
      <c r="C3852" t="s">
        <v>66</v>
      </c>
      <c r="D3852" s="6">
        <v>45896</v>
      </c>
      <c r="E3852" t="str">
        <f>VLOOKUP(B3852,'PROCV GERENTES BD'!A:B,2,0)</f>
        <v>RAFAEL PARISE</v>
      </c>
      <c r="F3852" s="4" t="str">
        <f t="shared" si="360"/>
        <v>2025-08</v>
      </c>
      <c r="G3852" s="18">
        <f t="shared" si="361"/>
        <v>35</v>
      </c>
      <c r="H3852" t="str">
        <f t="shared" si="362"/>
        <v>RAFAEL PARISE</v>
      </c>
      <c r="I3852" t="str">
        <f t="shared" si="363"/>
        <v>MINASPOL INDUSTRIA E COMERCIO DE COMPOSTOS POLIMER</v>
      </c>
      <c r="J3852">
        <f t="shared" si="364"/>
        <v>1</v>
      </c>
      <c r="K3852">
        <f t="shared" si="365"/>
        <v>0</v>
      </c>
    </row>
    <row r="3853" spans="1:11" x14ac:dyDescent="0.25">
      <c r="A3853" t="s">
        <v>51</v>
      </c>
      <c r="B3853" t="s">
        <v>52</v>
      </c>
      <c r="C3853" t="s">
        <v>50</v>
      </c>
      <c r="D3853" s="6">
        <v>45896</v>
      </c>
      <c r="E3853" t="str">
        <f>VLOOKUP(B3853,'PROCV GERENTES BD'!A:B,2,0)</f>
        <v>RAFAEL PARISE</v>
      </c>
      <c r="F3853" s="4" t="str">
        <f t="shared" si="360"/>
        <v>2025-08</v>
      </c>
      <c r="G3853" s="18">
        <f t="shared" si="361"/>
        <v>35</v>
      </c>
      <c r="H3853" t="str">
        <f t="shared" si="362"/>
        <v>RAFAEL PARISE</v>
      </c>
      <c r="I3853" t="str">
        <f t="shared" si="363"/>
        <v>TDR TRANSPORTES LOGISTICA LTDA</v>
      </c>
      <c r="J3853">
        <f t="shared" si="364"/>
        <v>0</v>
      </c>
      <c r="K3853">
        <f t="shared" si="365"/>
        <v>1</v>
      </c>
    </row>
    <row r="3854" spans="1:11" x14ac:dyDescent="0.25">
      <c r="A3854" t="s">
        <v>629</v>
      </c>
      <c r="B3854" t="s">
        <v>550</v>
      </c>
      <c r="C3854" t="s">
        <v>50</v>
      </c>
      <c r="D3854" s="6">
        <v>45896</v>
      </c>
      <c r="E3854" t="str">
        <f>VLOOKUP(B3854,'PROCV GERENTES BD'!A:B,2,0)</f>
        <v>CREDTEM</v>
      </c>
      <c r="F3854" s="4" t="str">
        <f t="shared" si="360"/>
        <v>2025-08</v>
      </c>
      <c r="G3854" s="18">
        <f t="shared" si="361"/>
        <v>35</v>
      </c>
      <c r="H3854" t="str">
        <f t="shared" si="362"/>
        <v>CREDTEM</v>
      </c>
      <c r="I3854" t="str">
        <f t="shared" si="363"/>
        <v>W M DE CASTRO NETO PRODUTOS FARMACEUTICOS EPP</v>
      </c>
      <c r="J3854">
        <f t="shared" si="364"/>
        <v>0</v>
      </c>
      <c r="K3854">
        <f t="shared" si="365"/>
        <v>1</v>
      </c>
    </row>
    <row r="3855" spans="1:11" x14ac:dyDescent="0.25">
      <c r="A3855" t="s">
        <v>324</v>
      </c>
      <c r="B3855" t="s">
        <v>119</v>
      </c>
      <c r="C3855" t="s">
        <v>53</v>
      </c>
      <c r="D3855" s="6">
        <v>45896</v>
      </c>
      <c r="E3855" t="str">
        <f>VLOOKUP(B3855,'PROCV GERENTES BD'!A:B,2,0)</f>
        <v>PROSPECTAR</v>
      </c>
      <c r="F3855" s="4" t="str">
        <f t="shared" si="360"/>
        <v>2025-08</v>
      </c>
      <c r="G3855" s="18">
        <f t="shared" si="361"/>
        <v>35</v>
      </c>
      <c r="H3855" t="str">
        <f t="shared" si="362"/>
        <v>PROSPECTAR</v>
      </c>
      <c r="I3855" t="str">
        <f t="shared" si="363"/>
        <v>TRANSHENRY TRANSPORTES LTDA</v>
      </c>
      <c r="J3855">
        <f t="shared" si="364"/>
        <v>1</v>
      </c>
      <c r="K3855">
        <f t="shared" si="365"/>
        <v>1</v>
      </c>
    </row>
    <row r="3856" spans="1:11" x14ac:dyDescent="0.25">
      <c r="A3856" t="s">
        <v>529</v>
      </c>
      <c r="B3856" t="s">
        <v>297</v>
      </c>
      <c r="C3856" t="s">
        <v>50</v>
      </c>
      <c r="D3856" s="6">
        <v>45896</v>
      </c>
      <c r="E3856" t="str">
        <f>VLOOKUP(B3856,'PROCV GERENTES BD'!A:B,2,0)</f>
        <v>ANDRE CUNHA</v>
      </c>
      <c r="F3856" s="4" t="str">
        <f t="shared" si="360"/>
        <v>2025-08</v>
      </c>
      <c r="G3856" s="18">
        <f t="shared" si="361"/>
        <v>35</v>
      </c>
      <c r="H3856" t="str">
        <f t="shared" si="362"/>
        <v>ANDRE CUNHA</v>
      </c>
      <c r="I3856" t="str">
        <f t="shared" si="363"/>
        <v>REVPACK TECNOLOGIA E COMERCIO DE COMPONENTES PLAST</v>
      </c>
      <c r="J3856">
        <f t="shared" si="364"/>
        <v>0</v>
      </c>
      <c r="K3856">
        <f t="shared" si="365"/>
        <v>1</v>
      </c>
    </row>
    <row r="3857" spans="1:11" x14ac:dyDescent="0.25">
      <c r="A3857" t="s">
        <v>604</v>
      </c>
      <c r="B3857" t="s">
        <v>605</v>
      </c>
      <c r="C3857" t="s">
        <v>50</v>
      </c>
      <c r="D3857" s="6">
        <v>45896</v>
      </c>
      <c r="E3857" t="str">
        <f>VLOOKUP(B3857,'PROCV GERENTES BD'!A:B,2,0)</f>
        <v>ALISSON DE SOUZA LIMA</v>
      </c>
      <c r="F3857" s="4" t="str">
        <f t="shared" si="360"/>
        <v>2025-08</v>
      </c>
      <c r="G3857" s="18">
        <f t="shared" si="361"/>
        <v>35</v>
      </c>
      <c r="H3857" t="str">
        <f t="shared" si="362"/>
        <v>ALISSON DE SOUZA LIMA</v>
      </c>
      <c r="I3857" t="str">
        <f t="shared" si="363"/>
        <v>3J FUNDICAO INDUSTRIAL LTDA</v>
      </c>
      <c r="J3857">
        <f t="shared" si="364"/>
        <v>0</v>
      </c>
      <c r="K3857">
        <f t="shared" si="365"/>
        <v>1</v>
      </c>
    </row>
    <row r="3858" spans="1:11" x14ac:dyDescent="0.25">
      <c r="A3858" t="s">
        <v>622</v>
      </c>
      <c r="B3858" t="s">
        <v>540</v>
      </c>
      <c r="C3858" t="s">
        <v>50</v>
      </c>
      <c r="D3858" s="6">
        <v>45897</v>
      </c>
      <c r="E3858" t="str">
        <f>VLOOKUP(B3858,'PROCV GERENTES BD'!A:B,2,0)</f>
        <v>ADMINISTRAÇÃO</v>
      </c>
      <c r="F3858" s="4" t="str">
        <f t="shared" si="360"/>
        <v>2025-08</v>
      </c>
      <c r="G3858" s="18">
        <f t="shared" si="361"/>
        <v>35</v>
      </c>
      <c r="H3858" t="str">
        <f t="shared" si="362"/>
        <v>ADMINISTRAÇÃO</v>
      </c>
      <c r="I3858" t="str">
        <f t="shared" si="363"/>
        <v>HBEAUTY COSMETICOS LTDA ME</v>
      </c>
      <c r="J3858">
        <f t="shared" si="364"/>
        <v>0</v>
      </c>
      <c r="K3858">
        <f t="shared" si="365"/>
        <v>1</v>
      </c>
    </row>
    <row r="3859" spans="1:11" x14ac:dyDescent="0.25">
      <c r="A3859" t="s">
        <v>599</v>
      </c>
      <c r="B3859" t="s">
        <v>541</v>
      </c>
      <c r="C3859" t="s">
        <v>66</v>
      </c>
      <c r="D3859" s="6">
        <v>45897</v>
      </c>
      <c r="E3859" t="str">
        <f>VLOOKUP(B3859,'PROCV GERENTES BD'!A:B,2,0)</f>
        <v xml:space="preserve">MARCUS VINICIUS </v>
      </c>
      <c r="F3859" s="4" t="str">
        <f t="shared" si="360"/>
        <v>2025-08</v>
      </c>
      <c r="G3859" s="18">
        <f t="shared" si="361"/>
        <v>35</v>
      </c>
      <c r="H3859" t="str">
        <f t="shared" si="362"/>
        <v xml:space="preserve">MARCUS VINICIUS </v>
      </c>
      <c r="I3859" t="str">
        <f t="shared" si="363"/>
        <v>JSA INDUSTRIA DE COSMETICOS LTDA EPP</v>
      </c>
      <c r="J3859">
        <f t="shared" si="364"/>
        <v>1</v>
      </c>
      <c r="K3859">
        <f t="shared" si="365"/>
        <v>0</v>
      </c>
    </row>
    <row r="3860" spans="1:11" x14ac:dyDescent="0.25">
      <c r="A3860" t="s">
        <v>369</v>
      </c>
      <c r="B3860" t="s">
        <v>113</v>
      </c>
      <c r="C3860" t="s">
        <v>50</v>
      </c>
      <c r="D3860" s="6">
        <v>45897</v>
      </c>
      <c r="E3860" t="str">
        <f>VLOOKUP(B3860,'PROCV GERENTES BD'!A:B,2,0)</f>
        <v xml:space="preserve">MARCUS VINICIUS </v>
      </c>
      <c r="F3860" s="4" t="str">
        <f t="shared" si="360"/>
        <v>2025-08</v>
      </c>
      <c r="G3860" s="18">
        <f t="shared" si="361"/>
        <v>35</v>
      </c>
      <c r="H3860" t="str">
        <f t="shared" si="362"/>
        <v xml:space="preserve">MARCUS VINICIUS </v>
      </c>
      <c r="I3860" t="str">
        <f t="shared" si="363"/>
        <v>ISOBASE POLIESTIRENO LTDA EPP</v>
      </c>
      <c r="J3860">
        <f t="shared" si="364"/>
        <v>0</v>
      </c>
      <c r="K3860">
        <f t="shared" si="365"/>
        <v>1</v>
      </c>
    </row>
    <row r="3861" spans="1:11" x14ac:dyDescent="0.25">
      <c r="A3861" t="s">
        <v>515</v>
      </c>
      <c r="B3861" t="s">
        <v>277</v>
      </c>
      <c r="C3861" t="s">
        <v>50</v>
      </c>
      <c r="D3861" s="6">
        <v>45897</v>
      </c>
      <c r="E3861" t="str">
        <f>VLOOKUP(B3861,'PROCV GERENTES BD'!A:B,2,0)</f>
        <v>ALISSON DE SOUZA LIMA</v>
      </c>
      <c r="F3861" s="4" t="str">
        <f t="shared" si="360"/>
        <v>2025-08</v>
      </c>
      <c r="G3861" s="18">
        <f t="shared" si="361"/>
        <v>35</v>
      </c>
      <c r="H3861" t="str">
        <f t="shared" si="362"/>
        <v>ALISSON DE SOUZA LIMA</v>
      </c>
      <c r="I3861" t="str">
        <f t="shared" si="363"/>
        <v>COMERCIAL GTS INFORMATICA LTDA EPP</v>
      </c>
      <c r="J3861">
        <f t="shared" si="364"/>
        <v>0</v>
      </c>
      <c r="K3861">
        <f t="shared" si="365"/>
        <v>1</v>
      </c>
    </row>
    <row r="3862" spans="1:11" x14ac:dyDescent="0.25">
      <c r="A3862" t="s">
        <v>67</v>
      </c>
      <c r="B3862" t="s">
        <v>68</v>
      </c>
      <c r="C3862" t="s">
        <v>66</v>
      </c>
      <c r="D3862" s="6">
        <v>45897</v>
      </c>
      <c r="E3862" t="str">
        <f>VLOOKUP(B3862,'PROCV GERENTES BD'!A:B,2,0)</f>
        <v xml:space="preserve">ROGERIO </v>
      </c>
      <c r="F3862" s="4" t="str">
        <f t="shared" si="360"/>
        <v>2025-08</v>
      </c>
      <c r="G3862" s="18">
        <f t="shared" si="361"/>
        <v>35</v>
      </c>
      <c r="H3862" t="str">
        <f t="shared" si="362"/>
        <v xml:space="preserve">ROGERIO </v>
      </c>
      <c r="I3862" t="str">
        <f t="shared" si="363"/>
        <v>DIOTTONI INDUSTRIA E COMERCIO DE ALIMENTOS LTDA ME</v>
      </c>
      <c r="J3862">
        <f t="shared" si="364"/>
        <v>1</v>
      </c>
      <c r="K3862">
        <f t="shared" si="365"/>
        <v>0</v>
      </c>
    </row>
    <row r="3863" spans="1:11" x14ac:dyDescent="0.25">
      <c r="A3863" t="s">
        <v>604</v>
      </c>
      <c r="B3863" t="s">
        <v>605</v>
      </c>
      <c r="C3863" t="s">
        <v>53</v>
      </c>
      <c r="D3863" s="6">
        <v>45897</v>
      </c>
      <c r="E3863" t="str">
        <f>VLOOKUP(B3863,'PROCV GERENTES BD'!A:B,2,0)</f>
        <v>ALISSON DE SOUZA LIMA</v>
      </c>
      <c r="F3863" s="4" t="str">
        <f t="shared" si="360"/>
        <v>2025-08</v>
      </c>
      <c r="G3863" s="18">
        <f t="shared" si="361"/>
        <v>35</v>
      </c>
      <c r="H3863" t="str">
        <f t="shared" si="362"/>
        <v>ALISSON DE SOUZA LIMA</v>
      </c>
      <c r="I3863" t="str">
        <f t="shared" si="363"/>
        <v>3J FUNDICAO INDUSTRIAL LTDA</v>
      </c>
      <c r="J3863">
        <f t="shared" si="364"/>
        <v>1</v>
      </c>
      <c r="K3863">
        <f t="shared" si="365"/>
        <v>1</v>
      </c>
    </row>
    <row r="3864" spans="1:11" x14ac:dyDescent="0.25">
      <c r="A3864" t="s">
        <v>632</v>
      </c>
      <c r="B3864" t="s">
        <v>633</v>
      </c>
      <c r="C3864" t="s">
        <v>50</v>
      </c>
      <c r="D3864" s="6">
        <v>45897</v>
      </c>
      <c r="E3864" t="str">
        <f>VLOOKUP(B3864,'PROCV GERENTES BD'!A:B,2,0)</f>
        <v>TIAGO NEVES</v>
      </c>
      <c r="F3864" s="4" t="str">
        <f t="shared" si="360"/>
        <v>2025-08</v>
      </c>
      <c r="G3864" s="18">
        <f t="shared" si="361"/>
        <v>35</v>
      </c>
      <c r="H3864" t="str">
        <f t="shared" si="362"/>
        <v>TIAGO NEVES</v>
      </c>
      <c r="I3864" t="str">
        <f t="shared" si="363"/>
        <v>AUTO VIDROS MG INDUSTRIA E COMERCIO LTDA</v>
      </c>
      <c r="J3864">
        <f t="shared" si="364"/>
        <v>0</v>
      </c>
      <c r="K3864">
        <f t="shared" si="365"/>
        <v>1</v>
      </c>
    </row>
    <row r="3865" spans="1:11" x14ac:dyDescent="0.25">
      <c r="A3865" t="s">
        <v>660</v>
      </c>
      <c r="B3865" t="s">
        <v>545</v>
      </c>
      <c r="C3865" t="s">
        <v>66</v>
      </c>
      <c r="D3865" s="6">
        <v>45897</v>
      </c>
      <c r="E3865" t="str">
        <f>VLOOKUP(B3865,'PROCV GERENTES BD'!A:B,2,0)</f>
        <v xml:space="preserve">ROGERIO </v>
      </c>
      <c r="F3865" s="4" t="str">
        <f t="shared" si="360"/>
        <v>2025-08</v>
      </c>
      <c r="G3865" s="18">
        <f t="shared" si="361"/>
        <v>35</v>
      </c>
      <c r="H3865" t="str">
        <f t="shared" si="362"/>
        <v xml:space="preserve">ROGERIO </v>
      </c>
      <c r="I3865" t="str">
        <f t="shared" si="363"/>
        <v>DISEP ALIMENTOS LTDA ME</v>
      </c>
      <c r="J3865">
        <f t="shared" si="364"/>
        <v>1</v>
      </c>
      <c r="K3865">
        <f t="shared" si="365"/>
        <v>0</v>
      </c>
    </row>
    <row r="3866" spans="1:11" x14ac:dyDescent="0.25">
      <c r="A3866" t="s">
        <v>319</v>
      </c>
      <c r="B3866" t="s">
        <v>649</v>
      </c>
      <c r="C3866" t="s">
        <v>50</v>
      </c>
      <c r="D3866" s="6">
        <v>45897</v>
      </c>
      <c r="E3866" t="str">
        <f>VLOOKUP(B3866,'PROCV GERENTES BD'!A:B,2,0)</f>
        <v>CELIO PIMENTA</v>
      </c>
      <c r="F3866" s="4" t="str">
        <f t="shared" si="360"/>
        <v>2025-08</v>
      </c>
      <c r="G3866" s="18">
        <f t="shared" si="361"/>
        <v>35</v>
      </c>
      <c r="H3866" t="str">
        <f t="shared" si="362"/>
        <v>CELIO PIMENTA</v>
      </c>
      <c r="I3866" t="str">
        <f t="shared" si="363"/>
        <v>IMPORTEXTIL ASSESSORIA EMPRESARIAL LTDA</v>
      </c>
      <c r="J3866">
        <f t="shared" si="364"/>
        <v>0</v>
      </c>
      <c r="K3866">
        <f t="shared" si="365"/>
        <v>1</v>
      </c>
    </row>
    <row r="3867" spans="1:11" x14ac:dyDescent="0.25">
      <c r="A3867" t="s">
        <v>532</v>
      </c>
      <c r="B3867" t="s">
        <v>300</v>
      </c>
      <c r="C3867" t="s">
        <v>66</v>
      </c>
      <c r="D3867" s="6">
        <v>45897</v>
      </c>
      <c r="E3867" t="str">
        <f>VLOOKUP(B3867,'PROCV GERENTES BD'!A:B,2,0)</f>
        <v>RAFAEL PARISE</v>
      </c>
      <c r="F3867" s="4" t="str">
        <f t="shared" si="360"/>
        <v>2025-08</v>
      </c>
      <c r="G3867" s="18">
        <f t="shared" si="361"/>
        <v>35</v>
      </c>
      <c r="H3867" t="str">
        <f t="shared" si="362"/>
        <v>RAFAEL PARISE</v>
      </c>
      <c r="I3867" t="str">
        <f t="shared" si="363"/>
        <v>MINASPOL INDUSTRIA E COMERCIO DE COMPOSTOS POLIMER</v>
      </c>
      <c r="J3867">
        <f t="shared" si="364"/>
        <v>1</v>
      </c>
      <c r="K3867">
        <f t="shared" si="365"/>
        <v>0</v>
      </c>
    </row>
    <row r="3868" spans="1:11" x14ac:dyDescent="0.25">
      <c r="A3868" t="s">
        <v>324</v>
      </c>
      <c r="B3868" t="s">
        <v>119</v>
      </c>
      <c r="C3868" t="s">
        <v>50</v>
      </c>
      <c r="D3868" s="6">
        <v>45897</v>
      </c>
      <c r="E3868" t="str">
        <f>VLOOKUP(B3868,'PROCV GERENTES BD'!A:B,2,0)</f>
        <v>PROSPECTAR</v>
      </c>
      <c r="F3868" s="4" t="str">
        <f t="shared" si="360"/>
        <v>2025-08</v>
      </c>
      <c r="G3868" s="18">
        <f t="shared" si="361"/>
        <v>35</v>
      </c>
      <c r="H3868" t="str">
        <f t="shared" si="362"/>
        <v>PROSPECTAR</v>
      </c>
      <c r="I3868" t="str">
        <f t="shared" si="363"/>
        <v>TRANSHENRY TRANSPORTES LTDA</v>
      </c>
      <c r="J3868">
        <f t="shared" si="364"/>
        <v>0</v>
      </c>
      <c r="K3868">
        <f t="shared" si="365"/>
        <v>1</v>
      </c>
    </row>
    <row r="3869" spans="1:11" x14ac:dyDescent="0.25">
      <c r="A3869" t="s">
        <v>48</v>
      </c>
      <c r="B3869" t="s">
        <v>49</v>
      </c>
      <c r="C3869" t="s">
        <v>50</v>
      </c>
      <c r="D3869" s="6">
        <v>45897</v>
      </c>
      <c r="E3869" t="str">
        <f>VLOOKUP(B3869,'PROCV GERENTES BD'!A:B,2,0)</f>
        <v xml:space="preserve">MARCUS VINICIUS </v>
      </c>
      <c r="F3869" s="4" t="str">
        <f t="shared" si="360"/>
        <v>2025-08</v>
      </c>
      <c r="G3869" s="18">
        <f t="shared" si="361"/>
        <v>35</v>
      </c>
      <c r="H3869" t="str">
        <f t="shared" si="362"/>
        <v xml:space="preserve">MARCUS VINICIUS </v>
      </c>
      <c r="I3869" t="str">
        <f t="shared" si="363"/>
        <v>PROMEL IND COM IMP E EXP DE PRODS NATURAIS LTDA</v>
      </c>
      <c r="J3869">
        <f t="shared" si="364"/>
        <v>0</v>
      </c>
      <c r="K3869">
        <f t="shared" si="365"/>
        <v>1</v>
      </c>
    </row>
    <row r="3870" spans="1:11" x14ac:dyDescent="0.25">
      <c r="A3870" t="s">
        <v>529</v>
      </c>
      <c r="B3870" t="s">
        <v>297</v>
      </c>
      <c r="C3870" t="s">
        <v>50</v>
      </c>
      <c r="D3870" s="6">
        <v>45897</v>
      </c>
      <c r="E3870" t="str">
        <f>VLOOKUP(B3870,'PROCV GERENTES BD'!A:B,2,0)</f>
        <v>ANDRE CUNHA</v>
      </c>
      <c r="F3870" s="4" t="str">
        <f t="shared" si="360"/>
        <v>2025-08</v>
      </c>
      <c r="G3870" s="18">
        <f t="shared" si="361"/>
        <v>35</v>
      </c>
      <c r="H3870" t="str">
        <f t="shared" si="362"/>
        <v>ANDRE CUNHA</v>
      </c>
      <c r="I3870" t="str">
        <f t="shared" si="363"/>
        <v>REVPACK TECNOLOGIA E COMERCIO DE COMPONENTES PLAST</v>
      </c>
      <c r="J3870">
        <f t="shared" si="364"/>
        <v>0</v>
      </c>
      <c r="K3870">
        <f t="shared" si="365"/>
        <v>1</v>
      </c>
    </row>
    <row r="3871" spans="1:11" x14ac:dyDescent="0.25">
      <c r="A3871" t="s">
        <v>623</v>
      </c>
      <c r="B3871" t="s">
        <v>624</v>
      </c>
      <c r="C3871" t="s">
        <v>50</v>
      </c>
      <c r="D3871" s="6">
        <v>45897</v>
      </c>
      <c r="E3871" t="str">
        <f>VLOOKUP(B3871,'PROCV GERENTES BD'!A:B,2,0)</f>
        <v>ALISSON DE SOUZA LIMA</v>
      </c>
      <c r="F3871" s="4" t="str">
        <f t="shared" si="360"/>
        <v>2025-08</v>
      </c>
      <c r="G3871" s="18">
        <f t="shared" si="361"/>
        <v>35</v>
      </c>
      <c r="H3871" t="str">
        <f t="shared" si="362"/>
        <v>ALISSON DE SOUZA LIMA</v>
      </c>
      <c r="I3871" t="str">
        <f t="shared" si="363"/>
        <v>A2 VIDROS INDUSTRIA E COMERCIO LTDA</v>
      </c>
      <c r="J3871">
        <f t="shared" si="364"/>
        <v>0</v>
      </c>
      <c r="K3871">
        <f t="shared" si="365"/>
        <v>1</v>
      </c>
    </row>
    <row r="3872" spans="1:11" x14ac:dyDescent="0.25">
      <c r="A3872" t="s">
        <v>58</v>
      </c>
      <c r="B3872" t="s">
        <v>59</v>
      </c>
      <c r="C3872" t="s">
        <v>66</v>
      </c>
      <c r="D3872" s="6">
        <v>45897</v>
      </c>
      <c r="E3872" t="str">
        <f>VLOOKUP(B3872,'PROCV GERENTES BD'!A:B,2,0)</f>
        <v>ADMINISTRAÇÃO</v>
      </c>
      <c r="F3872" s="4" t="str">
        <f t="shared" si="360"/>
        <v>2025-08</v>
      </c>
      <c r="G3872" s="18">
        <f t="shared" si="361"/>
        <v>35</v>
      </c>
      <c r="H3872" t="str">
        <f t="shared" si="362"/>
        <v>ADMINISTRAÇÃO</v>
      </c>
      <c r="I3872" t="str">
        <f t="shared" si="363"/>
        <v>BIOTECH LOGISTICA LTDA</v>
      </c>
      <c r="J3872">
        <f t="shared" si="364"/>
        <v>1</v>
      </c>
      <c r="K3872">
        <f t="shared" si="365"/>
        <v>0</v>
      </c>
    </row>
    <row r="3873" spans="1:11" x14ac:dyDescent="0.25">
      <c r="A3873" t="s">
        <v>510</v>
      </c>
      <c r="B3873" t="s">
        <v>273</v>
      </c>
      <c r="C3873" t="s">
        <v>50</v>
      </c>
      <c r="D3873" s="6">
        <v>45897</v>
      </c>
      <c r="E3873" t="str">
        <f>VLOOKUP(B3873,'PROCV GERENTES BD'!A:B,2,0)</f>
        <v>CELIO PIMENTA</v>
      </c>
      <c r="F3873" s="4" t="str">
        <f t="shared" si="360"/>
        <v>2025-08</v>
      </c>
      <c r="G3873" s="18">
        <f t="shared" si="361"/>
        <v>35</v>
      </c>
      <c r="H3873" t="str">
        <f t="shared" si="362"/>
        <v>CELIO PIMENTA</v>
      </c>
      <c r="I3873" t="str">
        <f t="shared" si="363"/>
        <v>PRADO MOREIRA TEXTIL LTDA ME</v>
      </c>
      <c r="J3873">
        <f t="shared" si="364"/>
        <v>0</v>
      </c>
      <c r="K3873">
        <f t="shared" si="365"/>
        <v>1</v>
      </c>
    </row>
    <row r="3874" spans="1:11" x14ac:dyDescent="0.25">
      <c r="A3874" t="s">
        <v>529</v>
      </c>
      <c r="B3874" t="s">
        <v>297</v>
      </c>
      <c r="C3874" t="s">
        <v>53</v>
      </c>
      <c r="D3874" s="6">
        <v>45898</v>
      </c>
      <c r="E3874" t="str">
        <f>VLOOKUP(B3874,'PROCV GERENTES BD'!A:B,2,0)</f>
        <v>ANDRE CUNHA</v>
      </c>
      <c r="F3874" s="4" t="str">
        <f t="shared" si="360"/>
        <v>2025-08</v>
      </c>
      <c r="G3874" s="18">
        <f t="shared" si="361"/>
        <v>35</v>
      </c>
      <c r="H3874" t="str">
        <f t="shared" si="362"/>
        <v>ANDRE CUNHA</v>
      </c>
      <c r="I3874" t="str">
        <f t="shared" si="363"/>
        <v>REVPACK TECNOLOGIA E COMERCIO DE COMPONENTES PLAST</v>
      </c>
      <c r="J3874">
        <f t="shared" si="364"/>
        <v>1</v>
      </c>
      <c r="K3874">
        <f t="shared" si="365"/>
        <v>1</v>
      </c>
    </row>
    <row r="3875" spans="1:11" x14ac:dyDescent="0.25">
      <c r="A3875" t="s">
        <v>622</v>
      </c>
      <c r="B3875" t="s">
        <v>540</v>
      </c>
      <c r="C3875" t="s">
        <v>50</v>
      </c>
      <c r="D3875" s="6">
        <v>45898</v>
      </c>
      <c r="E3875" t="str">
        <f>VLOOKUP(B3875,'PROCV GERENTES BD'!A:B,2,0)</f>
        <v>ADMINISTRAÇÃO</v>
      </c>
      <c r="F3875" s="4" t="str">
        <f t="shared" si="360"/>
        <v>2025-08</v>
      </c>
      <c r="G3875" s="18">
        <f t="shared" si="361"/>
        <v>35</v>
      </c>
      <c r="H3875" t="str">
        <f t="shared" si="362"/>
        <v>ADMINISTRAÇÃO</v>
      </c>
      <c r="I3875" t="str">
        <f t="shared" si="363"/>
        <v>HBEAUTY COSMETICOS LTDA ME</v>
      </c>
      <c r="J3875">
        <f t="shared" si="364"/>
        <v>0</v>
      </c>
      <c r="K3875">
        <f t="shared" si="365"/>
        <v>1</v>
      </c>
    </row>
    <row r="3876" spans="1:11" x14ac:dyDescent="0.25">
      <c r="A3876" t="s">
        <v>450</v>
      </c>
      <c r="B3876" t="s">
        <v>207</v>
      </c>
      <c r="C3876" t="s">
        <v>66</v>
      </c>
      <c r="D3876" s="6">
        <v>45898</v>
      </c>
      <c r="E3876" t="str">
        <f>VLOOKUP(B3876,'PROCV GERENTES BD'!A:B,2,0)</f>
        <v>CELIO PIMENTA</v>
      </c>
      <c r="F3876" s="4" t="str">
        <f t="shared" si="360"/>
        <v>2025-08</v>
      </c>
      <c r="G3876" s="18">
        <f t="shared" si="361"/>
        <v>35</v>
      </c>
      <c r="H3876" t="str">
        <f t="shared" si="362"/>
        <v>CELIO PIMENTA</v>
      </c>
      <c r="I3876" t="str">
        <f t="shared" si="363"/>
        <v>LIDER COMERCIO DE UNIFORMES E EPI S LTDA ME</v>
      </c>
      <c r="J3876">
        <f t="shared" si="364"/>
        <v>1</v>
      </c>
      <c r="K3876">
        <f t="shared" si="365"/>
        <v>0</v>
      </c>
    </row>
    <row r="3877" spans="1:11" x14ac:dyDescent="0.25">
      <c r="A3877" t="s">
        <v>630</v>
      </c>
      <c r="B3877" t="s">
        <v>559</v>
      </c>
      <c r="C3877" t="s">
        <v>66</v>
      </c>
      <c r="D3877" s="6">
        <v>45898</v>
      </c>
      <c r="E3877" t="str">
        <f>VLOOKUP(B3877,'PROCV GERENTES BD'!A:B,2,0)</f>
        <v>ALISSON DE SOUZA LIMA</v>
      </c>
      <c r="F3877" s="4" t="str">
        <f t="shared" si="360"/>
        <v>2025-08</v>
      </c>
      <c r="G3877" s="18">
        <f t="shared" si="361"/>
        <v>35</v>
      </c>
      <c r="H3877" t="str">
        <f t="shared" si="362"/>
        <v>ALISSON DE SOUZA LIMA</v>
      </c>
      <c r="I3877" t="str">
        <f t="shared" si="363"/>
        <v>JRG SOLUCOES INDUSTRIAIS LTDA</v>
      </c>
      <c r="J3877">
        <f t="shared" si="364"/>
        <v>1</v>
      </c>
      <c r="K3877">
        <f t="shared" si="365"/>
        <v>0</v>
      </c>
    </row>
    <row r="3878" spans="1:11" x14ac:dyDescent="0.25">
      <c r="A3878" t="s">
        <v>505</v>
      </c>
      <c r="B3878" t="s">
        <v>267</v>
      </c>
      <c r="C3878" t="s">
        <v>66</v>
      </c>
      <c r="D3878" s="6">
        <v>45898</v>
      </c>
      <c r="E3878" t="str">
        <f>VLOOKUP(B3878,'PROCV GERENTES BD'!A:B,2,0)</f>
        <v>PRISCILA METZ</v>
      </c>
      <c r="F3878" s="4" t="str">
        <f t="shared" si="360"/>
        <v>2025-08</v>
      </c>
      <c r="G3878" s="18">
        <f t="shared" si="361"/>
        <v>35</v>
      </c>
      <c r="H3878" t="str">
        <f t="shared" si="362"/>
        <v>PRISCILA METZ</v>
      </c>
      <c r="I3878" t="str">
        <f t="shared" si="363"/>
        <v>REAL DISTRIBUIDORA DE PRODUTOS PARA MARMORARIA LTD</v>
      </c>
      <c r="J3878">
        <f t="shared" si="364"/>
        <v>1</v>
      </c>
      <c r="K3878">
        <f t="shared" si="365"/>
        <v>0</v>
      </c>
    </row>
    <row r="3879" spans="1:11" x14ac:dyDescent="0.25">
      <c r="A3879" t="s">
        <v>625</v>
      </c>
      <c r="B3879" t="s">
        <v>537</v>
      </c>
      <c r="C3879" t="s">
        <v>66</v>
      </c>
      <c r="D3879" s="6">
        <v>45898</v>
      </c>
      <c r="E3879" t="str">
        <f>VLOOKUP(B3879,'PROCV GERENTES BD'!A:B,2,0)</f>
        <v>WASHINGTON</v>
      </c>
      <c r="F3879" s="4" t="str">
        <f t="shared" si="360"/>
        <v>2025-08</v>
      </c>
      <c r="G3879" s="18">
        <f t="shared" si="361"/>
        <v>35</v>
      </c>
      <c r="H3879" t="str">
        <f t="shared" si="362"/>
        <v>WASHINGTON</v>
      </c>
      <c r="I3879" t="str">
        <f t="shared" si="363"/>
        <v>COMERCIAL SEGURANCA LTDA ME</v>
      </c>
      <c r="J3879">
        <f t="shared" si="364"/>
        <v>1</v>
      </c>
      <c r="K3879">
        <f t="shared" si="365"/>
        <v>0</v>
      </c>
    </row>
    <row r="3880" spans="1:11" x14ac:dyDescent="0.25">
      <c r="A3880" t="s">
        <v>448</v>
      </c>
      <c r="B3880" t="s">
        <v>201</v>
      </c>
      <c r="C3880" t="s">
        <v>50</v>
      </c>
      <c r="D3880" s="6">
        <v>45898</v>
      </c>
      <c r="E3880" t="str">
        <f>VLOOKUP(B3880,'PROCV GERENTES BD'!A:B,2,0)</f>
        <v>PRISCILA METZ</v>
      </c>
      <c r="F3880" s="4" t="str">
        <f t="shared" si="360"/>
        <v>2025-08</v>
      </c>
      <c r="G3880" s="18">
        <f t="shared" si="361"/>
        <v>35</v>
      </c>
      <c r="H3880" t="str">
        <f t="shared" si="362"/>
        <v>PRISCILA METZ</v>
      </c>
      <c r="I3880" t="str">
        <f t="shared" si="363"/>
        <v>M TRATORES LTDA EPP</v>
      </c>
      <c r="J3880">
        <f t="shared" si="364"/>
        <v>0</v>
      </c>
      <c r="K3880">
        <f t="shared" si="365"/>
        <v>1</v>
      </c>
    </row>
    <row r="3881" spans="1:11" x14ac:dyDescent="0.25">
      <c r="A3881" t="s">
        <v>67</v>
      </c>
      <c r="B3881" t="s">
        <v>68</v>
      </c>
      <c r="C3881" t="s">
        <v>66</v>
      </c>
      <c r="D3881" s="6">
        <v>45898</v>
      </c>
      <c r="E3881" t="str">
        <f>VLOOKUP(B3881,'PROCV GERENTES BD'!A:B,2,0)</f>
        <v xml:space="preserve">ROGERIO </v>
      </c>
      <c r="F3881" s="4" t="str">
        <f t="shared" si="360"/>
        <v>2025-08</v>
      </c>
      <c r="G3881" s="18">
        <f t="shared" si="361"/>
        <v>35</v>
      </c>
      <c r="H3881" t="str">
        <f t="shared" si="362"/>
        <v xml:space="preserve">ROGERIO </v>
      </c>
      <c r="I3881" t="str">
        <f t="shared" si="363"/>
        <v>DIOTTONI INDUSTRIA E COMERCIO DE ALIMENTOS LTDA ME</v>
      </c>
      <c r="J3881">
        <f t="shared" si="364"/>
        <v>1</v>
      </c>
      <c r="K3881">
        <f t="shared" si="365"/>
        <v>0</v>
      </c>
    </row>
    <row r="3882" spans="1:11" x14ac:dyDescent="0.25">
      <c r="A3882" t="s">
        <v>64</v>
      </c>
      <c r="B3882" t="s">
        <v>65</v>
      </c>
      <c r="C3882" t="s">
        <v>50</v>
      </c>
      <c r="D3882" s="6">
        <v>45898</v>
      </c>
      <c r="E3882" t="str">
        <f>VLOOKUP(B3882,'PROCV GERENTES BD'!A:B,2,0)</f>
        <v>ADMINISTRAÇÃO</v>
      </c>
      <c r="F3882" s="4" t="str">
        <f t="shared" si="360"/>
        <v>2025-08</v>
      </c>
      <c r="G3882" s="18">
        <f t="shared" si="361"/>
        <v>35</v>
      </c>
      <c r="H3882" t="str">
        <f t="shared" si="362"/>
        <v>ADMINISTRAÇÃO</v>
      </c>
      <c r="I3882" t="str">
        <f t="shared" si="363"/>
        <v>SOCIAL S/A</v>
      </c>
      <c r="J3882">
        <f t="shared" si="364"/>
        <v>0</v>
      </c>
      <c r="K3882">
        <f t="shared" si="365"/>
        <v>1</v>
      </c>
    </row>
    <row r="3883" spans="1:11" x14ac:dyDescent="0.25">
      <c r="A3883" t="s">
        <v>499</v>
      </c>
      <c r="B3883" t="s">
        <v>258</v>
      </c>
      <c r="C3883" t="s">
        <v>50</v>
      </c>
      <c r="D3883" s="6">
        <v>45898</v>
      </c>
      <c r="E3883" t="str">
        <f>VLOOKUP(B3883,'PROCV GERENTES BD'!A:B,2,0)</f>
        <v>PRISCILA METZ</v>
      </c>
      <c r="F3883" s="4" t="str">
        <f t="shared" si="360"/>
        <v>2025-08</v>
      </c>
      <c r="G3883" s="18">
        <f t="shared" si="361"/>
        <v>35</v>
      </c>
      <c r="H3883" t="str">
        <f t="shared" si="362"/>
        <v>PRISCILA METZ</v>
      </c>
      <c r="I3883" t="str">
        <f t="shared" si="363"/>
        <v>PLATINUM INDUSTRIA DE CONFECCOES LTDA</v>
      </c>
      <c r="J3883">
        <f t="shared" si="364"/>
        <v>0</v>
      </c>
      <c r="K3883">
        <f t="shared" si="365"/>
        <v>1</v>
      </c>
    </row>
    <row r="3884" spans="1:11" x14ac:dyDescent="0.25">
      <c r="A3884" t="s">
        <v>487</v>
      </c>
      <c r="B3884" t="s">
        <v>244</v>
      </c>
      <c r="C3884" t="s">
        <v>66</v>
      </c>
      <c r="D3884" s="6">
        <v>45898</v>
      </c>
      <c r="E3884" t="str">
        <f>VLOOKUP(B3884,'PROCV GERENTES BD'!A:B,2,0)</f>
        <v xml:space="preserve">ROGERIO </v>
      </c>
      <c r="F3884" s="4" t="str">
        <f t="shared" si="360"/>
        <v>2025-08</v>
      </c>
      <c r="G3884" s="18">
        <f t="shared" si="361"/>
        <v>35</v>
      </c>
      <c r="H3884" t="str">
        <f t="shared" si="362"/>
        <v xml:space="preserve">ROGERIO </v>
      </c>
      <c r="I3884" t="str">
        <f t="shared" si="363"/>
        <v>MUNDO AGRO COMERCIO E DISTRIBUICAO DE CALCADOS LTD</v>
      </c>
      <c r="J3884">
        <f t="shared" si="364"/>
        <v>1</v>
      </c>
      <c r="K3884">
        <f t="shared" si="365"/>
        <v>0</v>
      </c>
    </row>
    <row r="3885" spans="1:11" x14ac:dyDescent="0.25">
      <c r="A3885" t="s">
        <v>318</v>
      </c>
      <c r="B3885" t="s">
        <v>203</v>
      </c>
      <c r="C3885" t="s">
        <v>53</v>
      </c>
      <c r="D3885" s="6">
        <v>45898</v>
      </c>
      <c r="E3885" t="str">
        <f>VLOOKUP(B3885,'PROCV GERENTES BD'!A:B,2,0)</f>
        <v>JOSE ROBERTO</v>
      </c>
      <c r="F3885" s="4" t="str">
        <f t="shared" si="360"/>
        <v>2025-08</v>
      </c>
      <c r="G3885" s="18">
        <f t="shared" si="361"/>
        <v>35</v>
      </c>
      <c r="H3885" t="str">
        <f t="shared" si="362"/>
        <v>JOSE ROBERTO</v>
      </c>
      <c r="I3885" t="str">
        <f t="shared" si="363"/>
        <v>FUNDACAO DE ENSINO E PESQUISA DO SUL DE MINAS FEPE</v>
      </c>
      <c r="J3885">
        <f t="shared" si="364"/>
        <v>1</v>
      </c>
      <c r="K3885">
        <f t="shared" si="365"/>
        <v>1</v>
      </c>
    </row>
    <row r="3886" spans="1:11" x14ac:dyDescent="0.25">
      <c r="A3886" t="s">
        <v>56</v>
      </c>
      <c r="B3886" t="s">
        <v>57</v>
      </c>
      <c r="C3886" t="s">
        <v>66</v>
      </c>
      <c r="D3886" s="6">
        <v>45898</v>
      </c>
      <c r="E3886" t="str">
        <f>VLOOKUP(B3886,'PROCV GERENTES BD'!A:B,2,0)</f>
        <v xml:space="preserve">ROGERIO </v>
      </c>
      <c r="F3886" s="4" t="str">
        <f t="shared" si="360"/>
        <v>2025-08</v>
      </c>
      <c r="G3886" s="18">
        <f t="shared" si="361"/>
        <v>35</v>
      </c>
      <c r="H3886" t="str">
        <f t="shared" si="362"/>
        <v xml:space="preserve">ROGERIO </v>
      </c>
      <c r="I3886" t="str">
        <f t="shared" si="363"/>
        <v>RODOVIEIRA TRANSPORTE LTDA</v>
      </c>
      <c r="J3886">
        <f t="shared" si="364"/>
        <v>1</v>
      </c>
      <c r="K3886">
        <f t="shared" si="365"/>
        <v>0</v>
      </c>
    </row>
    <row r="3887" spans="1:11" x14ac:dyDescent="0.25">
      <c r="A3887" t="s">
        <v>533</v>
      </c>
      <c r="B3887" t="s">
        <v>301</v>
      </c>
      <c r="C3887" t="s">
        <v>53</v>
      </c>
      <c r="D3887" s="6">
        <v>45898</v>
      </c>
      <c r="E3887" t="str">
        <f>VLOOKUP(B3887,'PROCV GERENTES BD'!A:B,2,0)</f>
        <v xml:space="preserve">MARCUS VINICIUS </v>
      </c>
      <c r="F3887" s="4" t="str">
        <f t="shared" si="360"/>
        <v>2025-08</v>
      </c>
      <c r="G3887" s="18">
        <f t="shared" si="361"/>
        <v>35</v>
      </c>
      <c r="H3887" t="str">
        <f t="shared" si="362"/>
        <v xml:space="preserve">MARCUS VINICIUS </v>
      </c>
      <c r="I3887" t="str">
        <f t="shared" si="363"/>
        <v>LINDINALDO ANISIO DA SILVA ME</v>
      </c>
      <c r="J3887">
        <f t="shared" si="364"/>
        <v>1</v>
      </c>
      <c r="K3887">
        <f t="shared" si="365"/>
        <v>1</v>
      </c>
    </row>
    <row r="3888" spans="1:11" x14ac:dyDescent="0.25">
      <c r="A3888" t="s">
        <v>361</v>
      </c>
      <c r="B3888" t="s">
        <v>106</v>
      </c>
      <c r="C3888" t="s">
        <v>66</v>
      </c>
      <c r="D3888" s="6">
        <v>45898</v>
      </c>
      <c r="E3888" t="str">
        <f>VLOOKUP(B3888,'PROCV GERENTES BD'!A:B,2,0)</f>
        <v>PRISCILA METZ</v>
      </c>
      <c r="F3888" s="4" t="str">
        <f t="shared" si="360"/>
        <v>2025-08</v>
      </c>
      <c r="G3888" s="18">
        <f t="shared" si="361"/>
        <v>35</v>
      </c>
      <c r="H3888" t="str">
        <f t="shared" si="362"/>
        <v>PRISCILA METZ</v>
      </c>
      <c r="I3888" t="str">
        <f t="shared" si="363"/>
        <v>HERBAMED LABORATORIO NUTRACEUTICO LTDA</v>
      </c>
      <c r="J3888">
        <f t="shared" si="364"/>
        <v>1</v>
      </c>
      <c r="K3888">
        <f t="shared" si="365"/>
        <v>0</v>
      </c>
    </row>
    <row r="3889" spans="1:11" x14ac:dyDescent="0.25">
      <c r="A3889" t="s">
        <v>506</v>
      </c>
      <c r="B3889" t="s">
        <v>268</v>
      </c>
      <c r="C3889" t="s">
        <v>50</v>
      </c>
      <c r="D3889" s="6">
        <v>45898</v>
      </c>
      <c r="E3889" t="str">
        <f>VLOOKUP(B3889,'PROCV GERENTES BD'!A:B,2,0)</f>
        <v>CAIO</v>
      </c>
      <c r="F3889" s="4" t="str">
        <f t="shared" si="360"/>
        <v>2025-08</v>
      </c>
      <c r="G3889" s="18">
        <f t="shared" si="361"/>
        <v>35</v>
      </c>
      <c r="H3889" t="str">
        <f t="shared" si="362"/>
        <v>CAIO</v>
      </c>
      <c r="I3889" t="str">
        <f t="shared" si="363"/>
        <v>BEECORP BEM ESTAR CORPORATIVO LTDA ME</v>
      </c>
      <c r="J3889">
        <f t="shared" si="364"/>
        <v>0</v>
      </c>
      <c r="K3889">
        <f t="shared" si="365"/>
        <v>1</v>
      </c>
    </row>
    <row r="3890" spans="1:11" x14ac:dyDescent="0.25">
      <c r="A3890" t="s">
        <v>639</v>
      </c>
      <c r="B3890" t="s">
        <v>564</v>
      </c>
      <c r="C3890" t="s">
        <v>66</v>
      </c>
      <c r="D3890" s="6">
        <v>45898</v>
      </c>
      <c r="E3890" t="str">
        <f>VLOOKUP(B3890,'PROCV GERENTES BD'!A:B,2,0)</f>
        <v>CAIO</v>
      </c>
      <c r="F3890" s="4" t="str">
        <f t="shared" si="360"/>
        <v>2025-08</v>
      </c>
      <c r="G3890" s="18">
        <f t="shared" si="361"/>
        <v>35</v>
      </c>
      <c r="H3890" t="str">
        <f t="shared" si="362"/>
        <v>CAIO</v>
      </c>
      <c r="I3890" t="str">
        <f t="shared" si="363"/>
        <v>FRUTABELLA INDUSTRIA E COMERCIO DE ALIMENTOS LTDA</v>
      </c>
      <c r="J3890">
        <f t="shared" si="364"/>
        <v>1</v>
      </c>
      <c r="K3890">
        <f t="shared" si="365"/>
        <v>0</v>
      </c>
    </row>
    <row r="3891" spans="1:11" x14ac:dyDescent="0.25">
      <c r="A3891" t="s">
        <v>629</v>
      </c>
      <c r="B3891" t="s">
        <v>550</v>
      </c>
      <c r="C3891" t="s">
        <v>66</v>
      </c>
      <c r="D3891" s="6">
        <v>45898</v>
      </c>
      <c r="E3891" t="str">
        <f>VLOOKUP(B3891,'PROCV GERENTES BD'!A:B,2,0)</f>
        <v>CREDTEM</v>
      </c>
      <c r="F3891" s="4" t="str">
        <f t="shared" si="360"/>
        <v>2025-08</v>
      </c>
      <c r="G3891" s="18">
        <f t="shared" si="361"/>
        <v>35</v>
      </c>
      <c r="H3891" t="str">
        <f t="shared" si="362"/>
        <v>CREDTEM</v>
      </c>
      <c r="I3891" t="str">
        <f t="shared" si="363"/>
        <v>W M DE CASTRO NETO PRODUTOS FARMACEUTICOS EPP</v>
      </c>
      <c r="J3891">
        <f t="shared" si="364"/>
        <v>1</v>
      </c>
      <c r="K3891">
        <f t="shared" si="365"/>
        <v>0</v>
      </c>
    </row>
    <row r="3892" spans="1:11" x14ac:dyDescent="0.25">
      <c r="A3892" t="s">
        <v>324</v>
      </c>
      <c r="B3892" t="s">
        <v>119</v>
      </c>
      <c r="C3892" t="s">
        <v>50</v>
      </c>
      <c r="D3892" s="6">
        <v>45898</v>
      </c>
      <c r="E3892" t="str">
        <f>VLOOKUP(B3892,'PROCV GERENTES BD'!A:B,2,0)</f>
        <v>PROSPECTAR</v>
      </c>
      <c r="F3892" s="4" t="str">
        <f t="shared" si="360"/>
        <v>2025-08</v>
      </c>
      <c r="G3892" s="18">
        <f t="shared" si="361"/>
        <v>35</v>
      </c>
      <c r="H3892" t="str">
        <f t="shared" si="362"/>
        <v>PROSPECTAR</v>
      </c>
      <c r="I3892" t="str">
        <f t="shared" si="363"/>
        <v>TRANSHENRY TRANSPORTES LTDA</v>
      </c>
      <c r="J3892">
        <f t="shared" si="364"/>
        <v>0</v>
      </c>
      <c r="K3892">
        <f t="shared" si="365"/>
        <v>1</v>
      </c>
    </row>
    <row r="3893" spans="1:11" x14ac:dyDescent="0.25">
      <c r="A3893" t="s">
        <v>482</v>
      </c>
      <c r="B3893" t="s">
        <v>239</v>
      </c>
      <c r="C3893" t="s">
        <v>50</v>
      </c>
      <c r="D3893" s="6">
        <v>45898</v>
      </c>
      <c r="E3893" t="str">
        <f>VLOOKUP(B3893,'PROCV GERENTES BD'!A:B,2,0)</f>
        <v>RAFAEL PARISE</v>
      </c>
      <c r="F3893" s="4" t="str">
        <f t="shared" si="360"/>
        <v>2025-08</v>
      </c>
      <c r="G3893" s="18">
        <f t="shared" si="361"/>
        <v>35</v>
      </c>
      <c r="H3893" t="str">
        <f t="shared" si="362"/>
        <v>RAFAEL PARISE</v>
      </c>
      <c r="I3893" t="str">
        <f t="shared" si="363"/>
        <v>RENOVAR AGRICOLA LTDA</v>
      </c>
      <c r="J3893">
        <f t="shared" si="364"/>
        <v>0</v>
      </c>
      <c r="K3893">
        <f t="shared" si="365"/>
        <v>1</v>
      </c>
    </row>
    <row r="3894" spans="1:11" x14ac:dyDescent="0.25">
      <c r="A3894" t="s">
        <v>305</v>
      </c>
      <c r="B3894" t="s">
        <v>141</v>
      </c>
      <c r="C3894" t="s">
        <v>50</v>
      </c>
      <c r="D3894" s="6">
        <v>45898</v>
      </c>
      <c r="E3894" t="str">
        <f>VLOOKUP(B3894,'PROCV GERENTES BD'!A:B,2,0)</f>
        <v>NOELI SALETE</v>
      </c>
      <c r="F3894" s="4" t="str">
        <f t="shared" si="360"/>
        <v>2025-08</v>
      </c>
      <c r="G3894" s="18">
        <f t="shared" si="361"/>
        <v>35</v>
      </c>
      <c r="H3894" t="str">
        <f t="shared" si="362"/>
        <v>NOELI SALETE</v>
      </c>
      <c r="I3894" t="str">
        <f t="shared" si="363"/>
        <v>JMS EMBALAGENS INDUSTRIAIS LTDA</v>
      </c>
      <c r="J3894">
        <f t="shared" si="364"/>
        <v>0</v>
      </c>
      <c r="K3894">
        <f t="shared" si="365"/>
        <v>1</v>
      </c>
    </row>
    <row r="3895" spans="1:11" x14ac:dyDescent="0.25">
      <c r="A3895" t="s">
        <v>58</v>
      </c>
      <c r="B3895" t="s">
        <v>59</v>
      </c>
      <c r="C3895" t="s">
        <v>53</v>
      </c>
      <c r="D3895" s="6">
        <v>45898</v>
      </c>
      <c r="E3895" t="str">
        <f>VLOOKUP(B3895,'PROCV GERENTES BD'!A:B,2,0)</f>
        <v>ADMINISTRAÇÃO</v>
      </c>
      <c r="F3895" s="4" t="str">
        <f t="shared" si="360"/>
        <v>2025-08</v>
      </c>
      <c r="G3895" s="18">
        <f t="shared" si="361"/>
        <v>35</v>
      </c>
      <c r="H3895" t="str">
        <f t="shared" si="362"/>
        <v>ADMINISTRAÇÃO</v>
      </c>
      <c r="I3895" t="str">
        <f t="shared" si="363"/>
        <v>BIOTECH LOGISTICA LTDA</v>
      </c>
      <c r="J3895">
        <f t="shared" si="364"/>
        <v>1</v>
      </c>
      <c r="K3895">
        <f t="shared" si="365"/>
        <v>1</v>
      </c>
    </row>
    <row r="3896" spans="1:11" x14ac:dyDescent="0.25">
      <c r="A3896" t="s">
        <v>510</v>
      </c>
      <c r="B3896" t="s">
        <v>273</v>
      </c>
      <c r="C3896" t="s">
        <v>50</v>
      </c>
      <c r="D3896" s="6">
        <v>45898</v>
      </c>
      <c r="E3896" t="str">
        <f>VLOOKUP(B3896,'PROCV GERENTES BD'!A:B,2,0)</f>
        <v>CELIO PIMENTA</v>
      </c>
      <c r="F3896" s="4" t="str">
        <f t="shared" si="360"/>
        <v>2025-08</v>
      </c>
      <c r="G3896" s="18">
        <f t="shared" si="361"/>
        <v>35</v>
      </c>
      <c r="H3896" t="str">
        <f t="shared" si="362"/>
        <v>CELIO PIMENTA</v>
      </c>
      <c r="I3896" t="str">
        <f t="shared" si="363"/>
        <v>PRADO MOREIRA TEXTIL LTDA ME</v>
      </c>
      <c r="J3896">
        <f t="shared" si="364"/>
        <v>0</v>
      </c>
      <c r="K3896">
        <f t="shared" si="365"/>
        <v>1</v>
      </c>
    </row>
    <row r="3897" spans="1:11" x14ac:dyDescent="0.25">
      <c r="A3897" t="s">
        <v>529</v>
      </c>
      <c r="B3897" t="s">
        <v>297</v>
      </c>
      <c r="C3897" t="s">
        <v>50</v>
      </c>
      <c r="D3897" s="6">
        <v>45899</v>
      </c>
      <c r="E3897" t="str">
        <f>VLOOKUP(B3897,'PROCV GERENTES BD'!A:B,2,0)</f>
        <v>ANDRE CUNHA</v>
      </c>
      <c r="F3897" s="4" t="str">
        <f t="shared" si="360"/>
        <v>2025-08</v>
      </c>
      <c r="G3897" s="18">
        <f t="shared" si="361"/>
        <v>35</v>
      </c>
      <c r="H3897" t="str">
        <f t="shared" si="362"/>
        <v>ANDRE CUNHA</v>
      </c>
      <c r="I3897" t="str">
        <f t="shared" si="363"/>
        <v>REVPACK TECNOLOGIA E COMERCIO DE COMPONENTES PLAST</v>
      </c>
      <c r="J3897">
        <f t="shared" si="364"/>
        <v>0</v>
      </c>
      <c r="K3897">
        <f t="shared" si="365"/>
        <v>1</v>
      </c>
    </row>
    <row r="3898" spans="1:11" x14ac:dyDescent="0.25">
      <c r="A3898" t="s">
        <v>457</v>
      </c>
      <c r="B3898" t="s">
        <v>214</v>
      </c>
      <c r="C3898" t="s">
        <v>66</v>
      </c>
      <c r="D3898" s="6">
        <v>45899</v>
      </c>
      <c r="E3898" t="str">
        <f>VLOOKUP(B3898,'PROCV GERENTES BD'!A:B,2,0)</f>
        <v xml:space="preserve">ROGERIO </v>
      </c>
      <c r="F3898" s="4" t="str">
        <f t="shared" si="360"/>
        <v>2025-08</v>
      </c>
      <c r="G3898" s="18">
        <f t="shared" si="361"/>
        <v>35</v>
      </c>
      <c r="H3898" t="str">
        <f t="shared" si="362"/>
        <v xml:space="preserve">ROGERIO </v>
      </c>
      <c r="I3898" t="str">
        <f t="shared" si="363"/>
        <v>METAL STAMP INDUSTRIA E COMERCIO LTDA</v>
      </c>
      <c r="J3898">
        <f t="shared" si="364"/>
        <v>1</v>
      </c>
      <c r="K3898">
        <f t="shared" si="365"/>
        <v>0</v>
      </c>
    </row>
    <row r="3899" spans="1:11" x14ac:dyDescent="0.25">
      <c r="A3899" t="s">
        <v>430</v>
      </c>
      <c r="B3899" t="s">
        <v>181</v>
      </c>
      <c r="C3899" t="s">
        <v>50</v>
      </c>
      <c r="D3899" s="6">
        <v>45899</v>
      </c>
      <c r="E3899" t="str">
        <f>VLOOKUP(B3899,'PROCV GERENTES BD'!A:B,2,0)</f>
        <v>PROSPECTAR</v>
      </c>
      <c r="F3899" s="4" t="str">
        <f t="shared" si="360"/>
        <v>2025-08</v>
      </c>
      <c r="G3899" s="18">
        <f t="shared" si="361"/>
        <v>35</v>
      </c>
      <c r="H3899" t="str">
        <f t="shared" si="362"/>
        <v>PROSPECTAR</v>
      </c>
      <c r="I3899" t="str">
        <f t="shared" si="363"/>
        <v>SIQUEIRA E GAIPO INDUSTRIA E MATERIAIS ESPORTIVOS</v>
      </c>
      <c r="J3899">
        <f t="shared" si="364"/>
        <v>0</v>
      </c>
      <c r="K3899">
        <f t="shared" si="365"/>
        <v>1</v>
      </c>
    </row>
    <row r="3900" spans="1:11" x14ac:dyDescent="0.25">
      <c r="A3900" t="s">
        <v>508</v>
      </c>
      <c r="B3900" t="s">
        <v>271</v>
      </c>
      <c r="C3900" t="s">
        <v>50</v>
      </c>
      <c r="D3900" s="6">
        <v>45899</v>
      </c>
      <c r="E3900" t="str">
        <f>VLOOKUP(B3900,'PROCV GERENTES BD'!A:B,2,0)</f>
        <v>PRISCILA METZ</v>
      </c>
      <c r="F3900" s="4" t="str">
        <f t="shared" si="360"/>
        <v>2025-08</v>
      </c>
      <c r="G3900" s="18">
        <f t="shared" si="361"/>
        <v>35</v>
      </c>
      <c r="H3900" t="str">
        <f t="shared" si="362"/>
        <v>PRISCILA METZ</v>
      </c>
      <c r="I3900" t="str">
        <f t="shared" si="363"/>
        <v>TUBOLARES VITORIA INDUSTRIA E COMERCIO LTDA ME</v>
      </c>
      <c r="J3900">
        <f t="shared" si="364"/>
        <v>0</v>
      </c>
      <c r="K3900">
        <f t="shared" si="365"/>
        <v>1</v>
      </c>
    </row>
    <row r="3901" spans="1:11" x14ac:dyDescent="0.25">
      <c r="A3901" t="s">
        <v>478</v>
      </c>
      <c r="B3901" t="s">
        <v>235</v>
      </c>
      <c r="C3901" t="s">
        <v>50</v>
      </c>
      <c r="D3901" s="6">
        <v>45899</v>
      </c>
      <c r="E3901" t="str">
        <f>VLOOKUP(B3901,'PROCV GERENTES BD'!A:B,2,0)</f>
        <v>PROSPECTAR</v>
      </c>
      <c r="F3901" s="4" t="str">
        <f t="shared" si="360"/>
        <v>2025-08</v>
      </c>
      <c r="G3901" s="18">
        <f t="shared" si="361"/>
        <v>35</v>
      </c>
      <c r="H3901" t="str">
        <f t="shared" si="362"/>
        <v>PROSPECTAR</v>
      </c>
      <c r="I3901" t="str">
        <f t="shared" si="363"/>
        <v>NUTRIENS FERTIL LTDA ME</v>
      </c>
      <c r="J3901">
        <f t="shared" si="364"/>
        <v>0</v>
      </c>
      <c r="K3901">
        <f t="shared" si="365"/>
        <v>1</v>
      </c>
    </row>
    <row r="3902" spans="1:11" x14ac:dyDescent="0.25">
      <c r="A3902" t="s">
        <v>461</v>
      </c>
      <c r="B3902" t="s">
        <v>218</v>
      </c>
      <c r="C3902" t="s">
        <v>50</v>
      </c>
      <c r="D3902" s="6">
        <v>45899</v>
      </c>
      <c r="E3902" t="str">
        <f>VLOOKUP(B3902,'PROCV GERENTES BD'!A:B,2,0)</f>
        <v>SACADO</v>
      </c>
      <c r="F3902" s="4" t="str">
        <f t="shared" si="360"/>
        <v>2025-08</v>
      </c>
      <c r="G3902" s="18">
        <f t="shared" si="361"/>
        <v>35</v>
      </c>
      <c r="H3902" t="str">
        <f t="shared" si="362"/>
        <v>SACADO</v>
      </c>
      <c r="I3902" t="str">
        <f t="shared" si="363"/>
        <v>KUARA COMERCIAL E EXPORTADORA DE FRUTAS LTDA</v>
      </c>
      <c r="J3902">
        <f t="shared" si="364"/>
        <v>0</v>
      </c>
      <c r="K3902">
        <f t="shared" si="365"/>
        <v>1</v>
      </c>
    </row>
    <row r="3903" spans="1:11" x14ac:dyDescent="0.25">
      <c r="A3903" t="s">
        <v>515</v>
      </c>
      <c r="B3903" t="s">
        <v>277</v>
      </c>
      <c r="C3903" t="s">
        <v>66</v>
      </c>
      <c r="D3903" s="6">
        <v>45899</v>
      </c>
      <c r="E3903" t="str">
        <f>VLOOKUP(B3903,'PROCV GERENTES BD'!A:B,2,0)</f>
        <v>ALISSON DE SOUZA LIMA</v>
      </c>
      <c r="F3903" s="4" t="str">
        <f t="shared" si="360"/>
        <v>2025-08</v>
      </c>
      <c r="G3903" s="18">
        <f t="shared" si="361"/>
        <v>35</v>
      </c>
      <c r="H3903" t="str">
        <f t="shared" si="362"/>
        <v>ALISSON DE SOUZA LIMA</v>
      </c>
      <c r="I3903" t="str">
        <f t="shared" si="363"/>
        <v>COMERCIAL GTS INFORMATICA LTDA EPP</v>
      </c>
      <c r="J3903">
        <f t="shared" si="364"/>
        <v>1</v>
      </c>
      <c r="K3903">
        <f t="shared" si="365"/>
        <v>0</v>
      </c>
    </row>
    <row r="3904" spans="1:11" x14ac:dyDescent="0.25">
      <c r="A3904" t="s">
        <v>442</v>
      </c>
      <c r="B3904" t="s">
        <v>193</v>
      </c>
      <c r="C3904" t="s">
        <v>66</v>
      </c>
      <c r="D3904" s="6">
        <v>45899</v>
      </c>
      <c r="E3904" t="str">
        <f>VLOOKUP(B3904,'PROCV GERENTES BD'!A:B,2,0)</f>
        <v>CELIO PIMENTA</v>
      </c>
      <c r="F3904" s="4" t="str">
        <f t="shared" si="360"/>
        <v>2025-08</v>
      </c>
      <c r="G3904" s="18">
        <f t="shared" si="361"/>
        <v>35</v>
      </c>
      <c r="H3904" t="str">
        <f t="shared" si="362"/>
        <v>CELIO PIMENTA</v>
      </c>
      <c r="I3904" t="str">
        <f t="shared" si="363"/>
        <v>CIA TEXTIL LTDA ME</v>
      </c>
      <c r="J3904">
        <f t="shared" si="364"/>
        <v>1</v>
      </c>
      <c r="K3904">
        <f t="shared" si="365"/>
        <v>0</v>
      </c>
    </row>
    <row r="3905" spans="1:11" x14ac:dyDescent="0.25">
      <c r="A3905" t="s">
        <v>534</v>
      </c>
      <c r="B3905" t="s">
        <v>303</v>
      </c>
      <c r="C3905" t="s">
        <v>66</v>
      </c>
      <c r="D3905" s="6">
        <v>45899</v>
      </c>
      <c r="E3905" t="str">
        <f>VLOOKUP(B3905,'PROCV GERENTES BD'!A:B,2,0)</f>
        <v xml:space="preserve">MARCUS VINICIUS </v>
      </c>
      <c r="F3905" s="4" t="str">
        <f t="shared" si="360"/>
        <v>2025-08</v>
      </c>
      <c r="G3905" s="18">
        <f t="shared" si="361"/>
        <v>35</v>
      </c>
      <c r="H3905" t="str">
        <f t="shared" si="362"/>
        <v xml:space="preserve">MARCUS VINICIUS </v>
      </c>
      <c r="I3905" t="str">
        <f t="shared" si="363"/>
        <v>GRAFICA JSA LTDA EPP</v>
      </c>
      <c r="J3905">
        <f t="shared" si="364"/>
        <v>1</v>
      </c>
      <c r="K3905">
        <f t="shared" si="365"/>
        <v>0</v>
      </c>
    </row>
    <row r="3906" spans="1:11" x14ac:dyDescent="0.25">
      <c r="A3906" t="s">
        <v>64</v>
      </c>
      <c r="B3906" t="s">
        <v>65</v>
      </c>
      <c r="C3906" t="s">
        <v>53</v>
      </c>
      <c r="D3906" s="6">
        <v>45899</v>
      </c>
      <c r="E3906" t="str">
        <f>VLOOKUP(B3906,'PROCV GERENTES BD'!A:B,2,0)</f>
        <v>ADMINISTRAÇÃO</v>
      </c>
      <c r="F3906" s="4" t="str">
        <f t="shared" ref="F3906:F3969" si="366">YEAR(D3906)&amp;"-"&amp;TEXT(MONTH(D3906),"00")</f>
        <v>2025-08</v>
      </c>
      <c r="G3906" s="18">
        <f t="shared" ref="G3906:G3969" si="367">WEEKNUM(D3906)</f>
        <v>35</v>
      </c>
      <c r="H3906" t="str">
        <f t="shared" ref="H3906:H3969" si="368">E3906</f>
        <v>ADMINISTRAÇÃO</v>
      </c>
      <c r="I3906" t="str">
        <f t="shared" ref="I3906:I3969" si="369">B3906</f>
        <v>SOCIAL S/A</v>
      </c>
      <c r="J3906">
        <f t="shared" ref="J3906:J3969" si="370">IF(OR(C3906="EXCLUSAO  ANOT.INADIMPLENCIA",C3906="INCL/EXCL ANOT.INADIMPLENCIA"),1,0)</f>
        <v>1</v>
      </c>
      <c r="K3906">
        <f t="shared" ref="K3906:K3969" si="371">IF(OR(C3906="INCLUSAO  ANOT.INADIMPLENCIA",C3906="INCL/EXCL ANOT.INADIMPLENCIA"),1,0)</f>
        <v>1</v>
      </c>
    </row>
    <row r="3907" spans="1:11" x14ac:dyDescent="0.25">
      <c r="A3907" t="s">
        <v>631</v>
      </c>
      <c r="B3907" t="s">
        <v>561</v>
      </c>
      <c r="C3907" t="s">
        <v>66</v>
      </c>
      <c r="D3907" s="6">
        <v>45899</v>
      </c>
      <c r="E3907" t="str">
        <f>VLOOKUP(B3907,'PROCV GERENTES BD'!A:B,2,0)</f>
        <v>VALERIA</v>
      </c>
      <c r="F3907" s="4" t="str">
        <f t="shared" si="366"/>
        <v>2025-08</v>
      </c>
      <c r="G3907" s="18">
        <f t="shared" si="367"/>
        <v>35</v>
      </c>
      <c r="H3907" t="str">
        <f t="shared" si="368"/>
        <v>VALERIA</v>
      </c>
      <c r="I3907" t="str">
        <f t="shared" si="369"/>
        <v>TRANSPORTADORA PACHECO LTDA EPP</v>
      </c>
      <c r="J3907">
        <f t="shared" si="370"/>
        <v>1</v>
      </c>
      <c r="K3907">
        <f t="shared" si="371"/>
        <v>0</v>
      </c>
    </row>
    <row r="3908" spans="1:11" x14ac:dyDescent="0.25">
      <c r="A3908" t="s">
        <v>331</v>
      </c>
      <c r="B3908" t="s">
        <v>144</v>
      </c>
      <c r="C3908" t="s">
        <v>50</v>
      </c>
      <c r="D3908" s="6">
        <v>45899</v>
      </c>
      <c r="E3908" t="str">
        <f>VLOOKUP(B3908,'PROCV GERENTES BD'!A:B,2,0)</f>
        <v>ADMINISTRAÇÃO</v>
      </c>
      <c r="F3908" s="4" t="str">
        <f t="shared" si="366"/>
        <v>2025-08</v>
      </c>
      <c r="G3908" s="18">
        <f t="shared" si="367"/>
        <v>35</v>
      </c>
      <c r="H3908" t="str">
        <f t="shared" si="368"/>
        <v>ADMINISTRAÇÃO</v>
      </c>
      <c r="I3908" t="str">
        <f t="shared" si="369"/>
        <v>BOM PASTOR PAPEIS LTDA EM RECUPERACAO JUDICIAL</v>
      </c>
      <c r="J3908">
        <f t="shared" si="370"/>
        <v>0</v>
      </c>
      <c r="K3908">
        <f t="shared" si="371"/>
        <v>1</v>
      </c>
    </row>
    <row r="3909" spans="1:11" x14ac:dyDescent="0.25">
      <c r="A3909" t="s">
        <v>344</v>
      </c>
      <c r="B3909" t="s">
        <v>89</v>
      </c>
      <c r="C3909" t="s">
        <v>50</v>
      </c>
      <c r="D3909" s="6">
        <v>45899</v>
      </c>
      <c r="E3909" t="str">
        <f>VLOOKUP(B3909,'PROCV GERENTES BD'!A:B,2,0)</f>
        <v>POENATELA</v>
      </c>
      <c r="F3909" s="4" t="str">
        <f t="shared" si="366"/>
        <v>2025-08</v>
      </c>
      <c r="G3909" s="18">
        <f t="shared" si="367"/>
        <v>35</v>
      </c>
      <c r="H3909" t="str">
        <f t="shared" si="368"/>
        <v>POENATELA</v>
      </c>
      <c r="I3909" t="str">
        <f t="shared" si="369"/>
        <v>CERVEJARIA SOUZA LTDA</v>
      </c>
      <c r="J3909">
        <f t="shared" si="370"/>
        <v>0</v>
      </c>
      <c r="K3909">
        <f t="shared" si="371"/>
        <v>1</v>
      </c>
    </row>
    <row r="3910" spans="1:11" x14ac:dyDescent="0.25">
      <c r="A3910" t="s">
        <v>387</v>
      </c>
      <c r="B3910" t="s">
        <v>134</v>
      </c>
      <c r="C3910" t="s">
        <v>50</v>
      </c>
      <c r="D3910" s="6">
        <v>45899</v>
      </c>
      <c r="E3910" t="str">
        <f>VLOOKUP(B3910,'PROCV GERENTES BD'!A:B,2,0)</f>
        <v>RAFAEL PARISE</v>
      </c>
      <c r="F3910" s="4" t="str">
        <f t="shared" si="366"/>
        <v>2025-08</v>
      </c>
      <c r="G3910" s="18">
        <f t="shared" si="367"/>
        <v>35</v>
      </c>
      <c r="H3910" t="str">
        <f t="shared" si="368"/>
        <v>RAFAEL PARISE</v>
      </c>
      <c r="I3910" t="str">
        <f t="shared" si="369"/>
        <v>MAIS DISTRIBUIDORA LTDA</v>
      </c>
      <c r="J3910">
        <f t="shared" si="370"/>
        <v>0</v>
      </c>
      <c r="K3910">
        <f t="shared" si="371"/>
        <v>1</v>
      </c>
    </row>
    <row r="3911" spans="1:11" x14ac:dyDescent="0.25">
      <c r="A3911" t="s">
        <v>51</v>
      </c>
      <c r="B3911" t="s">
        <v>52</v>
      </c>
      <c r="C3911" t="s">
        <v>50</v>
      </c>
      <c r="D3911" s="6">
        <v>45899</v>
      </c>
      <c r="E3911" t="str">
        <f>VLOOKUP(B3911,'PROCV GERENTES BD'!A:B,2,0)</f>
        <v>RAFAEL PARISE</v>
      </c>
      <c r="F3911" s="4" t="str">
        <f t="shared" si="366"/>
        <v>2025-08</v>
      </c>
      <c r="G3911" s="18">
        <f t="shared" si="367"/>
        <v>35</v>
      </c>
      <c r="H3911" t="str">
        <f t="shared" si="368"/>
        <v>RAFAEL PARISE</v>
      </c>
      <c r="I3911" t="str">
        <f t="shared" si="369"/>
        <v>TDR TRANSPORTES LOGISTICA LTDA</v>
      </c>
      <c r="J3911">
        <f t="shared" si="370"/>
        <v>0</v>
      </c>
      <c r="K3911">
        <f t="shared" si="371"/>
        <v>1</v>
      </c>
    </row>
    <row r="3912" spans="1:11" x14ac:dyDescent="0.25">
      <c r="A3912" t="s">
        <v>324</v>
      </c>
      <c r="B3912" t="s">
        <v>119</v>
      </c>
      <c r="C3912" t="s">
        <v>50</v>
      </c>
      <c r="D3912" s="6">
        <v>45899</v>
      </c>
      <c r="E3912" t="str">
        <f>VLOOKUP(B3912,'PROCV GERENTES BD'!A:B,2,0)</f>
        <v>PROSPECTAR</v>
      </c>
      <c r="F3912" s="4" t="str">
        <f t="shared" si="366"/>
        <v>2025-08</v>
      </c>
      <c r="G3912" s="18">
        <f t="shared" si="367"/>
        <v>35</v>
      </c>
      <c r="H3912" t="str">
        <f t="shared" si="368"/>
        <v>PROSPECTAR</v>
      </c>
      <c r="I3912" t="str">
        <f t="shared" si="369"/>
        <v>TRANSHENRY TRANSPORTES LTDA</v>
      </c>
      <c r="J3912">
        <f t="shared" si="370"/>
        <v>0</v>
      </c>
      <c r="K3912">
        <f t="shared" si="371"/>
        <v>1</v>
      </c>
    </row>
    <row r="3913" spans="1:11" x14ac:dyDescent="0.25">
      <c r="A3913" t="s">
        <v>305</v>
      </c>
      <c r="B3913" t="s">
        <v>141</v>
      </c>
      <c r="C3913" t="s">
        <v>66</v>
      </c>
      <c r="D3913" s="6">
        <v>45899</v>
      </c>
      <c r="E3913" t="str">
        <f>VLOOKUP(B3913,'PROCV GERENTES BD'!A:B,2,0)</f>
        <v>NOELI SALETE</v>
      </c>
      <c r="F3913" s="4" t="str">
        <f t="shared" si="366"/>
        <v>2025-08</v>
      </c>
      <c r="G3913" s="18">
        <f t="shared" si="367"/>
        <v>35</v>
      </c>
      <c r="H3913" t="str">
        <f t="shared" si="368"/>
        <v>NOELI SALETE</v>
      </c>
      <c r="I3913" t="str">
        <f t="shared" si="369"/>
        <v>JMS EMBALAGENS INDUSTRIAIS LTDA</v>
      </c>
      <c r="J3913">
        <f t="shared" si="370"/>
        <v>1</v>
      </c>
      <c r="K3913">
        <f t="shared" si="371"/>
        <v>0</v>
      </c>
    </row>
    <row r="3914" spans="1:11" x14ac:dyDescent="0.25">
      <c r="A3914" t="s">
        <v>604</v>
      </c>
      <c r="B3914" t="s">
        <v>605</v>
      </c>
      <c r="C3914" t="s">
        <v>50</v>
      </c>
      <c r="D3914" s="6">
        <v>45899</v>
      </c>
      <c r="E3914" t="str">
        <f>VLOOKUP(B3914,'PROCV GERENTES BD'!A:B,2,0)</f>
        <v>ALISSON DE SOUZA LIMA</v>
      </c>
      <c r="F3914" s="4" t="str">
        <f t="shared" si="366"/>
        <v>2025-08</v>
      </c>
      <c r="G3914" s="18">
        <f t="shared" si="367"/>
        <v>35</v>
      </c>
      <c r="H3914" t="str">
        <f t="shared" si="368"/>
        <v>ALISSON DE SOUZA LIMA</v>
      </c>
      <c r="I3914" t="str">
        <f t="shared" si="369"/>
        <v>3J FUNDICAO INDUSTRIAL LTDA</v>
      </c>
      <c r="J3914">
        <f t="shared" si="370"/>
        <v>0</v>
      </c>
      <c r="K3914">
        <f t="shared" si="371"/>
        <v>1</v>
      </c>
    </row>
    <row r="3915" spans="1:11" x14ac:dyDescent="0.25">
      <c r="A3915" t="s">
        <v>510</v>
      </c>
      <c r="B3915" t="s">
        <v>273</v>
      </c>
      <c r="C3915" t="s">
        <v>50</v>
      </c>
      <c r="D3915" s="6">
        <v>45899</v>
      </c>
      <c r="E3915" t="str">
        <f>VLOOKUP(B3915,'PROCV GERENTES BD'!A:B,2,0)</f>
        <v>CELIO PIMENTA</v>
      </c>
      <c r="F3915" s="4" t="str">
        <f t="shared" si="366"/>
        <v>2025-08</v>
      </c>
      <c r="G3915" s="18">
        <f t="shared" si="367"/>
        <v>35</v>
      </c>
      <c r="H3915" t="str">
        <f t="shared" si="368"/>
        <v>CELIO PIMENTA</v>
      </c>
      <c r="I3915" t="str">
        <f t="shared" si="369"/>
        <v>PRADO MOREIRA TEXTIL LTDA ME</v>
      </c>
      <c r="J3915">
        <f t="shared" si="370"/>
        <v>0</v>
      </c>
      <c r="K3915">
        <f t="shared" si="371"/>
        <v>1</v>
      </c>
    </row>
    <row r="3916" spans="1:11" x14ac:dyDescent="0.25">
      <c r="A3916" t="s">
        <v>529</v>
      </c>
      <c r="B3916" t="s">
        <v>297</v>
      </c>
      <c r="C3916" t="s">
        <v>50</v>
      </c>
      <c r="D3916" s="6">
        <v>45902</v>
      </c>
      <c r="E3916" t="str">
        <f>VLOOKUP(B3916,'PROCV GERENTES BD'!A:B,2,0)</f>
        <v>ANDRE CUNHA</v>
      </c>
      <c r="F3916" s="4" t="str">
        <f t="shared" si="366"/>
        <v>2025-09</v>
      </c>
      <c r="G3916" s="18">
        <f t="shared" si="367"/>
        <v>36</v>
      </c>
      <c r="H3916" t="str">
        <f t="shared" si="368"/>
        <v>ANDRE CUNHA</v>
      </c>
      <c r="I3916" t="str">
        <f t="shared" si="369"/>
        <v>REVPACK TECNOLOGIA E COMERCIO DE COMPONENTES PLAST</v>
      </c>
      <c r="J3916">
        <f t="shared" si="370"/>
        <v>0</v>
      </c>
      <c r="K3916">
        <f t="shared" si="371"/>
        <v>1</v>
      </c>
    </row>
    <row r="3917" spans="1:11" x14ac:dyDescent="0.25">
      <c r="A3917" t="s">
        <v>62</v>
      </c>
      <c r="B3917" t="s">
        <v>63</v>
      </c>
      <c r="C3917" t="s">
        <v>53</v>
      </c>
      <c r="D3917" s="6">
        <v>45902</v>
      </c>
      <c r="E3917" t="str">
        <f>VLOOKUP(B3917,'PROCV GERENTES BD'!A:B,2,0)</f>
        <v>PROSPECTAR</v>
      </c>
      <c r="F3917" s="4" t="str">
        <f t="shared" si="366"/>
        <v>2025-09</v>
      </c>
      <c r="G3917" s="18">
        <f t="shared" si="367"/>
        <v>36</v>
      </c>
      <c r="H3917" t="str">
        <f t="shared" si="368"/>
        <v>PROSPECTAR</v>
      </c>
      <c r="I3917" t="str">
        <f t="shared" si="369"/>
        <v>MAPP COM IMPORTACAO EXPORTACAO IND PRODUTOS ALIMEN</v>
      </c>
      <c r="J3917">
        <f t="shared" si="370"/>
        <v>1</v>
      </c>
      <c r="K3917">
        <f t="shared" si="371"/>
        <v>1</v>
      </c>
    </row>
    <row r="3918" spans="1:11" x14ac:dyDescent="0.25">
      <c r="A3918" t="s">
        <v>64</v>
      </c>
      <c r="B3918" t="s">
        <v>65</v>
      </c>
      <c r="C3918" t="s">
        <v>53</v>
      </c>
      <c r="D3918" s="6">
        <v>45902</v>
      </c>
      <c r="E3918" t="str">
        <f>VLOOKUP(B3918,'PROCV GERENTES BD'!A:B,2,0)</f>
        <v>ADMINISTRAÇÃO</v>
      </c>
      <c r="F3918" s="4" t="str">
        <f t="shared" si="366"/>
        <v>2025-09</v>
      </c>
      <c r="G3918" s="18">
        <f t="shared" si="367"/>
        <v>36</v>
      </c>
      <c r="H3918" t="str">
        <f t="shared" si="368"/>
        <v>ADMINISTRAÇÃO</v>
      </c>
      <c r="I3918" t="str">
        <f t="shared" si="369"/>
        <v>SOCIAL S/A</v>
      </c>
      <c r="J3918">
        <f t="shared" si="370"/>
        <v>1</v>
      </c>
      <c r="K3918">
        <f t="shared" si="371"/>
        <v>1</v>
      </c>
    </row>
    <row r="3919" spans="1:11" x14ac:dyDescent="0.25">
      <c r="A3919" t="s">
        <v>448</v>
      </c>
      <c r="B3919" t="s">
        <v>201</v>
      </c>
      <c r="C3919" t="s">
        <v>50</v>
      </c>
      <c r="D3919" s="6">
        <v>45902</v>
      </c>
      <c r="E3919" t="str">
        <f>VLOOKUP(B3919,'PROCV GERENTES BD'!A:B,2,0)</f>
        <v>PRISCILA METZ</v>
      </c>
      <c r="F3919" s="4" t="str">
        <f t="shared" si="366"/>
        <v>2025-09</v>
      </c>
      <c r="G3919" s="18">
        <f t="shared" si="367"/>
        <v>36</v>
      </c>
      <c r="H3919" t="str">
        <f t="shared" si="368"/>
        <v>PRISCILA METZ</v>
      </c>
      <c r="I3919" t="str">
        <f t="shared" si="369"/>
        <v>M TRATORES LTDA EPP</v>
      </c>
      <c r="J3919">
        <f t="shared" si="370"/>
        <v>0</v>
      </c>
      <c r="K3919">
        <f t="shared" si="371"/>
        <v>1</v>
      </c>
    </row>
    <row r="3920" spans="1:11" x14ac:dyDescent="0.25">
      <c r="A3920" t="s">
        <v>625</v>
      </c>
      <c r="B3920" t="s">
        <v>537</v>
      </c>
      <c r="C3920" t="s">
        <v>50</v>
      </c>
      <c r="D3920" s="6">
        <v>45902</v>
      </c>
      <c r="E3920" t="str">
        <f>VLOOKUP(B3920,'PROCV GERENTES BD'!A:B,2,0)</f>
        <v>WASHINGTON</v>
      </c>
      <c r="F3920" s="4" t="str">
        <f t="shared" si="366"/>
        <v>2025-09</v>
      </c>
      <c r="G3920" s="18">
        <f t="shared" si="367"/>
        <v>36</v>
      </c>
      <c r="H3920" t="str">
        <f t="shared" si="368"/>
        <v>WASHINGTON</v>
      </c>
      <c r="I3920" t="str">
        <f t="shared" si="369"/>
        <v>COMERCIAL SEGURANCA LTDA ME</v>
      </c>
      <c r="J3920">
        <f t="shared" si="370"/>
        <v>0</v>
      </c>
      <c r="K3920">
        <f t="shared" si="371"/>
        <v>1</v>
      </c>
    </row>
    <row r="3921" spans="1:11" x14ac:dyDescent="0.25">
      <c r="A3921" t="s">
        <v>515</v>
      </c>
      <c r="B3921" t="s">
        <v>277</v>
      </c>
      <c r="C3921" t="s">
        <v>66</v>
      </c>
      <c r="D3921" s="6">
        <v>45902</v>
      </c>
      <c r="E3921" t="str">
        <f>VLOOKUP(B3921,'PROCV GERENTES BD'!A:B,2,0)</f>
        <v>ALISSON DE SOUZA LIMA</v>
      </c>
      <c r="F3921" s="4" t="str">
        <f t="shared" si="366"/>
        <v>2025-09</v>
      </c>
      <c r="G3921" s="18">
        <f t="shared" si="367"/>
        <v>36</v>
      </c>
      <c r="H3921" t="str">
        <f t="shared" si="368"/>
        <v>ALISSON DE SOUZA LIMA</v>
      </c>
      <c r="I3921" t="str">
        <f t="shared" si="369"/>
        <v>COMERCIAL GTS INFORMATICA LTDA EPP</v>
      </c>
      <c r="J3921">
        <f t="shared" si="370"/>
        <v>1</v>
      </c>
      <c r="K3921">
        <f t="shared" si="371"/>
        <v>0</v>
      </c>
    </row>
    <row r="3922" spans="1:11" x14ac:dyDescent="0.25">
      <c r="A3922" t="s">
        <v>316</v>
      </c>
      <c r="B3922" t="s">
        <v>302</v>
      </c>
      <c r="C3922" t="s">
        <v>66</v>
      </c>
      <c r="D3922" s="6">
        <v>45902</v>
      </c>
      <c r="E3922" t="str">
        <f>VLOOKUP(B3922,'PROCV GERENTES BD'!A:B,2,0)</f>
        <v>CELIO PIMENTA</v>
      </c>
      <c r="F3922" s="4" t="str">
        <f t="shared" si="366"/>
        <v>2025-09</v>
      </c>
      <c r="G3922" s="18">
        <f t="shared" si="367"/>
        <v>36</v>
      </c>
      <c r="H3922" t="str">
        <f t="shared" si="368"/>
        <v>CELIO PIMENTA</v>
      </c>
      <c r="I3922" t="str">
        <f t="shared" si="369"/>
        <v>LOTUS DESENVOLVIMENTO IMOBILIARIO LTDA</v>
      </c>
      <c r="J3922">
        <f t="shared" si="370"/>
        <v>1</v>
      </c>
      <c r="K3922">
        <f t="shared" si="371"/>
        <v>0</v>
      </c>
    </row>
    <row r="3923" spans="1:11" x14ac:dyDescent="0.25">
      <c r="A3923" t="s">
        <v>628</v>
      </c>
      <c r="B3923" t="s">
        <v>626</v>
      </c>
      <c r="C3923" t="s">
        <v>53</v>
      </c>
      <c r="D3923" s="6">
        <v>45902</v>
      </c>
      <c r="E3923" t="str">
        <f>VLOOKUP(B3923,'PROCV GERENTES BD'!A:B,2,0)</f>
        <v>FERNANDO ABRAS</v>
      </c>
      <c r="F3923" s="4" t="str">
        <f t="shared" si="366"/>
        <v>2025-09</v>
      </c>
      <c r="G3923" s="18">
        <f t="shared" si="367"/>
        <v>36</v>
      </c>
      <c r="H3923" t="str">
        <f t="shared" si="368"/>
        <v>FERNANDO ABRAS</v>
      </c>
      <c r="I3923" t="str">
        <f t="shared" si="369"/>
        <v>SKY JEANS LTDA ME</v>
      </c>
      <c r="J3923">
        <f t="shared" si="370"/>
        <v>1</v>
      </c>
      <c r="K3923">
        <f t="shared" si="371"/>
        <v>1</v>
      </c>
    </row>
    <row r="3924" spans="1:11" x14ac:dyDescent="0.25">
      <c r="A3924" t="s">
        <v>635</v>
      </c>
      <c r="B3924" t="s">
        <v>636</v>
      </c>
      <c r="C3924" t="s">
        <v>53</v>
      </c>
      <c r="D3924" s="6">
        <v>45902</v>
      </c>
      <c r="E3924" t="str">
        <f>VLOOKUP(B3924,'PROCV GERENTES BD'!A:B,2,0)</f>
        <v>TIAGO NEVES</v>
      </c>
      <c r="F3924" s="4" t="str">
        <f t="shared" si="366"/>
        <v>2025-09</v>
      </c>
      <c r="G3924" s="18">
        <f t="shared" si="367"/>
        <v>36</v>
      </c>
      <c r="H3924" t="str">
        <f t="shared" si="368"/>
        <v>TIAGO NEVES</v>
      </c>
      <c r="I3924" t="str">
        <f t="shared" si="369"/>
        <v>MG GLASS VIDROS PARA TRATORES E CAMINHOES LTDA ME</v>
      </c>
      <c r="J3924">
        <f t="shared" si="370"/>
        <v>1</v>
      </c>
      <c r="K3924">
        <f t="shared" si="371"/>
        <v>1</v>
      </c>
    </row>
    <row r="3925" spans="1:11" x14ac:dyDescent="0.25">
      <c r="A3925" t="s">
        <v>465</v>
      </c>
      <c r="B3925" t="s">
        <v>222</v>
      </c>
      <c r="C3925" t="s">
        <v>66</v>
      </c>
      <c r="D3925" s="6">
        <v>45902</v>
      </c>
      <c r="E3925" t="str">
        <f>VLOOKUP(B3925,'PROCV GERENTES BD'!A:B,2,0)</f>
        <v>ADMINISTRAÇÃO</v>
      </c>
      <c r="F3925" s="4" t="str">
        <f t="shared" si="366"/>
        <v>2025-09</v>
      </c>
      <c r="G3925" s="18">
        <f t="shared" si="367"/>
        <v>36</v>
      </c>
      <c r="H3925" t="str">
        <f t="shared" si="368"/>
        <v>ADMINISTRAÇÃO</v>
      </c>
      <c r="I3925" t="str">
        <f t="shared" si="369"/>
        <v>CF COMEX IMPORTACAO EQUIPAMENTOS E SERVICOS LTDA</v>
      </c>
      <c r="J3925">
        <f t="shared" si="370"/>
        <v>1</v>
      </c>
      <c r="K3925">
        <f t="shared" si="371"/>
        <v>0</v>
      </c>
    </row>
    <row r="3926" spans="1:11" x14ac:dyDescent="0.25">
      <c r="A3926" t="s">
        <v>600</v>
      </c>
      <c r="B3926" t="s">
        <v>594</v>
      </c>
      <c r="C3926" t="s">
        <v>53</v>
      </c>
      <c r="D3926" s="6">
        <v>45902</v>
      </c>
      <c r="E3926" t="str">
        <f>VLOOKUP(B3926,'PROCV GERENTES BD'!A:B,2,0)</f>
        <v xml:space="preserve">ROGERIO </v>
      </c>
      <c r="F3926" s="4" t="str">
        <f t="shared" si="366"/>
        <v>2025-09</v>
      </c>
      <c r="G3926" s="18">
        <f t="shared" si="367"/>
        <v>36</v>
      </c>
      <c r="H3926" t="str">
        <f t="shared" si="368"/>
        <v xml:space="preserve">ROGERIO </v>
      </c>
      <c r="I3926" t="str">
        <f t="shared" si="369"/>
        <v>METALAB COMERCIO E INDUSTRIA FARMACEUTICA LTDA ME</v>
      </c>
      <c r="J3926">
        <f t="shared" si="370"/>
        <v>1</v>
      </c>
      <c r="K3926">
        <f t="shared" si="371"/>
        <v>1</v>
      </c>
    </row>
    <row r="3927" spans="1:11" x14ac:dyDescent="0.25">
      <c r="A3927" t="s">
        <v>314</v>
      </c>
      <c r="B3927" t="s">
        <v>246</v>
      </c>
      <c r="C3927" t="s">
        <v>50</v>
      </c>
      <c r="D3927" s="6">
        <v>45902</v>
      </c>
      <c r="E3927" t="str">
        <f>VLOOKUP(B3927,'PROCV GERENTES BD'!A:B,2,0)</f>
        <v xml:space="preserve">ROGERIO </v>
      </c>
      <c r="F3927" s="4" t="str">
        <f t="shared" si="366"/>
        <v>2025-09</v>
      </c>
      <c r="G3927" s="18">
        <f t="shared" si="367"/>
        <v>36</v>
      </c>
      <c r="H3927" t="str">
        <f t="shared" si="368"/>
        <v xml:space="preserve">ROGERIO </v>
      </c>
      <c r="I3927" t="str">
        <f t="shared" si="369"/>
        <v>MUTCD CENTRO DE DISTRIBUICAO DE IND FABRICANTE DE</v>
      </c>
      <c r="J3927">
        <f t="shared" si="370"/>
        <v>0</v>
      </c>
      <c r="K3927">
        <f t="shared" si="371"/>
        <v>1</v>
      </c>
    </row>
    <row r="3928" spans="1:11" x14ac:dyDescent="0.25">
      <c r="A3928" t="s">
        <v>508</v>
      </c>
      <c r="B3928" t="s">
        <v>271</v>
      </c>
      <c r="C3928" t="s">
        <v>50</v>
      </c>
      <c r="D3928" s="6">
        <v>45902</v>
      </c>
      <c r="E3928" t="str">
        <f>VLOOKUP(B3928,'PROCV GERENTES BD'!A:B,2,0)</f>
        <v>PRISCILA METZ</v>
      </c>
      <c r="F3928" s="4" t="str">
        <f t="shared" si="366"/>
        <v>2025-09</v>
      </c>
      <c r="G3928" s="18">
        <f t="shared" si="367"/>
        <v>36</v>
      </c>
      <c r="H3928" t="str">
        <f t="shared" si="368"/>
        <v>PRISCILA METZ</v>
      </c>
      <c r="I3928" t="str">
        <f t="shared" si="369"/>
        <v>TUBOLARES VITORIA INDUSTRIA E COMERCIO LTDA ME</v>
      </c>
      <c r="J3928">
        <f t="shared" si="370"/>
        <v>0</v>
      </c>
      <c r="K3928">
        <f t="shared" si="371"/>
        <v>1</v>
      </c>
    </row>
    <row r="3929" spans="1:11" x14ac:dyDescent="0.25">
      <c r="A3929" t="s">
        <v>460</v>
      </c>
      <c r="B3929" t="s">
        <v>217</v>
      </c>
      <c r="C3929" t="s">
        <v>50</v>
      </c>
      <c r="D3929" s="6">
        <v>45902</v>
      </c>
      <c r="E3929" t="str">
        <f>VLOOKUP(B3929,'PROCV GERENTES BD'!A:B,2,0)</f>
        <v>CELIO PIMENTA</v>
      </c>
      <c r="F3929" s="4" t="str">
        <f t="shared" si="366"/>
        <v>2025-09</v>
      </c>
      <c r="G3929" s="18">
        <f t="shared" si="367"/>
        <v>36</v>
      </c>
      <c r="H3929" t="str">
        <f t="shared" si="368"/>
        <v>CELIO PIMENTA</v>
      </c>
      <c r="I3929" t="str">
        <f t="shared" si="369"/>
        <v>MINAS CLEAN DISTRIBUIDORA DE PRODUTOS PARA LIMPEZA</v>
      </c>
      <c r="J3929">
        <f t="shared" si="370"/>
        <v>0</v>
      </c>
      <c r="K3929">
        <f t="shared" si="371"/>
        <v>1</v>
      </c>
    </row>
    <row r="3930" spans="1:11" x14ac:dyDescent="0.25">
      <c r="A3930" t="s">
        <v>325</v>
      </c>
      <c r="B3930" t="s">
        <v>138</v>
      </c>
      <c r="C3930" t="s">
        <v>66</v>
      </c>
      <c r="D3930" s="6">
        <v>45902</v>
      </c>
      <c r="E3930" t="str">
        <f>VLOOKUP(B3930,'PROCV GERENTES BD'!A:B,2,0)</f>
        <v>SACADO</v>
      </c>
      <c r="F3930" s="4" t="str">
        <f t="shared" si="366"/>
        <v>2025-09</v>
      </c>
      <c r="G3930" s="18">
        <f t="shared" si="367"/>
        <v>36</v>
      </c>
      <c r="H3930" t="str">
        <f t="shared" si="368"/>
        <v>SACADO</v>
      </c>
      <c r="I3930" t="str">
        <f t="shared" si="369"/>
        <v>ALLIAGE S A INDUSTRIAS MEDICO ODONTOLOGICA</v>
      </c>
      <c r="J3930">
        <f t="shared" si="370"/>
        <v>1</v>
      </c>
      <c r="K3930">
        <f t="shared" si="371"/>
        <v>0</v>
      </c>
    </row>
    <row r="3931" spans="1:11" x14ac:dyDescent="0.25">
      <c r="A3931" t="s">
        <v>630</v>
      </c>
      <c r="B3931" t="s">
        <v>559</v>
      </c>
      <c r="C3931" t="s">
        <v>50</v>
      </c>
      <c r="D3931" s="6">
        <v>45902</v>
      </c>
      <c r="E3931" t="str">
        <f>VLOOKUP(B3931,'PROCV GERENTES BD'!A:B,2,0)</f>
        <v>ALISSON DE SOUZA LIMA</v>
      </c>
      <c r="F3931" s="4" t="str">
        <f t="shared" si="366"/>
        <v>2025-09</v>
      </c>
      <c r="G3931" s="18">
        <f t="shared" si="367"/>
        <v>36</v>
      </c>
      <c r="H3931" t="str">
        <f t="shared" si="368"/>
        <v>ALISSON DE SOUZA LIMA</v>
      </c>
      <c r="I3931" t="str">
        <f t="shared" si="369"/>
        <v>JRG SOLUCOES INDUSTRIAIS LTDA</v>
      </c>
      <c r="J3931">
        <f t="shared" si="370"/>
        <v>0</v>
      </c>
      <c r="K3931">
        <f t="shared" si="371"/>
        <v>1</v>
      </c>
    </row>
    <row r="3932" spans="1:11" x14ac:dyDescent="0.25">
      <c r="A3932" t="s">
        <v>510</v>
      </c>
      <c r="B3932" t="s">
        <v>273</v>
      </c>
      <c r="C3932" t="s">
        <v>66</v>
      </c>
      <c r="D3932" s="6">
        <v>45902</v>
      </c>
      <c r="E3932" t="str">
        <f>VLOOKUP(B3932,'PROCV GERENTES BD'!A:B,2,0)</f>
        <v>CELIO PIMENTA</v>
      </c>
      <c r="F3932" s="4" t="str">
        <f t="shared" si="366"/>
        <v>2025-09</v>
      </c>
      <c r="G3932" s="18">
        <f t="shared" si="367"/>
        <v>36</v>
      </c>
      <c r="H3932" t="str">
        <f t="shared" si="368"/>
        <v>CELIO PIMENTA</v>
      </c>
      <c r="I3932" t="str">
        <f t="shared" si="369"/>
        <v>PRADO MOREIRA TEXTIL LTDA ME</v>
      </c>
      <c r="J3932">
        <f t="shared" si="370"/>
        <v>1</v>
      </c>
      <c r="K3932">
        <f t="shared" si="371"/>
        <v>0</v>
      </c>
    </row>
    <row r="3933" spans="1:11" x14ac:dyDescent="0.25">
      <c r="A3933" t="s">
        <v>604</v>
      </c>
      <c r="B3933" t="s">
        <v>605</v>
      </c>
      <c r="C3933" t="s">
        <v>53</v>
      </c>
      <c r="D3933" s="6">
        <v>45902</v>
      </c>
      <c r="E3933" t="str">
        <f>VLOOKUP(B3933,'PROCV GERENTES BD'!A:B,2,0)</f>
        <v>ALISSON DE SOUZA LIMA</v>
      </c>
      <c r="F3933" s="4" t="str">
        <f t="shared" si="366"/>
        <v>2025-09</v>
      </c>
      <c r="G3933" s="18">
        <f t="shared" si="367"/>
        <v>36</v>
      </c>
      <c r="H3933" t="str">
        <f t="shared" si="368"/>
        <v>ALISSON DE SOUZA LIMA</v>
      </c>
      <c r="I3933" t="str">
        <f t="shared" si="369"/>
        <v>3J FUNDICAO INDUSTRIAL LTDA</v>
      </c>
      <c r="J3933">
        <f t="shared" si="370"/>
        <v>1</v>
      </c>
      <c r="K3933">
        <f t="shared" si="371"/>
        <v>1</v>
      </c>
    </row>
    <row r="3934" spans="1:11" x14ac:dyDescent="0.25">
      <c r="A3934" t="s">
        <v>56</v>
      </c>
      <c r="B3934" t="s">
        <v>57</v>
      </c>
      <c r="C3934" t="s">
        <v>53</v>
      </c>
      <c r="D3934" s="6">
        <v>45902</v>
      </c>
      <c r="E3934" t="str">
        <f>VLOOKUP(B3934,'PROCV GERENTES BD'!A:B,2,0)</f>
        <v xml:space="preserve">ROGERIO </v>
      </c>
      <c r="F3934" s="4" t="str">
        <f t="shared" si="366"/>
        <v>2025-09</v>
      </c>
      <c r="G3934" s="18">
        <f t="shared" si="367"/>
        <v>36</v>
      </c>
      <c r="H3934" t="str">
        <f t="shared" si="368"/>
        <v xml:space="preserve">ROGERIO </v>
      </c>
      <c r="I3934" t="str">
        <f t="shared" si="369"/>
        <v>RODOVIEIRA TRANSPORTE LTDA</v>
      </c>
      <c r="J3934">
        <f t="shared" si="370"/>
        <v>1</v>
      </c>
      <c r="K3934">
        <f t="shared" si="371"/>
        <v>1</v>
      </c>
    </row>
    <row r="3935" spans="1:11" x14ac:dyDescent="0.25">
      <c r="A3935" t="s">
        <v>311</v>
      </c>
      <c r="B3935" t="s">
        <v>81</v>
      </c>
      <c r="C3935" t="s">
        <v>66</v>
      </c>
      <c r="D3935" s="6">
        <v>45902</v>
      </c>
      <c r="E3935" t="str">
        <f>VLOOKUP(B3935,'PROCV GERENTES BD'!A:B,2,0)</f>
        <v>CELIO PIMENTA</v>
      </c>
      <c r="F3935" s="4" t="str">
        <f t="shared" si="366"/>
        <v>2025-09</v>
      </c>
      <c r="G3935" s="18">
        <f t="shared" si="367"/>
        <v>36</v>
      </c>
      <c r="H3935" t="str">
        <f t="shared" si="368"/>
        <v>CELIO PIMENTA</v>
      </c>
      <c r="I3935" t="str">
        <f t="shared" si="369"/>
        <v>MBIOLOG DIAGNOSTICOS LTDA</v>
      </c>
      <c r="J3935">
        <f t="shared" si="370"/>
        <v>1</v>
      </c>
      <c r="K3935">
        <f t="shared" si="371"/>
        <v>0</v>
      </c>
    </row>
    <row r="3936" spans="1:11" x14ac:dyDescent="0.25">
      <c r="A3936" t="s">
        <v>48</v>
      </c>
      <c r="B3936" t="s">
        <v>49</v>
      </c>
      <c r="C3936" t="s">
        <v>50</v>
      </c>
      <c r="D3936" s="6">
        <v>45902</v>
      </c>
      <c r="E3936" t="str">
        <f>VLOOKUP(B3936,'PROCV GERENTES BD'!A:B,2,0)</f>
        <v xml:space="preserve">MARCUS VINICIUS </v>
      </c>
      <c r="F3936" s="4" t="str">
        <f t="shared" si="366"/>
        <v>2025-09</v>
      </c>
      <c r="G3936" s="18">
        <f t="shared" si="367"/>
        <v>36</v>
      </c>
      <c r="H3936" t="str">
        <f t="shared" si="368"/>
        <v xml:space="preserve">MARCUS VINICIUS </v>
      </c>
      <c r="I3936" t="str">
        <f t="shared" si="369"/>
        <v>PROMEL IND COM IMP E EXP DE PRODS NATURAIS LTDA</v>
      </c>
      <c r="J3936">
        <f t="shared" si="370"/>
        <v>0</v>
      </c>
      <c r="K3936">
        <f t="shared" si="371"/>
        <v>1</v>
      </c>
    </row>
    <row r="3937" spans="1:11" x14ac:dyDescent="0.25">
      <c r="A3937" t="s">
        <v>523</v>
      </c>
      <c r="B3937" t="s">
        <v>288</v>
      </c>
      <c r="C3937" t="s">
        <v>53</v>
      </c>
      <c r="D3937" s="6">
        <v>45902</v>
      </c>
      <c r="E3937" t="str">
        <f>VLOOKUP(B3937,'PROCV GERENTES BD'!A:B,2,0)</f>
        <v>ADMINISTRAÇÃO</v>
      </c>
      <c r="F3937" s="4" t="str">
        <f t="shared" si="366"/>
        <v>2025-09</v>
      </c>
      <c r="G3937" s="18">
        <f t="shared" si="367"/>
        <v>36</v>
      </c>
      <c r="H3937" t="str">
        <f t="shared" si="368"/>
        <v>ADMINISTRAÇÃO</v>
      </c>
      <c r="I3937" t="str">
        <f t="shared" si="369"/>
        <v>REFRACONT BRASIL LTDA</v>
      </c>
      <c r="J3937">
        <f t="shared" si="370"/>
        <v>1</v>
      </c>
      <c r="K3937">
        <f t="shared" si="371"/>
        <v>1</v>
      </c>
    </row>
    <row r="3938" spans="1:11" x14ac:dyDescent="0.25">
      <c r="A3938" t="s">
        <v>397</v>
      </c>
      <c r="B3938" t="s">
        <v>147</v>
      </c>
      <c r="C3938" t="s">
        <v>66</v>
      </c>
      <c r="D3938" s="6">
        <v>45902</v>
      </c>
      <c r="E3938" t="str">
        <f>VLOOKUP(B3938,'PROCV GERENTES BD'!A:B,2,0)</f>
        <v xml:space="preserve">MARCUS VINICIUS </v>
      </c>
      <c r="F3938" s="4" t="str">
        <f t="shared" si="366"/>
        <v>2025-09</v>
      </c>
      <c r="G3938" s="18">
        <f t="shared" si="367"/>
        <v>36</v>
      </c>
      <c r="H3938" t="str">
        <f t="shared" si="368"/>
        <v xml:space="preserve">MARCUS VINICIUS </v>
      </c>
      <c r="I3938" t="str">
        <f t="shared" si="369"/>
        <v>UNIVERSO INOX INDUSTRIA E COMERCIO LTDA EPP</v>
      </c>
      <c r="J3938">
        <f t="shared" si="370"/>
        <v>1</v>
      </c>
      <c r="K3938">
        <f t="shared" si="371"/>
        <v>0</v>
      </c>
    </row>
    <row r="3939" spans="1:11" x14ac:dyDescent="0.25">
      <c r="A3939" t="s">
        <v>482</v>
      </c>
      <c r="B3939" t="s">
        <v>239</v>
      </c>
      <c r="C3939" t="s">
        <v>66</v>
      </c>
      <c r="D3939" s="6">
        <v>45902</v>
      </c>
      <c r="E3939" t="str">
        <f>VLOOKUP(B3939,'PROCV GERENTES BD'!A:B,2,0)</f>
        <v>RAFAEL PARISE</v>
      </c>
      <c r="F3939" s="4" t="str">
        <f t="shared" si="366"/>
        <v>2025-09</v>
      </c>
      <c r="G3939" s="18">
        <f t="shared" si="367"/>
        <v>36</v>
      </c>
      <c r="H3939" t="str">
        <f t="shared" si="368"/>
        <v>RAFAEL PARISE</v>
      </c>
      <c r="I3939" t="str">
        <f t="shared" si="369"/>
        <v>RENOVAR AGRICOLA LTDA</v>
      </c>
      <c r="J3939">
        <f t="shared" si="370"/>
        <v>1</v>
      </c>
      <c r="K3939">
        <f t="shared" si="371"/>
        <v>0</v>
      </c>
    </row>
    <row r="3940" spans="1:11" x14ac:dyDescent="0.25">
      <c r="A3940" t="s">
        <v>324</v>
      </c>
      <c r="B3940" t="s">
        <v>119</v>
      </c>
      <c r="C3940" t="s">
        <v>53</v>
      </c>
      <c r="D3940" s="6">
        <v>45902</v>
      </c>
      <c r="E3940" t="str">
        <f>VLOOKUP(B3940,'PROCV GERENTES BD'!A:B,2,0)</f>
        <v>PROSPECTAR</v>
      </c>
      <c r="F3940" s="4" t="str">
        <f t="shared" si="366"/>
        <v>2025-09</v>
      </c>
      <c r="G3940" s="18">
        <f t="shared" si="367"/>
        <v>36</v>
      </c>
      <c r="H3940" t="str">
        <f t="shared" si="368"/>
        <v>PROSPECTAR</v>
      </c>
      <c r="I3940" t="str">
        <f t="shared" si="369"/>
        <v>TRANSHENRY TRANSPORTES LTDA</v>
      </c>
      <c r="J3940">
        <f t="shared" si="370"/>
        <v>1</v>
      </c>
      <c r="K3940">
        <f t="shared" si="371"/>
        <v>1</v>
      </c>
    </row>
    <row r="3941" spans="1:11" x14ac:dyDescent="0.25">
      <c r="A3941" t="s">
        <v>319</v>
      </c>
      <c r="B3941" t="s">
        <v>649</v>
      </c>
      <c r="C3941" t="s">
        <v>50</v>
      </c>
      <c r="D3941" s="6">
        <v>45902</v>
      </c>
      <c r="E3941" t="str">
        <f>VLOOKUP(B3941,'PROCV GERENTES BD'!A:B,2,0)</f>
        <v>CELIO PIMENTA</v>
      </c>
      <c r="F3941" s="4" t="str">
        <f t="shared" si="366"/>
        <v>2025-09</v>
      </c>
      <c r="G3941" s="18">
        <f t="shared" si="367"/>
        <v>36</v>
      </c>
      <c r="H3941" t="str">
        <f t="shared" si="368"/>
        <v>CELIO PIMENTA</v>
      </c>
      <c r="I3941" t="str">
        <f t="shared" si="369"/>
        <v>IMPORTEXTIL ASSESSORIA EMPRESARIAL LTDA</v>
      </c>
      <c r="J3941">
        <f t="shared" si="370"/>
        <v>0</v>
      </c>
      <c r="K3941">
        <f t="shared" si="371"/>
        <v>1</v>
      </c>
    </row>
    <row r="3942" spans="1:11" x14ac:dyDescent="0.25">
      <c r="A3942" t="s">
        <v>323</v>
      </c>
      <c r="B3942" t="s">
        <v>109</v>
      </c>
      <c r="C3942" t="s">
        <v>50</v>
      </c>
      <c r="D3942" s="6">
        <v>45902</v>
      </c>
      <c r="E3942" t="str">
        <f>VLOOKUP(B3942,'PROCV GERENTES BD'!A:B,2,0)</f>
        <v>PROSPECTAR</v>
      </c>
      <c r="F3942" s="4" t="str">
        <f t="shared" si="366"/>
        <v>2025-09</v>
      </c>
      <c r="G3942" s="18">
        <f t="shared" si="367"/>
        <v>36</v>
      </c>
      <c r="H3942" t="str">
        <f t="shared" si="368"/>
        <v>PROSPECTAR</v>
      </c>
      <c r="I3942" t="str">
        <f t="shared" si="369"/>
        <v>SIAP COMERCIO DE PRODUTOS AGROPECUARIOS LTDA</v>
      </c>
      <c r="J3942">
        <f t="shared" si="370"/>
        <v>0</v>
      </c>
      <c r="K3942">
        <f t="shared" si="371"/>
        <v>1</v>
      </c>
    </row>
    <row r="3943" spans="1:11" x14ac:dyDescent="0.25">
      <c r="A3943" t="s">
        <v>51</v>
      </c>
      <c r="B3943" t="s">
        <v>52</v>
      </c>
      <c r="C3943" t="s">
        <v>53</v>
      </c>
      <c r="D3943" s="6">
        <v>45902</v>
      </c>
      <c r="E3943" t="str">
        <f>VLOOKUP(B3943,'PROCV GERENTES BD'!A:B,2,0)</f>
        <v>RAFAEL PARISE</v>
      </c>
      <c r="F3943" s="4" t="str">
        <f t="shared" si="366"/>
        <v>2025-09</v>
      </c>
      <c r="G3943" s="18">
        <f t="shared" si="367"/>
        <v>36</v>
      </c>
      <c r="H3943" t="str">
        <f t="shared" si="368"/>
        <v>RAFAEL PARISE</v>
      </c>
      <c r="I3943" t="str">
        <f t="shared" si="369"/>
        <v>TDR TRANSPORTES LOGISTICA LTDA</v>
      </c>
      <c r="J3943">
        <f t="shared" si="370"/>
        <v>1</v>
      </c>
      <c r="K3943">
        <f t="shared" si="371"/>
        <v>1</v>
      </c>
    </row>
    <row r="3944" spans="1:11" x14ac:dyDescent="0.25">
      <c r="A3944" t="s">
        <v>506</v>
      </c>
      <c r="B3944" t="s">
        <v>268</v>
      </c>
      <c r="C3944" t="s">
        <v>66</v>
      </c>
      <c r="D3944" s="6">
        <v>45902</v>
      </c>
      <c r="E3944" t="str">
        <f>VLOOKUP(B3944,'PROCV GERENTES BD'!A:B,2,0)</f>
        <v>CAIO</v>
      </c>
      <c r="F3944" s="4" t="str">
        <f t="shared" si="366"/>
        <v>2025-09</v>
      </c>
      <c r="G3944" s="18">
        <f t="shared" si="367"/>
        <v>36</v>
      </c>
      <c r="H3944" t="str">
        <f t="shared" si="368"/>
        <v>CAIO</v>
      </c>
      <c r="I3944" t="str">
        <f t="shared" si="369"/>
        <v>BEECORP BEM ESTAR CORPORATIVO LTDA ME</v>
      </c>
      <c r="J3944">
        <f t="shared" si="370"/>
        <v>1</v>
      </c>
      <c r="K3944">
        <f t="shared" si="371"/>
        <v>0</v>
      </c>
    </row>
    <row r="3945" spans="1:11" x14ac:dyDescent="0.25">
      <c r="A3945" t="s">
        <v>644</v>
      </c>
      <c r="B3945" t="s">
        <v>598</v>
      </c>
      <c r="C3945" t="s">
        <v>50</v>
      </c>
      <c r="D3945" s="6">
        <v>45902</v>
      </c>
      <c r="E3945" t="str">
        <f>VLOOKUP(B3945,'PROCV GERENTES BD'!A:B,2,0)</f>
        <v>DALVA</v>
      </c>
      <c r="F3945" s="4" t="str">
        <f t="shared" si="366"/>
        <v>2025-09</v>
      </c>
      <c r="G3945" s="18">
        <f t="shared" si="367"/>
        <v>36</v>
      </c>
      <c r="H3945" t="str">
        <f t="shared" si="368"/>
        <v>DALVA</v>
      </c>
      <c r="I3945" t="str">
        <f t="shared" si="369"/>
        <v>BH BRITADORES LTDA EPP</v>
      </c>
      <c r="J3945">
        <f t="shared" si="370"/>
        <v>0</v>
      </c>
      <c r="K3945">
        <f t="shared" si="371"/>
        <v>1</v>
      </c>
    </row>
    <row r="3946" spans="1:11" x14ac:dyDescent="0.25">
      <c r="A3946" t="s">
        <v>358</v>
      </c>
      <c r="B3946" t="s">
        <v>104</v>
      </c>
      <c r="C3946" t="s">
        <v>50</v>
      </c>
      <c r="D3946" s="6">
        <v>45902</v>
      </c>
      <c r="E3946" t="str">
        <f>VLOOKUP(B3946,'PROCV GERENTES BD'!A:B,2,0)</f>
        <v>DIOGO AZEVEDO</v>
      </c>
      <c r="F3946" s="4" t="str">
        <f t="shared" si="366"/>
        <v>2025-09</v>
      </c>
      <c r="G3946" s="18">
        <f t="shared" si="367"/>
        <v>36</v>
      </c>
      <c r="H3946" t="str">
        <f t="shared" si="368"/>
        <v>DIOGO AZEVEDO</v>
      </c>
      <c r="I3946" t="str">
        <f t="shared" si="369"/>
        <v>INDUSTRIA E CERVEJARIA ARTESANAL DE MINAS GERAIS L</v>
      </c>
      <c r="J3946">
        <f t="shared" si="370"/>
        <v>0</v>
      </c>
      <c r="K3946">
        <f t="shared" si="371"/>
        <v>1</v>
      </c>
    </row>
    <row r="3947" spans="1:11" x14ac:dyDescent="0.25">
      <c r="A3947" t="s">
        <v>634</v>
      </c>
      <c r="B3947" t="s">
        <v>585</v>
      </c>
      <c r="C3947" t="s">
        <v>50</v>
      </c>
      <c r="D3947" s="6">
        <v>45902</v>
      </c>
      <c r="E3947" t="str">
        <f>VLOOKUP(B3947,'PROCV GERENTES BD'!A:B,2,0)</f>
        <v>ANDERSON FRAGA</v>
      </c>
      <c r="F3947" s="4" t="str">
        <f t="shared" si="366"/>
        <v>2025-09</v>
      </c>
      <c r="G3947" s="18">
        <f t="shared" si="367"/>
        <v>36</v>
      </c>
      <c r="H3947" t="str">
        <f t="shared" si="368"/>
        <v>ANDERSON FRAGA</v>
      </c>
      <c r="I3947" t="str">
        <f t="shared" si="369"/>
        <v>E DE P BATISTA DISTRIBUIDORA ME</v>
      </c>
      <c r="J3947">
        <f t="shared" si="370"/>
        <v>0</v>
      </c>
      <c r="K3947">
        <f t="shared" si="371"/>
        <v>1</v>
      </c>
    </row>
    <row r="3948" spans="1:11" x14ac:dyDescent="0.25">
      <c r="A3948" t="s">
        <v>638</v>
      </c>
      <c r="B3948" t="s">
        <v>539</v>
      </c>
      <c r="C3948" t="s">
        <v>53</v>
      </c>
      <c r="D3948" s="6">
        <v>45902</v>
      </c>
      <c r="E3948" t="str">
        <f>VLOOKUP(B3948,'PROCV GERENTES BD'!A:B,2,0)</f>
        <v>JJPH</v>
      </c>
      <c r="F3948" s="4" t="str">
        <f t="shared" si="366"/>
        <v>2025-09</v>
      </c>
      <c r="G3948" s="18">
        <f t="shared" si="367"/>
        <v>36</v>
      </c>
      <c r="H3948" t="str">
        <f t="shared" si="368"/>
        <v>JJPH</v>
      </c>
      <c r="I3948" t="str">
        <f t="shared" si="369"/>
        <v>DIFARMIG LTDA</v>
      </c>
      <c r="J3948">
        <f t="shared" si="370"/>
        <v>1</v>
      </c>
      <c r="K3948">
        <f t="shared" si="371"/>
        <v>1</v>
      </c>
    </row>
    <row r="3949" spans="1:11" x14ac:dyDescent="0.25">
      <c r="A3949" t="s">
        <v>629</v>
      </c>
      <c r="B3949" t="s">
        <v>550</v>
      </c>
      <c r="C3949" t="s">
        <v>50</v>
      </c>
      <c r="D3949" s="6">
        <v>45902</v>
      </c>
      <c r="E3949" t="str">
        <f>VLOOKUP(B3949,'PROCV GERENTES BD'!A:B,2,0)</f>
        <v>CREDTEM</v>
      </c>
      <c r="F3949" s="4" t="str">
        <f t="shared" si="366"/>
        <v>2025-09</v>
      </c>
      <c r="G3949" s="18">
        <f t="shared" si="367"/>
        <v>36</v>
      </c>
      <c r="H3949" t="str">
        <f t="shared" si="368"/>
        <v>CREDTEM</v>
      </c>
      <c r="I3949" t="str">
        <f t="shared" si="369"/>
        <v>W M DE CASTRO NETO PRODUTOS FARMACEUTICOS EPP</v>
      </c>
      <c r="J3949">
        <f t="shared" si="370"/>
        <v>0</v>
      </c>
      <c r="K3949">
        <f t="shared" si="371"/>
        <v>1</v>
      </c>
    </row>
    <row r="3950" spans="1:11" x14ac:dyDescent="0.25">
      <c r="A3950" t="s">
        <v>326</v>
      </c>
      <c r="B3950" t="s">
        <v>122</v>
      </c>
      <c r="C3950" t="s">
        <v>66</v>
      </c>
      <c r="D3950" s="6">
        <v>45902</v>
      </c>
      <c r="E3950" t="str">
        <f>VLOOKUP(B3950,'PROCV GERENTES BD'!A:B,2,0)</f>
        <v xml:space="preserve">ROGERIO </v>
      </c>
      <c r="F3950" s="4" t="str">
        <f t="shared" si="366"/>
        <v>2025-09</v>
      </c>
      <c r="G3950" s="18">
        <f t="shared" si="367"/>
        <v>36</v>
      </c>
      <c r="H3950" t="str">
        <f t="shared" si="368"/>
        <v xml:space="preserve">ROGERIO </v>
      </c>
      <c r="I3950" t="str">
        <f t="shared" si="369"/>
        <v>BIBE PRODUTOS INFANTIS LTDA</v>
      </c>
      <c r="J3950">
        <f t="shared" si="370"/>
        <v>1</v>
      </c>
      <c r="K3950">
        <f t="shared" si="371"/>
        <v>0</v>
      </c>
    </row>
    <row r="3951" spans="1:11" x14ac:dyDescent="0.25">
      <c r="A3951" t="s">
        <v>502</v>
      </c>
      <c r="B3951" t="s">
        <v>262</v>
      </c>
      <c r="C3951" t="s">
        <v>50</v>
      </c>
      <c r="D3951" s="6">
        <v>45903</v>
      </c>
      <c r="E3951" t="str">
        <f>VLOOKUP(B3951,'PROCV GERENTES BD'!A:B,2,0)</f>
        <v>ANTECIPA</v>
      </c>
      <c r="F3951" s="4" t="str">
        <f t="shared" si="366"/>
        <v>2025-09</v>
      </c>
      <c r="G3951" s="18">
        <f t="shared" si="367"/>
        <v>36</v>
      </c>
      <c r="H3951" t="str">
        <f t="shared" si="368"/>
        <v>ANTECIPA</v>
      </c>
      <c r="I3951" t="str">
        <f t="shared" si="369"/>
        <v>CONSTRUENGE ENGENHARIA E GERENCIAMENTO LTDA</v>
      </c>
      <c r="J3951">
        <f t="shared" si="370"/>
        <v>0</v>
      </c>
      <c r="K3951">
        <f t="shared" si="371"/>
        <v>1</v>
      </c>
    </row>
    <row r="3952" spans="1:11" x14ac:dyDescent="0.25">
      <c r="A3952" t="s">
        <v>610</v>
      </c>
      <c r="B3952" t="s">
        <v>611</v>
      </c>
      <c r="C3952" t="s">
        <v>66</v>
      </c>
      <c r="D3952" s="6">
        <v>45903</v>
      </c>
      <c r="E3952" t="str">
        <f>VLOOKUP(B3952,'PROCV GERENTES BD'!A:B,2,0)</f>
        <v>TIAGO NEVES</v>
      </c>
      <c r="F3952" s="4" t="str">
        <f t="shared" si="366"/>
        <v>2025-09</v>
      </c>
      <c r="G3952" s="18">
        <f t="shared" si="367"/>
        <v>36</v>
      </c>
      <c r="H3952" t="str">
        <f t="shared" si="368"/>
        <v>TIAGO NEVES</v>
      </c>
      <c r="I3952" t="str">
        <f t="shared" si="369"/>
        <v>TRATOR GLASS LTDA ME</v>
      </c>
      <c r="J3952">
        <f t="shared" si="370"/>
        <v>1</v>
      </c>
      <c r="K3952">
        <f t="shared" si="371"/>
        <v>0</v>
      </c>
    </row>
    <row r="3953" spans="1:11" x14ac:dyDescent="0.25">
      <c r="A3953" t="s">
        <v>655</v>
      </c>
      <c r="B3953" t="s">
        <v>548</v>
      </c>
      <c r="C3953" t="s">
        <v>50</v>
      </c>
      <c r="D3953" s="6">
        <v>45903</v>
      </c>
      <c r="E3953" t="str">
        <f>VLOOKUP(B3953,'PROCV GERENTES BD'!A:B,2,0)</f>
        <v xml:space="preserve">ROGERIO </v>
      </c>
      <c r="F3953" s="4" t="str">
        <f t="shared" si="366"/>
        <v>2025-09</v>
      </c>
      <c r="G3953" s="18">
        <f t="shared" si="367"/>
        <v>36</v>
      </c>
      <c r="H3953" t="str">
        <f t="shared" si="368"/>
        <v xml:space="preserve">ROGERIO </v>
      </c>
      <c r="I3953" t="str">
        <f t="shared" si="369"/>
        <v>AGROEP PISCICULTURA LTDA ME</v>
      </c>
      <c r="J3953">
        <f t="shared" si="370"/>
        <v>0</v>
      </c>
      <c r="K3953">
        <f t="shared" si="371"/>
        <v>1</v>
      </c>
    </row>
    <row r="3954" spans="1:11" x14ac:dyDescent="0.25">
      <c r="A3954" t="s">
        <v>370</v>
      </c>
      <c r="B3954" t="s">
        <v>114</v>
      </c>
      <c r="C3954" t="s">
        <v>53</v>
      </c>
      <c r="D3954" s="6">
        <v>45903</v>
      </c>
      <c r="E3954" t="str">
        <f>VLOOKUP(B3954,'PROCV GERENTES BD'!A:B,2,0)</f>
        <v>POENATELA</v>
      </c>
      <c r="F3954" s="4" t="str">
        <f t="shared" si="366"/>
        <v>2025-09</v>
      </c>
      <c r="G3954" s="18">
        <f t="shared" si="367"/>
        <v>36</v>
      </c>
      <c r="H3954" t="str">
        <f t="shared" si="368"/>
        <v>POENATELA</v>
      </c>
      <c r="I3954" t="str">
        <f t="shared" si="369"/>
        <v>COOPERATIVA TRANSP AUTON CARGAS PASSAG SERVICOS LO</v>
      </c>
      <c r="J3954">
        <f t="shared" si="370"/>
        <v>1</v>
      </c>
      <c r="K3954">
        <f t="shared" si="371"/>
        <v>1</v>
      </c>
    </row>
    <row r="3955" spans="1:11" x14ac:dyDescent="0.25">
      <c r="A3955" t="s">
        <v>316</v>
      </c>
      <c r="B3955" t="s">
        <v>302</v>
      </c>
      <c r="C3955" t="s">
        <v>50</v>
      </c>
      <c r="D3955" s="6">
        <v>45903</v>
      </c>
      <c r="E3955" t="str">
        <f>VLOOKUP(B3955,'PROCV GERENTES BD'!A:B,2,0)</f>
        <v>CELIO PIMENTA</v>
      </c>
      <c r="F3955" s="4" t="str">
        <f t="shared" si="366"/>
        <v>2025-09</v>
      </c>
      <c r="G3955" s="18">
        <f t="shared" si="367"/>
        <v>36</v>
      </c>
      <c r="H3955" t="str">
        <f t="shared" si="368"/>
        <v>CELIO PIMENTA</v>
      </c>
      <c r="I3955" t="str">
        <f t="shared" si="369"/>
        <v>LOTUS DESENVOLVIMENTO IMOBILIARIO LTDA</v>
      </c>
      <c r="J3955">
        <f t="shared" si="370"/>
        <v>0</v>
      </c>
      <c r="K3955">
        <f t="shared" si="371"/>
        <v>1</v>
      </c>
    </row>
    <row r="3956" spans="1:11" x14ac:dyDescent="0.25">
      <c r="A3956" t="s">
        <v>448</v>
      </c>
      <c r="B3956" t="s">
        <v>201</v>
      </c>
      <c r="C3956" t="s">
        <v>50</v>
      </c>
      <c r="D3956" s="6">
        <v>45903</v>
      </c>
      <c r="E3956" t="str">
        <f>VLOOKUP(B3956,'PROCV GERENTES BD'!A:B,2,0)</f>
        <v>PRISCILA METZ</v>
      </c>
      <c r="F3956" s="4" t="str">
        <f t="shared" si="366"/>
        <v>2025-09</v>
      </c>
      <c r="G3956" s="18">
        <f t="shared" si="367"/>
        <v>36</v>
      </c>
      <c r="H3956" t="str">
        <f t="shared" si="368"/>
        <v>PRISCILA METZ</v>
      </c>
      <c r="I3956" t="str">
        <f t="shared" si="369"/>
        <v>M TRATORES LTDA EPP</v>
      </c>
      <c r="J3956">
        <f t="shared" si="370"/>
        <v>0</v>
      </c>
      <c r="K3956">
        <f t="shared" si="371"/>
        <v>1</v>
      </c>
    </row>
    <row r="3957" spans="1:11" x14ac:dyDescent="0.25">
      <c r="A3957" t="s">
        <v>64</v>
      </c>
      <c r="B3957" t="s">
        <v>65</v>
      </c>
      <c r="C3957" t="s">
        <v>66</v>
      </c>
      <c r="D3957" s="6">
        <v>45903</v>
      </c>
      <c r="E3957" t="str">
        <f>VLOOKUP(B3957,'PROCV GERENTES BD'!A:B,2,0)</f>
        <v>ADMINISTRAÇÃO</v>
      </c>
      <c r="F3957" s="4" t="str">
        <f t="shared" si="366"/>
        <v>2025-09</v>
      </c>
      <c r="G3957" s="18">
        <f t="shared" si="367"/>
        <v>36</v>
      </c>
      <c r="H3957" t="str">
        <f t="shared" si="368"/>
        <v>ADMINISTRAÇÃO</v>
      </c>
      <c r="I3957" t="str">
        <f t="shared" si="369"/>
        <v>SOCIAL S/A</v>
      </c>
      <c r="J3957">
        <f t="shared" si="370"/>
        <v>1</v>
      </c>
      <c r="K3957">
        <f t="shared" si="371"/>
        <v>0</v>
      </c>
    </row>
    <row r="3958" spans="1:11" x14ac:dyDescent="0.25">
      <c r="A3958" t="s">
        <v>62</v>
      </c>
      <c r="B3958" t="s">
        <v>63</v>
      </c>
      <c r="C3958" t="s">
        <v>50</v>
      </c>
      <c r="D3958" s="6">
        <v>45903</v>
      </c>
      <c r="E3958" t="str">
        <f>VLOOKUP(B3958,'PROCV GERENTES BD'!A:B,2,0)</f>
        <v>PROSPECTAR</v>
      </c>
      <c r="F3958" s="4" t="str">
        <f t="shared" si="366"/>
        <v>2025-09</v>
      </c>
      <c r="G3958" s="18">
        <f t="shared" si="367"/>
        <v>36</v>
      </c>
      <c r="H3958" t="str">
        <f t="shared" si="368"/>
        <v>PROSPECTAR</v>
      </c>
      <c r="I3958" t="str">
        <f t="shared" si="369"/>
        <v>MAPP COM IMPORTACAO EXPORTACAO IND PRODUTOS ALIMEN</v>
      </c>
      <c r="J3958">
        <f t="shared" si="370"/>
        <v>0</v>
      </c>
      <c r="K3958">
        <f t="shared" si="371"/>
        <v>1</v>
      </c>
    </row>
    <row r="3959" spans="1:11" x14ac:dyDescent="0.25">
      <c r="A3959" t="s">
        <v>499</v>
      </c>
      <c r="B3959" t="s">
        <v>258</v>
      </c>
      <c r="C3959" t="s">
        <v>53</v>
      </c>
      <c r="D3959" s="6">
        <v>45903</v>
      </c>
      <c r="E3959" t="str">
        <f>VLOOKUP(B3959,'PROCV GERENTES BD'!A:B,2,0)</f>
        <v>PRISCILA METZ</v>
      </c>
      <c r="F3959" s="4" t="str">
        <f t="shared" si="366"/>
        <v>2025-09</v>
      </c>
      <c r="G3959" s="18">
        <f t="shared" si="367"/>
        <v>36</v>
      </c>
      <c r="H3959" t="str">
        <f t="shared" si="368"/>
        <v>PRISCILA METZ</v>
      </c>
      <c r="I3959" t="str">
        <f t="shared" si="369"/>
        <v>PLATINUM INDUSTRIA DE CONFECCOES LTDA</v>
      </c>
      <c r="J3959">
        <f t="shared" si="370"/>
        <v>1</v>
      </c>
      <c r="K3959">
        <f t="shared" si="371"/>
        <v>1</v>
      </c>
    </row>
    <row r="3960" spans="1:11" x14ac:dyDescent="0.25">
      <c r="A3960" t="s">
        <v>604</v>
      </c>
      <c r="B3960" t="s">
        <v>605</v>
      </c>
      <c r="C3960" t="s">
        <v>329</v>
      </c>
      <c r="D3960" s="6">
        <v>45903</v>
      </c>
      <c r="E3960" t="str">
        <f>VLOOKUP(B3960,'PROCV GERENTES BD'!A:B,2,0)</f>
        <v>ALISSON DE SOUZA LIMA</v>
      </c>
      <c r="F3960" s="4" t="str">
        <f t="shared" si="366"/>
        <v>2025-09</v>
      </c>
      <c r="G3960" s="18">
        <f t="shared" si="367"/>
        <v>36</v>
      </c>
      <c r="H3960" t="str">
        <f t="shared" si="368"/>
        <v>ALISSON DE SOUZA LIMA</v>
      </c>
      <c r="I3960" t="str">
        <f t="shared" si="369"/>
        <v>3J FUNDICAO INDUSTRIAL LTDA</v>
      </c>
      <c r="J3960">
        <f t="shared" si="370"/>
        <v>0</v>
      </c>
      <c r="K3960">
        <f t="shared" si="371"/>
        <v>0</v>
      </c>
    </row>
    <row r="3961" spans="1:11" x14ac:dyDescent="0.25">
      <c r="A3961" t="s">
        <v>604</v>
      </c>
      <c r="B3961" t="s">
        <v>605</v>
      </c>
      <c r="C3961" t="s">
        <v>327</v>
      </c>
      <c r="D3961" s="6">
        <v>45903</v>
      </c>
      <c r="E3961" t="str">
        <f>VLOOKUP(B3961,'PROCV GERENTES BD'!A:B,2,0)</f>
        <v>ALISSON DE SOUZA LIMA</v>
      </c>
      <c r="F3961" s="4" t="str">
        <f t="shared" si="366"/>
        <v>2025-09</v>
      </c>
      <c r="G3961" s="18">
        <f t="shared" si="367"/>
        <v>36</v>
      </c>
      <c r="H3961" t="str">
        <f t="shared" si="368"/>
        <v>ALISSON DE SOUZA LIMA</v>
      </c>
      <c r="I3961" t="str">
        <f t="shared" si="369"/>
        <v>3J FUNDICAO INDUSTRIAL LTDA</v>
      </c>
      <c r="J3961">
        <f t="shared" si="370"/>
        <v>0</v>
      </c>
      <c r="K3961">
        <f t="shared" si="371"/>
        <v>0</v>
      </c>
    </row>
    <row r="3962" spans="1:11" x14ac:dyDescent="0.25">
      <c r="A3962" t="s">
        <v>314</v>
      </c>
      <c r="B3962" t="s">
        <v>246</v>
      </c>
      <c r="C3962" t="s">
        <v>66</v>
      </c>
      <c r="D3962" s="6">
        <v>45903</v>
      </c>
      <c r="E3962" t="str">
        <f>VLOOKUP(B3962,'PROCV GERENTES BD'!A:B,2,0)</f>
        <v xml:space="preserve">ROGERIO </v>
      </c>
      <c r="F3962" s="4" t="str">
        <f t="shared" si="366"/>
        <v>2025-09</v>
      </c>
      <c r="G3962" s="18">
        <f t="shared" si="367"/>
        <v>36</v>
      </c>
      <c r="H3962" t="str">
        <f t="shared" si="368"/>
        <v xml:space="preserve">ROGERIO </v>
      </c>
      <c r="I3962" t="str">
        <f t="shared" si="369"/>
        <v>MUTCD CENTRO DE DISTRIBUICAO DE IND FABRICANTE DE</v>
      </c>
      <c r="J3962">
        <f t="shared" si="370"/>
        <v>1</v>
      </c>
      <c r="K3962">
        <f t="shared" si="371"/>
        <v>0</v>
      </c>
    </row>
    <row r="3963" spans="1:11" x14ac:dyDescent="0.25">
      <c r="A3963" t="s">
        <v>604</v>
      </c>
      <c r="B3963" t="s">
        <v>605</v>
      </c>
      <c r="C3963" t="s">
        <v>53</v>
      </c>
      <c r="D3963" s="6">
        <v>45903</v>
      </c>
      <c r="E3963" t="str">
        <f>VLOOKUP(B3963,'PROCV GERENTES BD'!A:B,2,0)</f>
        <v>ALISSON DE SOUZA LIMA</v>
      </c>
      <c r="F3963" s="4" t="str">
        <f t="shared" si="366"/>
        <v>2025-09</v>
      </c>
      <c r="G3963" s="18">
        <f t="shared" si="367"/>
        <v>36</v>
      </c>
      <c r="H3963" t="str">
        <f t="shared" si="368"/>
        <v>ALISSON DE SOUZA LIMA</v>
      </c>
      <c r="I3963" t="str">
        <f t="shared" si="369"/>
        <v>3J FUNDICAO INDUSTRIAL LTDA</v>
      </c>
      <c r="J3963">
        <f t="shared" si="370"/>
        <v>1</v>
      </c>
      <c r="K3963">
        <f t="shared" si="371"/>
        <v>1</v>
      </c>
    </row>
    <row r="3964" spans="1:11" x14ac:dyDescent="0.25">
      <c r="A3964" t="s">
        <v>58</v>
      </c>
      <c r="B3964" t="s">
        <v>59</v>
      </c>
      <c r="C3964" t="s">
        <v>50</v>
      </c>
      <c r="D3964" s="6">
        <v>45903</v>
      </c>
      <c r="E3964" t="str">
        <f>VLOOKUP(B3964,'PROCV GERENTES BD'!A:B,2,0)</f>
        <v>ADMINISTRAÇÃO</v>
      </c>
      <c r="F3964" s="4" t="str">
        <f t="shared" si="366"/>
        <v>2025-09</v>
      </c>
      <c r="G3964" s="18">
        <f t="shared" si="367"/>
        <v>36</v>
      </c>
      <c r="H3964" t="str">
        <f t="shared" si="368"/>
        <v>ADMINISTRAÇÃO</v>
      </c>
      <c r="I3964" t="str">
        <f t="shared" si="369"/>
        <v>BIOTECH LOGISTICA LTDA</v>
      </c>
      <c r="J3964">
        <f t="shared" si="370"/>
        <v>0</v>
      </c>
      <c r="K3964">
        <f t="shared" si="371"/>
        <v>1</v>
      </c>
    </row>
    <row r="3965" spans="1:11" x14ac:dyDescent="0.25">
      <c r="A3965" t="s">
        <v>319</v>
      </c>
      <c r="B3965" t="s">
        <v>649</v>
      </c>
      <c r="C3965" t="s">
        <v>53</v>
      </c>
      <c r="D3965" s="6">
        <v>45903</v>
      </c>
      <c r="E3965" t="str">
        <f>VLOOKUP(B3965,'PROCV GERENTES BD'!A:B,2,0)</f>
        <v>CELIO PIMENTA</v>
      </c>
      <c r="F3965" s="4" t="str">
        <f t="shared" si="366"/>
        <v>2025-09</v>
      </c>
      <c r="G3965" s="18">
        <f t="shared" si="367"/>
        <v>36</v>
      </c>
      <c r="H3965" t="str">
        <f t="shared" si="368"/>
        <v>CELIO PIMENTA</v>
      </c>
      <c r="I3965" t="str">
        <f t="shared" si="369"/>
        <v>IMPORTEXTIL ASSESSORIA EMPRESARIAL LTDA</v>
      </c>
      <c r="J3965">
        <f t="shared" si="370"/>
        <v>1</v>
      </c>
      <c r="K3965">
        <f t="shared" si="371"/>
        <v>1</v>
      </c>
    </row>
    <row r="3966" spans="1:11" x14ac:dyDescent="0.25">
      <c r="A3966" t="s">
        <v>331</v>
      </c>
      <c r="B3966" t="s">
        <v>144</v>
      </c>
      <c r="C3966" t="s">
        <v>50</v>
      </c>
      <c r="D3966" s="6">
        <v>45903</v>
      </c>
      <c r="E3966" t="str">
        <f>VLOOKUP(B3966,'PROCV GERENTES BD'!A:B,2,0)</f>
        <v>ADMINISTRAÇÃO</v>
      </c>
      <c r="F3966" s="4" t="str">
        <f t="shared" si="366"/>
        <v>2025-09</v>
      </c>
      <c r="G3966" s="18">
        <f t="shared" si="367"/>
        <v>36</v>
      </c>
      <c r="H3966" t="str">
        <f t="shared" si="368"/>
        <v>ADMINISTRAÇÃO</v>
      </c>
      <c r="I3966" t="str">
        <f t="shared" si="369"/>
        <v>BOM PASTOR PAPEIS LTDA EM RECUPERACAO JUDICIAL</v>
      </c>
      <c r="J3966">
        <f t="shared" si="370"/>
        <v>0</v>
      </c>
      <c r="K3966">
        <f t="shared" si="371"/>
        <v>1</v>
      </c>
    </row>
    <row r="3967" spans="1:11" x14ac:dyDescent="0.25">
      <c r="A3967" t="s">
        <v>358</v>
      </c>
      <c r="B3967" t="s">
        <v>104</v>
      </c>
      <c r="C3967" t="s">
        <v>329</v>
      </c>
      <c r="D3967" s="6">
        <v>45903</v>
      </c>
      <c r="E3967" t="str">
        <f>VLOOKUP(B3967,'PROCV GERENTES BD'!A:B,2,0)</f>
        <v>DIOGO AZEVEDO</v>
      </c>
      <c r="F3967" s="4" t="str">
        <f t="shared" si="366"/>
        <v>2025-09</v>
      </c>
      <c r="G3967" s="18">
        <f t="shared" si="367"/>
        <v>36</v>
      </c>
      <c r="H3967" t="str">
        <f t="shared" si="368"/>
        <v>DIOGO AZEVEDO</v>
      </c>
      <c r="I3967" t="str">
        <f t="shared" si="369"/>
        <v>INDUSTRIA E CERVEJARIA ARTESANAL DE MINAS GERAIS L</v>
      </c>
      <c r="J3967">
        <f t="shared" si="370"/>
        <v>0</v>
      </c>
      <c r="K3967">
        <f t="shared" si="371"/>
        <v>0</v>
      </c>
    </row>
    <row r="3968" spans="1:11" x14ac:dyDescent="0.25">
      <c r="A3968" t="s">
        <v>358</v>
      </c>
      <c r="B3968" t="s">
        <v>104</v>
      </c>
      <c r="C3968" t="s">
        <v>327</v>
      </c>
      <c r="D3968" s="6">
        <v>45903</v>
      </c>
      <c r="E3968" t="str">
        <f>VLOOKUP(B3968,'PROCV GERENTES BD'!A:B,2,0)</f>
        <v>DIOGO AZEVEDO</v>
      </c>
      <c r="F3968" s="4" t="str">
        <f t="shared" si="366"/>
        <v>2025-09</v>
      </c>
      <c r="G3968" s="18">
        <f t="shared" si="367"/>
        <v>36</v>
      </c>
      <c r="H3968" t="str">
        <f t="shared" si="368"/>
        <v>DIOGO AZEVEDO</v>
      </c>
      <c r="I3968" t="str">
        <f t="shared" si="369"/>
        <v>INDUSTRIA E CERVEJARIA ARTESANAL DE MINAS GERAIS L</v>
      </c>
      <c r="J3968">
        <f t="shared" si="370"/>
        <v>0</v>
      </c>
      <c r="K3968">
        <f t="shared" si="371"/>
        <v>0</v>
      </c>
    </row>
    <row r="3969" spans="1:11" x14ac:dyDescent="0.25">
      <c r="A3969" t="s">
        <v>434</v>
      </c>
      <c r="B3969" t="s">
        <v>185</v>
      </c>
      <c r="C3969" t="s">
        <v>66</v>
      </c>
      <c r="D3969" s="6">
        <v>45903</v>
      </c>
      <c r="E3969" t="str">
        <f>VLOOKUP(B3969,'PROCV GERENTES BD'!A:B,2,0)</f>
        <v>RAFAEL PARISE</v>
      </c>
      <c r="F3969" s="4" t="str">
        <f t="shared" si="366"/>
        <v>2025-09</v>
      </c>
      <c r="G3969" s="18">
        <f t="shared" si="367"/>
        <v>36</v>
      </c>
      <c r="H3969" t="str">
        <f t="shared" si="368"/>
        <v>RAFAEL PARISE</v>
      </c>
      <c r="I3969" t="str">
        <f t="shared" si="369"/>
        <v>MARCAS COMERCIO LTDA ME</v>
      </c>
      <c r="J3969">
        <f t="shared" si="370"/>
        <v>1</v>
      </c>
      <c r="K3969">
        <f t="shared" si="371"/>
        <v>0</v>
      </c>
    </row>
    <row r="3970" spans="1:11" x14ac:dyDescent="0.25">
      <c r="A3970" t="s">
        <v>54</v>
      </c>
      <c r="B3970" t="s">
        <v>55</v>
      </c>
      <c r="C3970" t="s">
        <v>50</v>
      </c>
      <c r="D3970" s="6">
        <v>45903</v>
      </c>
      <c r="E3970" t="str">
        <f>VLOOKUP(B3970,'PROCV GERENTES BD'!A:B,2,0)</f>
        <v>CELIO PIMENTA</v>
      </c>
      <c r="F3970" s="4" t="str">
        <f t="shared" ref="F3970:F4033" si="372">YEAR(D3970)&amp;"-"&amp;TEXT(MONTH(D3970),"00")</f>
        <v>2025-09</v>
      </c>
      <c r="G3970" s="18">
        <f t="shared" ref="G3970:G4033" si="373">WEEKNUM(D3970)</f>
        <v>36</v>
      </c>
      <c r="H3970" t="str">
        <f t="shared" ref="H3970:H4033" si="374">E3970</f>
        <v>CELIO PIMENTA</v>
      </c>
      <c r="I3970" t="str">
        <f t="shared" ref="I3970:I4033" si="375">B3970</f>
        <v>WJ CALDEIRARIA INDUSTRIA E COMERCIO LTDA ME</v>
      </c>
      <c r="J3970">
        <f t="shared" ref="J3970:J4033" si="376">IF(OR(C3970="EXCLUSAO  ANOT.INADIMPLENCIA",C3970="INCL/EXCL ANOT.INADIMPLENCIA"),1,0)</f>
        <v>0</v>
      </c>
      <c r="K3970">
        <f t="shared" ref="K3970:K4033" si="377">IF(OR(C3970="INCLUSAO  ANOT.INADIMPLENCIA",C3970="INCL/EXCL ANOT.INADIMPLENCIA"),1,0)</f>
        <v>1</v>
      </c>
    </row>
    <row r="3971" spans="1:11" x14ac:dyDescent="0.25">
      <c r="A3971" t="s">
        <v>51</v>
      </c>
      <c r="B3971" t="s">
        <v>52</v>
      </c>
      <c r="C3971" t="s">
        <v>50</v>
      </c>
      <c r="D3971" s="6">
        <v>45903</v>
      </c>
      <c r="E3971" t="str">
        <f>VLOOKUP(B3971,'PROCV GERENTES BD'!A:B,2,0)</f>
        <v>RAFAEL PARISE</v>
      </c>
      <c r="F3971" s="4" t="str">
        <f t="shared" si="372"/>
        <v>2025-09</v>
      </c>
      <c r="G3971" s="18">
        <f t="shared" si="373"/>
        <v>36</v>
      </c>
      <c r="H3971" t="str">
        <f t="shared" si="374"/>
        <v>RAFAEL PARISE</v>
      </c>
      <c r="I3971" t="str">
        <f t="shared" si="375"/>
        <v>TDR TRANSPORTES LOGISTICA LTDA</v>
      </c>
      <c r="J3971">
        <f t="shared" si="376"/>
        <v>0</v>
      </c>
      <c r="K3971">
        <f t="shared" si="377"/>
        <v>1</v>
      </c>
    </row>
    <row r="3972" spans="1:11" x14ac:dyDescent="0.25">
      <c r="A3972" t="s">
        <v>324</v>
      </c>
      <c r="B3972" t="s">
        <v>119</v>
      </c>
      <c r="C3972" t="s">
        <v>53</v>
      </c>
      <c r="D3972" s="6">
        <v>45903</v>
      </c>
      <c r="E3972" t="str">
        <f>VLOOKUP(B3972,'PROCV GERENTES BD'!A:B,2,0)</f>
        <v>PROSPECTAR</v>
      </c>
      <c r="F3972" s="4" t="str">
        <f t="shared" si="372"/>
        <v>2025-09</v>
      </c>
      <c r="G3972" s="18">
        <f t="shared" si="373"/>
        <v>36</v>
      </c>
      <c r="H3972" t="str">
        <f t="shared" si="374"/>
        <v>PROSPECTAR</v>
      </c>
      <c r="I3972" t="str">
        <f t="shared" si="375"/>
        <v>TRANSHENRY TRANSPORTES LTDA</v>
      </c>
      <c r="J3972">
        <f t="shared" si="376"/>
        <v>1</v>
      </c>
      <c r="K3972">
        <f t="shared" si="377"/>
        <v>1</v>
      </c>
    </row>
    <row r="3973" spans="1:11" x14ac:dyDescent="0.25">
      <c r="A3973" t="s">
        <v>529</v>
      </c>
      <c r="B3973" t="s">
        <v>297</v>
      </c>
      <c r="C3973" t="s">
        <v>50</v>
      </c>
      <c r="D3973" s="6">
        <v>45903</v>
      </c>
      <c r="E3973" t="str">
        <f>VLOOKUP(B3973,'PROCV GERENTES BD'!A:B,2,0)</f>
        <v>ANDRE CUNHA</v>
      </c>
      <c r="F3973" s="4" t="str">
        <f t="shared" si="372"/>
        <v>2025-09</v>
      </c>
      <c r="G3973" s="18">
        <f t="shared" si="373"/>
        <v>36</v>
      </c>
      <c r="H3973" t="str">
        <f t="shared" si="374"/>
        <v>ANDRE CUNHA</v>
      </c>
      <c r="I3973" t="str">
        <f t="shared" si="375"/>
        <v>REVPACK TECNOLOGIA E COMERCIO DE COMPONENTES PLAST</v>
      </c>
      <c r="J3973">
        <f t="shared" si="376"/>
        <v>0</v>
      </c>
      <c r="K3973">
        <f t="shared" si="377"/>
        <v>1</v>
      </c>
    </row>
    <row r="3974" spans="1:11" x14ac:dyDescent="0.25">
      <c r="A3974" t="s">
        <v>631</v>
      </c>
      <c r="B3974" t="s">
        <v>561</v>
      </c>
      <c r="C3974" t="s">
        <v>66</v>
      </c>
      <c r="D3974" s="6">
        <v>45903</v>
      </c>
      <c r="E3974" t="str">
        <f>VLOOKUP(B3974,'PROCV GERENTES BD'!A:B,2,0)</f>
        <v>VALERIA</v>
      </c>
      <c r="F3974" s="4" t="str">
        <f t="shared" si="372"/>
        <v>2025-09</v>
      </c>
      <c r="G3974" s="18">
        <f t="shared" si="373"/>
        <v>36</v>
      </c>
      <c r="H3974" t="str">
        <f t="shared" si="374"/>
        <v>VALERIA</v>
      </c>
      <c r="I3974" t="str">
        <f t="shared" si="375"/>
        <v>TRANSPORTADORA PACHECO LTDA EPP</v>
      </c>
      <c r="J3974">
        <f t="shared" si="376"/>
        <v>1</v>
      </c>
      <c r="K3974">
        <f t="shared" si="377"/>
        <v>0</v>
      </c>
    </row>
    <row r="3975" spans="1:11" x14ac:dyDescent="0.25">
      <c r="A3975" t="s">
        <v>508</v>
      </c>
      <c r="B3975" t="s">
        <v>271</v>
      </c>
      <c r="C3975" t="s">
        <v>50</v>
      </c>
      <c r="D3975" s="6">
        <v>45903</v>
      </c>
      <c r="E3975" t="str">
        <f>VLOOKUP(B3975,'PROCV GERENTES BD'!A:B,2,0)</f>
        <v>PRISCILA METZ</v>
      </c>
      <c r="F3975" s="4" t="str">
        <f t="shared" si="372"/>
        <v>2025-09</v>
      </c>
      <c r="G3975" s="18">
        <f t="shared" si="373"/>
        <v>36</v>
      </c>
      <c r="H3975" t="str">
        <f t="shared" si="374"/>
        <v>PRISCILA METZ</v>
      </c>
      <c r="I3975" t="str">
        <f t="shared" si="375"/>
        <v>TUBOLARES VITORIA INDUSTRIA E COMERCIO LTDA ME</v>
      </c>
      <c r="J3975">
        <f t="shared" si="376"/>
        <v>0</v>
      </c>
      <c r="K3975">
        <f t="shared" si="377"/>
        <v>1</v>
      </c>
    </row>
    <row r="3976" spans="1:11" x14ac:dyDescent="0.25">
      <c r="A3976" t="s">
        <v>324</v>
      </c>
      <c r="B3976" t="s">
        <v>119</v>
      </c>
      <c r="C3976" t="s">
        <v>50</v>
      </c>
      <c r="D3976" s="6">
        <v>45904</v>
      </c>
      <c r="E3976" t="str">
        <f>VLOOKUP(B3976,'PROCV GERENTES BD'!A:B,2,0)</f>
        <v>PROSPECTAR</v>
      </c>
      <c r="F3976" s="4" t="str">
        <f t="shared" si="372"/>
        <v>2025-09</v>
      </c>
      <c r="G3976" s="18">
        <f t="shared" si="373"/>
        <v>36</v>
      </c>
      <c r="H3976" t="str">
        <f t="shared" si="374"/>
        <v>PROSPECTAR</v>
      </c>
      <c r="I3976" t="str">
        <f t="shared" si="375"/>
        <v>TRANSHENRY TRANSPORTES LTDA</v>
      </c>
      <c r="J3976">
        <f t="shared" si="376"/>
        <v>0</v>
      </c>
      <c r="K3976">
        <f t="shared" si="377"/>
        <v>1</v>
      </c>
    </row>
    <row r="3977" spans="1:11" x14ac:dyDescent="0.25">
      <c r="A3977" t="s">
        <v>379</v>
      </c>
      <c r="B3977" t="s">
        <v>126</v>
      </c>
      <c r="C3977" t="s">
        <v>66</v>
      </c>
      <c r="D3977" s="6">
        <v>45904</v>
      </c>
      <c r="E3977" t="str">
        <f>VLOOKUP(B3977,'PROCV GERENTES BD'!A:B,2,0)</f>
        <v>ADMINISTRAÇÃO</v>
      </c>
      <c r="F3977" s="4" t="str">
        <f t="shared" si="372"/>
        <v>2025-09</v>
      </c>
      <c r="G3977" s="18">
        <f t="shared" si="373"/>
        <v>36</v>
      </c>
      <c r="H3977" t="str">
        <f t="shared" si="374"/>
        <v>ADMINISTRAÇÃO</v>
      </c>
      <c r="I3977" t="str">
        <f t="shared" si="375"/>
        <v>ENXOVAIS MINAS LTDA ME</v>
      </c>
      <c r="J3977">
        <f t="shared" si="376"/>
        <v>1</v>
      </c>
      <c r="K3977">
        <f t="shared" si="377"/>
        <v>0</v>
      </c>
    </row>
    <row r="3978" spans="1:11" x14ac:dyDescent="0.25">
      <c r="A3978" t="s">
        <v>430</v>
      </c>
      <c r="B3978" t="s">
        <v>181</v>
      </c>
      <c r="C3978" t="s">
        <v>50</v>
      </c>
      <c r="D3978" s="6">
        <v>45904</v>
      </c>
      <c r="E3978" t="str">
        <f>VLOOKUP(B3978,'PROCV GERENTES BD'!A:B,2,0)</f>
        <v>PROSPECTAR</v>
      </c>
      <c r="F3978" s="4" t="str">
        <f t="shared" si="372"/>
        <v>2025-09</v>
      </c>
      <c r="G3978" s="18">
        <f t="shared" si="373"/>
        <v>36</v>
      </c>
      <c r="H3978" t="str">
        <f t="shared" si="374"/>
        <v>PROSPECTAR</v>
      </c>
      <c r="I3978" t="str">
        <f t="shared" si="375"/>
        <v>SIQUEIRA E GAIPO INDUSTRIA E MATERIAIS ESPORTIVOS</v>
      </c>
      <c r="J3978">
        <f t="shared" si="376"/>
        <v>0</v>
      </c>
      <c r="K3978">
        <f t="shared" si="377"/>
        <v>1</v>
      </c>
    </row>
    <row r="3979" spans="1:11" x14ac:dyDescent="0.25">
      <c r="A3979" t="s">
        <v>508</v>
      </c>
      <c r="B3979" t="s">
        <v>271</v>
      </c>
      <c r="C3979" t="s">
        <v>50</v>
      </c>
      <c r="D3979" s="6">
        <v>45904</v>
      </c>
      <c r="E3979" t="str">
        <f>VLOOKUP(B3979,'PROCV GERENTES BD'!A:B,2,0)</f>
        <v>PRISCILA METZ</v>
      </c>
      <c r="F3979" s="4" t="str">
        <f t="shared" si="372"/>
        <v>2025-09</v>
      </c>
      <c r="G3979" s="18">
        <f t="shared" si="373"/>
        <v>36</v>
      </c>
      <c r="H3979" t="str">
        <f t="shared" si="374"/>
        <v>PRISCILA METZ</v>
      </c>
      <c r="I3979" t="str">
        <f t="shared" si="375"/>
        <v>TUBOLARES VITORIA INDUSTRIA E COMERCIO LTDA ME</v>
      </c>
      <c r="J3979">
        <f t="shared" si="376"/>
        <v>0</v>
      </c>
      <c r="K3979">
        <f t="shared" si="377"/>
        <v>1</v>
      </c>
    </row>
    <row r="3980" spans="1:11" x14ac:dyDescent="0.25">
      <c r="A3980" t="s">
        <v>314</v>
      </c>
      <c r="B3980" t="s">
        <v>246</v>
      </c>
      <c r="C3980" t="s">
        <v>66</v>
      </c>
      <c r="D3980" s="6">
        <v>45904</v>
      </c>
      <c r="E3980" t="str">
        <f>VLOOKUP(B3980,'PROCV GERENTES BD'!A:B,2,0)</f>
        <v xml:space="preserve">ROGERIO </v>
      </c>
      <c r="F3980" s="4" t="str">
        <f t="shared" si="372"/>
        <v>2025-09</v>
      </c>
      <c r="G3980" s="18">
        <f t="shared" si="373"/>
        <v>36</v>
      </c>
      <c r="H3980" t="str">
        <f t="shared" si="374"/>
        <v xml:space="preserve">ROGERIO </v>
      </c>
      <c r="I3980" t="str">
        <f t="shared" si="375"/>
        <v>MUTCD CENTRO DE DISTRIBUICAO DE IND FABRICANTE DE</v>
      </c>
      <c r="J3980">
        <f t="shared" si="376"/>
        <v>1</v>
      </c>
      <c r="K3980">
        <f t="shared" si="377"/>
        <v>0</v>
      </c>
    </row>
    <row r="3981" spans="1:11" x14ac:dyDescent="0.25">
      <c r="A3981" t="s">
        <v>600</v>
      </c>
      <c r="B3981" t="s">
        <v>594</v>
      </c>
      <c r="C3981" t="s">
        <v>66</v>
      </c>
      <c r="D3981" s="6">
        <v>45904</v>
      </c>
      <c r="E3981" t="str">
        <f>VLOOKUP(B3981,'PROCV GERENTES BD'!A:B,2,0)</f>
        <v xml:space="preserve">ROGERIO </v>
      </c>
      <c r="F3981" s="4" t="str">
        <f t="shared" si="372"/>
        <v>2025-09</v>
      </c>
      <c r="G3981" s="18">
        <f t="shared" si="373"/>
        <v>36</v>
      </c>
      <c r="H3981" t="str">
        <f t="shared" si="374"/>
        <v xml:space="preserve">ROGERIO </v>
      </c>
      <c r="I3981" t="str">
        <f t="shared" si="375"/>
        <v>METALAB COMERCIO E INDUSTRIA FARMACEUTICA LTDA ME</v>
      </c>
      <c r="J3981">
        <f t="shared" si="376"/>
        <v>1</v>
      </c>
      <c r="K3981">
        <f t="shared" si="377"/>
        <v>0</v>
      </c>
    </row>
    <row r="3982" spans="1:11" x14ac:dyDescent="0.25">
      <c r="A3982" t="s">
        <v>465</v>
      </c>
      <c r="B3982" t="s">
        <v>222</v>
      </c>
      <c r="C3982" t="s">
        <v>66</v>
      </c>
      <c r="D3982" s="6">
        <v>45904</v>
      </c>
      <c r="E3982" t="str">
        <f>VLOOKUP(B3982,'PROCV GERENTES BD'!A:B,2,0)</f>
        <v>ADMINISTRAÇÃO</v>
      </c>
      <c r="F3982" s="4" t="str">
        <f t="shared" si="372"/>
        <v>2025-09</v>
      </c>
      <c r="G3982" s="18">
        <f t="shared" si="373"/>
        <v>36</v>
      </c>
      <c r="H3982" t="str">
        <f t="shared" si="374"/>
        <v>ADMINISTRAÇÃO</v>
      </c>
      <c r="I3982" t="str">
        <f t="shared" si="375"/>
        <v>CF COMEX IMPORTACAO EQUIPAMENTOS E SERVICOS LTDA</v>
      </c>
      <c r="J3982">
        <f t="shared" si="376"/>
        <v>1</v>
      </c>
      <c r="K3982">
        <f t="shared" si="377"/>
        <v>0</v>
      </c>
    </row>
    <row r="3983" spans="1:11" x14ac:dyDescent="0.25">
      <c r="A3983" t="s">
        <v>370</v>
      </c>
      <c r="B3983" t="s">
        <v>114</v>
      </c>
      <c r="C3983" t="s">
        <v>66</v>
      </c>
      <c r="D3983" s="6">
        <v>45904</v>
      </c>
      <c r="E3983" t="str">
        <f>VLOOKUP(B3983,'PROCV GERENTES BD'!A:B,2,0)</f>
        <v>POENATELA</v>
      </c>
      <c r="F3983" s="4" t="str">
        <f t="shared" si="372"/>
        <v>2025-09</v>
      </c>
      <c r="G3983" s="18">
        <f t="shared" si="373"/>
        <v>36</v>
      </c>
      <c r="H3983" t="str">
        <f t="shared" si="374"/>
        <v>POENATELA</v>
      </c>
      <c r="I3983" t="str">
        <f t="shared" si="375"/>
        <v>COOPERATIVA TRANSP AUTON CARGAS PASSAG SERVICOS LO</v>
      </c>
      <c r="J3983">
        <f t="shared" si="376"/>
        <v>1</v>
      </c>
      <c r="K3983">
        <f t="shared" si="377"/>
        <v>0</v>
      </c>
    </row>
    <row r="3984" spans="1:11" x14ac:dyDescent="0.25">
      <c r="A3984" t="s">
        <v>515</v>
      </c>
      <c r="B3984" t="s">
        <v>277</v>
      </c>
      <c r="C3984" t="s">
        <v>66</v>
      </c>
      <c r="D3984" s="6">
        <v>45904</v>
      </c>
      <c r="E3984" t="str">
        <f>VLOOKUP(B3984,'PROCV GERENTES BD'!A:B,2,0)</f>
        <v>ALISSON DE SOUZA LIMA</v>
      </c>
      <c r="F3984" s="4" t="str">
        <f t="shared" si="372"/>
        <v>2025-09</v>
      </c>
      <c r="G3984" s="18">
        <f t="shared" si="373"/>
        <v>36</v>
      </c>
      <c r="H3984" t="str">
        <f t="shared" si="374"/>
        <v>ALISSON DE SOUZA LIMA</v>
      </c>
      <c r="I3984" t="str">
        <f t="shared" si="375"/>
        <v>COMERCIAL GTS INFORMATICA LTDA EPP</v>
      </c>
      <c r="J3984">
        <f t="shared" si="376"/>
        <v>1</v>
      </c>
      <c r="K3984">
        <f t="shared" si="377"/>
        <v>0</v>
      </c>
    </row>
    <row r="3985" spans="1:11" x14ac:dyDescent="0.25">
      <c r="A3985" t="s">
        <v>625</v>
      </c>
      <c r="B3985" t="s">
        <v>537</v>
      </c>
      <c r="C3985" t="s">
        <v>53</v>
      </c>
      <c r="D3985" s="6">
        <v>45904</v>
      </c>
      <c r="E3985" t="str">
        <f>VLOOKUP(B3985,'PROCV GERENTES BD'!A:B,2,0)</f>
        <v>WASHINGTON</v>
      </c>
      <c r="F3985" s="4" t="str">
        <f t="shared" si="372"/>
        <v>2025-09</v>
      </c>
      <c r="G3985" s="18">
        <f t="shared" si="373"/>
        <v>36</v>
      </c>
      <c r="H3985" t="str">
        <f t="shared" si="374"/>
        <v>WASHINGTON</v>
      </c>
      <c r="I3985" t="str">
        <f t="shared" si="375"/>
        <v>COMERCIAL SEGURANCA LTDA ME</v>
      </c>
      <c r="J3985">
        <f t="shared" si="376"/>
        <v>1</v>
      </c>
      <c r="K3985">
        <f t="shared" si="377"/>
        <v>1</v>
      </c>
    </row>
    <row r="3986" spans="1:11" x14ac:dyDescent="0.25">
      <c r="A3986" t="s">
        <v>448</v>
      </c>
      <c r="B3986" t="s">
        <v>201</v>
      </c>
      <c r="C3986" t="s">
        <v>66</v>
      </c>
      <c r="D3986" s="6">
        <v>45904</v>
      </c>
      <c r="E3986" t="str">
        <f>VLOOKUP(B3986,'PROCV GERENTES BD'!A:B,2,0)</f>
        <v>PRISCILA METZ</v>
      </c>
      <c r="F3986" s="4" t="str">
        <f t="shared" si="372"/>
        <v>2025-09</v>
      </c>
      <c r="G3986" s="18">
        <f t="shared" si="373"/>
        <v>36</v>
      </c>
      <c r="H3986" t="str">
        <f t="shared" si="374"/>
        <v>PRISCILA METZ</v>
      </c>
      <c r="I3986" t="str">
        <f t="shared" si="375"/>
        <v>M TRATORES LTDA EPP</v>
      </c>
      <c r="J3986">
        <f t="shared" si="376"/>
        <v>1</v>
      </c>
      <c r="K3986">
        <f t="shared" si="377"/>
        <v>0</v>
      </c>
    </row>
    <row r="3987" spans="1:11" x14ac:dyDescent="0.25">
      <c r="A3987" t="s">
        <v>64</v>
      </c>
      <c r="B3987" t="s">
        <v>65</v>
      </c>
      <c r="C3987" t="s">
        <v>53</v>
      </c>
      <c r="D3987" s="6">
        <v>45904</v>
      </c>
      <c r="E3987" t="str">
        <f>VLOOKUP(B3987,'PROCV GERENTES BD'!A:B,2,0)</f>
        <v>ADMINISTRAÇÃO</v>
      </c>
      <c r="F3987" s="4" t="str">
        <f t="shared" si="372"/>
        <v>2025-09</v>
      </c>
      <c r="G3987" s="18">
        <f t="shared" si="373"/>
        <v>36</v>
      </c>
      <c r="H3987" t="str">
        <f t="shared" si="374"/>
        <v>ADMINISTRAÇÃO</v>
      </c>
      <c r="I3987" t="str">
        <f t="shared" si="375"/>
        <v>SOCIAL S/A</v>
      </c>
      <c r="J3987">
        <f t="shared" si="376"/>
        <v>1</v>
      </c>
      <c r="K3987">
        <f t="shared" si="377"/>
        <v>1</v>
      </c>
    </row>
    <row r="3988" spans="1:11" x14ac:dyDescent="0.25">
      <c r="A3988" t="s">
        <v>604</v>
      </c>
      <c r="B3988" t="s">
        <v>605</v>
      </c>
      <c r="C3988" t="s">
        <v>50</v>
      </c>
      <c r="D3988" s="6">
        <v>45904</v>
      </c>
      <c r="E3988" t="str">
        <f>VLOOKUP(B3988,'PROCV GERENTES BD'!A:B,2,0)</f>
        <v>ALISSON DE SOUZA LIMA</v>
      </c>
      <c r="F3988" s="4" t="str">
        <f t="shared" si="372"/>
        <v>2025-09</v>
      </c>
      <c r="G3988" s="18">
        <f t="shared" si="373"/>
        <v>36</v>
      </c>
      <c r="H3988" t="str">
        <f t="shared" si="374"/>
        <v>ALISSON DE SOUZA LIMA</v>
      </c>
      <c r="I3988" t="str">
        <f t="shared" si="375"/>
        <v>3J FUNDICAO INDUSTRIAL LTDA</v>
      </c>
      <c r="J3988">
        <f t="shared" si="376"/>
        <v>0</v>
      </c>
      <c r="K3988">
        <f t="shared" si="377"/>
        <v>1</v>
      </c>
    </row>
    <row r="3989" spans="1:11" x14ac:dyDescent="0.25">
      <c r="A3989" t="s">
        <v>58</v>
      </c>
      <c r="B3989" t="s">
        <v>59</v>
      </c>
      <c r="C3989" t="s">
        <v>50</v>
      </c>
      <c r="D3989" s="6">
        <v>45904</v>
      </c>
      <c r="E3989" t="str">
        <f>VLOOKUP(B3989,'PROCV GERENTES BD'!A:B,2,0)</f>
        <v>ADMINISTRAÇÃO</v>
      </c>
      <c r="F3989" s="4" t="str">
        <f t="shared" si="372"/>
        <v>2025-09</v>
      </c>
      <c r="G3989" s="18">
        <f t="shared" si="373"/>
        <v>36</v>
      </c>
      <c r="H3989" t="str">
        <f t="shared" si="374"/>
        <v>ADMINISTRAÇÃO</v>
      </c>
      <c r="I3989" t="str">
        <f t="shared" si="375"/>
        <v>BIOTECH LOGISTICA LTDA</v>
      </c>
      <c r="J3989">
        <f t="shared" si="376"/>
        <v>0</v>
      </c>
      <c r="K3989">
        <f t="shared" si="377"/>
        <v>1</v>
      </c>
    </row>
    <row r="3990" spans="1:11" x14ac:dyDescent="0.25">
      <c r="A3990" t="s">
        <v>638</v>
      </c>
      <c r="B3990" t="s">
        <v>539</v>
      </c>
      <c r="C3990" t="s">
        <v>66</v>
      </c>
      <c r="D3990" s="6">
        <v>45904</v>
      </c>
      <c r="E3990" t="str">
        <f>VLOOKUP(B3990,'PROCV GERENTES BD'!A:B,2,0)</f>
        <v>JJPH</v>
      </c>
      <c r="F3990" s="4" t="str">
        <f t="shared" si="372"/>
        <v>2025-09</v>
      </c>
      <c r="G3990" s="18">
        <f t="shared" si="373"/>
        <v>36</v>
      </c>
      <c r="H3990" t="str">
        <f t="shared" si="374"/>
        <v>JJPH</v>
      </c>
      <c r="I3990" t="str">
        <f t="shared" si="375"/>
        <v>DIFARMIG LTDA</v>
      </c>
      <c r="J3990">
        <f t="shared" si="376"/>
        <v>1</v>
      </c>
      <c r="K3990">
        <f t="shared" si="377"/>
        <v>0</v>
      </c>
    </row>
    <row r="3991" spans="1:11" x14ac:dyDescent="0.25">
      <c r="A3991" t="s">
        <v>51</v>
      </c>
      <c r="B3991" t="s">
        <v>52</v>
      </c>
      <c r="C3991" t="s">
        <v>50</v>
      </c>
      <c r="D3991" s="6">
        <v>45904</v>
      </c>
      <c r="E3991" t="str">
        <f>VLOOKUP(B3991,'PROCV GERENTES BD'!A:B,2,0)</f>
        <v>RAFAEL PARISE</v>
      </c>
      <c r="F3991" s="4" t="str">
        <f t="shared" si="372"/>
        <v>2025-09</v>
      </c>
      <c r="G3991" s="18">
        <f t="shared" si="373"/>
        <v>36</v>
      </c>
      <c r="H3991" t="str">
        <f t="shared" si="374"/>
        <v>RAFAEL PARISE</v>
      </c>
      <c r="I3991" t="str">
        <f t="shared" si="375"/>
        <v>TDR TRANSPORTES LOGISTICA LTDA</v>
      </c>
      <c r="J3991">
        <f t="shared" si="376"/>
        <v>0</v>
      </c>
      <c r="K3991">
        <f t="shared" si="377"/>
        <v>1</v>
      </c>
    </row>
    <row r="3992" spans="1:11" x14ac:dyDescent="0.25">
      <c r="A3992" t="s">
        <v>623</v>
      </c>
      <c r="B3992" t="s">
        <v>624</v>
      </c>
      <c r="C3992" t="s">
        <v>50</v>
      </c>
      <c r="D3992" s="6">
        <v>45904</v>
      </c>
      <c r="E3992" t="str">
        <f>VLOOKUP(B3992,'PROCV GERENTES BD'!A:B,2,0)</f>
        <v>ALISSON DE SOUZA LIMA</v>
      </c>
      <c r="F3992" s="4" t="str">
        <f t="shared" si="372"/>
        <v>2025-09</v>
      </c>
      <c r="G3992" s="18">
        <f t="shared" si="373"/>
        <v>36</v>
      </c>
      <c r="H3992" t="str">
        <f t="shared" si="374"/>
        <v>ALISSON DE SOUZA LIMA</v>
      </c>
      <c r="I3992" t="str">
        <f t="shared" si="375"/>
        <v>A2 VIDROS INDUSTRIA E COMERCIO LTDA</v>
      </c>
      <c r="J3992">
        <f t="shared" si="376"/>
        <v>0</v>
      </c>
      <c r="K3992">
        <f t="shared" si="377"/>
        <v>1</v>
      </c>
    </row>
    <row r="3993" spans="1:11" x14ac:dyDescent="0.25">
      <c r="A3993" t="s">
        <v>326</v>
      </c>
      <c r="B3993" t="s">
        <v>122</v>
      </c>
      <c r="C3993" t="s">
        <v>66</v>
      </c>
      <c r="D3993" s="6">
        <v>45904</v>
      </c>
      <c r="E3993" t="str">
        <f>VLOOKUP(B3993,'PROCV GERENTES BD'!A:B,2,0)</f>
        <v xml:space="preserve">ROGERIO </v>
      </c>
      <c r="F3993" s="4" t="str">
        <f t="shared" si="372"/>
        <v>2025-09</v>
      </c>
      <c r="G3993" s="18">
        <f t="shared" si="373"/>
        <v>36</v>
      </c>
      <c r="H3993" t="str">
        <f t="shared" si="374"/>
        <v xml:space="preserve">ROGERIO </v>
      </c>
      <c r="I3993" t="str">
        <f t="shared" si="375"/>
        <v>BIBE PRODUTOS INFANTIS LTDA</v>
      </c>
      <c r="J3993">
        <f t="shared" si="376"/>
        <v>1</v>
      </c>
      <c r="K3993">
        <f t="shared" si="377"/>
        <v>0</v>
      </c>
    </row>
    <row r="3994" spans="1:11" x14ac:dyDescent="0.25">
      <c r="A3994" t="s">
        <v>522</v>
      </c>
      <c r="B3994" t="s">
        <v>290</v>
      </c>
      <c r="C3994" t="s">
        <v>66</v>
      </c>
      <c r="D3994" s="6">
        <v>45905</v>
      </c>
      <c r="E3994" t="str">
        <f>VLOOKUP(B3994,'PROCV GERENTES BD'!A:B,2,0)</f>
        <v>CAIO</v>
      </c>
      <c r="F3994" s="4" t="str">
        <f t="shared" si="372"/>
        <v>2025-09</v>
      </c>
      <c r="G3994" s="18">
        <f t="shared" si="373"/>
        <v>36</v>
      </c>
      <c r="H3994" t="str">
        <f t="shared" si="374"/>
        <v>CAIO</v>
      </c>
      <c r="I3994" t="str">
        <f t="shared" si="375"/>
        <v>C V T O IND E COM LTDA EPP</v>
      </c>
      <c r="J3994">
        <f t="shared" si="376"/>
        <v>1</v>
      </c>
      <c r="K3994">
        <f t="shared" si="377"/>
        <v>0</v>
      </c>
    </row>
    <row r="3995" spans="1:11" x14ac:dyDescent="0.25">
      <c r="A3995" t="s">
        <v>508</v>
      </c>
      <c r="B3995" t="s">
        <v>271</v>
      </c>
      <c r="C3995" t="s">
        <v>50</v>
      </c>
      <c r="D3995" s="6">
        <v>45905</v>
      </c>
      <c r="E3995" t="str">
        <f>VLOOKUP(B3995,'PROCV GERENTES BD'!A:B,2,0)</f>
        <v>PRISCILA METZ</v>
      </c>
      <c r="F3995" s="4" t="str">
        <f t="shared" si="372"/>
        <v>2025-09</v>
      </c>
      <c r="G3995" s="18">
        <f t="shared" si="373"/>
        <v>36</v>
      </c>
      <c r="H3995" t="str">
        <f t="shared" si="374"/>
        <v>PRISCILA METZ</v>
      </c>
      <c r="I3995" t="str">
        <f t="shared" si="375"/>
        <v>TUBOLARES VITORIA INDUSTRIA E COMERCIO LTDA ME</v>
      </c>
      <c r="J3995">
        <f t="shared" si="376"/>
        <v>0</v>
      </c>
      <c r="K3995">
        <f t="shared" si="377"/>
        <v>1</v>
      </c>
    </row>
    <row r="3996" spans="1:11" x14ac:dyDescent="0.25">
      <c r="A3996" t="s">
        <v>488</v>
      </c>
      <c r="B3996" t="s">
        <v>247</v>
      </c>
      <c r="C3996" t="s">
        <v>50</v>
      </c>
      <c r="D3996" s="6">
        <v>45905</v>
      </c>
      <c r="E3996" t="str">
        <f>VLOOKUP(B3996,'PROCV GERENTES BD'!A:B,2,0)</f>
        <v>CELIO PIMENTA</v>
      </c>
      <c r="F3996" s="4" t="str">
        <f t="shared" si="372"/>
        <v>2025-09</v>
      </c>
      <c r="G3996" s="18">
        <f t="shared" si="373"/>
        <v>36</v>
      </c>
      <c r="H3996" t="str">
        <f t="shared" si="374"/>
        <v>CELIO PIMENTA</v>
      </c>
      <c r="I3996" t="str">
        <f t="shared" si="375"/>
        <v>AZ HIDRAULICA USINAGEM LTDA EPP</v>
      </c>
      <c r="J3996">
        <f t="shared" si="376"/>
        <v>0</v>
      </c>
      <c r="K3996">
        <f t="shared" si="377"/>
        <v>1</v>
      </c>
    </row>
    <row r="3997" spans="1:11" x14ac:dyDescent="0.25">
      <c r="A3997" t="s">
        <v>444</v>
      </c>
      <c r="B3997" t="s">
        <v>195</v>
      </c>
      <c r="C3997" t="s">
        <v>66</v>
      </c>
      <c r="D3997" s="6">
        <v>45905</v>
      </c>
      <c r="E3997" t="str">
        <f>VLOOKUP(B3997,'PROCV GERENTES BD'!A:B,2,0)</f>
        <v>RAFAEL PARISE</v>
      </c>
      <c r="F3997" s="4" t="str">
        <f t="shared" si="372"/>
        <v>2025-09</v>
      </c>
      <c r="G3997" s="18">
        <f t="shared" si="373"/>
        <v>36</v>
      </c>
      <c r="H3997" t="str">
        <f t="shared" si="374"/>
        <v>RAFAEL PARISE</v>
      </c>
      <c r="I3997" t="str">
        <f t="shared" si="375"/>
        <v>GEDIBOR RUBBER POLYURETHANE LTDA EPP</v>
      </c>
      <c r="J3997">
        <f t="shared" si="376"/>
        <v>1</v>
      </c>
      <c r="K3997">
        <f t="shared" si="377"/>
        <v>0</v>
      </c>
    </row>
    <row r="3998" spans="1:11" x14ac:dyDescent="0.25">
      <c r="A3998" t="s">
        <v>635</v>
      </c>
      <c r="B3998" t="s">
        <v>636</v>
      </c>
      <c r="C3998" t="s">
        <v>66</v>
      </c>
      <c r="D3998" s="6">
        <v>45905</v>
      </c>
      <c r="E3998" t="str">
        <f>VLOOKUP(B3998,'PROCV GERENTES BD'!A:B,2,0)</f>
        <v>TIAGO NEVES</v>
      </c>
      <c r="F3998" s="4" t="str">
        <f t="shared" si="372"/>
        <v>2025-09</v>
      </c>
      <c r="G3998" s="18">
        <f t="shared" si="373"/>
        <v>36</v>
      </c>
      <c r="H3998" t="str">
        <f t="shared" si="374"/>
        <v>TIAGO NEVES</v>
      </c>
      <c r="I3998" t="str">
        <f t="shared" si="375"/>
        <v>MG GLASS VIDROS PARA TRATORES E CAMINHOES LTDA ME</v>
      </c>
      <c r="J3998">
        <f t="shared" si="376"/>
        <v>1</v>
      </c>
      <c r="K3998">
        <f t="shared" si="377"/>
        <v>0</v>
      </c>
    </row>
    <row r="3999" spans="1:11" x14ac:dyDescent="0.25">
      <c r="A3999" t="s">
        <v>518</v>
      </c>
      <c r="B3999" t="s">
        <v>282</v>
      </c>
      <c r="C3999" t="s">
        <v>50</v>
      </c>
      <c r="D3999" s="6">
        <v>45905</v>
      </c>
      <c r="E3999" t="str">
        <f>VLOOKUP(B3999,'PROCV GERENTES BD'!A:B,2,0)</f>
        <v>ANTECIPA</v>
      </c>
      <c r="F3999" s="4" t="str">
        <f t="shared" si="372"/>
        <v>2025-09</v>
      </c>
      <c r="G3999" s="18">
        <f t="shared" si="373"/>
        <v>36</v>
      </c>
      <c r="H3999" t="str">
        <f t="shared" si="374"/>
        <v>ANTECIPA</v>
      </c>
      <c r="I3999" t="str">
        <f t="shared" si="375"/>
        <v>CENTRAL DE SUPRIMENTOS INDUSTRIAIS LTDA EPP</v>
      </c>
      <c r="J3999">
        <f t="shared" si="376"/>
        <v>0</v>
      </c>
      <c r="K3999">
        <f t="shared" si="377"/>
        <v>1</v>
      </c>
    </row>
    <row r="4000" spans="1:11" x14ac:dyDescent="0.25">
      <c r="A4000" t="s">
        <v>515</v>
      </c>
      <c r="B4000" t="s">
        <v>277</v>
      </c>
      <c r="C4000" t="s">
        <v>66</v>
      </c>
      <c r="D4000" s="6">
        <v>45905</v>
      </c>
      <c r="E4000" t="str">
        <f>VLOOKUP(B4000,'PROCV GERENTES BD'!A:B,2,0)</f>
        <v>ALISSON DE SOUZA LIMA</v>
      </c>
      <c r="F4000" s="4" t="str">
        <f t="shared" si="372"/>
        <v>2025-09</v>
      </c>
      <c r="G4000" s="18">
        <f t="shared" si="373"/>
        <v>36</v>
      </c>
      <c r="H4000" t="str">
        <f t="shared" si="374"/>
        <v>ALISSON DE SOUZA LIMA</v>
      </c>
      <c r="I4000" t="str">
        <f t="shared" si="375"/>
        <v>COMERCIAL GTS INFORMATICA LTDA EPP</v>
      </c>
      <c r="J4000">
        <f t="shared" si="376"/>
        <v>1</v>
      </c>
      <c r="K4000">
        <f t="shared" si="377"/>
        <v>0</v>
      </c>
    </row>
    <row r="4001" spans="1:11" x14ac:dyDescent="0.25">
      <c r="A4001" t="s">
        <v>625</v>
      </c>
      <c r="B4001" t="s">
        <v>537</v>
      </c>
      <c r="C4001" t="s">
        <v>50</v>
      </c>
      <c r="D4001" s="6">
        <v>45905</v>
      </c>
      <c r="E4001" t="str">
        <f>VLOOKUP(B4001,'PROCV GERENTES BD'!A:B,2,0)</f>
        <v>WASHINGTON</v>
      </c>
      <c r="F4001" s="4" t="str">
        <f t="shared" si="372"/>
        <v>2025-09</v>
      </c>
      <c r="G4001" s="18">
        <f t="shared" si="373"/>
        <v>36</v>
      </c>
      <c r="H4001" t="str">
        <f t="shared" si="374"/>
        <v>WASHINGTON</v>
      </c>
      <c r="I4001" t="str">
        <f t="shared" si="375"/>
        <v>COMERCIAL SEGURANCA LTDA ME</v>
      </c>
      <c r="J4001">
        <f t="shared" si="376"/>
        <v>0</v>
      </c>
      <c r="K4001">
        <f t="shared" si="377"/>
        <v>1</v>
      </c>
    </row>
    <row r="4002" spans="1:11" x14ac:dyDescent="0.25">
      <c r="A4002" t="s">
        <v>448</v>
      </c>
      <c r="B4002" t="s">
        <v>201</v>
      </c>
      <c r="C4002" t="s">
        <v>66</v>
      </c>
      <c r="D4002" s="6">
        <v>45905</v>
      </c>
      <c r="E4002" t="str">
        <f>VLOOKUP(B4002,'PROCV GERENTES BD'!A:B,2,0)</f>
        <v>PRISCILA METZ</v>
      </c>
      <c r="F4002" s="4" t="str">
        <f t="shared" si="372"/>
        <v>2025-09</v>
      </c>
      <c r="G4002" s="18">
        <f t="shared" si="373"/>
        <v>36</v>
      </c>
      <c r="H4002" t="str">
        <f t="shared" si="374"/>
        <v>PRISCILA METZ</v>
      </c>
      <c r="I4002" t="str">
        <f t="shared" si="375"/>
        <v>M TRATORES LTDA EPP</v>
      </c>
      <c r="J4002">
        <f t="shared" si="376"/>
        <v>1</v>
      </c>
      <c r="K4002">
        <f t="shared" si="377"/>
        <v>0</v>
      </c>
    </row>
    <row r="4003" spans="1:11" x14ac:dyDescent="0.25">
      <c r="A4003" t="s">
        <v>62</v>
      </c>
      <c r="B4003" t="s">
        <v>63</v>
      </c>
      <c r="C4003" t="s">
        <v>66</v>
      </c>
      <c r="D4003" s="6">
        <v>45905</v>
      </c>
      <c r="E4003" t="str">
        <f>VLOOKUP(B4003,'PROCV GERENTES BD'!A:B,2,0)</f>
        <v>PROSPECTAR</v>
      </c>
      <c r="F4003" s="4" t="str">
        <f t="shared" si="372"/>
        <v>2025-09</v>
      </c>
      <c r="G4003" s="18">
        <f t="shared" si="373"/>
        <v>36</v>
      </c>
      <c r="H4003" t="str">
        <f t="shared" si="374"/>
        <v>PROSPECTAR</v>
      </c>
      <c r="I4003" t="str">
        <f t="shared" si="375"/>
        <v>MAPP COM IMPORTACAO EXPORTACAO IND PRODUTOS ALIMEN</v>
      </c>
      <c r="J4003">
        <f t="shared" si="376"/>
        <v>1</v>
      </c>
      <c r="K4003">
        <f t="shared" si="377"/>
        <v>0</v>
      </c>
    </row>
    <row r="4004" spans="1:11" x14ac:dyDescent="0.25">
      <c r="A4004" t="s">
        <v>499</v>
      </c>
      <c r="B4004" t="s">
        <v>258</v>
      </c>
      <c r="C4004" t="s">
        <v>50</v>
      </c>
      <c r="D4004" s="6">
        <v>45905</v>
      </c>
      <c r="E4004" t="str">
        <f>VLOOKUP(B4004,'PROCV GERENTES BD'!A:B,2,0)</f>
        <v>PRISCILA METZ</v>
      </c>
      <c r="F4004" s="4" t="str">
        <f t="shared" si="372"/>
        <v>2025-09</v>
      </c>
      <c r="G4004" s="18">
        <f t="shared" si="373"/>
        <v>36</v>
      </c>
      <c r="H4004" t="str">
        <f t="shared" si="374"/>
        <v>PRISCILA METZ</v>
      </c>
      <c r="I4004" t="str">
        <f t="shared" si="375"/>
        <v>PLATINUM INDUSTRIA DE CONFECCOES LTDA</v>
      </c>
      <c r="J4004">
        <f t="shared" si="376"/>
        <v>0</v>
      </c>
      <c r="K4004">
        <f t="shared" si="377"/>
        <v>1</v>
      </c>
    </row>
    <row r="4005" spans="1:11" x14ac:dyDescent="0.25">
      <c r="A4005" t="s">
        <v>604</v>
      </c>
      <c r="B4005" t="s">
        <v>605</v>
      </c>
      <c r="C4005" t="s">
        <v>50</v>
      </c>
      <c r="D4005" s="6">
        <v>45905</v>
      </c>
      <c r="E4005" t="str">
        <f>VLOOKUP(B4005,'PROCV GERENTES BD'!A:B,2,0)</f>
        <v>ALISSON DE SOUZA LIMA</v>
      </c>
      <c r="F4005" s="4" t="str">
        <f t="shared" si="372"/>
        <v>2025-09</v>
      </c>
      <c r="G4005" s="18">
        <f t="shared" si="373"/>
        <v>36</v>
      </c>
      <c r="H4005" t="str">
        <f t="shared" si="374"/>
        <v>ALISSON DE SOUZA LIMA</v>
      </c>
      <c r="I4005" t="str">
        <f t="shared" si="375"/>
        <v>3J FUNDICAO INDUSTRIAL LTDA</v>
      </c>
      <c r="J4005">
        <f t="shared" si="376"/>
        <v>0</v>
      </c>
      <c r="K4005">
        <f t="shared" si="377"/>
        <v>1</v>
      </c>
    </row>
    <row r="4006" spans="1:11" x14ac:dyDescent="0.25">
      <c r="A4006" t="s">
        <v>631</v>
      </c>
      <c r="B4006" t="s">
        <v>561</v>
      </c>
      <c r="C4006" t="s">
        <v>66</v>
      </c>
      <c r="D4006" s="6">
        <v>45905</v>
      </c>
      <c r="E4006" t="str">
        <f>VLOOKUP(B4006,'PROCV GERENTES BD'!A:B,2,0)</f>
        <v>VALERIA</v>
      </c>
      <c r="F4006" s="4" t="str">
        <f t="shared" si="372"/>
        <v>2025-09</v>
      </c>
      <c r="G4006" s="18">
        <f t="shared" si="373"/>
        <v>36</v>
      </c>
      <c r="H4006" t="str">
        <f t="shared" si="374"/>
        <v>VALERIA</v>
      </c>
      <c r="I4006" t="str">
        <f t="shared" si="375"/>
        <v>TRANSPORTADORA PACHECO LTDA EPP</v>
      </c>
      <c r="J4006">
        <f t="shared" si="376"/>
        <v>1</v>
      </c>
      <c r="K4006">
        <f t="shared" si="377"/>
        <v>0</v>
      </c>
    </row>
    <row r="4007" spans="1:11" x14ac:dyDescent="0.25">
      <c r="A4007" t="s">
        <v>309</v>
      </c>
      <c r="B4007" t="s">
        <v>291</v>
      </c>
      <c r="C4007" t="s">
        <v>66</v>
      </c>
      <c r="D4007" s="6">
        <v>45905</v>
      </c>
      <c r="E4007" t="str">
        <f>VLOOKUP(B4007,'PROCV GERENTES BD'!A:B,2,0)</f>
        <v>ANTECIPA</v>
      </c>
      <c r="F4007" s="4" t="str">
        <f t="shared" si="372"/>
        <v>2025-09</v>
      </c>
      <c r="G4007" s="18">
        <f t="shared" si="373"/>
        <v>36</v>
      </c>
      <c r="H4007" t="str">
        <f t="shared" si="374"/>
        <v>ANTECIPA</v>
      </c>
      <c r="I4007" t="str">
        <f t="shared" si="375"/>
        <v>CENTRAL DO M R O COMERCIAL IMPORTACOES E SERVICOS</v>
      </c>
      <c r="J4007">
        <f t="shared" si="376"/>
        <v>1</v>
      </c>
      <c r="K4007">
        <f t="shared" si="377"/>
        <v>0</v>
      </c>
    </row>
    <row r="4008" spans="1:11" x14ac:dyDescent="0.25">
      <c r="A4008" t="s">
        <v>58</v>
      </c>
      <c r="B4008" t="s">
        <v>59</v>
      </c>
      <c r="C4008" t="s">
        <v>50</v>
      </c>
      <c r="D4008" s="6">
        <v>45905</v>
      </c>
      <c r="E4008" t="str">
        <f>VLOOKUP(B4008,'PROCV GERENTES BD'!A:B,2,0)</f>
        <v>ADMINISTRAÇÃO</v>
      </c>
      <c r="F4008" s="4" t="str">
        <f t="shared" si="372"/>
        <v>2025-09</v>
      </c>
      <c r="G4008" s="18">
        <f t="shared" si="373"/>
        <v>36</v>
      </c>
      <c r="H4008" t="str">
        <f t="shared" si="374"/>
        <v>ADMINISTRAÇÃO</v>
      </c>
      <c r="I4008" t="str">
        <f t="shared" si="375"/>
        <v>BIOTECH LOGISTICA LTDA</v>
      </c>
      <c r="J4008">
        <f t="shared" si="376"/>
        <v>0</v>
      </c>
      <c r="K4008">
        <f t="shared" si="377"/>
        <v>1</v>
      </c>
    </row>
    <row r="4009" spans="1:11" x14ac:dyDescent="0.25">
      <c r="A4009" t="s">
        <v>319</v>
      </c>
      <c r="B4009" t="s">
        <v>649</v>
      </c>
      <c r="C4009" t="s">
        <v>50</v>
      </c>
      <c r="D4009" s="6">
        <v>45905</v>
      </c>
      <c r="E4009" t="str">
        <f>VLOOKUP(B4009,'PROCV GERENTES BD'!A:B,2,0)</f>
        <v>CELIO PIMENTA</v>
      </c>
      <c r="F4009" s="4" t="str">
        <f t="shared" si="372"/>
        <v>2025-09</v>
      </c>
      <c r="G4009" s="18">
        <f t="shared" si="373"/>
        <v>36</v>
      </c>
      <c r="H4009" t="str">
        <f t="shared" si="374"/>
        <v>CELIO PIMENTA</v>
      </c>
      <c r="I4009" t="str">
        <f t="shared" si="375"/>
        <v>IMPORTEXTIL ASSESSORIA EMPRESARIAL LTDA</v>
      </c>
      <c r="J4009">
        <f t="shared" si="376"/>
        <v>0</v>
      </c>
      <c r="K4009">
        <f t="shared" si="377"/>
        <v>1</v>
      </c>
    </row>
    <row r="4010" spans="1:11" x14ac:dyDescent="0.25">
      <c r="A4010" t="s">
        <v>56</v>
      </c>
      <c r="B4010" t="s">
        <v>57</v>
      </c>
      <c r="C4010" t="s">
        <v>66</v>
      </c>
      <c r="D4010" s="6">
        <v>45905</v>
      </c>
      <c r="E4010" t="str">
        <f>VLOOKUP(B4010,'PROCV GERENTES BD'!A:B,2,0)</f>
        <v xml:space="preserve">ROGERIO </v>
      </c>
      <c r="F4010" s="4" t="str">
        <f t="shared" si="372"/>
        <v>2025-09</v>
      </c>
      <c r="G4010" s="18">
        <f t="shared" si="373"/>
        <v>36</v>
      </c>
      <c r="H4010" t="str">
        <f t="shared" si="374"/>
        <v xml:space="preserve">ROGERIO </v>
      </c>
      <c r="I4010" t="str">
        <f t="shared" si="375"/>
        <v>RODOVIEIRA TRANSPORTE LTDA</v>
      </c>
      <c r="J4010">
        <f t="shared" si="376"/>
        <v>1</v>
      </c>
      <c r="K4010">
        <f t="shared" si="377"/>
        <v>0</v>
      </c>
    </row>
    <row r="4011" spans="1:11" x14ac:dyDescent="0.25">
      <c r="A4011" t="s">
        <v>533</v>
      </c>
      <c r="B4011" t="s">
        <v>301</v>
      </c>
      <c r="C4011" t="s">
        <v>66</v>
      </c>
      <c r="D4011" s="6">
        <v>45905</v>
      </c>
      <c r="E4011" t="str">
        <f>VLOOKUP(B4011,'PROCV GERENTES BD'!A:B,2,0)</f>
        <v xml:space="preserve">MARCUS VINICIUS </v>
      </c>
      <c r="F4011" s="4" t="str">
        <f t="shared" si="372"/>
        <v>2025-09</v>
      </c>
      <c r="G4011" s="18">
        <f t="shared" si="373"/>
        <v>36</v>
      </c>
      <c r="H4011" t="str">
        <f t="shared" si="374"/>
        <v xml:space="preserve">MARCUS VINICIUS </v>
      </c>
      <c r="I4011" t="str">
        <f t="shared" si="375"/>
        <v>LINDINALDO ANISIO DA SILVA ME</v>
      </c>
      <c r="J4011">
        <f t="shared" si="376"/>
        <v>1</v>
      </c>
      <c r="K4011">
        <f t="shared" si="377"/>
        <v>0</v>
      </c>
    </row>
    <row r="4012" spans="1:11" x14ac:dyDescent="0.25">
      <c r="A4012" t="s">
        <v>387</v>
      </c>
      <c r="B4012" t="s">
        <v>134</v>
      </c>
      <c r="C4012" t="s">
        <v>50</v>
      </c>
      <c r="D4012" s="6">
        <v>45905</v>
      </c>
      <c r="E4012" t="str">
        <f>VLOOKUP(B4012,'PROCV GERENTES BD'!A:B,2,0)</f>
        <v>RAFAEL PARISE</v>
      </c>
      <c r="F4012" s="4" t="str">
        <f t="shared" si="372"/>
        <v>2025-09</v>
      </c>
      <c r="G4012" s="18">
        <f t="shared" si="373"/>
        <v>36</v>
      </c>
      <c r="H4012" t="str">
        <f t="shared" si="374"/>
        <v>RAFAEL PARISE</v>
      </c>
      <c r="I4012" t="str">
        <f t="shared" si="375"/>
        <v>MAIS DISTRIBUIDORA LTDA</v>
      </c>
      <c r="J4012">
        <f t="shared" si="376"/>
        <v>0</v>
      </c>
      <c r="K4012">
        <f t="shared" si="377"/>
        <v>1</v>
      </c>
    </row>
    <row r="4013" spans="1:11" x14ac:dyDescent="0.25">
      <c r="A4013" t="s">
        <v>629</v>
      </c>
      <c r="B4013" t="s">
        <v>550</v>
      </c>
      <c r="C4013" t="s">
        <v>50</v>
      </c>
      <c r="D4013" s="6">
        <v>45905</v>
      </c>
      <c r="E4013" t="str">
        <f>VLOOKUP(B4013,'PROCV GERENTES BD'!A:B,2,0)</f>
        <v>CREDTEM</v>
      </c>
      <c r="F4013" s="4" t="str">
        <f t="shared" si="372"/>
        <v>2025-09</v>
      </c>
      <c r="G4013" s="18">
        <f t="shared" si="373"/>
        <v>36</v>
      </c>
      <c r="H4013" t="str">
        <f t="shared" si="374"/>
        <v>CREDTEM</v>
      </c>
      <c r="I4013" t="str">
        <f t="shared" si="375"/>
        <v>W M DE CASTRO NETO PRODUTOS FARMACEUTICOS EPP</v>
      </c>
      <c r="J4013">
        <f t="shared" si="376"/>
        <v>0</v>
      </c>
      <c r="K4013">
        <f t="shared" si="377"/>
        <v>1</v>
      </c>
    </row>
    <row r="4014" spans="1:11" x14ac:dyDescent="0.25">
      <c r="A4014" t="s">
        <v>324</v>
      </c>
      <c r="B4014" t="s">
        <v>119</v>
      </c>
      <c r="C4014" t="s">
        <v>50</v>
      </c>
      <c r="D4014" s="6">
        <v>45905</v>
      </c>
      <c r="E4014" t="str">
        <f>VLOOKUP(B4014,'PROCV GERENTES BD'!A:B,2,0)</f>
        <v>PROSPECTAR</v>
      </c>
      <c r="F4014" s="4" t="str">
        <f t="shared" si="372"/>
        <v>2025-09</v>
      </c>
      <c r="G4014" s="18">
        <f t="shared" si="373"/>
        <v>36</v>
      </c>
      <c r="H4014" t="str">
        <f t="shared" si="374"/>
        <v>PROSPECTAR</v>
      </c>
      <c r="I4014" t="str">
        <f t="shared" si="375"/>
        <v>TRANSHENRY TRANSPORTES LTDA</v>
      </c>
      <c r="J4014">
        <f t="shared" si="376"/>
        <v>0</v>
      </c>
      <c r="K4014">
        <f t="shared" si="377"/>
        <v>1</v>
      </c>
    </row>
    <row r="4015" spans="1:11" x14ac:dyDescent="0.25">
      <c r="A4015" t="s">
        <v>529</v>
      </c>
      <c r="B4015" t="s">
        <v>297</v>
      </c>
      <c r="C4015" t="s">
        <v>66</v>
      </c>
      <c r="D4015" s="6">
        <v>45905</v>
      </c>
      <c r="E4015" t="str">
        <f>VLOOKUP(B4015,'PROCV GERENTES BD'!A:B,2,0)</f>
        <v>ANDRE CUNHA</v>
      </c>
      <c r="F4015" s="4" t="str">
        <f t="shared" si="372"/>
        <v>2025-09</v>
      </c>
      <c r="G4015" s="18">
        <f t="shared" si="373"/>
        <v>36</v>
      </c>
      <c r="H4015" t="str">
        <f t="shared" si="374"/>
        <v>ANDRE CUNHA</v>
      </c>
      <c r="I4015" t="str">
        <f t="shared" si="375"/>
        <v>REVPACK TECNOLOGIA E COMERCIO DE COMPONENTES PLAST</v>
      </c>
      <c r="J4015">
        <f t="shared" si="376"/>
        <v>1</v>
      </c>
      <c r="K4015">
        <f t="shared" si="377"/>
        <v>0</v>
      </c>
    </row>
    <row r="4016" spans="1:11" x14ac:dyDescent="0.25">
      <c r="A4016" t="s">
        <v>440</v>
      </c>
      <c r="B4016" t="s">
        <v>191</v>
      </c>
      <c r="C4016" t="s">
        <v>66</v>
      </c>
      <c r="D4016" s="6">
        <v>45905</v>
      </c>
      <c r="E4016" t="str">
        <f>VLOOKUP(B4016,'PROCV GERENTES BD'!A:B,2,0)</f>
        <v>PROSPECTAR</v>
      </c>
      <c r="F4016" s="4" t="str">
        <f t="shared" si="372"/>
        <v>2025-09</v>
      </c>
      <c r="G4016" s="18">
        <f t="shared" si="373"/>
        <v>36</v>
      </c>
      <c r="H4016" t="str">
        <f t="shared" si="374"/>
        <v>PROSPECTAR</v>
      </c>
      <c r="I4016" t="str">
        <f t="shared" si="375"/>
        <v>SAFRA OURO AGRONEGOCIOS LTDA EPP</v>
      </c>
      <c r="J4016">
        <f t="shared" si="376"/>
        <v>1</v>
      </c>
      <c r="K4016">
        <f t="shared" si="377"/>
        <v>0</v>
      </c>
    </row>
    <row r="4017" spans="1:11" x14ac:dyDescent="0.25">
      <c r="A4017" t="s">
        <v>460</v>
      </c>
      <c r="B4017" t="s">
        <v>217</v>
      </c>
      <c r="C4017" t="s">
        <v>50</v>
      </c>
      <c r="D4017" s="6">
        <v>45905</v>
      </c>
      <c r="E4017" t="str">
        <f>VLOOKUP(B4017,'PROCV GERENTES BD'!A:B,2,0)</f>
        <v>CELIO PIMENTA</v>
      </c>
      <c r="F4017" s="4" t="str">
        <f t="shared" si="372"/>
        <v>2025-09</v>
      </c>
      <c r="G4017" s="18">
        <f t="shared" si="373"/>
        <v>36</v>
      </c>
      <c r="H4017" t="str">
        <f t="shared" si="374"/>
        <v>CELIO PIMENTA</v>
      </c>
      <c r="I4017" t="str">
        <f t="shared" si="375"/>
        <v>MINAS CLEAN DISTRIBUIDORA DE PRODUTOS PARA LIMPEZA</v>
      </c>
      <c r="J4017">
        <f t="shared" si="376"/>
        <v>0</v>
      </c>
      <c r="K4017">
        <f t="shared" si="377"/>
        <v>1</v>
      </c>
    </row>
    <row r="4018" spans="1:11" x14ac:dyDescent="0.25">
      <c r="A4018" t="s">
        <v>311</v>
      </c>
      <c r="B4018" t="s">
        <v>81</v>
      </c>
      <c r="C4018" t="s">
        <v>50</v>
      </c>
      <c r="D4018" s="6">
        <v>45906</v>
      </c>
      <c r="E4018" t="str">
        <f>VLOOKUP(B4018,'PROCV GERENTES BD'!A:B,2,0)</f>
        <v>CELIO PIMENTA</v>
      </c>
      <c r="F4018" s="4" t="str">
        <f t="shared" si="372"/>
        <v>2025-09</v>
      </c>
      <c r="G4018" s="18">
        <f t="shared" si="373"/>
        <v>36</v>
      </c>
      <c r="H4018" t="str">
        <f t="shared" si="374"/>
        <v>CELIO PIMENTA</v>
      </c>
      <c r="I4018" t="str">
        <f t="shared" si="375"/>
        <v>MBIOLOG DIAGNOSTICOS LTDA</v>
      </c>
      <c r="J4018">
        <f t="shared" si="376"/>
        <v>0</v>
      </c>
      <c r="K4018">
        <f t="shared" si="377"/>
        <v>1</v>
      </c>
    </row>
    <row r="4019" spans="1:11" x14ac:dyDescent="0.25">
      <c r="A4019" t="s">
        <v>630</v>
      </c>
      <c r="B4019" t="s">
        <v>559</v>
      </c>
      <c r="C4019" t="s">
        <v>66</v>
      </c>
      <c r="D4019" s="6">
        <v>45906</v>
      </c>
      <c r="E4019" t="str">
        <f>VLOOKUP(B4019,'PROCV GERENTES BD'!A:B,2,0)</f>
        <v>ALISSON DE SOUZA LIMA</v>
      </c>
      <c r="F4019" s="4" t="str">
        <f t="shared" si="372"/>
        <v>2025-09</v>
      </c>
      <c r="G4019" s="18">
        <f t="shared" si="373"/>
        <v>36</v>
      </c>
      <c r="H4019" t="str">
        <f t="shared" si="374"/>
        <v>ALISSON DE SOUZA LIMA</v>
      </c>
      <c r="I4019" t="str">
        <f t="shared" si="375"/>
        <v>JRG SOLUCOES INDUSTRIAIS LTDA</v>
      </c>
      <c r="J4019">
        <f t="shared" si="376"/>
        <v>1</v>
      </c>
      <c r="K4019">
        <f t="shared" si="377"/>
        <v>0</v>
      </c>
    </row>
    <row r="4020" spans="1:11" x14ac:dyDescent="0.25">
      <c r="A4020" t="s">
        <v>505</v>
      </c>
      <c r="B4020" t="s">
        <v>267</v>
      </c>
      <c r="C4020" t="s">
        <v>50</v>
      </c>
      <c r="D4020" s="6">
        <v>45906</v>
      </c>
      <c r="E4020" t="str">
        <f>VLOOKUP(B4020,'PROCV GERENTES BD'!A:B,2,0)</f>
        <v>PRISCILA METZ</v>
      </c>
      <c r="F4020" s="4" t="str">
        <f t="shared" si="372"/>
        <v>2025-09</v>
      </c>
      <c r="G4020" s="18">
        <f t="shared" si="373"/>
        <v>36</v>
      </c>
      <c r="H4020" t="str">
        <f t="shared" si="374"/>
        <v>PRISCILA METZ</v>
      </c>
      <c r="I4020" t="str">
        <f t="shared" si="375"/>
        <v>REAL DISTRIBUIDORA DE PRODUTOS PARA MARMORARIA LTD</v>
      </c>
      <c r="J4020">
        <f t="shared" si="376"/>
        <v>0</v>
      </c>
      <c r="K4020">
        <f t="shared" si="377"/>
        <v>1</v>
      </c>
    </row>
    <row r="4021" spans="1:11" x14ac:dyDescent="0.25">
      <c r="A4021" t="s">
        <v>625</v>
      </c>
      <c r="B4021" t="s">
        <v>537</v>
      </c>
      <c r="C4021" t="s">
        <v>50</v>
      </c>
      <c r="D4021" s="6">
        <v>45906</v>
      </c>
      <c r="E4021" t="str">
        <f>VLOOKUP(B4021,'PROCV GERENTES BD'!A:B,2,0)</f>
        <v>WASHINGTON</v>
      </c>
      <c r="F4021" s="4" t="str">
        <f t="shared" si="372"/>
        <v>2025-09</v>
      </c>
      <c r="G4021" s="18">
        <f t="shared" si="373"/>
        <v>36</v>
      </c>
      <c r="H4021" t="str">
        <f t="shared" si="374"/>
        <v>WASHINGTON</v>
      </c>
      <c r="I4021" t="str">
        <f t="shared" si="375"/>
        <v>COMERCIAL SEGURANCA LTDA ME</v>
      </c>
      <c r="J4021">
        <f t="shared" si="376"/>
        <v>0</v>
      </c>
      <c r="K4021">
        <f t="shared" si="377"/>
        <v>1</v>
      </c>
    </row>
    <row r="4022" spans="1:11" x14ac:dyDescent="0.25">
      <c r="A4022" t="s">
        <v>64</v>
      </c>
      <c r="B4022" t="s">
        <v>65</v>
      </c>
      <c r="C4022" t="s">
        <v>50</v>
      </c>
      <c r="D4022" s="6">
        <v>45906</v>
      </c>
      <c r="E4022" t="str">
        <f>VLOOKUP(B4022,'PROCV GERENTES BD'!A:B,2,0)</f>
        <v>ADMINISTRAÇÃO</v>
      </c>
      <c r="F4022" s="4" t="str">
        <f t="shared" si="372"/>
        <v>2025-09</v>
      </c>
      <c r="G4022" s="18">
        <f t="shared" si="373"/>
        <v>36</v>
      </c>
      <c r="H4022" t="str">
        <f t="shared" si="374"/>
        <v>ADMINISTRAÇÃO</v>
      </c>
      <c r="I4022" t="str">
        <f t="shared" si="375"/>
        <v>SOCIAL S/A</v>
      </c>
      <c r="J4022">
        <f t="shared" si="376"/>
        <v>0</v>
      </c>
      <c r="K4022">
        <f t="shared" si="377"/>
        <v>1</v>
      </c>
    </row>
    <row r="4023" spans="1:11" x14ac:dyDescent="0.25">
      <c r="A4023" t="s">
        <v>604</v>
      </c>
      <c r="B4023" t="s">
        <v>605</v>
      </c>
      <c r="C4023" t="s">
        <v>50</v>
      </c>
      <c r="D4023" s="6">
        <v>45906</v>
      </c>
      <c r="E4023" t="str">
        <f>VLOOKUP(B4023,'PROCV GERENTES BD'!A:B,2,0)</f>
        <v>ALISSON DE SOUZA LIMA</v>
      </c>
      <c r="F4023" s="4" t="str">
        <f t="shared" si="372"/>
        <v>2025-09</v>
      </c>
      <c r="G4023" s="18">
        <f t="shared" si="373"/>
        <v>36</v>
      </c>
      <c r="H4023" t="str">
        <f t="shared" si="374"/>
        <v>ALISSON DE SOUZA LIMA</v>
      </c>
      <c r="I4023" t="str">
        <f t="shared" si="375"/>
        <v>3J FUNDICAO INDUSTRIAL LTDA</v>
      </c>
      <c r="J4023">
        <f t="shared" si="376"/>
        <v>0</v>
      </c>
      <c r="K4023">
        <f t="shared" si="377"/>
        <v>1</v>
      </c>
    </row>
    <row r="4024" spans="1:11" x14ac:dyDescent="0.25">
      <c r="A4024" t="s">
        <v>632</v>
      </c>
      <c r="B4024" t="s">
        <v>633</v>
      </c>
      <c r="C4024" t="s">
        <v>66</v>
      </c>
      <c r="D4024" s="6">
        <v>45906</v>
      </c>
      <c r="E4024" t="str">
        <f>VLOOKUP(B4024,'PROCV GERENTES BD'!A:B,2,0)</f>
        <v>TIAGO NEVES</v>
      </c>
      <c r="F4024" s="4" t="str">
        <f t="shared" si="372"/>
        <v>2025-09</v>
      </c>
      <c r="G4024" s="18">
        <f t="shared" si="373"/>
        <v>36</v>
      </c>
      <c r="H4024" t="str">
        <f t="shared" si="374"/>
        <v>TIAGO NEVES</v>
      </c>
      <c r="I4024" t="str">
        <f t="shared" si="375"/>
        <v>AUTO VIDROS MG INDUSTRIA E COMERCIO LTDA</v>
      </c>
      <c r="J4024">
        <f t="shared" si="376"/>
        <v>1</v>
      </c>
      <c r="K4024">
        <f t="shared" si="377"/>
        <v>0</v>
      </c>
    </row>
    <row r="4025" spans="1:11" x14ac:dyDescent="0.25">
      <c r="A4025" t="s">
        <v>508</v>
      </c>
      <c r="B4025" t="s">
        <v>271</v>
      </c>
      <c r="C4025" t="s">
        <v>50</v>
      </c>
      <c r="D4025" s="6">
        <v>45906</v>
      </c>
      <c r="E4025" t="str">
        <f>VLOOKUP(B4025,'PROCV GERENTES BD'!A:B,2,0)</f>
        <v>PRISCILA METZ</v>
      </c>
      <c r="F4025" s="4" t="str">
        <f t="shared" si="372"/>
        <v>2025-09</v>
      </c>
      <c r="G4025" s="18">
        <f t="shared" si="373"/>
        <v>36</v>
      </c>
      <c r="H4025" t="str">
        <f t="shared" si="374"/>
        <v>PRISCILA METZ</v>
      </c>
      <c r="I4025" t="str">
        <f t="shared" si="375"/>
        <v>TUBOLARES VITORIA INDUSTRIA E COMERCIO LTDA ME</v>
      </c>
      <c r="J4025">
        <f t="shared" si="376"/>
        <v>0</v>
      </c>
      <c r="K4025">
        <f t="shared" si="377"/>
        <v>1</v>
      </c>
    </row>
    <row r="4026" spans="1:11" x14ac:dyDescent="0.25">
      <c r="A4026" t="s">
        <v>58</v>
      </c>
      <c r="B4026" t="s">
        <v>59</v>
      </c>
      <c r="C4026" t="s">
        <v>50</v>
      </c>
      <c r="D4026" s="6">
        <v>45906</v>
      </c>
      <c r="E4026" t="str">
        <f>VLOOKUP(B4026,'PROCV GERENTES BD'!A:B,2,0)</f>
        <v>ADMINISTRAÇÃO</v>
      </c>
      <c r="F4026" s="4" t="str">
        <f t="shared" si="372"/>
        <v>2025-09</v>
      </c>
      <c r="G4026" s="18">
        <f t="shared" si="373"/>
        <v>36</v>
      </c>
      <c r="H4026" t="str">
        <f t="shared" si="374"/>
        <v>ADMINISTRAÇÃO</v>
      </c>
      <c r="I4026" t="str">
        <f t="shared" si="375"/>
        <v>BIOTECH LOGISTICA LTDA</v>
      </c>
      <c r="J4026">
        <f t="shared" si="376"/>
        <v>0</v>
      </c>
      <c r="K4026">
        <f t="shared" si="377"/>
        <v>1</v>
      </c>
    </row>
    <row r="4027" spans="1:11" x14ac:dyDescent="0.25">
      <c r="A4027" t="s">
        <v>344</v>
      </c>
      <c r="B4027" t="s">
        <v>89</v>
      </c>
      <c r="C4027" t="s">
        <v>66</v>
      </c>
      <c r="D4027" s="6">
        <v>45906</v>
      </c>
      <c r="E4027" t="str">
        <f>VLOOKUP(B4027,'PROCV GERENTES BD'!A:B,2,0)</f>
        <v>POENATELA</v>
      </c>
      <c r="F4027" s="4" t="str">
        <f t="shared" si="372"/>
        <v>2025-09</v>
      </c>
      <c r="G4027" s="18">
        <f t="shared" si="373"/>
        <v>36</v>
      </c>
      <c r="H4027" t="str">
        <f t="shared" si="374"/>
        <v>POENATELA</v>
      </c>
      <c r="I4027" t="str">
        <f t="shared" si="375"/>
        <v>CERVEJARIA SOUZA LTDA</v>
      </c>
      <c r="J4027">
        <f t="shared" si="376"/>
        <v>1</v>
      </c>
      <c r="K4027">
        <f t="shared" si="377"/>
        <v>0</v>
      </c>
    </row>
    <row r="4028" spans="1:11" x14ac:dyDescent="0.25">
      <c r="A4028" t="s">
        <v>387</v>
      </c>
      <c r="B4028" t="s">
        <v>134</v>
      </c>
      <c r="C4028" t="s">
        <v>50</v>
      </c>
      <c r="D4028" s="6">
        <v>45906</v>
      </c>
      <c r="E4028" t="str">
        <f>VLOOKUP(B4028,'PROCV GERENTES BD'!A:B,2,0)</f>
        <v>RAFAEL PARISE</v>
      </c>
      <c r="F4028" s="4" t="str">
        <f t="shared" si="372"/>
        <v>2025-09</v>
      </c>
      <c r="G4028" s="18">
        <f t="shared" si="373"/>
        <v>36</v>
      </c>
      <c r="H4028" t="str">
        <f t="shared" si="374"/>
        <v>RAFAEL PARISE</v>
      </c>
      <c r="I4028" t="str">
        <f t="shared" si="375"/>
        <v>MAIS DISTRIBUIDORA LTDA</v>
      </c>
      <c r="J4028">
        <f t="shared" si="376"/>
        <v>0</v>
      </c>
      <c r="K4028">
        <f t="shared" si="377"/>
        <v>1</v>
      </c>
    </row>
    <row r="4029" spans="1:11" x14ac:dyDescent="0.25">
      <c r="A4029" t="s">
        <v>323</v>
      </c>
      <c r="B4029" t="s">
        <v>109</v>
      </c>
      <c r="C4029" t="s">
        <v>66</v>
      </c>
      <c r="D4029" s="6">
        <v>45906</v>
      </c>
      <c r="E4029" t="str">
        <f>VLOOKUP(B4029,'PROCV GERENTES BD'!A:B,2,0)</f>
        <v>PROSPECTAR</v>
      </c>
      <c r="F4029" s="4" t="str">
        <f t="shared" si="372"/>
        <v>2025-09</v>
      </c>
      <c r="G4029" s="18">
        <f t="shared" si="373"/>
        <v>36</v>
      </c>
      <c r="H4029" t="str">
        <f t="shared" si="374"/>
        <v>PROSPECTAR</v>
      </c>
      <c r="I4029" t="str">
        <f t="shared" si="375"/>
        <v>SIAP COMERCIO DE PRODUTOS AGROPECUARIOS LTDA</v>
      </c>
      <c r="J4029">
        <f t="shared" si="376"/>
        <v>1</v>
      </c>
      <c r="K4029">
        <f t="shared" si="377"/>
        <v>0</v>
      </c>
    </row>
    <row r="4030" spans="1:11" x14ac:dyDescent="0.25">
      <c r="A4030" t="s">
        <v>660</v>
      </c>
      <c r="B4030" t="s">
        <v>545</v>
      </c>
      <c r="C4030" t="s">
        <v>50</v>
      </c>
      <c r="D4030" s="6">
        <v>45906</v>
      </c>
      <c r="E4030" t="str">
        <f>VLOOKUP(B4030,'PROCV GERENTES BD'!A:B,2,0)</f>
        <v xml:space="preserve">ROGERIO </v>
      </c>
      <c r="F4030" s="4" t="str">
        <f t="shared" si="372"/>
        <v>2025-09</v>
      </c>
      <c r="G4030" s="18">
        <f t="shared" si="373"/>
        <v>36</v>
      </c>
      <c r="H4030" t="str">
        <f t="shared" si="374"/>
        <v xml:space="preserve">ROGERIO </v>
      </c>
      <c r="I4030" t="str">
        <f t="shared" si="375"/>
        <v>DISEP ALIMENTOS LTDA ME</v>
      </c>
      <c r="J4030">
        <f t="shared" si="376"/>
        <v>0</v>
      </c>
      <c r="K4030">
        <f t="shared" si="377"/>
        <v>1</v>
      </c>
    </row>
    <row r="4031" spans="1:11" x14ac:dyDescent="0.25">
      <c r="A4031" t="s">
        <v>324</v>
      </c>
      <c r="B4031" t="s">
        <v>119</v>
      </c>
      <c r="C4031" t="s">
        <v>50</v>
      </c>
      <c r="D4031" s="6">
        <v>45906</v>
      </c>
      <c r="E4031" t="str">
        <f>VLOOKUP(B4031,'PROCV GERENTES BD'!A:B,2,0)</f>
        <v>PROSPECTAR</v>
      </c>
      <c r="F4031" s="4" t="str">
        <f t="shared" si="372"/>
        <v>2025-09</v>
      </c>
      <c r="G4031" s="18">
        <f t="shared" si="373"/>
        <v>36</v>
      </c>
      <c r="H4031" t="str">
        <f t="shared" si="374"/>
        <v>PROSPECTAR</v>
      </c>
      <c r="I4031" t="str">
        <f t="shared" si="375"/>
        <v>TRANSHENRY TRANSPORTES LTDA</v>
      </c>
      <c r="J4031">
        <f t="shared" si="376"/>
        <v>0</v>
      </c>
      <c r="K4031">
        <f t="shared" si="377"/>
        <v>1</v>
      </c>
    </row>
    <row r="4032" spans="1:11" x14ac:dyDescent="0.25">
      <c r="A4032" t="s">
        <v>523</v>
      </c>
      <c r="B4032" t="s">
        <v>288</v>
      </c>
      <c r="C4032" t="s">
        <v>50</v>
      </c>
      <c r="D4032" s="6">
        <v>45906</v>
      </c>
      <c r="E4032" t="str">
        <f>VLOOKUP(B4032,'PROCV GERENTES BD'!A:B,2,0)</f>
        <v>ADMINISTRAÇÃO</v>
      </c>
      <c r="F4032" s="4" t="str">
        <f t="shared" si="372"/>
        <v>2025-09</v>
      </c>
      <c r="G4032" s="18">
        <f t="shared" si="373"/>
        <v>36</v>
      </c>
      <c r="H4032" t="str">
        <f t="shared" si="374"/>
        <v>ADMINISTRAÇÃO</v>
      </c>
      <c r="I4032" t="str">
        <f t="shared" si="375"/>
        <v>REFRACONT BRASIL LTDA</v>
      </c>
      <c r="J4032">
        <f t="shared" si="376"/>
        <v>0</v>
      </c>
      <c r="K4032">
        <f t="shared" si="377"/>
        <v>1</v>
      </c>
    </row>
    <row r="4033" spans="1:11" x14ac:dyDescent="0.25">
      <c r="A4033" t="s">
        <v>56</v>
      </c>
      <c r="B4033" t="s">
        <v>57</v>
      </c>
      <c r="C4033" t="s">
        <v>50</v>
      </c>
      <c r="D4033" s="6">
        <v>45906</v>
      </c>
      <c r="E4033" t="str">
        <f>VLOOKUP(B4033,'PROCV GERENTES BD'!A:B,2,0)</f>
        <v xml:space="preserve">ROGERIO </v>
      </c>
      <c r="F4033" s="4" t="str">
        <f t="shared" si="372"/>
        <v>2025-09</v>
      </c>
      <c r="G4033" s="18">
        <f t="shared" si="373"/>
        <v>36</v>
      </c>
      <c r="H4033" t="str">
        <f t="shared" si="374"/>
        <v xml:space="preserve">ROGERIO </v>
      </c>
      <c r="I4033" t="str">
        <f t="shared" si="375"/>
        <v>RODOVIEIRA TRANSPORTE LTDA</v>
      </c>
      <c r="J4033">
        <f t="shared" si="376"/>
        <v>0</v>
      </c>
      <c r="K4033">
        <f t="shared" si="377"/>
        <v>1</v>
      </c>
    </row>
    <row r="4034" spans="1:11" x14ac:dyDescent="0.25">
      <c r="A4034" t="s">
        <v>460</v>
      </c>
      <c r="B4034" t="s">
        <v>217</v>
      </c>
      <c r="C4034" t="s">
        <v>50</v>
      </c>
      <c r="D4034" s="6">
        <v>45906</v>
      </c>
      <c r="E4034" t="str">
        <f>VLOOKUP(B4034,'PROCV GERENTES BD'!A:B,2,0)</f>
        <v>CELIO PIMENTA</v>
      </c>
      <c r="F4034" s="4" t="str">
        <f t="shared" ref="F4034:F4097" si="378">YEAR(D4034)&amp;"-"&amp;TEXT(MONTH(D4034),"00")</f>
        <v>2025-09</v>
      </c>
      <c r="G4034" s="18">
        <f t="shared" ref="G4034:G4097" si="379">WEEKNUM(D4034)</f>
        <v>36</v>
      </c>
      <c r="H4034" t="str">
        <f t="shared" ref="H4034:H4097" si="380">E4034</f>
        <v>CELIO PIMENTA</v>
      </c>
      <c r="I4034" t="str">
        <f t="shared" ref="I4034:I4097" si="381">B4034</f>
        <v>MINAS CLEAN DISTRIBUIDORA DE PRODUTOS PARA LIMPEZA</v>
      </c>
      <c r="J4034">
        <f t="shared" ref="J4034:J4097" si="382">IF(OR(C4034="EXCLUSAO  ANOT.INADIMPLENCIA",C4034="INCL/EXCL ANOT.INADIMPLENCIA"),1,0)</f>
        <v>0</v>
      </c>
      <c r="K4034">
        <f t="shared" ref="K4034:K4097" si="383">IF(OR(C4034="INCLUSAO  ANOT.INADIMPLENCIA",C4034="INCL/EXCL ANOT.INADIMPLENCIA"),1,0)</f>
        <v>1</v>
      </c>
    </row>
    <row r="4035" spans="1:11" x14ac:dyDescent="0.25">
      <c r="A4035" t="s">
        <v>375</v>
      </c>
      <c r="B4035" t="s">
        <v>120</v>
      </c>
      <c r="C4035" t="s">
        <v>50</v>
      </c>
      <c r="D4035" s="6">
        <v>45909</v>
      </c>
      <c r="E4035" t="str">
        <f>VLOOKUP(B4035,'PROCV GERENTES BD'!A:B,2,0)</f>
        <v>ADMINISTRAÇÃO</v>
      </c>
      <c r="F4035" s="4" t="str">
        <f t="shared" si="378"/>
        <v>2025-09</v>
      </c>
      <c r="G4035" s="18">
        <f t="shared" si="379"/>
        <v>37</v>
      </c>
      <c r="H4035" t="str">
        <f t="shared" si="380"/>
        <v>ADMINISTRAÇÃO</v>
      </c>
      <c r="I4035" t="str">
        <f t="shared" si="381"/>
        <v>FARINELLI NUTRIMENTOS LTDA</v>
      </c>
      <c r="J4035">
        <f t="shared" si="382"/>
        <v>0</v>
      </c>
      <c r="K4035">
        <f t="shared" si="383"/>
        <v>1</v>
      </c>
    </row>
    <row r="4036" spans="1:11" x14ac:dyDescent="0.25">
      <c r="A4036" t="s">
        <v>521</v>
      </c>
      <c r="B4036" t="s">
        <v>286</v>
      </c>
      <c r="C4036" t="s">
        <v>50</v>
      </c>
      <c r="D4036" s="6">
        <v>45909</v>
      </c>
      <c r="E4036" t="str">
        <f>VLOOKUP(B4036,'PROCV GERENTES BD'!A:B,2,0)</f>
        <v>CELIO PIMENTA</v>
      </c>
      <c r="F4036" s="4" t="str">
        <f t="shared" si="378"/>
        <v>2025-09</v>
      </c>
      <c r="G4036" s="18">
        <f t="shared" si="379"/>
        <v>37</v>
      </c>
      <c r="H4036" t="str">
        <f t="shared" si="380"/>
        <v>CELIO PIMENTA</v>
      </c>
      <c r="I4036" t="str">
        <f t="shared" si="381"/>
        <v>LINGERIE E CIA LTDA ME</v>
      </c>
      <c r="J4036">
        <f t="shared" si="382"/>
        <v>0</v>
      </c>
      <c r="K4036">
        <f t="shared" si="383"/>
        <v>1</v>
      </c>
    </row>
    <row r="4037" spans="1:11" x14ac:dyDescent="0.25">
      <c r="A4037" t="s">
        <v>460</v>
      </c>
      <c r="B4037" t="s">
        <v>217</v>
      </c>
      <c r="C4037" t="s">
        <v>50</v>
      </c>
      <c r="D4037" s="6">
        <v>45909</v>
      </c>
      <c r="E4037" t="str">
        <f>VLOOKUP(B4037,'PROCV GERENTES BD'!A:B,2,0)</f>
        <v>CELIO PIMENTA</v>
      </c>
      <c r="F4037" s="4" t="str">
        <f t="shared" si="378"/>
        <v>2025-09</v>
      </c>
      <c r="G4037" s="18">
        <f t="shared" si="379"/>
        <v>37</v>
      </c>
      <c r="H4037" t="str">
        <f t="shared" si="380"/>
        <v>CELIO PIMENTA</v>
      </c>
      <c r="I4037" t="str">
        <f t="shared" si="381"/>
        <v>MINAS CLEAN DISTRIBUIDORA DE PRODUTOS PARA LIMPEZA</v>
      </c>
      <c r="J4037">
        <f t="shared" si="382"/>
        <v>0</v>
      </c>
      <c r="K4037">
        <f t="shared" si="383"/>
        <v>1</v>
      </c>
    </row>
    <row r="4038" spans="1:11" x14ac:dyDescent="0.25">
      <c r="A4038" t="s">
        <v>314</v>
      </c>
      <c r="B4038" t="s">
        <v>246</v>
      </c>
      <c r="C4038" t="s">
        <v>50</v>
      </c>
      <c r="D4038" s="6">
        <v>45909</v>
      </c>
      <c r="E4038" t="str">
        <f>VLOOKUP(B4038,'PROCV GERENTES BD'!A:B,2,0)</f>
        <v xml:space="preserve">ROGERIO </v>
      </c>
      <c r="F4038" s="4" t="str">
        <f t="shared" si="378"/>
        <v>2025-09</v>
      </c>
      <c r="G4038" s="18">
        <f t="shared" si="379"/>
        <v>37</v>
      </c>
      <c r="H4038" t="str">
        <f t="shared" si="380"/>
        <v xml:space="preserve">ROGERIO </v>
      </c>
      <c r="I4038" t="str">
        <f t="shared" si="381"/>
        <v>MUTCD CENTRO DE DISTRIBUICAO DE IND FABRICANTE DE</v>
      </c>
      <c r="J4038">
        <f t="shared" si="382"/>
        <v>0</v>
      </c>
      <c r="K4038">
        <f t="shared" si="383"/>
        <v>1</v>
      </c>
    </row>
    <row r="4039" spans="1:11" x14ac:dyDescent="0.25">
      <c r="A4039" t="s">
        <v>658</v>
      </c>
      <c r="B4039" t="s">
        <v>659</v>
      </c>
      <c r="C4039" t="s">
        <v>50</v>
      </c>
      <c r="D4039" s="6">
        <v>45909</v>
      </c>
      <c r="E4039" t="str">
        <f>VLOOKUP(B4039,'PROCV GERENTES BD'!A:B,2,0)</f>
        <v>ADMINISTRAÇÃO</v>
      </c>
      <c r="F4039" s="4" t="str">
        <f t="shared" si="378"/>
        <v>2025-09</v>
      </c>
      <c r="G4039" s="18">
        <f t="shared" si="379"/>
        <v>37</v>
      </c>
      <c r="H4039" t="str">
        <f t="shared" si="380"/>
        <v>ADMINISTRAÇÃO</v>
      </c>
      <c r="I4039" t="str">
        <f t="shared" si="381"/>
        <v>LEFORM PLANEJADOS LTDA ME</v>
      </c>
      <c r="J4039">
        <f t="shared" si="382"/>
        <v>0</v>
      </c>
      <c r="K4039">
        <f t="shared" si="383"/>
        <v>1</v>
      </c>
    </row>
    <row r="4040" spans="1:11" x14ac:dyDescent="0.25">
      <c r="A4040" t="s">
        <v>630</v>
      </c>
      <c r="B4040" t="s">
        <v>559</v>
      </c>
      <c r="C4040" t="s">
        <v>50</v>
      </c>
      <c r="D4040" s="6">
        <v>45909</v>
      </c>
      <c r="E4040" t="str">
        <f>VLOOKUP(B4040,'PROCV GERENTES BD'!A:B,2,0)</f>
        <v>ALISSON DE SOUZA LIMA</v>
      </c>
      <c r="F4040" s="4" t="str">
        <f t="shared" si="378"/>
        <v>2025-09</v>
      </c>
      <c r="G4040" s="18">
        <f t="shared" si="379"/>
        <v>37</v>
      </c>
      <c r="H4040" t="str">
        <f t="shared" si="380"/>
        <v>ALISSON DE SOUZA LIMA</v>
      </c>
      <c r="I4040" t="str">
        <f t="shared" si="381"/>
        <v>JRG SOLUCOES INDUSTRIAIS LTDA</v>
      </c>
      <c r="J4040">
        <f t="shared" si="382"/>
        <v>0</v>
      </c>
      <c r="K4040">
        <f t="shared" si="383"/>
        <v>1</v>
      </c>
    </row>
    <row r="4041" spans="1:11" x14ac:dyDescent="0.25">
      <c r="A4041" t="s">
        <v>67</v>
      </c>
      <c r="B4041" t="s">
        <v>68</v>
      </c>
      <c r="C4041" t="s">
        <v>50</v>
      </c>
      <c r="D4041" s="6">
        <v>45909</v>
      </c>
      <c r="E4041" t="str">
        <f>VLOOKUP(B4041,'PROCV GERENTES BD'!A:B,2,0)</f>
        <v xml:space="preserve">ROGERIO </v>
      </c>
      <c r="F4041" s="4" t="str">
        <f t="shared" si="378"/>
        <v>2025-09</v>
      </c>
      <c r="G4041" s="18">
        <f t="shared" si="379"/>
        <v>37</v>
      </c>
      <c r="H4041" t="str">
        <f t="shared" si="380"/>
        <v xml:space="preserve">ROGERIO </v>
      </c>
      <c r="I4041" t="str">
        <f t="shared" si="381"/>
        <v>DIOTTONI INDUSTRIA E COMERCIO DE ALIMENTOS LTDA ME</v>
      </c>
      <c r="J4041">
        <f t="shared" si="382"/>
        <v>0</v>
      </c>
      <c r="K4041">
        <f t="shared" si="383"/>
        <v>1</v>
      </c>
    </row>
    <row r="4042" spans="1:11" x14ac:dyDescent="0.25">
      <c r="A4042" t="s">
        <v>64</v>
      </c>
      <c r="B4042" t="s">
        <v>65</v>
      </c>
      <c r="C4042" t="s">
        <v>50</v>
      </c>
      <c r="D4042" s="6">
        <v>45909</v>
      </c>
      <c r="E4042" t="str">
        <f>VLOOKUP(B4042,'PROCV GERENTES BD'!A:B,2,0)</f>
        <v>ADMINISTRAÇÃO</v>
      </c>
      <c r="F4042" s="4" t="str">
        <f t="shared" si="378"/>
        <v>2025-09</v>
      </c>
      <c r="G4042" s="18">
        <f t="shared" si="379"/>
        <v>37</v>
      </c>
      <c r="H4042" t="str">
        <f t="shared" si="380"/>
        <v>ADMINISTRAÇÃO</v>
      </c>
      <c r="I4042" t="str">
        <f t="shared" si="381"/>
        <v>SOCIAL S/A</v>
      </c>
      <c r="J4042">
        <f t="shared" si="382"/>
        <v>0</v>
      </c>
      <c r="K4042">
        <f t="shared" si="383"/>
        <v>1</v>
      </c>
    </row>
    <row r="4043" spans="1:11" x14ac:dyDescent="0.25">
      <c r="A4043" t="s">
        <v>62</v>
      </c>
      <c r="B4043" t="s">
        <v>63</v>
      </c>
      <c r="C4043" t="s">
        <v>50</v>
      </c>
      <c r="D4043" s="6">
        <v>45909</v>
      </c>
      <c r="E4043" t="str">
        <f>VLOOKUP(B4043,'PROCV GERENTES BD'!A:B,2,0)</f>
        <v>PROSPECTAR</v>
      </c>
      <c r="F4043" s="4" t="str">
        <f t="shared" si="378"/>
        <v>2025-09</v>
      </c>
      <c r="G4043" s="18">
        <f t="shared" si="379"/>
        <v>37</v>
      </c>
      <c r="H4043" t="str">
        <f t="shared" si="380"/>
        <v>PROSPECTAR</v>
      </c>
      <c r="I4043" t="str">
        <f t="shared" si="381"/>
        <v>MAPP COM IMPORTACAO EXPORTACAO IND PRODUTOS ALIMEN</v>
      </c>
      <c r="J4043">
        <f t="shared" si="382"/>
        <v>0</v>
      </c>
      <c r="K4043">
        <f t="shared" si="383"/>
        <v>1</v>
      </c>
    </row>
    <row r="4044" spans="1:11" x14ac:dyDescent="0.25">
      <c r="A4044" t="s">
        <v>499</v>
      </c>
      <c r="B4044" t="s">
        <v>258</v>
      </c>
      <c r="C4044" t="s">
        <v>50</v>
      </c>
      <c r="D4044" s="6">
        <v>45909</v>
      </c>
      <c r="E4044" t="str">
        <f>VLOOKUP(B4044,'PROCV GERENTES BD'!A:B,2,0)</f>
        <v>PRISCILA METZ</v>
      </c>
      <c r="F4044" s="4" t="str">
        <f t="shared" si="378"/>
        <v>2025-09</v>
      </c>
      <c r="G4044" s="18">
        <f t="shared" si="379"/>
        <v>37</v>
      </c>
      <c r="H4044" t="str">
        <f t="shared" si="380"/>
        <v>PRISCILA METZ</v>
      </c>
      <c r="I4044" t="str">
        <f t="shared" si="381"/>
        <v>PLATINUM INDUSTRIA DE CONFECCOES LTDA</v>
      </c>
      <c r="J4044">
        <f t="shared" si="382"/>
        <v>0</v>
      </c>
      <c r="K4044">
        <f t="shared" si="383"/>
        <v>1</v>
      </c>
    </row>
    <row r="4045" spans="1:11" x14ac:dyDescent="0.25">
      <c r="A4045" t="s">
        <v>604</v>
      </c>
      <c r="B4045" t="s">
        <v>605</v>
      </c>
      <c r="C4045" t="s">
        <v>50</v>
      </c>
      <c r="D4045" s="6">
        <v>45909</v>
      </c>
      <c r="E4045" t="str">
        <f>VLOOKUP(B4045,'PROCV GERENTES BD'!A:B,2,0)</f>
        <v>ALISSON DE SOUZA LIMA</v>
      </c>
      <c r="F4045" s="4" t="str">
        <f t="shared" si="378"/>
        <v>2025-09</v>
      </c>
      <c r="G4045" s="18">
        <f t="shared" si="379"/>
        <v>37</v>
      </c>
      <c r="H4045" t="str">
        <f t="shared" si="380"/>
        <v>ALISSON DE SOUZA LIMA</v>
      </c>
      <c r="I4045" t="str">
        <f t="shared" si="381"/>
        <v>3J FUNDICAO INDUSTRIAL LTDA</v>
      </c>
      <c r="J4045">
        <f t="shared" si="382"/>
        <v>0</v>
      </c>
      <c r="K4045">
        <f t="shared" si="383"/>
        <v>1</v>
      </c>
    </row>
    <row r="4046" spans="1:11" x14ac:dyDescent="0.25">
      <c r="A4046" t="s">
        <v>317</v>
      </c>
      <c r="B4046" t="s">
        <v>280</v>
      </c>
      <c r="C4046" t="s">
        <v>50</v>
      </c>
      <c r="D4046" s="6">
        <v>45909</v>
      </c>
      <c r="E4046" t="str">
        <f>VLOOKUP(B4046,'PROCV GERENTES BD'!A:B,2,0)</f>
        <v>PROSPECTAR</v>
      </c>
      <c r="F4046" s="4" t="str">
        <f t="shared" si="378"/>
        <v>2025-09</v>
      </c>
      <c r="G4046" s="18">
        <f t="shared" si="379"/>
        <v>37</v>
      </c>
      <c r="H4046" t="str">
        <f t="shared" si="380"/>
        <v>PROSPECTAR</v>
      </c>
      <c r="I4046" t="str">
        <f t="shared" si="381"/>
        <v>STA TECHCANA LTDA</v>
      </c>
      <c r="J4046">
        <f t="shared" si="382"/>
        <v>0</v>
      </c>
      <c r="K4046">
        <f t="shared" si="383"/>
        <v>1</v>
      </c>
    </row>
    <row r="4047" spans="1:11" x14ac:dyDescent="0.25">
      <c r="A4047" t="s">
        <v>631</v>
      </c>
      <c r="B4047" t="s">
        <v>561</v>
      </c>
      <c r="C4047" t="s">
        <v>50</v>
      </c>
      <c r="D4047" s="6">
        <v>45909</v>
      </c>
      <c r="E4047" t="str">
        <f>VLOOKUP(B4047,'PROCV GERENTES BD'!A:B,2,0)</f>
        <v>VALERIA</v>
      </c>
      <c r="F4047" s="4" t="str">
        <f t="shared" si="378"/>
        <v>2025-09</v>
      </c>
      <c r="G4047" s="18">
        <f t="shared" si="379"/>
        <v>37</v>
      </c>
      <c r="H4047" t="str">
        <f t="shared" si="380"/>
        <v>VALERIA</v>
      </c>
      <c r="I4047" t="str">
        <f t="shared" si="381"/>
        <v>TRANSPORTADORA PACHECO LTDA EPP</v>
      </c>
      <c r="J4047">
        <f t="shared" si="382"/>
        <v>0</v>
      </c>
      <c r="K4047">
        <f t="shared" si="383"/>
        <v>1</v>
      </c>
    </row>
    <row r="4048" spans="1:11" x14ac:dyDescent="0.25">
      <c r="A4048" t="s">
        <v>58</v>
      </c>
      <c r="B4048" t="s">
        <v>59</v>
      </c>
      <c r="C4048" t="s">
        <v>50</v>
      </c>
      <c r="D4048" s="6">
        <v>45909</v>
      </c>
      <c r="E4048" t="str">
        <f>VLOOKUP(B4048,'PROCV GERENTES BD'!A:B,2,0)</f>
        <v>ADMINISTRAÇÃO</v>
      </c>
      <c r="F4048" s="4" t="str">
        <f t="shared" si="378"/>
        <v>2025-09</v>
      </c>
      <c r="G4048" s="18">
        <f t="shared" si="379"/>
        <v>37</v>
      </c>
      <c r="H4048" t="str">
        <f t="shared" si="380"/>
        <v>ADMINISTRAÇÃO</v>
      </c>
      <c r="I4048" t="str">
        <f t="shared" si="381"/>
        <v>BIOTECH LOGISTICA LTDA</v>
      </c>
      <c r="J4048">
        <f t="shared" si="382"/>
        <v>0</v>
      </c>
      <c r="K4048">
        <f t="shared" si="383"/>
        <v>1</v>
      </c>
    </row>
    <row r="4049" spans="1:11" x14ac:dyDescent="0.25">
      <c r="A4049" t="s">
        <v>56</v>
      </c>
      <c r="B4049" t="s">
        <v>57</v>
      </c>
      <c r="C4049" t="s">
        <v>50</v>
      </c>
      <c r="D4049" s="6">
        <v>45909</v>
      </c>
      <c r="E4049" t="str">
        <f>VLOOKUP(B4049,'PROCV GERENTES BD'!A:B,2,0)</f>
        <v xml:space="preserve">ROGERIO </v>
      </c>
      <c r="F4049" s="4" t="str">
        <f t="shared" si="378"/>
        <v>2025-09</v>
      </c>
      <c r="G4049" s="18">
        <f t="shared" si="379"/>
        <v>37</v>
      </c>
      <c r="H4049" t="str">
        <f t="shared" si="380"/>
        <v xml:space="preserve">ROGERIO </v>
      </c>
      <c r="I4049" t="str">
        <f t="shared" si="381"/>
        <v>RODOVIEIRA TRANSPORTE LTDA</v>
      </c>
      <c r="J4049">
        <f t="shared" si="382"/>
        <v>0</v>
      </c>
      <c r="K4049">
        <f t="shared" si="383"/>
        <v>1</v>
      </c>
    </row>
    <row r="4050" spans="1:11" x14ac:dyDescent="0.25">
      <c r="A4050" t="s">
        <v>331</v>
      </c>
      <c r="B4050" t="s">
        <v>144</v>
      </c>
      <c r="C4050" t="s">
        <v>50</v>
      </c>
      <c r="D4050" s="6">
        <v>45909</v>
      </c>
      <c r="E4050" t="str">
        <f>VLOOKUP(B4050,'PROCV GERENTES BD'!A:B,2,0)</f>
        <v>ADMINISTRAÇÃO</v>
      </c>
      <c r="F4050" s="4" t="str">
        <f t="shared" si="378"/>
        <v>2025-09</v>
      </c>
      <c r="G4050" s="18">
        <f t="shared" si="379"/>
        <v>37</v>
      </c>
      <c r="H4050" t="str">
        <f t="shared" si="380"/>
        <v>ADMINISTRAÇÃO</v>
      </c>
      <c r="I4050" t="str">
        <f t="shared" si="381"/>
        <v>BOM PASTOR PAPEIS LTDA EM RECUPERACAO JUDICIAL</v>
      </c>
      <c r="J4050">
        <f t="shared" si="382"/>
        <v>0</v>
      </c>
      <c r="K4050">
        <f t="shared" si="383"/>
        <v>1</v>
      </c>
    </row>
    <row r="4051" spans="1:11" x14ac:dyDescent="0.25">
      <c r="A4051" t="s">
        <v>644</v>
      </c>
      <c r="B4051" t="s">
        <v>598</v>
      </c>
      <c r="C4051" t="s">
        <v>50</v>
      </c>
      <c r="D4051" s="6">
        <v>45909</v>
      </c>
      <c r="E4051" t="str">
        <f>VLOOKUP(B4051,'PROCV GERENTES BD'!A:B,2,0)</f>
        <v>DALVA</v>
      </c>
      <c r="F4051" s="4" t="str">
        <f t="shared" si="378"/>
        <v>2025-09</v>
      </c>
      <c r="G4051" s="18">
        <f t="shared" si="379"/>
        <v>37</v>
      </c>
      <c r="H4051" t="str">
        <f t="shared" si="380"/>
        <v>DALVA</v>
      </c>
      <c r="I4051" t="str">
        <f t="shared" si="381"/>
        <v>BH BRITADORES LTDA EPP</v>
      </c>
      <c r="J4051">
        <f t="shared" si="382"/>
        <v>0</v>
      </c>
      <c r="K4051">
        <f t="shared" si="383"/>
        <v>1</v>
      </c>
    </row>
    <row r="4052" spans="1:11" x14ac:dyDescent="0.25">
      <c r="A4052" t="s">
        <v>387</v>
      </c>
      <c r="B4052" t="s">
        <v>134</v>
      </c>
      <c r="C4052" t="s">
        <v>50</v>
      </c>
      <c r="D4052" s="6">
        <v>45909</v>
      </c>
      <c r="E4052" t="str">
        <f>VLOOKUP(B4052,'PROCV GERENTES BD'!A:B,2,0)</f>
        <v>RAFAEL PARISE</v>
      </c>
      <c r="F4052" s="4" t="str">
        <f t="shared" si="378"/>
        <v>2025-09</v>
      </c>
      <c r="G4052" s="18">
        <f t="shared" si="379"/>
        <v>37</v>
      </c>
      <c r="H4052" t="str">
        <f t="shared" si="380"/>
        <v>RAFAEL PARISE</v>
      </c>
      <c r="I4052" t="str">
        <f t="shared" si="381"/>
        <v>MAIS DISTRIBUIDORA LTDA</v>
      </c>
      <c r="J4052">
        <f t="shared" si="382"/>
        <v>0</v>
      </c>
      <c r="K4052">
        <f t="shared" si="383"/>
        <v>1</v>
      </c>
    </row>
    <row r="4053" spans="1:11" x14ac:dyDescent="0.25">
      <c r="A4053" t="s">
        <v>532</v>
      </c>
      <c r="B4053" t="s">
        <v>300</v>
      </c>
      <c r="C4053" t="s">
        <v>50</v>
      </c>
      <c r="D4053" s="6">
        <v>45909</v>
      </c>
      <c r="E4053" t="str">
        <f>VLOOKUP(B4053,'PROCV GERENTES BD'!A:B,2,0)</f>
        <v>RAFAEL PARISE</v>
      </c>
      <c r="F4053" s="4" t="str">
        <f t="shared" si="378"/>
        <v>2025-09</v>
      </c>
      <c r="G4053" s="18">
        <f t="shared" si="379"/>
        <v>37</v>
      </c>
      <c r="H4053" t="str">
        <f t="shared" si="380"/>
        <v>RAFAEL PARISE</v>
      </c>
      <c r="I4053" t="str">
        <f t="shared" si="381"/>
        <v>MINASPOL INDUSTRIA E COMERCIO DE COMPOSTOS POLIMER</v>
      </c>
      <c r="J4053">
        <f t="shared" si="382"/>
        <v>0</v>
      </c>
      <c r="K4053">
        <f t="shared" si="383"/>
        <v>1</v>
      </c>
    </row>
    <row r="4054" spans="1:11" x14ac:dyDescent="0.25">
      <c r="A4054" t="s">
        <v>51</v>
      </c>
      <c r="B4054" t="s">
        <v>52</v>
      </c>
      <c r="C4054" t="s">
        <v>50</v>
      </c>
      <c r="D4054" s="6">
        <v>45909</v>
      </c>
      <c r="E4054" t="str">
        <f>VLOOKUP(B4054,'PROCV GERENTES BD'!A:B,2,0)</f>
        <v>RAFAEL PARISE</v>
      </c>
      <c r="F4054" s="4" t="str">
        <f t="shared" si="378"/>
        <v>2025-09</v>
      </c>
      <c r="G4054" s="18">
        <f t="shared" si="379"/>
        <v>37</v>
      </c>
      <c r="H4054" t="str">
        <f t="shared" si="380"/>
        <v>RAFAEL PARISE</v>
      </c>
      <c r="I4054" t="str">
        <f t="shared" si="381"/>
        <v>TDR TRANSPORTES LOGISTICA LTDA</v>
      </c>
      <c r="J4054">
        <f t="shared" si="382"/>
        <v>0</v>
      </c>
      <c r="K4054">
        <f t="shared" si="383"/>
        <v>1</v>
      </c>
    </row>
    <row r="4055" spans="1:11" x14ac:dyDescent="0.25">
      <c r="A4055" t="s">
        <v>660</v>
      </c>
      <c r="B4055" t="s">
        <v>545</v>
      </c>
      <c r="C4055" t="s">
        <v>66</v>
      </c>
      <c r="D4055" s="6">
        <v>45909</v>
      </c>
      <c r="E4055" t="str">
        <f>VLOOKUP(B4055,'PROCV GERENTES BD'!A:B,2,0)</f>
        <v xml:space="preserve">ROGERIO </v>
      </c>
      <c r="F4055" s="4" t="str">
        <f t="shared" si="378"/>
        <v>2025-09</v>
      </c>
      <c r="G4055" s="18">
        <f t="shared" si="379"/>
        <v>37</v>
      </c>
      <c r="H4055" t="str">
        <f t="shared" si="380"/>
        <v xml:space="preserve">ROGERIO </v>
      </c>
      <c r="I4055" t="str">
        <f t="shared" si="381"/>
        <v>DISEP ALIMENTOS LTDA ME</v>
      </c>
      <c r="J4055">
        <f t="shared" si="382"/>
        <v>1</v>
      </c>
      <c r="K4055">
        <f t="shared" si="383"/>
        <v>0</v>
      </c>
    </row>
    <row r="4056" spans="1:11" x14ac:dyDescent="0.25">
      <c r="A4056" t="s">
        <v>324</v>
      </c>
      <c r="B4056" t="s">
        <v>119</v>
      </c>
      <c r="C4056" t="s">
        <v>50</v>
      </c>
      <c r="D4056" s="6">
        <v>45909</v>
      </c>
      <c r="E4056" t="str">
        <f>VLOOKUP(B4056,'PROCV GERENTES BD'!A:B,2,0)</f>
        <v>PROSPECTAR</v>
      </c>
      <c r="F4056" s="4" t="str">
        <f t="shared" si="378"/>
        <v>2025-09</v>
      </c>
      <c r="G4056" s="18">
        <f t="shared" si="379"/>
        <v>37</v>
      </c>
      <c r="H4056" t="str">
        <f t="shared" si="380"/>
        <v>PROSPECTAR</v>
      </c>
      <c r="I4056" t="str">
        <f t="shared" si="381"/>
        <v>TRANSHENRY TRANSPORTES LTDA</v>
      </c>
      <c r="J4056">
        <f t="shared" si="382"/>
        <v>0</v>
      </c>
      <c r="K4056">
        <f t="shared" si="383"/>
        <v>1</v>
      </c>
    </row>
    <row r="4057" spans="1:11" x14ac:dyDescent="0.25">
      <c r="A4057" t="s">
        <v>415</v>
      </c>
      <c r="B4057" t="s">
        <v>165</v>
      </c>
      <c r="C4057" t="s">
        <v>50</v>
      </c>
      <c r="D4057" s="6">
        <v>45909</v>
      </c>
      <c r="E4057" t="str">
        <f>VLOOKUP(B4057,'PROCV GERENTES BD'!A:B,2,0)</f>
        <v>PROSPECTAR</v>
      </c>
      <c r="F4057" s="4" t="str">
        <f t="shared" si="378"/>
        <v>2025-09</v>
      </c>
      <c r="G4057" s="18">
        <f t="shared" si="379"/>
        <v>37</v>
      </c>
      <c r="H4057" t="str">
        <f t="shared" si="380"/>
        <v>PROSPECTAR</v>
      </c>
      <c r="I4057" t="str">
        <f t="shared" si="381"/>
        <v>STA SERVICOS LTDA</v>
      </c>
      <c r="J4057">
        <f t="shared" si="382"/>
        <v>0</v>
      </c>
      <c r="K4057">
        <f t="shared" si="383"/>
        <v>1</v>
      </c>
    </row>
    <row r="4058" spans="1:11" x14ac:dyDescent="0.25">
      <c r="A4058" t="s">
        <v>523</v>
      </c>
      <c r="B4058" t="s">
        <v>288</v>
      </c>
      <c r="C4058" t="s">
        <v>50</v>
      </c>
      <c r="D4058" s="6">
        <v>45909</v>
      </c>
      <c r="E4058" t="str">
        <f>VLOOKUP(B4058,'PROCV GERENTES BD'!A:B,2,0)</f>
        <v>ADMINISTRAÇÃO</v>
      </c>
      <c r="F4058" s="4" t="str">
        <f t="shared" si="378"/>
        <v>2025-09</v>
      </c>
      <c r="G4058" s="18">
        <f t="shared" si="379"/>
        <v>37</v>
      </c>
      <c r="H4058" t="str">
        <f t="shared" si="380"/>
        <v>ADMINISTRAÇÃO</v>
      </c>
      <c r="I4058" t="str">
        <f t="shared" si="381"/>
        <v>REFRACONT BRASIL LTDA</v>
      </c>
      <c r="J4058">
        <f t="shared" si="382"/>
        <v>0</v>
      </c>
      <c r="K4058">
        <f t="shared" si="383"/>
        <v>1</v>
      </c>
    </row>
    <row r="4059" spans="1:11" x14ac:dyDescent="0.25">
      <c r="A4059" t="s">
        <v>48</v>
      </c>
      <c r="B4059" t="s">
        <v>49</v>
      </c>
      <c r="C4059" t="s">
        <v>50</v>
      </c>
      <c r="D4059" s="6">
        <v>45909</v>
      </c>
      <c r="E4059" t="str">
        <f>VLOOKUP(B4059,'PROCV GERENTES BD'!A:B,2,0)</f>
        <v xml:space="preserve">MARCUS VINICIUS </v>
      </c>
      <c r="F4059" s="4" t="str">
        <f t="shared" si="378"/>
        <v>2025-09</v>
      </c>
      <c r="G4059" s="18">
        <f t="shared" si="379"/>
        <v>37</v>
      </c>
      <c r="H4059" t="str">
        <f t="shared" si="380"/>
        <v xml:space="preserve">MARCUS VINICIUS </v>
      </c>
      <c r="I4059" t="str">
        <f t="shared" si="381"/>
        <v>PROMEL IND COM IMP E EXP DE PRODS NATURAIS LTDA</v>
      </c>
      <c r="J4059">
        <f t="shared" si="382"/>
        <v>0</v>
      </c>
      <c r="K4059">
        <f t="shared" si="383"/>
        <v>1</v>
      </c>
    </row>
    <row r="4060" spans="1:11" x14ac:dyDescent="0.25">
      <c r="A4060" t="s">
        <v>413</v>
      </c>
      <c r="B4060" t="s">
        <v>163</v>
      </c>
      <c r="C4060" t="s">
        <v>50</v>
      </c>
      <c r="D4060" s="6">
        <v>45909</v>
      </c>
      <c r="E4060" t="str">
        <f>VLOOKUP(B4060,'PROCV GERENTES BD'!A:B,2,0)</f>
        <v>CELIO PIMENTA</v>
      </c>
      <c r="F4060" s="4" t="str">
        <f t="shared" si="378"/>
        <v>2025-09</v>
      </c>
      <c r="G4060" s="18">
        <f t="shared" si="379"/>
        <v>37</v>
      </c>
      <c r="H4060" t="str">
        <f t="shared" si="380"/>
        <v>CELIO PIMENTA</v>
      </c>
      <c r="I4060" t="str">
        <f t="shared" si="381"/>
        <v>TOUROS IMPLEMENTOS LTDA ME</v>
      </c>
      <c r="J4060">
        <f t="shared" si="382"/>
        <v>0</v>
      </c>
      <c r="K4060">
        <f t="shared" si="383"/>
        <v>1</v>
      </c>
    </row>
    <row r="4061" spans="1:11" x14ac:dyDescent="0.25">
      <c r="A4061" t="s">
        <v>510</v>
      </c>
      <c r="B4061" t="s">
        <v>273</v>
      </c>
      <c r="C4061" t="s">
        <v>50</v>
      </c>
      <c r="D4061" s="6">
        <v>45909</v>
      </c>
      <c r="E4061" t="str">
        <f>VLOOKUP(B4061,'PROCV GERENTES BD'!A:B,2,0)</f>
        <v>CELIO PIMENTA</v>
      </c>
      <c r="F4061" s="4" t="str">
        <f t="shared" si="378"/>
        <v>2025-09</v>
      </c>
      <c r="G4061" s="18">
        <f t="shared" si="379"/>
        <v>37</v>
      </c>
      <c r="H4061" t="str">
        <f t="shared" si="380"/>
        <v>CELIO PIMENTA</v>
      </c>
      <c r="I4061" t="str">
        <f t="shared" si="381"/>
        <v>PRADO MOREIRA TEXTIL LTDA ME</v>
      </c>
      <c r="J4061">
        <f t="shared" si="382"/>
        <v>0</v>
      </c>
      <c r="K4061">
        <f t="shared" si="383"/>
        <v>1</v>
      </c>
    </row>
    <row r="4062" spans="1:11" x14ac:dyDescent="0.25">
      <c r="A4062" t="s">
        <v>326</v>
      </c>
      <c r="B4062" t="s">
        <v>122</v>
      </c>
      <c r="C4062" t="s">
        <v>50</v>
      </c>
      <c r="D4062" s="6">
        <v>45909</v>
      </c>
      <c r="E4062" t="str">
        <f>VLOOKUP(B4062,'PROCV GERENTES BD'!A:B,2,0)</f>
        <v xml:space="preserve">ROGERIO </v>
      </c>
      <c r="F4062" s="4" t="str">
        <f t="shared" si="378"/>
        <v>2025-09</v>
      </c>
      <c r="G4062" s="18">
        <f t="shared" si="379"/>
        <v>37</v>
      </c>
      <c r="H4062" t="str">
        <f t="shared" si="380"/>
        <v xml:space="preserve">ROGERIO </v>
      </c>
      <c r="I4062" t="str">
        <f t="shared" si="381"/>
        <v>BIBE PRODUTOS INFANTIS LTDA</v>
      </c>
      <c r="J4062">
        <f t="shared" si="382"/>
        <v>0</v>
      </c>
      <c r="K4062">
        <f t="shared" si="383"/>
        <v>1</v>
      </c>
    </row>
    <row r="4063" spans="1:11" x14ac:dyDescent="0.25">
      <c r="A4063" t="s">
        <v>368</v>
      </c>
      <c r="B4063" t="s">
        <v>111</v>
      </c>
      <c r="C4063" t="s">
        <v>66</v>
      </c>
      <c r="D4063" s="6">
        <v>45910</v>
      </c>
      <c r="E4063" t="str">
        <f>VLOOKUP(B4063,'PROCV GERENTES BD'!A:B,2,0)</f>
        <v>ADMINISTRAÇÃO</v>
      </c>
      <c r="F4063" s="4" t="str">
        <f t="shared" si="378"/>
        <v>2025-09</v>
      </c>
      <c r="G4063" s="18">
        <f t="shared" si="379"/>
        <v>37</v>
      </c>
      <c r="H4063" t="str">
        <f t="shared" si="380"/>
        <v>ADMINISTRAÇÃO</v>
      </c>
      <c r="I4063" t="str">
        <f t="shared" si="381"/>
        <v>ARTECAL ELETROCENTROS S/A</v>
      </c>
      <c r="J4063">
        <f t="shared" si="382"/>
        <v>1</v>
      </c>
      <c r="K4063">
        <f t="shared" si="383"/>
        <v>0</v>
      </c>
    </row>
    <row r="4064" spans="1:11" x14ac:dyDescent="0.25">
      <c r="A4064" t="s">
        <v>510</v>
      </c>
      <c r="B4064" t="s">
        <v>273</v>
      </c>
      <c r="C4064" t="s">
        <v>50</v>
      </c>
      <c r="D4064" s="6">
        <v>45910</v>
      </c>
      <c r="E4064" t="str">
        <f>VLOOKUP(B4064,'PROCV GERENTES BD'!A:B,2,0)</f>
        <v>CELIO PIMENTA</v>
      </c>
      <c r="F4064" s="4" t="str">
        <f t="shared" si="378"/>
        <v>2025-09</v>
      </c>
      <c r="G4064" s="18">
        <f t="shared" si="379"/>
        <v>37</v>
      </c>
      <c r="H4064" t="str">
        <f t="shared" si="380"/>
        <v>CELIO PIMENTA</v>
      </c>
      <c r="I4064" t="str">
        <f t="shared" si="381"/>
        <v>PRADO MOREIRA TEXTIL LTDA ME</v>
      </c>
      <c r="J4064">
        <f t="shared" si="382"/>
        <v>0</v>
      </c>
      <c r="K4064">
        <f t="shared" si="383"/>
        <v>1</v>
      </c>
    </row>
    <row r="4065" spans="1:11" x14ac:dyDescent="0.25">
      <c r="A4065" t="s">
        <v>623</v>
      </c>
      <c r="B4065" t="s">
        <v>624</v>
      </c>
      <c r="C4065" t="s">
        <v>50</v>
      </c>
      <c r="D4065" s="6">
        <v>45910</v>
      </c>
      <c r="E4065" t="str">
        <f>VLOOKUP(B4065,'PROCV GERENTES BD'!A:B,2,0)</f>
        <v>ALISSON DE SOUZA LIMA</v>
      </c>
      <c r="F4065" s="4" t="str">
        <f t="shared" si="378"/>
        <v>2025-09</v>
      </c>
      <c r="G4065" s="18">
        <f t="shared" si="379"/>
        <v>37</v>
      </c>
      <c r="H4065" t="str">
        <f t="shared" si="380"/>
        <v>ALISSON DE SOUZA LIMA</v>
      </c>
      <c r="I4065" t="str">
        <f t="shared" si="381"/>
        <v>A2 VIDROS INDUSTRIA E COMERCIO LTDA</v>
      </c>
      <c r="J4065">
        <f t="shared" si="382"/>
        <v>0</v>
      </c>
      <c r="K4065">
        <f t="shared" si="383"/>
        <v>1</v>
      </c>
    </row>
    <row r="4066" spans="1:11" x14ac:dyDescent="0.25">
      <c r="A4066" t="s">
        <v>460</v>
      </c>
      <c r="B4066" t="s">
        <v>217</v>
      </c>
      <c r="C4066" t="s">
        <v>50</v>
      </c>
      <c r="D4066" s="6">
        <v>45910</v>
      </c>
      <c r="E4066" t="str">
        <f>VLOOKUP(B4066,'PROCV GERENTES BD'!A:B,2,0)</f>
        <v>CELIO PIMENTA</v>
      </c>
      <c r="F4066" s="4" t="str">
        <f t="shared" si="378"/>
        <v>2025-09</v>
      </c>
      <c r="G4066" s="18">
        <f t="shared" si="379"/>
        <v>37</v>
      </c>
      <c r="H4066" t="str">
        <f t="shared" si="380"/>
        <v>CELIO PIMENTA</v>
      </c>
      <c r="I4066" t="str">
        <f t="shared" si="381"/>
        <v>MINAS CLEAN DISTRIBUIDORA DE PRODUTOS PARA LIMPEZA</v>
      </c>
      <c r="J4066">
        <f t="shared" si="382"/>
        <v>0</v>
      </c>
      <c r="K4066">
        <f t="shared" si="383"/>
        <v>1</v>
      </c>
    </row>
    <row r="4067" spans="1:11" x14ac:dyDescent="0.25">
      <c r="A4067" t="s">
        <v>610</v>
      </c>
      <c r="B4067" t="s">
        <v>611</v>
      </c>
      <c r="C4067" t="s">
        <v>50</v>
      </c>
      <c r="D4067" s="6">
        <v>45910</v>
      </c>
      <c r="E4067" t="str">
        <f>VLOOKUP(B4067,'PROCV GERENTES BD'!A:B,2,0)</f>
        <v>TIAGO NEVES</v>
      </c>
      <c r="F4067" s="4" t="str">
        <f t="shared" si="378"/>
        <v>2025-09</v>
      </c>
      <c r="G4067" s="18">
        <f t="shared" si="379"/>
        <v>37</v>
      </c>
      <c r="H4067" t="str">
        <f t="shared" si="380"/>
        <v>TIAGO NEVES</v>
      </c>
      <c r="I4067" t="str">
        <f t="shared" si="381"/>
        <v>TRATOR GLASS LTDA ME</v>
      </c>
      <c r="J4067">
        <f t="shared" si="382"/>
        <v>0</v>
      </c>
      <c r="K4067">
        <f t="shared" si="383"/>
        <v>1</v>
      </c>
    </row>
    <row r="4068" spans="1:11" x14ac:dyDescent="0.25">
      <c r="A4068" t="s">
        <v>661</v>
      </c>
      <c r="B4068" t="s">
        <v>662</v>
      </c>
      <c r="C4068" t="s">
        <v>50</v>
      </c>
      <c r="D4068" s="6">
        <v>45910</v>
      </c>
      <c r="E4068" t="str">
        <f>VLOOKUP(B4068,'PROCV GERENTES BD'!A:B,2,0)</f>
        <v>PRISCILA METZ</v>
      </c>
      <c r="F4068" s="4" t="str">
        <f t="shared" si="378"/>
        <v>2025-09</v>
      </c>
      <c r="G4068" s="18">
        <f t="shared" si="379"/>
        <v>37</v>
      </c>
      <c r="H4068" t="str">
        <f t="shared" si="380"/>
        <v>PRISCILA METZ</v>
      </c>
      <c r="I4068" t="str">
        <f t="shared" si="381"/>
        <v>LIDER DISTRIBUIDORA DE MOVEIS E EQUIPAMENTOS PARA</v>
      </c>
      <c r="J4068">
        <f t="shared" si="382"/>
        <v>0</v>
      </c>
      <c r="K4068">
        <f t="shared" si="383"/>
        <v>1</v>
      </c>
    </row>
    <row r="4069" spans="1:11" x14ac:dyDescent="0.25">
      <c r="A4069" t="s">
        <v>67</v>
      </c>
      <c r="B4069" t="s">
        <v>68</v>
      </c>
      <c r="C4069" t="s">
        <v>50</v>
      </c>
      <c r="D4069" s="6">
        <v>45910</v>
      </c>
      <c r="E4069" t="str">
        <f>VLOOKUP(B4069,'PROCV GERENTES BD'!A:B,2,0)</f>
        <v xml:space="preserve">ROGERIO </v>
      </c>
      <c r="F4069" s="4" t="str">
        <f t="shared" si="378"/>
        <v>2025-09</v>
      </c>
      <c r="G4069" s="18">
        <f t="shared" si="379"/>
        <v>37</v>
      </c>
      <c r="H4069" t="str">
        <f t="shared" si="380"/>
        <v xml:space="preserve">ROGERIO </v>
      </c>
      <c r="I4069" t="str">
        <f t="shared" si="381"/>
        <v>DIOTTONI INDUSTRIA E COMERCIO DE ALIMENTOS LTDA ME</v>
      </c>
      <c r="J4069">
        <f t="shared" si="382"/>
        <v>0</v>
      </c>
      <c r="K4069">
        <f t="shared" si="383"/>
        <v>1</v>
      </c>
    </row>
    <row r="4070" spans="1:11" x14ac:dyDescent="0.25">
      <c r="A4070" t="s">
        <v>442</v>
      </c>
      <c r="B4070" t="s">
        <v>193</v>
      </c>
      <c r="C4070" t="s">
        <v>50</v>
      </c>
      <c r="D4070" s="6">
        <v>45910</v>
      </c>
      <c r="E4070" t="str">
        <f>VLOOKUP(B4070,'PROCV GERENTES BD'!A:B,2,0)</f>
        <v>CELIO PIMENTA</v>
      </c>
      <c r="F4070" s="4" t="str">
        <f t="shared" si="378"/>
        <v>2025-09</v>
      </c>
      <c r="G4070" s="18">
        <f t="shared" si="379"/>
        <v>37</v>
      </c>
      <c r="H4070" t="str">
        <f t="shared" si="380"/>
        <v>CELIO PIMENTA</v>
      </c>
      <c r="I4070" t="str">
        <f t="shared" si="381"/>
        <v>CIA TEXTIL LTDA ME</v>
      </c>
      <c r="J4070">
        <f t="shared" si="382"/>
        <v>0</v>
      </c>
      <c r="K4070">
        <f t="shared" si="383"/>
        <v>1</v>
      </c>
    </row>
    <row r="4071" spans="1:11" x14ac:dyDescent="0.25">
      <c r="A4071" t="s">
        <v>614</v>
      </c>
      <c r="B4071" t="s">
        <v>615</v>
      </c>
      <c r="C4071" t="s">
        <v>50</v>
      </c>
      <c r="D4071" s="6">
        <v>45910</v>
      </c>
      <c r="E4071" t="str">
        <f>VLOOKUP(B4071,'PROCV GERENTES BD'!A:B,2,0)</f>
        <v>RAFAEL PARISE</v>
      </c>
      <c r="F4071" s="4" t="str">
        <f t="shared" si="378"/>
        <v>2025-09</v>
      </c>
      <c r="G4071" s="18">
        <f t="shared" si="379"/>
        <v>37</v>
      </c>
      <c r="H4071" t="str">
        <f t="shared" si="380"/>
        <v>RAFAEL PARISE</v>
      </c>
      <c r="I4071" t="str">
        <f t="shared" si="381"/>
        <v>SAGATEC LTDA</v>
      </c>
      <c r="J4071">
        <f t="shared" si="382"/>
        <v>0</v>
      </c>
      <c r="K4071">
        <f t="shared" si="383"/>
        <v>1</v>
      </c>
    </row>
    <row r="4072" spans="1:11" x14ac:dyDescent="0.25">
      <c r="A4072" t="s">
        <v>64</v>
      </c>
      <c r="B4072" t="s">
        <v>65</v>
      </c>
      <c r="C4072" t="s">
        <v>53</v>
      </c>
      <c r="D4072" s="6">
        <v>45910</v>
      </c>
      <c r="E4072" t="str">
        <f>VLOOKUP(B4072,'PROCV GERENTES BD'!A:B,2,0)</f>
        <v>ADMINISTRAÇÃO</v>
      </c>
      <c r="F4072" s="4" t="str">
        <f t="shared" si="378"/>
        <v>2025-09</v>
      </c>
      <c r="G4072" s="18">
        <f t="shared" si="379"/>
        <v>37</v>
      </c>
      <c r="H4072" t="str">
        <f t="shared" si="380"/>
        <v>ADMINISTRAÇÃO</v>
      </c>
      <c r="I4072" t="str">
        <f t="shared" si="381"/>
        <v>SOCIAL S/A</v>
      </c>
      <c r="J4072">
        <f t="shared" si="382"/>
        <v>1</v>
      </c>
      <c r="K4072">
        <f t="shared" si="383"/>
        <v>1</v>
      </c>
    </row>
    <row r="4073" spans="1:11" x14ac:dyDescent="0.25">
      <c r="A4073" t="s">
        <v>326</v>
      </c>
      <c r="B4073" t="s">
        <v>122</v>
      </c>
      <c r="C4073" t="s">
        <v>66</v>
      </c>
      <c r="D4073" s="6">
        <v>45910</v>
      </c>
      <c r="E4073" t="str">
        <f>VLOOKUP(B4073,'PROCV GERENTES BD'!A:B,2,0)</f>
        <v xml:space="preserve">ROGERIO </v>
      </c>
      <c r="F4073" s="4" t="str">
        <f t="shared" si="378"/>
        <v>2025-09</v>
      </c>
      <c r="G4073" s="18">
        <f t="shared" si="379"/>
        <v>37</v>
      </c>
      <c r="H4073" t="str">
        <f t="shared" si="380"/>
        <v xml:space="preserve">ROGERIO </v>
      </c>
      <c r="I4073" t="str">
        <f t="shared" si="381"/>
        <v>BIBE PRODUTOS INFANTIS LTDA</v>
      </c>
      <c r="J4073">
        <f t="shared" si="382"/>
        <v>1</v>
      </c>
      <c r="K4073">
        <f t="shared" si="383"/>
        <v>0</v>
      </c>
    </row>
    <row r="4074" spans="1:11" x14ac:dyDescent="0.25">
      <c r="A4074" t="s">
        <v>62</v>
      </c>
      <c r="B4074" t="s">
        <v>63</v>
      </c>
      <c r="C4074" t="s">
        <v>50</v>
      </c>
      <c r="D4074" s="6">
        <v>45910</v>
      </c>
      <c r="E4074" t="str">
        <f>VLOOKUP(B4074,'PROCV GERENTES BD'!A:B,2,0)</f>
        <v>PROSPECTAR</v>
      </c>
      <c r="F4074" s="4" t="str">
        <f t="shared" si="378"/>
        <v>2025-09</v>
      </c>
      <c r="G4074" s="18">
        <f t="shared" si="379"/>
        <v>37</v>
      </c>
      <c r="H4074" t="str">
        <f t="shared" si="380"/>
        <v>PROSPECTAR</v>
      </c>
      <c r="I4074" t="str">
        <f t="shared" si="381"/>
        <v>MAPP COM IMPORTACAO EXPORTACAO IND PRODUTOS ALIMEN</v>
      </c>
      <c r="J4074">
        <f t="shared" si="382"/>
        <v>0</v>
      </c>
      <c r="K4074">
        <f t="shared" si="383"/>
        <v>1</v>
      </c>
    </row>
    <row r="4075" spans="1:11" x14ac:dyDescent="0.25">
      <c r="A4075" t="s">
        <v>317</v>
      </c>
      <c r="B4075" t="s">
        <v>280</v>
      </c>
      <c r="C4075" t="s">
        <v>50</v>
      </c>
      <c r="D4075" s="6">
        <v>45910</v>
      </c>
      <c r="E4075" t="str">
        <f>VLOOKUP(B4075,'PROCV GERENTES BD'!A:B,2,0)</f>
        <v>PROSPECTAR</v>
      </c>
      <c r="F4075" s="4" t="str">
        <f t="shared" si="378"/>
        <v>2025-09</v>
      </c>
      <c r="G4075" s="18">
        <f t="shared" si="379"/>
        <v>37</v>
      </c>
      <c r="H4075" t="str">
        <f t="shared" si="380"/>
        <v>PROSPECTAR</v>
      </c>
      <c r="I4075" t="str">
        <f t="shared" si="381"/>
        <v>STA TECHCANA LTDA</v>
      </c>
      <c r="J4075">
        <f t="shared" si="382"/>
        <v>0</v>
      </c>
      <c r="K4075">
        <f t="shared" si="383"/>
        <v>1</v>
      </c>
    </row>
    <row r="4076" spans="1:11" x14ac:dyDescent="0.25">
      <c r="A4076" t="s">
        <v>631</v>
      </c>
      <c r="B4076" t="s">
        <v>561</v>
      </c>
      <c r="C4076" t="s">
        <v>66</v>
      </c>
      <c r="D4076" s="6">
        <v>45910</v>
      </c>
      <c r="E4076" t="str">
        <f>VLOOKUP(B4076,'PROCV GERENTES BD'!A:B,2,0)</f>
        <v>VALERIA</v>
      </c>
      <c r="F4076" s="4" t="str">
        <f t="shared" si="378"/>
        <v>2025-09</v>
      </c>
      <c r="G4076" s="18">
        <f t="shared" si="379"/>
        <v>37</v>
      </c>
      <c r="H4076" t="str">
        <f t="shared" si="380"/>
        <v>VALERIA</v>
      </c>
      <c r="I4076" t="str">
        <f t="shared" si="381"/>
        <v>TRANSPORTADORA PACHECO LTDA EPP</v>
      </c>
      <c r="J4076">
        <f t="shared" si="382"/>
        <v>1</v>
      </c>
      <c r="K4076">
        <f t="shared" si="383"/>
        <v>0</v>
      </c>
    </row>
    <row r="4077" spans="1:11" x14ac:dyDescent="0.25">
      <c r="A4077" t="s">
        <v>58</v>
      </c>
      <c r="B4077" t="s">
        <v>59</v>
      </c>
      <c r="C4077" t="s">
        <v>66</v>
      </c>
      <c r="D4077" s="6">
        <v>45910</v>
      </c>
      <c r="E4077" t="str">
        <f>VLOOKUP(B4077,'PROCV GERENTES BD'!A:B,2,0)</f>
        <v>ADMINISTRAÇÃO</v>
      </c>
      <c r="F4077" s="4" t="str">
        <f t="shared" si="378"/>
        <v>2025-09</v>
      </c>
      <c r="G4077" s="18">
        <f t="shared" si="379"/>
        <v>37</v>
      </c>
      <c r="H4077" t="str">
        <f t="shared" si="380"/>
        <v>ADMINISTRAÇÃO</v>
      </c>
      <c r="I4077" t="str">
        <f t="shared" si="381"/>
        <v>BIOTECH LOGISTICA LTDA</v>
      </c>
      <c r="J4077">
        <f t="shared" si="382"/>
        <v>1</v>
      </c>
      <c r="K4077">
        <f t="shared" si="383"/>
        <v>0</v>
      </c>
    </row>
    <row r="4078" spans="1:11" x14ac:dyDescent="0.25">
      <c r="A4078" t="s">
        <v>56</v>
      </c>
      <c r="B4078" t="s">
        <v>57</v>
      </c>
      <c r="C4078" t="s">
        <v>53</v>
      </c>
      <c r="D4078" s="6">
        <v>45910</v>
      </c>
      <c r="E4078" t="str">
        <f>VLOOKUP(B4078,'PROCV GERENTES BD'!A:B,2,0)</f>
        <v xml:space="preserve">ROGERIO </v>
      </c>
      <c r="F4078" s="4" t="str">
        <f t="shared" si="378"/>
        <v>2025-09</v>
      </c>
      <c r="G4078" s="18">
        <f t="shared" si="379"/>
        <v>37</v>
      </c>
      <c r="H4078" t="str">
        <f t="shared" si="380"/>
        <v xml:space="preserve">ROGERIO </v>
      </c>
      <c r="I4078" t="str">
        <f t="shared" si="381"/>
        <v>RODOVIEIRA TRANSPORTE LTDA</v>
      </c>
      <c r="J4078">
        <f t="shared" si="382"/>
        <v>1</v>
      </c>
      <c r="K4078">
        <f t="shared" si="383"/>
        <v>1</v>
      </c>
    </row>
    <row r="4079" spans="1:11" x14ac:dyDescent="0.25">
      <c r="A4079" t="s">
        <v>331</v>
      </c>
      <c r="B4079" t="s">
        <v>144</v>
      </c>
      <c r="C4079" t="s">
        <v>50</v>
      </c>
      <c r="D4079" s="6">
        <v>45910</v>
      </c>
      <c r="E4079" t="str">
        <f>VLOOKUP(B4079,'PROCV GERENTES BD'!A:B,2,0)</f>
        <v>ADMINISTRAÇÃO</v>
      </c>
      <c r="F4079" s="4" t="str">
        <f t="shared" si="378"/>
        <v>2025-09</v>
      </c>
      <c r="G4079" s="18">
        <f t="shared" si="379"/>
        <v>37</v>
      </c>
      <c r="H4079" t="str">
        <f t="shared" si="380"/>
        <v>ADMINISTRAÇÃO</v>
      </c>
      <c r="I4079" t="str">
        <f t="shared" si="381"/>
        <v>BOM PASTOR PAPEIS LTDA EM RECUPERACAO JUDICIAL</v>
      </c>
      <c r="J4079">
        <f t="shared" si="382"/>
        <v>0</v>
      </c>
      <c r="K4079">
        <f t="shared" si="383"/>
        <v>1</v>
      </c>
    </row>
    <row r="4080" spans="1:11" x14ac:dyDescent="0.25">
      <c r="A4080" t="s">
        <v>387</v>
      </c>
      <c r="B4080" t="s">
        <v>134</v>
      </c>
      <c r="C4080" t="s">
        <v>50</v>
      </c>
      <c r="D4080" s="6">
        <v>45910</v>
      </c>
      <c r="E4080" t="str">
        <f>VLOOKUP(B4080,'PROCV GERENTES BD'!A:B,2,0)</f>
        <v>RAFAEL PARISE</v>
      </c>
      <c r="F4080" s="4" t="str">
        <f t="shared" si="378"/>
        <v>2025-09</v>
      </c>
      <c r="G4080" s="18">
        <f t="shared" si="379"/>
        <v>37</v>
      </c>
      <c r="H4080" t="str">
        <f t="shared" si="380"/>
        <v>RAFAEL PARISE</v>
      </c>
      <c r="I4080" t="str">
        <f t="shared" si="381"/>
        <v>MAIS DISTRIBUIDORA LTDA</v>
      </c>
      <c r="J4080">
        <f t="shared" si="382"/>
        <v>0</v>
      </c>
      <c r="K4080">
        <f t="shared" si="383"/>
        <v>1</v>
      </c>
    </row>
    <row r="4081" spans="1:11" x14ac:dyDescent="0.25">
      <c r="A4081" t="s">
        <v>324</v>
      </c>
      <c r="B4081" t="s">
        <v>119</v>
      </c>
      <c r="C4081" t="s">
        <v>50</v>
      </c>
      <c r="D4081" s="6">
        <v>45910</v>
      </c>
      <c r="E4081" t="str">
        <f>VLOOKUP(B4081,'PROCV GERENTES BD'!A:B,2,0)</f>
        <v>PROSPECTAR</v>
      </c>
      <c r="F4081" s="4" t="str">
        <f t="shared" si="378"/>
        <v>2025-09</v>
      </c>
      <c r="G4081" s="18">
        <f t="shared" si="379"/>
        <v>37</v>
      </c>
      <c r="H4081" t="str">
        <f t="shared" si="380"/>
        <v>PROSPECTAR</v>
      </c>
      <c r="I4081" t="str">
        <f t="shared" si="381"/>
        <v>TRANSHENRY TRANSPORTES LTDA</v>
      </c>
      <c r="J4081">
        <f t="shared" si="382"/>
        <v>0</v>
      </c>
      <c r="K4081">
        <f t="shared" si="383"/>
        <v>1</v>
      </c>
    </row>
    <row r="4082" spans="1:11" x14ac:dyDescent="0.25">
      <c r="A4082" t="s">
        <v>523</v>
      </c>
      <c r="B4082" t="s">
        <v>288</v>
      </c>
      <c r="C4082" t="s">
        <v>53</v>
      </c>
      <c r="D4082" s="6">
        <v>45910</v>
      </c>
      <c r="E4082" t="str">
        <f>VLOOKUP(B4082,'PROCV GERENTES BD'!A:B,2,0)</f>
        <v>ADMINISTRAÇÃO</v>
      </c>
      <c r="F4082" s="4" t="str">
        <f t="shared" si="378"/>
        <v>2025-09</v>
      </c>
      <c r="G4082" s="18">
        <f t="shared" si="379"/>
        <v>37</v>
      </c>
      <c r="H4082" t="str">
        <f t="shared" si="380"/>
        <v>ADMINISTRAÇÃO</v>
      </c>
      <c r="I4082" t="str">
        <f t="shared" si="381"/>
        <v>REFRACONT BRASIL LTDA</v>
      </c>
      <c r="J4082">
        <f t="shared" si="382"/>
        <v>1</v>
      </c>
      <c r="K4082">
        <f t="shared" si="383"/>
        <v>1</v>
      </c>
    </row>
    <row r="4083" spans="1:11" x14ac:dyDescent="0.25">
      <c r="A4083" t="s">
        <v>304</v>
      </c>
      <c r="B4083" t="s">
        <v>123</v>
      </c>
      <c r="C4083" t="s">
        <v>66</v>
      </c>
      <c r="D4083" s="6">
        <v>45910</v>
      </c>
      <c r="E4083" t="str">
        <f>VLOOKUP(B4083,'PROCV GERENTES BD'!A:B,2,0)</f>
        <v>ADMINISTRAÇÃO</v>
      </c>
      <c r="F4083" s="4" t="str">
        <f t="shared" si="378"/>
        <v>2025-09</v>
      </c>
      <c r="G4083" s="18">
        <f t="shared" si="379"/>
        <v>37</v>
      </c>
      <c r="H4083" t="str">
        <f t="shared" si="380"/>
        <v>ADMINISTRAÇÃO</v>
      </c>
      <c r="I4083" t="str">
        <f t="shared" si="381"/>
        <v>VIC LOGISTICA LTDA EM RECUPERACAO JUDICIAL</v>
      </c>
      <c r="J4083">
        <f t="shared" si="382"/>
        <v>1</v>
      </c>
      <c r="K4083">
        <f t="shared" si="383"/>
        <v>0</v>
      </c>
    </row>
    <row r="4084" spans="1:11" x14ac:dyDescent="0.25">
      <c r="A4084" t="s">
        <v>604</v>
      </c>
      <c r="B4084" t="s">
        <v>605</v>
      </c>
      <c r="C4084" t="s">
        <v>50</v>
      </c>
      <c r="D4084" s="6">
        <v>45910</v>
      </c>
      <c r="E4084" t="str">
        <f>VLOOKUP(B4084,'PROCV GERENTES BD'!A:B,2,0)</f>
        <v>ALISSON DE SOUZA LIMA</v>
      </c>
      <c r="F4084" s="4" t="str">
        <f t="shared" si="378"/>
        <v>2025-09</v>
      </c>
      <c r="G4084" s="18">
        <f t="shared" si="379"/>
        <v>37</v>
      </c>
      <c r="H4084" t="str">
        <f t="shared" si="380"/>
        <v>ALISSON DE SOUZA LIMA</v>
      </c>
      <c r="I4084" t="str">
        <f t="shared" si="381"/>
        <v>3J FUNDICAO INDUSTRIAL LTDA</v>
      </c>
      <c r="J4084">
        <f t="shared" si="382"/>
        <v>0</v>
      </c>
      <c r="K4084">
        <f t="shared" si="383"/>
        <v>1</v>
      </c>
    </row>
    <row r="4085" spans="1:11" x14ac:dyDescent="0.25">
      <c r="A4085" t="s">
        <v>407</v>
      </c>
      <c r="B4085" t="s">
        <v>157</v>
      </c>
      <c r="C4085" t="s">
        <v>66</v>
      </c>
      <c r="D4085" s="6">
        <v>45910</v>
      </c>
      <c r="E4085" t="str">
        <f>VLOOKUP(B4085,'PROCV GERENTES BD'!A:B,2,0)</f>
        <v>NOELI SALETE</v>
      </c>
      <c r="F4085" s="4" t="str">
        <f t="shared" si="378"/>
        <v>2025-09</v>
      </c>
      <c r="G4085" s="18">
        <f t="shared" si="379"/>
        <v>37</v>
      </c>
      <c r="H4085" t="str">
        <f t="shared" si="380"/>
        <v>NOELI SALETE</v>
      </c>
      <c r="I4085" t="str">
        <f t="shared" si="381"/>
        <v>SGAMAQ INOVACAO AGROINDUSTRIAL LTDA</v>
      </c>
      <c r="J4085">
        <f t="shared" si="382"/>
        <v>1</v>
      </c>
      <c r="K4085">
        <f t="shared" si="383"/>
        <v>0</v>
      </c>
    </row>
    <row r="4086" spans="1:11" x14ac:dyDescent="0.25">
      <c r="A4086" t="s">
        <v>523</v>
      </c>
      <c r="B4086" t="s">
        <v>288</v>
      </c>
      <c r="C4086" t="s">
        <v>66</v>
      </c>
      <c r="D4086" s="6">
        <v>45911</v>
      </c>
      <c r="E4086" t="str">
        <f>VLOOKUP(B4086,'PROCV GERENTES BD'!A:B,2,0)</f>
        <v>ADMINISTRAÇÃO</v>
      </c>
      <c r="F4086" s="4" t="str">
        <f t="shared" si="378"/>
        <v>2025-09</v>
      </c>
      <c r="G4086" s="18">
        <f t="shared" si="379"/>
        <v>37</v>
      </c>
      <c r="H4086" t="str">
        <f t="shared" si="380"/>
        <v>ADMINISTRAÇÃO</v>
      </c>
      <c r="I4086" t="str">
        <f t="shared" si="381"/>
        <v>REFRACONT BRASIL LTDA</v>
      </c>
      <c r="J4086">
        <f t="shared" si="382"/>
        <v>1</v>
      </c>
      <c r="K4086">
        <f t="shared" si="383"/>
        <v>0</v>
      </c>
    </row>
    <row r="4087" spans="1:11" x14ac:dyDescent="0.25">
      <c r="A4087" t="s">
        <v>630</v>
      </c>
      <c r="B4087" t="s">
        <v>559</v>
      </c>
      <c r="C4087" t="s">
        <v>50</v>
      </c>
      <c r="D4087" s="6">
        <v>45911</v>
      </c>
      <c r="E4087" t="str">
        <f>VLOOKUP(B4087,'PROCV GERENTES BD'!A:B,2,0)</f>
        <v>ALISSON DE SOUZA LIMA</v>
      </c>
      <c r="F4087" s="4" t="str">
        <f t="shared" si="378"/>
        <v>2025-09</v>
      </c>
      <c r="G4087" s="18">
        <f t="shared" si="379"/>
        <v>37</v>
      </c>
      <c r="H4087" t="str">
        <f t="shared" si="380"/>
        <v>ALISSON DE SOUZA LIMA</v>
      </c>
      <c r="I4087" t="str">
        <f t="shared" si="381"/>
        <v>JRG SOLUCOES INDUSTRIAIS LTDA</v>
      </c>
      <c r="J4087">
        <f t="shared" si="382"/>
        <v>0</v>
      </c>
      <c r="K4087">
        <f t="shared" si="383"/>
        <v>1</v>
      </c>
    </row>
    <row r="4088" spans="1:11" x14ac:dyDescent="0.25">
      <c r="A4088" t="s">
        <v>601</v>
      </c>
      <c r="B4088" t="s">
        <v>552</v>
      </c>
      <c r="C4088" t="s">
        <v>50</v>
      </c>
      <c r="D4088" s="6">
        <v>45911</v>
      </c>
      <c r="E4088" t="str">
        <f>VLOOKUP(B4088,'PROCV GERENTES BD'!A:B,2,0)</f>
        <v>DALVA</v>
      </c>
      <c r="F4088" s="4" t="str">
        <f t="shared" si="378"/>
        <v>2025-09</v>
      </c>
      <c r="G4088" s="18">
        <f t="shared" si="379"/>
        <v>37</v>
      </c>
      <c r="H4088" t="str">
        <f t="shared" si="380"/>
        <v>DALVA</v>
      </c>
      <c r="I4088" t="str">
        <f t="shared" si="381"/>
        <v>NOVA CALDERARIA MONTAGEM LTDA EPP</v>
      </c>
      <c r="J4088">
        <f t="shared" si="382"/>
        <v>0</v>
      </c>
      <c r="K4088">
        <f t="shared" si="383"/>
        <v>1</v>
      </c>
    </row>
    <row r="4089" spans="1:11" x14ac:dyDescent="0.25">
      <c r="A4089" t="s">
        <v>515</v>
      </c>
      <c r="B4089" t="s">
        <v>277</v>
      </c>
      <c r="C4089" t="s">
        <v>66</v>
      </c>
      <c r="D4089" s="6">
        <v>45911</v>
      </c>
      <c r="E4089" t="str">
        <f>VLOOKUP(B4089,'PROCV GERENTES BD'!A:B,2,0)</f>
        <v>ALISSON DE SOUZA LIMA</v>
      </c>
      <c r="F4089" s="4" t="str">
        <f t="shared" si="378"/>
        <v>2025-09</v>
      </c>
      <c r="G4089" s="18">
        <f t="shared" si="379"/>
        <v>37</v>
      </c>
      <c r="H4089" t="str">
        <f t="shared" si="380"/>
        <v>ALISSON DE SOUZA LIMA</v>
      </c>
      <c r="I4089" t="str">
        <f t="shared" si="381"/>
        <v>COMERCIAL GTS INFORMATICA LTDA EPP</v>
      </c>
      <c r="J4089">
        <f t="shared" si="382"/>
        <v>1</v>
      </c>
      <c r="K4089">
        <f t="shared" si="383"/>
        <v>0</v>
      </c>
    </row>
    <row r="4090" spans="1:11" x14ac:dyDescent="0.25">
      <c r="A4090" t="s">
        <v>651</v>
      </c>
      <c r="B4090" t="s">
        <v>652</v>
      </c>
      <c r="C4090" t="s">
        <v>66</v>
      </c>
      <c r="D4090" s="6">
        <v>45911</v>
      </c>
      <c r="E4090" t="str">
        <f>VLOOKUP(B4090,'PROCV GERENTES BD'!A:B,2,0)</f>
        <v>PROSPECTAR</v>
      </c>
      <c r="F4090" s="4" t="str">
        <f t="shared" si="378"/>
        <v>2025-09</v>
      </c>
      <c r="G4090" s="18">
        <f t="shared" si="379"/>
        <v>37</v>
      </c>
      <c r="H4090" t="str">
        <f t="shared" si="380"/>
        <v>PROSPECTAR</v>
      </c>
      <c r="I4090" t="str">
        <f t="shared" si="381"/>
        <v>C A M DIAS SOARES LTDA EPP</v>
      </c>
      <c r="J4090">
        <f t="shared" si="382"/>
        <v>1</v>
      </c>
      <c r="K4090">
        <f t="shared" si="383"/>
        <v>0</v>
      </c>
    </row>
    <row r="4091" spans="1:11" x14ac:dyDescent="0.25">
      <c r="A4091" t="s">
        <v>442</v>
      </c>
      <c r="B4091" t="s">
        <v>193</v>
      </c>
      <c r="C4091" t="s">
        <v>66</v>
      </c>
      <c r="D4091" s="6">
        <v>45911</v>
      </c>
      <c r="E4091" t="str">
        <f>VLOOKUP(B4091,'PROCV GERENTES BD'!A:B,2,0)</f>
        <v>CELIO PIMENTA</v>
      </c>
      <c r="F4091" s="4" t="str">
        <f t="shared" si="378"/>
        <v>2025-09</v>
      </c>
      <c r="G4091" s="18">
        <f t="shared" si="379"/>
        <v>37</v>
      </c>
      <c r="H4091" t="str">
        <f t="shared" si="380"/>
        <v>CELIO PIMENTA</v>
      </c>
      <c r="I4091" t="str">
        <f t="shared" si="381"/>
        <v>CIA TEXTIL LTDA ME</v>
      </c>
      <c r="J4091">
        <f t="shared" si="382"/>
        <v>1</v>
      </c>
      <c r="K4091">
        <f t="shared" si="383"/>
        <v>0</v>
      </c>
    </row>
    <row r="4092" spans="1:11" x14ac:dyDescent="0.25">
      <c r="A4092" t="s">
        <v>519</v>
      </c>
      <c r="B4092" t="s">
        <v>283</v>
      </c>
      <c r="C4092" t="s">
        <v>50</v>
      </c>
      <c r="D4092" s="6">
        <v>45911</v>
      </c>
      <c r="E4092" t="str">
        <f>VLOOKUP(B4092,'PROCV GERENTES BD'!A:B,2,0)</f>
        <v>DALVA</v>
      </c>
      <c r="F4092" s="4" t="str">
        <f t="shared" si="378"/>
        <v>2025-09</v>
      </c>
      <c r="G4092" s="18">
        <f t="shared" si="379"/>
        <v>37</v>
      </c>
      <c r="H4092" t="str">
        <f t="shared" si="380"/>
        <v>DALVA</v>
      </c>
      <c r="I4092" t="str">
        <f t="shared" si="381"/>
        <v>LTA USINAGEM LTDA EPP</v>
      </c>
      <c r="J4092">
        <f t="shared" si="382"/>
        <v>0</v>
      </c>
      <c r="K4092">
        <f t="shared" si="383"/>
        <v>1</v>
      </c>
    </row>
    <row r="4093" spans="1:11" x14ac:dyDescent="0.25">
      <c r="A4093" t="s">
        <v>499</v>
      </c>
      <c r="B4093" t="s">
        <v>258</v>
      </c>
      <c r="C4093" t="s">
        <v>50</v>
      </c>
      <c r="D4093" s="6">
        <v>45911</v>
      </c>
      <c r="E4093" t="str">
        <f>VLOOKUP(B4093,'PROCV GERENTES BD'!A:B,2,0)</f>
        <v>PRISCILA METZ</v>
      </c>
      <c r="F4093" s="4" t="str">
        <f t="shared" si="378"/>
        <v>2025-09</v>
      </c>
      <c r="G4093" s="18">
        <f t="shared" si="379"/>
        <v>37</v>
      </c>
      <c r="H4093" t="str">
        <f t="shared" si="380"/>
        <v>PRISCILA METZ</v>
      </c>
      <c r="I4093" t="str">
        <f t="shared" si="381"/>
        <v>PLATINUM INDUSTRIA DE CONFECCOES LTDA</v>
      </c>
      <c r="J4093">
        <f t="shared" si="382"/>
        <v>0</v>
      </c>
      <c r="K4093">
        <f t="shared" si="383"/>
        <v>1</v>
      </c>
    </row>
    <row r="4094" spans="1:11" x14ac:dyDescent="0.25">
      <c r="A4094" t="s">
        <v>604</v>
      </c>
      <c r="B4094" t="s">
        <v>605</v>
      </c>
      <c r="C4094" t="s">
        <v>53</v>
      </c>
      <c r="D4094" s="6">
        <v>45911</v>
      </c>
      <c r="E4094" t="str">
        <f>VLOOKUP(B4094,'PROCV GERENTES BD'!A:B,2,0)</f>
        <v>ALISSON DE SOUZA LIMA</v>
      </c>
      <c r="F4094" s="4" t="str">
        <f t="shared" si="378"/>
        <v>2025-09</v>
      </c>
      <c r="G4094" s="18">
        <f t="shared" si="379"/>
        <v>37</v>
      </c>
      <c r="H4094" t="str">
        <f t="shared" si="380"/>
        <v>ALISSON DE SOUZA LIMA</v>
      </c>
      <c r="I4094" t="str">
        <f t="shared" si="381"/>
        <v>3J FUNDICAO INDUSTRIAL LTDA</v>
      </c>
      <c r="J4094">
        <f t="shared" si="382"/>
        <v>1</v>
      </c>
      <c r="K4094">
        <f t="shared" si="383"/>
        <v>1</v>
      </c>
    </row>
    <row r="4095" spans="1:11" x14ac:dyDescent="0.25">
      <c r="A4095" t="s">
        <v>317</v>
      </c>
      <c r="B4095" t="s">
        <v>280</v>
      </c>
      <c r="C4095" t="s">
        <v>66</v>
      </c>
      <c r="D4095" s="6">
        <v>45911</v>
      </c>
      <c r="E4095" t="str">
        <f>VLOOKUP(B4095,'PROCV GERENTES BD'!A:B,2,0)</f>
        <v>PROSPECTAR</v>
      </c>
      <c r="F4095" s="4" t="str">
        <f t="shared" si="378"/>
        <v>2025-09</v>
      </c>
      <c r="G4095" s="18">
        <f t="shared" si="379"/>
        <v>37</v>
      </c>
      <c r="H4095" t="str">
        <f t="shared" si="380"/>
        <v>PROSPECTAR</v>
      </c>
      <c r="I4095" t="str">
        <f t="shared" si="381"/>
        <v>STA TECHCANA LTDA</v>
      </c>
      <c r="J4095">
        <f t="shared" si="382"/>
        <v>1</v>
      </c>
      <c r="K4095">
        <f t="shared" si="383"/>
        <v>0</v>
      </c>
    </row>
    <row r="4096" spans="1:11" x14ac:dyDescent="0.25">
      <c r="A4096" t="s">
        <v>58</v>
      </c>
      <c r="B4096" t="s">
        <v>59</v>
      </c>
      <c r="C4096" t="s">
        <v>66</v>
      </c>
      <c r="D4096" s="6">
        <v>45911</v>
      </c>
      <c r="E4096" t="str">
        <f>VLOOKUP(B4096,'PROCV GERENTES BD'!A:B,2,0)</f>
        <v>ADMINISTRAÇÃO</v>
      </c>
      <c r="F4096" s="4" t="str">
        <f t="shared" si="378"/>
        <v>2025-09</v>
      </c>
      <c r="G4096" s="18">
        <f t="shared" si="379"/>
        <v>37</v>
      </c>
      <c r="H4096" t="str">
        <f t="shared" si="380"/>
        <v>ADMINISTRAÇÃO</v>
      </c>
      <c r="I4096" t="str">
        <f t="shared" si="381"/>
        <v>BIOTECH LOGISTICA LTDA</v>
      </c>
      <c r="J4096">
        <f t="shared" si="382"/>
        <v>1</v>
      </c>
      <c r="K4096">
        <f t="shared" si="383"/>
        <v>0</v>
      </c>
    </row>
    <row r="4097" spans="1:11" x14ac:dyDescent="0.25">
      <c r="A4097" t="s">
        <v>361</v>
      </c>
      <c r="B4097" t="s">
        <v>106</v>
      </c>
      <c r="C4097" t="s">
        <v>50</v>
      </c>
      <c r="D4097" s="6">
        <v>45911</v>
      </c>
      <c r="E4097" t="str">
        <f>VLOOKUP(B4097,'PROCV GERENTES BD'!A:B,2,0)</f>
        <v>PRISCILA METZ</v>
      </c>
      <c r="F4097" s="4" t="str">
        <f t="shared" si="378"/>
        <v>2025-09</v>
      </c>
      <c r="G4097" s="18">
        <f t="shared" si="379"/>
        <v>37</v>
      </c>
      <c r="H4097" t="str">
        <f t="shared" si="380"/>
        <v>PRISCILA METZ</v>
      </c>
      <c r="I4097" t="str">
        <f t="shared" si="381"/>
        <v>HERBAMED LABORATORIO NUTRACEUTICO LTDA</v>
      </c>
      <c r="J4097">
        <f t="shared" si="382"/>
        <v>0</v>
      </c>
      <c r="K4097">
        <f t="shared" si="383"/>
        <v>1</v>
      </c>
    </row>
    <row r="4098" spans="1:11" x14ac:dyDescent="0.25">
      <c r="A4098" t="s">
        <v>663</v>
      </c>
      <c r="B4098" t="s">
        <v>664</v>
      </c>
      <c r="C4098" t="s">
        <v>50</v>
      </c>
      <c r="D4098" s="6">
        <v>45911</v>
      </c>
      <c r="E4098" t="str">
        <f>VLOOKUP(B4098,'PROCV GERENTES BD'!A:B,2,0)</f>
        <v>ADMINISTRAÇÃO</v>
      </c>
      <c r="F4098" s="4" t="str">
        <f t="shared" ref="F4098:F4161" si="384">YEAR(D4098)&amp;"-"&amp;TEXT(MONTH(D4098),"00")</f>
        <v>2025-09</v>
      </c>
      <c r="G4098" s="18">
        <f t="shared" ref="G4098:G4161" si="385">WEEKNUM(D4098)</f>
        <v>37</v>
      </c>
      <c r="H4098" t="str">
        <f t="shared" ref="H4098:H4161" si="386">E4098</f>
        <v>ADMINISTRAÇÃO</v>
      </c>
      <c r="I4098" t="str">
        <f t="shared" ref="I4098:I4161" si="387">B4098</f>
        <v>PRIVILEGIO CONFECCOES LTDA ME</v>
      </c>
      <c r="J4098">
        <f t="shared" ref="J4098:J4161" si="388">IF(OR(C4098="EXCLUSAO  ANOT.INADIMPLENCIA",C4098="INCL/EXCL ANOT.INADIMPLENCIA"),1,0)</f>
        <v>0</v>
      </c>
      <c r="K4098">
        <f t="shared" ref="K4098:K4161" si="389">IF(OR(C4098="INCLUSAO  ANOT.INADIMPLENCIA",C4098="INCL/EXCL ANOT.INADIMPLENCIA"),1,0)</f>
        <v>1</v>
      </c>
    </row>
    <row r="4099" spans="1:11" x14ac:dyDescent="0.25">
      <c r="A4099" t="s">
        <v>387</v>
      </c>
      <c r="B4099" t="s">
        <v>134</v>
      </c>
      <c r="C4099" t="s">
        <v>50</v>
      </c>
      <c r="D4099" s="6">
        <v>45911</v>
      </c>
      <c r="E4099" t="str">
        <f>VLOOKUP(B4099,'PROCV GERENTES BD'!A:B,2,0)</f>
        <v>RAFAEL PARISE</v>
      </c>
      <c r="F4099" s="4" t="str">
        <f t="shared" si="384"/>
        <v>2025-09</v>
      </c>
      <c r="G4099" s="18">
        <f t="shared" si="385"/>
        <v>37</v>
      </c>
      <c r="H4099" t="str">
        <f t="shared" si="386"/>
        <v>RAFAEL PARISE</v>
      </c>
      <c r="I4099" t="str">
        <f t="shared" si="387"/>
        <v>MAIS DISTRIBUIDORA LTDA</v>
      </c>
      <c r="J4099">
        <f t="shared" si="388"/>
        <v>0</v>
      </c>
      <c r="K4099">
        <f t="shared" si="389"/>
        <v>1</v>
      </c>
    </row>
    <row r="4100" spans="1:11" x14ac:dyDescent="0.25">
      <c r="A4100" t="s">
        <v>629</v>
      </c>
      <c r="B4100" t="s">
        <v>550</v>
      </c>
      <c r="C4100" t="s">
        <v>66</v>
      </c>
      <c r="D4100" s="6">
        <v>45911</v>
      </c>
      <c r="E4100" t="str">
        <f>VLOOKUP(B4100,'PROCV GERENTES BD'!A:B,2,0)</f>
        <v>CREDTEM</v>
      </c>
      <c r="F4100" s="4" t="str">
        <f t="shared" si="384"/>
        <v>2025-09</v>
      </c>
      <c r="G4100" s="18">
        <f t="shared" si="385"/>
        <v>37</v>
      </c>
      <c r="H4100" t="str">
        <f t="shared" si="386"/>
        <v>CREDTEM</v>
      </c>
      <c r="I4100" t="str">
        <f t="shared" si="387"/>
        <v>W M DE CASTRO NETO PRODUTOS FARMACEUTICOS EPP</v>
      </c>
      <c r="J4100">
        <f t="shared" si="388"/>
        <v>1</v>
      </c>
      <c r="K4100">
        <f t="shared" si="389"/>
        <v>0</v>
      </c>
    </row>
    <row r="4101" spans="1:11" x14ac:dyDescent="0.25">
      <c r="A4101" t="s">
        <v>324</v>
      </c>
      <c r="B4101" t="s">
        <v>119</v>
      </c>
      <c r="C4101" t="s">
        <v>66</v>
      </c>
      <c r="D4101" s="6">
        <v>45911</v>
      </c>
      <c r="E4101" t="str">
        <f>VLOOKUP(B4101,'PROCV GERENTES BD'!A:B,2,0)</f>
        <v>PROSPECTAR</v>
      </c>
      <c r="F4101" s="4" t="str">
        <f t="shared" si="384"/>
        <v>2025-09</v>
      </c>
      <c r="G4101" s="18">
        <f t="shared" si="385"/>
        <v>37</v>
      </c>
      <c r="H4101" t="str">
        <f t="shared" si="386"/>
        <v>PROSPECTAR</v>
      </c>
      <c r="I4101" t="str">
        <f t="shared" si="387"/>
        <v>TRANSHENRY TRANSPORTES LTDA</v>
      </c>
      <c r="J4101">
        <f t="shared" si="388"/>
        <v>1</v>
      </c>
      <c r="K4101">
        <f t="shared" si="389"/>
        <v>0</v>
      </c>
    </row>
    <row r="4102" spans="1:11" x14ac:dyDescent="0.25">
      <c r="A4102" t="s">
        <v>373</v>
      </c>
      <c r="B4102" t="s">
        <v>117</v>
      </c>
      <c r="C4102" t="s">
        <v>50</v>
      </c>
      <c r="D4102" s="6">
        <v>45911</v>
      </c>
      <c r="E4102" t="str">
        <f>VLOOKUP(B4102,'PROCV GERENTES BD'!A:B,2,0)</f>
        <v>ADMINISTRAÇÃO</v>
      </c>
      <c r="F4102" s="4" t="str">
        <f t="shared" si="384"/>
        <v>2025-09</v>
      </c>
      <c r="G4102" s="18">
        <f t="shared" si="385"/>
        <v>37</v>
      </c>
      <c r="H4102" t="str">
        <f t="shared" si="386"/>
        <v>ADMINISTRAÇÃO</v>
      </c>
      <c r="I4102" t="str">
        <f t="shared" si="387"/>
        <v>VIVAN TRANSPORTES LTDA</v>
      </c>
      <c r="J4102">
        <f t="shared" si="388"/>
        <v>0</v>
      </c>
      <c r="K4102">
        <f t="shared" si="389"/>
        <v>1</v>
      </c>
    </row>
    <row r="4103" spans="1:11" x14ac:dyDescent="0.25">
      <c r="A4103" t="s">
        <v>415</v>
      </c>
      <c r="B4103" t="s">
        <v>165</v>
      </c>
      <c r="C4103" t="s">
        <v>66</v>
      </c>
      <c r="D4103" s="6">
        <v>45911</v>
      </c>
      <c r="E4103" t="str">
        <f>VLOOKUP(B4103,'PROCV GERENTES BD'!A:B,2,0)</f>
        <v>PROSPECTAR</v>
      </c>
      <c r="F4103" s="4" t="str">
        <f t="shared" si="384"/>
        <v>2025-09</v>
      </c>
      <c r="G4103" s="18">
        <f t="shared" si="385"/>
        <v>37</v>
      </c>
      <c r="H4103" t="str">
        <f t="shared" si="386"/>
        <v>PROSPECTAR</v>
      </c>
      <c r="I4103" t="str">
        <f t="shared" si="387"/>
        <v>STA SERVICOS LTDA</v>
      </c>
      <c r="J4103">
        <f t="shared" si="388"/>
        <v>1</v>
      </c>
      <c r="K4103">
        <f t="shared" si="389"/>
        <v>0</v>
      </c>
    </row>
    <row r="4104" spans="1:11" x14ac:dyDescent="0.25">
      <c r="A4104" t="s">
        <v>623</v>
      </c>
      <c r="B4104" t="s">
        <v>624</v>
      </c>
      <c r="C4104" t="s">
        <v>50</v>
      </c>
      <c r="D4104" s="6">
        <v>45911</v>
      </c>
      <c r="E4104" t="str">
        <f>VLOOKUP(B4104,'PROCV GERENTES BD'!A:B,2,0)</f>
        <v>ALISSON DE SOUZA LIMA</v>
      </c>
      <c r="F4104" s="4" t="str">
        <f t="shared" si="384"/>
        <v>2025-09</v>
      </c>
      <c r="G4104" s="18">
        <f t="shared" si="385"/>
        <v>37</v>
      </c>
      <c r="H4104" t="str">
        <f t="shared" si="386"/>
        <v>ALISSON DE SOUZA LIMA</v>
      </c>
      <c r="I4104" t="str">
        <f t="shared" si="387"/>
        <v>A2 VIDROS INDUSTRIA E COMERCIO LTDA</v>
      </c>
      <c r="J4104">
        <f t="shared" si="388"/>
        <v>0</v>
      </c>
      <c r="K4104">
        <f t="shared" si="389"/>
        <v>1</v>
      </c>
    </row>
    <row r="4105" spans="1:11" x14ac:dyDescent="0.25">
      <c r="A4105" t="s">
        <v>510</v>
      </c>
      <c r="B4105" t="s">
        <v>273</v>
      </c>
      <c r="C4105" t="s">
        <v>50</v>
      </c>
      <c r="D4105" s="6">
        <v>45911</v>
      </c>
      <c r="E4105" t="str">
        <f>VLOOKUP(B4105,'PROCV GERENTES BD'!A:B,2,0)</f>
        <v>CELIO PIMENTA</v>
      </c>
      <c r="F4105" s="4" t="str">
        <f t="shared" si="384"/>
        <v>2025-09</v>
      </c>
      <c r="G4105" s="18">
        <f t="shared" si="385"/>
        <v>37</v>
      </c>
      <c r="H4105" t="str">
        <f t="shared" si="386"/>
        <v>CELIO PIMENTA</v>
      </c>
      <c r="I4105" t="str">
        <f t="shared" si="387"/>
        <v>PRADO MOREIRA TEXTIL LTDA ME</v>
      </c>
      <c r="J4105">
        <f t="shared" si="388"/>
        <v>0</v>
      </c>
      <c r="K4105">
        <f t="shared" si="389"/>
        <v>1</v>
      </c>
    </row>
    <row r="4106" spans="1:11" x14ac:dyDescent="0.25">
      <c r="A4106" t="s">
        <v>665</v>
      </c>
      <c r="B4106" t="s">
        <v>666</v>
      </c>
      <c r="C4106" t="s">
        <v>50</v>
      </c>
      <c r="D4106" s="6">
        <v>45912</v>
      </c>
      <c r="E4106" t="str">
        <f>VLOOKUP(B4106,'PROCV GERENTES BD'!A:B,2,0)</f>
        <v>PROSPECTAR</v>
      </c>
      <c r="F4106" s="4" t="str">
        <f t="shared" si="384"/>
        <v>2025-09</v>
      </c>
      <c r="G4106" s="18">
        <f t="shared" si="385"/>
        <v>37</v>
      </c>
      <c r="H4106" t="str">
        <f t="shared" si="386"/>
        <v>PROSPECTAR</v>
      </c>
      <c r="I4106" t="str">
        <f t="shared" si="387"/>
        <v>CENTROAIDAR INDUSTRIA E COMERCIO DE BEBIDAS LTDA</v>
      </c>
      <c r="J4106">
        <f t="shared" si="388"/>
        <v>0</v>
      </c>
      <c r="K4106">
        <f t="shared" si="389"/>
        <v>1</v>
      </c>
    </row>
    <row r="4107" spans="1:11" x14ac:dyDescent="0.25">
      <c r="A4107" t="s">
        <v>510</v>
      </c>
      <c r="B4107" t="s">
        <v>273</v>
      </c>
      <c r="C4107" t="s">
        <v>50</v>
      </c>
      <c r="D4107" s="6">
        <v>45912</v>
      </c>
      <c r="E4107" t="str">
        <f>VLOOKUP(B4107,'PROCV GERENTES BD'!A:B,2,0)</f>
        <v>CELIO PIMENTA</v>
      </c>
      <c r="F4107" s="4" t="str">
        <f t="shared" si="384"/>
        <v>2025-09</v>
      </c>
      <c r="G4107" s="18">
        <f t="shared" si="385"/>
        <v>37</v>
      </c>
      <c r="H4107" t="str">
        <f t="shared" si="386"/>
        <v>CELIO PIMENTA</v>
      </c>
      <c r="I4107" t="str">
        <f t="shared" si="387"/>
        <v>PRADO MOREIRA TEXTIL LTDA ME</v>
      </c>
      <c r="J4107">
        <f t="shared" si="388"/>
        <v>0</v>
      </c>
      <c r="K4107">
        <f t="shared" si="389"/>
        <v>1</v>
      </c>
    </row>
    <row r="4108" spans="1:11" x14ac:dyDescent="0.25">
      <c r="A4108" t="s">
        <v>534</v>
      </c>
      <c r="B4108" t="s">
        <v>303</v>
      </c>
      <c r="C4108" t="s">
        <v>50</v>
      </c>
      <c r="D4108" s="6">
        <v>45912</v>
      </c>
      <c r="E4108" t="str">
        <f>VLOOKUP(B4108,'PROCV GERENTES BD'!A:B,2,0)</f>
        <v xml:space="preserve">MARCUS VINICIUS </v>
      </c>
      <c r="F4108" s="4" t="str">
        <f t="shared" si="384"/>
        <v>2025-09</v>
      </c>
      <c r="G4108" s="18">
        <f t="shared" si="385"/>
        <v>37</v>
      </c>
      <c r="H4108" t="str">
        <f t="shared" si="386"/>
        <v xml:space="preserve">MARCUS VINICIUS </v>
      </c>
      <c r="I4108" t="str">
        <f t="shared" si="387"/>
        <v>GRAFICA JSA LTDA EPP</v>
      </c>
      <c r="J4108">
        <f t="shared" si="388"/>
        <v>0</v>
      </c>
      <c r="K4108">
        <f t="shared" si="389"/>
        <v>1</v>
      </c>
    </row>
    <row r="4109" spans="1:11" x14ac:dyDescent="0.25">
      <c r="A4109" t="s">
        <v>623</v>
      </c>
      <c r="B4109" t="s">
        <v>624</v>
      </c>
      <c r="C4109" t="s">
        <v>66</v>
      </c>
      <c r="D4109" s="6">
        <v>45912</v>
      </c>
      <c r="E4109" t="str">
        <f>VLOOKUP(B4109,'PROCV GERENTES BD'!A:B,2,0)</f>
        <v>ALISSON DE SOUZA LIMA</v>
      </c>
      <c r="F4109" s="4" t="str">
        <f t="shared" si="384"/>
        <v>2025-09</v>
      </c>
      <c r="G4109" s="18">
        <f t="shared" si="385"/>
        <v>37</v>
      </c>
      <c r="H4109" t="str">
        <f t="shared" si="386"/>
        <v>ALISSON DE SOUZA LIMA</v>
      </c>
      <c r="I4109" t="str">
        <f t="shared" si="387"/>
        <v>A2 VIDROS INDUSTRIA E COMERCIO LTDA</v>
      </c>
      <c r="J4109">
        <f t="shared" si="388"/>
        <v>1</v>
      </c>
      <c r="K4109">
        <f t="shared" si="389"/>
        <v>0</v>
      </c>
    </row>
    <row r="4110" spans="1:11" x14ac:dyDescent="0.25">
      <c r="A4110" t="s">
        <v>630</v>
      </c>
      <c r="B4110" t="s">
        <v>559</v>
      </c>
      <c r="C4110" t="s">
        <v>50</v>
      </c>
      <c r="D4110" s="6">
        <v>45912</v>
      </c>
      <c r="E4110" t="str">
        <f>VLOOKUP(B4110,'PROCV GERENTES BD'!A:B,2,0)</f>
        <v>ALISSON DE SOUZA LIMA</v>
      </c>
      <c r="F4110" s="4" t="str">
        <f t="shared" si="384"/>
        <v>2025-09</v>
      </c>
      <c r="G4110" s="18">
        <f t="shared" si="385"/>
        <v>37</v>
      </c>
      <c r="H4110" t="str">
        <f t="shared" si="386"/>
        <v>ALISSON DE SOUZA LIMA</v>
      </c>
      <c r="I4110" t="str">
        <f t="shared" si="387"/>
        <v>JRG SOLUCOES INDUSTRIAIS LTDA</v>
      </c>
      <c r="J4110">
        <f t="shared" si="388"/>
        <v>0</v>
      </c>
      <c r="K4110">
        <f t="shared" si="389"/>
        <v>1</v>
      </c>
    </row>
    <row r="4111" spans="1:11" x14ac:dyDescent="0.25">
      <c r="A4111" t="s">
        <v>67</v>
      </c>
      <c r="B4111" t="s">
        <v>68</v>
      </c>
      <c r="C4111" t="s">
        <v>50</v>
      </c>
      <c r="D4111" s="6">
        <v>45912</v>
      </c>
      <c r="E4111" t="str">
        <f>VLOOKUP(B4111,'PROCV GERENTES BD'!A:B,2,0)</f>
        <v xml:space="preserve">ROGERIO </v>
      </c>
      <c r="F4111" s="4" t="str">
        <f t="shared" si="384"/>
        <v>2025-09</v>
      </c>
      <c r="G4111" s="18">
        <f t="shared" si="385"/>
        <v>37</v>
      </c>
      <c r="H4111" t="str">
        <f t="shared" si="386"/>
        <v xml:space="preserve">ROGERIO </v>
      </c>
      <c r="I4111" t="str">
        <f t="shared" si="387"/>
        <v>DIOTTONI INDUSTRIA E COMERCIO DE ALIMENTOS LTDA ME</v>
      </c>
      <c r="J4111">
        <f t="shared" si="388"/>
        <v>0</v>
      </c>
      <c r="K4111">
        <f t="shared" si="389"/>
        <v>1</v>
      </c>
    </row>
    <row r="4112" spans="1:11" x14ac:dyDescent="0.25">
      <c r="A4112" t="s">
        <v>614</v>
      </c>
      <c r="B4112" t="s">
        <v>615</v>
      </c>
      <c r="C4112" t="s">
        <v>66</v>
      </c>
      <c r="D4112" s="6">
        <v>45912</v>
      </c>
      <c r="E4112" t="str">
        <f>VLOOKUP(B4112,'PROCV GERENTES BD'!A:B,2,0)</f>
        <v>RAFAEL PARISE</v>
      </c>
      <c r="F4112" s="4" t="str">
        <f t="shared" si="384"/>
        <v>2025-09</v>
      </c>
      <c r="G4112" s="18">
        <f t="shared" si="385"/>
        <v>37</v>
      </c>
      <c r="H4112" t="str">
        <f t="shared" si="386"/>
        <v>RAFAEL PARISE</v>
      </c>
      <c r="I4112" t="str">
        <f t="shared" si="387"/>
        <v>SAGATEC LTDA</v>
      </c>
      <c r="J4112">
        <f t="shared" si="388"/>
        <v>1</v>
      </c>
      <c r="K4112">
        <f t="shared" si="389"/>
        <v>0</v>
      </c>
    </row>
    <row r="4113" spans="1:11" x14ac:dyDescent="0.25">
      <c r="A4113" t="s">
        <v>64</v>
      </c>
      <c r="B4113" t="s">
        <v>65</v>
      </c>
      <c r="C4113" t="s">
        <v>66</v>
      </c>
      <c r="D4113" s="6">
        <v>45912</v>
      </c>
      <c r="E4113" t="str">
        <f>VLOOKUP(B4113,'PROCV GERENTES BD'!A:B,2,0)</f>
        <v>ADMINISTRAÇÃO</v>
      </c>
      <c r="F4113" s="4" t="str">
        <f t="shared" si="384"/>
        <v>2025-09</v>
      </c>
      <c r="G4113" s="18">
        <f t="shared" si="385"/>
        <v>37</v>
      </c>
      <c r="H4113" t="str">
        <f t="shared" si="386"/>
        <v>ADMINISTRAÇÃO</v>
      </c>
      <c r="I4113" t="str">
        <f t="shared" si="387"/>
        <v>SOCIAL S/A</v>
      </c>
      <c r="J4113">
        <f t="shared" si="388"/>
        <v>1</v>
      </c>
      <c r="K4113">
        <f t="shared" si="389"/>
        <v>0</v>
      </c>
    </row>
    <row r="4114" spans="1:11" x14ac:dyDescent="0.25">
      <c r="A4114" t="s">
        <v>499</v>
      </c>
      <c r="B4114" t="s">
        <v>258</v>
      </c>
      <c r="C4114" t="s">
        <v>50</v>
      </c>
      <c r="D4114" s="6">
        <v>45912</v>
      </c>
      <c r="E4114" t="str">
        <f>VLOOKUP(B4114,'PROCV GERENTES BD'!A:B,2,0)</f>
        <v>PRISCILA METZ</v>
      </c>
      <c r="F4114" s="4" t="str">
        <f t="shared" si="384"/>
        <v>2025-09</v>
      </c>
      <c r="G4114" s="18">
        <f t="shared" si="385"/>
        <v>37</v>
      </c>
      <c r="H4114" t="str">
        <f t="shared" si="386"/>
        <v>PRISCILA METZ</v>
      </c>
      <c r="I4114" t="str">
        <f t="shared" si="387"/>
        <v>PLATINUM INDUSTRIA DE CONFECCOES LTDA</v>
      </c>
      <c r="J4114">
        <f t="shared" si="388"/>
        <v>0</v>
      </c>
      <c r="K4114">
        <f t="shared" si="389"/>
        <v>1</v>
      </c>
    </row>
    <row r="4115" spans="1:11" x14ac:dyDescent="0.25">
      <c r="A4115" t="s">
        <v>604</v>
      </c>
      <c r="B4115" t="s">
        <v>605</v>
      </c>
      <c r="C4115" t="s">
        <v>50</v>
      </c>
      <c r="D4115" s="6">
        <v>45912</v>
      </c>
      <c r="E4115" t="str">
        <f>VLOOKUP(B4115,'PROCV GERENTES BD'!A:B,2,0)</f>
        <v>ALISSON DE SOUZA LIMA</v>
      </c>
      <c r="F4115" s="4" t="str">
        <f t="shared" si="384"/>
        <v>2025-09</v>
      </c>
      <c r="G4115" s="18">
        <f t="shared" si="385"/>
        <v>37</v>
      </c>
      <c r="H4115" t="str">
        <f t="shared" si="386"/>
        <v>ALISSON DE SOUZA LIMA</v>
      </c>
      <c r="I4115" t="str">
        <f t="shared" si="387"/>
        <v>3J FUNDICAO INDUSTRIAL LTDA</v>
      </c>
      <c r="J4115">
        <f t="shared" si="388"/>
        <v>0</v>
      </c>
      <c r="K4115">
        <f t="shared" si="389"/>
        <v>1</v>
      </c>
    </row>
    <row r="4116" spans="1:11" x14ac:dyDescent="0.25">
      <c r="A4116" t="s">
        <v>58</v>
      </c>
      <c r="B4116" t="s">
        <v>59</v>
      </c>
      <c r="C4116" t="s">
        <v>50</v>
      </c>
      <c r="D4116" s="6">
        <v>45912</v>
      </c>
      <c r="E4116" t="str">
        <f>VLOOKUP(B4116,'PROCV GERENTES BD'!A:B,2,0)</f>
        <v>ADMINISTRAÇÃO</v>
      </c>
      <c r="F4116" s="4" t="str">
        <f t="shared" si="384"/>
        <v>2025-09</v>
      </c>
      <c r="G4116" s="18">
        <f t="shared" si="385"/>
        <v>37</v>
      </c>
      <c r="H4116" t="str">
        <f t="shared" si="386"/>
        <v>ADMINISTRAÇÃO</v>
      </c>
      <c r="I4116" t="str">
        <f t="shared" si="387"/>
        <v>BIOTECH LOGISTICA LTDA</v>
      </c>
      <c r="J4116">
        <f t="shared" si="388"/>
        <v>0</v>
      </c>
      <c r="K4116">
        <f t="shared" si="389"/>
        <v>1</v>
      </c>
    </row>
    <row r="4117" spans="1:11" x14ac:dyDescent="0.25">
      <c r="A4117" t="s">
        <v>56</v>
      </c>
      <c r="B4117" t="s">
        <v>57</v>
      </c>
      <c r="C4117" t="s">
        <v>50</v>
      </c>
      <c r="D4117" s="6">
        <v>45912</v>
      </c>
      <c r="E4117" t="str">
        <f>VLOOKUP(B4117,'PROCV GERENTES BD'!A:B,2,0)</f>
        <v xml:space="preserve">ROGERIO </v>
      </c>
      <c r="F4117" s="4" t="str">
        <f t="shared" si="384"/>
        <v>2025-09</v>
      </c>
      <c r="G4117" s="18">
        <f t="shared" si="385"/>
        <v>37</v>
      </c>
      <c r="H4117" t="str">
        <f t="shared" si="386"/>
        <v xml:space="preserve">ROGERIO </v>
      </c>
      <c r="I4117" t="str">
        <f t="shared" si="387"/>
        <v>RODOVIEIRA TRANSPORTE LTDA</v>
      </c>
      <c r="J4117">
        <f t="shared" si="388"/>
        <v>0</v>
      </c>
      <c r="K4117">
        <f t="shared" si="389"/>
        <v>1</v>
      </c>
    </row>
    <row r="4118" spans="1:11" x14ac:dyDescent="0.25">
      <c r="A4118" t="s">
        <v>638</v>
      </c>
      <c r="B4118" t="s">
        <v>539</v>
      </c>
      <c r="C4118" t="s">
        <v>66</v>
      </c>
      <c r="D4118" s="6">
        <v>45912</v>
      </c>
      <c r="E4118" t="str">
        <f>VLOOKUP(B4118,'PROCV GERENTES BD'!A:B,2,0)</f>
        <v>JJPH</v>
      </c>
      <c r="F4118" s="4" t="str">
        <f t="shared" si="384"/>
        <v>2025-09</v>
      </c>
      <c r="G4118" s="18">
        <f t="shared" si="385"/>
        <v>37</v>
      </c>
      <c r="H4118" t="str">
        <f t="shared" si="386"/>
        <v>JJPH</v>
      </c>
      <c r="I4118" t="str">
        <f t="shared" si="387"/>
        <v>DIFARMIG LTDA</v>
      </c>
      <c r="J4118">
        <f t="shared" si="388"/>
        <v>1</v>
      </c>
      <c r="K4118">
        <f t="shared" si="389"/>
        <v>0</v>
      </c>
    </row>
    <row r="4119" spans="1:11" x14ac:dyDescent="0.25">
      <c r="A4119" t="s">
        <v>395</v>
      </c>
      <c r="B4119" t="s">
        <v>145</v>
      </c>
      <c r="C4119" t="s">
        <v>66</v>
      </c>
      <c r="D4119" s="6">
        <v>45912</v>
      </c>
      <c r="E4119" t="str">
        <f>VLOOKUP(B4119,'PROCV GERENTES BD'!A:B,2,0)</f>
        <v>MARCIO LEONEL</v>
      </c>
      <c r="F4119" s="4" t="str">
        <f t="shared" si="384"/>
        <v>2025-09</v>
      </c>
      <c r="G4119" s="18">
        <f t="shared" si="385"/>
        <v>37</v>
      </c>
      <c r="H4119" t="str">
        <f t="shared" si="386"/>
        <v>MARCIO LEONEL</v>
      </c>
      <c r="I4119" t="str">
        <f t="shared" si="387"/>
        <v>MEDICAL PRIME IMP EXPORT DISTRIB PRODUTOS MEDICOS</v>
      </c>
      <c r="J4119">
        <f t="shared" si="388"/>
        <v>1</v>
      </c>
      <c r="K4119">
        <f t="shared" si="389"/>
        <v>0</v>
      </c>
    </row>
    <row r="4120" spans="1:11" x14ac:dyDescent="0.25">
      <c r="A4120" t="s">
        <v>331</v>
      </c>
      <c r="B4120" t="s">
        <v>144</v>
      </c>
      <c r="C4120" t="s">
        <v>50</v>
      </c>
      <c r="D4120" s="6">
        <v>45912</v>
      </c>
      <c r="E4120" t="str">
        <f>VLOOKUP(B4120,'PROCV GERENTES BD'!A:B,2,0)</f>
        <v>ADMINISTRAÇÃO</v>
      </c>
      <c r="F4120" s="4" t="str">
        <f t="shared" si="384"/>
        <v>2025-09</v>
      </c>
      <c r="G4120" s="18">
        <f t="shared" si="385"/>
        <v>37</v>
      </c>
      <c r="H4120" t="str">
        <f t="shared" si="386"/>
        <v>ADMINISTRAÇÃO</v>
      </c>
      <c r="I4120" t="str">
        <f t="shared" si="387"/>
        <v>BOM PASTOR PAPEIS LTDA EM RECUPERACAO JUDICIAL</v>
      </c>
      <c r="J4120">
        <f t="shared" si="388"/>
        <v>0</v>
      </c>
      <c r="K4120">
        <f t="shared" si="389"/>
        <v>1</v>
      </c>
    </row>
    <row r="4121" spans="1:11" x14ac:dyDescent="0.25">
      <c r="A4121" t="s">
        <v>358</v>
      </c>
      <c r="B4121" t="s">
        <v>104</v>
      </c>
      <c r="C4121" t="s">
        <v>66</v>
      </c>
      <c r="D4121" s="6">
        <v>45912</v>
      </c>
      <c r="E4121" t="str">
        <f>VLOOKUP(B4121,'PROCV GERENTES BD'!A:B,2,0)</f>
        <v>DIOGO AZEVEDO</v>
      </c>
      <c r="F4121" s="4" t="str">
        <f t="shared" si="384"/>
        <v>2025-09</v>
      </c>
      <c r="G4121" s="18">
        <f t="shared" si="385"/>
        <v>37</v>
      </c>
      <c r="H4121" t="str">
        <f t="shared" si="386"/>
        <v>DIOGO AZEVEDO</v>
      </c>
      <c r="I4121" t="str">
        <f t="shared" si="387"/>
        <v>INDUSTRIA E CERVEJARIA ARTESANAL DE MINAS GERAIS L</v>
      </c>
      <c r="J4121">
        <f t="shared" si="388"/>
        <v>1</v>
      </c>
      <c r="K4121">
        <f t="shared" si="389"/>
        <v>0</v>
      </c>
    </row>
    <row r="4122" spans="1:11" x14ac:dyDescent="0.25">
      <c r="A4122" t="s">
        <v>434</v>
      </c>
      <c r="B4122" t="s">
        <v>185</v>
      </c>
      <c r="C4122" t="s">
        <v>50</v>
      </c>
      <c r="D4122" s="6">
        <v>45912</v>
      </c>
      <c r="E4122" t="str">
        <f>VLOOKUP(B4122,'PROCV GERENTES BD'!A:B,2,0)</f>
        <v>RAFAEL PARISE</v>
      </c>
      <c r="F4122" s="4" t="str">
        <f t="shared" si="384"/>
        <v>2025-09</v>
      </c>
      <c r="G4122" s="18">
        <f t="shared" si="385"/>
        <v>37</v>
      </c>
      <c r="H4122" t="str">
        <f t="shared" si="386"/>
        <v>RAFAEL PARISE</v>
      </c>
      <c r="I4122" t="str">
        <f t="shared" si="387"/>
        <v>MARCAS COMERCIO LTDA ME</v>
      </c>
      <c r="J4122">
        <f t="shared" si="388"/>
        <v>0</v>
      </c>
      <c r="K4122">
        <f t="shared" si="389"/>
        <v>1</v>
      </c>
    </row>
    <row r="4123" spans="1:11" x14ac:dyDescent="0.25">
      <c r="A4123" t="s">
        <v>663</v>
      </c>
      <c r="B4123" t="s">
        <v>664</v>
      </c>
      <c r="C4123" t="s">
        <v>50</v>
      </c>
      <c r="D4123" s="6">
        <v>45912</v>
      </c>
      <c r="E4123" t="str">
        <f>VLOOKUP(B4123,'PROCV GERENTES BD'!A:B,2,0)</f>
        <v>ADMINISTRAÇÃO</v>
      </c>
      <c r="F4123" s="4" t="str">
        <f t="shared" si="384"/>
        <v>2025-09</v>
      </c>
      <c r="G4123" s="18">
        <f t="shared" si="385"/>
        <v>37</v>
      </c>
      <c r="H4123" t="str">
        <f t="shared" si="386"/>
        <v>ADMINISTRAÇÃO</v>
      </c>
      <c r="I4123" t="str">
        <f t="shared" si="387"/>
        <v>PRIVILEGIO CONFECCOES LTDA ME</v>
      </c>
      <c r="J4123">
        <f t="shared" si="388"/>
        <v>0</v>
      </c>
      <c r="K4123">
        <f t="shared" si="389"/>
        <v>1</v>
      </c>
    </row>
    <row r="4124" spans="1:11" x14ac:dyDescent="0.25">
      <c r="A4124" t="s">
        <v>532</v>
      </c>
      <c r="B4124" t="s">
        <v>300</v>
      </c>
      <c r="C4124" t="s">
        <v>66</v>
      </c>
      <c r="D4124" s="6">
        <v>45912</v>
      </c>
      <c r="E4124" t="str">
        <f>VLOOKUP(B4124,'PROCV GERENTES BD'!A:B,2,0)</f>
        <v>RAFAEL PARISE</v>
      </c>
      <c r="F4124" s="4" t="str">
        <f t="shared" si="384"/>
        <v>2025-09</v>
      </c>
      <c r="G4124" s="18">
        <f t="shared" si="385"/>
        <v>37</v>
      </c>
      <c r="H4124" t="str">
        <f t="shared" si="386"/>
        <v>RAFAEL PARISE</v>
      </c>
      <c r="I4124" t="str">
        <f t="shared" si="387"/>
        <v>MINASPOL INDUSTRIA E COMERCIO DE COMPOSTOS POLIMER</v>
      </c>
      <c r="J4124">
        <f t="shared" si="388"/>
        <v>1</v>
      </c>
      <c r="K4124">
        <f t="shared" si="389"/>
        <v>0</v>
      </c>
    </row>
    <row r="4125" spans="1:11" x14ac:dyDescent="0.25">
      <c r="A4125" t="s">
        <v>324</v>
      </c>
      <c r="B4125" t="s">
        <v>119</v>
      </c>
      <c r="C4125" t="s">
        <v>66</v>
      </c>
      <c r="D4125" s="6">
        <v>45912</v>
      </c>
      <c r="E4125" t="str">
        <f>VLOOKUP(B4125,'PROCV GERENTES BD'!A:B,2,0)</f>
        <v>PROSPECTAR</v>
      </c>
      <c r="F4125" s="4" t="str">
        <f t="shared" si="384"/>
        <v>2025-09</v>
      </c>
      <c r="G4125" s="18">
        <f t="shared" si="385"/>
        <v>37</v>
      </c>
      <c r="H4125" t="str">
        <f t="shared" si="386"/>
        <v>PROSPECTAR</v>
      </c>
      <c r="I4125" t="str">
        <f t="shared" si="387"/>
        <v>TRANSHENRY TRANSPORTES LTDA</v>
      </c>
      <c r="J4125">
        <f t="shared" si="388"/>
        <v>1</v>
      </c>
      <c r="K4125">
        <f t="shared" si="389"/>
        <v>0</v>
      </c>
    </row>
    <row r="4126" spans="1:11" x14ac:dyDescent="0.25">
      <c r="A4126" t="s">
        <v>523</v>
      </c>
      <c r="B4126" t="s">
        <v>288</v>
      </c>
      <c r="C4126" t="s">
        <v>66</v>
      </c>
      <c r="D4126" s="6">
        <v>45912</v>
      </c>
      <c r="E4126" t="str">
        <f>VLOOKUP(B4126,'PROCV GERENTES BD'!A:B,2,0)</f>
        <v>ADMINISTRAÇÃO</v>
      </c>
      <c r="F4126" s="4" t="str">
        <f t="shared" si="384"/>
        <v>2025-09</v>
      </c>
      <c r="G4126" s="18">
        <f t="shared" si="385"/>
        <v>37</v>
      </c>
      <c r="H4126" t="str">
        <f t="shared" si="386"/>
        <v>ADMINISTRAÇÃO</v>
      </c>
      <c r="I4126" t="str">
        <f t="shared" si="387"/>
        <v>REFRACONT BRASIL LTDA</v>
      </c>
      <c r="J4126">
        <f t="shared" si="388"/>
        <v>1</v>
      </c>
      <c r="K4126">
        <f t="shared" si="389"/>
        <v>0</v>
      </c>
    </row>
    <row r="4127" spans="1:11" x14ac:dyDescent="0.25">
      <c r="A4127" t="s">
        <v>375</v>
      </c>
      <c r="B4127" t="s">
        <v>120</v>
      </c>
      <c r="C4127" t="s">
        <v>66</v>
      </c>
      <c r="D4127" s="6">
        <v>45912</v>
      </c>
      <c r="E4127" t="str">
        <f>VLOOKUP(B4127,'PROCV GERENTES BD'!A:B,2,0)</f>
        <v>ADMINISTRAÇÃO</v>
      </c>
      <c r="F4127" s="4" t="str">
        <f t="shared" si="384"/>
        <v>2025-09</v>
      </c>
      <c r="G4127" s="18">
        <f t="shared" si="385"/>
        <v>37</v>
      </c>
      <c r="H4127" t="str">
        <f t="shared" si="386"/>
        <v>ADMINISTRAÇÃO</v>
      </c>
      <c r="I4127" t="str">
        <f t="shared" si="387"/>
        <v>FARINELLI NUTRIMENTOS LTDA</v>
      </c>
      <c r="J4127">
        <f t="shared" si="388"/>
        <v>1</v>
      </c>
      <c r="K4127">
        <f t="shared" si="389"/>
        <v>0</v>
      </c>
    </row>
    <row r="4128" spans="1:11" x14ac:dyDescent="0.25">
      <c r="A4128" t="s">
        <v>326</v>
      </c>
      <c r="B4128" t="s">
        <v>122</v>
      </c>
      <c r="C4128" t="s">
        <v>50</v>
      </c>
      <c r="D4128" s="6">
        <v>45912</v>
      </c>
      <c r="E4128" t="str">
        <f>VLOOKUP(B4128,'PROCV GERENTES BD'!A:B,2,0)</f>
        <v xml:space="preserve">ROGERIO </v>
      </c>
      <c r="F4128" s="4" t="str">
        <f t="shared" si="384"/>
        <v>2025-09</v>
      </c>
      <c r="G4128" s="18">
        <f t="shared" si="385"/>
        <v>37</v>
      </c>
      <c r="H4128" t="str">
        <f t="shared" si="386"/>
        <v xml:space="preserve">ROGERIO </v>
      </c>
      <c r="I4128" t="str">
        <f t="shared" si="387"/>
        <v>BIBE PRODUTOS INFANTIS LTDA</v>
      </c>
      <c r="J4128">
        <f t="shared" si="388"/>
        <v>0</v>
      </c>
      <c r="K4128">
        <f t="shared" si="389"/>
        <v>1</v>
      </c>
    </row>
    <row r="4129" spans="1:11" x14ac:dyDescent="0.25">
      <c r="A4129" t="s">
        <v>407</v>
      </c>
      <c r="B4129" t="s">
        <v>157</v>
      </c>
      <c r="C4129" t="s">
        <v>66</v>
      </c>
      <c r="D4129" s="6">
        <v>45912</v>
      </c>
      <c r="E4129" t="str">
        <f>VLOOKUP(B4129,'PROCV GERENTES BD'!A:B,2,0)</f>
        <v>NOELI SALETE</v>
      </c>
      <c r="F4129" s="4" t="str">
        <f t="shared" si="384"/>
        <v>2025-09</v>
      </c>
      <c r="G4129" s="18">
        <f t="shared" si="385"/>
        <v>37</v>
      </c>
      <c r="H4129" t="str">
        <f t="shared" si="386"/>
        <v>NOELI SALETE</v>
      </c>
      <c r="I4129" t="str">
        <f t="shared" si="387"/>
        <v>SGAMAQ INOVACAO AGROINDUSTRIAL LTDA</v>
      </c>
      <c r="J4129">
        <f t="shared" si="388"/>
        <v>1</v>
      </c>
      <c r="K4129">
        <f t="shared" si="389"/>
        <v>0</v>
      </c>
    </row>
    <row r="4130" spans="1:11" x14ac:dyDescent="0.25">
      <c r="A4130" t="s">
        <v>485</v>
      </c>
      <c r="B4130" t="s">
        <v>242</v>
      </c>
      <c r="C4130" t="s">
        <v>50</v>
      </c>
      <c r="D4130" s="6">
        <v>45913</v>
      </c>
      <c r="E4130" t="str">
        <f>VLOOKUP(B4130,'PROCV GERENTES BD'!A:B,2,0)</f>
        <v>PROSPECTAR</v>
      </c>
      <c r="F4130" s="4" t="str">
        <f t="shared" si="384"/>
        <v>2025-09</v>
      </c>
      <c r="G4130" s="18">
        <f t="shared" si="385"/>
        <v>37</v>
      </c>
      <c r="H4130" t="str">
        <f t="shared" si="386"/>
        <v>PROSPECTAR</v>
      </c>
      <c r="I4130" t="str">
        <f t="shared" si="387"/>
        <v>GOIARTE SOLUCOES CONSTRUTIVAS EM CONCRETO LTDA</v>
      </c>
      <c r="J4130">
        <f t="shared" si="388"/>
        <v>0</v>
      </c>
      <c r="K4130">
        <f t="shared" si="389"/>
        <v>1</v>
      </c>
    </row>
    <row r="4131" spans="1:11" x14ac:dyDescent="0.25">
      <c r="A4131" t="s">
        <v>508</v>
      </c>
      <c r="B4131" t="s">
        <v>271</v>
      </c>
      <c r="C4131" t="s">
        <v>50</v>
      </c>
      <c r="D4131" s="6">
        <v>45913</v>
      </c>
      <c r="E4131" t="str">
        <f>VLOOKUP(B4131,'PROCV GERENTES BD'!A:B,2,0)</f>
        <v>PRISCILA METZ</v>
      </c>
      <c r="F4131" s="4" t="str">
        <f t="shared" si="384"/>
        <v>2025-09</v>
      </c>
      <c r="G4131" s="18">
        <f t="shared" si="385"/>
        <v>37</v>
      </c>
      <c r="H4131" t="str">
        <f t="shared" si="386"/>
        <v>PRISCILA METZ</v>
      </c>
      <c r="I4131" t="str">
        <f t="shared" si="387"/>
        <v>TUBOLARES VITORIA INDUSTRIA E COMERCIO LTDA ME</v>
      </c>
      <c r="J4131">
        <f t="shared" si="388"/>
        <v>0</v>
      </c>
      <c r="K4131">
        <f t="shared" si="389"/>
        <v>1</v>
      </c>
    </row>
    <row r="4132" spans="1:11" x14ac:dyDescent="0.25">
      <c r="A4132" t="s">
        <v>370</v>
      </c>
      <c r="B4132" t="s">
        <v>114</v>
      </c>
      <c r="C4132" t="s">
        <v>50</v>
      </c>
      <c r="D4132" s="6">
        <v>45913</v>
      </c>
      <c r="E4132" t="str">
        <f>VLOOKUP(B4132,'PROCV GERENTES BD'!A:B,2,0)</f>
        <v>POENATELA</v>
      </c>
      <c r="F4132" s="4" t="str">
        <f t="shared" si="384"/>
        <v>2025-09</v>
      </c>
      <c r="G4132" s="18">
        <f t="shared" si="385"/>
        <v>37</v>
      </c>
      <c r="H4132" t="str">
        <f t="shared" si="386"/>
        <v>POENATELA</v>
      </c>
      <c r="I4132" t="str">
        <f t="shared" si="387"/>
        <v>COOPERATIVA TRANSP AUTON CARGAS PASSAG SERVICOS LO</v>
      </c>
      <c r="J4132">
        <f t="shared" si="388"/>
        <v>0</v>
      </c>
      <c r="K4132">
        <f t="shared" si="389"/>
        <v>1</v>
      </c>
    </row>
    <row r="4133" spans="1:11" x14ac:dyDescent="0.25">
      <c r="A4133" t="s">
        <v>630</v>
      </c>
      <c r="B4133" t="s">
        <v>559</v>
      </c>
      <c r="C4133" t="s">
        <v>50</v>
      </c>
      <c r="D4133" s="6">
        <v>45913</v>
      </c>
      <c r="E4133" t="str">
        <f>VLOOKUP(B4133,'PROCV GERENTES BD'!A:B,2,0)</f>
        <v>ALISSON DE SOUZA LIMA</v>
      </c>
      <c r="F4133" s="4" t="str">
        <f t="shared" si="384"/>
        <v>2025-09</v>
      </c>
      <c r="G4133" s="18">
        <f t="shared" si="385"/>
        <v>37</v>
      </c>
      <c r="H4133" t="str">
        <f t="shared" si="386"/>
        <v>ALISSON DE SOUZA LIMA</v>
      </c>
      <c r="I4133" t="str">
        <f t="shared" si="387"/>
        <v>JRG SOLUCOES INDUSTRIAIS LTDA</v>
      </c>
      <c r="J4133">
        <f t="shared" si="388"/>
        <v>0</v>
      </c>
      <c r="K4133">
        <f t="shared" si="389"/>
        <v>1</v>
      </c>
    </row>
    <row r="4134" spans="1:11" x14ac:dyDescent="0.25">
      <c r="A4134" t="s">
        <v>625</v>
      </c>
      <c r="B4134" t="s">
        <v>537</v>
      </c>
      <c r="C4134" t="s">
        <v>66</v>
      </c>
      <c r="D4134" s="6">
        <v>45913</v>
      </c>
      <c r="E4134" t="str">
        <f>VLOOKUP(B4134,'PROCV GERENTES BD'!A:B,2,0)</f>
        <v>WASHINGTON</v>
      </c>
      <c r="F4134" s="4" t="str">
        <f t="shared" si="384"/>
        <v>2025-09</v>
      </c>
      <c r="G4134" s="18">
        <f t="shared" si="385"/>
        <v>37</v>
      </c>
      <c r="H4134" t="str">
        <f t="shared" si="386"/>
        <v>WASHINGTON</v>
      </c>
      <c r="I4134" t="str">
        <f t="shared" si="387"/>
        <v>COMERCIAL SEGURANCA LTDA ME</v>
      </c>
      <c r="J4134">
        <f t="shared" si="388"/>
        <v>1</v>
      </c>
      <c r="K4134">
        <f t="shared" si="389"/>
        <v>0</v>
      </c>
    </row>
    <row r="4135" spans="1:11" x14ac:dyDescent="0.25">
      <c r="A4135" t="s">
        <v>64</v>
      </c>
      <c r="B4135" t="s">
        <v>65</v>
      </c>
      <c r="C4135" t="s">
        <v>50</v>
      </c>
      <c r="D4135" s="6">
        <v>45913</v>
      </c>
      <c r="E4135" t="str">
        <f>VLOOKUP(B4135,'PROCV GERENTES BD'!A:B,2,0)</f>
        <v>ADMINISTRAÇÃO</v>
      </c>
      <c r="F4135" s="4" t="str">
        <f t="shared" si="384"/>
        <v>2025-09</v>
      </c>
      <c r="G4135" s="18">
        <f t="shared" si="385"/>
        <v>37</v>
      </c>
      <c r="H4135" t="str">
        <f t="shared" si="386"/>
        <v>ADMINISTRAÇÃO</v>
      </c>
      <c r="I4135" t="str">
        <f t="shared" si="387"/>
        <v>SOCIAL S/A</v>
      </c>
      <c r="J4135">
        <f t="shared" si="388"/>
        <v>0</v>
      </c>
      <c r="K4135">
        <f t="shared" si="389"/>
        <v>1</v>
      </c>
    </row>
    <row r="4136" spans="1:11" x14ac:dyDescent="0.25">
      <c r="A4136" t="s">
        <v>499</v>
      </c>
      <c r="B4136" t="s">
        <v>258</v>
      </c>
      <c r="C4136" t="s">
        <v>50</v>
      </c>
      <c r="D4136" s="6">
        <v>45913</v>
      </c>
      <c r="E4136" t="str">
        <f>VLOOKUP(B4136,'PROCV GERENTES BD'!A:B,2,0)</f>
        <v>PRISCILA METZ</v>
      </c>
      <c r="F4136" s="4" t="str">
        <f t="shared" si="384"/>
        <v>2025-09</v>
      </c>
      <c r="G4136" s="18">
        <f t="shared" si="385"/>
        <v>37</v>
      </c>
      <c r="H4136" t="str">
        <f t="shared" si="386"/>
        <v>PRISCILA METZ</v>
      </c>
      <c r="I4136" t="str">
        <f t="shared" si="387"/>
        <v>PLATINUM INDUSTRIA DE CONFECCOES LTDA</v>
      </c>
      <c r="J4136">
        <f t="shared" si="388"/>
        <v>0</v>
      </c>
      <c r="K4136">
        <f t="shared" si="389"/>
        <v>1</v>
      </c>
    </row>
    <row r="4137" spans="1:11" x14ac:dyDescent="0.25">
      <c r="A4137" t="s">
        <v>604</v>
      </c>
      <c r="B4137" t="s">
        <v>605</v>
      </c>
      <c r="C4137" t="s">
        <v>50</v>
      </c>
      <c r="D4137" s="6">
        <v>45913</v>
      </c>
      <c r="E4137" t="str">
        <f>VLOOKUP(B4137,'PROCV GERENTES BD'!A:B,2,0)</f>
        <v>ALISSON DE SOUZA LIMA</v>
      </c>
      <c r="F4137" s="4" t="str">
        <f t="shared" si="384"/>
        <v>2025-09</v>
      </c>
      <c r="G4137" s="18">
        <f t="shared" si="385"/>
        <v>37</v>
      </c>
      <c r="H4137" t="str">
        <f t="shared" si="386"/>
        <v>ALISSON DE SOUZA LIMA</v>
      </c>
      <c r="I4137" t="str">
        <f t="shared" si="387"/>
        <v>3J FUNDICAO INDUSTRIAL LTDA</v>
      </c>
      <c r="J4137">
        <f t="shared" si="388"/>
        <v>0</v>
      </c>
      <c r="K4137">
        <f t="shared" si="389"/>
        <v>1</v>
      </c>
    </row>
    <row r="4138" spans="1:11" x14ac:dyDescent="0.25">
      <c r="A4138" t="s">
        <v>58</v>
      </c>
      <c r="B4138" t="s">
        <v>59</v>
      </c>
      <c r="C4138" t="s">
        <v>66</v>
      </c>
      <c r="D4138" s="6">
        <v>45913</v>
      </c>
      <c r="E4138" t="str">
        <f>VLOOKUP(B4138,'PROCV GERENTES BD'!A:B,2,0)</f>
        <v>ADMINISTRAÇÃO</v>
      </c>
      <c r="F4138" s="4" t="str">
        <f t="shared" si="384"/>
        <v>2025-09</v>
      </c>
      <c r="G4138" s="18">
        <f t="shared" si="385"/>
        <v>37</v>
      </c>
      <c r="H4138" t="str">
        <f t="shared" si="386"/>
        <v>ADMINISTRAÇÃO</v>
      </c>
      <c r="I4138" t="str">
        <f t="shared" si="387"/>
        <v>BIOTECH LOGISTICA LTDA</v>
      </c>
      <c r="J4138">
        <f t="shared" si="388"/>
        <v>1</v>
      </c>
      <c r="K4138">
        <f t="shared" si="389"/>
        <v>0</v>
      </c>
    </row>
    <row r="4139" spans="1:11" x14ac:dyDescent="0.25">
      <c r="A4139" t="s">
        <v>56</v>
      </c>
      <c r="B4139" t="s">
        <v>57</v>
      </c>
      <c r="C4139" t="s">
        <v>50</v>
      </c>
      <c r="D4139" s="6">
        <v>45913</v>
      </c>
      <c r="E4139" t="str">
        <f>VLOOKUP(B4139,'PROCV GERENTES BD'!A:B,2,0)</f>
        <v xml:space="preserve">ROGERIO </v>
      </c>
      <c r="F4139" s="4" t="str">
        <f t="shared" si="384"/>
        <v>2025-09</v>
      </c>
      <c r="G4139" s="18">
        <f t="shared" si="385"/>
        <v>37</v>
      </c>
      <c r="H4139" t="str">
        <f t="shared" si="386"/>
        <v xml:space="preserve">ROGERIO </v>
      </c>
      <c r="I4139" t="str">
        <f t="shared" si="387"/>
        <v>RODOVIEIRA TRANSPORTE LTDA</v>
      </c>
      <c r="J4139">
        <f t="shared" si="388"/>
        <v>0</v>
      </c>
      <c r="K4139">
        <f t="shared" si="389"/>
        <v>1</v>
      </c>
    </row>
    <row r="4140" spans="1:11" x14ac:dyDescent="0.25">
      <c r="A4140" t="s">
        <v>358</v>
      </c>
      <c r="B4140" t="s">
        <v>104</v>
      </c>
      <c r="C4140" t="s">
        <v>50</v>
      </c>
      <c r="D4140" s="6">
        <v>45913</v>
      </c>
      <c r="E4140" t="str">
        <f>VLOOKUP(B4140,'PROCV GERENTES BD'!A:B,2,0)</f>
        <v>DIOGO AZEVEDO</v>
      </c>
      <c r="F4140" s="4" t="str">
        <f t="shared" si="384"/>
        <v>2025-09</v>
      </c>
      <c r="G4140" s="18">
        <f t="shared" si="385"/>
        <v>37</v>
      </c>
      <c r="H4140" t="str">
        <f t="shared" si="386"/>
        <v>DIOGO AZEVEDO</v>
      </c>
      <c r="I4140" t="str">
        <f t="shared" si="387"/>
        <v>INDUSTRIA E CERVEJARIA ARTESANAL DE MINAS GERAIS L</v>
      </c>
      <c r="J4140">
        <f t="shared" si="388"/>
        <v>0</v>
      </c>
      <c r="K4140">
        <f t="shared" si="389"/>
        <v>1</v>
      </c>
    </row>
    <row r="4141" spans="1:11" x14ac:dyDescent="0.25">
      <c r="A4141" t="s">
        <v>321</v>
      </c>
      <c r="B4141" t="s">
        <v>264</v>
      </c>
      <c r="C4141" t="s">
        <v>50</v>
      </c>
      <c r="D4141" s="6">
        <v>45913</v>
      </c>
      <c r="E4141" t="str">
        <f>VLOOKUP(B4141,'PROCV GERENTES BD'!A:B,2,0)</f>
        <v>RAFAEL PARISE</v>
      </c>
      <c r="F4141" s="4" t="str">
        <f t="shared" si="384"/>
        <v>2025-09</v>
      </c>
      <c r="G4141" s="18">
        <f t="shared" si="385"/>
        <v>37</v>
      </c>
      <c r="H4141" t="str">
        <f t="shared" si="386"/>
        <v>RAFAEL PARISE</v>
      </c>
      <c r="I4141" t="str">
        <f t="shared" si="387"/>
        <v>METALCROMO METALIZACAO E CROMO DURO INDUSTRIAL LTD</v>
      </c>
      <c r="J4141">
        <f t="shared" si="388"/>
        <v>0</v>
      </c>
      <c r="K4141">
        <f t="shared" si="389"/>
        <v>1</v>
      </c>
    </row>
    <row r="4142" spans="1:11" x14ac:dyDescent="0.25">
      <c r="A4142" t="s">
        <v>387</v>
      </c>
      <c r="B4142" t="s">
        <v>134</v>
      </c>
      <c r="C4142" t="s">
        <v>50</v>
      </c>
      <c r="D4142" s="6">
        <v>45913</v>
      </c>
      <c r="E4142" t="str">
        <f>VLOOKUP(B4142,'PROCV GERENTES BD'!A:B,2,0)</f>
        <v>RAFAEL PARISE</v>
      </c>
      <c r="F4142" s="4" t="str">
        <f t="shared" si="384"/>
        <v>2025-09</v>
      </c>
      <c r="G4142" s="18">
        <f t="shared" si="385"/>
        <v>37</v>
      </c>
      <c r="H4142" t="str">
        <f t="shared" si="386"/>
        <v>RAFAEL PARISE</v>
      </c>
      <c r="I4142" t="str">
        <f t="shared" si="387"/>
        <v>MAIS DISTRIBUIDORA LTDA</v>
      </c>
      <c r="J4142">
        <f t="shared" si="388"/>
        <v>0</v>
      </c>
      <c r="K4142">
        <f t="shared" si="389"/>
        <v>1</v>
      </c>
    </row>
    <row r="4143" spans="1:11" x14ac:dyDescent="0.25">
      <c r="A4143" t="s">
        <v>532</v>
      </c>
      <c r="B4143" t="s">
        <v>300</v>
      </c>
      <c r="C4143" t="s">
        <v>50</v>
      </c>
      <c r="D4143" s="6">
        <v>45913</v>
      </c>
      <c r="E4143" t="str">
        <f>VLOOKUP(B4143,'PROCV GERENTES BD'!A:B,2,0)</f>
        <v>RAFAEL PARISE</v>
      </c>
      <c r="F4143" s="4" t="str">
        <f t="shared" si="384"/>
        <v>2025-09</v>
      </c>
      <c r="G4143" s="18">
        <f t="shared" si="385"/>
        <v>37</v>
      </c>
      <c r="H4143" t="str">
        <f t="shared" si="386"/>
        <v>RAFAEL PARISE</v>
      </c>
      <c r="I4143" t="str">
        <f t="shared" si="387"/>
        <v>MINASPOL INDUSTRIA E COMERCIO DE COMPOSTOS POLIMER</v>
      </c>
      <c r="J4143">
        <f t="shared" si="388"/>
        <v>0</v>
      </c>
      <c r="K4143">
        <f t="shared" si="389"/>
        <v>1</v>
      </c>
    </row>
    <row r="4144" spans="1:11" x14ac:dyDescent="0.25">
      <c r="A4144" t="s">
        <v>51</v>
      </c>
      <c r="B4144" t="s">
        <v>52</v>
      </c>
      <c r="C4144" t="s">
        <v>66</v>
      </c>
      <c r="D4144" s="6">
        <v>45913</v>
      </c>
      <c r="E4144" t="str">
        <f>VLOOKUP(B4144,'PROCV GERENTES BD'!A:B,2,0)</f>
        <v>RAFAEL PARISE</v>
      </c>
      <c r="F4144" s="4" t="str">
        <f t="shared" si="384"/>
        <v>2025-09</v>
      </c>
      <c r="G4144" s="18">
        <f t="shared" si="385"/>
        <v>37</v>
      </c>
      <c r="H4144" t="str">
        <f t="shared" si="386"/>
        <v>RAFAEL PARISE</v>
      </c>
      <c r="I4144" t="str">
        <f t="shared" si="387"/>
        <v>TDR TRANSPORTES LOGISTICA LTDA</v>
      </c>
      <c r="J4144">
        <f t="shared" si="388"/>
        <v>1</v>
      </c>
      <c r="K4144">
        <f t="shared" si="389"/>
        <v>0</v>
      </c>
    </row>
    <row r="4145" spans="1:11" x14ac:dyDescent="0.25">
      <c r="A4145" t="s">
        <v>48</v>
      </c>
      <c r="B4145" t="s">
        <v>49</v>
      </c>
      <c r="C4145" t="s">
        <v>50</v>
      </c>
      <c r="D4145" s="6">
        <v>45913</v>
      </c>
      <c r="E4145" t="str">
        <f>VLOOKUP(B4145,'PROCV GERENTES BD'!A:B,2,0)</f>
        <v xml:space="preserve">MARCUS VINICIUS </v>
      </c>
      <c r="F4145" s="4" t="str">
        <f t="shared" si="384"/>
        <v>2025-09</v>
      </c>
      <c r="G4145" s="18">
        <f t="shared" si="385"/>
        <v>37</v>
      </c>
      <c r="H4145" t="str">
        <f t="shared" si="386"/>
        <v xml:space="preserve">MARCUS VINICIUS </v>
      </c>
      <c r="I4145" t="str">
        <f t="shared" si="387"/>
        <v>PROMEL IND COM IMP E EXP DE PRODS NATURAIS LTDA</v>
      </c>
      <c r="J4145">
        <f t="shared" si="388"/>
        <v>0</v>
      </c>
      <c r="K4145">
        <f t="shared" si="389"/>
        <v>1</v>
      </c>
    </row>
    <row r="4146" spans="1:11" x14ac:dyDescent="0.25">
      <c r="A4146" t="s">
        <v>622</v>
      </c>
      <c r="B4146" t="s">
        <v>540</v>
      </c>
      <c r="C4146" t="s">
        <v>66</v>
      </c>
      <c r="D4146" s="6">
        <v>45913</v>
      </c>
      <c r="E4146" t="str">
        <f>VLOOKUP(B4146,'PROCV GERENTES BD'!A:B,2,0)</f>
        <v>ADMINISTRAÇÃO</v>
      </c>
      <c r="F4146" s="4" t="str">
        <f t="shared" si="384"/>
        <v>2025-09</v>
      </c>
      <c r="G4146" s="18">
        <f t="shared" si="385"/>
        <v>37</v>
      </c>
      <c r="H4146" t="str">
        <f t="shared" si="386"/>
        <v>ADMINISTRAÇÃO</v>
      </c>
      <c r="I4146" t="str">
        <f t="shared" si="387"/>
        <v>HBEAUTY COSMETICOS LTDA ME</v>
      </c>
      <c r="J4146">
        <f t="shared" si="388"/>
        <v>1</v>
      </c>
      <c r="K4146">
        <f t="shared" si="389"/>
        <v>0</v>
      </c>
    </row>
    <row r="4147" spans="1:11" x14ac:dyDescent="0.25">
      <c r="A4147" t="s">
        <v>510</v>
      </c>
      <c r="B4147" t="s">
        <v>273</v>
      </c>
      <c r="C4147" t="s">
        <v>50</v>
      </c>
      <c r="D4147" s="6">
        <v>45913</v>
      </c>
      <c r="E4147" t="str">
        <f>VLOOKUP(B4147,'PROCV GERENTES BD'!A:B,2,0)</f>
        <v>CELIO PIMENTA</v>
      </c>
      <c r="F4147" s="4" t="str">
        <f t="shared" si="384"/>
        <v>2025-09</v>
      </c>
      <c r="G4147" s="18">
        <f t="shared" si="385"/>
        <v>37</v>
      </c>
      <c r="H4147" t="str">
        <f t="shared" si="386"/>
        <v>CELIO PIMENTA</v>
      </c>
      <c r="I4147" t="str">
        <f t="shared" si="387"/>
        <v>PRADO MOREIRA TEXTIL LTDA ME</v>
      </c>
      <c r="J4147">
        <f t="shared" si="388"/>
        <v>0</v>
      </c>
      <c r="K4147">
        <f t="shared" si="389"/>
        <v>1</v>
      </c>
    </row>
    <row r="4148" spans="1:11" x14ac:dyDescent="0.25">
      <c r="A4148" t="s">
        <v>375</v>
      </c>
      <c r="B4148" t="s">
        <v>120</v>
      </c>
      <c r="C4148" t="s">
        <v>50</v>
      </c>
      <c r="D4148" s="6">
        <v>45916</v>
      </c>
      <c r="E4148" t="str">
        <f>VLOOKUP(B4148,'PROCV GERENTES BD'!A:B,2,0)</f>
        <v>ADMINISTRAÇÃO</v>
      </c>
      <c r="F4148" s="4" t="str">
        <f t="shared" si="384"/>
        <v>2025-09</v>
      </c>
      <c r="G4148" s="18">
        <f t="shared" si="385"/>
        <v>38</v>
      </c>
      <c r="H4148" t="str">
        <f t="shared" si="386"/>
        <v>ADMINISTRAÇÃO</v>
      </c>
      <c r="I4148" t="str">
        <f t="shared" si="387"/>
        <v>FARINELLI NUTRIMENTOS LTDA</v>
      </c>
      <c r="J4148">
        <f t="shared" si="388"/>
        <v>0</v>
      </c>
      <c r="K4148">
        <f t="shared" si="389"/>
        <v>1</v>
      </c>
    </row>
    <row r="4149" spans="1:11" x14ac:dyDescent="0.25">
      <c r="A4149" t="s">
        <v>534</v>
      </c>
      <c r="B4149" t="s">
        <v>303</v>
      </c>
      <c r="C4149" t="s">
        <v>50</v>
      </c>
      <c r="D4149" s="6">
        <v>45916</v>
      </c>
      <c r="E4149" t="str">
        <f>VLOOKUP(B4149,'PROCV GERENTES BD'!A:B,2,0)</f>
        <v xml:space="preserve">MARCUS VINICIUS </v>
      </c>
      <c r="F4149" s="4" t="str">
        <f t="shared" si="384"/>
        <v>2025-09</v>
      </c>
      <c r="G4149" s="18">
        <f t="shared" si="385"/>
        <v>38</v>
      </c>
      <c r="H4149" t="str">
        <f t="shared" si="386"/>
        <v xml:space="preserve">MARCUS VINICIUS </v>
      </c>
      <c r="I4149" t="str">
        <f t="shared" si="387"/>
        <v>GRAFICA JSA LTDA EPP</v>
      </c>
      <c r="J4149">
        <f t="shared" si="388"/>
        <v>0</v>
      </c>
      <c r="K4149">
        <f t="shared" si="389"/>
        <v>1</v>
      </c>
    </row>
    <row r="4150" spans="1:11" x14ac:dyDescent="0.25">
      <c r="A4150" t="s">
        <v>508</v>
      </c>
      <c r="B4150" t="s">
        <v>271</v>
      </c>
      <c r="C4150" t="s">
        <v>50</v>
      </c>
      <c r="D4150" s="6">
        <v>45916</v>
      </c>
      <c r="E4150" t="str">
        <f>VLOOKUP(B4150,'PROCV GERENTES BD'!A:B,2,0)</f>
        <v>PRISCILA METZ</v>
      </c>
      <c r="F4150" s="4" t="str">
        <f t="shared" si="384"/>
        <v>2025-09</v>
      </c>
      <c r="G4150" s="18">
        <f t="shared" si="385"/>
        <v>38</v>
      </c>
      <c r="H4150" t="str">
        <f t="shared" si="386"/>
        <v>PRISCILA METZ</v>
      </c>
      <c r="I4150" t="str">
        <f t="shared" si="387"/>
        <v>TUBOLARES VITORIA INDUSTRIA E COMERCIO LTDA ME</v>
      </c>
      <c r="J4150">
        <f t="shared" si="388"/>
        <v>0</v>
      </c>
      <c r="K4150">
        <f t="shared" si="389"/>
        <v>1</v>
      </c>
    </row>
    <row r="4151" spans="1:11" x14ac:dyDescent="0.25">
      <c r="A4151" t="s">
        <v>667</v>
      </c>
      <c r="B4151" t="s">
        <v>560</v>
      </c>
      <c r="C4151" t="s">
        <v>50</v>
      </c>
      <c r="D4151" s="6">
        <v>45916</v>
      </c>
      <c r="E4151" t="str">
        <f>VLOOKUP(B4151,'PROCV GERENTES BD'!A:B,2,0)</f>
        <v>ALISSON DE SOUZA LIMA</v>
      </c>
      <c r="F4151" s="4" t="str">
        <f t="shared" si="384"/>
        <v>2025-09</v>
      </c>
      <c r="G4151" s="18">
        <f t="shared" si="385"/>
        <v>38</v>
      </c>
      <c r="H4151" t="str">
        <f t="shared" si="386"/>
        <v>ALISSON DE SOUZA LIMA</v>
      </c>
      <c r="I4151" t="str">
        <f t="shared" si="387"/>
        <v>JRG SOLUCOES EM SERVICOS LTDA ME</v>
      </c>
      <c r="J4151">
        <f t="shared" si="388"/>
        <v>0</v>
      </c>
      <c r="K4151">
        <f t="shared" si="389"/>
        <v>1</v>
      </c>
    </row>
    <row r="4152" spans="1:11" x14ac:dyDescent="0.25">
      <c r="A4152" t="s">
        <v>599</v>
      </c>
      <c r="B4152" t="s">
        <v>541</v>
      </c>
      <c r="C4152" t="s">
        <v>50</v>
      </c>
      <c r="D4152" s="6">
        <v>45916</v>
      </c>
      <c r="E4152" t="str">
        <f>VLOOKUP(B4152,'PROCV GERENTES BD'!A:B,2,0)</f>
        <v xml:space="preserve">MARCUS VINICIUS </v>
      </c>
      <c r="F4152" s="4" t="str">
        <f t="shared" si="384"/>
        <v>2025-09</v>
      </c>
      <c r="G4152" s="18">
        <f t="shared" si="385"/>
        <v>38</v>
      </c>
      <c r="H4152" t="str">
        <f t="shared" si="386"/>
        <v xml:space="preserve">MARCUS VINICIUS </v>
      </c>
      <c r="I4152" t="str">
        <f t="shared" si="387"/>
        <v>JSA INDUSTRIA DE COSMETICOS LTDA EPP</v>
      </c>
      <c r="J4152">
        <f t="shared" si="388"/>
        <v>0</v>
      </c>
      <c r="K4152">
        <f t="shared" si="389"/>
        <v>1</v>
      </c>
    </row>
    <row r="4153" spans="1:11" x14ac:dyDescent="0.25">
      <c r="A4153" t="s">
        <v>658</v>
      </c>
      <c r="B4153" t="s">
        <v>659</v>
      </c>
      <c r="C4153" t="s">
        <v>50</v>
      </c>
      <c r="D4153" s="6">
        <v>45916</v>
      </c>
      <c r="E4153" t="str">
        <f>VLOOKUP(B4153,'PROCV GERENTES BD'!A:B,2,0)</f>
        <v>ADMINISTRAÇÃO</v>
      </c>
      <c r="F4153" s="4" t="str">
        <f t="shared" si="384"/>
        <v>2025-09</v>
      </c>
      <c r="G4153" s="18">
        <f t="shared" si="385"/>
        <v>38</v>
      </c>
      <c r="H4153" t="str">
        <f t="shared" si="386"/>
        <v>ADMINISTRAÇÃO</v>
      </c>
      <c r="I4153" t="str">
        <f t="shared" si="387"/>
        <v>LEFORM PLANEJADOS LTDA ME</v>
      </c>
      <c r="J4153">
        <f t="shared" si="388"/>
        <v>0</v>
      </c>
      <c r="K4153">
        <f t="shared" si="389"/>
        <v>1</v>
      </c>
    </row>
    <row r="4154" spans="1:11" x14ac:dyDescent="0.25">
      <c r="A4154" t="s">
        <v>404</v>
      </c>
      <c r="B4154" t="s">
        <v>154</v>
      </c>
      <c r="C4154" t="s">
        <v>50</v>
      </c>
      <c r="D4154" s="6">
        <v>45916</v>
      </c>
      <c r="E4154" t="str">
        <f>VLOOKUP(B4154,'PROCV GERENTES BD'!A:B,2,0)</f>
        <v>ADMINISTRAÇÃO</v>
      </c>
      <c r="F4154" s="4" t="str">
        <f t="shared" si="384"/>
        <v>2025-09</v>
      </c>
      <c r="G4154" s="18">
        <f t="shared" si="385"/>
        <v>38</v>
      </c>
      <c r="H4154" t="str">
        <f t="shared" si="386"/>
        <v>ADMINISTRAÇÃO</v>
      </c>
      <c r="I4154" t="str">
        <f t="shared" si="387"/>
        <v>PRIVILEGIO CONFECCOES CAMA MESA E BANHO LTDA EPP</v>
      </c>
      <c r="J4154">
        <f t="shared" si="388"/>
        <v>0</v>
      </c>
      <c r="K4154">
        <f t="shared" si="389"/>
        <v>1</v>
      </c>
    </row>
    <row r="4155" spans="1:11" x14ac:dyDescent="0.25">
      <c r="A4155" t="s">
        <v>630</v>
      </c>
      <c r="B4155" t="s">
        <v>559</v>
      </c>
      <c r="C4155" t="s">
        <v>53</v>
      </c>
      <c r="D4155" s="6">
        <v>45916</v>
      </c>
      <c r="E4155" t="str">
        <f>VLOOKUP(B4155,'PROCV GERENTES BD'!A:B,2,0)</f>
        <v>ALISSON DE SOUZA LIMA</v>
      </c>
      <c r="F4155" s="4" t="str">
        <f t="shared" si="384"/>
        <v>2025-09</v>
      </c>
      <c r="G4155" s="18">
        <f t="shared" si="385"/>
        <v>38</v>
      </c>
      <c r="H4155" t="str">
        <f t="shared" si="386"/>
        <v>ALISSON DE SOUZA LIMA</v>
      </c>
      <c r="I4155" t="str">
        <f t="shared" si="387"/>
        <v>JRG SOLUCOES INDUSTRIAIS LTDA</v>
      </c>
      <c r="J4155">
        <f t="shared" si="388"/>
        <v>1</v>
      </c>
      <c r="K4155">
        <f t="shared" si="389"/>
        <v>1</v>
      </c>
    </row>
    <row r="4156" spans="1:11" x14ac:dyDescent="0.25">
      <c r="A4156" t="s">
        <v>69</v>
      </c>
      <c r="B4156" t="s">
        <v>70</v>
      </c>
      <c r="C4156" t="s">
        <v>66</v>
      </c>
      <c r="D4156" s="6">
        <v>45916</v>
      </c>
      <c r="E4156" t="str">
        <f>VLOOKUP(B4156,'PROCV GERENTES BD'!A:B,2,0)</f>
        <v>ALISSON DE SOUZA LIMA</v>
      </c>
      <c r="F4156" s="4" t="str">
        <f t="shared" si="384"/>
        <v>2025-09</v>
      </c>
      <c r="G4156" s="18">
        <f t="shared" si="385"/>
        <v>38</v>
      </c>
      <c r="H4156" t="str">
        <f t="shared" si="386"/>
        <v>ALISSON DE SOUZA LIMA</v>
      </c>
      <c r="I4156" t="str">
        <f t="shared" si="387"/>
        <v>AUTOMOTIV DO BRASIL INDUSTRIAL LTDA</v>
      </c>
      <c r="J4156">
        <f t="shared" si="388"/>
        <v>1</v>
      </c>
      <c r="K4156">
        <f t="shared" si="389"/>
        <v>0</v>
      </c>
    </row>
    <row r="4157" spans="1:11" x14ac:dyDescent="0.25">
      <c r="A4157" t="s">
        <v>64</v>
      </c>
      <c r="B4157" t="s">
        <v>65</v>
      </c>
      <c r="C4157" t="s">
        <v>53</v>
      </c>
      <c r="D4157" s="6">
        <v>45916</v>
      </c>
      <c r="E4157" t="str">
        <f>VLOOKUP(B4157,'PROCV GERENTES BD'!A:B,2,0)</f>
        <v>ADMINISTRAÇÃO</v>
      </c>
      <c r="F4157" s="4" t="str">
        <f t="shared" si="384"/>
        <v>2025-09</v>
      </c>
      <c r="G4157" s="18">
        <f t="shared" si="385"/>
        <v>38</v>
      </c>
      <c r="H4157" t="str">
        <f t="shared" si="386"/>
        <v>ADMINISTRAÇÃO</v>
      </c>
      <c r="I4157" t="str">
        <f t="shared" si="387"/>
        <v>SOCIAL S/A</v>
      </c>
      <c r="J4157">
        <f t="shared" si="388"/>
        <v>1</v>
      </c>
      <c r="K4157">
        <f t="shared" si="389"/>
        <v>1</v>
      </c>
    </row>
    <row r="4158" spans="1:11" x14ac:dyDescent="0.25">
      <c r="A4158" t="s">
        <v>519</v>
      </c>
      <c r="B4158" t="s">
        <v>283</v>
      </c>
      <c r="C4158" t="s">
        <v>66</v>
      </c>
      <c r="D4158" s="6">
        <v>45916</v>
      </c>
      <c r="E4158" t="str">
        <f>VLOOKUP(B4158,'PROCV GERENTES BD'!A:B,2,0)</f>
        <v>DALVA</v>
      </c>
      <c r="F4158" s="4" t="str">
        <f t="shared" si="384"/>
        <v>2025-09</v>
      </c>
      <c r="G4158" s="18">
        <f t="shared" si="385"/>
        <v>38</v>
      </c>
      <c r="H4158" t="str">
        <f t="shared" si="386"/>
        <v>DALVA</v>
      </c>
      <c r="I4158" t="str">
        <f t="shared" si="387"/>
        <v>LTA USINAGEM LTDA EPP</v>
      </c>
      <c r="J4158">
        <f t="shared" si="388"/>
        <v>1</v>
      </c>
      <c r="K4158">
        <f t="shared" si="389"/>
        <v>0</v>
      </c>
    </row>
    <row r="4159" spans="1:11" x14ac:dyDescent="0.25">
      <c r="A4159" t="s">
        <v>499</v>
      </c>
      <c r="B4159" t="s">
        <v>258</v>
      </c>
      <c r="C4159" t="s">
        <v>66</v>
      </c>
      <c r="D4159" s="6">
        <v>45916</v>
      </c>
      <c r="E4159" t="str">
        <f>VLOOKUP(B4159,'PROCV GERENTES BD'!A:B,2,0)</f>
        <v>PRISCILA METZ</v>
      </c>
      <c r="F4159" s="4" t="str">
        <f t="shared" si="384"/>
        <v>2025-09</v>
      </c>
      <c r="G4159" s="18">
        <f t="shared" si="385"/>
        <v>38</v>
      </c>
      <c r="H4159" t="str">
        <f t="shared" si="386"/>
        <v>PRISCILA METZ</v>
      </c>
      <c r="I4159" t="str">
        <f t="shared" si="387"/>
        <v>PLATINUM INDUSTRIA DE CONFECCOES LTDA</v>
      </c>
      <c r="J4159">
        <f t="shared" si="388"/>
        <v>1</v>
      </c>
      <c r="K4159">
        <f t="shared" si="389"/>
        <v>0</v>
      </c>
    </row>
    <row r="4160" spans="1:11" x14ac:dyDescent="0.25">
      <c r="A4160" t="s">
        <v>604</v>
      </c>
      <c r="B4160" t="s">
        <v>605</v>
      </c>
      <c r="C4160" t="s">
        <v>50</v>
      </c>
      <c r="D4160" s="6">
        <v>45916</v>
      </c>
      <c r="E4160" t="str">
        <f>VLOOKUP(B4160,'PROCV GERENTES BD'!A:B,2,0)</f>
        <v>ALISSON DE SOUZA LIMA</v>
      </c>
      <c r="F4160" s="4" t="str">
        <f t="shared" si="384"/>
        <v>2025-09</v>
      </c>
      <c r="G4160" s="18">
        <f t="shared" si="385"/>
        <v>38</v>
      </c>
      <c r="H4160" t="str">
        <f t="shared" si="386"/>
        <v>ALISSON DE SOUZA LIMA</v>
      </c>
      <c r="I4160" t="str">
        <f t="shared" si="387"/>
        <v>3J FUNDICAO INDUSTRIAL LTDA</v>
      </c>
      <c r="J4160">
        <f t="shared" si="388"/>
        <v>0</v>
      </c>
      <c r="K4160">
        <f t="shared" si="389"/>
        <v>1</v>
      </c>
    </row>
    <row r="4161" spans="1:11" x14ac:dyDescent="0.25">
      <c r="A4161" t="s">
        <v>521</v>
      </c>
      <c r="B4161" t="s">
        <v>286</v>
      </c>
      <c r="C4161" t="s">
        <v>50</v>
      </c>
      <c r="D4161" s="6">
        <v>45916</v>
      </c>
      <c r="E4161" t="str">
        <f>VLOOKUP(B4161,'PROCV GERENTES BD'!A:B,2,0)</f>
        <v>CELIO PIMENTA</v>
      </c>
      <c r="F4161" s="4" t="str">
        <f t="shared" si="384"/>
        <v>2025-09</v>
      </c>
      <c r="G4161" s="18">
        <f t="shared" si="385"/>
        <v>38</v>
      </c>
      <c r="H4161" t="str">
        <f t="shared" si="386"/>
        <v>CELIO PIMENTA</v>
      </c>
      <c r="I4161" t="str">
        <f t="shared" si="387"/>
        <v>LINGERIE E CIA LTDA ME</v>
      </c>
      <c r="J4161">
        <f t="shared" si="388"/>
        <v>0</v>
      </c>
      <c r="K4161">
        <f t="shared" si="389"/>
        <v>1</v>
      </c>
    </row>
    <row r="4162" spans="1:11" x14ac:dyDescent="0.25">
      <c r="A4162" t="s">
        <v>317</v>
      </c>
      <c r="B4162" t="s">
        <v>280</v>
      </c>
      <c r="C4162" t="s">
        <v>66</v>
      </c>
      <c r="D4162" s="6">
        <v>45916</v>
      </c>
      <c r="E4162" t="str">
        <f>VLOOKUP(B4162,'PROCV GERENTES BD'!A:B,2,0)</f>
        <v>PROSPECTAR</v>
      </c>
      <c r="F4162" s="4" t="str">
        <f t="shared" ref="F4162:F4225" si="390">YEAR(D4162)&amp;"-"&amp;TEXT(MONTH(D4162),"00")</f>
        <v>2025-09</v>
      </c>
      <c r="G4162" s="18">
        <f t="shared" ref="G4162:G4225" si="391">WEEKNUM(D4162)</f>
        <v>38</v>
      </c>
      <c r="H4162" t="str">
        <f t="shared" ref="H4162:H4225" si="392">E4162</f>
        <v>PROSPECTAR</v>
      </c>
      <c r="I4162" t="str">
        <f t="shared" ref="I4162:I4225" si="393">B4162</f>
        <v>STA TECHCANA LTDA</v>
      </c>
      <c r="J4162">
        <f t="shared" ref="J4162:J4225" si="394">IF(OR(C4162="EXCLUSAO  ANOT.INADIMPLENCIA",C4162="INCL/EXCL ANOT.INADIMPLENCIA"),1,0)</f>
        <v>1</v>
      </c>
      <c r="K4162">
        <f t="shared" ref="K4162:K4225" si="395">IF(OR(C4162="INCLUSAO  ANOT.INADIMPLENCIA",C4162="INCL/EXCL ANOT.INADIMPLENCIA"),1,0)</f>
        <v>0</v>
      </c>
    </row>
    <row r="4163" spans="1:11" x14ac:dyDescent="0.25">
      <c r="A4163" t="s">
        <v>58</v>
      </c>
      <c r="B4163" t="s">
        <v>59</v>
      </c>
      <c r="C4163" t="s">
        <v>53</v>
      </c>
      <c r="D4163" s="6">
        <v>45916</v>
      </c>
      <c r="E4163" t="str">
        <f>VLOOKUP(B4163,'PROCV GERENTES BD'!A:B,2,0)</f>
        <v>ADMINISTRAÇÃO</v>
      </c>
      <c r="F4163" s="4" t="str">
        <f t="shared" si="390"/>
        <v>2025-09</v>
      </c>
      <c r="G4163" s="18">
        <f t="shared" si="391"/>
        <v>38</v>
      </c>
      <c r="H4163" t="str">
        <f t="shared" si="392"/>
        <v>ADMINISTRAÇÃO</v>
      </c>
      <c r="I4163" t="str">
        <f t="shared" si="393"/>
        <v>BIOTECH LOGISTICA LTDA</v>
      </c>
      <c r="J4163">
        <f t="shared" si="394"/>
        <v>1</v>
      </c>
      <c r="K4163">
        <f t="shared" si="395"/>
        <v>1</v>
      </c>
    </row>
    <row r="4164" spans="1:11" x14ac:dyDescent="0.25">
      <c r="A4164" t="s">
        <v>56</v>
      </c>
      <c r="B4164" t="s">
        <v>57</v>
      </c>
      <c r="C4164" t="s">
        <v>50</v>
      </c>
      <c r="D4164" s="6">
        <v>45916</v>
      </c>
      <c r="E4164" t="str">
        <f>VLOOKUP(B4164,'PROCV GERENTES BD'!A:B,2,0)</f>
        <v xml:space="preserve">ROGERIO </v>
      </c>
      <c r="F4164" s="4" t="str">
        <f t="shared" si="390"/>
        <v>2025-09</v>
      </c>
      <c r="G4164" s="18">
        <f t="shared" si="391"/>
        <v>38</v>
      </c>
      <c r="H4164" t="str">
        <f t="shared" si="392"/>
        <v xml:space="preserve">ROGERIO </v>
      </c>
      <c r="I4164" t="str">
        <f t="shared" si="393"/>
        <v>RODOVIEIRA TRANSPORTE LTDA</v>
      </c>
      <c r="J4164">
        <f t="shared" si="394"/>
        <v>0</v>
      </c>
      <c r="K4164">
        <f t="shared" si="395"/>
        <v>1</v>
      </c>
    </row>
    <row r="4165" spans="1:11" x14ac:dyDescent="0.25">
      <c r="A4165" t="s">
        <v>358</v>
      </c>
      <c r="B4165" t="s">
        <v>104</v>
      </c>
      <c r="C4165" t="s">
        <v>50</v>
      </c>
      <c r="D4165" s="6">
        <v>45916</v>
      </c>
      <c r="E4165" t="str">
        <f>VLOOKUP(B4165,'PROCV GERENTES BD'!A:B,2,0)</f>
        <v>DIOGO AZEVEDO</v>
      </c>
      <c r="F4165" s="4" t="str">
        <f t="shared" si="390"/>
        <v>2025-09</v>
      </c>
      <c r="G4165" s="18">
        <f t="shared" si="391"/>
        <v>38</v>
      </c>
      <c r="H4165" t="str">
        <f t="shared" si="392"/>
        <v>DIOGO AZEVEDO</v>
      </c>
      <c r="I4165" t="str">
        <f t="shared" si="393"/>
        <v>INDUSTRIA E CERVEJARIA ARTESANAL DE MINAS GERAIS L</v>
      </c>
      <c r="J4165">
        <f t="shared" si="394"/>
        <v>0</v>
      </c>
      <c r="K4165">
        <f t="shared" si="395"/>
        <v>1</v>
      </c>
    </row>
    <row r="4166" spans="1:11" x14ac:dyDescent="0.25">
      <c r="A4166" t="s">
        <v>668</v>
      </c>
      <c r="B4166" t="s">
        <v>669</v>
      </c>
      <c r="C4166" t="s">
        <v>50</v>
      </c>
      <c r="D4166" s="6">
        <v>45916</v>
      </c>
      <c r="E4166" t="str">
        <f>VLOOKUP(B4166,'PROCV GERENTES BD'!A:B,2,0)</f>
        <v>ADMINISTRAÇÃO</v>
      </c>
      <c r="F4166" s="4" t="str">
        <f t="shared" si="390"/>
        <v>2025-09</v>
      </c>
      <c r="G4166" s="18">
        <f t="shared" si="391"/>
        <v>38</v>
      </c>
      <c r="H4166" t="str">
        <f t="shared" si="392"/>
        <v>ADMINISTRAÇÃO</v>
      </c>
      <c r="I4166" t="str">
        <f t="shared" si="393"/>
        <v>SUPER BULL IMPORTACAO E COMERCIO DE EQUIPAMENTOS L</v>
      </c>
      <c r="J4166">
        <f t="shared" si="394"/>
        <v>0</v>
      </c>
      <c r="K4166">
        <f t="shared" si="395"/>
        <v>1</v>
      </c>
    </row>
    <row r="4167" spans="1:11" x14ac:dyDescent="0.25">
      <c r="A4167" t="s">
        <v>387</v>
      </c>
      <c r="B4167" t="s">
        <v>134</v>
      </c>
      <c r="C4167" t="s">
        <v>50</v>
      </c>
      <c r="D4167" s="6">
        <v>45916</v>
      </c>
      <c r="E4167" t="str">
        <f>VLOOKUP(B4167,'PROCV GERENTES BD'!A:B,2,0)</f>
        <v>RAFAEL PARISE</v>
      </c>
      <c r="F4167" s="4" t="str">
        <f t="shared" si="390"/>
        <v>2025-09</v>
      </c>
      <c r="G4167" s="18">
        <f t="shared" si="391"/>
        <v>38</v>
      </c>
      <c r="H4167" t="str">
        <f t="shared" si="392"/>
        <v>RAFAEL PARISE</v>
      </c>
      <c r="I4167" t="str">
        <f t="shared" si="393"/>
        <v>MAIS DISTRIBUIDORA LTDA</v>
      </c>
      <c r="J4167">
        <f t="shared" si="394"/>
        <v>0</v>
      </c>
      <c r="K4167">
        <f t="shared" si="395"/>
        <v>1</v>
      </c>
    </row>
    <row r="4168" spans="1:11" x14ac:dyDescent="0.25">
      <c r="A4168" t="s">
        <v>532</v>
      </c>
      <c r="B4168" t="s">
        <v>300</v>
      </c>
      <c r="C4168" t="s">
        <v>66</v>
      </c>
      <c r="D4168" s="6">
        <v>45916</v>
      </c>
      <c r="E4168" t="str">
        <f>VLOOKUP(B4168,'PROCV GERENTES BD'!A:B,2,0)</f>
        <v>RAFAEL PARISE</v>
      </c>
      <c r="F4168" s="4" t="str">
        <f t="shared" si="390"/>
        <v>2025-09</v>
      </c>
      <c r="G4168" s="18">
        <f t="shared" si="391"/>
        <v>38</v>
      </c>
      <c r="H4168" t="str">
        <f t="shared" si="392"/>
        <v>RAFAEL PARISE</v>
      </c>
      <c r="I4168" t="str">
        <f t="shared" si="393"/>
        <v>MINASPOL INDUSTRIA E COMERCIO DE COMPOSTOS POLIMER</v>
      </c>
      <c r="J4168">
        <f t="shared" si="394"/>
        <v>1</v>
      </c>
      <c r="K4168">
        <f t="shared" si="395"/>
        <v>0</v>
      </c>
    </row>
    <row r="4169" spans="1:11" x14ac:dyDescent="0.25">
      <c r="A4169" t="s">
        <v>51</v>
      </c>
      <c r="B4169" t="s">
        <v>52</v>
      </c>
      <c r="C4169" t="s">
        <v>53</v>
      </c>
      <c r="D4169" s="6">
        <v>45916</v>
      </c>
      <c r="E4169" t="str">
        <f>VLOOKUP(B4169,'PROCV GERENTES BD'!A:B,2,0)</f>
        <v>RAFAEL PARISE</v>
      </c>
      <c r="F4169" s="4" t="str">
        <f t="shared" si="390"/>
        <v>2025-09</v>
      </c>
      <c r="G4169" s="18">
        <f t="shared" si="391"/>
        <v>38</v>
      </c>
      <c r="H4169" t="str">
        <f t="shared" si="392"/>
        <v>RAFAEL PARISE</v>
      </c>
      <c r="I4169" t="str">
        <f t="shared" si="393"/>
        <v>TDR TRANSPORTES LOGISTICA LTDA</v>
      </c>
      <c r="J4169">
        <f t="shared" si="394"/>
        <v>1</v>
      </c>
      <c r="K4169">
        <f t="shared" si="395"/>
        <v>1</v>
      </c>
    </row>
    <row r="4170" spans="1:11" x14ac:dyDescent="0.25">
      <c r="A4170" t="s">
        <v>323</v>
      </c>
      <c r="B4170" t="s">
        <v>109</v>
      </c>
      <c r="C4170" t="s">
        <v>50</v>
      </c>
      <c r="D4170" s="6">
        <v>45916</v>
      </c>
      <c r="E4170" t="str">
        <f>VLOOKUP(B4170,'PROCV GERENTES BD'!A:B,2,0)</f>
        <v>PROSPECTAR</v>
      </c>
      <c r="F4170" s="4" t="str">
        <f t="shared" si="390"/>
        <v>2025-09</v>
      </c>
      <c r="G4170" s="18">
        <f t="shared" si="391"/>
        <v>38</v>
      </c>
      <c r="H4170" t="str">
        <f t="shared" si="392"/>
        <v>PROSPECTAR</v>
      </c>
      <c r="I4170" t="str">
        <f t="shared" si="393"/>
        <v>SIAP COMERCIO DE PRODUTOS AGROPECUARIOS LTDA</v>
      </c>
      <c r="J4170">
        <f t="shared" si="394"/>
        <v>0</v>
      </c>
      <c r="K4170">
        <f t="shared" si="395"/>
        <v>1</v>
      </c>
    </row>
    <row r="4171" spans="1:11" x14ac:dyDescent="0.25">
      <c r="A4171" t="s">
        <v>397</v>
      </c>
      <c r="B4171" t="s">
        <v>147</v>
      </c>
      <c r="C4171" t="s">
        <v>66</v>
      </c>
      <c r="D4171" s="6">
        <v>45916</v>
      </c>
      <c r="E4171" t="str">
        <f>VLOOKUP(B4171,'PROCV GERENTES BD'!A:B,2,0)</f>
        <v xml:space="preserve">MARCUS VINICIUS </v>
      </c>
      <c r="F4171" s="4" t="str">
        <f t="shared" si="390"/>
        <v>2025-09</v>
      </c>
      <c r="G4171" s="18">
        <f t="shared" si="391"/>
        <v>38</v>
      </c>
      <c r="H4171" t="str">
        <f t="shared" si="392"/>
        <v xml:space="preserve">MARCUS VINICIUS </v>
      </c>
      <c r="I4171" t="str">
        <f t="shared" si="393"/>
        <v>UNIVERSO INOX INDUSTRIA E COMERCIO LTDA EPP</v>
      </c>
      <c r="J4171">
        <f t="shared" si="394"/>
        <v>1</v>
      </c>
      <c r="K4171">
        <f t="shared" si="395"/>
        <v>0</v>
      </c>
    </row>
    <row r="4172" spans="1:11" x14ac:dyDescent="0.25">
      <c r="A4172" t="s">
        <v>305</v>
      </c>
      <c r="B4172" t="s">
        <v>141</v>
      </c>
      <c r="C4172" t="s">
        <v>66</v>
      </c>
      <c r="D4172" s="6">
        <v>45916</v>
      </c>
      <c r="E4172" t="str">
        <f>VLOOKUP(B4172,'PROCV GERENTES BD'!A:B,2,0)</f>
        <v>NOELI SALETE</v>
      </c>
      <c r="F4172" s="4" t="str">
        <f t="shared" si="390"/>
        <v>2025-09</v>
      </c>
      <c r="G4172" s="18">
        <f t="shared" si="391"/>
        <v>38</v>
      </c>
      <c r="H4172" t="str">
        <f t="shared" si="392"/>
        <v>NOELI SALETE</v>
      </c>
      <c r="I4172" t="str">
        <f t="shared" si="393"/>
        <v>JMS EMBALAGENS INDUSTRIAIS LTDA</v>
      </c>
      <c r="J4172">
        <f t="shared" si="394"/>
        <v>1</v>
      </c>
      <c r="K4172">
        <f t="shared" si="395"/>
        <v>0</v>
      </c>
    </row>
    <row r="4173" spans="1:11" x14ac:dyDescent="0.25">
      <c r="A4173" t="s">
        <v>523</v>
      </c>
      <c r="B4173" t="s">
        <v>288</v>
      </c>
      <c r="C4173" t="s">
        <v>53</v>
      </c>
      <c r="D4173" s="6">
        <v>45916</v>
      </c>
      <c r="E4173" t="str">
        <f>VLOOKUP(B4173,'PROCV GERENTES BD'!A:B,2,0)</f>
        <v>ADMINISTRAÇÃO</v>
      </c>
      <c r="F4173" s="4" t="str">
        <f t="shared" si="390"/>
        <v>2025-09</v>
      </c>
      <c r="G4173" s="18">
        <f t="shared" si="391"/>
        <v>38</v>
      </c>
      <c r="H4173" t="str">
        <f t="shared" si="392"/>
        <v>ADMINISTRAÇÃO</v>
      </c>
      <c r="I4173" t="str">
        <f t="shared" si="393"/>
        <v>REFRACONT BRASIL LTDA</v>
      </c>
      <c r="J4173">
        <f t="shared" si="394"/>
        <v>1</v>
      </c>
      <c r="K4173">
        <f t="shared" si="395"/>
        <v>1</v>
      </c>
    </row>
    <row r="4174" spans="1:11" x14ac:dyDescent="0.25">
      <c r="A4174" t="s">
        <v>304</v>
      </c>
      <c r="B4174" t="s">
        <v>123</v>
      </c>
      <c r="C4174" t="s">
        <v>66</v>
      </c>
      <c r="D4174" s="6">
        <v>45916</v>
      </c>
      <c r="E4174" t="str">
        <f>VLOOKUP(B4174,'PROCV GERENTES BD'!A:B,2,0)</f>
        <v>ADMINISTRAÇÃO</v>
      </c>
      <c r="F4174" s="4" t="str">
        <f t="shared" si="390"/>
        <v>2025-09</v>
      </c>
      <c r="G4174" s="18">
        <f t="shared" si="391"/>
        <v>38</v>
      </c>
      <c r="H4174" t="str">
        <f t="shared" si="392"/>
        <v>ADMINISTRAÇÃO</v>
      </c>
      <c r="I4174" t="str">
        <f t="shared" si="393"/>
        <v>VIC LOGISTICA LTDA EM RECUPERACAO JUDICIAL</v>
      </c>
      <c r="J4174">
        <f t="shared" si="394"/>
        <v>1</v>
      </c>
      <c r="K4174">
        <f t="shared" si="395"/>
        <v>0</v>
      </c>
    </row>
    <row r="4175" spans="1:11" x14ac:dyDescent="0.25">
      <c r="A4175" t="s">
        <v>372</v>
      </c>
      <c r="B4175" t="s">
        <v>116</v>
      </c>
      <c r="C4175" t="s">
        <v>66</v>
      </c>
      <c r="D4175" s="6">
        <v>45916</v>
      </c>
      <c r="E4175" t="str">
        <f>VLOOKUP(B4175,'PROCV GERENTES BD'!A:B,2,0)</f>
        <v>ADMINISTRAÇÃO</v>
      </c>
      <c r="F4175" s="4" t="str">
        <f t="shared" si="390"/>
        <v>2025-09</v>
      </c>
      <c r="G4175" s="18">
        <f t="shared" si="391"/>
        <v>38</v>
      </c>
      <c r="H4175" t="str">
        <f t="shared" si="392"/>
        <v>ADMINISTRAÇÃO</v>
      </c>
      <c r="I4175" t="str">
        <f t="shared" si="393"/>
        <v>PREMOLDADOS MATOSINHOS LTDA EPP</v>
      </c>
      <c r="J4175">
        <f t="shared" si="394"/>
        <v>1</v>
      </c>
      <c r="K4175">
        <f t="shared" si="395"/>
        <v>0</v>
      </c>
    </row>
    <row r="4176" spans="1:11" x14ac:dyDescent="0.25">
      <c r="A4176" t="s">
        <v>510</v>
      </c>
      <c r="B4176" t="s">
        <v>273</v>
      </c>
      <c r="C4176" t="s">
        <v>50</v>
      </c>
      <c r="D4176" s="6">
        <v>45916</v>
      </c>
      <c r="E4176" t="str">
        <f>VLOOKUP(B4176,'PROCV GERENTES BD'!A:B,2,0)</f>
        <v>CELIO PIMENTA</v>
      </c>
      <c r="F4176" s="4" t="str">
        <f t="shared" si="390"/>
        <v>2025-09</v>
      </c>
      <c r="G4176" s="18">
        <f t="shared" si="391"/>
        <v>38</v>
      </c>
      <c r="H4176" t="str">
        <f t="shared" si="392"/>
        <v>CELIO PIMENTA</v>
      </c>
      <c r="I4176" t="str">
        <f t="shared" si="393"/>
        <v>PRADO MOREIRA TEXTIL LTDA ME</v>
      </c>
      <c r="J4176">
        <f t="shared" si="394"/>
        <v>0</v>
      </c>
      <c r="K4176">
        <f t="shared" si="395"/>
        <v>1</v>
      </c>
    </row>
    <row r="4177" spans="1:11" x14ac:dyDescent="0.25">
      <c r="A4177" t="s">
        <v>48</v>
      </c>
      <c r="B4177" t="s">
        <v>49</v>
      </c>
      <c r="C4177" t="s">
        <v>50</v>
      </c>
      <c r="D4177" s="6">
        <v>45917</v>
      </c>
      <c r="E4177" t="str">
        <f>VLOOKUP(B4177,'PROCV GERENTES BD'!A:B,2,0)</f>
        <v xml:space="preserve">MARCUS VINICIUS </v>
      </c>
      <c r="F4177" s="4" t="str">
        <f t="shared" si="390"/>
        <v>2025-09</v>
      </c>
      <c r="G4177" s="18">
        <f t="shared" si="391"/>
        <v>38</v>
      </c>
      <c r="H4177" t="str">
        <f t="shared" si="392"/>
        <v xml:space="preserve">MARCUS VINICIUS </v>
      </c>
      <c r="I4177" t="str">
        <f t="shared" si="393"/>
        <v>PROMEL IND COM IMP E EXP DE PRODS NATURAIS LTDA</v>
      </c>
      <c r="J4177">
        <f t="shared" si="394"/>
        <v>0</v>
      </c>
      <c r="K4177">
        <f t="shared" si="395"/>
        <v>1</v>
      </c>
    </row>
    <row r="4178" spans="1:11" x14ac:dyDescent="0.25">
      <c r="A4178" t="s">
        <v>314</v>
      </c>
      <c r="B4178" t="s">
        <v>246</v>
      </c>
      <c r="C4178" t="s">
        <v>50</v>
      </c>
      <c r="D4178" s="6">
        <v>45917</v>
      </c>
      <c r="E4178" t="str">
        <f>VLOOKUP(B4178,'PROCV GERENTES BD'!A:B,2,0)</f>
        <v xml:space="preserve">ROGERIO </v>
      </c>
      <c r="F4178" s="4" t="str">
        <f t="shared" si="390"/>
        <v>2025-09</v>
      </c>
      <c r="G4178" s="18">
        <f t="shared" si="391"/>
        <v>38</v>
      </c>
      <c r="H4178" t="str">
        <f t="shared" si="392"/>
        <v xml:space="preserve">ROGERIO </v>
      </c>
      <c r="I4178" t="str">
        <f t="shared" si="393"/>
        <v>MUTCD CENTRO DE DISTRIBUICAO DE IND FABRICANTE DE</v>
      </c>
      <c r="J4178">
        <f t="shared" si="394"/>
        <v>0</v>
      </c>
      <c r="K4178">
        <f t="shared" si="395"/>
        <v>1</v>
      </c>
    </row>
    <row r="4179" spans="1:11" x14ac:dyDescent="0.25">
      <c r="A4179" t="s">
        <v>461</v>
      </c>
      <c r="B4179" t="s">
        <v>218</v>
      </c>
      <c r="C4179" t="s">
        <v>50</v>
      </c>
      <c r="D4179" s="6">
        <v>45917</v>
      </c>
      <c r="E4179" t="str">
        <f>VLOOKUP(B4179,'PROCV GERENTES BD'!A:B,2,0)</f>
        <v>SACADO</v>
      </c>
      <c r="F4179" s="4" t="str">
        <f t="shared" si="390"/>
        <v>2025-09</v>
      </c>
      <c r="G4179" s="18">
        <f t="shared" si="391"/>
        <v>38</v>
      </c>
      <c r="H4179" t="str">
        <f t="shared" si="392"/>
        <v>SACADO</v>
      </c>
      <c r="I4179" t="str">
        <f t="shared" si="393"/>
        <v>KUARA COMERCIAL E EXPORTADORA DE FRUTAS LTDA</v>
      </c>
      <c r="J4179">
        <f t="shared" si="394"/>
        <v>0</v>
      </c>
      <c r="K4179">
        <f t="shared" si="395"/>
        <v>1</v>
      </c>
    </row>
    <row r="4180" spans="1:11" x14ac:dyDescent="0.25">
      <c r="A4180" t="s">
        <v>599</v>
      </c>
      <c r="B4180" t="s">
        <v>541</v>
      </c>
      <c r="C4180" t="s">
        <v>50</v>
      </c>
      <c r="D4180" s="6">
        <v>45917</v>
      </c>
      <c r="E4180" t="str">
        <f>VLOOKUP(B4180,'PROCV GERENTES BD'!A:B,2,0)</f>
        <v xml:space="preserve">MARCUS VINICIUS </v>
      </c>
      <c r="F4180" s="4" t="str">
        <f t="shared" si="390"/>
        <v>2025-09</v>
      </c>
      <c r="G4180" s="18">
        <f t="shared" si="391"/>
        <v>38</v>
      </c>
      <c r="H4180" t="str">
        <f t="shared" si="392"/>
        <v xml:space="preserve">MARCUS VINICIUS </v>
      </c>
      <c r="I4180" t="str">
        <f t="shared" si="393"/>
        <v>JSA INDUSTRIA DE COSMETICOS LTDA EPP</v>
      </c>
      <c r="J4180">
        <f t="shared" si="394"/>
        <v>0</v>
      </c>
      <c r="K4180">
        <f t="shared" si="395"/>
        <v>1</v>
      </c>
    </row>
    <row r="4181" spans="1:11" x14ac:dyDescent="0.25">
      <c r="A4181" t="s">
        <v>658</v>
      </c>
      <c r="B4181" t="s">
        <v>659</v>
      </c>
      <c r="C4181" t="s">
        <v>50</v>
      </c>
      <c r="D4181" s="6">
        <v>45917</v>
      </c>
      <c r="E4181" t="str">
        <f>VLOOKUP(B4181,'PROCV GERENTES BD'!A:B,2,0)</f>
        <v>ADMINISTRAÇÃO</v>
      </c>
      <c r="F4181" s="4" t="str">
        <f t="shared" si="390"/>
        <v>2025-09</v>
      </c>
      <c r="G4181" s="18">
        <f t="shared" si="391"/>
        <v>38</v>
      </c>
      <c r="H4181" t="str">
        <f t="shared" si="392"/>
        <v>ADMINISTRAÇÃO</v>
      </c>
      <c r="I4181" t="str">
        <f t="shared" si="393"/>
        <v>LEFORM PLANEJADOS LTDA ME</v>
      </c>
      <c r="J4181">
        <f t="shared" si="394"/>
        <v>0</v>
      </c>
      <c r="K4181">
        <f t="shared" si="395"/>
        <v>1</v>
      </c>
    </row>
    <row r="4182" spans="1:11" x14ac:dyDescent="0.25">
      <c r="A4182" t="s">
        <v>661</v>
      </c>
      <c r="B4182" t="s">
        <v>662</v>
      </c>
      <c r="C4182" t="s">
        <v>50</v>
      </c>
      <c r="D4182" s="6">
        <v>45917</v>
      </c>
      <c r="E4182" t="str">
        <f>VLOOKUP(B4182,'PROCV GERENTES BD'!A:B,2,0)</f>
        <v>PRISCILA METZ</v>
      </c>
      <c r="F4182" s="4" t="str">
        <f t="shared" si="390"/>
        <v>2025-09</v>
      </c>
      <c r="G4182" s="18">
        <f t="shared" si="391"/>
        <v>38</v>
      </c>
      <c r="H4182" t="str">
        <f t="shared" si="392"/>
        <v>PRISCILA METZ</v>
      </c>
      <c r="I4182" t="str">
        <f t="shared" si="393"/>
        <v>LIDER DISTRIBUIDORA DE MOVEIS E EQUIPAMENTOS PARA</v>
      </c>
      <c r="J4182">
        <f t="shared" si="394"/>
        <v>0</v>
      </c>
      <c r="K4182">
        <f t="shared" si="395"/>
        <v>1</v>
      </c>
    </row>
    <row r="4183" spans="1:11" x14ac:dyDescent="0.25">
      <c r="A4183" t="s">
        <v>316</v>
      </c>
      <c r="B4183" t="s">
        <v>302</v>
      </c>
      <c r="C4183" t="s">
        <v>50</v>
      </c>
      <c r="D4183" s="6">
        <v>45917</v>
      </c>
      <c r="E4183" t="str">
        <f>VLOOKUP(B4183,'PROCV GERENTES BD'!A:B,2,0)</f>
        <v>CELIO PIMENTA</v>
      </c>
      <c r="F4183" s="4" t="str">
        <f t="shared" si="390"/>
        <v>2025-09</v>
      </c>
      <c r="G4183" s="18">
        <f t="shared" si="391"/>
        <v>38</v>
      </c>
      <c r="H4183" t="str">
        <f t="shared" si="392"/>
        <v>CELIO PIMENTA</v>
      </c>
      <c r="I4183" t="str">
        <f t="shared" si="393"/>
        <v>LOTUS DESENVOLVIMENTO IMOBILIARIO LTDA</v>
      </c>
      <c r="J4183">
        <f t="shared" si="394"/>
        <v>0</v>
      </c>
      <c r="K4183">
        <f t="shared" si="395"/>
        <v>1</v>
      </c>
    </row>
    <row r="4184" spans="1:11" x14ac:dyDescent="0.25">
      <c r="A4184" t="s">
        <v>62</v>
      </c>
      <c r="B4184" t="s">
        <v>63</v>
      </c>
      <c r="C4184" t="s">
        <v>50</v>
      </c>
      <c r="D4184" s="6">
        <v>45917</v>
      </c>
      <c r="E4184" t="str">
        <f>VLOOKUP(B4184,'PROCV GERENTES BD'!A:B,2,0)</f>
        <v>PROSPECTAR</v>
      </c>
      <c r="F4184" s="4" t="str">
        <f t="shared" si="390"/>
        <v>2025-09</v>
      </c>
      <c r="G4184" s="18">
        <f t="shared" si="391"/>
        <v>38</v>
      </c>
      <c r="H4184" t="str">
        <f t="shared" si="392"/>
        <v>PROSPECTAR</v>
      </c>
      <c r="I4184" t="str">
        <f t="shared" si="393"/>
        <v>MAPP COM IMPORTACAO EXPORTACAO IND PRODUTOS ALIMEN</v>
      </c>
      <c r="J4184">
        <f t="shared" si="394"/>
        <v>0</v>
      </c>
      <c r="K4184">
        <f t="shared" si="395"/>
        <v>1</v>
      </c>
    </row>
    <row r="4185" spans="1:11" x14ac:dyDescent="0.25">
      <c r="A4185" t="s">
        <v>440</v>
      </c>
      <c r="B4185" t="s">
        <v>191</v>
      </c>
      <c r="C4185" t="s">
        <v>66</v>
      </c>
      <c r="D4185" s="6">
        <v>45917</v>
      </c>
      <c r="E4185" t="str">
        <f>VLOOKUP(B4185,'PROCV GERENTES BD'!A:B,2,0)</f>
        <v>PROSPECTAR</v>
      </c>
      <c r="F4185" s="4" t="str">
        <f t="shared" si="390"/>
        <v>2025-09</v>
      </c>
      <c r="G4185" s="18">
        <f t="shared" si="391"/>
        <v>38</v>
      </c>
      <c r="H4185" t="str">
        <f t="shared" si="392"/>
        <v>PROSPECTAR</v>
      </c>
      <c r="I4185" t="str">
        <f t="shared" si="393"/>
        <v>SAFRA OURO AGRONEGOCIOS LTDA EPP</v>
      </c>
      <c r="J4185">
        <f t="shared" si="394"/>
        <v>1</v>
      </c>
      <c r="K4185">
        <f t="shared" si="395"/>
        <v>0</v>
      </c>
    </row>
    <row r="4186" spans="1:11" x14ac:dyDescent="0.25">
      <c r="A4186" t="s">
        <v>499</v>
      </c>
      <c r="B4186" t="s">
        <v>258</v>
      </c>
      <c r="C4186" t="s">
        <v>53</v>
      </c>
      <c r="D4186" s="6">
        <v>45917</v>
      </c>
      <c r="E4186" t="str">
        <f>VLOOKUP(B4186,'PROCV GERENTES BD'!A:B,2,0)</f>
        <v>PRISCILA METZ</v>
      </c>
      <c r="F4186" s="4" t="str">
        <f t="shared" si="390"/>
        <v>2025-09</v>
      </c>
      <c r="G4186" s="18">
        <f t="shared" si="391"/>
        <v>38</v>
      </c>
      <c r="H4186" t="str">
        <f t="shared" si="392"/>
        <v>PRISCILA METZ</v>
      </c>
      <c r="I4186" t="str">
        <f t="shared" si="393"/>
        <v>PLATINUM INDUSTRIA DE CONFECCOES LTDA</v>
      </c>
      <c r="J4186">
        <f t="shared" si="394"/>
        <v>1</v>
      </c>
      <c r="K4186">
        <f t="shared" si="395"/>
        <v>1</v>
      </c>
    </row>
    <row r="4187" spans="1:11" x14ac:dyDescent="0.25">
      <c r="A4187" t="s">
        <v>352</v>
      </c>
      <c r="B4187" t="s">
        <v>96</v>
      </c>
      <c r="C4187" t="s">
        <v>50</v>
      </c>
      <c r="D4187" s="6">
        <v>45917</v>
      </c>
      <c r="E4187" t="str">
        <f>VLOOKUP(B4187,'PROCV GERENTES BD'!A:B,2,0)</f>
        <v>POENATELA</v>
      </c>
      <c r="F4187" s="4" t="str">
        <f t="shared" si="390"/>
        <v>2025-09</v>
      </c>
      <c r="G4187" s="18">
        <f t="shared" si="391"/>
        <v>38</v>
      </c>
      <c r="H4187" t="str">
        <f t="shared" si="392"/>
        <v>POENATELA</v>
      </c>
      <c r="I4187" t="str">
        <f t="shared" si="393"/>
        <v>SUPER HARD TECNOLOGIA EM TRATAMENTO DE SUPERFICIES</v>
      </c>
      <c r="J4187">
        <f t="shared" si="394"/>
        <v>0</v>
      </c>
      <c r="K4187">
        <f t="shared" si="395"/>
        <v>1</v>
      </c>
    </row>
    <row r="4188" spans="1:11" x14ac:dyDescent="0.25">
      <c r="A4188" t="s">
        <v>56</v>
      </c>
      <c r="B4188" t="s">
        <v>57</v>
      </c>
      <c r="C4188" t="s">
        <v>50</v>
      </c>
      <c r="D4188" s="6">
        <v>45917</v>
      </c>
      <c r="E4188" t="str">
        <f>VLOOKUP(B4188,'PROCV GERENTES BD'!A:B,2,0)</f>
        <v xml:space="preserve">ROGERIO </v>
      </c>
      <c r="F4188" s="4" t="str">
        <f t="shared" si="390"/>
        <v>2025-09</v>
      </c>
      <c r="G4188" s="18">
        <f t="shared" si="391"/>
        <v>38</v>
      </c>
      <c r="H4188" t="str">
        <f t="shared" si="392"/>
        <v xml:space="preserve">ROGERIO </v>
      </c>
      <c r="I4188" t="str">
        <f t="shared" si="393"/>
        <v>RODOVIEIRA TRANSPORTE LTDA</v>
      </c>
      <c r="J4188">
        <f t="shared" si="394"/>
        <v>0</v>
      </c>
      <c r="K4188">
        <f t="shared" si="395"/>
        <v>1</v>
      </c>
    </row>
    <row r="4189" spans="1:11" x14ac:dyDescent="0.25">
      <c r="A4189" t="s">
        <v>321</v>
      </c>
      <c r="B4189" t="s">
        <v>264</v>
      </c>
      <c r="C4189" t="s">
        <v>50</v>
      </c>
      <c r="D4189" s="6">
        <v>45917</v>
      </c>
      <c r="E4189" t="str">
        <f>VLOOKUP(B4189,'PROCV GERENTES BD'!A:B,2,0)</f>
        <v>RAFAEL PARISE</v>
      </c>
      <c r="F4189" s="4" t="str">
        <f t="shared" si="390"/>
        <v>2025-09</v>
      </c>
      <c r="G4189" s="18">
        <f t="shared" si="391"/>
        <v>38</v>
      </c>
      <c r="H4189" t="str">
        <f t="shared" si="392"/>
        <v>RAFAEL PARISE</v>
      </c>
      <c r="I4189" t="str">
        <f t="shared" si="393"/>
        <v>METALCROMO METALIZACAO E CROMO DURO INDUSTRIAL LTD</v>
      </c>
      <c r="J4189">
        <f t="shared" si="394"/>
        <v>0</v>
      </c>
      <c r="K4189">
        <f t="shared" si="395"/>
        <v>1</v>
      </c>
    </row>
    <row r="4190" spans="1:11" x14ac:dyDescent="0.25">
      <c r="A4190" t="s">
        <v>670</v>
      </c>
      <c r="B4190" t="s">
        <v>671</v>
      </c>
      <c r="C4190" t="s">
        <v>50</v>
      </c>
      <c r="D4190" s="6">
        <v>45917</v>
      </c>
      <c r="E4190" t="str">
        <f>VLOOKUP(B4190,'PROCV GERENTES BD'!A:B,2,0)</f>
        <v>STELLA PURRI BRANT</v>
      </c>
      <c r="F4190" s="4" t="str">
        <f t="shared" si="390"/>
        <v>2025-09</v>
      </c>
      <c r="G4190" s="18">
        <f t="shared" si="391"/>
        <v>38</v>
      </c>
      <c r="H4190" t="str">
        <f t="shared" si="392"/>
        <v>STELLA PURRI BRANT</v>
      </c>
      <c r="I4190" t="str">
        <f t="shared" si="393"/>
        <v>R P CINTRA LTDA EPP</v>
      </c>
      <c r="J4190">
        <f t="shared" si="394"/>
        <v>0</v>
      </c>
      <c r="K4190">
        <f t="shared" si="395"/>
        <v>1</v>
      </c>
    </row>
    <row r="4191" spans="1:11" x14ac:dyDescent="0.25">
      <c r="A4191" t="s">
        <v>373</v>
      </c>
      <c r="B4191" t="s">
        <v>117</v>
      </c>
      <c r="C4191" t="s">
        <v>50</v>
      </c>
      <c r="D4191" s="6">
        <v>45917</v>
      </c>
      <c r="E4191" t="str">
        <f>VLOOKUP(B4191,'PROCV GERENTES BD'!A:B,2,0)</f>
        <v>ADMINISTRAÇÃO</v>
      </c>
      <c r="F4191" s="4" t="str">
        <f t="shared" si="390"/>
        <v>2025-09</v>
      </c>
      <c r="G4191" s="18">
        <f t="shared" si="391"/>
        <v>38</v>
      </c>
      <c r="H4191" t="str">
        <f t="shared" si="392"/>
        <v>ADMINISTRAÇÃO</v>
      </c>
      <c r="I4191" t="str">
        <f t="shared" si="393"/>
        <v>VIVAN TRANSPORTES LTDA</v>
      </c>
      <c r="J4191">
        <f t="shared" si="394"/>
        <v>0</v>
      </c>
      <c r="K4191">
        <f t="shared" si="395"/>
        <v>1</v>
      </c>
    </row>
    <row r="4192" spans="1:11" x14ac:dyDescent="0.25">
      <c r="A4192" t="s">
        <v>523</v>
      </c>
      <c r="B4192" t="s">
        <v>288</v>
      </c>
      <c r="C4192" t="s">
        <v>50</v>
      </c>
      <c r="D4192" s="6">
        <v>45917</v>
      </c>
      <c r="E4192" t="str">
        <f>VLOOKUP(B4192,'PROCV GERENTES BD'!A:B,2,0)</f>
        <v>ADMINISTRAÇÃO</v>
      </c>
      <c r="F4192" s="4" t="str">
        <f t="shared" si="390"/>
        <v>2025-09</v>
      </c>
      <c r="G4192" s="18">
        <f t="shared" si="391"/>
        <v>38</v>
      </c>
      <c r="H4192" t="str">
        <f t="shared" si="392"/>
        <v>ADMINISTRAÇÃO</v>
      </c>
      <c r="I4192" t="str">
        <f t="shared" si="393"/>
        <v>REFRACONT BRASIL LTDA</v>
      </c>
      <c r="J4192">
        <f t="shared" si="394"/>
        <v>0</v>
      </c>
      <c r="K4192">
        <f t="shared" si="395"/>
        <v>1</v>
      </c>
    </row>
    <row r="4193" spans="1:11" x14ac:dyDescent="0.25">
      <c r="A4193" t="s">
        <v>304</v>
      </c>
      <c r="B4193" t="s">
        <v>123</v>
      </c>
      <c r="C4193" t="s">
        <v>66</v>
      </c>
      <c r="D4193" s="6">
        <v>45917</v>
      </c>
      <c r="E4193" t="str">
        <f>VLOOKUP(B4193,'PROCV GERENTES BD'!A:B,2,0)</f>
        <v>ADMINISTRAÇÃO</v>
      </c>
      <c r="F4193" s="4" t="str">
        <f t="shared" si="390"/>
        <v>2025-09</v>
      </c>
      <c r="G4193" s="18">
        <f t="shared" si="391"/>
        <v>38</v>
      </c>
      <c r="H4193" t="str">
        <f t="shared" si="392"/>
        <v>ADMINISTRAÇÃO</v>
      </c>
      <c r="I4193" t="str">
        <f t="shared" si="393"/>
        <v>VIC LOGISTICA LTDA EM RECUPERACAO JUDICIAL</v>
      </c>
      <c r="J4193">
        <f t="shared" si="394"/>
        <v>1</v>
      </c>
      <c r="K4193">
        <f t="shared" si="395"/>
        <v>0</v>
      </c>
    </row>
    <row r="4194" spans="1:11" x14ac:dyDescent="0.25">
      <c r="A4194" t="s">
        <v>604</v>
      </c>
      <c r="B4194" t="s">
        <v>605</v>
      </c>
      <c r="C4194" t="s">
        <v>53</v>
      </c>
      <c r="D4194" s="6">
        <v>45917</v>
      </c>
      <c r="E4194" t="str">
        <f>VLOOKUP(B4194,'PROCV GERENTES BD'!A:B,2,0)</f>
        <v>ALISSON DE SOUZA LIMA</v>
      </c>
      <c r="F4194" s="4" t="str">
        <f t="shared" si="390"/>
        <v>2025-09</v>
      </c>
      <c r="G4194" s="18">
        <f t="shared" si="391"/>
        <v>38</v>
      </c>
      <c r="H4194" t="str">
        <f t="shared" si="392"/>
        <v>ALISSON DE SOUZA LIMA</v>
      </c>
      <c r="I4194" t="str">
        <f t="shared" si="393"/>
        <v>3J FUNDICAO INDUSTRIAL LTDA</v>
      </c>
      <c r="J4194">
        <f t="shared" si="394"/>
        <v>1</v>
      </c>
      <c r="K4194">
        <f t="shared" si="395"/>
        <v>1</v>
      </c>
    </row>
    <row r="4195" spans="1:11" x14ac:dyDescent="0.25">
      <c r="A4195" t="s">
        <v>379</v>
      </c>
      <c r="B4195" t="s">
        <v>126</v>
      </c>
      <c r="C4195" t="s">
        <v>50</v>
      </c>
      <c r="D4195" s="6">
        <v>45917</v>
      </c>
      <c r="E4195" t="str">
        <f>VLOOKUP(B4195,'PROCV GERENTES BD'!A:B,2,0)</f>
        <v>ADMINISTRAÇÃO</v>
      </c>
      <c r="F4195" s="4" t="str">
        <f t="shared" si="390"/>
        <v>2025-09</v>
      </c>
      <c r="G4195" s="18">
        <f t="shared" si="391"/>
        <v>38</v>
      </c>
      <c r="H4195" t="str">
        <f t="shared" si="392"/>
        <v>ADMINISTRAÇÃO</v>
      </c>
      <c r="I4195" t="str">
        <f t="shared" si="393"/>
        <v>ENXOVAIS MINAS LTDA ME</v>
      </c>
      <c r="J4195">
        <f t="shared" si="394"/>
        <v>0</v>
      </c>
      <c r="K4195">
        <f t="shared" si="395"/>
        <v>1</v>
      </c>
    </row>
    <row r="4196" spans="1:11" x14ac:dyDescent="0.25">
      <c r="A4196" t="s">
        <v>660</v>
      </c>
      <c r="B4196" t="s">
        <v>545</v>
      </c>
      <c r="C4196" t="s">
        <v>50</v>
      </c>
      <c r="D4196" s="6">
        <v>45918</v>
      </c>
      <c r="E4196" t="str">
        <f>VLOOKUP(B4196,'PROCV GERENTES BD'!A:B,2,0)</f>
        <v xml:space="preserve">ROGERIO </v>
      </c>
      <c r="F4196" s="4" t="str">
        <f t="shared" si="390"/>
        <v>2025-09</v>
      </c>
      <c r="G4196" s="18">
        <f t="shared" si="391"/>
        <v>38</v>
      </c>
      <c r="H4196" t="str">
        <f t="shared" si="392"/>
        <v xml:space="preserve">ROGERIO </v>
      </c>
      <c r="I4196" t="str">
        <f t="shared" si="393"/>
        <v>DISEP ALIMENTOS LTDA ME</v>
      </c>
      <c r="J4196">
        <f t="shared" si="394"/>
        <v>0</v>
      </c>
      <c r="K4196">
        <f t="shared" si="395"/>
        <v>1</v>
      </c>
    </row>
    <row r="4197" spans="1:11" x14ac:dyDescent="0.25">
      <c r="A4197" t="s">
        <v>509</v>
      </c>
      <c r="B4197" t="s">
        <v>272</v>
      </c>
      <c r="C4197" t="s">
        <v>71</v>
      </c>
      <c r="D4197" s="6">
        <v>45918</v>
      </c>
      <c r="E4197" t="str">
        <f>VLOOKUP(B4197,'PROCV GERENTES BD'!A:B,2,0)</f>
        <v>CELIO PIMENTA</v>
      </c>
      <c r="F4197" s="4" t="str">
        <f t="shared" si="390"/>
        <v>2025-09</v>
      </c>
      <c r="G4197" s="18">
        <f t="shared" si="391"/>
        <v>38</v>
      </c>
      <c r="H4197" t="str">
        <f t="shared" si="392"/>
        <v>CELIO PIMENTA</v>
      </c>
      <c r="I4197" t="str">
        <f t="shared" si="393"/>
        <v>AVIAMENTOS CENTRAL LTDA ME</v>
      </c>
      <c r="J4197">
        <f t="shared" si="394"/>
        <v>0</v>
      </c>
      <c r="K4197">
        <f t="shared" si="395"/>
        <v>0</v>
      </c>
    </row>
    <row r="4198" spans="1:11" x14ac:dyDescent="0.25">
      <c r="A4198" t="s">
        <v>653</v>
      </c>
      <c r="B4198" t="s">
        <v>566</v>
      </c>
      <c r="C4198" t="s">
        <v>71</v>
      </c>
      <c r="D4198" s="6">
        <v>45918</v>
      </c>
      <c r="E4198" t="str">
        <f>VLOOKUP(B4198,'PROCV GERENTES BD'!A:B,2,0)</f>
        <v>DIOGO AZEVEDO</v>
      </c>
      <c r="F4198" s="4" t="str">
        <f t="shared" si="390"/>
        <v>2025-09</v>
      </c>
      <c r="G4198" s="18">
        <f t="shared" si="391"/>
        <v>38</v>
      </c>
      <c r="H4198" t="str">
        <f t="shared" si="392"/>
        <v>DIOGO AZEVEDO</v>
      </c>
      <c r="I4198" t="str">
        <f t="shared" si="393"/>
        <v>MILK LAT LTDA EPP</v>
      </c>
      <c r="J4198">
        <f t="shared" si="394"/>
        <v>0</v>
      </c>
      <c r="K4198">
        <f t="shared" si="395"/>
        <v>0</v>
      </c>
    </row>
    <row r="4199" spans="1:11" x14ac:dyDescent="0.25">
      <c r="A4199" t="s">
        <v>498</v>
      </c>
      <c r="B4199" t="s">
        <v>256</v>
      </c>
      <c r="C4199" t="s">
        <v>71</v>
      </c>
      <c r="D4199" s="6">
        <v>45918</v>
      </c>
      <c r="E4199" t="str">
        <f>VLOOKUP(B4199,'PROCV GERENTES BD'!A:B,2,0)</f>
        <v>CELIO PIMENTA</v>
      </c>
      <c r="F4199" s="4" t="str">
        <f t="shared" si="390"/>
        <v>2025-09</v>
      </c>
      <c r="G4199" s="18">
        <f t="shared" si="391"/>
        <v>38</v>
      </c>
      <c r="H4199" t="str">
        <f t="shared" si="392"/>
        <v>CELIO PIMENTA</v>
      </c>
      <c r="I4199" t="str">
        <f t="shared" si="393"/>
        <v>SEU TRATOR LTDA EPP</v>
      </c>
      <c r="J4199">
        <f t="shared" si="394"/>
        <v>0</v>
      </c>
      <c r="K4199">
        <f t="shared" si="395"/>
        <v>0</v>
      </c>
    </row>
    <row r="4200" spans="1:11" x14ac:dyDescent="0.25">
      <c r="A4200" t="s">
        <v>498</v>
      </c>
      <c r="B4200" t="s">
        <v>256</v>
      </c>
      <c r="C4200" t="s">
        <v>602</v>
      </c>
      <c r="D4200" s="6">
        <v>45918</v>
      </c>
      <c r="E4200" t="str">
        <f>VLOOKUP(B4200,'PROCV GERENTES BD'!A:B,2,0)</f>
        <v>CELIO PIMENTA</v>
      </c>
      <c r="F4200" s="4" t="str">
        <f t="shared" si="390"/>
        <v>2025-09</v>
      </c>
      <c r="G4200" s="18">
        <f t="shared" si="391"/>
        <v>38</v>
      </c>
      <c r="H4200" t="str">
        <f t="shared" si="392"/>
        <v>CELIO PIMENTA</v>
      </c>
      <c r="I4200" t="str">
        <f t="shared" si="393"/>
        <v>SEU TRATOR LTDA EPP</v>
      </c>
      <c r="J4200">
        <f t="shared" si="394"/>
        <v>0</v>
      </c>
      <c r="K4200">
        <f t="shared" si="395"/>
        <v>0</v>
      </c>
    </row>
    <row r="4201" spans="1:11" x14ac:dyDescent="0.25">
      <c r="A4201" t="s">
        <v>469</v>
      </c>
      <c r="B4201" t="s">
        <v>673</v>
      </c>
      <c r="C4201" t="s">
        <v>328</v>
      </c>
      <c r="D4201" s="6">
        <v>45918</v>
      </c>
      <c r="E4201" t="str">
        <f>VLOOKUP(B4201,'PROCV GERENTES BD'!A:B,2,0)</f>
        <v>CAIO</v>
      </c>
      <c r="F4201" s="4" t="str">
        <f t="shared" si="390"/>
        <v>2025-09</v>
      </c>
      <c r="G4201" s="18">
        <f t="shared" si="391"/>
        <v>38</v>
      </c>
      <c r="H4201" t="str">
        <f t="shared" si="392"/>
        <v>CAIO</v>
      </c>
      <c r="I4201" t="str">
        <f t="shared" si="393"/>
        <v>S A COMERCIO E INDUSTRIA DE CALCADOS LTDA</v>
      </c>
      <c r="J4201">
        <f t="shared" si="394"/>
        <v>0</v>
      </c>
      <c r="K4201">
        <f t="shared" si="395"/>
        <v>0</v>
      </c>
    </row>
    <row r="4202" spans="1:11" x14ac:dyDescent="0.25">
      <c r="A4202" t="s">
        <v>610</v>
      </c>
      <c r="B4202" t="s">
        <v>611</v>
      </c>
      <c r="C4202" t="s">
        <v>50</v>
      </c>
      <c r="D4202" s="6">
        <v>45918</v>
      </c>
      <c r="E4202" t="str">
        <f>VLOOKUP(B4202,'PROCV GERENTES BD'!A:B,2,0)</f>
        <v>TIAGO NEVES</v>
      </c>
      <c r="F4202" s="4" t="str">
        <f t="shared" si="390"/>
        <v>2025-09</v>
      </c>
      <c r="G4202" s="18">
        <f t="shared" si="391"/>
        <v>38</v>
      </c>
      <c r="H4202" t="str">
        <f t="shared" si="392"/>
        <v>TIAGO NEVES</v>
      </c>
      <c r="I4202" t="str">
        <f t="shared" si="393"/>
        <v>TRATOR GLASS LTDA ME</v>
      </c>
      <c r="J4202">
        <f t="shared" si="394"/>
        <v>0</v>
      </c>
      <c r="K4202">
        <f t="shared" si="395"/>
        <v>1</v>
      </c>
    </row>
    <row r="4203" spans="1:11" x14ac:dyDescent="0.25">
      <c r="A4203" t="s">
        <v>461</v>
      </c>
      <c r="B4203" t="s">
        <v>218</v>
      </c>
      <c r="C4203" t="s">
        <v>66</v>
      </c>
      <c r="D4203" s="6">
        <v>45918</v>
      </c>
      <c r="E4203" t="str">
        <f>VLOOKUP(B4203,'PROCV GERENTES BD'!A:B,2,0)</f>
        <v>SACADO</v>
      </c>
      <c r="F4203" s="4" t="str">
        <f t="shared" si="390"/>
        <v>2025-09</v>
      </c>
      <c r="G4203" s="18">
        <f t="shared" si="391"/>
        <v>38</v>
      </c>
      <c r="H4203" t="str">
        <f t="shared" si="392"/>
        <v>SACADO</v>
      </c>
      <c r="I4203" t="str">
        <f t="shared" si="393"/>
        <v>KUARA COMERCIAL E EXPORTADORA DE FRUTAS LTDA</v>
      </c>
      <c r="J4203">
        <f t="shared" si="394"/>
        <v>1</v>
      </c>
      <c r="K4203">
        <f t="shared" si="395"/>
        <v>0</v>
      </c>
    </row>
    <row r="4204" spans="1:11" x14ac:dyDescent="0.25">
      <c r="A4204" t="s">
        <v>450</v>
      </c>
      <c r="B4204" t="s">
        <v>207</v>
      </c>
      <c r="C4204" t="s">
        <v>53</v>
      </c>
      <c r="D4204" s="6">
        <v>45918</v>
      </c>
      <c r="E4204" t="str">
        <f>VLOOKUP(B4204,'PROCV GERENTES BD'!A:B,2,0)</f>
        <v>CELIO PIMENTA</v>
      </c>
      <c r="F4204" s="4" t="str">
        <f t="shared" si="390"/>
        <v>2025-09</v>
      </c>
      <c r="G4204" s="18">
        <f t="shared" si="391"/>
        <v>38</v>
      </c>
      <c r="H4204" t="str">
        <f t="shared" si="392"/>
        <v>CELIO PIMENTA</v>
      </c>
      <c r="I4204" t="str">
        <f t="shared" si="393"/>
        <v>LIDER COMERCIO DE UNIFORMES E EPI S LTDA ME</v>
      </c>
      <c r="J4204">
        <f t="shared" si="394"/>
        <v>1</v>
      </c>
      <c r="K4204">
        <f t="shared" si="395"/>
        <v>1</v>
      </c>
    </row>
    <row r="4205" spans="1:11" x14ac:dyDescent="0.25">
      <c r="A4205" t="s">
        <v>510</v>
      </c>
      <c r="B4205" t="s">
        <v>273</v>
      </c>
      <c r="C4205" t="s">
        <v>50</v>
      </c>
      <c r="D4205" s="6">
        <v>45918</v>
      </c>
      <c r="E4205" t="str">
        <f>VLOOKUP(B4205,'PROCV GERENTES BD'!A:B,2,0)</f>
        <v>CELIO PIMENTA</v>
      </c>
      <c r="F4205" s="4" t="str">
        <f t="shared" si="390"/>
        <v>2025-09</v>
      </c>
      <c r="G4205" s="18">
        <f t="shared" si="391"/>
        <v>38</v>
      </c>
      <c r="H4205" t="str">
        <f t="shared" si="392"/>
        <v>CELIO PIMENTA</v>
      </c>
      <c r="I4205" t="str">
        <f t="shared" si="393"/>
        <v>PRADO MOREIRA TEXTIL LTDA ME</v>
      </c>
      <c r="J4205">
        <f t="shared" si="394"/>
        <v>0</v>
      </c>
      <c r="K4205">
        <f t="shared" si="395"/>
        <v>1</v>
      </c>
    </row>
    <row r="4206" spans="1:11" x14ac:dyDescent="0.25">
      <c r="A4206" t="s">
        <v>427</v>
      </c>
      <c r="B4206" t="s">
        <v>178</v>
      </c>
      <c r="C4206" t="s">
        <v>50</v>
      </c>
      <c r="D4206" s="6">
        <v>45918</v>
      </c>
      <c r="E4206" t="str">
        <f>VLOOKUP(B4206,'PROCV GERENTES BD'!A:B,2,0)</f>
        <v>ADMINISTRAÇÃO</v>
      </c>
      <c r="F4206" s="4" t="str">
        <f t="shared" si="390"/>
        <v>2025-09</v>
      </c>
      <c r="G4206" s="18">
        <f t="shared" si="391"/>
        <v>38</v>
      </c>
      <c r="H4206" t="str">
        <f t="shared" si="392"/>
        <v>ADMINISTRAÇÃO</v>
      </c>
      <c r="I4206" t="str">
        <f t="shared" si="393"/>
        <v>LIZZENA COSMETICOS LTDA EPP</v>
      </c>
      <c r="J4206">
        <f t="shared" si="394"/>
        <v>0</v>
      </c>
      <c r="K4206">
        <f t="shared" si="395"/>
        <v>1</v>
      </c>
    </row>
    <row r="4207" spans="1:11" x14ac:dyDescent="0.25">
      <c r="A4207" t="s">
        <v>606</v>
      </c>
      <c r="B4207" t="s">
        <v>607</v>
      </c>
      <c r="C4207" t="s">
        <v>71</v>
      </c>
      <c r="D4207" s="6">
        <v>45918</v>
      </c>
      <c r="E4207" t="str">
        <f>VLOOKUP(B4207,'PROCV GERENTES BD'!A:B,2,0)</f>
        <v xml:space="preserve">MARCUS VINICIUS </v>
      </c>
      <c r="F4207" s="4" t="str">
        <f t="shared" si="390"/>
        <v>2025-09</v>
      </c>
      <c r="G4207" s="18">
        <f t="shared" si="391"/>
        <v>38</v>
      </c>
      <c r="H4207" t="str">
        <f t="shared" si="392"/>
        <v xml:space="preserve">MARCUS VINICIUS </v>
      </c>
      <c r="I4207" t="str">
        <f t="shared" si="393"/>
        <v>RB DISTRIBUIDORA DE PRODUTOS DE HIGIENE LTDA</v>
      </c>
      <c r="J4207">
        <f t="shared" si="394"/>
        <v>0</v>
      </c>
      <c r="K4207">
        <f t="shared" si="395"/>
        <v>0</v>
      </c>
    </row>
    <row r="4208" spans="1:11" x14ac:dyDescent="0.25">
      <c r="A4208" t="s">
        <v>442</v>
      </c>
      <c r="B4208" t="s">
        <v>193</v>
      </c>
      <c r="C4208" t="s">
        <v>71</v>
      </c>
      <c r="D4208" s="6">
        <v>45918</v>
      </c>
      <c r="E4208" t="str">
        <f>VLOOKUP(B4208,'PROCV GERENTES BD'!A:B,2,0)</f>
        <v>CELIO PIMENTA</v>
      </c>
      <c r="F4208" s="4" t="str">
        <f t="shared" si="390"/>
        <v>2025-09</v>
      </c>
      <c r="G4208" s="18">
        <f t="shared" si="391"/>
        <v>38</v>
      </c>
      <c r="H4208" t="str">
        <f t="shared" si="392"/>
        <v>CELIO PIMENTA</v>
      </c>
      <c r="I4208" t="str">
        <f t="shared" si="393"/>
        <v>CIA TEXTIL LTDA ME</v>
      </c>
      <c r="J4208">
        <f t="shared" si="394"/>
        <v>0</v>
      </c>
      <c r="K4208">
        <f t="shared" si="395"/>
        <v>0</v>
      </c>
    </row>
    <row r="4209" spans="1:11" x14ac:dyDescent="0.25">
      <c r="A4209" t="s">
        <v>64</v>
      </c>
      <c r="B4209" t="s">
        <v>65</v>
      </c>
      <c r="C4209" t="s">
        <v>50</v>
      </c>
      <c r="D4209" s="6">
        <v>45918</v>
      </c>
      <c r="E4209" t="str">
        <f>VLOOKUP(B4209,'PROCV GERENTES BD'!A:B,2,0)</f>
        <v>ADMINISTRAÇÃO</v>
      </c>
      <c r="F4209" s="4" t="str">
        <f t="shared" si="390"/>
        <v>2025-09</v>
      </c>
      <c r="G4209" s="18">
        <f t="shared" si="391"/>
        <v>38</v>
      </c>
      <c r="H4209" t="str">
        <f t="shared" si="392"/>
        <v>ADMINISTRAÇÃO</v>
      </c>
      <c r="I4209" t="str">
        <f t="shared" si="393"/>
        <v>SOCIAL S/A</v>
      </c>
      <c r="J4209">
        <f t="shared" si="394"/>
        <v>0</v>
      </c>
      <c r="K4209">
        <f t="shared" si="395"/>
        <v>1</v>
      </c>
    </row>
    <row r="4210" spans="1:11" x14ac:dyDescent="0.25">
      <c r="A4210" t="s">
        <v>499</v>
      </c>
      <c r="B4210" t="s">
        <v>258</v>
      </c>
      <c r="C4210" t="s">
        <v>66</v>
      </c>
      <c r="D4210" s="6">
        <v>45918</v>
      </c>
      <c r="E4210" t="str">
        <f>VLOOKUP(B4210,'PROCV GERENTES BD'!A:B,2,0)</f>
        <v>PRISCILA METZ</v>
      </c>
      <c r="F4210" s="4" t="str">
        <f t="shared" si="390"/>
        <v>2025-09</v>
      </c>
      <c r="G4210" s="18">
        <f t="shared" si="391"/>
        <v>38</v>
      </c>
      <c r="H4210" t="str">
        <f t="shared" si="392"/>
        <v>PRISCILA METZ</v>
      </c>
      <c r="I4210" t="str">
        <f t="shared" si="393"/>
        <v>PLATINUM INDUSTRIA DE CONFECCOES LTDA</v>
      </c>
      <c r="J4210">
        <f t="shared" si="394"/>
        <v>1</v>
      </c>
      <c r="K4210">
        <f t="shared" si="395"/>
        <v>0</v>
      </c>
    </row>
    <row r="4211" spans="1:11" x14ac:dyDescent="0.25">
      <c r="A4211" t="s">
        <v>310</v>
      </c>
      <c r="B4211" t="s">
        <v>204</v>
      </c>
      <c r="C4211" t="s">
        <v>53</v>
      </c>
      <c r="D4211" s="6">
        <v>45918</v>
      </c>
      <c r="E4211" t="str">
        <f>VLOOKUP(B4211,'PROCV GERENTES BD'!A:B,2,0)</f>
        <v xml:space="preserve">MARCUS VINICIUS </v>
      </c>
      <c r="F4211" s="4" t="str">
        <f t="shared" si="390"/>
        <v>2025-09</v>
      </c>
      <c r="G4211" s="18">
        <f t="shared" si="391"/>
        <v>38</v>
      </c>
      <c r="H4211" t="str">
        <f t="shared" si="392"/>
        <v xml:space="preserve">MARCUS VINICIUS </v>
      </c>
      <c r="I4211" t="str">
        <f t="shared" si="393"/>
        <v>INDUSTRIA E COMERCIO DE CHURRASQUEIRAS BOM JESUS L</v>
      </c>
      <c r="J4211">
        <f t="shared" si="394"/>
        <v>1</v>
      </c>
      <c r="K4211">
        <f t="shared" si="395"/>
        <v>1</v>
      </c>
    </row>
    <row r="4212" spans="1:11" x14ac:dyDescent="0.25">
      <c r="A4212" t="s">
        <v>56</v>
      </c>
      <c r="B4212" t="s">
        <v>57</v>
      </c>
      <c r="C4212" t="s">
        <v>66</v>
      </c>
      <c r="D4212" s="6">
        <v>45918</v>
      </c>
      <c r="E4212" t="str">
        <f>VLOOKUP(B4212,'PROCV GERENTES BD'!A:B,2,0)</f>
        <v xml:space="preserve">ROGERIO </v>
      </c>
      <c r="F4212" s="4" t="str">
        <f t="shared" si="390"/>
        <v>2025-09</v>
      </c>
      <c r="G4212" s="18">
        <f t="shared" si="391"/>
        <v>38</v>
      </c>
      <c r="H4212" t="str">
        <f t="shared" si="392"/>
        <v xml:space="preserve">ROGERIO </v>
      </c>
      <c r="I4212" t="str">
        <f t="shared" si="393"/>
        <v>RODOVIEIRA TRANSPORTE LTDA</v>
      </c>
      <c r="J4212">
        <f t="shared" si="394"/>
        <v>1</v>
      </c>
      <c r="K4212">
        <f t="shared" si="395"/>
        <v>0</v>
      </c>
    </row>
    <row r="4213" spans="1:11" x14ac:dyDescent="0.25">
      <c r="A4213" t="s">
        <v>320</v>
      </c>
      <c r="B4213" t="s">
        <v>205</v>
      </c>
      <c r="C4213" t="s">
        <v>71</v>
      </c>
      <c r="D4213" s="6">
        <v>45918</v>
      </c>
      <c r="E4213" t="str">
        <f>VLOOKUP(B4213,'PROCV GERENTES BD'!A:B,2,0)</f>
        <v xml:space="preserve">MARCUS VINICIUS </v>
      </c>
      <c r="F4213" s="4" t="str">
        <f t="shared" si="390"/>
        <v>2025-09</v>
      </c>
      <c r="G4213" s="18">
        <f t="shared" si="391"/>
        <v>38</v>
      </c>
      <c r="H4213" t="str">
        <f t="shared" si="392"/>
        <v xml:space="preserve">MARCUS VINICIUS </v>
      </c>
      <c r="I4213" t="str">
        <f t="shared" si="393"/>
        <v>COMERCIAL GODINHO FERREIRA LTDA</v>
      </c>
      <c r="J4213">
        <f t="shared" si="394"/>
        <v>0</v>
      </c>
      <c r="K4213">
        <f t="shared" si="395"/>
        <v>0</v>
      </c>
    </row>
    <row r="4214" spans="1:11" x14ac:dyDescent="0.25">
      <c r="A4214" t="s">
        <v>663</v>
      </c>
      <c r="B4214" t="s">
        <v>664</v>
      </c>
      <c r="C4214" t="s">
        <v>71</v>
      </c>
      <c r="D4214" s="6">
        <v>45918</v>
      </c>
      <c r="E4214" t="str">
        <f>VLOOKUP(B4214,'PROCV GERENTES BD'!A:B,2,0)</f>
        <v>ADMINISTRAÇÃO</v>
      </c>
      <c r="F4214" s="4" t="str">
        <f t="shared" si="390"/>
        <v>2025-09</v>
      </c>
      <c r="G4214" s="18">
        <f t="shared" si="391"/>
        <v>38</v>
      </c>
      <c r="H4214" t="str">
        <f t="shared" si="392"/>
        <v>ADMINISTRAÇÃO</v>
      </c>
      <c r="I4214" t="str">
        <f t="shared" si="393"/>
        <v>PRIVILEGIO CONFECCOES LTDA ME</v>
      </c>
      <c r="J4214">
        <f t="shared" si="394"/>
        <v>0</v>
      </c>
      <c r="K4214">
        <f t="shared" si="395"/>
        <v>0</v>
      </c>
    </row>
    <row r="4215" spans="1:11" x14ac:dyDescent="0.25">
      <c r="A4215" t="s">
        <v>516</v>
      </c>
      <c r="B4215" t="s">
        <v>279</v>
      </c>
      <c r="C4215" t="s">
        <v>50</v>
      </c>
      <c r="D4215" s="6">
        <v>45918</v>
      </c>
      <c r="E4215" t="str">
        <f>VLOOKUP(B4215,'PROCV GERENTES BD'!A:B,2,0)</f>
        <v xml:space="preserve">ROGERIO </v>
      </c>
      <c r="F4215" s="4" t="str">
        <f t="shared" si="390"/>
        <v>2025-09</v>
      </c>
      <c r="G4215" s="18">
        <f t="shared" si="391"/>
        <v>38</v>
      </c>
      <c r="H4215" t="str">
        <f t="shared" si="392"/>
        <v xml:space="preserve">ROGERIO </v>
      </c>
      <c r="I4215" t="str">
        <f t="shared" si="393"/>
        <v>MUNDYSERVICE COMERCIO DE PECAS E ASSISTENCIA TECNI</v>
      </c>
      <c r="J4215">
        <f t="shared" si="394"/>
        <v>0</v>
      </c>
      <c r="K4215">
        <f t="shared" si="395"/>
        <v>1</v>
      </c>
    </row>
    <row r="4216" spans="1:11" x14ac:dyDescent="0.25">
      <c r="A4216" t="s">
        <v>674</v>
      </c>
      <c r="B4216" t="s">
        <v>675</v>
      </c>
      <c r="C4216" t="s">
        <v>71</v>
      </c>
      <c r="D4216" s="6">
        <v>45918</v>
      </c>
      <c r="E4216" t="str">
        <f>VLOOKUP(B4216,'PROCV GERENTES BD'!A:B,2,0)</f>
        <v>ADMINISTRAÇÃO</v>
      </c>
      <c r="F4216" s="4" t="str">
        <f t="shared" si="390"/>
        <v>2025-09</v>
      </c>
      <c r="G4216" s="18">
        <f t="shared" si="391"/>
        <v>38</v>
      </c>
      <c r="H4216" t="str">
        <f t="shared" si="392"/>
        <v>ADMINISTRAÇÃO</v>
      </c>
      <c r="I4216" t="str">
        <f t="shared" si="393"/>
        <v>ENXOVAIS PRIVILEGIO LTDA ME</v>
      </c>
      <c r="J4216">
        <f t="shared" si="394"/>
        <v>0</v>
      </c>
      <c r="K4216">
        <f t="shared" si="395"/>
        <v>0</v>
      </c>
    </row>
    <row r="4217" spans="1:11" x14ac:dyDescent="0.25">
      <c r="A4217" t="s">
        <v>311</v>
      </c>
      <c r="B4217" t="s">
        <v>81</v>
      </c>
      <c r="C4217" t="s">
        <v>50</v>
      </c>
      <c r="D4217" s="6">
        <v>45919</v>
      </c>
      <c r="E4217" t="str">
        <f>VLOOKUP(B4217,'PROCV GERENTES BD'!A:B,2,0)</f>
        <v>CELIO PIMENTA</v>
      </c>
      <c r="F4217" s="4" t="str">
        <f t="shared" si="390"/>
        <v>2025-09</v>
      </c>
      <c r="G4217" s="18">
        <f t="shared" si="391"/>
        <v>38</v>
      </c>
      <c r="H4217" t="str">
        <f t="shared" si="392"/>
        <v>CELIO PIMENTA</v>
      </c>
      <c r="I4217" t="str">
        <f t="shared" si="393"/>
        <v>MBIOLOG DIAGNOSTICOS LTDA</v>
      </c>
      <c r="J4217">
        <f t="shared" si="394"/>
        <v>0</v>
      </c>
      <c r="K4217">
        <f t="shared" si="395"/>
        <v>1</v>
      </c>
    </row>
    <row r="4218" spans="1:11" x14ac:dyDescent="0.25">
      <c r="A4218" t="s">
        <v>430</v>
      </c>
      <c r="B4218" t="s">
        <v>181</v>
      </c>
      <c r="C4218" t="s">
        <v>50</v>
      </c>
      <c r="D4218" s="6">
        <v>45919</v>
      </c>
      <c r="E4218" t="str">
        <f>VLOOKUP(B4218,'PROCV GERENTES BD'!A:B,2,0)</f>
        <v>PROSPECTAR</v>
      </c>
      <c r="F4218" s="4" t="str">
        <f t="shared" si="390"/>
        <v>2025-09</v>
      </c>
      <c r="G4218" s="18">
        <f t="shared" si="391"/>
        <v>38</v>
      </c>
      <c r="H4218" t="str">
        <f t="shared" si="392"/>
        <v>PROSPECTAR</v>
      </c>
      <c r="I4218" t="str">
        <f t="shared" si="393"/>
        <v>SIQUEIRA E GAIPO INDUSTRIA E MATERIAIS ESPORTIVOS</v>
      </c>
      <c r="J4218">
        <f t="shared" si="394"/>
        <v>0</v>
      </c>
      <c r="K4218">
        <f t="shared" si="395"/>
        <v>1</v>
      </c>
    </row>
    <row r="4219" spans="1:11" x14ac:dyDescent="0.25">
      <c r="A4219" t="s">
        <v>314</v>
      </c>
      <c r="B4219" t="s">
        <v>246</v>
      </c>
      <c r="C4219" t="s">
        <v>66</v>
      </c>
      <c r="D4219" s="6">
        <v>45919</v>
      </c>
      <c r="E4219" t="str">
        <f>VLOOKUP(B4219,'PROCV GERENTES BD'!A:B,2,0)</f>
        <v xml:space="preserve">ROGERIO </v>
      </c>
      <c r="F4219" s="4" t="str">
        <f t="shared" si="390"/>
        <v>2025-09</v>
      </c>
      <c r="G4219" s="18">
        <f t="shared" si="391"/>
        <v>38</v>
      </c>
      <c r="H4219" t="str">
        <f t="shared" si="392"/>
        <v xml:space="preserve">ROGERIO </v>
      </c>
      <c r="I4219" t="str">
        <f t="shared" si="393"/>
        <v>MUTCD CENTRO DE DISTRIBUICAO DE IND FABRICANTE DE</v>
      </c>
      <c r="J4219">
        <f t="shared" si="394"/>
        <v>1</v>
      </c>
      <c r="K4219">
        <f t="shared" si="395"/>
        <v>0</v>
      </c>
    </row>
    <row r="4220" spans="1:11" x14ac:dyDescent="0.25">
      <c r="A4220" t="s">
        <v>461</v>
      </c>
      <c r="B4220" t="s">
        <v>218</v>
      </c>
      <c r="C4220" t="s">
        <v>66</v>
      </c>
      <c r="D4220" s="6">
        <v>45919</v>
      </c>
      <c r="E4220" t="str">
        <f>VLOOKUP(B4220,'PROCV GERENTES BD'!A:B,2,0)</f>
        <v>SACADO</v>
      </c>
      <c r="F4220" s="4" t="str">
        <f t="shared" si="390"/>
        <v>2025-09</v>
      </c>
      <c r="G4220" s="18">
        <f t="shared" si="391"/>
        <v>38</v>
      </c>
      <c r="H4220" t="str">
        <f t="shared" si="392"/>
        <v>SACADO</v>
      </c>
      <c r="I4220" t="str">
        <f t="shared" si="393"/>
        <v>KUARA COMERCIAL E EXPORTADORA DE FRUTAS LTDA</v>
      </c>
      <c r="J4220">
        <f t="shared" si="394"/>
        <v>1</v>
      </c>
      <c r="K4220">
        <f t="shared" si="395"/>
        <v>0</v>
      </c>
    </row>
    <row r="4221" spans="1:11" x14ac:dyDescent="0.25">
      <c r="A4221" t="s">
        <v>655</v>
      </c>
      <c r="B4221" t="s">
        <v>548</v>
      </c>
      <c r="C4221" t="s">
        <v>50</v>
      </c>
      <c r="D4221" s="6">
        <v>45919</v>
      </c>
      <c r="E4221" t="str">
        <f>VLOOKUP(B4221,'PROCV GERENTES BD'!A:B,2,0)</f>
        <v xml:space="preserve">ROGERIO </v>
      </c>
      <c r="F4221" s="4" t="str">
        <f t="shared" si="390"/>
        <v>2025-09</v>
      </c>
      <c r="G4221" s="18">
        <f t="shared" si="391"/>
        <v>38</v>
      </c>
      <c r="H4221" t="str">
        <f t="shared" si="392"/>
        <v xml:space="preserve">ROGERIO </v>
      </c>
      <c r="I4221" t="str">
        <f t="shared" si="393"/>
        <v>AGROEP PISCICULTURA LTDA ME</v>
      </c>
      <c r="J4221">
        <f t="shared" si="394"/>
        <v>0</v>
      </c>
      <c r="K4221">
        <f t="shared" si="395"/>
        <v>1</v>
      </c>
    </row>
    <row r="4222" spans="1:11" x14ac:dyDescent="0.25">
      <c r="A4222" t="s">
        <v>630</v>
      </c>
      <c r="B4222" t="s">
        <v>559</v>
      </c>
      <c r="C4222" t="s">
        <v>66</v>
      </c>
      <c r="D4222" s="6">
        <v>45919</v>
      </c>
      <c r="E4222" t="str">
        <f>VLOOKUP(B4222,'PROCV GERENTES BD'!A:B,2,0)</f>
        <v>ALISSON DE SOUZA LIMA</v>
      </c>
      <c r="F4222" s="4" t="str">
        <f t="shared" si="390"/>
        <v>2025-09</v>
      </c>
      <c r="G4222" s="18">
        <f t="shared" si="391"/>
        <v>38</v>
      </c>
      <c r="H4222" t="str">
        <f t="shared" si="392"/>
        <v>ALISSON DE SOUZA LIMA</v>
      </c>
      <c r="I4222" t="str">
        <f t="shared" si="393"/>
        <v>JRG SOLUCOES INDUSTRIAIS LTDA</v>
      </c>
      <c r="J4222">
        <f t="shared" si="394"/>
        <v>1</v>
      </c>
      <c r="K4222">
        <f t="shared" si="395"/>
        <v>0</v>
      </c>
    </row>
    <row r="4223" spans="1:11" x14ac:dyDescent="0.25">
      <c r="A4223" t="s">
        <v>64</v>
      </c>
      <c r="B4223" t="s">
        <v>65</v>
      </c>
      <c r="C4223" t="s">
        <v>50</v>
      </c>
      <c r="D4223" s="6">
        <v>45919</v>
      </c>
      <c r="E4223" t="str">
        <f>VLOOKUP(B4223,'PROCV GERENTES BD'!A:B,2,0)</f>
        <v>ADMINISTRAÇÃO</v>
      </c>
      <c r="F4223" s="4" t="str">
        <f t="shared" si="390"/>
        <v>2025-09</v>
      </c>
      <c r="G4223" s="18">
        <f t="shared" si="391"/>
        <v>38</v>
      </c>
      <c r="H4223" t="str">
        <f t="shared" si="392"/>
        <v>ADMINISTRAÇÃO</v>
      </c>
      <c r="I4223" t="str">
        <f t="shared" si="393"/>
        <v>SOCIAL S/A</v>
      </c>
      <c r="J4223">
        <f t="shared" si="394"/>
        <v>0</v>
      </c>
      <c r="K4223">
        <f t="shared" si="395"/>
        <v>1</v>
      </c>
    </row>
    <row r="4224" spans="1:11" x14ac:dyDescent="0.25">
      <c r="A4224" t="s">
        <v>604</v>
      </c>
      <c r="B4224" t="s">
        <v>605</v>
      </c>
      <c r="C4224" t="s">
        <v>50</v>
      </c>
      <c r="D4224" s="6">
        <v>45919</v>
      </c>
      <c r="E4224" t="str">
        <f>VLOOKUP(B4224,'PROCV GERENTES BD'!A:B,2,0)</f>
        <v>ALISSON DE SOUZA LIMA</v>
      </c>
      <c r="F4224" s="4" t="str">
        <f t="shared" si="390"/>
        <v>2025-09</v>
      </c>
      <c r="G4224" s="18">
        <f t="shared" si="391"/>
        <v>38</v>
      </c>
      <c r="H4224" t="str">
        <f t="shared" si="392"/>
        <v>ALISSON DE SOUZA LIMA</v>
      </c>
      <c r="I4224" t="str">
        <f t="shared" si="393"/>
        <v>3J FUNDICAO INDUSTRIAL LTDA</v>
      </c>
      <c r="J4224">
        <f t="shared" si="394"/>
        <v>0</v>
      </c>
      <c r="K4224">
        <f t="shared" si="395"/>
        <v>1</v>
      </c>
    </row>
    <row r="4225" spans="1:11" x14ac:dyDescent="0.25">
      <c r="A4225" t="s">
        <v>352</v>
      </c>
      <c r="B4225" t="s">
        <v>96</v>
      </c>
      <c r="C4225" t="s">
        <v>66</v>
      </c>
      <c r="D4225" s="6">
        <v>45919</v>
      </c>
      <c r="E4225" t="str">
        <f>VLOOKUP(B4225,'PROCV GERENTES BD'!A:B,2,0)</f>
        <v>POENATELA</v>
      </c>
      <c r="F4225" s="4" t="str">
        <f t="shared" si="390"/>
        <v>2025-09</v>
      </c>
      <c r="G4225" s="18">
        <f t="shared" si="391"/>
        <v>38</v>
      </c>
      <c r="H4225" t="str">
        <f t="shared" si="392"/>
        <v>POENATELA</v>
      </c>
      <c r="I4225" t="str">
        <f t="shared" si="393"/>
        <v>SUPER HARD TECNOLOGIA EM TRATAMENTO DE SUPERFICIES</v>
      </c>
      <c r="J4225">
        <f t="shared" si="394"/>
        <v>1</v>
      </c>
      <c r="K4225">
        <f t="shared" si="395"/>
        <v>0</v>
      </c>
    </row>
    <row r="4226" spans="1:11" x14ac:dyDescent="0.25">
      <c r="A4226" t="s">
        <v>318</v>
      </c>
      <c r="B4226" t="s">
        <v>203</v>
      </c>
      <c r="C4226" t="s">
        <v>66</v>
      </c>
      <c r="D4226" s="6">
        <v>45919</v>
      </c>
      <c r="E4226" t="str">
        <f>VLOOKUP(B4226,'PROCV GERENTES BD'!A:B,2,0)</f>
        <v>JOSE ROBERTO</v>
      </c>
      <c r="F4226" s="4" t="str">
        <f t="shared" ref="F4226:F4289" si="396">YEAR(D4226)&amp;"-"&amp;TEXT(MONTH(D4226),"00")</f>
        <v>2025-09</v>
      </c>
      <c r="G4226" s="18">
        <f t="shared" ref="G4226:G4289" si="397">WEEKNUM(D4226)</f>
        <v>38</v>
      </c>
      <c r="H4226" t="str">
        <f t="shared" ref="H4226:H4289" si="398">E4226</f>
        <v>JOSE ROBERTO</v>
      </c>
      <c r="I4226" t="str">
        <f t="shared" ref="I4226:I4289" si="399">B4226</f>
        <v>FUNDACAO DE ENSINO E PESQUISA DO SUL DE MINAS FEPE</v>
      </c>
      <c r="J4226">
        <f t="shared" ref="J4226:J4289" si="400">IF(OR(C4226="EXCLUSAO  ANOT.INADIMPLENCIA",C4226="INCL/EXCL ANOT.INADIMPLENCIA"),1,0)</f>
        <v>1</v>
      </c>
      <c r="K4226">
        <f t="shared" ref="K4226:K4289" si="401">IF(OR(C4226="INCLUSAO  ANOT.INADIMPLENCIA",C4226="INCL/EXCL ANOT.INADIMPLENCIA"),1,0)</f>
        <v>0</v>
      </c>
    </row>
    <row r="4227" spans="1:11" x14ac:dyDescent="0.25">
      <c r="A4227" t="s">
        <v>58</v>
      </c>
      <c r="B4227" t="s">
        <v>59</v>
      </c>
      <c r="C4227" t="s">
        <v>66</v>
      </c>
      <c r="D4227" s="6">
        <v>45919</v>
      </c>
      <c r="E4227" t="str">
        <f>VLOOKUP(B4227,'PROCV GERENTES BD'!A:B,2,0)</f>
        <v>ADMINISTRAÇÃO</v>
      </c>
      <c r="F4227" s="4" t="str">
        <f t="shared" si="396"/>
        <v>2025-09</v>
      </c>
      <c r="G4227" s="18">
        <f t="shared" si="397"/>
        <v>38</v>
      </c>
      <c r="H4227" t="str">
        <f t="shared" si="398"/>
        <v>ADMINISTRAÇÃO</v>
      </c>
      <c r="I4227" t="str">
        <f t="shared" si="399"/>
        <v>BIOTECH LOGISTICA LTDA</v>
      </c>
      <c r="J4227">
        <f t="shared" si="400"/>
        <v>1</v>
      </c>
      <c r="K4227">
        <f t="shared" si="401"/>
        <v>0</v>
      </c>
    </row>
    <row r="4228" spans="1:11" x14ac:dyDescent="0.25">
      <c r="A4228" t="s">
        <v>644</v>
      </c>
      <c r="B4228" t="s">
        <v>598</v>
      </c>
      <c r="C4228" t="s">
        <v>66</v>
      </c>
      <c r="D4228" s="6">
        <v>45919</v>
      </c>
      <c r="E4228" t="str">
        <f>VLOOKUP(B4228,'PROCV GERENTES BD'!A:B,2,0)</f>
        <v>DALVA</v>
      </c>
      <c r="F4228" s="4" t="str">
        <f t="shared" si="396"/>
        <v>2025-09</v>
      </c>
      <c r="G4228" s="18">
        <f t="shared" si="397"/>
        <v>38</v>
      </c>
      <c r="H4228" t="str">
        <f t="shared" si="398"/>
        <v>DALVA</v>
      </c>
      <c r="I4228" t="str">
        <f t="shared" si="399"/>
        <v>BH BRITADORES LTDA EPP</v>
      </c>
      <c r="J4228">
        <f t="shared" si="400"/>
        <v>1</v>
      </c>
      <c r="K4228">
        <f t="shared" si="401"/>
        <v>0</v>
      </c>
    </row>
    <row r="4229" spans="1:11" x14ac:dyDescent="0.25">
      <c r="A4229" t="s">
        <v>668</v>
      </c>
      <c r="B4229" t="s">
        <v>669</v>
      </c>
      <c r="C4229" t="s">
        <v>50</v>
      </c>
      <c r="D4229" s="6">
        <v>45919</v>
      </c>
      <c r="E4229" t="str">
        <f>VLOOKUP(B4229,'PROCV GERENTES BD'!A:B,2,0)</f>
        <v>ADMINISTRAÇÃO</v>
      </c>
      <c r="F4229" s="4" t="str">
        <f t="shared" si="396"/>
        <v>2025-09</v>
      </c>
      <c r="G4229" s="18">
        <f t="shared" si="397"/>
        <v>38</v>
      </c>
      <c r="H4229" t="str">
        <f t="shared" si="398"/>
        <v>ADMINISTRAÇÃO</v>
      </c>
      <c r="I4229" t="str">
        <f t="shared" si="399"/>
        <v>SUPER BULL IMPORTACAO E COMERCIO DE EQUIPAMENTOS L</v>
      </c>
      <c r="J4229">
        <f t="shared" si="400"/>
        <v>0</v>
      </c>
      <c r="K4229">
        <f t="shared" si="401"/>
        <v>1</v>
      </c>
    </row>
    <row r="4230" spans="1:11" x14ac:dyDescent="0.25">
      <c r="A4230" t="s">
        <v>322</v>
      </c>
      <c r="B4230" t="s">
        <v>294</v>
      </c>
      <c r="C4230" t="s">
        <v>50</v>
      </c>
      <c r="D4230" s="6">
        <v>45919</v>
      </c>
      <c r="E4230" t="str">
        <f>VLOOKUP(B4230,'PROCV GERENTES BD'!A:B,2,0)</f>
        <v>CAIO</v>
      </c>
      <c r="F4230" s="4" t="str">
        <f t="shared" si="396"/>
        <v>2025-09</v>
      </c>
      <c r="G4230" s="18">
        <f t="shared" si="397"/>
        <v>38</v>
      </c>
      <c r="H4230" t="str">
        <f t="shared" si="398"/>
        <v>CAIO</v>
      </c>
      <c r="I4230" t="str">
        <f t="shared" si="399"/>
        <v>LAF COMERCIAL LTDA ME</v>
      </c>
      <c r="J4230">
        <f t="shared" si="400"/>
        <v>0</v>
      </c>
      <c r="K4230">
        <f t="shared" si="401"/>
        <v>1</v>
      </c>
    </row>
    <row r="4231" spans="1:11" x14ac:dyDescent="0.25">
      <c r="A4231" t="s">
        <v>387</v>
      </c>
      <c r="B4231" t="s">
        <v>134</v>
      </c>
      <c r="C4231" t="s">
        <v>66</v>
      </c>
      <c r="D4231" s="6">
        <v>45919</v>
      </c>
      <c r="E4231" t="str">
        <f>VLOOKUP(B4231,'PROCV GERENTES BD'!A:B,2,0)</f>
        <v>RAFAEL PARISE</v>
      </c>
      <c r="F4231" s="4" t="str">
        <f t="shared" si="396"/>
        <v>2025-09</v>
      </c>
      <c r="G4231" s="18">
        <f t="shared" si="397"/>
        <v>38</v>
      </c>
      <c r="H4231" t="str">
        <f t="shared" si="398"/>
        <v>RAFAEL PARISE</v>
      </c>
      <c r="I4231" t="str">
        <f t="shared" si="399"/>
        <v>MAIS DISTRIBUIDORA LTDA</v>
      </c>
      <c r="J4231">
        <f t="shared" si="400"/>
        <v>1</v>
      </c>
      <c r="K4231">
        <f t="shared" si="401"/>
        <v>0</v>
      </c>
    </row>
    <row r="4232" spans="1:11" x14ac:dyDescent="0.25">
      <c r="A4232" t="s">
        <v>51</v>
      </c>
      <c r="B4232" t="s">
        <v>52</v>
      </c>
      <c r="C4232" t="s">
        <v>50</v>
      </c>
      <c r="D4232" s="6">
        <v>45919</v>
      </c>
      <c r="E4232" t="str">
        <f>VLOOKUP(B4232,'PROCV GERENTES BD'!A:B,2,0)</f>
        <v>RAFAEL PARISE</v>
      </c>
      <c r="F4232" s="4" t="str">
        <f t="shared" si="396"/>
        <v>2025-09</v>
      </c>
      <c r="G4232" s="18">
        <f t="shared" si="397"/>
        <v>38</v>
      </c>
      <c r="H4232" t="str">
        <f t="shared" si="398"/>
        <v>RAFAEL PARISE</v>
      </c>
      <c r="I4232" t="str">
        <f t="shared" si="399"/>
        <v>TDR TRANSPORTES LOGISTICA LTDA</v>
      </c>
      <c r="J4232">
        <f t="shared" si="400"/>
        <v>0</v>
      </c>
      <c r="K4232">
        <f t="shared" si="401"/>
        <v>1</v>
      </c>
    </row>
    <row r="4233" spans="1:11" x14ac:dyDescent="0.25">
      <c r="A4233" t="s">
        <v>482</v>
      </c>
      <c r="B4233" t="s">
        <v>239</v>
      </c>
      <c r="C4233" t="s">
        <v>66</v>
      </c>
      <c r="D4233" s="6">
        <v>45919</v>
      </c>
      <c r="E4233" t="str">
        <f>VLOOKUP(B4233,'PROCV GERENTES BD'!A:B,2,0)</f>
        <v>RAFAEL PARISE</v>
      </c>
      <c r="F4233" s="4" t="str">
        <f t="shared" si="396"/>
        <v>2025-09</v>
      </c>
      <c r="G4233" s="18">
        <f t="shared" si="397"/>
        <v>38</v>
      </c>
      <c r="H4233" t="str">
        <f t="shared" si="398"/>
        <v>RAFAEL PARISE</v>
      </c>
      <c r="I4233" t="str">
        <f t="shared" si="399"/>
        <v>RENOVAR AGRICOLA LTDA</v>
      </c>
      <c r="J4233">
        <f t="shared" si="400"/>
        <v>1</v>
      </c>
      <c r="K4233">
        <f t="shared" si="401"/>
        <v>0</v>
      </c>
    </row>
    <row r="4234" spans="1:11" x14ac:dyDescent="0.25">
      <c r="A4234" t="s">
        <v>305</v>
      </c>
      <c r="B4234" t="s">
        <v>141</v>
      </c>
      <c r="C4234" t="s">
        <v>50</v>
      </c>
      <c r="D4234" s="6">
        <v>45919</v>
      </c>
      <c r="E4234" t="str">
        <f>VLOOKUP(B4234,'PROCV GERENTES BD'!A:B,2,0)</f>
        <v>NOELI SALETE</v>
      </c>
      <c r="F4234" s="4" t="str">
        <f t="shared" si="396"/>
        <v>2025-09</v>
      </c>
      <c r="G4234" s="18">
        <f t="shared" si="397"/>
        <v>38</v>
      </c>
      <c r="H4234" t="str">
        <f t="shared" si="398"/>
        <v>NOELI SALETE</v>
      </c>
      <c r="I4234" t="str">
        <f t="shared" si="399"/>
        <v>JMS EMBALAGENS INDUSTRIAIS LTDA</v>
      </c>
      <c r="J4234">
        <f t="shared" si="400"/>
        <v>0</v>
      </c>
      <c r="K4234">
        <f t="shared" si="401"/>
        <v>1</v>
      </c>
    </row>
    <row r="4235" spans="1:11" x14ac:dyDescent="0.25">
      <c r="A4235" t="s">
        <v>521</v>
      </c>
      <c r="B4235" t="s">
        <v>286</v>
      </c>
      <c r="C4235" t="s">
        <v>50</v>
      </c>
      <c r="D4235" s="6">
        <v>45919</v>
      </c>
      <c r="E4235" t="str">
        <f>VLOOKUP(B4235,'PROCV GERENTES BD'!A:B,2,0)</f>
        <v>CELIO PIMENTA</v>
      </c>
      <c r="F4235" s="4" t="str">
        <f t="shared" si="396"/>
        <v>2025-09</v>
      </c>
      <c r="G4235" s="18">
        <f t="shared" si="397"/>
        <v>38</v>
      </c>
      <c r="H4235" t="str">
        <f t="shared" si="398"/>
        <v>CELIO PIMENTA</v>
      </c>
      <c r="I4235" t="str">
        <f t="shared" si="399"/>
        <v>LINGERIE E CIA LTDA ME</v>
      </c>
      <c r="J4235">
        <f t="shared" si="400"/>
        <v>0</v>
      </c>
      <c r="K4235">
        <f t="shared" si="401"/>
        <v>1</v>
      </c>
    </row>
    <row r="4236" spans="1:11" x14ac:dyDescent="0.25">
      <c r="A4236" t="s">
        <v>326</v>
      </c>
      <c r="B4236" t="s">
        <v>122</v>
      </c>
      <c r="C4236" t="s">
        <v>66</v>
      </c>
      <c r="D4236" s="6">
        <v>45919</v>
      </c>
      <c r="E4236" t="str">
        <f>VLOOKUP(B4236,'PROCV GERENTES BD'!A:B,2,0)</f>
        <v xml:space="preserve">ROGERIO </v>
      </c>
      <c r="F4236" s="4" t="str">
        <f t="shared" si="396"/>
        <v>2025-09</v>
      </c>
      <c r="G4236" s="18">
        <f t="shared" si="397"/>
        <v>38</v>
      </c>
      <c r="H4236" t="str">
        <f t="shared" si="398"/>
        <v xml:space="preserve">ROGERIO </v>
      </c>
      <c r="I4236" t="str">
        <f t="shared" si="399"/>
        <v>BIBE PRODUTOS INFANTIS LTDA</v>
      </c>
      <c r="J4236">
        <f t="shared" si="400"/>
        <v>1</v>
      </c>
      <c r="K4236">
        <f t="shared" si="401"/>
        <v>0</v>
      </c>
    </row>
    <row r="4237" spans="1:11" x14ac:dyDescent="0.25">
      <c r="A4237" t="s">
        <v>304</v>
      </c>
      <c r="B4237" t="s">
        <v>123</v>
      </c>
      <c r="C4237" t="s">
        <v>50</v>
      </c>
      <c r="D4237" s="6">
        <v>45920</v>
      </c>
      <c r="E4237" t="str">
        <f>VLOOKUP(B4237,'PROCV GERENTES BD'!A:B,2,0)</f>
        <v>ADMINISTRAÇÃO</v>
      </c>
      <c r="F4237" s="4" t="str">
        <f t="shared" si="396"/>
        <v>2025-09</v>
      </c>
      <c r="G4237" s="18">
        <f t="shared" si="397"/>
        <v>38</v>
      </c>
      <c r="H4237" t="str">
        <f t="shared" si="398"/>
        <v>ADMINISTRAÇÃO</v>
      </c>
      <c r="I4237" t="str">
        <f t="shared" si="399"/>
        <v>VIC LOGISTICA LTDA EM RECUPERACAO JUDICIAL</v>
      </c>
      <c r="J4237">
        <f t="shared" si="400"/>
        <v>0</v>
      </c>
      <c r="K4237">
        <f t="shared" si="401"/>
        <v>1</v>
      </c>
    </row>
    <row r="4238" spans="1:11" x14ac:dyDescent="0.25">
      <c r="A4238" t="s">
        <v>508</v>
      </c>
      <c r="B4238" t="s">
        <v>271</v>
      </c>
      <c r="C4238" t="s">
        <v>50</v>
      </c>
      <c r="D4238" s="6">
        <v>45920</v>
      </c>
      <c r="E4238" t="str">
        <f>VLOOKUP(B4238,'PROCV GERENTES BD'!A:B,2,0)</f>
        <v>PRISCILA METZ</v>
      </c>
      <c r="F4238" s="4" t="str">
        <f t="shared" si="396"/>
        <v>2025-09</v>
      </c>
      <c r="G4238" s="18">
        <f t="shared" si="397"/>
        <v>38</v>
      </c>
      <c r="H4238" t="str">
        <f t="shared" si="398"/>
        <v>PRISCILA METZ</v>
      </c>
      <c r="I4238" t="str">
        <f t="shared" si="399"/>
        <v>TUBOLARES VITORIA INDUSTRIA E COMERCIO LTDA ME</v>
      </c>
      <c r="J4238">
        <f t="shared" si="400"/>
        <v>0</v>
      </c>
      <c r="K4238">
        <f t="shared" si="401"/>
        <v>1</v>
      </c>
    </row>
    <row r="4239" spans="1:11" x14ac:dyDescent="0.25">
      <c r="A4239" t="s">
        <v>610</v>
      </c>
      <c r="B4239" t="s">
        <v>611</v>
      </c>
      <c r="C4239" t="s">
        <v>66</v>
      </c>
      <c r="D4239" s="6">
        <v>45920</v>
      </c>
      <c r="E4239" t="str">
        <f>VLOOKUP(B4239,'PROCV GERENTES BD'!A:B,2,0)</f>
        <v>TIAGO NEVES</v>
      </c>
      <c r="F4239" s="4" t="str">
        <f t="shared" si="396"/>
        <v>2025-09</v>
      </c>
      <c r="G4239" s="18">
        <f t="shared" si="397"/>
        <v>38</v>
      </c>
      <c r="H4239" t="str">
        <f t="shared" si="398"/>
        <v>TIAGO NEVES</v>
      </c>
      <c r="I4239" t="str">
        <f t="shared" si="399"/>
        <v>TRATOR GLASS LTDA ME</v>
      </c>
      <c r="J4239">
        <f t="shared" si="400"/>
        <v>1</v>
      </c>
      <c r="K4239">
        <f t="shared" si="401"/>
        <v>0</v>
      </c>
    </row>
    <row r="4240" spans="1:11" x14ac:dyDescent="0.25">
      <c r="A4240" t="s">
        <v>488</v>
      </c>
      <c r="B4240" t="s">
        <v>247</v>
      </c>
      <c r="C4240" t="s">
        <v>50</v>
      </c>
      <c r="D4240" s="6">
        <v>45920</v>
      </c>
      <c r="E4240" t="str">
        <f>VLOOKUP(B4240,'PROCV GERENTES BD'!A:B,2,0)</f>
        <v>CELIO PIMENTA</v>
      </c>
      <c r="F4240" s="4" t="str">
        <f t="shared" si="396"/>
        <v>2025-09</v>
      </c>
      <c r="G4240" s="18">
        <f t="shared" si="397"/>
        <v>38</v>
      </c>
      <c r="H4240" t="str">
        <f t="shared" si="398"/>
        <v>CELIO PIMENTA</v>
      </c>
      <c r="I4240" t="str">
        <f t="shared" si="399"/>
        <v>AZ HIDRAULICA USINAGEM LTDA EPP</v>
      </c>
      <c r="J4240">
        <f t="shared" si="400"/>
        <v>0</v>
      </c>
      <c r="K4240">
        <f t="shared" si="401"/>
        <v>1</v>
      </c>
    </row>
    <row r="4241" spans="1:11" x14ac:dyDescent="0.25">
      <c r="A4241" t="s">
        <v>655</v>
      </c>
      <c r="B4241" t="s">
        <v>548</v>
      </c>
      <c r="C4241" t="s">
        <v>66</v>
      </c>
      <c r="D4241" s="6">
        <v>45920</v>
      </c>
      <c r="E4241" t="str">
        <f>VLOOKUP(B4241,'PROCV GERENTES BD'!A:B,2,0)</f>
        <v xml:space="preserve">ROGERIO </v>
      </c>
      <c r="F4241" s="4" t="str">
        <f t="shared" si="396"/>
        <v>2025-09</v>
      </c>
      <c r="G4241" s="18">
        <f t="shared" si="397"/>
        <v>38</v>
      </c>
      <c r="H4241" t="str">
        <f t="shared" si="398"/>
        <v xml:space="preserve">ROGERIO </v>
      </c>
      <c r="I4241" t="str">
        <f t="shared" si="399"/>
        <v>AGROEP PISCICULTURA LTDA ME</v>
      </c>
      <c r="J4241">
        <f t="shared" si="400"/>
        <v>1</v>
      </c>
      <c r="K4241">
        <f t="shared" si="401"/>
        <v>0</v>
      </c>
    </row>
    <row r="4242" spans="1:11" x14ac:dyDescent="0.25">
      <c r="A4242" t="s">
        <v>450</v>
      </c>
      <c r="B4242" t="s">
        <v>207</v>
      </c>
      <c r="C4242" t="s">
        <v>66</v>
      </c>
      <c r="D4242" s="6">
        <v>45920</v>
      </c>
      <c r="E4242" t="str">
        <f>VLOOKUP(B4242,'PROCV GERENTES BD'!A:B,2,0)</f>
        <v>CELIO PIMENTA</v>
      </c>
      <c r="F4242" s="4" t="str">
        <f t="shared" si="396"/>
        <v>2025-09</v>
      </c>
      <c r="G4242" s="18">
        <f t="shared" si="397"/>
        <v>38</v>
      </c>
      <c r="H4242" t="str">
        <f t="shared" si="398"/>
        <v>CELIO PIMENTA</v>
      </c>
      <c r="I4242" t="str">
        <f t="shared" si="399"/>
        <v>LIDER COMERCIO DE UNIFORMES E EPI S LTDA ME</v>
      </c>
      <c r="J4242">
        <f t="shared" si="400"/>
        <v>1</v>
      </c>
      <c r="K4242">
        <f t="shared" si="401"/>
        <v>0</v>
      </c>
    </row>
    <row r="4243" spans="1:11" x14ac:dyDescent="0.25">
      <c r="A4243" t="s">
        <v>630</v>
      </c>
      <c r="B4243" t="s">
        <v>559</v>
      </c>
      <c r="C4243" t="s">
        <v>50</v>
      </c>
      <c r="D4243" s="6">
        <v>45920</v>
      </c>
      <c r="E4243" t="str">
        <f>VLOOKUP(B4243,'PROCV GERENTES BD'!A:B,2,0)</f>
        <v>ALISSON DE SOUZA LIMA</v>
      </c>
      <c r="F4243" s="4" t="str">
        <f t="shared" si="396"/>
        <v>2025-09</v>
      </c>
      <c r="G4243" s="18">
        <f t="shared" si="397"/>
        <v>38</v>
      </c>
      <c r="H4243" t="str">
        <f t="shared" si="398"/>
        <v>ALISSON DE SOUZA LIMA</v>
      </c>
      <c r="I4243" t="str">
        <f t="shared" si="399"/>
        <v>JRG SOLUCOES INDUSTRIAIS LTDA</v>
      </c>
      <c r="J4243">
        <f t="shared" si="400"/>
        <v>0</v>
      </c>
      <c r="K4243">
        <f t="shared" si="401"/>
        <v>1</v>
      </c>
    </row>
    <row r="4244" spans="1:11" x14ac:dyDescent="0.25">
      <c r="A4244" t="s">
        <v>516</v>
      </c>
      <c r="B4244" t="s">
        <v>279</v>
      </c>
      <c r="C4244" t="s">
        <v>50</v>
      </c>
      <c r="D4244" s="6">
        <v>45920</v>
      </c>
      <c r="E4244" t="str">
        <f>VLOOKUP(B4244,'PROCV GERENTES BD'!A:B,2,0)</f>
        <v xml:space="preserve">ROGERIO </v>
      </c>
      <c r="F4244" s="4" t="str">
        <f t="shared" si="396"/>
        <v>2025-09</v>
      </c>
      <c r="G4244" s="18">
        <f t="shared" si="397"/>
        <v>38</v>
      </c>
      <c r="H4244" t="str">
        <f t="shared" si="398"/>
        <v xml:space="preserve">ROGERIO </v>
      </c>
      <c r="I4244" t="str">
        <f t="shared" si="399"/>
        <v>MUNDYSERVICE COMERCIO DE PECAS E ASSISTENCIA TECNI</v>
      </c>
      <c r="J4244">
        <f t="shared" si="400"/>
        <v>0</v>
      </c>
      <c r="K4244">
        <f t="shared" si="401"/>
        <v>1</v>
      </c>
    </row>
    <row r="4245" spans="1:11" x14ac:dyDescent="0.25">
      <c r="A4245" t="s">
        <v>676</v>
      </c>
      <c r="B4245" t="s">
        <v>555</v>
      </c>
      <c r="C4245" t="s">
        <v>50</v>
      </c>
      <c r="D4245" s="6">
        <v>45920</v>
      </c>
      <c r="E4245" t="str">
        <f>VLOOKUP(B4245,'PROCV GERENTES BD'!A:B,2,0)</f>
        <v>PROSPECTAR</v>
      </c>
      <c r="F4245" s="4" t="str">
        <f t="shared" si="396"/>
        <v>2025-09</v>
      </c>
      <c r="G4245" s="18">
        <f t="shared" si="397"/>
        <v>38</v>
      </c>
      <c r="H4245" t="str">
        <f t="shared" si="398"/>
        <v>PROSPECTAR</v>
      </c>
      <c r="I4245" t="str">
        <f t="shared" si="399"/>
        <v>LUCAS ALLA LOGISTICA LTDA</v>
      </c>
      <c r="J4245">
        <f t="shared" si="400"/>
        <v>0</v>
      </c>
      <c r="K4245">
        <f t="shared" si="401"/>
        <v>1</v>
      </c>
    </row>
    <row r="4246" spans="1:11" x14ac:dyDescent="0.25">
      <c r="A4246" t="s">
        <v>67</v>
      </c>
      <c r="B4246" t="s">
        <v>68</v>
      </c>
      <c r="C4246" t="s">
        <v>66</v>
      </c>
      <c r="D4246" s="6">
        <v>45920</v>
      </c>
      <c r="E4246" t="str">
        <f>VLOOKUP(B4246,'PROCV GERENTES BD'!A:B,2,0)</f>
        <v xml:space="preserve">ROGERIO </v>
      </c>
      <c r="F4246" s="4" t="str">
        <f t="shared" si="396"/>
        <v>2025-09</v>
      </c>
      <c r="G4246" s="18">
        <f t="shared" si="397"/>
        <v>38</v>
      </c>
      <c r="H4246" t="str">
        <f t="shared" si="398"/>
        <v xml:space="preserve">ROGERIO </v>
      </c>
      <c r="I4246" t="str">
        <f t="shared" si="399"/>
        <v>DIOTTONI INDUSTRIA E COMERCIO DE ALIMENTOS LTDA ME</v>
      </c>
      <c r="J4246">
        <f t="shared" si="400"/>
        <v>1</v>
      </c>
      <c r="K4246">
        <f t="shared" si="401"/>
        <v>0</v>
      </c>
    </row>
    <row r="4247" spans="1:11" x14ac:dyDescent="0.25">
      <c r="A4247" t="s">
        <v>64</v>
      </c>
      <c r="B4247" t="s">
        <v>65</v>
      </c>
      <c r="C4247" t="s">
        <v>50</v>
      </c>
      <c r="D4247" s="6">
        <v>45920</v>
      </c>
      <c r="E4247" t="str">
        <f>VLOOKUP(B4247,'PROCV GERENTES BD'!A:B,2,0)</f>
        <v>ADMINISTRAÇÃO</v>
      </c>
      <c r="F4247" s="4" t="str">
        <f t="shared" si="396"/>
        <v>2025-09</v>
      </c>
      <c r="G4247" s="18">
        <f t="shared" si="397"/>
        <v>38</v>
      </c>
      <c r="H4247" t="str">
        <f t="shared" si="398"/>
        <v>ADMINISTRAÇÃO</v>
      </c>
      <c r="I4247" t="str">
        <f t="shared" si="399"/>
        <v>SOCIAL S/A</v>
      </c>
      <c r="J4247">
        <f t="shared" si="400"/>
        <v>0</v>
      </c>
      <c r="K4247">
        <f t="shared" si="401"/>
        <v>1</v>
      </c>
    </row>
    <row r="4248" spans="1:11" x14ac:dyDescent="0.25">
      <c r="A4248" t="s">
        <v>499</v>
      </c>
      <c r="B4248" t="s">
        <v>258</v>
      </c>
      <c r="C4248" t="s">
        <v>50</v>
      </c>
      <c r="D4248" s="6">
        <v>45920</v>
      </c>
      <c r="E4248" t="str">
        <f>VLOOKUP(B4248,'PROCV GERENTES BD'!A:B,2,0)</f>
        <v>PRISCILA METZ</v>
      </c>
      <c r="F4248" s="4" t="str">
        <f t="shared" si="396"/>
        <v>2025-09</v>
      </c>
      <c r="G4248" s="18">
        <f t="shared" si="397"/>
        <v>38</v>
      </c>
      <c r="H4248" t="str">
        <f t="shared" si="398"/>
        <v>PRISCILA METZ</v>
      </c>
      <c r="I4248" t="str">
        <f t="shared" si="399"/>
        <v>PLATINUM INDUSTRIA DE CONFECCOES LTDA</v>
      </c>
      <c r="J4248">
        <f t="shared" si="400"/>
        <v>0</v>
      </c>
      <c r="K4248">
        <f t="shared" si="401"/>
        <v>1</v>
      </c>
    </row>
    <row r="4249" spans="1:11" x14ac:dyDescent="0.25">
      <c r="A4249" t="s">
        <v>604</v>
      </c>
      <c r="B4249" t="s">
        <v>605</v>
      </c>
      <c r="C4249" t="s">
        <v>50</v>
      </c>
      <c r="D4249" s="6">
        <v>45920</v>
      </c>
      <c r="E4249" t="str">
        <f>VLOOKUP(B4249,'PROCV GERENTES BD'!A:B,2,0)</f>
        <v>ALISSON DE SOUZA LIMA</v>
      </c>
      <c r="F4249" s="4" t="str">
        <f t="shared" si="396"/>
        <v>2025-09</v>
      </c>
      <c r="G4249" s="18">
        <f t="shared" si="397"/>
        <v>38</v>
      </c>
      <c r="H4249" t="str">
        <f t="shared" si="398"/>
        <v>ALISSON DE SOUZA LIMA</v>
      </c>
      <c r="I4249" t="str">
        <f t="shared" si="399"/>
        <v>3J FUNDICAO INDUSTRIAL LTDA</v>
      </c>
      <c r="J4249">
        <f t="shared" si="400"/>
        <v>0</v>
      </c>
      <c r="K4249">
        <f t="shared" si="401"/>
        <v>1</v>
      </c>
    </row>
    <row r="4250" spans="1:11" x14ac:dyDescent="0.25">
      <c r="A4250" t="s">
        <v>355</v>
      </c>
      <c r="B4250" t="s">
        <v>100</v>
      </c>
      <c r="C4250" t="s">
        <v>66</v>
      </c>
      <c r="D4250" s="6">
        <v>45920</v>
      </c>
      <c r="E4250" t="str">
        <f>VLOOKUP(B4250,'PROCV GERENTES BD'!A:B,2,0)</f>
        <v>ADMINISTRAÇÃO</v>
      </c>
      <c r="F4250" s="4" t="str">
        <f t="shared" si="396"/>
        <v>2025-09</v>
      </c>
      <c r="G4250" s="18">
        <f t="shared" si="397"/>
        <v>38</v>
      </c>
      <c r="H4250" t="str">
        <f t="shared" si="398"/>
        <v>ADMINISTRAÇÃO</v>
      </c>
      <c r="I4250" t="str">
        <f t="shared" si="399"/>
        <v>DECISION DESENVOLVIMENTO DE SISTEMAS LTDA</v>
      </c>
      <c r="J4250">
        <f t="shared" si="400"/>
        <v>1</v>
      </c>
      <c r="K4250">
        <f t="shared" si="401"/>
        <v>0</v>
      </c>
    </row>
    <row r="4251" spans="1:11" x14ac:dyDescent="0.25">
      <c r="A4251" t="s">
        <v>58</v>
      </c>
      <c r="B4251" t="s">
        <v>59</v>
      </c>
      <c r="C4251" t="s">
        <v>53</v>
      </c>
      <c r="D4251" s="6">
        <v>45920</v>
      </c>
      <c r="E4251" t="str">
        <f>VLOOKUP(B4251,'PROCV GERENTES BD'!A:B,2,0)</f>
        <v>ADMINISTRAÇÃO</v>
      </c>
      <c r="F4251" s="4" t="str">
        <f t="shared" si="396"/>
        <v>2025-09</v>
      </c>
      <c r="G4251" s="18">
        <f t="shared" si="397"/>
        <v>38</v>
      </c>
      <c r="H4251" t="str">
        <f t="shared" si="398"/>
        <v>ADMINISTRAÇÃO</v>
      </c>
      <c r="I4251" t="str">
        <f t="shared" si="399"/>
        <v>BIOTECH LOGISTICA LTDA</v>
      </c>
      <c r="J4251">
        <f t="shared" si="400"/>
        <v>1</v>
      </c>
      <c r="K4251">
        <f t="shared" si="401"/>
        <v>1</v>
      </c>
    </row>
    <row r="4252" spans="1:11" x14ac:dyDescent="0.25">
      <c r="A4252" t="s">
        <v>634</v>
      </c>
      <c r="B4252" t="s">
        <v>585</v>
      </c>
      <c r="C4252" t="s">
        <v>50</v>
      </c>
      <c r="D4252" s="6">
        <v>45920</v>
      </c>
      <c r="E4252" t="str">
        <f>VLOOKUP(B4252,'PROCV GERENTES BD'!A:B,2,0)</f>
        <v>ANDERSON FRAGA</v>
      </c>
      <c r="F4252" s="4" t="str">
        <f t="shared" si="396"/>
        <v>2025-09</v>
      </c>
      <c r="G4252" s="18">
        <f t="shared" si="397"/>
        <v>38</v>
      </c>
      <c r="H4252" t="str">
        <f t="shared" si="398"/>
        <v>ANDERSON FRAGA</v>
      </c>
      <c r="I4252" t="str">
        <f t="shared" si="399"/>
        <v>E DE P BATISTA DISTRIBUIDORA ME</v>
      </c>
      <c r="J4252">
        <f t="shared" si="400"/>
        <v>0</v>
      </c>
      <c r="K4252">
        <f t="shared" si="401"/>
        <v>1</v>
      </c>
    </row>
    <row r="4253" spans="1:11" x14ac:dyDescent="0.25">
      <c r="A4253" t="s">
        <v>331</v>
      </c>
      <c r="B4253" t="s">
        <v>144</v>
      </c>
      <c r="C4253" t="s">
        <v>50</v>
      </c>
      <c r="D4253" s="6">
        <v>45920</v>
      </c>
      <c r="E4253" t="str">
        <f>VLOOKUP(B4253,'PROCV GERENTES BD'!A:B,2,0)</f>
        <v>ADMINISTRAÇÃO</v>
      </c>
      <c r="F4253" s="4" t="str">
        <f t="shared" si="396"/>
        <v>2025-09</v>
      </c>
      <c r="G4253" s="18">
        <f t="shared" si="397"/>
        <v>38</v>
      </c>
      <c r="H4253" t="str">
        <f t="shared" si="398"/>
        <v>ADMINISTRAÇÃO</v>
      </c>
      <c r="I4253" t="str">
        <f t="shared" si="399"/>
        <v>BOM PASTOR PAPEIS LTDA EM RECUPERACAO JUDICIAL</v>
      </c>
      <c r="J4253">
        <f t="shared" si="400"/>
        <v>0</v>
      </c>
      <c r="K4253">
        <f t="shared" si="401"/>
        <v>1</v>
      </c>
    </row>
    <row r="4254" spans="1:11" x14ac:dyDescent="0.25">
      <c r="A4254" t="s">
        <v>361</v>
      </c>
      <c r="B4254" t="s">
        <v>106</v>
      </c>
      <c r="C4254" t="s">
        <v>50</v>
      </c>
      <c r="D4254" s="6">
        <v>45920</v>
      </c>
      <c r="E4254" t="str">
        <f>VLOOKUP(B4254,'PROCV GERENTES BD'!A:B,2,0)</f>
        <v>PRISCILA METZ</v>
      </c>
      <c r="F4254" s="4" t="str">
        <f t="shared" si="396"/>
        <v>2025-09</v>
      </c>
      <c r="G4254" s="18">
        <f t="shared" si="397"/>
        <v>38</v>
      </c>
      <c r="H4254" t="str">
        <f t="shared" si="398"/>
        <v>PRISCILA METZ</v>
      </c>
      <c r="I4254" t="str">
        <f t="shared" si="399"/>
        <v>HERBAMED LABORATORIO NUTRACEUTICO LTDA</v>
      </c>
      <c r="J4254">
        <f t="shared" si="400"/>
        <v>0</v>
      </c>
      <c r="K4254">
        <f t="shared" si="401"/>
        <v>1</v>
      </c>
    </row>
    <row r="4255" spans="1:11" x14ac:dyDescent="0.25">
      <c r="A4255" t="s">
        <v>644</v>
      </c>
      <c r="B4255" t="s">
        <v>598</v>
      </c>
      <c r="C4255" t="s">
        <v>66</v>
      </c>
      <c r="D4255" s="6">
        <v>45920</v>
      </c>
      <c r="E4255" t="str">
        <f>VLOOKUP(B4255,'PROCV GERENTES BD'!A:B,2,0)</f>
        <v>DALVA</v>
      </c>
      <c r="F4255" s="4" t="str">
        <f t="shared" si="396"/>
        <v>2025-09</v>
      </c>
      <c r="G4255" s="18">
        <f t="shared" si="397"/>
        <v>38</v>
      </c>
      <c r="H4255" t="str">
        <f t="shared" si="398"/>
        <v>DALVA</v>
      </c>
      <c r="I4255" t="str">
        <f t="shared" si="399"/>
        <v>BH BRITADORES LTDA EPP</v>
      </c>
      <c r="J4255">
        <f t="shared" si="400"/>
        <v>1</v>
      </c>
      <c r="K4255">
        <f t="shared" si="401"/>
        <v>0</v>
      </c>
    </row>
    <row r="4256" spans="1:11" x14ac:dyDescent="0.25">
      <c r="A4256" t="s">
        <v>663</v>
      </c>
      <c r="B4256" t="s">
        <v>664</v>
      </c>
      <c r="C4256" t="s">
        <v>50</v>
      </c>
      <c r="D4256" s="6">
        <v>45920</v>
      </c>
      <c r="E4256" t="str">
        <f>VLOOKUP(B4256,'PROCV GERENTES BD'!A:B,2,0)</f>
        <v>ADMINISTRAÇÃO</v>
      </c>
      <c r="F4256" s="4" t="str">
        <f t="shared" si="396"/>
        <v>2025-09</v>
      </c>
      <c r="G4256" s="18">
        <f t="shared" si="397"/>
        <v>38</v>
      </c>
      <c r="H4256" t="str">
        <f t="shared" si="398"/>
        <v>ADMINISTRAÇÃO</v>
      </c>
      <c r="I4256" t="str">
        <f t="shared" si="399"/>
        <v>PRIVILEGIO CONFECCOES LTDA ME</v>
      </c>
      <c r="J4256">
        <f t="shared" si="400"/>
        <v>0</v>
      </c>
      <c r="K4256">
        <f t="shared" si="401"/>
        <v>1</v>
      </c>
    </row>
    <row r="4257" spans="1:11" x14ac:dyDescent="0.25">
      <c r="A4257" t="s">
        <v>668</v>
      </c>
      <c r="B4257" t="s">
        <v>669</v>
      </c>
      <c r="C4257" t="s">
        <v>66</v>
      </c>
      <c r="D4257" s="6">
        <v>45920</v>
      </c>
      <c r="E4257" t="str">
        <f>VLOOKUP(B4257,'PROCV GERENTES BD'!A:B,2,0)</f>
        <v>ADMINISTRAÇÃO</v>
      </c>
      <c r="F4257" s="4" t="str">
        <f t="shared" si="396"/>
        <v>2025-09</v>
      </c>
      <c r="G4257" s="18">
        <f t="shared" si="397"/>
        <v>38</v>
      </c>
      <c r="H4257" t="str">
        <f t="shared" si="398"/>
        <v>ADMINISTRAÇÃO</v>
      </c>
      <c r="I4257" t="str">
        <f t="shared" si="399"/>
        <v>SUPER BULL IMPORTACAO E COMERCIO DE EQUIPAMENTOS L</v>
      </c>
      <c r="J4257">
        <f t="shared" si="400"/>
        <v>1</v>
      </c>
      <c r="K4257">
        <f t="shared" si="401"/>
        <v>0</v>
      </c>
    </row>
    <row r="4258" spans="1:11" x14ac:dyDescent="0.25">
      <c r="A4258" t="s">
        <v>308</v>
      </c>
      <c r="B4258" t="s">
        <v>284</v>
      </c>
      <c r="C4258" t="s">
        <v>66</v>
      </c>
      <c r="D4258" s="6">
        <v>45920</v>
      </c>
      <c r="E4258" t="str">
        <f>VLOOKUP(B4258,'PROCV GERENTES BD'!A:B,2,0)</f>
        <v>CAIO</v>
      </c>
      <c r="F4258" s="4" t="str">
        <f t="shared" si="396"/>
        <v>2025-09</v>
      </c>
      <c r="G4258" s="18">
        <f t="shared" si="397"/>
        <v>38</v>
      </c>
      <c r="H4258" t="str">
        <f t="shared" si="398"/>
        <v>CAIO</v>
      </c>
      <c r="I4258" t="str">
        <f t="shared" si="399"/>
        <v>GLOBALMAX INDUSTRIA PLASTICA S/A</v>
      </c>
      <c r="J4258">
        <f t="shared" si="400"/>
        <v>1</v>
      </c>
      <c r="K4258">
        <f t="shared" si="401"/>
        <v>0</v>
      </c>
    </row>
    <row r="4259" spans="1:11" x14ac:dyDescent="0.25">
      <c r="A4259" t="s">
        <v>532</v>
      </c>
      <c r="B4259" t="s">
        <v>300</v>
      </c>
      <c r="C4259" t="s">
        <v>66</v>
      </c>
      <c r="D4259" s="6">
        <v>45920</v>
      </c>
      <c r="E4259" t="str">
        <f>VLOOKUP(B4259,'PROCV GERENTES BD'!A:B,2,0)</f>
        <v>RAFAEL PARISE</v>
      </c>
      <c r="F4259" s="4" t="str">
        <f t="shared" si="396"/>
        <v>2025-09</v>
      </c>
      <c r="G4259" s="18">
        <f t="shared" si="397"/>
        <v>38</v>
      </c>
      <c r="H4259" t="str">
        <f t="shared" si="398"/>
        <v>RAFAEL PARISE</v>
      </c>
      <c r="I4259" t="str">
        <f t="shared" si="399"/>
        <v>MINASPOL INDUSTRIA E COMERCIO DE COMPOSTOS POLIMER</v>
      </c>
      <c r="J4259">
        <f t="shared" si="400"/>
        <v>1</v>
      </c>
      <c r="K4259">
        <f t="shared" si="401"/>
        <v>0</v>
      </c>
    </row>
    <row r="4260" spans="1:11" x14ac:dyDescent="0.25">
      <c r="A4260" t="s">
        <v>660</v>
      </c>
      <c r="B4260" t="s">
        <v>545</v>
      </c>
      <c r="C4260" t="s">
        <v>66</v>
      </c>
      <c r="D4260" s="6">
        <v>45920</v>
      </c>
      <c r="E4260" t="str">
        <f>VLOOKUP(B4260,'PROCV GERENTES BD'!A:B,2,0)</f>
        <v xml:space="preserve">ROGERIO </v>
      </c>
      <c r="F4260" s="4" t="str">
        <f t="shared" si="396"/>
        <v>2025-09</v>
      </c>
      <c r="G4260" s="18">
        <f t="shared" si="397"/>
        <v>38</v>
      </c>
      <c r="H4260" t="str">
        <f t="shared" si="398"/>
        <v xml:space="preserve">ROGERIO </v>
      </c>
      <c r="I4260" t="str">
        <f t="shared" si="399"/>
        <v>DISEP ALIMENTOS LTDA ME</v>
      </c>
      <c r="J4260">
        <f t="shared" si="400"/>
        <v>1</v>
      </c>
      <c r="K4260">
        <f t="shared" si="401"/>
        <v>0</v>
      </c>
    </row>
    <row r="4261" spans="1:11" x14ac:dyDescent="0.25">
      <c r="A4261" t="s">
        <v>482</v>
      </c>
      <c r="B4261" t="s">
        <v>239</v>
      </c>
      <c r="C4261" t="s">
        <v>66</v>
      </c>
      <c r="D4261" s="6">
        <v>45920</v>
      </c>
      <c r="E4261" t="str">
        <f>VLOOKUP(B4261,'PROCV GERENTES BD'!A:B,2,0)</f>
        <v>RAFAEL PARISE</v>
      </c>
      <c r="F4261" s="4" t="str">
        <f t="shared" si="396"/>
        <v>2025-09</v>
      </c>
      <c r="G4261" s="18">
        <f t="shared" si="397"/>
        <v>38</v>
      </c>
      <c r="H4261" t="str">
        <f t="shared" si="398"/>
        <v>RAFAEL PARISE</v>
      </c>
      <c r="I4261" t="str">
        <f t="shared" si="399"/>
        <v>RENOVAR AGRICOLA LTDA</v>
      </c>
      <c r="J4261">
        <f t="shared" si="400"/>
        <v>1</v>
      </c>
      <c r="K4261">
        <f t="shared" si="401"/>
        <v>0</v>
      </c>
    </row>
    <row r="4262" spans="1:11" x14ac:dyDescent="0.25">
      <c r="A4262" t="s">
        <v>523</v>
      </c>
      <c r="B4262" t="s">
        <v>288</v>
      </c>
      <c r="C4262" t="s">
        <v>50</v>
      </c>
      <c r="D4262" s="6">
        <v>45920</v>
      </c>
      <c r="E4262" t="str">
        <f>VLOOKUP(B4262,'PROCV GERENTES BD'!A:B,2,0)</f>
        <v>ADMINISTRAÇÃO</v>
      </c>
      <c r="F4262" s="4" t="str">
        <f t="shared" si="396"/>
        <v>2025-09</v>
      </c>
      <c r="G4262" s="18">
        <f t="shared" si="397"/>
        <v>38</v>
      </c>
      <c r="H4262" t="str">
        <f t="shared" si="398"/>
        <v>ADMINISTRAÇÃO</v>
      </c>
      <c r="I4262" t="str">
        <f t="shared" si="399"/>
        <v>REFRACONT BRASIL LTDA</v>
      </c>
      <c r="J4262">
        <f t="shared" si="400"/>
        <v>0</v>
      </c>
      <c r="K4262">
        <f t="shared" si="401"/>
        <v>1</v>
      </c>
    </row>
    <row r="4263" spans="1:11" x14ac:dyDescent="0.25">
      <c r="A4263" t="s">
        <v>460</v>
      </c>
      <c r="B4263" t="s">
        <v>217</v>
      </c>
      <c r="C4263" t="s">
        <v>50</v>
      </c>
      <c r="D4263" s="6">
        <v>45920</v>
      </c>
      <c r="E4263" t="str">
        <f>VLOOKUP(B4263,'PROCV GERENTES BD'!A:B,2,0)</f>
        <v>CELIO PIMENTA</v>
      </c>
      <c r="F4263" s="4" t="str">
        <f t="shared" si="396"/>
        <v>2025-09</v>
      </c>
      <c r="G4263" s="18">
        <f t="shared" si="397"/>
        <v>38</v>
      </c>
      <c r="H4263" t="str">
        <f t="shared" si="398"/>
        <v>CELIO PIMENTA</v>
      </c>
      <c r="I4263" t="str">
        <f t="shared" si="399"/>
        <v>MINAS CLEAN DISTRIBUIDORA DE PRODUTOS PARA LIMPEZA</v>
      </c>
      <c r="J4263">
        <f t="shared" si="400"/>
        <v>0</v>
      </c>
      <c r="K4263">
        <f t="shared" si="401"/>
        <v>1</v>
      </c>
    </row>
    <row r="4264" spans="1:11" x14ac:dyDescent="0.25">
      <c r="A4264" t="s">
        <v>534</v>
      </c>
      <c r="B4264" t="s">
        <v>303</v>
      </c>
      <c r="C4264" t="s">
        <v>50</v>
      </c>
      <c r="D4264" s="6">
        <v>45920</v>
      </c>
      <c r="E4264" t="str">
        <f>VLOOKUP(B4264,'PROCV GERENTES BD'!A:B,2,0)</f>
        <v xml:space="preserve">MARCUS VINICIUS </v>
      </c>
      <c r="F4264" s="4" t="str">
        <f t="shared" si="396"/>
        <v>2025-09</v>
      </c>
      <c r="G4264" s="18">
        <f t="shared" si="397"/>
        <v>38</v>
      </c>
      <c r="H4264" t="str">
        <f t="shared" si="398"/>
        <v xml:space="preserve">MARCUS VINICIUS </v>
      </c>
      <c r="I4264" t="str">
        <f t="shared" si="399"/>
        <v>GRAFICA JSA LTDA EPP</v>
      </c>
      <c r="J4264">
        <f t="shared" si="400"/>
        <v>0</v>
      </c>
      <c r="K4264">
        <f t="shared" si="401"/>
        <v>1</v>
      </c>
    </row>
    <row r="4265" spans="1:11" x14ac:dyDescent="0.25">
      <c r="A4265" t="s">
        <v>311</v>
      </c>
      <c r="B4265" t="s">
        <v>81</v>
      </c>
      <c r="C4265" t="s">
        <v>50</v>
      </c>
      <c r="D4265" s="6">
        <v>45923</v>
      </c>
      <c r="E4265" t="str">
        <f>VLOOKUP(B4265,'PROCV GERENTES BD'!A:B,2,0)</f>
        <v>CELIO PIMENTA</v>
      </c>
      <c r="F4265" s="4" t="str">
        <f t="shared" si="396"/>
        <v>2025-09</v>
      </c>
      <c r="G4265" s="18">
        <f t="shared" si="397"/>
        <v>39</v>
      </c>
      <c r="H4265" t="str">
        <f t="shared" si="398"/>
        <v>CELIO PIMENTA</v>
      </c>
      <c r="I4265" t="str">
        <f t="shared" si="399"/>
        <v>MBIOLOG DIAGNOSTICOS LTDA</v>
      </c>
      <c r="J4265">
        <f t="shared" si="400"/>
        <v>0</v>
      </c>
      <c r="K4265">
        <f t="shared" si="401"/>
        <v>1</v>
      </c>
    </row>
    <row r="4266" spans="1:11" x14ac:dyDescent="0.25">
      <c r="A4266" t="s">
        <v>534</v>
      </c>
      <c r="B4266" t="s">
        <v>303</v>
      </c>
      <c r="C4266" t="s">
        <v>50</v>
      </c>
      <c r="D4266" s="6">
        <v>45923</v>
      </c>
      <c r="E4266" t="str">
        <f>VLOOKUP(B4266,'PROCV GERENTES BD'!A:B,2,0)</f>
        <v xml:space="preserve">MARCUS VINICIUS </v>
      </c>
      <c r="F4266" s="4" t="str">
        <f t="shared" si="396"/>
        <v>2025-09</v>
      </c>
      <c r="G4266" s="18">
        <f t="shared" si="397"/>
        <v>39</v>
      </c>
      <c r="H4266" t="str">
        <f t="shared" si="398"/>
        <v xml:space="preserve">MARCUS VINICIUS </v>
      </c>
      <c r="I4266" t="str">
        <f t="shared" si="399"/>
        <v>GRAFICA JSA LTDA EPP</v>
      </c>
      <c r="J4266">
        <f t="shared" si="400"/>
        <v>0</v>
      </c>
      <c r="K4266">
        <f t="shared" si="401"/>
        <v>1</v>
      </c>
    </row>
    <row r="4267" spans="1:11" x14ac:dyDescent="0.25">
      <c r="A4267" t="s">
        <v>460</v>
      </c>
      <c r="B4267" t="s">
        <v>217</v>
      </c>
      <c r="C4267" t="s">
        <v>50</v>
      </c>
      <c r="D4267" s="6">
        <v>45923</v>
      </c>
      <c r="E4267" t="str">
        <f>VLOOKUP(B4267,'PROCV GERENTES BD'!A:B,2,0)</f>
        <v>CELIO PIMENTA</v>
      </c>
      <c r="F4267" s="4" t="str">
        <f t="shared" si="396"/>
        <v>2025-09</v>
      </c>
      <c r="G4267" s="18">
        <f t="shared" si="397"/>
        <v>39</v>
      </c>
      <c r="H4267" t="str">
        <f t="shared" si="398"/>
        <v>CELIO PIMENTA</v>
      </c>
      <c r="I4267" t="str">
        <f t="shared" si="399"/>
        <v>MINAS CLEAN DISTRIBUIDORA DE PRODUTOS PARA LIMPEZA</v>
      </c>
      <c r="J4267">
        <f t="shared" si="400"/>
        <v>0</v>
      </c>
      <c r="K4267">
        <f t="shared" si="401"/>
        <v>1</v>
      </c>
    </row>
    <row r="4268" spans="1:11" x14ac:dyDescent="0.25">
      <c r="A4268" t="s">
        <v>610</v>
      </c>
      <c r="B4268" t="s">
        <v>611</v>
      </c>
      <c r="C4268" t="s">
        <v>66</v>
      </c>
      <c r="D4268" s="6">
        <v>45923</v>
      </c>
      <c r="E4268" t="str">
        <f>VLOOKUP(B4268,'PROCV GERENTES BD'!A:B,2,0)</f>
        <v>TIAGO NEVES</v>
      </c>
      <c r="F4268" s="4" t="str">
        <f t="shared" si="396"/>
        <v>2025-09</v>
      </c>
      <c r="G4268" s="18">
        <f t="shared" si="397"/>
        <v>39</v>
      </c>
      <c r="H4268" t="str">
        <f t="shared" si="398"/>
        <v>TIAGO NEVES</v>
      </c>
      <c r="I4268" t="str">
        <f t="shared" si="399"/>
        <v>TRATOR GLASS LTDA ME</v>
      </c>
      <c r="J4268">
        <f t="shared" si="400"/>
        <v>1</v>
      </c>
      <c r="K4268">
        <f t="shared" si="401"/>
        <v>0</v>
      </c>
    </row>
    <row r="4269" spans="1:11" x14ac:dyDescent="0.25">
      <c r="A4269" t="s">
        <v>461</v>
      </c>
      <c r="B4269" t="s">
        <v>218</v>
      </c>
      <c r="C4269" t="s">
        <v>50</v>
      </c>
      <c r="D4269" s="6">
        <v>45923</v>
      </c>
      <c r="E4269" t="str">
        <f>VLOOKUP(B4269,'PROCV GERENTES BD'!A:B,2,0)</f>
        <v>SACADO</v>
      </c>
      <c r="F4269" s="4" t="str">
        <f t="shared" si="396"/>
        <v>2025-09</v>
      </c>
      <c r="G4269" s="18">
        <f t="shared" si="397"/>
        <v>39</v>
      </c>
      <c r="H4269" t="str">
        <f t="shared" si="398"/>
        <v>SACADO</v>
      </c>
      <c r="I4269" t="str">
        <f t="shared" si="399"/>
        <v>KUARA COMERCIAL E EXPORTADORA DE FRUTAS LTDA</v>
      </c>
      <c r="J4269">
        <f t="shared" si="400"/>
        <v>0</v>
      </c>
      <c r="K4269">
        <f t="shared" si="401"/>
        <v>1</v>
      </c>
    </row>
    <row r="4270" spans="1:11" x14ac:dyDescent="0.25">
      <c r="A4270" t="s">
        <v>661</v>
      </c>
      <c r="B4270" t="s">
        <v>662</v>
      </c>
      <c r="C4270" t="s">
        <v>50</v>
      </c>
      <c r="D4270" s="6">
        <v>45923</v>
      </c>
      <c r="E4270" t="str">
        <f>VLOOKUP(B4270,'PROCV GERENTES BD'!A:B,2,0)</f>
        <v>PRISCILA METZ</v>
      </c>
      <c r="F4270" s="4" t="str">
        <f t="shared" si="396"/>
        <v>2025-09</v>
      </c>
      <c r="G4270" s="18">
        <f t="shared" si="397"/>
        <v>39</v>
      </c>
      <c r="H4270" t="str">
        <f t="shared" si="398"/>
        <v>PRISCILA METZ</v>
      </c>
      <c r="I4270" t="str">
        <f t="shared" si="399"/>
        <v>LIDER DISTRIBUIDORA DE MOVEIS E EQUIPAMENTOS PARA</v>
      </c>
      <c r="J4270">
        <f t="shared" si="400"/>
        <v>0</v>
      </c>
      <c r="K4270">
        <f t="shared" si="401"/>
        <v>1</v>
      </c>
    </row>
    <row r="4271" spans="1:11" x14ac:dyDescent="0.25">
      <c r="A4271" t="s">
        <v>370</v>
      </c>
      <c r="B4271" t="s">
        <v>114</v>
      </c>
      <c r="C4271" t="s">
        <v>66</v>
      </c>
      <c r="D4271" s="6">
        <v>45923</v>
      </c>
      <c r="E4271" t="str">
        <f>VLOOKUP(B4271,'PROCV GERENTES BD'!A:B,2,0)</f>
        <v>POENATELA</v>
      </c>
      <c r="F4271" s="4" t="str">
        <f t="shared" si="396"/>
        <v>2025-09</v>
      </c>
      <c r="G4271" s="18">
        <f t="shared" si="397"/>
        <v>39</v>
      </c>
      <c r="H4271" t="str">
        <f t="shared" si="398"/>
        <v>POENATELA</v>
      </c>
      <c r="I4271" t="str">
        <f t="shared" si="399"/>
        <v>COOPERATIVA TRANSP AUTON CARGAS PASSAG SERVICOS LO</v>
      </c>
      <c r="J4271">
        <f t="shared" si="400"/>
        <v>1</v>
      </c>
      <c r="K4271">
        <f t="shared" si="401"/>
        <v>0</v>
      </c>
    </row>
    <row r="4272" spans="1:11" x14ac:dyDescent="0.25">
      <c r="A4272" t="s">
        <v>450</v>
      </c>
      <c r="B4272" t="s">
        <v>207</v>
      </c>
      <c r="C4272" t="s">
        <v>50</v>
      </c>
      <c r="D4272" s="6">
        <v>45923</v>
      </c>
      <c r="E4272" t="str">
        <f>VLOOKUP(B4272,'PROCV GERENTES BD'!A:B,2,0)</f>
        <v>CELIO PIMENTA</v>
      </c>
      <c r="F4272" s="4" t="str">
        <f t="shared" si="396"/>
        <v>2025-09</v>
      </c>
      <c r="G4272" s="18">
        <f t="shared" si="397"/>
        <v>39</v>
      </c>
      <c r="H4272" t="str">
        <f t="shared" si="398"/>
        <v>CELIO PIMENTA</v>
      </c>
      <c r="I4272" t="str">
        <f t="shared" si="399"/>
        <v>LIDER COMERCIO DE UNIFORMES E EPI S LTDA ME</v>
      </c>
      <c r="J4272">
        <f t="shared" si="400"/>
        <v>0</v>
      </c>
      <c r="K4272">
        <f t="shared" si="401"/>
        <v>1</v>
      </c>
    </row>
    <row r="4273" spans="1:11" x14ac:dyDescent="0.25">
      <c r="A4273" t="s">
        <v>616</v>
      </c>
      <c r="B4273" t="s">
        <v>617</v>
      </c>
      <c r="C4273" t="s">
        <v>50</v>
      </c>
      <c r="D4273" s="6">
        <v>45923</v>
      </c>
      <c r="E4273" t="str">
        <f>VLOOKUP(B4273,'PROCV GERENTES BD'!A:B,2,0)</f>
        <v>PRISCILA METZ</v>
      </c>
      <c r="F4273" s="4" t="str">
        <f t="shared" si="396"/>
        <v>2025-09</v>
      </c>
      <c r="G4273" s="18">
        <f t="shared" si="397"/>
        <v>39</v>
      </c>
      <c r="H4273" t="str">
        <f t="shared" si="398"/>
        <v>PRISCILA METZ</v>
      </c>
      <c r="I4273" t="str">
        <f t="shared" si="399"/>
        <v>DESTAK DISTRIBUIDORA PRODUTOS EQUIPAMENTOS HOSPITA</v>
      </c>
      <c r="J4273">
        <f t="shared" si="400"/>
        <v>0</v>
      </c>
      <c r="K4273">
        <f t="shared" si="401"/>
        <v>1</v>
      </c>
    </row>
    <row r="4274" spans="1:11" x14ac:dyDescent="0.25">
      <c r="A4274" t="s">
        <v>505</v>
      </c>
      <c r="B4274" t="s">
        <v>267</v>
      </c>
      <c r="C4274" t="s">
        <v>50</v>
      </c>
      <c r="D4274" s="6">
        <v>45923</v>
      </c>
      <c r="E4274" t="str">
        <f>VLOOKUP(B4274,'PROCV GERENTES BD'!A:B,2,0)</f>
        <v>PRISCILA METZ</v>
      </c>
      <c r="F4274" s="4" t="str">
        <f t="shared" si="396"/>
        <v>2025-09</v>
      </c>
      <c r="G4274" s="18">
        <f t="shared" si="397"/>
        <v>39</v>
      </c>
      <c r="H4274" t="str">
        <f t="shared" si="398"/>
        <v>PRISCILA METZ</v>
      </c>
      <c r="I4274" t="str">
        <f t="shared" si="399"/>
        <v>REAL DISTRIBUIDORA DE PRODUTOS PARA MARMORARIA LTD</v>
      </c>
      <c r="J4274">
        <f t="shared" si="400"/>
        <v>0</v>
      </c>
      <c r="K4274">
        <f t="shared" si="401"/>
        <v>1</v>
      </c>
    </row>
    <row r="4275" spans="1:11" x14ac:dyDescent="0.25">
      <c r="A4275" t="s">
        <v>64</v>
      </c>
      <c r="B4275" t="s">
        <v>65</v>
      </c>
      <c r="C4275" t="s">
        <v>50</v>
      </c>
      <c r="D4275" s="6">
        <v>45923</v>
      </c>
      <c r="E4275" t="str">
        <f>VLOOKUP(B4275,'PROCV GERENTES BD'!A:B,2,0)</f>
        <v>ADMINISTRAÇÃO</v>
      </c>
      <c r="F4275" s="4" t="str">
        <f t="shared" si="396"/>
        <v>2025-09</v>
      </c>
      <c r="G4275" s="18">
        <f t="shared" si="397"/>
        <v>39</v>
      </c>
      <c r="H4275" t="str">
        <f t="shared" si="398"/>
        <v>ADMINISTRAÇÃO</v>
      </c>
      <c r="I4275" t="str">
        <f t="shared" si="399"/>
        <v>SOCIAL S/A</v>
      </c>
      <c r="J4275">
        <f t="shared" si="400"/>
        <v>0</v>
      </c>
      <c r="K4275">
        <f t="shared" si="401"/>
        <v>1</v>
      </c>
    </row>
    <row r="4276" spans="1:11" x14ac:dyDescent="0.25">
      <c r="A4276" t="s">
        <v>499</v>
      </c>
      <c r="B4276" t="s">
        <v>258</v>
      </c>
      <c r="C4276" t="s">
        <v>53</v>
      </c>
      <c r="D4276" s="6">
        <v>45923</v>
      </c>
      <c r="E4276" t="str">
        <f>VLOOKUP(B4276,'PROCV GERENTES BD'!A:B,2,0)</f>
        <v>PRISCILA METZ</v>
      </c>
      <c r="F4276" s="4" t="str">
        <f t="shared" si="396"/>
        <v>2025-09</v>
      </c>
      <c r="G4276" s="18">
        <f t="shared" si="397"/>
        <v>39</v>
      </c>
      <c r="H4276" t="str">
        <f t="shared" si="398"/>
        <v>PRISCILA METZ</v>
      </c>
      <c r="I4276" t="str">
        <f t="shared" si="399"/>
        <v>PLATINUM INDUSTRIA DE CONFECCOES LTDA</v>
      </c>
      <c r="J4276">
        <f t="shared" si="400"/>
        <v>1</v>
      </c>
      <c r="K4276">
        <f t="shared" si="401"/>
        <v>1</v>
      </c>
    </row>
    <row r="4277" spans="1:11" x14ac:dyDescent="0.25">
      <c r="A4277" t="s">
        <v>604</v>
      </c>
      <c r="B4277" t="s">
        <v>605</v>
      </c>
      <c r="C4277" t="s">
        <v>50</v>
      </c>
      <c r="D4277" s="6">
        <v>45923</v>
      </c>
      <c r="E4277" t="str">
        <f>VLOOKUP(B4277,'PROCV GERENTES BD'!A:B,2,0)</f>
        <v>ALISSON DE SOUZA LIMA</v>
      </c>
      <c r="F4277" s="4" t="str">
        <f t="shared" si="396"/>
        <v>2025-09</v>
      </c>
      <c r="G4277" s="18">
        <f t="shared" si="397"/>
        <v>39</v>
      </c>
      <c r="H4277" t="str">
        <f t="shared" si="398"/>
        <v>ALISSON DE SOUZA LIMA</v>
      </c>
      <c r="I4277" t="str">
        <f t="shared" si="399"/>
        <v>3J FUNDICAO INDUSTRIAL LTDA</v>
      </c>
      <c r="J4277">
        <f t="shared" si="400"/>
        <v>0</v>
      </c>
      <c r="K4277">
        <f t="shared" si="401"/>
        <v>1</v>
      </c>
    </row>
    <row r="4278" spans="1:11" x14ac:dyDescent="0.25">
      <c r="A4278" t="s">
        <v>521</v>
      </c>
      <c r="B4278" t="s">
        <v>286</v>
      </c>
      <c r="C4278" t="s">
        <v>50</v>
      </c>
      <c r="D4278" s="6">
        <v>45923</v>
      </c>
      <c r="E4278" t="str">
        <f>VLOOKUP(B4278,'PROCV GERENTES BD'!A:B,2,0)</f>
        <v>CELIO PIMENTA</v>
      </c>
      <c r="F4278" s="4" t="str">
        <f t="shared" si="396"/>
        <v>2025-09</v>
      </c>
      <c r="G4278" s="18">
        <f t="shared" si="397"/>
        <v>39</v>
      </c>
      <c r="H4278" t="str">
        <f t="shared" si="398"/>
        <v>CELIO PIMENTA</v>
      </c>
      <c r="I4278" t="str">
        <f t="shared" si="399"/>
        <v>LINGERIE E CIA LTDA ME</v>
      </c>
      <c r="J4278">
        <f t="shared" si="400"/>
        <v>0</v>
      </c>
      <c r="K4278">
        <f t="shared" si="401"/>
        <v>1</v>
      </c>
    </row>
    <row r="4279" spans="1:11" x14ac:dyDescent="0.25">
      <c r="A4279" t="s">
        <v>372</v>
      </c>
      <c r="B4279" t="s">
        <v>116</v>
      </c>
      <c r="C4279" t="s">
        <v>50</v>
      </c>
      <c r="D4279" s="6">
        <v>45923</v>
      </c>
      <c r="E4279" t="str">
        <f>VLOOKUP(B4279,'PROCV GERENTES BD'!A:B,2,0)</f>
        <v>ADMINISTRAÇÃO</v>
      </c>
      <c r="F4279" s="4" t="str">
        <f t="shared" si="396"/>
        <v>2025-09</v>
      </c>
      <c r="G4279" s="18">
        <f t="shared" si="397"/>
        <v>39</v>
      </c>
      <c r="H4279" t="str">
        <f t="shared" si="398"/>
        <v>ADMINISTRAÇÃO</v>
      </c>
      <c r="I4279" t="str">
        <f t="shared" si="399"/>
        <v>PREMOLDADOS MATOSINHOS LTDA EPP</v>
      </c>
      <c r="J4279">
        <f t="shared" si="400"/>
        <v>0</v>
      </c>
      <c r="K4279">
        <f t="shared" si="401"/>
        <v>1</v>
      </c>
    </row>
    <row r="4280" spans="1:11" x14ac:dyDescent="0.25">
      <c r="A4280" t="s">
        <v>501</v>
      </c>
      <c r="B4280" t="s">
        <v>260</v>
      </c>
      <c r="C4280" t="s">
        <v>50</v>
      </c>
      <c r="D4280" s="6">
        <v>45923</v>
      </c>
      <c r="E4280" t="str">
        <f>VLOOKUP(B4280,'PROCV GERENTES BD'!A:B,2,0)</f>
        <v>PROSPECTAR</v>
      </c>
      <c r="F4280" s="4" t="str">
        <f t="shared" si="396"/>
        <v>2025-09</v>
      </c>
      <c r="G4280" s="18">
        <f t="shared" si="397"/>
        <v>39</v>
      </c>
      <c r="H4280" t="str">
        <f t="shared" si="398"/>
        <v>PROSPECTAR</v>
      </c>
      <c r="I4280" t="str">
        <f t="shared" si="399"/>
        <v>ENGREMAT ENG PROJETO MANUTENCAO INSPECAO MONTAGENS</v>
      </c>
      <c r="J4280">
        <f t="shared" si="400"/>
        <v>0</v>
      </c>
      <c r="K4280">
        <f t="shared" si="401"/>
        <v>1</v>
      </c>
    </row>
    <row r="4281" spans="1:11" x14ac:dyDescent="0.25">
      <c r="A4281" t="s">
        <v>56</v>
      </c>
      <c r="B4281" t="s">
        <v>57</v>
      </c>
      <c r="C4281" t="s">
        <v>53</v>
      </c>
      <c r="D4281" s="6">
        <v>45923</v>
      </c>
      <c r="E4281" t="str">
        <f>VLOOKUP(B4281,'PROCV GERENTES BD'!A:B,2,0)</f>
        <v xml:space="preserve">ROGERIO </v>
      </c>
      <c r="F4281" s="4" t="str">
        <f t="shared" si="396"/>
        <v>2025-09</v>
      </c>
      <c r="G4281" s="18">
        <f t="shared" si="397"/>
        <v>39</v>
      </c>
      <c r="H4281" t="str">
        <f t="shared" si="398"/>
        <v xml:space="preserve">ROGERIO </v>
      </c>
      <c r="I4281" t="str">
        <f t="shared" si="399"/>
        <v>RODOVIEIRA TRANSPORTE LTDA</v>
      </c>
      <c r="J4281">
        <f t="shared" si="400"/>
        <v>1</v>
      </c>
      <c r="K4281">
        <f t="shared" si="401"/>
        <v>1</v>
      </c>
    </row>
    <row r="4282" spans="1:11" x14ac:dyDescent="0.25">
      <c r="A4282" t="s">
        <v>361</v>
      </c>
      <c r="B4282" t="s">
        <v>106</v>
      </c>
      <c r="C4282" t="s">
        <v>50</v>
      </c>
      <c r="D4282" s="6">
        <v>45923</v>
      </c>
      <c r="E4282" t="str">
        <f>VLOOKUP(B4282,'PROCV GERENTES BD'!A:B,2,0)</f>
        <v>PRISCILA METZ</v>
      </c>
      <c r="F4282" s="4" t="str">
        <f t="shared" si="396"/>
        <v>2025-09</v>
      </c>
      <c r="G4282" s="18">
        <f t="shared" si="397"/>
        <v>39</v>
      </c>
      <c r="H4282" t="str">
        <f t="shared" si="398"/>
        <v>PRISCILA METZ</v>
      </c>
      <c r="I4282" t="str">
        <f t="shared" si="399"/>
        <v>HERBAMED LABORATORIO NUTRACEUTICO LTDA</v>
      </c>
      <c r="J4282">
        <f t="shared" si="400"/>
        <v>0</v>
      </c>
      <c r="K4282">
        <f t="shared" si="401"/>
        <v>1</v>
      </c>
    </row>
    <row r="4283" spans="1:11" x14ac:dyDescent="0.25">
      <c r="A4283" t="s">
        <v>668</v>
      </c>
      <c r="B4283" t="s">
        <v>669</v>
      </c>
      <c r="C4283" t="s">
        <v>50</v>
      </c>
      <c r="D4283" s="6">
        <v>45923</v>
      </c>
      <c r="E4283" t="str">
        <f>VLOOKUP(B4283,'PROCV GERENTES BD'!A:B,2,0)</f>
        <v>ADMINISTRAÇÃO</v>
      </c>
      <c r="F4283" s="4" t="str">
        <f t="shared" si="396"/>
        <v>2025-09</v>
      </c>
      <c r="G4283" s="18">
        <f t="shared" si="397"/>
        <v>39</v>
      </c>
      <c r="H4283" t="str">
        <f t="shared" si="398"/>
        <v>ADMINISTRAÇÃO</v>
      </c>
      <c r="I4283" t="str">
        <f t="shared" si="399"/>
        <v>SUPER BULL IMPORTACAO E COMERCIO DE EQUIPAMENTOS L</v>
      </c>
      <c r="J4283">
        <f t="shared" si="400"/>
        <v>0</v>
      </c>
      <c r="K4283">
        <f t="shared" si="401"/>
        <v>1</v>
      </c>
    </row>
    <row r="4284" spans="1:11" x14ac:dyDescent="0.25">
      <c r="A4284" t="s">
        <v>639</v>
      </c>
      <c r="B4284" t="s">
        <v>564</v>
      </c>
      <c r="C4284" t="s">
        <v>50</v>
      </c>
      <c r="D4284" s="6">
        <v>45923</v>
      </c>
      <c r="E4284" t="str">
        <f>VLOOKUP(B4284,'PROCV GERENTES BD'!A:B,2,0)</f>
        <v>CAIO</v>
      </c>
      <c r="F4284" s="4" t="str">
        <f t="shared" si="396"/>
        <v>2025-09</v>
      </c>
      <c r="G4284" s="18">
        <f t="shared" si="397"/>
        <v>39</v>
      </c>
      <c r="H4284" t="str">
        <f t="shared" si="398"/>
        <v>CAIO</v>
      </c>
      <c r="I4284" t="str">
        <f t="shared" si="399"/>
        <v>FRUTABELLA INDUSTRIA E COMERCIO DE ALIMENTOS LTDA</v>
      </c>
      <c r="J4284">
        <f t="shared" si="400"/>
        <v>0</v>
      </c>
      <c r="K4284">
        <f t="shared" si="401"/>
        <v>1</v>
      </c>
    </row>
    <row r="4285" spans="1:11" x14ac:dyDescent="0.25">
      <c r="A4285" t="s">
        <v>387</v>
      </c>
      <c r="B4285" t="s">
        <v>134</v>
      </c>
      <c r="C4285" t="s">
        <v>53</v>
      </c>
      <c r="D4285" s="6">
        <v>45923</v>
      </c>
      <c r="E4285" t="str">
        <f>VLOOKUP(B4285,'PROCV GERENTES BD'!A:B,2,0)</f>
        <v>RAFAEL PARISE</v>
      </c>
      <c r="F4285" s="4" t="str">
        <f t="shared" si="396"/>
        <v>2025-09</v>
      </c>
      <c r="G4285" s="18">
        <f t="shared" si="397"/>
        <v>39</v>
      </c>
      <c r="H4285" t="str">
        <f t="shared" si="398"/>
        <v>RAFAEL PARISE</v>
      </c>
      <c r="I4285" t="str">
        <f t="shared" si="399"/>
        <v>MAIS DISTRIBUIDORA LTDA</v>
      </c>
      <c r="J4285">
        <f t="shared" si="400"/>
        <v>1</v>
      </c>
      <c r="K4285">
        <f t="shared" si="401"/>
        <v>1</v>
      </c>
    </row>
    <row r="4286" spans="1:11" x14ac:dyDescent="0.25">
      <c r="A4286" t="s">
        <v>532</v>
      </c>
      <c r="B4286" t="s">
        <v>300</v>
      </c>
      <c r="C4286" t="s">
        <v>66</v>
      </c>
      <c r="D4286" s="6">
        <v>45923</v>
      </c>
      <c r="E4286" t="str">
        <f>VLOOKUP(B4286,'PROCV GERENTES BD'!A:B,2,0)</f>
        <v>RAFAEL PARISE</v>
      </c>
      <c r="F4286" s="4" t="str">
        <f t="shared" si="396"/>
        <v>2025-09</v>
      </c>
      <c r="G4286" s="18">
        <f t="shared" si="397"/>
        <v>39</v>
      </c>
      <c r="H4286" t="str">
        <f t="shared" si="398"/>
        <v>RAFAEL PARISE</v>
      </c>
      <c r="I4286" t="str">
        <f t="shared" si="399"/>
        <v>MINASPOL INDUSTRIA E COMERCIO DE COMPOSTOS POLIMER</v>
      </c>
      <c r="J4286">
        <f t="shared" si="400"/>
        <v>1</v>
      </c>
      <c r="K4286">
        <f t="shared" si="401"/>
        <v>0</v>
      </c>
    </row>
    <row r="4287" spans="1:11" x14ac:dyDescent="0.25">
      <c r="A4287" t="s">
        <v>660</v>
      </c>
      <c r="B4287" t="s">
        <v>545</v>
      </c>
      <c r="C4287" t="s">
        <v>50</v>
      </c>
      <c r="D4287" s="6">
        <v>45923</v>
      </c>
      <c r="E4287" t="str">
        <f>VLOOKUP(B4287,'PROCV GERENTES BD'!A:B,2,0)</f>
        <v xml:space="preserve">ROGERIO </v>
      </c>
      <c r="F4287" s="4" t="str">
        <f t="shared" si="396"/>
        <v>2025-09</v>
      </c>
      <c r="G4287" s="18">
        <f t="shared" si="397"/>
        <v>39</v>
      </c>
      <c r="H4287" t="str">
        <f t="shared" si="398"/>
        <v xml:space="preserve">ROGERIO </v>
      </c>
      <c r="I4287" t="str">
        <f t="shared" si="399"/>
        <v>DISEP ALIMENTOS LTDA ME</v>
      </c>
      <c r="J4287">
        <f t="shared" si="400"/>
        <v>0</v>
      </c>
      <c r="K4287">
        <f t="shared" si="401"/>
        <v>1</v>
      </c>
    </row>
    <row r="4288" spans="1:11" x14ac:dyDescent="0.25">
      <c r="A4288" t="s">
        <v>524</v>
      </c>
      <c r="B4288" t="s">
        <v>289</v>
      </c>
      <c r="C4288" t="s">
        <v>50</v>
      </c>
      <c r="D4288" s="6">
        <v>45923</v>
      </c>
      <c r="E4288" t="str">
        <f>VLOOKUP(B4288,'PROCV GERENTES BD'!A:B,2,0)</f>
        <v>DALVA</v>
      </c>
      <c r="F4288" s="4" t="str">
        <f t="shared" si="396"/>
        <v>2025-09</v>
      </c>
      <c r="G4288" s="18">
        <f t="shared" si="397"/>
        <v>39</v>
      </c>
      <c r="H4288" t="str">
        <f t="shared" si="398"/>
        <v>DALVA</v>
      </c>
      <c r="I4288" t="str">
        <f t="shared" si="399"/>
        <v>FRAITECH INTELIGENCIA EM AUTOMACAO LTDA</v>
      </c>
      <c r="J4288">
        <f t="shared" si="400"/>
        <v>0</v>
      </c>
      <c r="K4288">
        <f t="shared" si="401"/>
        <v>1</v>
      </c>
    </row>
    <row r="4289" spans="1:11" x14ac:dyDescent="0.25">
      <c r="A4289" t="s">
        <v>656</v>
      </c>
      <c r="B4289" t="s">
        <v>657</v>
      </c>
      <c r="C4289" t="s">
        <v>50</v>
      </c>
      <c r="D4289" s="6">
        <v>45923</v>
      </c>
      <c r="E4289" t="str">
        <f>VLOOKUP(B4289,'PROCV GERENTES BD'!A:B,2,0)</f>
        <v>ADMINISTRAÇÃO</v>
      </c>
      <c r="F4289" s="4" t="str">
        <f t="shared" si="396"/>
        <v>2025-09</v>
      </c>
      <c r="G4289" s="18">
        <f t="shared" si="397"/>
        <v>39</v>
      </c>
      <c r="H4289" t="str">
        <f t="shared" si="398"/>
        <v>ADMINISTRAÇÃO</v>
      </c>
      <c r="I4289" t="str">
        <f t="shared" si="399"/>
        <v>NCBA INTERMEDIACAO LTDA ME</v>
      </c>
      <c r="J4289">
        <f t="shared" si="400"/>
        <v>0</v>
      </c>
      <c r="K4289">
        <f t="shared" si="401"/>
        <v>1</v>
      </c>
    </row>
    <row r="4290" spans="1:11" x14ac:dyDescent="0.25">
      <c r="A4290" t="s">
        <v>523</v>
      </c>
      <c r="B4290" t="s">
        <v>288</v>
      </c>
      <c r="C4290" t="s">
        <v>53</v>
      </c>
      <c r="D4290" s="6">
        <v>45923</v>
      </c>
      <c r="E4290" t="str">
        <f>VLOOKUP(B4290,'PROCV GERENTES BD'!A:B,2,0)</f>
        <v>ADMINISTRAÇÃO</v>
      </c>
      <c r="F4290" s="4" t="str">
        <f t="shared" ref="F4290:F4353" si="402">YEAR(D4290)&amp;"-"&amp;TEXT(MONTH(D4290),"00")</f>
        <v>2025-09</v>
      </c>
      <c r="G4290" s="18">
        <f t="shared" ref="G4290:G4353" si="403">WEEKNUM(D4290)</f>
        <v>39</v>
      </c>
      <c r="H4290" t="str">
        <f t="shared" ref="H4290:H4353" si="404">E4290</f>
        <v>ADMINISTRAÇÃO</v>
      </c>
      <c r="I4290" t="str">
        <f t="shared" ref="I4290:I4353" si="405">B4290</f>
        <v>REFRACONT BRASIL LTDA</v>
      </c>
      <c r="J4290">
        <f t="shared" ref="J4290:J4353" si="406">IF(OR(C4290="EXCLUSAO  ANOT.INADIMPLENCIA",C4290="INCL/EXCL ANOT.INADIMPLENCIA"),1,0)</f>
        <v>1</v>
      </c>
      <c r="K4290">
        <f t="shared" ref="K4290:K4353" si="407">IF(OR(C4290="INCLUSAO  ANOT.INADIMPLENCIA",C4290="INCL/EXCL ANOT.INADIMPLENCIA"),1,0)</f>
        <v>1</v>
      </c>
    </row>
    <row r="4291" spans="1:11" x14ac:dyDescent="0.25">
      <c r="A4291" t="s">
        <v>304</v>
      </c>
      <c r="B4291" t="s">
        <v>123</v>
      </c>
      <c r="C4291" t="s">
        <v>50</v>
      </c>
      <c r="D4291" s="6">
        <v>45923</v>
      </c>
      <c r="E4291" t="str">
        <f>VLOOKUP(B4291,'PROCV GERENTES BD'!A:B,2,0)</f>
        <v>ADMINISTRAÇÃO</v>
      </c>
      <c r="F4291" s="4" t="str">
        <f t="shared" si="402"/>
        <v>2025-09</v>
      </c>
      <c r="G4291" s="18">
        <f t="shared" si="403"/>
        <v>39</v>
      </c>
      <c r="H4291" t="str">
        <f t="shared" si="404"/>
        <v>ADMINISTRAÇÃO</v>
      </c>
      <c r="I4291" t="str">
        <f t="shared" si="405"/>
        <v>VIC LOGISTICA LTDA EM RECUPERACAO JUDICIAL</v>
      </c>
      <c r="J4291">
        <f t="shared" si="406"/>
        <v>0</v>
      </c>
      <c r="K4291">
        <f t="shared" si="407"/>
        <v>1</v>
      </c>
    </row>
    <row r="4292" spans="1:11" x14ac:dyDescent="0.25">
      <c r="A4292" t="s">
        <v>58</v>
      </c>
      <c r="B4292" t="s">
        <v>59</v>
      </c>
      <c r="C4292" t="s">
        <v>50</v>
      </c>
      <c r="D4292" s="6">
        <v>45923</v>
      </c>
      <c r="E4292" t="str">
        <f>VLOOKUP(B4292,'PROCV GERENTES BD'!A:B,2,0)</f>
        <v>ADMINISTRAÇÃO</v>
      </c>
      <c r="F4292" s="4" t="str">
        <f t="shared" si="402"/>
        <v>2025-09</v>
      </c>
      <c r="G4292" s="18">
        <f t="shared" si="403"/>
        <v>39</v>
      </c>
      <c r="H4292" t="str">
        <f t="shared" si="404"/>
        <v>ADMINISTRAÇÃO</v>
      </c>
      <c r="I4292" t="str">
        <f t="shared" si="405"/>
        <v>BIOTECH LOGISTICA LTDA</v>
      </c>
      <c r="J4292">
        <f t="shared" si="406"/>
        <v>0</v>
      </c>
      <c r="K4292">
        <f t="shared" si="407"/>
        <v>1</v>
      </c>
    </row>
    <row r="4293" spans="1:11" x14ac:dyDescent="0.25">
      <c r="A4293" t="s">
        <v>510</v>
      </c>
      <c r="B4293" t="s">
        <v>273</v>
      </c>
      <c r="C4293" t="s">
        <v>50</v>
      </c>
      <c r="D4293" s="6">
        <v>45923</v>
      </c>
      <c r="E4293" t="str">
        <f>VLOOKUP(B4293,'PROCV GERENTES BD'!A:B,2,0)</f>
        <v>CELIO PIMENTA</v>
      </c>
      <c r="F4293" s="4" t="str">
        <f t="shared" si="402"/>
        <v>2025-09</v>
      </c>
      <c r="G4293" s="18">
        <f t="shared" si="403"/>
        <v>39</v>
      </c>
      <c r="H4293" t="str">
        <f t="shared" si="404"/>
        <v>CELIO PIMENTA</v>
      </c>
      <c r="I4293" t="str">
        <f t="shared" si="405"/>
        <v>PRADO MOREIRA TEXTIL LTDA ME</v>
      </c>
      <c r="J4293">
        <f t="shared" si="406"/>
        <v>0</v>
      </c>
      <c r="K4293">
        <f t="shared" si="407"/>
        <v>1</v>
      </c>
    </row>
    <row r="4294" spans="1:11" x14ac:dyDescent="0.25">
      <c r="A4294" t="s">
        <v>522</v>
      </c>
      <c r="B4294" t="s">
        <v>290</v>
      </c>
      <c r="C4294" t="s">
        <v>50</v>
      </c>
      <c r="D4294" s="6">
        <v>45924</v>
      </c>
      <c r="E4294" t="str">
        <f>VLOOKUP(B4294,'PROCV GERENTES BD'!A:B,2,0)</f>
        <v>CAIO</v>
      </c>
      <c r="F4294" s="4" t="str">
        <f t="shared" si="402"/>
        <v>2025-09</v>
      </c>
      <c r="G4294" s="18">
        <f t="shared" si="403"/>
        <v>39</v>
      </c>
      <c r="H4294" t="str">
        <f t="shared" si="404"/>
        <v>CAIO</v>
      </c>
      <c r="I4294" t="str">
        <f t="shared" si="405"/>
        <v>C V T O IND E COM LTDA EPP</v>
      </c>
      <c r="J4294">
        <f t="shared" si="406"/>
        <v>0</v>
      </c>
      <c r="K4294">
        <f t="shared" si="407"/>
        <v>1</v>
      </c>
    </row>
    <row r="4295" spans="1:11" x14ac:dyDescent="0.25">
      <c r="A4295" t="s">
        <v>460</v>
      </c>
      <c r="B4295" t="s">
        <v>217</v>
      </c>
      <c r="C4295" t="s">
        <v>50</v>
      </c>
      <c r="D4295" s="6">
        <v>45924</v>
      </c>
      <c r="E4295" t="str">
        <f>VLOOKUP(B4295,'PROCV GERENTES BD'!A:B,2,0)</f>
        <v>CELIO PIMENTA</v>
      </c>
      <c r="F4295" s="4" t="str">
        <f t="shared" si="402"/>
        <v>2025-09</v>
      </c>
      <c r="G4295" s="18">
        <f t="shared" si="403"/>
        <v>39</v>
      </c>
      <c r="H4295" t="str">
        <f t="shared" si="404"/>
        <v>CELIO PIMENTA</v>
      </c>
      <c r="I4295" t="str">
        <f t="shared" si="405"/>
        <v>MINAS CLEAN DISTRIBUIDORA DE PRODUTOS PARA LIMPEZA</v>
      </c>
      <c r="J4295">
        <f t="shared" si="406"/>
        <v>0</v>
      </c>
      <c r="K4295">
        <f t="shared" si="407"/>
        <v>1</v>
      </c>
    </row>
    <row r="4296" spans="1:11" x14ac:dyDescent="0.25">
      <c r="A4296" t="s">
        <v>508</v>
      </c>
      <c r="B4296" t="s">
        <v>271</v>
      </c>
      <c r="C4296" t="s">
        <v>50</v>
      </c>
      <c r="D4296" s="6">
        <v>45924</v>
      </c>
      <c r="E4296" t="str">
        <f>VLOOKUP(B4296,'PROCV GERENTES BD'!A:B,2,0)</f>
        <v>PRISCILA METZ</v>
      </c>
      <c r="F4296" s="4" t="str">
        <f t="shared" si="402"/>
        <v>2025-09</v>
      </c>
      <c r="G4296" s="18">
        <f t="shared" si="403"/>
        <v>39</v>
      </c>
      <c r="H4296" t="str">
        <f t="shared" si="404"/>
        <v>PRISCILA METZ</v>
      </c>
      <c r="I4296" t="str">
        <f t="shared" si="405"/>
        <v>TUBOLARES VITORIA INDUSTRIA E COMERCIO LTDA ME</v>
      </c>
      <c r="J4296">
        <f t="shared" si="406"/>
        <v>0</v>
      </c>
      <c r="K4296">
        <f t="shared" si="407"/>
        <v>1</v>
      </c>
    </row>
    <row r="4297" spans="1:11" x14ac:dyDescent="0.25">
      <c r="A4297" t="s">
        <v>667</v>
      </c>
      <c r="B4297" t="s">
        <v>560</v>
      </c>
      <c r="C4297" t="s">
        <v>50</v>
      </c>
      <c r="D4297" s="6">
        <v>45924</v>
      </c>
      <c r="E4297" t="str">
        <f>VLOOKUP(B4297,'PROCV GERENTES BD'!A:B,2,0)</f>
        <v>ALISSON DE SOUZA LIMA</v>
      </c>
      <c r="F4297" s="4" t="str">
        <f t="shared" si="402"/>
        <v>2025-09</v>
      </c>
      <c r="G4297" s="18">
        <f t="shared" si="403"/>
        <v>39</v>
      </c>
      <c r="H4297" t="str">
        <f t="shared" si="404"/>
        <v>ALISSON DE SOUZA LIMA</v>
      </c>
      <c r="I4297" t="str">
        <f t="shared" si="405"/>
        <v>JRG SOLUCOES EM SERVICOS LTDA ME</v>
      </c>
      <c r="J4297">
        <f t="shared" si="406"/>
        <v>0</v>
      </c>
      <c r="K4297">
        <f t="shared" si="407"/>
        <v>1</v>
      </c>
    </row>
    <row r="4298" spans="1:11" x14ac:dyDescent="0.25">
      <c r="A4298" t="s">
        <v>314</v>
      </c>
      <c r="B4298" t="s">
        <v>246</v>
      </c>
      <c r="C4298" t="s">
        <v>50</v>
      </c>
      <c r="D4298" s="6">
        <v>45924</v>
      </c>
      <c r="E4298" t="str">
        <f>VLOOKUP(B4298,'PROCV GERENTES BD'!A:B,2,0)</f>
        <v xml:space="preserve">ROGERIO </v>
      </c>
      <c r="F4298" s="4" t="str">
        <f t="shared" si="402"/>
        <v>2025-09</v>
      </c>
      <c r="G4298" s="18">
        <f t="shared" si="403"/>
        <v>39</v>
      </c>
      <c r="H4298" t="str">
        <f t="shared" si="404"/>
        <v xml:space="preserve">ROGERIO </v>
      </c>
      <c r="I4298" t="str">
        <f t="shared" si="405"/>
        <v>MUTCD CENTRO DE DISTRIBUICAO DE IND FABRICANTE DE</v>
      </c>
      <c r="J4298">
        <f t="shared" si="406"/>
        <v>0</v>
      </c>
      <c r="K4298">
        <f t="shared" si="407"/>
        <v>1</v>
      </c>
    </row>
    <row r="4299" spans="1:11" x14ac:dyDescent="0.25">
      <c r="A4299" t="s">
        <v>431</v>
      </c>
      <c r="B4299" t="s">
        <v>196</v>
      </c>
      <c r="C4299" t="s">
        <v>50</v>
      </c>
      <c r="D4299" s="6">
        <v>45924</v>
      </c>
      <c r="E4299" t="str">
        <f>VLOOKUP(B4299,'PROCV GERENTES BD'!A:B,2,0)</f>
        <v xml:space="preserve">ROGERIO </v>
      </c>
      <c r="F4299" s="4" t="str">
        <f t="shared" si="402"/>
        <v>2025-09</v>
      </c>
      <c r="G4299" s="18">
        <f t="shared" si="403"/>
        <v>39</v>
      </c>
      <c r="H4299" t="str">
        <f t="shared" si="404"/>
        <v xml:space="preserve">ROGERIO </v>
      </c>
      <c r="I4299" t="str">
        <f t="shared" si="405"/>
        <v>GRF JEANS WEAR LTDA EPP</v>
      </c>
      <c r="J4299">
        <f t="shared" si="406"/>
        <v>0</v>
      </c>
      <c r="K4299">
        <f t="shared" si="407"/>
        <v>1</v>
      </c>
    </row>
    <row r="4300" spans="1:11" x14ac:dyDescent="0.25">
      <c r="A4300" t="s">
        <v>610</v>
      </c>
      <c r="B4300" t="s">
        <v>611</v>
      </c>
      <c r="C4300" t="s">
        <v>50</v>
      </c>
      <c r="D4300" s="6">
        <v>45924</v>
      </c>
      <c r="E4300" t="str">
        <f>VLOOKUP(B4300,'PROCV GERENTES BD'!A:B,2,0)</f>
        <v>TIAGO NEVES</v>
      </c>
      <c r="F4300" s="4" t="str">
        <f t="shared" si="402"/>
        <v>2025-09</v>
      </c>
      <c r="G4300" s="18">
        <f t="shared" si="403"/>
        <v>39</v>
      </c>
      <c r="H4300" t="str">
        <f t="shared" si="404"/>
        <v>TIAGO NEVES</v>
      </c>
      <c r="I4300" t="str">
        <f t="shared" si="405"/>
        <v>TRATOR GLASS LTDA ME</v>
      </c>
      <c r="J4300">
        <f t="shared" si="406"/>
        <v>0</v>
      </c>
      <c r="K4300">
        <f t="shared" si="407"/>
        <v>1</v>
      </c>
    </row>
    <row r="4301" spans="1:11" x14ac:dyDescent="0.25">
      <c r="A4301" t="s">
        <v>488</v>
      </c>
      <c r="B4301" t="s">
        <v>247</v>
      </c>
      <c r="C4301" t="s">
        <v>50</v>
      </c>
      <c r="D4301" s="6">
        <v>45924</v>
      </c>
      <c r="E4301" t="str">
        <f>VLOOKUP(B4301,'PROCV GERENTES BD'!A:B,2,0)</f>
        <v>CELIO PIMENTA</v>
      </c>
      <c r="F4301" s="4" t="str">
        <f t="shared" si="402"/>
        <v>2025-09</v>
      </c>
      <c r="G4301" s="18">
        <f t="shared" si="403"/>
        <v>39</v>
      </c>
      <c r="H4301" t="str">
        <f t="shared" si="404"/>
        <v>CELIO PIMENTA</v>
      </c>
      <c r="I4301" t="str">
        <f t="shared" si="405"/>
        <v>AZ HIDRAULICA USINAGEM LTDA EPP</v>
      </c>
      <c r="J4301">
        <f t="shared" si="406"/>
        <v>0</v>
      </c>
      <c r="K4301">
        <f t="shared" si="407"/>
        <v>1</v>
      </c>
    </row>
    <row r="4302" spans="1:11" x14ac:dyDescent="0.25">
      <c r="A4302" t="s">
        <v>661</v>
      </c>
      <c r="B4302" t="s">
        <v>662</v>
      </c>
      <c r="C4302" t="s">
        <v>50</v>
      </c>
      <c r="D4302" s="6">
        <v>45924</v>
      </c>
      <c r="E4302" t="str">
        <f>VLOOKUP(B4302,'PROCV GERENTES BD'!A:B,2,0)</f>
        <v>PRISCILA METZ</v>
      </c>
      <c r="F4302" s="4" t="str">
        <f t="shared" si="402"/>
        <v>2025-09</v>
      </c>
      <c r="G4302" s="18">
        <f t="shared" si="403"/>
        <v>39</v>
      </c>
      <c r="H4302" t="str">
        <f t="shared" si="404"/>
        <v>PRISCILA METZ</v>
      </c>
      <c r="I4302" t="str">
        <f t="shared" si="405"/>
        <v>LIDER DISTRIBUIDORA DE MOVEIS E EQUIPAMENTOS PARA</v>
      </c>
      <c r="J4302">
        <f t="shared" si="406"/>
        <v>0</v>
      </c>
      <c r="K4302">
        <f t="shared" si="407"/>
        <v>1</v>
      </c>
    </row>
    <row r="4303" spans="1:11" x14ac:dyDescent="0.25">
      <c r="A4303" t="s">
        <v>450</v>
      </c>
      <c r="B4303" t="s">
        <v>207</v>
      </c>
      <c r="C4303" t="s">
        <v>66</v>
      </c>
      <c r="D4303" s="6">
        <v>45924</v>
      </c>
      <c r="E4303" t="str">
        <f>VLOOKUP(B4303,'PROCV GERENTES BD'!A:B,2,0)</f>
        <v>CELIO PIMENTA</v>
      </c>
      <c r="F4303" s="4" t="str">
        <f t="shared" si="402"/>
        <v>2025-09</v>
      </c>
      <c r="G4303" s="18">
        <f t="shared" si="403"/>
        <v>39</v>
      </c>
      <c r="H4303" t="str">
        <f t="shared" si="404"/>
        <v>CELIO PIMENTA</v>
      </c>
      <c r="I4303" t="str">
        <f t="shared" si="405"/>
        <v>LIDER COMERCIO DE UNIFORMES E EPI S LTDA ME</v>
      </c>
      <c r="J4303">
        <f t="shared" si="406"/>
        <v>1</v>
      </c>
      <c r="K4303">
        <f t="shared" si="407"/>
        <v>0</v>
      </c>
    </row>
    <row r="4304" spans="1:11" x14ac:dyDescent="0.25">
      <c r="A4304" t="s">
        <v>630</v>
      </c>
      <c r="B4304" t="s">
        <v>559</v>
      </c>
      <c r="C4304" t="s">
        <v>53</v>
      </c>
      <c r="D4304" s="6">
        <v>45924</v>
      </c>
      <c r="E4304" t="str">
        <f>VLOOKUP(B4304,'PROCV GERENTES BD'!A:B,2,0)</f>
        <v>ALISSON DE SOUZA LIMA</v>
      </c>
      <c r="F4304" s="4" t="str">
        <f t="shared" si="402"/>
        <v>2025-09</v>
      </c>
      <c r="G4304" s="18">
        <f t="shared" si="403"/>
        <v>39</v>
      </c>
      <c r="H4304" t="str">
        <f t="shared" si="404"/>
        <v>ALISSON DE SOUZA LIMA</v>
      </c>
      <c r="I4304" t="str">
        <f t="shared" si="405"/>
        <v>JRG SOLUCOES INDUSTRIAIS LTDA</v>
      </c>
      <c r="J4304">
        <f t="shared" si="406"/>
        <v>1</v>
      </c>
      <c r="K4304">
        <f t="shared" si="407"/>
        <v>1</v>
      </c>
    </row>
    <row r="4305" spans="1:11" x14ac:dyDescent="0.25">
      <c r="A4305" t="s">
        <v>601</v>
      </c>
      <c r="B4305" t="s">
        <v>552</v>
      </c>
      <c r="C4305" t="s">
        <v>50</v>
      </c>
      <c r="D4305" s="6">
        <v>45924</v>
      </c>
      <c r="E4305" t="str">
        <f>VLOOKUP(B4305,'PROCV GERENTES BD'!A:B,2,0)</f>
        <v>DALVA</v>
      </c>
      <c r="F4305" s="4" t="str">
        <f t="shared" si="402"/>
        <v>2025-09</v>
      </c>
      <c r="G4305" s="18">
        <f t="shared" si="403"/>
        <v>39</v>
      </c>
      <c r="H4305" t="str">
        <f t="shared" si="404"/>
        <v>DALVA</v>
      </c>
      <c r="I4305" t="str">
        <f t="shared" si="405"/>
        <v>NOVA CALDERARIA MONTAGEM LTDA EPP</v>
      </c>
      <c r="J4305">
        <f t="shared" si="406"/>
        <v>0</v>
      </c>
      <c r="K4305">
        <f t="shared" si="407"/>
        <v>1</v>
      </c>
    </row>
    <row r="4306" spans="1:11" x14ac:dyDescent="0.25">
      <c r="A4306" t="s">
        <v>64</v>
      </c>
      <c r="B4306" t="s">
        <v>65</v>
      </c>
      <c r="C4306" t="s">
        <v>50</v>
      </c>
      <c r="D4306" s="6">
        <v>45924</v>
      </c>
      <c r="E4306" t="str">
        <f>VLOOKUP(B4306,'PROCV GERENTES BD'!A:B,2,0)</f>
        <v>ADMINISTRAÇÃO</v>
      </c>
      <c r="F4306" s="4" t="str">
        <f t="shared" si="402"/>
        <v>2025-09</v>
      </c>
      <c r="G4306" s="18">
        <f t="shared" si="403"/>
        <v>39</v>
      </c>
      <c r="H4306" t="str">
        <f t="shared" si="404"/>
        <v>ADMINISTRAÇÃO</v>
      </c>
      <c r="I4306" t="str">
        <f t="shared" si="405"/>
        <v>SOCIAL S/A</v>
      </c>
      <c r="J4306">
        <f t="shared" si="406"/>
        <v>0</v>
      </c>
      <c r="K4306">
        <f t="shared" si="407"/>
        <v>1</v>
      </c>
    </row>
    <row r="4307" spans="1:11" x14ac:dyDescent="0.25">
      <c r="A4307" t="s">
        <v>62</v>
      </c>
      <c r="B4307" t="s">
        <v>63</v>
      </c>
      <c r="C4307" t="s">
        <v>50</v>
      </c>
      <c r="D4307" s="6">
        <v>45924</v>
      </c>
      <c r="E4307" t="str">
        <f>VLOOKUP(B4307,'PROCV GERENTES BD'!A:B,2,0)</f>
        <v>PROSPECTAR</v>
      </c>
      <c r="F4307" s="4" t="str">
        <f t="shared" si="402"/>
        <v>2025-09</v>
      </c>
      <c r="G4307" s="18">
        <f t="shared" si="403"/>
        <v>39</v>
      </c>
      <c r="H4307" t="str">
        <f t="shared" si="404"/>
        <v>PROSPECTAR</v>
      </c>
      <c r="I4307" t="str">
        <f t="shared" si="405"/>
        <v>MAPP COM IMPORTACAO EXPORTACAO IND PRODUTOS ALIMEN</v>
      </c>
      <c r="J4307">
        <f t="shared" si="406"/>
        <v>0</v>
      </c>
      <c r="K4307">
        <f t="shared" si="407"/>
        <v>1</v>
      </c>
    </row>
    <row r="4308" spans="1:11" x14ac:dyDescent="0.25">
      <c r="A4308" t="s">
        <v>499</v>
      </c>
      <c r="B4308" t="s">
        <v>258</v>
      </c>
      <c r="C4308" t="s">
        <v>50</v>
      </c>
      <c r="D4308" s="6">
        <v>45924</v>
      </c>
      <c r="E4308" t="str">
        <f>VLOOKUP(B4308,'PROCV GERENTES BD'!A:B,2,0)</f>
        <v>PRISCILA METZ</v>
      </c>
      <c r="F4308" s="4" t="str">
        <f t="shared" si="402"/>
        <v>2025-09</v>
      </c>
      <c r="G4308" s="18">
        <f t="shared" si="403"/>
        <v>39</v>
      </c>
      <c r="H4308" t="str">
        <f t="shared" si="404"/>
        <v>PRISCILA METZ</v>
      </c>
      <c r="I4308" t="str">
        <f t="shared" si="405"/>
        <v>PLATINUM INDUSTRIA DE CONFECCOES LTDA</v>
      </c>
      <c r="J4308">
        <f t="shared" si="406"/>
        <v>0</v>
      </c>
      <c r="K4308">
        <f t="shared" si="407"/>
        <v>1</v>
      </c>
    </row>
    <row r="4309" spans="1:11" x14ac:dyDescent="0.25">
      <c r="A4309" t="s">
        <v>604</v>
      </c>
      <c r="B4309" t="s">
        <v>605</v>
      </c>
      <c r="C4309" t="s">
        <v>50</v>
      </c>
      <c r="D4309" s="6">
        <v>45924</v>
      </c>
      <c r="E4309" t="str">
        <f>VLOOKUP(B4309,'PROCV GERENTES BD'!A:B,2,0)</f>
        <v>ALISSON DE SOUZA LIMA</v>
      </c>
      <c r="F4309" s="4" t="str">
        <f t="shared" si="402"/>
        <v>2025-09</v>
      </c>
      <c r="G4309" s="18">
        <f t="shared" si="403"/>
        <v>39</v>
      </c>
      <c r="H4309" t="str">
        <f t="shared" si="404"/>
        <v>ALISSON DE SOUZA LIMA</v>
      </c>
      <c r="I4309" t="str">
        <f t="shared" si="405"/>
        <v>3J FUNDICAO INDUSTRIAL LTDA</v>
      </c>
      <c r="J4309">
        <f t="shared" si="406"/>
        <v>0</v>
      </c>
      <c r="K4309">
        <f t="shared" si="407"/>
        <v>1</v>
      </c>
    </row>
    <row r="4310" spans="1:11" x14ac:dyDescent="0.25">
      <c r="A4310" t="s">
        <v>58</v>
      </c>
      <c r="B4310" t="s">
        <v>59</v>
      </c>
      <c r="C4310" t="s">
        <v>50</v>
      </c>
      <c r="D4310" s="6">
        <v>45924</v>
      </c>
      <c r="E4310" t="str">
        <f>VLOOKUP(B4310,'PROCV GERENTES BD'!A:B,2,0)</f>
        <v>ADMINISTRAÇÃO</v>
      </c>
      <c r="F4310" s="4" t="str">
        <f t="shared" si="402"/>
        <v>2025-09</v>
      </c>
      <c r="G4310" s="18">
        <f t="shared" si="403"/>
        <v>39</v>
      </c>
      <c r="H4310" t="str">
        <f t="shared" si="404"/>
        <v>ADMINISTRAÇÃO</v>
      </c>
      <c r="I4310" t="str">
        <f t="shared" si="405"/>
        <v>BIOTECH LOGISTICA LTDA</v>
      </c>
      <c r="J4310">
        <f t="shared" si="406"/>
        <v>0</v>
      </c>
      <c r="K4310">
        <f t="shared" si="407"/>
        <v>1</v>
      </c>
    </row>
    <row r="4311" spans="1:11" x14ac:dyDescent="0.25">
      <c r="A4311" t="s">
        <v>361</v>
      </c>
      <c r="B4311" t="s">
        <v>106</v>
      </c>
      <c r="C4311" t="s">
        <v>50</v>
      </c>
      <c r="D4311" s="6">
        <v>45924</v>
      </c>
      <c r="E4311" t="str">
        <f>VLOOKUP(B4311,'PROCV GERENTES BD'!A:B,2,0)</f>
        <v>PRISCILA METZ</v>
      </c>
      <c r="F4311" s="4" t="str">
        <f t="shared" si="402"/>
        <v>2025-09</v>
      </c>
      <c r="G4311" s="18">
        <f t="shared" si="403"/>
        <v>39</v>
      </c>
      <c r="H4311" t="str">
        <f t="shared" si="404"/>
        <v>PRISCILA METZ</v>
      </c>
      <c r="I4311" t="str">
        <f t="shared" si="405"/>
        <v>HERBAMED LABORATORIO NUTRACEUTICO LTDA</v>
      </c>
      <c r="J4311">
        <f t="shared" si="406"/>
        <v>0</v>
      </c>
      <c r="K4311">
        <f t="shared" si="407"/>
        <v>1</v>
      </c>
    </row>
    <row r="4312" spans="1:11" x14ac:dyDescent="0.25">
      <c r="A4312" t="s">
        <v>387</v>
      </c>
      <c r="B4312" t="s">
        <v>134</v>
      </c>
      <c r="C4312" t="s">
        <v>50</v>
      </c>
      <c r="D4312" s="6">
        <v>45924</v>
      </c>
      <c r="E4312" t="str">
        <f>VLOOKUP(B4312,'PROCV GERENTES BD'!A:B,2,0)</f>
        <v>RAFAEL PARISE</v>
      </c>
      <c r="F4312" s="4" t="str">
        <f t="shared" si="402"/>
        <v>2025-09</v>
      </c>
      <c r="G4312" s="18">
        <f t="shared" si="403"/>
        <v>39</v>
      </c>
      <c r="H4312" t="str">
        <f t="shared" si="404"/>
        <v>RAFAEL PARISE</v>
      </c>
      <c r="I4312" t="str">
        <f t="shared" si="405"/>
        <v>MAIS DISTRIBUIDORA LTDA</v>
      </c>
      <c r="J4312">
        <f t="shared" si="406"/>
        <v>0</v>
      </c>
      <c r="K4312">
        <f t="shared" si="407"/>
        <v>1</v>
      </c>
    </row>
    <row r="4313" spans="1:11" x14ac:dyDescent="0.25">
      <c r="A4313" t="s">
        <v>532</v>
      </c>
      <c r="B4313" t="s">
        <v>300</v>
      </c>
      <c r="C4313" t="s">
        <v>50</v>
      </c>
      <c r="D4313" s="6">
        <v>45924</v>
      </c>
      <c r="E4313" t="str">
        <f>VLOOKUP(B4313,'PROCV GERENTES BD'!A:B,2,0)</f>
        <v>RAFAEL PARISE</v>
      </c>
      <c r="F4313" s="4" t="str">
        <f t="shared" si="402"/>
        <v>2025-09</v>
      </c>
      <c r="G4313" s="18">
        <f t="shared" si="403"/>
        <v>39</v>
      </c>
      <c r="H4313" t="str">
        <f t="shared" si="404"/>
        <v>RAFAEL PARISE</v>
      </c>
      <c r="I4313" t="str">
        <f t="shared" si="405"/>
        <v>MINASPOL INDUSTRIA E COMERCIO DE COMPOSTOS POLIMER</v>
      </c>
      <c r="J4313">
        <f t="shared" si="406"/>
        <v>0</v>
      </c>
      <c r="K4313">
        <f t="shared" si="407"/>
        <v>1</v>
      </c>
    </row>
    <row r="4314" spans="1:11" x14ac:dyDescent="0.25">
      <c r="A4314" t="s">
        <v>323</v>
      </c>
      <c r="B4314" t="s">
        <v>109</v>
      </c>
      <c r="C4314" t="s">
        <v>50</v>
      </c>
      <c r="D4314" s="6">
        <v>45924</v>
      </c>
      <c r="E4314" t="str">
        <f>VLOOKUP(B4314,'PROCV GERENTES BD'!A:B,2,0)</f>
        <v>PROSPECTAR</v>
      </c>
      <c r="F4314" s="4" t="str">
        <f t="shared" si="402"/>
        <v>2025-09</v>
      </c>
      <c r="G4314" s="18">
        <f t="shared" si="403"/>
        <v>39</v>
      </c>
      <c r="H4314" t="str">
        <f t="shared" si="404"/>
        <v>PROSPECTAR</v>
      </c>
      <c r="I4314" t="str">
        <f t="shared" si="405"/>
        <v>SIAP COMERCIO DE PRODUTOS AGROPECUARIOS LTDA</v>
      </c>
      <c r="J4314">
        <f t="shared" si="406"/>
        <v>0</v>
      </c>
      <c r="K4314">
        <f t="shared" si="407"/>
        <v>1</v>
      </c>
    </row>
    <row r="4315" spans="1:11" x14ac:dyDescent="0.25">
      <c r="A4315" t="s">
        <v>660</v>
      </c>
      <c r="B4315" t="s">
        <v>545</v>
      </c>
      <c r="C4315" t="s">
        <v>53</v>
      </c>
      <c r="D4315" s="6">
        <v>45924</v>
      </c>
      <c r="E4315" t="str">
        <f>VLOOKUP(B4315,'PROCV GERENTES BD'!A:B,2,0)</f>
        <v xml:space="preserve">ROGERIO </v>
      </c>
      <c r="F4315" s="4" t="str">
        <f t="shared" si="402"/>
        <v>2025-09</v>
      </c>
      <c r="G4315" s="18">
        <f t="shared" si="403"/>
        <v>39</v>
      </c>
      <c r="H4315" t="str">
        <f t="shared" si="404"/>
        <v xml:space="preserve">ROGERIO </v>
      </c>
      <c r="I4315" t="str">
        <f t="shared" si="405"/>
        <v>DISEP ALIMENTOS LTDA ME</v>
      </c>
      <c r="J4315">
        <f t="shared" si="406"/>
        <v>1</v>
      </c>
      <c r="K4315">
        <f t="shared" si="407"/>
        <v>1</v>
      </c>
    </row>
    <row r="4316" spans="1:11" x14ac:dyDescent="0.25">
      <c r="A4316" t="s">
        <v>304</v>
      </c>
      <c r="B4316" t="s">
        <v>123</v>
      </c>
      <c r="C4316" t="s">
        <v>50</v>
      </c>
      <c r="D4316" s="6">
        <v>45924</v>
      </c>
      <c r="E4316" t="str">
        <f>VLOOKUP(B4316,'PROCV GERENTES BD'!A:B,2,0)</f>
        <v>ADMINISTRAÇÃO</v>
      </c>
      <c r="F4316" s="4" t="str">
        <f t="shared" si="402"/>
        <v>2025-09</v>
      </c>
      <c r="G4316" s="18">
        <f t="shared" si="403"/>
        <v>39</v>
      </c>
      <c r="H4316" t="str">
        <f t="shared" si="404"/>
        <v>ADMINISTRAÇÃO</v>
      </c>
      <c r="I4316" t="str">
        <f t="shared" si="405"/>
        <v>VIC LOGISTICA LTDA EM RECUPERACAO JUDICIAL</v>
      </c>
      <c r="J4316">
        <f t="shared" si="406"/>
        <v>0</v>
      </c>
      <c r="K4316">
        <f t="shared" si="407"/>
        <v>1</v>
      </c>
    </row>
    <row r="4317" spans="1:11" x14ac:dyDescent="0.25">
      <c r="A4317" t="s">
        <v>311</v>
      </c>
      <c r="B4317" t="s">
        <v>81</v>
      </c>
      <c r="C4317" t="s">
        <v>66</v>
      </c>
      <c r="D4317" s="6">
        <v>45924</v>
      </c>
      <c r="E4317" t="str">
        <f>VLOOKUP(B4317,'PROCV GERENTES BD'!A:B,2,0)</f>
        <v>CELIO PIMENTA</v>
      </c>
      <c r="F4317" s="4" t="str">
        <f t="shared" si="402"/>
        <v>2025-09</v>
      </c>
      <c r="G4317" s="18">
        <f t="shared" si="403"/>
        <v>39</v>
      </c>
      <c r="H4317" t="str">
        <f t="shared" si="404"/>
        <v>CELIO PIMENTA</v>
      </c>
      <c r="I4317" t="str">
        <f t="shared" si="405"/>
        <v>MBIOLOG DIAGNOSTICOS LTDA</v>
      </c>
      <c r="J4317">
        <f t="shared" si="406"/>
        <v>1</v>
      </c>
      <c r="K4317">
        <f t="shared" si="407"/>
        <v>0</v>
      </c>
    </row>
    <row r="4318" spans="1:11" x14ac:dyDescent="0.25">
      <c r="A4318" t="s">
        <v>379</v>
      </c>
      <c r="B4318" t="s">
        <v>126</v>
      </c>
      <c r="C4318" t="s">
        <v>50</v>
      </c>
      <c r="D4318" s="6">
        <v>45924</v>
      </c>
      <c r="E4318" t="str">
        <f>VLOOKUP(B4318,'PROCV GERENTES BD'!A:B,2,0)</f>
        <v>ADMINISTRAÇÃO</v>
      </c>
      <c r="F4318" s="4" t="str">
        <f t="shared" si="402"/>
        <v>2025-09</v>
      </c>
      <c r="G4318" s="18">
        <f t="shared" si="403"/>
        <v>39</v>
      </c>
      <c r="H4318" t="str">
        <f t="shared" si="404"/>
        <v>ADMINISTRAÇÃO</v>
      </c>
      <c r="I4318" t="str">
        <f t="shared" si="405"/>
        <v>ENXOVAIS MINAS LTDA ME</v>
      </c>
      <c r="J4318">
        <f t="shared" si="406"/>
        <v>0</v>
      </c>
      <c r="K4318">
        <f t="shared" si="407"/>
        <v>1</v>
      </c>
    </row>
    <row r="4319" spans="1:11" x14ac:dyDescent="0.25">
      <c r="A4319" t="s">
        <v>521</v>
      </c>
      <c r="B4319" t="s">
        <v>286</v>
      </c>
      <c r="C4319" t="s">
        <v>50</v>
      </c>
      <c r="D4319" s="6">
        <v>45924</v>
      </c>
      <c r="E4319" t="str">
        <f>VLOOKUP(B4319,'PROCV GERENTES BD'!A:B,2,0)</f>
        <v>CELIO PIMENTA</v>
      </c>
      <c r="F4319" s="4" t="str">
        <f t="shared" si="402"/>
        <v>2025-09</v>
      </c>
      <c r="G4319" s="18">
        <f t="shared" si="403"/>
        <v>39</v>
      </c>
      <c r="H4319" t="str">
        <f t="shared" si="404"/>
        <v>CELIO PIMENTA</v>
      </c>
      <c r="I4319" t="str">
        <f t="shared" si="405"/>
        <v>LINGERIE E CIA LTDA ME</v>
      </c>
      <c r="J4319">
        <f t="shared" si="406"/>
        <v>0</v>
      </c>
      <c r="K4319">
        <f t="shared" si="407"/>
        <v>1</v>
      </c>
    </row>
    <row r="4320" spans="1:11" x14ac:dyDescent="0.25">
      <c r="A4320" t="s">
        <v>660</v>
      </c>
      <c r="B4320" t="s">
        <v>545</v>
      </c>
      <c r="C4320" t="s">
        <v>66</v>
      </c>
      <c r="D4320" s="6">
        <v>45925</v>
      </c>
      <c r="E4320" t="str">
        <f>VLOOKUP(B4320,'PROCV GERENTES BD'!A:B,2,0)</f>
        <v xml:space="preserve">ROGERIO </v>
      </c>
      <c r="F4320" s="4" t="str">
        <f t="shared" si="402"/>
        <v>2025-09</v>
      </c>
      <c r="G4320" s="18">
        <f t="shared" si="403"/>
        <v>39</v>
      </c>
      <c r="H4320" t="str">
        <f t="shared" si="404"/>
        <v xml:space="preserve">ROGERIO </v>
      </c>
      <c r="I4320" t="str">
        <f t="shared" si="405"/>
        <v>DISEP ALIMENTOS LTDA ME</v>
      </c>
      <c r="J4320">
        <f t="shared" si="406"/>
        <v>1</v>
      </c>
      <c r="K4320">
        <f t="shared" si="407"/>
        <v>0</v>
      </c>
    </row>
    <row r="4321" spans="1:11" x14ac:dyDescent="0.25">
      <c r="A4321" t="s">
        <v>670</v>
      </c>
      <c r="B4321" t="s">
        <v>671</v>
      </c>
      <c r="C4321" t="s">
        <v>66</v>
      </c>
      <c r="D4321" s="6">
        <v>45925</v>
      </c>
      <c r="E4321" t="str">
        <f>VLOOKUP(B4321,'PROCV GERENTES BD'!A:B,2,0)</f>
        <v>STELLA PURRI BRANT</v>
      </c>
      <c r="F4321" s="4" t="str">
        <f t="shared" si="402"/>
        <v>2025-09</v>
      </c>
      <c r="G4321" s="18">
        <f t="shared" si="403"/>
        <v>39</v>
      </c>
      <c r="H4321" t="str">
        <f t="shared" si="404"/>
        <v>STELLA PURRI BRANT</v>
      </c>
      <c r="I4321" t="str">
        <f t="shared" si="405"/>
        <v>R P CINTRA LTDA EPP</v>
      </c>
      <c r="J4321">
        <f t="shared" si="406"/>
        <v>1</v>
      </c>
      <c r="K4321">
        <f t="shared" si="407"/>
        <v>0</v>
      </c>
    </row>
    <row r="4322" spans="1:11" x14ac:dyDescent="0.25">
      <c r="A4322" t="s">
        <v>318</v>
      </c>
      <c r="B4322" t="s">
        <v>203</v>
      </c>
      <c r="C4322" t="s">
        <v>66</v>
      </c>
      <c r="D4322" s="6">
        <v>45925</v>
      </c>
      <c r="E4322" t="str">
        <f>VLOOKUP(B4322,'PROCV GERENTES BD'!A:B,2,0)</f>
        <v>JOSE ROBERTO</v>
      </c>
      <c r="F4322" s="4" t="str">
        <f t="shared" si="402"/>
        <v>2025-09</v>
      </c>
      <c r="G4322" s="18">
        <f t="shared" si="403"/>
        <v>39</v>
      </c>
      <c r="H4322" t="str">
        <f t="shared" si="404"/>
        <v>JOSE ROBERTO</v>
      </c>
      <c r="I4322" t="str">
        <f t="shared" si="405"/>
        <v>FUNDACAO DE ENSINO E PESQUISA DO SUL DE MINAS FEPE</v>
      </c>
      <c r="J4322">
        <f t="shared" si="406"/>
        <v>1</v>
      </c>
      <c r="K4322">
        <f t="shared" si="407"/>
        <v>0</v>
      </c>
    </row>
    <row r="4323" spans="1:11" x14ac:dyDescent="0.25">
      <c r="A4323" t="s">
        <v>604</v>
      </c>
      <c r="B4323" t="s">
        <v>605</v>
      </c>
      <c r="C4323" t="s">
        <v>50</v>
      </c>
      <c r="D4323" s="6">
        <v>45925</v>
      </c>
      <c r="E4323" t="str">
        <f>VLOOKUP(B4323,'PROCV GERENTES BD'!A:B,2,0)</f>
        <v>ALISSON DE SOUZA LIMA</v>
      </c>
      <c r="F4323" s="4" t="str">
        <f t="shared" si="402"/>
        <v>2025-09</v>
      </c>
      <c r="G4323" s="18">
        <f t="shared" si="403"/>
        <v>39</v>
      </c>
      <c r="H4323" t="str">
        <f t="shared" si="404"/>
        <v>ALISSON DE SOUZA LIMA</v>
      </c>
      <c r="I4323" t="str">
        <f t="shared" si="405"/>
        <v>3J FUNDICAO INDUSTRIAL LTDA</v>
      </c>
      <c r="J4323">
        <f t="shared" si="406"/>
        <v>0</v>
      </c>
      <c r="K4323">
        <f t="shared" si="407"/>
        <v>1</v>
      </c>
    </row>
    <row r="4324" spans="1:11" x14ac:dyDescent="0.25">
      <c r="A4324" t="s">
        <v>499</v>
      </c>
      <c r="B4324" t="s">
        <v>258</v>
      </c>
      <c r="C4324" t="s">
        <v>53</v>
      </c>
      <c r="D4324" s="6">
        <v>45925</v>
      </c>
      <c r="E4324" t="str">
        <f>VLOOKUP(B4324,'PROCV GERENTES BD'!A:B,2,0)</f>
        <v>PRISCILA METZ</v>
      </c>
      <c r="F4324" s="4" t="str">
        <f t="shared" si="402"/>
        <v>2025-09</v>
      </c>
      <c r="G4324" s="18">
        <f t="shared" si="403"/>
        <v>39</v>
      </c>
      <c r="H4324" t="str">
        <f t="shared" si="404"/>
        <v>PRISCILA METZ</v>
      </c>
      <c r="I4324" t="str">
        <f t="shared" si="405"/>
        <v>PLATINUM INDUSTRIA DE CONFECCOES LTDA</v>
      </c>
      <c r="J4324">
        <f t="shared" si="406"/>
        <v>1</v>
      </c>
      <c r="K4324">
        <f t="shared" si="407"/>
        <v>1</v>
      </c>
    </row>
    <row r="4325" spans="1:11" x14ac:dyDescent="0.25">
      <c r="A4325" t="s">
        <v>64</v>
      </c>
      <c r="B4325" t="s">
        <v>65</v>
      </c>
      <c r="C4325" t="s">
        <v>50</v>
      </c>
      <c r="D4325" s="6">
        <v>45925</v>
      </c>
      <c r="E4325" t="str">
        <f>VLOOKUP(B4325,'PROCV GERENTES BD'!A:B,2,0)</f>
        <v>ADMINISTRAÇÃO</v>
      </c>
      <c r="F4325" s="4" t="str">
        <f t="shared" si="402"/>
        <v>2025-09</v>
      </c>
      <c r="G4325" s="18">
        <f t="shared" si="403"/>
        <v>39</v>
      </c>
      <c r="H4325" t="str">
        <f t="shared" si="404"/>
        <v>ADMINISTRAÇÃO</v>
      </c>
      <c r="I4325" t="str">
        <f t="shared" si="405"/>
        <v>SOCIAL S/A</v>
      </c>
      <c r="J4325">
        <f t="shared" si="406"/>
        <v>0</v>
      </c>
      <c r="K4325">
        <f t="shared" si="407"/>
        <v>1</v>
      </c>
    </row>
    <row r="4326" spans="1:11" x14ac:dyDescent="0.25">
      <c r="A4326" t="s">
        <v>601</v>
      </c>
      <c r="B4326" t="s">
        <v>552</v>
      </c>
      <c r="C4326" t="s">
        <v>50</v>
      </c>
      <c r="D4326" s="6">
        <v>45925</v>
      </c>
      <c r="E4326" t="str">
        <f>VLOOKUP(B4326,'PROCV GERENTES BD'!A:B,2,0)</f>
        <v>DALVA</v>
      </c>
      <c r="F4326" s="4" t="str">
        <f t="shared" si="402"/>
        <v>2025-09</v>
      </c>
      <c r="G4326" s="18">
        <f t="shared" si="403"/>
        <v>39</v>
      </c>
      <c r="H4326" t="str">
        <f t="shared" si="404"/>
        <v>DALVA</v>
      </c>
      <c r="I4326" t="str">
        <f t="shared" si="405"/>
        <v>NOVA CALDERARIA MONTAGEM LTDA EPP</v>
      </c>
      <c r="J4326">
        <f t="shared" si="406"/>
        <v>0</v>
      </c>
      <c r="K4326">
        <f t="shared" si="407"/>
        <v>1</v>
      </c>
    </row>
    <row r="4327" spans="1:11" x14ac:dyDescent="0.25">
      <c r="A4327" t="s">
        <v>370</v>
      </c>
      <c r="B4327" t="s">
        <v>114</v>
      </c>
      <c r="C4327" t="s">
        <v>66</v>
      </c>
      <c r="D4327" s="6">
        <v>45925</v>
      </c>
      <c r="E4327" t="str">
        <f>VLOOKUP(B4327,'PROCV GERENTES BD'!A:B,2,0)</f>
        <v>POENATELA</v>
      </c>
      <c r="F4327" s="4" t="str">
        <f t="shared" si="402"/>
        <v>2025-09</v>
      </c>
      <c r="G4327" s="18">
        <f t="shared" si="403"/>
        <v>39</v>
      </c>
      <c r="H4327" t="str">
        <f t="shared" si="404"/>
        <v>POENATELA</v>
      </c>
      <c r="I4327" t="str">
        <f t="shared" si="405"/>
        <v>COOPERATIVA TRANSP AUTON CARGAS PASSAG SERVICOS LO</v>
      </c>
      <c r="J4327">
        <f t="shared" si="406"/>
        <v>1</v>
      </c>
      <c r="K4327">
        <f t="shared" si="407"/>
        <v>0</v>
      </c>
    </row>
    <row r="4328" spans="1:11" x14ac:dyDescent="0.25">
      <c r="A4328" t="s">
        <v>461</v>
      </c>
      <c r="B4328" t="s">
        <v>218</v>
      </c>
      <c r="C4328" t="s">
        <v>66</v>
      </c>
      <c r="D4328" s="6">
        <v>45925</v>
      </c>
      <c r="E4328" t="str">
        <f>VLOOKUP(B4328,'PROCV GERENTES BD'!A:B,2,0)</f>
        <v>SACADO</v>
      </c>
      <c r="F4328" s="4" t="str">
        <f t="shared" si="402"/>
        <v>2025-09</v>
      </c>
      <c r="G4328" s="18">
        <f t="shared" si="403"/>
        <v>39</v>
      </c>
      <c r="H4328" t="str">
        <f t="shared" si="404"/>
        <v>SACADO</v>
      </c>
      <c r="I4328" t="str">
        <f t="shared" si="405"/>
        <v>KUARA COMERCIAL E EXPORTADORA DE FRUTAS LTDA</v>
      </c>
      <c r="J4328">
        <f t="shared" si="406"/>
        <v>1</v>
      </c>
      <c r="K4328">
        <f t="shared" si="407"/>
        <v>0</v>
      </c>
    </row>
    <row r="4329" spans="1:11" x14ac:dyDescent="0.25">
      <c r="A4329" t="s">
        <v>610</v>
      </c>
      <c r="B4329" t="s">
        <v>611</v>
      </c>
      <c r="C4329" t="s">
        <v>50</v>
      </c>
      <c r="D4329" s="6">
        <v>45925</v>
      </c>
      <c r="E4329" t="str">
        <f>VLOOKUP(B4329,'PROCV GERENTES BD'!A:B,2,0)</f>
        <v>TIAGO NEVES</v>
      </c>
      <c r="F4329" s="4" t="str">
        <f t="shared" si="402"/>
        <v>2025-09</v>
      </c>
      <c r="G4329" s="18">
        <f t="shared" si="403"/>
        <v>39</v>
      </c>
      <c r="H4329" t="str">
        <f t="shared" si="404"/>
        <v>TIAGO NEVES</v>
      </c>
      <c r="I4329" t="str">
        <f t="shared" si="405"/>
        <v>TRATOR GLASS LTDA ME</v>
      </c>
      <c r="J4329">
        <f t="shared" si="406"/>
        <v>0</v>
      </c>
      <c r="K4329">
        <f t="shared" si="407"/>
        <v>1</v>
      </c>
    </row>
    <row r="4330" spans="1:11" x14ac:dyDescent="0.25">
      <c r="A4330" t="s">
        <v>325</v>
      </c>
      <c r="B4330" t="s">
        <v>138</v>
      </c>
      <c r="C4330" t="s">
        <v>50</v>
      </c>
      <c r="D4330" s="6">
        <v>45925</v>
      </c>
      <c r="E4330" t="str">
        <f>VLOOKUP(B4330,'PROCV GERENTES BD'!A:B,2,0)</f>
        <v>SACADO</v>
      </c>
      <c r="F4330" s="4" t="str">
        <f t="shared" si="402"/>
        <v>2025-09</v>
      </c>
      <c r="G4330" s="18">
        <f t="shared" si="403"/>
        <v>39</v>
      </c>
      <c r="H4330" t="str">
        <f t="shared" si="404"/>
        <v>SACADO</v>
      </c>
      <c r="I4330" t="str">
        <f t="shared" si="405"/>
        <v>ALLIAGE S A INDUSTRIAS MEDICO ODONTOLOGICA</v>
      </c>
      <c r="J4330">
        <f t="shared" si="406"/>
        <v>0</v>
      </c>
      <c r="K4330">
        <f t="shared" si="407"/>
        <v>1</v>
      </c>
    </row>
    <row r="4331" spans="1:11" x14ac:dyDescent="0.25">
      <c r="A4331" t="s">
        <v>521</v>
      </c>
      <c r="B4331" t="s">
        <v>286</v>
      </c>
      <c r="C4331" t="s">
        <v>50</v>
      </c>
      <c r="D4331" s="6">
        <v>45925</v>
      </c>
      <c r="E4331" t="str">
        <f>VLOOKUP(B4331,'PROCV GERENTES BD'!A:B,2,0)</f>
        <v>CELIO PIMENTA</v>
      </c>
      <c r="F4331" s="4" t="str">
        <f t="shared" si="402"/>
        <v>2025-09</v>
      </c>
      <c r="G4331" s="18">
        <f t="shared" si="403"/>
        <v>39</v>
      </c>
      <c r="H4331" t="str">
        <f t="shared" si="404"/>
        <v>CELIO PIMENTA</v>
      </c>
      <c r="I4331" t="str">
        <f t="shared" si="405"/>
        <v>LINGERIE E CIA LTDA ME</v>
      </c>
      <c r="J4331">
        <f t="shared" si="406"/>
        <v>0</v>
      </c>
      <c r="K4331">
        <f t="shared" si="407"/>
        <v>1</v>
      </c>
    </row>
    <row r="4332" spans="1:11" x14ac:dyDescent="0.25">
      <c r="A4332" t="s">
        <v>326</v>
      </c>
      <c r="B4332" t="s">
        <v>122</v>
      </c>
      <c r="C4332" t="s">
        <v>50</v>
      </c>
      <c r="D4332" s="6">
        <v>45925</v>
      </c>
      <c r="E4332" t="str">
        <f>VLOOKUP(B4332,'PROCV GERENTES BD'!A:B,2,0)</f>
        <v xml:space="preserve">ROGERIO </v>
      </c>
      <c r="F4332" s="4" t="str">
        <f t="shared" si="402"/>
        <v>2025-09</v>
      </c>
      <c r="G4332" s="18">
        <f t="shared" si="403"/>
        <v>39</v>
      </c>
      <c r="H4332" t="str">
        <f t="shared" si="404"/>
        <v xml:space="preserve">ROGERIO </v>
      </c>
      <c r="I4332" t="str">
        <f t="shared" si="405"/>
        <v>BIBE PRODUTOS INFANTIS LTDA</v>
      </c>
      <c r="J4332">
        <f t="shared" si="406"/>
        <v>0</v>
      </c>
      <c r="K4332">
        <f t="shared" si="407"/>
        <v>1</v>
      </c>
    </row>
    <row r="4333" spans="1:11" x14ac:dyDescent="0.25">
      <c r="A4333" t="s">
        <v>304</v>
      </c>
      <c r="B4333" t="s">
        <v>123</v>
      </c>
      <c r="C4333" t="s">
        <v>50</v>
      </c>
      <c r="D4333" s="6">
        <v>45926</v>
      </c>
      <c r="E4333" t="str">
        <f>VLOOKUP(B4333,'PROCV GERENTES BD'!A:B,2,0)</f>
        <v>ADMINISTRAÇÃO</v>
      </c>
      <c r="F4333" s="4" t="str">
        <f t="shared" si="402"/>
        <v>2025-09</v>
      </c>
      <c r="G4333" s="18">
        <f t="shared" si="403"/>
        <v>39</v>
      </c>
      <c r="H4333" t="str">
        <f t="shared" si="404"/>
        <v>ADMINISTRAÇÃO</v>
      </c>
      <c r="I4333" t="str">
        <f t="shared" si="405"/>
        <v>VIC LOGISTICA LTDA EM RECUPERACAO JUDICIAL</v>
      </c>
      <c r="J4333">
        <f t="shared" si="406"/>
        <v>0</v>
      </c>
      <c r="K4333">
        <f t="shared" si="407"/>
        <v>1</v>
      </c>
    </row>
    <row r="4334" spans="1:11" x14ac:dyDescent="0.25">
      <c r="A4334" t="s">
        <v>656</v>
      </c>
      <c r="B4334" t="s">
        <v>657</v>
      </c>
      <c r="C4334" t="s">
        <v>50</v>
      </c>
      <c r="D4334" s="6">
        <v>45926</v>
      </c>
      <c r="E4334" t="str">
        <f>VLOOKUP(B4334,'PROCV GERENTES BD'!A:B,2,0)</f>
        <v>ADMINISTRAÇÃO</v>
      </c>
      <c r="F4334" s="4" t="str">
        <f t="shared" si="402"/>
        <v>2025-09</v>
      </c>
      <c r="G4334" s="18">
        <f t="shared" si="403"/>
        <v>39</v>
      </c>
      <c r="H4334" t="str">
        <f t="shared" si="404"/>
        <v>ADMINISTRAÇÃO</v>
      </c>
      <c r="I4334" t="str">
        <f t="shared" si="405"/>
        <v>NCBA INTERMEDIACAO LTDA ME</v>
      </c>
      <c r="J4334">
        <f t="shared" si="406"/>
        <v>0</v>
      </c>
      <c r="K4334">
        <f t="shared" si="407"/>
        <v>1</v>
      </c>
    </row>
    <row r="4335" spans="1:11" x14ac:dyDescent="0.25">
      <c r="A4335" t="s">
        <v>532</v>
      </c>
      <c r="B4335" t="s">
        <v>300</v>
      </c>
      <c r="C4335" t="s">
        <v>66</v>
      </c>
      <c r="D4335" s="6">
        <v>45926</v>
      </c>
      <c r="E4335" t="str">
        <f>VLOOKUP(B4335,'PROCV GERENTES BD'!A:B,2,0)</f>
        <v>RAFAEL PARISE</v>
      </c>
      <c r="F4335" s="4" t="str">
        <f t="shared" si="402"/>
        <v>2025-09</v>
      </c>
      <c r="G4335" s="18">
        <f t="shared" si="403"/>
        <v>39</v>
      </c>
      <c r="H4335" t="str">
        <f t="shared" si="404"/>
        <v>RAFAEL PARISE</v>
      </c>
      <c r="I4335" t="str">
        <f t="shared" si="405"/>
        <v>MINASPOL INDUSTRIA E COMERCIO DE COMPOSTOS POLIMER</v>
      </c>
      <c r="J4335">
        <f t="shared" si="406"/>
        <v>1</v>
      </c>
      <c r="K4335">
        <f t="shared" si="407"/>
        <v>0</v>
      </c>
    </row>
    <row r="4336" spans="1:11" x14ac:dyDescent="0.25">
      <c r="A4336" t="s">
        <v>644</v>
      </c>
      <c r="B4336" t="s">
        <v>598</v>
      </c>
      <c r="C4336" t="s">
        <v>50</v>
      </c>
      <c r="D4336" s="6">
        <v>45926</v>
      </c>
      <c r="E4336" t="str">
        <f>VLOOKUP(B4336,'PROCV GERENTES BD'!A:B,2,0)</f>
        <v>DALVA</v>
      </c>
      <c r="F4336" s="4" t="str">
        <f t="shared" si="402"/>
        <v>2025-09</v>
      </c>
      <c r="G4336" s="18">
        <f t="shared" si="403"/>
        <v>39</v>
      </c>
      <c r="H4336" t="str">
        <f t="shared" si="404"/>
        <v>DALVA</v>
      </c>
      <c r="I4336" t="str">
        <f t="shared" si="405"/>
        <v>BH BRITADORES LTDA EPP</v>
      </c>
      <c r="J4336">
        <f t="shared" si="406"/>
        <v>0</v>
      </c>
      <c r="K4336">
        <f t="shared" si="407"/>
        <v>1</v>
      </c>
    </row>
    <row r="4337" spans="1:11" x14ac:dyDescent="0.25">
      <c r="A4337" t="s">
        <v>361</v>
      </c>
      <c r="B4337" t="s">
        <v>106</v>
      </c>
      <c r="C4337" t="s">
        <v>50</v>
      </c>
      <c r="D4337" s="6">
        <v>45926</v>
      </c>
      <c r="E4337" t="str">
        <f>VLOOKUP(B4337,'PROCV GERENTES BD'!A:B,2,0)</f>
        <v>PRISCILA METZ</v>
      </c>
      <c r="F4337" s="4" t="str">
        <f t="shared" si="402"/>
        <v>2025-09</v>
      </c>
      <c r="G4337" s="18">
        <f t="shared" si="403"/>
        <v>39</v>
      </c>
      <c r="H4337" t="str">
        <f t="shared" si="404"/>
        <v>PRISCILA METZ</v>
      </c>
      <c r="I4337" t="str">
        <f t="shared" si="405"/>
        <v>HERBAMED LABORATORIO NUTRACEUTICO LTDA</v>
      </c>
      <c r="J4337">
        <f t="shared" si="406"/>
        <v>0</v>
      </c>
      <c r="K4337">
        <f t="shared" si="407"/>
        <v>1</v>
      </c>
    </row>
    <row r="4338" spans="1:11" x14ac:dyDescent="0.25">
      <c r="A4338" t="s">
        <v>58</v>
      </c>
      <c r="B4338" t="s">
        <v>59</v>
      </c>
      <c r="C4338" t="s">
        <v>66</v>
      </c>
      <c r="D4338" s="6">
        <v>45926</v>
      </c>
      <c r="E4338" t="str">
        <f>VLOOKUP(B4338,'PROCV GERENTES BD'!A:B,2,0)</f>
        <v>ADMINISTRAÇÃO</v>
      </c>
      <c r="F4338" s="4" t="str">
        <f t="shared" si="402"/>
        <v>2025-09</v>
      </c>
      <c r="G4338" s="18">
        <f t="shared" si="403"/>
        <v>39</v>
      </c>
      <c r="H4338" t="str">
        <f t="shared" si="404"/>
        <v>ADMINISTRAÇÃO</v>
      </c>
      <c r="I4338" t="str">
        <f t="shared" si="405"/>
        <v>BIOTECH LOGISTICA LTDA</v>
      </c>
      <c r="J4338">
        <f t="shared" si="406"/>
        <v>1</v>
      </c>
      <c r="K4338">
        <f t="shared" si="407"/>
        <v>0</v>
      </c>
    </row>
    <row r="4339" spans="1:11" x14ac:dyDescent="0.25">
      <c r="A4339" t="s">
        <v>427</v>
      </c>
      <c r="B4339" t="s">
        <v>178</v>
      </c>
      <c r="C4339" t="s">
        <v>50</v>
      </c>
      <c r="D4339" s="6">
        <v>45926</v>
      </c>
      <c r="E4339" t="str">
        <f>VLOOKUP(B4339,'PROCV GERENTES BD'!A:B,2,0)</f>
        <v>ADMINISTRAÇÃO</v>
      </c>
      <c r="F4339" s="4" t="str">
        <f t="shared" si="402"/>
        <v>2025-09</v>
      </c>
      <c r="G4339" s="18">
        <f t="shared" si="403"/>
        <v>39</v>
      </c>
      <c r="H4339" t="str">
        <f t="shared" si="404"/>
        <v>ADMINISTRAÇÃO</v>
      </c>
      <c r="I4339" t="str">
        <f t="shared" si="405"/>
        <v>LIZZENA COSMETICOS LTDA EPP</v>
      </c>
      <c r="J4339">
        <f t="shared" si="406"/>
        <v>0</v>
      </c>
      <c r="K4339">
        <f t="shared" si="407"/>
        <v>1</v>
      </c>
    </row>
    <row r="4340" spans="1:11" x14ac:dyDescent="0.25">
      <c r="A4340" t="s">
        <v>630</v>
      </c>
      <c r="B4340" t="s">
        <v>559</v>
      </c>
      <c r="C4340" t="s">
        <v>66</v>
      </c>
      <c r="D4340" s="6">
        <v>45926</v>
      </c>
      <c r="E4340" t="str">
        <f>VLOOKUP(B4340,'PROCV GERENTES BD'!A:B,2,0)</f>
        <v>ALISSON DE SOUZA LIMA</v>
      </c>
      <c r="F4340" s="4" t="str">
        <f t="shared" si="402"/>
        <v>2025-09</v>
      </c>
      <c r="G4340" s="18">
        <f t="shared" si="403"/>
        <v>39</v>
      </c>
      <c r="H4340" t="str">
        <f t="shared" si="404"/>
        <v>ALISSON DE SOUZA LIMA</v>
      </c>
      <c r="I4340" t="str">
        <f t="shared" si="405"/>
        <v>JRG SOLUCOES INDUSTRIAIS LTDA</v>
      </c>
      <c r="J4340">
        <f t="shared" si="406"/>
        <v>1</v>
      </c>
      <c r="K4340">
        <f t="shared" si="407"/>
        <v>0</v>
      </c>
    </row>
    <row r="4341" spans="1:11" x14ac:dyDescent="0.25">
      <c r="A4341" t="s">
        <v>610</v>
      </c>
      <c r="B4341" t="s">
        <v>611</v>
      </c>
      <c r="C4341" t="s">
        <v>50</v>
      </c>
      <c r="D4341" s="6">
        <v>45926</v>
      </c>
      <c r="E4341" t="str">
        <f>VLOOKUP(B4341,'PROCV GERENTES BD'!A:B,2,0)</f>
        <v>TIAGO NEVES</v>
      </c>
      <c r="F4341" s="4" t="str">
        <f t="shared" si="402"/>
        <v>2025-09</v>
      </c>
      <c r="G4341" s="18">
        <f t="shared" si="403"/>
        <v>39</v>
      </c>
      <c r="H4341" t="str">
        <f t="shared" si="404"/>
        <v>TIAGO NEVES</v>
      </c>
      <c r="I4341" t="str">
        <f t="shared" si="405"/>
        <v>TRATOR GLASS LTDA ME</v>
      </c>
      <c r="J4341">
        <f t="shared" si="406"/>
        <v>0</v>
      </c>
      <c r="K4341">
        <f t="shared" si="407"/>
        <v>1</v>
      </c>
    </row>
    <row r="4342" spans="1:11" x14ac:dyDescent="0.25">
      <c r="A4342" t="s">
        <v>431</v>
      </c>
      <c r="B4342" t="s">
        <v>196</v>
      </c>
      <c r="C4342" t="s">
        <v>66</v>
      </c>
      <c r="D4342" s="6">
        <v>45926</v>
      </c>
      <c r="E4342" t="str">
        <f>VLOOKUP(B4342,'PROCV GERENTES BD'!A:B,2,0)</f>
        <v xml:space="preserve">ROGERIO </v>
      </c>
      <c r="F4342" s="4" t="str">
        <f t="shared" si="402"/>
        <v>2025-09</v>
      </c>
      <c r="G4342" s="18">
        <f t="shared" si="403"/>
        <v>39</v>
      </c>
      <c r="H4342" t="str">
        <f t="shared" si="404"/>
        <v xml:space="preserve">ROGERIO </v>
      </c>
      <c r="I4342" t="str">
        <f t="shared" si="405"/>
        <v>GRF JEANS WEAR LTDA EPP</v>
      </c>
      <c r="J4342">
        <f t="shared" si="406"/>
        <v>1</v>
      </c>
      <c r="K4342">
        <f t="shared" si="407"/>
        <v>0</v>
      </c>
    </row>
    <row r="4343" spans="1:11" x14ac:dyDescent="0.25">
      <c r="A4343" t="s">
        <v>460</v>
      </c>
      <c r="B4343" t="s">
        <v>217</v>
      </c>
      <c r="C4343" t="s">
        <v>50</v>
      </c>
      <c r="D4343" s="6">
        <v>45926</v>
      </c>
      <c r="E4343" t="str">
        <f>VLOOKUP(B4343,'PROCV GERENTES BD'!A:B,2,0)</f>
        <v>CELIO PIMENTA</v>
      </c>
      <c r="F4343" s="4" t="str">
        <f t="shared" si="402"/>
        <v>2025-09</v>
      </c>
      <c r="G4343" s="18">
        <f t="shared" si="403"/>
        <v>39</v>
      </c>
      <c r="H4343" t="str">
        <f t="shared" si="404"/>
        <v>CELIO PIMENTA</v>
      </c>
      <c r="I4343" t="str">
        <f t="shared" si="405"/>
        <v>MINAS CLEAN DISTRIBUIDORA DE PRODUTOS PARA LIMPEZA</v>
      </c>
      <c r="J4343">
        <f t="shared" si="406"/>
        <v>0</v>
      </c>
      <c r="K4343">
        <f t="shared" si="407"/>
        <v>1</v>
      </c>
    </row>
    <row r="4344" spans="1:11" x14ac:dyDescent="0.25">
      <c r="A4344" t="s">
        <v>623</v>
      </c>
      <c r="B4344" t="s">
        <v>624</v>
      </c>
      <c r="C4344" t="s">
        <v>50</v>
      </c>
      <c r="D4344" s="6">
        <v>45926</v>
      </c>
      <c r="E4344" t="str">
        <f>VLOOKUP(B4344,'PROCV GERENTES BD'!A:B,2,0)</f>
        <v>ALISSON DE SOUZA LIMA</v>
      </c>
      <c r="F4344" s="4" t="str">
        <f t="shared" si="402"/>
        <v>2025-09</v>
      </c>
      <c r="G4344" s="18">
        <f t="shared" si="403"/>
        <v>39</v>
      </c>
      <c r="H4344" t="str">
        <f t="shared" si="404"/>
        <v>ALISSON DE SOUZA LIMA</v>
      </c>
      <c r="I4344" t="str">
        <f t="shared" si="405"/>
        <v>A2 VIDROS INDUSTRIA E COMERCIO LTDA</v>
      </c>
      <c r="J4344">
        <f t="shared" si="406"/>
        <v>0</v>
      </c>
      <c r="K4344">
        <f t="shared" si="407"/>
        <v>1</v>
      </c>
    </row>
    <row r="4345" spans="1:11" x14ac:dyDescent="0.25">
      <c r="A4345" t="s">
        <v>325</v>
      </c>
      <c r="B4345" t="s">
        <v>138</v>
      </c>
      <c r="C4345" t="s">
        <v>50</v>
      </c>
      <c r="D4345" s="6">
        <v>45926</v>
      </c>
      <c r="E4345" t="str">
        <f>VLOOKUP(B4345,'PROCV GERENTES BD'!A:B,2,0)</f>
        <v>SACADO</v>
      </c>
      <c r="F4345" s="4" t="str">
        <f t="shared" si="402"/>
        <v>2025-09</v>
      </c>
      <c r="G4345" s="18">
        <f t="shared" si="403"/>
        <v>39</v>
      </c>
      <c r="H4345" t="str">
        <f t="shared" si="404"/>
        <v>SACADO</v>
      </c>
      <c r="I4345" t="str">
        <f t="shared" si="405"/>
        <v>ALLIAGE S A INDUSTRIAS MEDICO ODONTOLOGICA</v>
      </c>
      <c r="J4345">
        <f t="shared" si="406"/>
        <v>0</v>
      </c>
      <c r="K4345">
        <f t="shared" si="407"/>
        <v>1</v>
      </c>
    </row>
    <row r="4346" spans="1:11" x14ac:dyDescent="0.25">
      <c r="A4346" t="s">
        <v>521</v>
      </c>
      <c r="B4346" t="s">
        <v>286</v>
      </c>
      <c r="C4346" t="s">
        <v>50</v>
      </c>
      <c r="D4346" s="6">
        <v>45926</v>
      </c>
      <c r="E4346" t="str">
        <f>VLOOKUP(B4346,'PROCV GERENTES BD'!A:B,2,0)</f>
        <v>CELIO PIMENTA</v>
      </c>
      <c r="F4346" s="4" t="str">
        <f t="shared" si="402"/>
        <v>2025-09</v>
      </c>
      <c r="G4346" s="18">
        <f t="shared" si="403"/>
        <v>39</v>
      </c>
      <c r="H4346" t="str">
        <f t="shared" si="404"/>
        <v>CELIO PIMENTA</v>
      </c>
      <c r="I4346" t="str">
        <f t="shared" si="405"/>
        <v>LINGERIE E CIA LTDA ME</v>
      </c>
      <c r="J4346">
        <f t="shared" si="406"/>
        <v>0</v>
      </c>
      <c r="K4346">
        <f t="shared" si="407"/>
        <v>1</v>
      </c>
    </row>
    <row r="4347" spans="1:11" x14ac:dyDescent="0.25">
      <c r="A4347" t="s">
        <v>510</v>
      </c>
      <c r="B4347" t="s">
        <v>273</v>
      </c>
      <c r="C4347" t="s">
        <v>50</v>
      </c>
      <c r="D4347" s="6">
        <v>45926</v>
      </c>
      <c r="E4347" t="str">
        <f>VLOOKUP(B4347,'PROCV GERENTES BD'!A:B,2,0)</f>
        <v>CELIO PIMENTA</v>
      </c>
      <c r="F4347" s="4" t="str">
        <f t="shared" si="402"/>
        <v>2025-09</v>
      </c>
      <c r="G4347" s="18">
        <f t="shared" si="403"/>
        <v>39</v>
      </c>
      <c r="H4347" t="str">
        <f t="shared" si="404"/>
        <v>CELIO PIMENTA</v>
      </c>
      <c r="I4347" t="str">
        <f t="shared" si="405"/>
        <v>PRADO MOREIRA TEXTIL LTDA ME</v>
      </c>
      <c r="J4347">
        <f t="shared" si="406"/>
        <v>0</v>
      </c>
      <c r="K4347">
        <f t="shared" si="407"/>
        <v>1</v>
      </c>
    </row>
    <row r="4348" spans="1:11" x14ac:dyDescent="0.25">
      <c r="A4348" t="s">
        <v>326</v>
      </c>
      <c r="B4348" t="s">
        <v>122</v>
      </c>
      <c r="C4348" t="s">
        <v>66</v>
      </c>
      <c r="D4348" s="6">
        <v>45926</v>
      </c>
      <c r="E4348" t="str">
        <f>VLOOKUP(B4348,'PROCV GERENTES BD'!A:B,2,0)</f>
        <v xml:space="preserve">ROGERIO </v>
      </c>
      <c r="F4348" s="4" t="str">
        <f t="shared" si="402"/>
        <v>2025-09</v>
      </c>
      <c r="G4348" s="18">
        <f t="shared" si="403"/>
        <v>39</v>
      </c>
      <c r="H4348" t="str">
        <f t="shared" si="404"/>
        <v xml:space="preserve">ROGERIO </v>
      </c>
      <c r="I4348" t="str">
        <f t="shared" si="405"/>
        <v>BIBE PRODUTOS INFANTIS LTDA</v>
      </c>
      <c r="J4348">
        <f t="shared" si="406"/>
        <v>1</v>
      </c>
      <c r="K4348">
        <f t="shared" si="407"/>
        <v>0</v>
      </c>
    </row>
    <row r="4349" spans="1:11" x14ac:dyDescent="0.25">
      <c r="A4349" t="s">
        <v>656</v>
      </c>
      <c r="B4349" t="s">
        <v>657</v>
      </c>
      <c r="C4349" t="s">
        <v>50</v>
      </c>
      <c r="D4349" s="6">
        <v>45927</v>
      </c>
      <c r="E4349" t="str">
        <f>VLOOKUP(B4349,'PROCV GERENTES BD'!A:B,2,0)</f>
        <v>ADMINISTRAÇÃO</v>
      </c>
      <c r="F4349" s="4" t="str">
        <f t="shared" si="402"/>
        <v>2025-09</v>
      </c>
      <c r="G4349" s="18">
        <f t="shared" si="403"/>
        <v>39</v>
      </c>
      <c r="H4349" t="str">
        <f t="shared" si="404"/>
        <v>ADMINISTRAÇÃO</v>
      </c>
      <c r="I4349" t="str">
        <f t="shared" si="405"/>
        <v>NCBA INTERMEDIACAO LTDA ME</v>
      </c>
      <c r="J4349">
        <f t="shared" si="406"/>
        <v>0</v>
      </c>
      <c r="K4349">
        <f t="shared" si="407"/>
        <v>1</v>
      </c>
    </row>
    <row r="4350" spans="1:11" x14ac:dyDescent="0.25">
      <c r="A4350" t="s">
        <v>532</v>
      </c>
      <c r="B4350" t="s">
        <v>300</v>
      </c>
      <c r="C4350" t="s">
        <v>50</v>
      </c>
      <c r="D4350" s="6">
        <v>45927</v>
      </c>
      <c r="E4350" t="str">
        <f>VLOOKUP(B4350,'PROCV GERENTES BD'!A:B,2,0)</f>
        <v>RAFAEL PARISE</v>
      </c>
      <c r="F4350" s="4" t="str">
        <f t="shared" si="402"/>
        <v>2025-09</v>
      </c>
      <c r="G4350" s="18">
        <f t="shared" si="403"/>
        <v>39</v>
      </c>
      <c r="H4350" t="str">
        <f t="shared" si="404"/>
        <v>RAFAEL PARISE</v>
      </c>
      <c r="I4350" t="str">
        <f t="shared" si="405"/>
        <v>MINASPOL INDUSTRIA E COMERCIO DE COMPOSTOS POLIMER</v>
      </c>
      <c r="J4350">
        <f t="shared" si="406"/>
        <v>0</v>
      </c>
      <c r="K4350">
        <f t="shared" si="407"/>
        <v>1</v>
      </c>
    </row>
    <row r="4351" spans="1:11" x14ac:dyDescent="0.25">
      <c r="A4351" t="s">
        <v>361</v>
      </c>
      <c r="B4351" t="s">
        <v>106</v>
      </c>
      <c r="C4351" t="s">
        <v>50</v>
      </c>
      <c r="D4351" s="6">
        <v>45927</v>
      </c>
      <c r="E4351" t="str">
        <f>VLOOKUP(B4351,'PROCV GERENTES BD'!A:B,2,0)</f>
        <v>PRISCILA METZ</v>
      </c>
      <c r="F4351" s="4" t="str">
        <f t="shared" si="402"/>
        <v>2025-09</v>
      </c>
      <c r="G4351" s="18">
        <f t="shared" si="403"/>
        <v>39</v>
      </c>
      <c r="H4351" t="str">
        <f t="shared" si="404"/>
        <v>PRISCILA METZ</v>
      </c>
      <c r="I4351" t="str">
        <f t="shared" si="405"/>
        <v>HERBAMED LABORATORIO NUTRACEUTICO LTDA</v>
      </c>
      <c r="J4351">
        <f t="shared" si="406"/>
        <v>0</v>
      </c>
      <c r="K4351">
        <f t="shared" si="407"/>
        <v>1</v>
      </c>
    </row>
    <row r="4352" spans="1:11" x14ac:dyDescent="0.25">
      <c r="A4352" t="s">
        <v>638</v>
      </c>
      <c r="B4352" t="s">
        <v>539</v>
      </c>
      <c r="C4352" t="s">
        <v>50</v>
      </c>
      <c r="D4352" s="6">
        <v>45927</v>
      </c>
      <c r="E4352" t="str">
        <f>VLOOKUP(B4352,'PROCV GERENTES BD'!A:B,2,0)</f>
        <v>JJPH</v>
      </c>
      <c r="F4352" s="4" t="str">
        <f t="shared" si="402"/>
        <v>2025-09</v>
      </c>
      <c r="G4352" s="18">
        <f t="shared" si="403"/>
        <v>39</v>
      </c>
      <c r="H4352" t="str">
        <f t="shared" si="404"/>
        <v>JJPH</v>
      </c>
      <c r="I4352" t="str">
        <f t="shared" si="405"/>
        <v>DIFARMIG LTDA</v>
      </c>
      <c r="J4352">
        <f t="shared" si="406"/>
        <v>0</v>
      </c>
      <c r="K4352">
        <f t="shared" si="407"/>
        <v>1</v>
      </c>
    </row>
    <row r="4353" spans="1:11" x14ac:dyDescent="0.25">
      <c r="A4353" t="s">
        <v>56</v>
      </c>
      <c r="B4353" t="s">
        <v>57</v>
      </c>
      <c r="C4353" t="s">
        <v>66</v>
      </c>
      <c r="D4353" s="6">
        <v>45927</v>
      </c>
      <c r="E4353" t="str">
        <f>VLOOKUP(B4353,'PROCV GERENTES BD'!A:B,2,0)</f>
        <v xml:space="preserve">ROGERIO </v>
      </c>
      <c r="F4353" s="4" t="str">
        <f t="shared" si="402"/>
        <v>2025-09</v>
      </c>
      <c r="G4353" s="18">
        <f t="shared" si="403"/>
        <v>39</v>
      </c>
      <c r="H4353" t="str">
        <f t="shared" si="404"/>
        <v xml:space="preserve">ROGERIO </v>
      </c>
      <c r="I4353" t="str">
        <f t="shared" si="405"/>
        <v>RODOVIEIRA TRANSPORTE LTDA</v>
      </c>
      <c r="J4353">
        <f t="shared" si="406"/>
        <v>1</v>
      </c>
      <c r="K4353">
        <f t="shared" si="407"/>
        <v>0</v>
      </c>
    </row>
    <row r="4354" spans="1:11" x14ac:dyDescent="0.25">
      <c r="A4354" t="s">
        <v>58</v>
      </c>
      <c r="B4354" t="s">
        <v>59</v>
      </c>
      <c r="C4354" t="s">
        <v>53</v>
      </c>
      <c r="D4354" s="6">
        <v>45927</v>
      </c>
      <c r="E4354" t="str">
        <f>VLOOKUP(B4354,'PROCV GERENTES BD'!A:B,2,0)</f>
        <v>ADMINISTRAÇÃO</v>
      </c>
      <c r="F4354" s="4" t="str">
        <f t="shared" ref="F4354:F4417" si="408">YEAR(D4354)&amp;"-"&amp;TEXT(MONTH(D4354),"00")</f>
        <v>2025-09</v>
      </c>
      <c r="G4354" s="18">
        <f t="shared" ref="G4354:G4417" si="409">WEEKNUM(D4354)</f>
        <v>39</v>
      </c>
      <c r="H4354" t="str">
        <f t="shared" ref="H4354:H4417" si="410">E4354</f>
        <v>ADMINISTRAÇÃO</v>
      </c>
      <c r="I4354" t="str">
        <f t="shared" ref="I4354:I4417" si="411">B4354</f>
        <v>BIOTECH LOGISTICA LTDA</v>
      </c>
      <c r="J4354">
        <f t="shared" ref="J4354:J4417" si="412">IF(OR(C4354="EXCLUSAO  ANOT.INADIMPLENCIA",C4354="INCL/EXCL ANOT.INADIMPLENCIA"),1,0)</f>
        <v>1</v>
      </c>
      <c r="K4354">
        <f t="shared" ref="K4354:K4417" si="413">IF(OR(C4354="INCLUSAO  ANOT.INADIMPLENCIA",C4354="INCL/EXCL ANOT.INADIMPLENCIA"),1,0)</f>
        <v>1</v>
      </c>
    </row>
    <row r="4355" spans="1:11" x14ac:dyDescent="0.25">
      <c r="A4355" t="s">
        <v>604</v>
      </c>
      <c r="B4355" t="s">
        <v>605</v>
      </c>
      <c r="C4355" t="s">
        <v>50</v>
      </c>
      <c r="D4355" s="6">
        <v>45927</v>
      </c>
      <c r="E4355" t="str">
        <f>VLOOKUP(B4355,'PROCV GERENTES BD'!A:B,2,0)</f>
        <v>ALISSON DE SOUZA LIMA</v>
      </c>
      <c r="F4355" s="4" t="str">
        <f t="shared" si="408"/>
        <v>2025-09</v>
      </c>
      <c r="G4355" s="18">
        <f t="shared" si="409"/>
        <v>39</v>
      </c>
      <c r="H4355" t="str">
        <f t="shared" si="410"/>
        <v>ALISSON DE SOUZA LIMA</v>
      </c>
      <c r="I4355" t="str">
        <f t="shared" si="411"/>
        <v>3J FUNDICAO INDUSTRIAL LTDA</v>
      </c>
      <c r="J4355">
        <f t="shared" si="412"/>
        <v>0</v>
      </c>
      <c r="K4355">
        <f t="shared" si="413"/>
        <v>1</v>
      </c>
    </row>
    <row r="4356" spans="1:11" x14ac:dyDescent="0.25">
      <c r="A4356" t="s">
        <v>499</v>
      </c>
      <c r="B4356" t="s">
        <v>258</v>
      </c>
      <c r="C4356" t="s">
        <v>50</v>
      </c>
      <c r="D4356" s="6">
        <v>45927</v>
      </c>
      <c r="E4356" t="str">
        <f>VLOOKUP(B4356,'PROCV GERENTES BD'!A:B,2,0)</f>
        <v>PRISCILA METZ</v>
      </c>
      <c r="F4356" s="4" t="str">
        <f t="shared" si="408"/>
        <v>2025-09</v>
      </c>
      <c r="G4356" s="18">
        <f t="shared" si="409"/>
        <v>39</v>
      </c>
      <c r="H4356" t="str">
        <f t="shared" si="410"/>
        <v>PRISCILA METZ</v>
      </c>
      <c r="I4356" t="str">
        <f t="shared" si="411"/>
        <v>PLATINUM INDUSTRIA DE CONFECCOES LTDA</v>
      </c>
      <c r="J4356">
        <f t="shared" si="412"/>
        <v>0</v>
      </c>
      <c r="K4356">
        <f t="shared" si="413"/>
        <v>1</v>
      </c>
    </row>
    <row r="4357" spans="1:11" x14ac:dyDescent="0.25">
      <c r="A4357" t="s">
        <v>62</v>
      </c>
      <c r="B4357" t="s">
        <v>63</v>
      </c>
      <c r="C4357" t="s">
        <v>50</v>
      </c>
      <c r="D4357" s="6">
        <v>45927</v>
      </c>
      <c r="E4357" t="str">
        <f>VLOOKUP(B4357,'PROCV GERENTES BD'!A:B,2,0)</f>
        <v>PROSPECTAR</v>
      </c>
      <c r="F4357" s="4" t="str">
        <f t="shared" si="408"/>
        <v>2025-09</v>
      </c>
      <c r="G4357" s="18">
        <f t="shared" si="409"/>
        <v>39</v>
      </c>
      <c r="H4357" t="str">
        <f t="shared" si="410"/>
        <v>PROSPECTAR</v>
      </c>
      <c r="I4357" t="str">
        <f t="shared" si="411"/>
        <v>MAPP COM IMPORTACAO EXPORTACAO IND PRODUTOS ALIMEN</v>
      </c>
      <c r="J4357">
        <f t="shared" si="412"/>
        <v>0</v>
      </c>
      <c r="K4357">
        <f t="shared" si="413"/>
        <v>1</v>
      </c>
    </row>
    <row r="4358" spans="1:11" x14ac:dyDescent="0.25">
      <c r="A4358" t="s">
        <v>64</v>
      </c>
      <c r="B4358" t="s">
        <v>65</v>
      </c>
      <c r="C4358" t="s">
        <v>329</v>
      </c>
      <c r="D4358" s="6">
        <v>45927</v>
      </c>
      <c r="E4358" t="str">
        <f>VLOOKUP(B4358,'PROCV GERENTES BD'!A:B,2,0)</f>
        <v>ADMINISTRAÇÃO</v>
      </c>
      <c r="F4358" s="4" t="str">
        <f t="shared" si="408"/>
        <v>2025-09</v>
      </c>
      <c r="G4358" s="18">
        <f t="shared" si="409"/>
        <v>39</v>
      </c>
      <c r="H4358" t="str">
        <f t="shared" si="410"/>
        <v>ADMINISTRAÇÃO</v>
      </c>
      <c r="I4358" t="str">
        <f t="shared" si="411"/>
        <v>SOCIAL S/A</v>
      </c>
      <c r="J4358">
        <f t="shared" si="412"/>
        <v>0</v>
      </c>
      <c r="K4358">
        <f t="shared" si="413"/>
        <v>0</v>
      </c>
    </row>
    <row r="4359" spans="1:11" x14ac:dyDescent="0.25">
      <c r="A4359" t="s">
        <v>64</v>
      </c>
      <c r="B4359" t="s">
        <v>65</v>
      </c>
      <c r="C4359" t="s">
        <v>50</v>
      </c>
      <c r="D4359" s="6">
        <v>45927</v>
      </c>
      <c r="E4359" t="str">
        <f>VLOOKUP(B4359,'PROCV GERENTES BD'!A:B,2,0)</f>
        <v>ADMINISTRAÇÃO</v>
      </c>
      <c r="F4359" s="4" t="str">
        <f t="shared" si="408"/>
        <v>2025-09</v>
      </c>
      <c r="G4359" s="18">
        <f t="shared" si="409"/>
        <v>39</v>
      </c>
      <c r="H4359" t="str">
        <f t="shared" si="410"/>
        <v>ADMINISTRAÇÃO</v>
      </c>
      <c r="I4359" t="str">
        <f t="shared" si="411"/>
        <v>SOCIAL S/A</v>
      </c>
      <c r="J4359">
        <f t="shared" si="412"/>
        <v>0</v>
      </c>
      <c r="K4359">
        <f t="shared" si="413"/>
        <v>1</v>
      </c>
    </row>
    <row r="4360" spans="1:11" x14ac:dyDescent="0.25">
      <c r="A4360" t="s">
        <v>610</v>
      </c>
      <c r="B4360" t="s">
        <v>611</v>
      </c>
      <c r="C4360" t="s">
        <v>66</v>
      </c>
      <c r="D4360" s="6">
        <v>45927</v>
      </c>
      <c r="E4360" t="str">
        <f>VLOOKUP(B4360,'PROCV GERENTES BD'!A:B,2,0)</f>
        <v>TIAGO NEVES</v>
      </c>
      <c r="F4360" s="4" t="str">
        <f t="shared" si="408"/>
        <v>2025-09</v>
      </c>
      <c r="G4360" s="18">
        <f t="shared" si="409"/>
        <v>39</v>
      </c>
      <c r="H4360" t="str">
        <f t="shared" si="410"/>
        <v>TIAGO NEVES</v>
      </c>
      <c r="I4360" t="str">
        <f t="shared" si="411"/>
        <v>TRATOR GLASS LTDA ME</v>
      </c>
      <c r="J4360">
        <f t="shared" si="412"/>
        <v>1</v>
      </c>
      <c r="K4360">
        <f t="shared" si="413"/>
        <v>0</v>
      </c>
    </row>
    <row r="4361" spans="1:11" x14ac:dyDescent="0.25">
      <c r="A4361" t="s">
        <v>623</v>
      </c>
      <c r="B4361" t="s">
        <v>624</v>
      </c>
      <c r="C4361" t="s">
        <v>50</v>
      </c>
      <c r="D4361" s="6">
        <v>45927</v>
      </c>
      <c r="E4361" t="str">
        <f>VLOOKUP(B4361,'PROCV GERENTES BD'!A:B,2,0)</f>
        <v>ALISSON DE SOUZA LIMA</v>
      </c>
      <c r="F4361" s="4" t="str">
        <f t="shared" si="408"/>
        <v>2025-09</v>
      </c>
      <c r="G4361" s="18">
        <f t="shared" si="409"/>
        <v>39</v>
      </c>
      <c r="H4361" t="str">
        <f t="shared" si="410"/>
        <v>ALISSON DE SOUZA LIMA</v>
      </c>
      <c r="I4361" t="str">
        <f t="shared" si="411"/>
        <v>A2 VIDROS INDUSTRIA E COMERCIO LTDA</v>
      </c>
      <c r="J4361">
        <f t="shared" si="412"/>
        <v>0</v>
      </c>
      <c r="K4361">
        <f t="shared" si="413"/>
        <v>1</v>
      </c>
    </row>
    <row r="4362" spans="1:11" x14ac:dyDescent="0.25">
      <c r="A4362" t="s">
        <v>487</v>
      </c>
      <c r="B4362" t="s">
        <v>244</v>
      </c>
      <c r="C4362" t="s">
        <v>50</v>
      </c>
      <c r="D4362" s="6">
        <v>45927</v>
      </c>
      <c r="E4362" t="str">
        <f>VLOOKUP(B4362,'PROCV GERENTES BD'!A:B,2,0)</f>
        <v xml:space="preserve">ROGERIO </v>
      </c>
      <c r="F4362" s="4" t="str">
        <f t="shared" si="408"/>
        <v>2025-09</v>
      </c>
      <c r="G4362" s="18">
        <f t="shared" si="409"/>
        <v>39</v>
      </c>
      <c r="H4362" t="str">
        <f t="shared" si="410"/>
        <v xml:space="preserve">ROGERIO </v>
      </c>
      <c r="I4362" t="str">
        <f t="shared" si="411"/>
        <v>MUNDO AGRO COMERCIO E DISTRIBUICAO DE CALCADOS LTD</v>
      </c>
      <c r="J4362">
        <f t="shared" si="412"/>
        <v>0</v>
      </c>
      <c r="K4362">
        <f t="shared" si="413"/>
        <v>1</v>
      </c>
    </row>
    <row r="4363" spans="1:11" x14ac:dyDescent="0.25">
      <c r="A4363" t="s">
        <v>534</v>
      </c>
      <c r="B4363" t="s">
        <v>303</v>
      </c>
      <c r="C4363" t="s">
        <v>50</v>
      </c>
      <c r="D4363" s="6">
        <v>45927</v>
      </c>
      <c r="E4363" t="str">
        <f>VLOOKUP(B4363,'PROCV GERENTES BD'!A:B,2,0)</f>
        <v xml:space="preserve">MARCUS VINICIUS </v>
      </c>
      <c r="F4363" s="4" t="str">
        <f t="shared" si="408"/>
        <v>2025-09</v>
      </c>
      <c r="G4363" s="18">
        <f t="shared" si="409"/>
        <v>39</v>
      </c>
      <c r="H4363" t="str">
        <f t="shared" si="410"/>
        <v xml:space="preserve">MARCUS VINICIUS </v>
      </c>
      <c r="I4363" t="str">
        <f t="shared" si="411"/>
        <v>GRAFICA JSA LTDA EPP</v>
      </c>
      <c r="J4363">
        <f t="shared" si="412"/>
        <v>0</v>
      </c>
      <c r="K4363">
        <f t="shared" si="413"/>
        <v>1</v>
      </c>
    </row>
    <row r="4364" spans="1:11" x14ac:dyDescent="0.25">
      <c r="A4364" t="s">
        <v>510</v>
      </c>
      <c r="B4364" t="s">
        <v>273</v>
      </c>
      <c r="C4364" t="s">
        <v>50</v>
      </c>
      <c r="D4364" s="6">
        <v>45927</v>
      </c>
      <c r="E4364" t="str">
        <f>VLOOKUP(B4364,'PROCV GERENTES BD'!A:B,2,0)</f>
        <v>CELIO PIMENTA</v>
      </c>
      <c r="F4364" s="4" t="str">
        <f t="shared" si="408"/>
        <v>2025-09</v>
      </c>
      <c r="G4364" s="18">
        <f t="shared" si="409"/>
        <v>39</v>
      </c>
      <c r="H4364" t="str">
        <f t="shared" si="410"/>
        <v>CELIO PIMENTA</v>
      </c>
      <c r="I4364" t="str">
        <f t="shared" si="411"/>
        <v>PRADO MOREIRA TEXTIL LTDA ME</v>
      </c>
      <c r="J4364">
        <f t="shared" si="412"/>
        <v>0</v>
      </c>
      <c r="K4364">
        <f t="shared" si="413"/>
        <v>1</v>
      </c>
    </row>
    <row r="4365" spans="1:11" x14ac:dyDescent="0.25">
      <c r="A4365" t="s">
        <v>375</v>
      </c>
      <c r="B4365" t="s">
        <v>120</v>
      </c>
      <c r="C4365" t="s">
        <v>50</v>
      </c>
      <c r="D4365" s="6">
        <v>45930</v>
      </c>
      <c r="E4365" t="str">
        <f>VLOOKUP(B4365,'PROCV GERENTES BD'!A:B,2,0)</f>
        <v>ADMINISTRAÇÃO</v>
      </c>
      <c r="F4365" s="4" t="str">
        <f t="shared" si="408"/>
        <v>2025-09</v>
      </c>
      <c r="G4365" s="18">
        <f t="shared" si="409"/>
        <v>40</v>
      </c>
      <c r="H4365" t="str">
        <f t="shared" si="410"/>
        <v>ADMINISTRAÇÃO</v>
      </c>
      <c r="I4365" t="str">
        <f t="shared" si="411"/>
        <v>FARINELLI NUTRIMENTOS LTDA</v>
      </c>
      <c r="J4365">
        <f t="shared" si="412"/>
        <v>0</v>
      </c>
      <c r="K4365">
        <f t="shared" si="413"/>
        <v>1</v>
      </c>
    </row>
    <row r="4366" spans="1:11" x14ac:dyDescent="0.25">
      <c r="A4366" t="s">
        <v>630</v>
      </c>
      <c r="B4366" t="s">
        <v>559</v>
      </c>
      <c r="C4366" t="s">
        <v>53</v>
      </c>
      <c r="D4366" s="6">
        <v>45930</v>
      </c>
      <c r="E4366" t="str">
        <f>VLOOKUP(B4366,'PROCV GERENTES BD'!A:B,2,0)</f>
        <v>ALISSON DE SOUZA LIMA</v>
      </c>
      <c r="F4366" s="4" t="str">
        <f t="shared" si="408"/>
        <v>2025-09</v>
      </c>
      <c r="G4366" s="18">
        <f t="shared" si="409"/>
        <v>40</v>
      </c>
      <c r="H4366" t="str">
        <f t="shared" si="410"/>
        <v>ALISSON DE SOUZA LIMA</v>
      </c>
      <c r="I4366" t="str">
        <f t="shared" si="411"/>
        <v>JRG SOLUCOES INDUSTRIAIS LTDA</v>
      </c>
      <c r="J4366">
        <f t="shared" si="412"/>
        <v>1</v>
      </c>
      <c r="K4366">
        <f t="shared" si="413"/>
        <v>1</v>
      </c>
    </row>
    <row r="4367" spans="1:11" x14ac:dyDescent="0.25">
      <c r="A4367" t="s">
        <v>370</v>
      </c>
      <c r="B4367" t="s">
        <v>114</v>
      </c>
      <c r="C4367" t="s">
        <v>66</v>
      </c>
      <c r="D4367" s="6">
        <v>45930</v>
      </c>
      <c r="E4367" t="str">
        <f>VLOOKUP(B4367,'PROCV GERENTES BD'!A:B,2,0)</f>
        <v>POENATELA</v>
      </c>
      <c r="F4367" s="4" t="str">
        <f t="shared" si="408"/>
        <v>2025-09</v>
      </c>
      <c r="G4367" s="18">
        <f t="shared" si="409"/>
        <v>40</v>
      </c>
      <c r="H4367" t="str">
        <f t="shared" si="410"/>
        <v>POENATELA</v>
      </c>
      <c r="I4367" t="str">
        <f t="shared" si="411"/>
        <v>COOPERATIVA TRANSP AUTON CARGAS PASSAG SERVICOS LO</v>
      </c>
      <c r="J4367">
        <f t="shared" si="412"/>
        <v>1</v>
      </c>
      <c r="K4367">
        <f t="shared" si="413"/>
        <v>0</v>
      </c>
    </row>
    <row r="4368" spans="1:11" x14ac:dyDescent="0.25">
      <c r="A4368" t="s">
        <v>444</v>
      </c>
      <c r="B4368" t="s">
        <v>195</v>
      </c>
      <c r="C4368" t="s">
        <v>50</v>
      </c>
      <c r="D4368" s="6">
        <v>45930</v>
      </c>
      <c r="E4368" t="str">
        <f>VLOOKUP(B4368,'PROCV GERENTES BD'!A:B,2,0)</f>
        <v>RAFAEL PARISE</v>
      </c>
      <c r="F4368" s="4" t="str">
        <f t="shared" si="408"/>
        <v>2025-09</v>
      </c>
      <c r="G4368" s="18">
        <f t="shared" si="409"/>
        <v>40</v>
      </c>
      <c r="H4368" t="str">
        <f t="shared" si="410"/>
        <v>RAFAEL PARISE</v>
      </c>
      <c r="I4368" t="str">
        <f t="shared" si="411"/>
        <v>GEDIBOR RUBBER POLYURETHANE LTDA EPP</v>
      </c>
      <c r="J4368">
        <f t="shared" si="412"/>
        <v>0</v>
      </c>
      <c r="K4368">
        <f t="shared" si="413"/>
        <v>1</v>
      </c>
    </row>
    <row r="4369" spans="1:11" x14ac:dyDescent="0.25">
      <c r="A4369" t="s">
        <v>645</v>
      </c>
      <c r="B4369" t="s">
        <v>646</v>
      </c>
      <c r="C4369" t="s">
        <v>50</v>
      </c>
      <c r="D4369" s="6">
        <v>45930</v>
      </c>
      <c r="E4369" t="str">
        <f>VLOOKUP(B4369,'PROCV GERENTES BD'!A:B,2,0)</f>
        <v>RAFAEL PARISE</v>
      </c>
      <c r="F4369" s="4" t="str">
        <f t="shared" si="408"/>
        <v>2025-09</v>
      </c>
      <c r="G4369" s="18">
        <f t="shared" si="409"/>
        <v>40</v>
      </c>
      <c r="H4369" t="str">
        <f t="shared" si="410"/>
        <v>RAFAEL PARISE</v>
      </c>
      <c r="I4369" t="str">
        <f t="shared" si="411"/>
        <v>SIGGA LOGISTICA LTDA</v>
      </c>
      <c r="J4369">
        <f t="shared" si="412"/>
        <v>0</v>
      </c>
      <c r="K4369">
        <f t="shared" si="413"/>
        <v>1</v>
      </c>
    </row>
    <row r="4370" spans="1:11" x14ac:dyDescent="0.25">
      <c r="A4370" t="s">
        <v>488</v>
      </c>
      <c r="B4370" t="s">
        <v>247</v>
      </c>
      <c r="C4370" t="s">
        <v>53</v>
      </c>
      <c r="D4370" s="6">
        <v>45930</v>
      </c>
      <c r="E4370" t="str">
        <f>VLOOKUP(B4370,'PROCV GERENTES BD'!A:B,2,0)</f>
        <v>CELIO PIMENTA</v>
      </c>
      <c r="F4370" s="4" t="str">
        <f t="shared" si="408"/>
        <v>2025-09</v>
      </c>
      <c r="G4370" s="18">
        <f t="shared" si="409"/>
        <v>40</v>
      </c>
      <c r="H4370" t="str">
        <f t="shared" si="410"/>
        <v>CELIO PIMENTA</v>
      </c>
      <c r="I4370" t="str">
        <f t="shared" si="411"/>
        <v>AZ HIDRAULICA USINAGEM LTDA EPP</v>
      </c>
      <c r="J4370">
        <f t="shared" si="412"/>
        <v>1</v>
      </c>
      <c r="K4370">
        <f t="shared" si="413"/>
        <v>1</v>
      </c>
    </row>
    <row r="4371" spans="1:11" x14ac:dyDescent="0.25">
      <c r="A4371" t="s">
        <v>314</v>
      </c>
      <c r="B4371" t="s">
        <v>246</v>
      </c>
      <c r="C4371" t="s">
        <v>50</v>
      </c>
      <c r="D4371" s="6">
        <v>45930</v>
      </c>
      <c r="E4371" t="str">
        <f>VLOOKUP(B4371,'PROCV GERENTES BD'!A:B,2,0)</f>
        <v xml:space="preserve">ROGERIO </v>
      </c>
      <c r="F4371" s="4" t="str">
        <f t="shared" si="408"/>
        <v>2025-09</v>
      </c>
      <c r="G4371" s="18">
        <f t="shared" si="409"/>
        <v>40</v>
      </c>
      <c r="H4371" t="str">
        <f t="shared" si="410"/>
        <v xml:space="preserve">ROGERIO </v>
      </c>
      <c r="I4371" t="str">
        <f t="shared" si="411"/>
        <v>MUTCD CENTRO DE DISTRIBUICAO DE IND FABRICANTE DE</v>
      </c>
      <c r="J4371">
        <f t="shared" si="412"/>
        <v>0</v>
      </c>
      <c r="K4371">
        <f t="shared" si="413"/>
        <v>1</v>
      </c>
    </row>
    <row r="4372" spans="1:11" x14ac:dyDescent="0.25">
      <c r="A4372" t="s">
        <v>515</v>
      </c>
      <c r="B4372" t="s">
        <v>277</v>
      </c>
      <c r="C4372" t="s">
        <v>50</v>
      </c>
      <c r="D4372" s="6">
        <v>45930</v>
      </c>
      <c r="E4372" t="str">
        <f>VLOOKUP(B4372,'PROCV GERENTES BD'!A:B,2,0)</f>
        <v>ALISSON DE SOUZA LIMA</v>
      </c>
      <c r="F4372" s="4" t="str">
        <f t="shared" si="408"/>
        <v>2025-09</v>
      </c>
      <c r="G4372" s="18">
        <f t="shared" si="409"/>
        <v>40</v>
      </c>
      <c r="H4372" t="str">
        <f t="shared" si="410"/>
        <v>ALISSON DE SOUZA LIMA</v>
      </c>
      <c r="I4372" t="str">
        <f t="shared" si="411"/>
        <v>COMERCIAL GTS INFORMATICA LTDA EPP</v>
      </c>
      <c r="J4372">
        <f t="shared" si="412"/>
        <v>0</v>
      </c>
      <c r="K4372">
        <f t="shared" si="413"/>
        <v>1</v>
      </c>
    </row>
    <row r="4373" spans="1:11" x14ac:dyDescent="0.25">
      <c r="A4373" t="s">
        <v>667</v>
      </c>
      <c r="B4373" t="s">
        <v>560</v>
      </c>
      <c r="C4373" t="s">
        <v>66</v>
      </c>
      <c r="D4373" s="6">
        <v>45930</v>
      </c>
      <c r="E4373" t="str">
        <f>VLOOKUP(B4373,'PROCV GERENTES BD'!A:B,2,0)</f>
        <v>ALISSON DE SOUZA LIMA</v>
      </c>
      <c r="F4373" s="4" t="str">
        <f t="shared" si="408"/>
        <v>2025-09</v>
      </c>
      <c r="G4373" s="18">
        <f t="shared" si="409"/>
        <v>40</v>
      </c>
      <c r="H4373" t="str">
        <f t="shared" si="410"/>
        <v>ALISSON DE SOUZA LIMA</v>
      </c>
      <c r="I4373" t="str">
        <f t="shared" si="411"/>
        <v>JRG SOLUCOES EM SERVICOS LTDA ME</v>
      </c>
      <c r="J4373">
        <f t="shared" si="412"/>
        <v>1</v>
      </c>
      <c r="K4373">
        <f t="shared" si="413"/>
        <v>0</v>
      </c>
    </row>
    <row r="4374" spans="1:11" x14ac:dyDescent="0.25">
      <c r="A4374" t="s">
        <v>460</v>
      </c>
      <c r="B4374" t="s">
        <v>217</v>
      </c>
      <c r="C4374" t="s">
        <v>50</v>
      </c>
      <c r="D4374" s="6">
        <v>45930</v>
      </c>
      <c r="E4374" t="str">
        <f>VLOOKUP(B4374,'PROCV GERENTES BD'!A:B,2,0)</f>
        <v>CELIO PIMENTA</v>
      </c>
      <c r="F4374" s="4" t="str">
        <f t="shared" si="408"/>
        <v>2025-09</v>
      </c>
      <c r="G4374" s="18">
        <f t="shared" si="409"/>
        <v>40</v>
      </c>
      <c r="H4374" t="str">
        <f t="shared" si="410"/>
        <v>CELIO PIMENTA</v>
      </c>
      <c r="I4374" t="str">
        <f t="shared" si="411"/>
        <v>MINAS CLEAN DISTRIBUIDORA DE PRODUTOS PARA LIMPEZA</v>
      </c>
      <c r="J4374">
        <f t="shared" si="412"/>
        <v>0</v>
      </c>
      <c r="K4374">
        <f t="shared" si="413"/>
        <v>1</v>
      </c>
    </row>
    <row r="4375" spans="1:11" x14ac:dyDescent="0.25">
      <c r="A4375" t="s">
        <v>686</v>
      </c>
      <c r="B4375" t="s">
        <v>567</v>
      </c>
      <c r="C4375" t="s">
        <v>50</v>
      </c>
      <c r="D4375" s="6">
        <v>45930</v>
      </c>
      <c r="E4375" t="str">
        <f>VLOOKUP(B4375,'PROCV GERENTES BD'!A:B,2,0)</f>
        <v>ADMINISTRAÇÃO</v>
      </c>
      <c r="F4375" s="4" t="str">
        <f t="shared" si="408"/>
        <v>2025-09</v>
      </c>
      <c r="G4375" s="18">
        <f t="shared" si="409"/>
        <v>40</v>
      </c>
      <c r="H4375" t="str">
        <f t="shared" si="410"/>
        <v>ADMINISTRAÇÃO</v>
      </c>
      <c r="I4375" t="str">
        <f t="shared" si="411"/>
        <v>HDR ENGENHARIA E LOCACOES LTDA ME</v>
      </c>
      <c r="J4375">
        <f t="shared" si="412"/>
        <v>0</v>
      </c>
      <c r="K4375">
        <f t="shared" si="413"/>
        <v>1</v>
      </c>
    </row>
    <row r="4376" spans="1:11" x14ac:dyDescent="0.25">
      <c r="A4376" t="s">
        <v>623</v>
      </c>
      <c r="B4376" t="s">
        <v>624</v>
      </c>
      <c r="C4376" t="s">
        <v>50</v>
      </c>
      <c r="D4376" s="6">
        <v>45930</v>
      </c>
      <c r="E4376" t="str">
        <f>VLOOKUP(B4376,'PROCV GERENTES BD'!A:B,2,0)</f>
        <v>ALISSON DE SOUZA LIMA</v>
      </c>
      <c r="F4376" s="4" t="str">
        <f t="shared" si="408"/>
        <v>2025-09</v>
      </c>
      <c r="G4376" s="18">
        <f t="shared" si="409"/>
        <v>40</v>
      </c>
      <c r="H4376" t="str">
        <f t="shared" si="410"/>
        <v>ALISSON DE SOUZA LIMA</v>
      </c>
      <c r="I4376" t="str">
        <f t="shared" si="411"/>
        <v>A2 VIDROS INDUSTRIA E COMERCIO LTDA</v>
      </c>
      <c r="J4376">
        <f t="shared" si="412"/>
        <v>0</v>
      </c>
      <c r="K4376">
        <f t="shared" si="413"/>
        <v>1</v>
      </c>
    </row>
    <row r="4377" spans="1:11" x14ac:dyDescent="0.25">
      <c r="A4377" t="s">
        <v>492</v>
      </c>
      <c r="B4377" t="s">
        <v>251</v>
      </c>
      <c r="C4377" t="s">
        <v>50</v>
      </c>
      <c r="D4377" s="6">
        <v>45930</v>
      </c>
      <c r="E4377" t="str">
        <f>VLOOKUP(B4377,'PROCV GERENTES BD'!A:B,2,0)</f>
        <v>PROSPECTAR</v>
      </c>
      <c r="F4377" s="4" t="str">
        <f t="shared" si="408"/>
        <v>2025-09</v>
      </c>
      <c r="G4377" s="18">
        <f t="shared" si="409"/>
        <v>40</v>
      </c>
      <c r="H4377" t="str">
        <f t="shared" si="410"/>
        <v>PROSPECTAR</v>
      </c>
      <c r="I4377" t="str">
        <f t="shared" si="411"/>
        <v>JANE FIGUEIRA CONFECCOES LTDA ME</v>
      </c>
      <c r="J4377">
        <f t="shared" si="412"/>
        <v>0</v>
      </c>
      <c r="K4377">
        <f t="shared" si="413"/>
        <v>1</v>
      </c>
    </row>
    <row r="4378" spans="1:11" x14ac:dyDescent="0.25">
      <c r="A4378" t="s">
        <v>521</v>
      </c>
      <c r="B4378" t="s">
        <v>286</v>
      </c>
      <c r="C4378" t="s">
        <v>50</v>
      </c>
      <c r="D4378" s="6">
        <v>45930</v>
      </c>
      <c r="E4378" t="str">
        <f>VLOOKUP(B4378,'PROCV GERENTES BD'!A:B,2,0)</f>
        <v>CELIO PIMENTA</v>
      </c>
      <c r="F4378" s="4" t="str">
        <f t="shared" si="408"/>
        <v>2025-09</v>
      </c>
      <c r="G4378" s="18">
        <f t="shared" si="409"/>
        <v>40</v>
      </c>
      <c r="H4378" t="str">
        <f t="shared" si="410"/>
        <v>CELIO PIMENTA</v>
      </c>
      <c r="I4378" t="str">
        <f t="shared" si="411"/>
        <v>LINGERIE E CIA LTDA ME</v>
      </c>
      <c r="J4378">
        <f t="shared" si="412"/>
        <v>0</v>
      </c>
      <c r="K4378">
        <f t="shared" si="413"/>
        <v>1</v>
      </c>
    </row>
    <row r="4379" spans="1:11" x14ac:dyDescent="0.25">
      <c r="A4379" t="s">
        <v>510</v>
      </c>
      <c r="B4379" t="s">
        <v>273</v>
      </c>
      <c r="C4379" t="s">
        <v>50</v>
      </c>
      <c r="D4379" s="6">
        <v>45930</v>
      </c>
      <c r="E4379" t="str">
        <f>VLOOKUP(B4379,'PROCV GERENTES BD'!A:B,2,0)</f>
        <v>CELIO PIMENTA</v>
      </c>
      <c r="F4379" s="4" t="str">
        <f t="shared" si="408"/>
        <v>2025-09</v>
      </c>
      <c r="G4379" s="18">
        <f t="shared" si="409"/>
        <v>40</v>
      </c>
      <c r="H4379" t="str">
        <f t="shared" si="410"/>
        <v>CELIO PIMENTA</v>
      </c>
      <c r="I4379" t="str">
        <f t="shared" si="411"/>
        <v>PRADO MOREIRA TEXTIL LTDA ME</v>
      </c>
      <c r="J4379">
        <f t="shared" si="412"/>
        <v>0</v>
      </c>
      <c r="K4379">
        <f t="shared" si="413"/>
        <v>1</v>
      </c>
    </row>
    <row r="4380" spans="1:11" x14ac:dyDescent="0.25">
      <c r="A4380" t="s">
        <v>508</v>
      </c>
      <c r="B4380" t="s">
        <v>271</v>
      </c>
      <c r="C4380" t="s">
        <v>50</v>
      </c>
      <c r="D4380" s="6">
        <v>45930</v>
      </c>
      <c r="E4380" t="str">
        <f>VLOOKUP(B4380,'PROCV GERENTES BD'!A:B,2,0)</f>
        <v>PRISCILA METZ</v>
      </c>
      <c r="F4380" s="4" t="str">
        <f t="shared" si="408"/>
        <v>2025-09</v>
      </c>
      <c r="G4380" s="18">
        <f t="shared" si="409"/>
        <v>40</v>
      </c>
      <c r="H4380" t="str">
        <f t="shared" si="410"/>
        <v>PRISCILA METZ</v>
      </c>
      <c r="I4380" t="str">
        <f t="shared" si="411"/>
        <v>TUBOLARES VITORIA INDUSTRIA E COMERCIO LTDA ME</v>
      </c>
      <c r="J4380">
        <f t="shared" si="412"/>
        <v>0</v>
      </c>
      <c r="K4380">
        <f t="shared" si="413"/>
        <v>1</v>
      </c>
    </row>
    <row r="4381" spans="1:11" x14ac:dyDescent="0.25">
      <c r="A4381" t="s">
        <v>64</v>
      </c>
      <c r="B4381" t="s">
        <v>65</v>
      </c>
      <c r="C4381" t="s">
        <v>50</v>
      </c>
      <c r="D4381" s="6">
        <v>45930</v>
      </c>
      <c r="E4381" t="str">
        <f>VLOOKUP(B4381,'PROCV GERENTES BD'!A:B,2,0)</f>
        <v>ADMINISTRAÇÃO</v>
      </c>
      <c r="F4381" s="4" t="str">
        <f t="shared" si="408"/>
        <v>2025-09</v>
      </c>
      <c r="G4381" s="18">
        <f t="shared" si="409"/>
        <v>40</v>
      </c>
      <c r="H4381" t="str">
        <f t="shared" si="410"/>
        <v>ADMINISTRAÇÃO</v>
      </c>
      <c r="I4381" t="str">
        <f t="shared" si="411"/>
        <v>SOCIAL S/A</v>
      </c>
      <c r="J4381">
        <f t="shared" si="412"/>
        <v>0</v>
      </c>
      <c r="K4381">
        <f t="shared" si="413"/>
        <v>1</v>
      </c>
    </row>
    <row r="4382" spans="1:11" x14ac:dyDescent="0.25">
      <c r="A4382" t="s">
        <v>62</v>
      </c>
      <c r="B4382" t="s">
        <v>63</v>
      </c>
      <c r="C4382" t="s">
        <v>50</v>
      </c>
      <c r="D4382" s="6">
        <v>45930</v>
      </c>
      <c r="E4382" t="str">
        <f>VLOOKUP(B4382,'PROCV GERENTES BD'!A:B,2,0)</f>
        <v>PROSPECTAR</v>
      </c>
      <c r="F4382" s="4" t="str">
        <f t="shared" si="408"/>
        <v>2025-09</v>
      </c>
      <c r="G4382" s="18">
        <f t="shared" si="409"/>
        <v>40</v>
      </c>
      <c r="H4382" t="str">
        <f t="shared" si="410"/>
        <v>PROSPECTAR</v>
      </c>
      <c r="I4382" t="str">
        <f t="shared" si="411"/>
        <v>MAPP COM IMPORTACAO EXPORTACAO IND PRODUTOS ALIMEN</v>
      </c>
      <c r="J4382">
        <f t="shared" si="412"/>
        <v>0</v>
      </c>
      <c r="K4382">
        <f t="shared" si="413"/>
        <v>1</v>
      </c>
    </row>
    <row r="4383" spans="1:11" x14ac:dyDescent="0.25">
      <c r="A4383" t="s">
        <v>499</v>
      </c>
      <c r="B4383" t="s">
        <v>258</v>
      </c>
      <c r="C4383" t="s">
        <v>50</v>
      </c>
      <c r="D4383" s="6">
        <v>45930</v>
      </c>
      <c r="E4383" t="str">
        <f>VLOOKUP(B4383,'PROCV GERENTES BD'!A:B,2,0)</f>
        <v>PRISCILA METZ</v>
      </c>
      <c r="F4383" s="4" t="str">
        <f t="shared" si="408"/>
        <v>2025-09</v>
      </c>
      <c r="G4383" s="18">
        <f t="shared" si="409"/>
        <v>40</v>
      </c>
      <c r="H4383" t="str">
        <f t="shared" si="410"/>
        <v>PRISCILA METZ</v>
      </c>
      <c r="I4383" t="str">
        <f t="shared" si="411"/>
        <v>PLATINUM INDUSTRIA DE CONFECCOES LTDA</v>
      </c>
      <c r="J4383">
        <f t="shared" si="412"/>
        <v>0</v>
      </c>
      <c r="K4383">
        <f t="shared" si="413"/>
        <v>1</v>
      </c>
    </row>
    <row r="4384" spans="1:11" x14ac:dyDescent="0.25">
      <c r="A4384" t="s">
        <v>413</v>
      </c>
      <c r="B4384" t="s">
        <v>163</v>
      </c>
      <c r="C4384" t="s">
        <v>66</v>
      </c>
      <c r="D4384" s="6">
        <v>45930</v>
      </c>
      <c r="E4384" t="str">
        <f>VLOOKUP(B4384,'PROCV GERENTES BD'!A:B,2,0)</f>
        <v>CELIO PIMENTA</v>
      </c>
      <c r="F4384" s="4" t="str">
        <f t="shared" si="408"/>
        <v>2025-09</v>
      </c>
      <c r="G4384" s="18">
        <f t="shared" si="409"/>
        <v>40</v>
      </c>
      <c r="H4384" t="str">
        <f t="shared" si="410"/>
        <v>CELIO PIMENTA</v>
      </c>
      <c r="I4384" t="str">
        <f t="shared" si="411"/>
        <v>TOUROS IMPLEMENTOS LTDA ME</v>
      </c>
      <c r="J4384">
        <f t="shared" si="412"/>
        <v>1</v>
      </c>
      <c r="K4384">
        <f t="shared" si="413"/>
        <v>0</v>
      </c>
    </row>
    <row r="4385" spans="1:11" x14ac:dyDescent="0.25">
      <c r="A4385" t="s">
        <v>529</v>
      </c>
      <c r="B4385" t="s">
        <v>297</v>
      </c>
      <c r="C4385" t="s">
        <v>50</v>
      </c>
      <c r="D4385" s="6">
        <v>45930</v>
      </c>
      <c r="E4385" t="str">
        <f>VLOOKUP(B4385,'PROCV GERENTES BD'!A:B,2,0)</f>
        <v>ANDRE CUNHA</v>
      </c>
      <c r="F4385" s="4" t="str">
        <f t="shared" si="408"/>
        <v>2025-09</v>
      </c>
      <c r="G4385" s="18">
        <f t="shared" si="409"/>
        <v>40</v>
      </c>
      <c r="H4385" t="str">
        <f t="shared" si="410"/>
        <v>ANDRE CUNHA</v>
      </c>
      <c r="I4385" t="str">
        <f t="shared" si="411"/>
        <v>REVPACK TECNOLOGIA E COMERCIO DE COMPONENTES PLAST</v>
      </c>
      <c r="J4385">
        <f t="shared" si="412"/>
        <v>0</v>
      </c>
      <c r="K4385">
        <f t="shared" si="413"/>
        <v>1</v>
      </c>
    </row>
    <row r="4386" spans="1:11" x14ac:dyDescent="0.25">
      <c r="A4386" t="s">
        <v>311</v>
      </c>
      <c r="B4386" t="s">
        <v>81</v>
      </c>
      <c r="C4386" t="s">
        <v>50</v>
      </c>
      <c r="D4386" s="6">
        <v>45930</v>
      </c>
      <c r="E4386" t="str">
        <f>VLOOKUP(B4386,'PROCV GERENTES BD'!A:B,2,0)</f>
        <v>CELIO PIMENTA</v>
      </c>
      <c r="F4386" s="4" t="str">
        <f t="shared" si="408"/>
        <v>2025-09</v>
      </c>
      <c r="G4386" s="18">
        <f t="shared" si="409"/>
        <v>40</v>
      </c>
      <c r="H4386" t="str">
        <f t="shared" si="410"/>
        <v>CELIO PIMENTA</v>
      </c>
      <c r="I4386" t="str">
        <f t="shared" si="411"/>
        <v>MBIOLOG DIAGNOSTICOS LTDA</v>
      </c>
      <c r="J4386">
        <f t="shared" si="412"/>
        <v>0</v>
      </c>
      <c r="K4386">
        <f t="shared" si="413"/>
        <v>1</v>
      </c>
    </row>
    <row r="4387" spans="1:11" x14ac:dyDescent="0.25">
      <c r="A4387" t="s">
        <v>523</v>
      </c>
      <c r="B4387" t="s">
        <v>288</v>
      </c>
      <c r="C4387" t="s">
        <v>50</v>
      </c>
      <c r="D4387" s="6">
        <v>45930</v>
      </c>
      <c r="E4387" t="str">
        <f>VLOOKUP(B4387,'PROCV GERENTES BD'!A:B,2,0)</f>
        <v>ADMINISTRAÇÃO</v>
      </c>
      <c r="F4387" s="4" t="str">
        <f t="shared" si="408"/>
        <v>2025-09</v>
      </c>
      <c r="G4387" s="18">
        <f t="shared" si="409"/>
        <v>40</v>
      </c>
      <c r="H4387" t="str">
        <f t="shared" si="410"/>
        <v>ADMINISTRAÇÃO</v>
      </c>
      <c r="I4387" t="str">
        <f t="shared" si="411"/>
        <v>REFRACONT BRASIL LTDA</v>
      </c>
      <c r="J4387">
        <f t="shared" si="412"/>
        <v>0</v>
      </c>
      <c r="K4387">
        <f t="shared" si="413"/>
        <v>1</v>
      </c>
    </row>
    <row r="4388" spans="1:11" x14ac:dyDescent="0.25">
      <c r="A4388" t="s">
        <v>415</v>
      </c>
      <c r="B4388" t="s">
        <v>165</v>
      </c>
      <c r="C4388" t="s">
        <v>50</v>
      </c>
      <c r="D4388" s="6">
        <v>45930</v>
      </c>
      <c r="E4388" t="str">
        <f>VLOOKUP(B4388,'PROCV GERENTES BD'!A:B,2,0)</f>
        <v>PROSPECTAR</v>
      </c>
      <c r="F4388" s="4" t="str">
        <f t="shared" si="408"/>
        <v>2025-09</v>
      </c>
      <c r="G4388" s="18">
        <f t="shared" si="409"/>
        <v>40</v>
      </c>
      <c r="H4388" t="str">
        <f t="shared" si="410"/>
        <v>PROSPECTAR</v>
      </c>
      <c r="I4388" t="str">
        <f t="shared" si="411"/>
        <v>STA SERVICOS LTDA</v>
      </c>
      <c r="J4388">
        <f t="shared" si="412"/>
        <v>0</v>
      </c>
      <c r="K4388">
        <f t="shared" si="413"/>
        <v>1</v>
      </c>
    </row>
    <row r="4389" spans="1:11" x14ac:dyDescent="0.25">
      <c r="A4389" t="s">
        <v>387</v>
      </c>
      <c r="B4389" t="s">
        <v>134</v>
      </c>
      <c r="C4389" t="s">
        <v>50</v>
      </c>
      <c r="D4389" s="6">
        <v>45930</v>
      </c>
      <c r="E4389" t="str">
        <f>VLOOKUP(B4389,'PROCV GERENTES BD'!A:B,2,0)</f>
        <v>RAFAEL PARISE</v>
      </c>
      <c r="F4389" s="4" t="str">
        <f t="shared" si="408"/>
        <v>2025-09</v>
      </c>
      <c r="G4389" s="18">
        <f t="shared" si="409"/>
        <v>40</v>
      </c>
      <c r="H4389" t="str">
        <f t="shared" si="410"/>
        <v>RAFAEL PARISE</v>
      </c>
      <c r="I4389" t="str">
        <f t="shared" si="411"/>
        <v>MAIS DISTRIBUIDORA LTDA</v>
      </c>
      <c r="J4389">
        <f t="shared" si="412"/>
        <v>0</v>
      </c>
      <c r="K4389">
        <f t="shared" si="413"/>
        <v>1</v>
      </c>
    </row>
    <row r="4390" spans="1:11" x14ac:dyDescent="0.25">
      <c r="A4390" t="s">
        <v>54</v>
      </c>
      <c r="B4390" t="s">
        <v>55</v>
      </c>
      <c r="C4390" t="s">
        <v>66</v>
      </c>
      <c r="D4390" s="6">
        <v>45930</v>
      </c>
      <c r="E4390" t="str">
        <f>VLOOKUP(B4390,'PROCV GERENTES BD'!A:B,2,0)</f>
        <v>CELIO PIMENTA</v>
      </c>
      <c r="F4390" s="4" t="str">
        <f t="shared" si="408"/>
        <v>2025-09</v>
      </c>
      <c r="G4390" s="18">
        <f t="shared" si="409"/>
        <v>40</v>
      </c>
      <c r="H4390" t="str">
        <f t="shared" si="410"/>
        <v>CELIO PIMENTA</v>
      </c>
      <c r="I4390" t="str">
        <f t="shared" si="411"/>
        <v>WJ CALDEIRARIA INDUSTRIA E COMERCIO LTDA ME</v>
      </c>
      <c r="J4390">
        <f t="shared" si="412"/>
        <v>1</v>
      </c>
      <c r="K4390">
        <f t="shared" si="413"/>
        <v>0</v>
      </c>
    </row>
    <row r="4391" spans="1:11" x14ac:dyDescent="0.25">
      <c r="A4391" t="s">
        <v>668</v>
      </c>
      <c r="B4391" t="s">
        <v>669</v>
      </c>
      <c r="C4391" t="s">
        <v>50</v>
      </c>
      <c r="D4391" s="6">
        <v>45930</v>
      </c>
      <c r="E4391" t="str">
        <f>VLOOKUP(B4391,'PROCV GERENTES BD'!A:B,2,0)</f>
        <v>ADMINISTRAÇÃO</v>
      </c>
      <c r="F4391" s="4" t="str">
        <f t="shared" si="408"/>
        <v>2025-09</v>
      </c>
      <c r="G4391" s="18">
        <f t="shared" si="409"/>
        <v>40</v>
      </c>
      <c r="H4391" t="str">
        <f t="shared" si="410"/>
        <v>ADMINISTRAÇÃO</v>
      </c>
      <c r="I4391" t="str">
        <f t="shared" si="411"/>
        <v>SUPER BULL IMPORTACAO E COMERCIO DE EQUIPAMENTOS L</v>
      </c>
      <c r="J4391">
        <f t="shared" si="412"/>
        <v>0</v>
      </c>
      <c r="K4391">
        <f t="shared" si="413"/>
        <v>1</v>
      </c>
    </row>
    <row r="4392" spans="1:11" x14ac:dyDescent="0.25">
      <c r="A4392" t="s">
        <v>361</v>
      </c>
      <c r="B4392" t="s">
        <v>106</v>
      </c>
      <c r="C4392" t="s">
        <v>53</v>
      </c>
      <c r="D4392" s="6">
        <v>45930</v>
      </c>
      <c r="E4392" t="str">
        <f>VLOOKUP(B4392,'PROCV GERENTES BD'!A:B,2,0)</f>
        <v>PRISCILA METZ</v>
      </c>
      <c r="F4392" s="4" t="str">
        <f t="shared" si="408"/>
        <v>2025-09</v>
      </c>
      <c r="G4392" s="18">
        <f t="shared" si="409"/>
        <v>40</v>
      </c>
      <c r="H4392" t="str">
        <f t="shared" si="410"/>
        <v>PRISCILA METZ</v>
      </c>
      <c r="I4392" t="str">
        <f t="shared" si="411"/>
        <v>HERBAMED LABORATORIO NUTRACEUTICO LTDA</v>
      </c>
      <c r="J4392">
        <f t="shared" si="412"/>
        <v>1</v>
      </c>
      <c r="K4392">
        <f t="shared" si="413"/>
        <v>1</v>
      </c>
    </row>
    <row r="4393" spans="1:11" x14ac:dyDescent="0.25">
      <c r="A4393" t="s">
        <v>358</v>
      </c>
      <c r="B4393" t="s">
        <v>104</v>
      </c>
      <c r="C4393" t="s">
        <v>50</v>
      </c>
      <c r="D4393" s="6">
        <v>45930</v>
      </c>
      <c r="E4393" t="str">
        <f>VLOOKUP(B4393,'PROCV GERENTES BD'!A:B,2,0)</f>
        <v>DIOGO AZEVEDO</v>
      </c>
      <c r="F4393" s="4" t="str">
        <f t="shared" si="408"/>
        <v>2025-09</v>
      </c>
      <c r="G4393" s="18">
        <f t="shared" si="409"/>
        <v>40</v>
      </c>
      <c r="H4393" t="str">
        <f t="shared" si="410"/>
        <v>DIOGO AZEVEDO</v>
      </c>
      <c r="I4393" t="str">
        <f t="shared" si="411"/>
        <v>INDUSTRIA E CERVEJARIA ARTESANAL DE MINAS GERAIS L</v>
      </c>
      <c r="J4393">
        <f t="shared" si="412"/>
        <v>0</v>
      </c>
      <c r="K4393">
        <f t="shared" si="413"/>
        <v>1</v>
      </c>
    </row>
    <row r="4394" spans="1:11" x14ac:dyDescent="0.25">
      <c r="A4394" t="s">
        <v>331</v>
      </c>
      <c r="B4394" t="s">
        <v>144</v>
      </c>
      <c r="C4394" t="s">
        <v>66</v>
      </c>
      <c r="D4394" s="6">
        <v>45930</v>
      </c>
      <c r="E4394" t="str">
        <f>VLOOKUP(B4394,'PROCV GERENTES BD'!A:B,2,0)</f>
        <v>ADMINISTRAÇÃO</v>
      </c>
      <c r="F4394" s="4" t="str">
        <f t="shared" si="408"/>
        <v>2025-09</v>
      </c>
      <c r="G4394" s="18">
        <f t="shared" si="409"/>
        <v>40</v>
      </c>
      <c r="H4394" t="str">
        <f t="shared" si="410"/>
        <v>ADMINISTRAÇÃO</v>
      </c>
      <c r="I4394" t="str">
        <f t="shared" si="411"/>
        <v>BOM PASTOR PAPEIS LTDA EM RECUPERACAO JUDICIAL</v>
      </c>
      <c r="J4394">
        <f t="shared" si="412"/>
        <v>1</v>
      </c>
      <c r="K4394">
        <f t="shared" si="413"/>
        <v>0</v>
      </c>
    </row>
    <row r="4395" spans="1:11" x14ac:dyDescent="0.25">
      <c r="A4395" t="s">
        <v>56</v>
      </c>
      <c r="B4395" t="s">
        <v>57</v>
      </c>
      <c r="C4395" t="s">
        <v>50</v>
      </c>
      <c r="D4395" s="6">
        <v>45930</v>
      </c>
      <c r="E4395" t="str">
        <f>VLOOKUP(B4395,'PROCV GERENTES BD'!A:B,2,0)</f>
        <v xml:space="preserve">ROGERIO </v>
      </c>
      <c r="F4395" s="4" t="str">
        <f t="shared" si="408"/>
        <v>2025-09</v>
      </c>
      <c r="G4395" s="18">
        <f t="shared" si="409"/>
        <v>40</v>
      </c>
      <c r="H4395" t="str">
        <f t="shared" si="410"/>
        <v xml:space="preserve">ROGERIO </v>
      </c>
      <c r="I4395" t="str">
        <f t="shared" si="411"/>
        <v>RODOVIEIRA TRANSPORTE LTDA</v>
      </c>
      <c r="J4395">
        <f t="shared" si="412"/>
        <v>0</v>
      </c>
      <c r="K4395">
        <f t="shared" si="413"/>
        <v>1</v>
      </c>
    </row>
    <row r="4396" spans="1:11" x14ac:dyDescent="0.25">
      <c r="A4396" t="s">
        <v>58</v>
      </c>
      <c r="B4396" t="s">
        <v>59</v>
      </c>
      <c r="C4396" t="s">
        <v>66</v>
      </c>
      <c r="D4396" s="6">
        <v>45930</v>
      </c>
      <c r="E4396" t="str">
        <f>VLOOKUP(B4396,'PROCV GERENTES BD'!A:B,2,0)</f>
        <v>ADMINISTRAÇÃO</v>
      </c>
      <c r="F4396" s="4" t="str">
        <f t="shared" si="408"/>
        <v>2025-09</v>
      </c>
      <c r="G4396" s="18">
        <f t="shared" si="409"/>
        <v>40</v>
      </c>
      <c r="H4396" t="str">
        <f t="shared" si="410"/>
        <v>ADMINISTRAÇÃO</v>
      </c>
      <c r="I4396" t="str">
        <f t="shared" si="411"/>
        <v>BIOTECH LOGISTICA LTDA</v>
      </c>
      <c r="J4396">
        <f t="shared" si="412"/>
        <v>1</v>
      </c>
      <c r="K4396">
        <f t="shared" si="413"/>
        <v>0</v>
      </c>
    </row>
    <row r="4397" spans="1:11" x14ac:dyDescent="0.25">
      <c r="A4397" t="s">
        <v>310</v>
      </c>
      <c r="B4397" t="s">
        <v>204</v>
      </c>
      <c r="C4397" t="s">
        <v>50</v>
      </c>
      <c r="D4397" s="6">
        <v>45930</v>
      </c>
      <c r="E4397" t="str">
        <f>VLOOKUP(B4397,'PROCV GERENTES BD'!A:B,2,0)</f>
        <v xml:space="preserve">MARCUS VINICIUS </v>
      </c>
      <c r="F4397" s="4" t="str">
        <f t="shared" si="408"/>
        <v>2025-09</v>
      </c>
      <c r="G4397" s="18">
        <f t="shared" si="409"/>
        <v>40</v>
      </c>
      <c r="H4397" t="str">
        <f t="shared" si="410"/>
        <v xml:space="preserve">MARCUS VINICIUS </v>
      </c>
      <c r="I4397" t="str">
        <f t="shared" si="411"/>
        <v>INDUSTRIA E COMERCIO DE CHURRASQUEIRAS BOM JESUS L</v>
      </c>
      <c r="J4397">
        <f t="shared" si="412"/>
        <v>0</v>
      </c>
      <c r="K4397">
        <f t="shared" si="413"/>
        <v>1</v>
      </c>
    </row>
    <row r="4398" spans="1:11" x14ac:dyDescent="0.25">
      <c r="A4398" t="s">
        <v>604</v>
      </c>
      <c r="B4398" t="s">
        <v>605</v>
      </c>
      <c r="C4398" t="s">
        <v>50</v>
      </c>
      <c r="D4398" s="6">
        <v>45930</v>
      </c>
      <c r="E4398" t="str">
        <f>VLOOKUP(B4398,'PROCV GERENTES BD'!A:B,2,0)</f>
        <v>ALISSON DE SOUZA LIMA</v>
      </c>
      <c r="F4398" s="4" t="str">
        <f t="shared" si="408"/>
        <v>2025-09</v>
      </c>
      <c r="G4398" s="18">
        <f t="shared" si="409"/>
        <v>40</v>
      </c>
      <c r="H4398" t="str">
        <f t="shared" si="410"/>
        <v>ALISSON DE SOUZA LIMA</v>
      </c>
      <c r="I4398" t="str">
        <f t="shared" si="411"/>
        <v>3J FUNDICAO INDUSTRIAL LTDA</v>
      </c>
      <c r="J4398">
        <f t="shared" si="412"/>
        <v>0</v>
      </c>
      <c r="K4398">
        <f t="shared" si="413"/>
        <v>1</v>
      </c>
    </row>
    <row r="4399" spans="1:11" x14ac:dyDescent="0.25">
      <c r="A4399" t="s">
        <v>687</v>
      </c>
      <c r="B4399" t="s">
        <v>684</v>
      </c>
      <c r="C4399" t="s">
        <v>50</v>
      </c>
      <c r="D4399" s="6">
        <v>45930</v>
      </c>
      <c r="E4399" t="str">
        <f>VLOOKUP(B4399,'PROCV GERENTES BD'!A:B,2,0)</f>
        <v>DALVA</v>
      </c>
      <c r="F4399" s="4" t="str">
        <f t="shared" si="408"/>
        <v>2025-09</v>
      </c>
      <c r="G4399" s="18">
        <f t="shared" si="409"/>
        <v>40</v>
      </c>
      <c r="H4399" t="str">
        <f t="shared" si="410"/>
        <v>DALVA</v>
      </c>
      <c r="I4399" t="str">
        <f t="shared" si="411"/>
        <v>AGUIA DE FOGO PREVENCAO DE INCENDIO LTDA EPP</v>
      </c>
      <c r="J4399">
        <f t="shared" si="412"/>
        <v>0</v>
      </c>
      <c r="K4399">
        <f t="shared" si="413"/>
        <v>1</v>
      </c>
    </row>
    <row r="4400" spans="1:11" x14ac:dyDescent="0.25">
      <c r="A4400" t="s">
        <v>407</v>
      </c>
      <c r="B4400" t="s">
        <v>157</v>
      </c>
      <c r="C4400" t="s">
        <v>50</v>
      </c>
      <c r="D4400" s="6">
        <v>45930</v>
      </c>
      <c r="E4400" t="str">
        <f>VLOOKUP(B4400,'PROCV GERENTES BD'!A:B,2,0)</f>
        <v>NOELI SALETE</v>
      </c>
      <c r="F4400" s="4" t="str">
        <f t="shared" si="408"/>
        <v>2025-09</v>
      </c>
      <c r="G4400" s="18">
        <f t="shared" si="409"/>
        <v>40</v>
      </c>
      <c r="H4400" t="str">
        <f t="shared" si="410"/>
        <v>NOELI SALETE</v>
      </c>
      <c r="I4400" t="str">
        <f t="shared" si="411"/>
        <v>SGAMAQ INOVACAO AGROINDUSTRIAL LTDA</v>
      </c>
      <c r="J4400">
        <f t="shared" si="412"/>
        <v>0</v>
      </c>
      <c r="K4400">
        <f t="shared" si="413"/>
        <v>1</v>
      </c>
    </row>
    <row r="4401" spans="1:11" x14ac:dyDescent="0.25">
      <c r="A4401" t="s">
        <v>375</v>
      </c>
      <c r="B4401" t="s">
        <v>120</v>
      </c>
      <c r="C4401" t="s">
        <v>66</v>
      </c>
      <c r="D4401" s="6">
        <v>45931</v>
      </c>
      <c r="E4401" t="str">
        <f>VLOOKUP(B4401,'PROCV GERENTES BD'!A:B,2,0)</f>
        <v>ADMINISTRAÇÃO</v>
      </c>
      <c r="F4401" s="4" t="str">
        <f t="shared" si="408"/>
        <v>2025-10</v>
      </c>
      <c r="G4401" s="18">
        <f t="shared" si="409"/>
        <v>40</v>
      </c>
      <c r="H4401" t="str">
        <f t="shared" si="410"/>
        <v>ADMINISTRAÇÃO</v>
      </c>
      <c r="I4401" t="str">
        <f t="shared" si="411"/>
        <v>FARINELLI NUTRIMENTOS LTDA</v>
      </c>
      <c r="J4401">
        <f t="shared" si="412"/>
        <v>1</v>
      </c>
      <c r="K4401">
        <f t="shared" si="413"/>
        <v>0</v>
      </c>
    </row>
    <row r="4402" spans="1:11" x14ac:dyDescent="0.25">
      <c r="A4402" t="s">
        <v>448</v>
      </c>
      <c r="B4402" t="s">
        <v>201</v>
      </c>
      <c r="C4402" t="s">
        <v>50</v>
      </c>
      <c r="D4402" s="6">
        <v>45931</v>
      </c>
      <c r="E4402" t="str">
        <f>VLOOKUP(B4402,'PROCV GERENTES BD'!A:B,2,0)</f>
        <v>PRISCILA METZ</v>
      </c>
      <c r="F4402" s="4" t="str">
        <f t="shared" si="408"/>
        <v>2025-10</v>
      </c>
      <c r="G4402" s="18">
        <f t="shared" si="409"/>
        <v>40</v>
      </c>
      <c r="H4402" t="str">
        <f t="shared" si="410"/>
        <v>PRISCILA METZ</v>
      </c>
      <c r="I4402" t="str">
        <f t="shared" si="411"/>
        <v>M TRATORES LTDA EPP</v>
      </c>
      <c r="J4402">
        <f t="shared" si="412"/>
        <v>0</v>
      </c>
      <c r="K4402">
        <f t="shared" si="413"/>
        <v>1</v>
      </c>
    </row>
    <row r="4403" spans="1:11" x14ac:dyDescent="0.25">
      <c r="A4403" t="s">
        <v>635</v>
      </c>
      <c r="B4403" t="s">
        <v>636</v>
      </c>
      <c r="C4403" t="s">
        <v>50</v>
      </c>
      <c r="D4403" s="6">
        <v>45931</v>
      </c>
      <c r="E4403" t="str">
        <f>VLOOKUP(B4403,'PROCV GERENTES BD'!A:B,2,0)</f>
        <v>TIAGO NEVES</v>
      </c>
      <c r="F4403" s="4" t="str">
        <f t="shared" si="408"/>
        <v>2025-10</v>
      </c>
      <c r="G4403" s="18">
        <f t="shared" si="409"/>
        <v>40</v>
      </c>
      <c r="H4403" t="str">
        <f t="shared" si="410"/>
        <v>TIAGO NEVES</v>
      </c>
      <c r="I4403" t="str">
        <f t="shared" si="411"/>
        <v>MG GLASS VIDROS PARA TRATORES E CAMINHOES LTDA ME</v>
      </c>
      <c r="J4403">
        <f t="shared" si="412"/>
        <v>0</v>
      </c>
      <c r="K4403">
        <f t="shared" si="413"/>
        <v>1</v>
      </c>
    </row>
    <row r="4404" spans="1:11" x14ac:dyDescent="0.25">
      <c r="A4404" t="s">
        <v>601</v>
      </c>
      <c r="B4404" t="s">
        <v>552</v>
      </c>
      <c r="C4404" t="s">
        <v>66</v>
      </c>
      <c r="D4404" s="6">
        <v>45931</v>
      </c>
      <c r="E4404" t="str">
        <f>VLOOKUP(B4404,'PROCV GERENTES BD'!A:B,2,0)</f>
        <v>DALVA</v>
      </c>
      <c r="F4404" s="4" t="str">
        <f t="shared" si="408"/>
        <v>2025-10</v>
      </c>
      <c r="G4404" s="18">
        <f t="shared" si="409"/>
        <v>40</v>
      </c>
      <c r="H4404" t="str">
        <f t="shared" si="410"/>
        <v>DALVA</v>
      </c>
      <c r="I4404" t="str">
        <f t="shared" si="411"/>
        <v>NOVA CALDERARIA MONTAGEM LTDA EPP</v>
      </c>
      <c r="J4404">
        <f t="shared" si="412"/>
        <v>1</v>
      </c>
      <c r="K4404">
        <f t="shared" si="413"/>
        <v>0</v>
      </c>
    </row>
    <row r="4405" spans="1:11" x14ac:dyDescent="0.25">
      <c r="A4405" t="s">
        <v>427</v>
      </c>
      <c r="B4405" t="s">
        <v>178</v>
      </c>
      <c r="C4405" t="s">
        <v>66</v>
      </c>
      <c r="D4405" s="6">
        <v>45931</v>
      </c>
      <c r="E4405" t="str">
        <f>VLOOKUP(B4405,'PROCV GERENTES BD'!A:B,2,0)</f>
        <v>ADMINISTRAÇÃO</v>
      </c>
      <c r="F4405" s="4" t="str">
        <f t="shared" si="408"/>
        <v>2025-10</v>
      </c>
      <c r="G4405" s="18">
        <f t="shared" si="409"/>
        <v>40</v>
      </c>
      <c r="H4405" t="str">
        <f t="shared" si="410"/>
        <v>ADMINISTRAÇÃO</v>
      </c>
      <c r="I4405" t="str">
        <f t="shared" si="411"/>
        <v>LIZZENA COSMETICOS LTDA EPP</v>
      </c>
      <c r="J4405">
        <f t="shared" si="412"/>
        <v>1</v>
      </c>
      <c r="K4405">
        <f t="shared" si="413"/>
        <v>0</v>
      </c>
    </row>
    <row r="4406" spans="1:11" x14ac:dyDescent="0.25">
      <c r="A4406" t="s">
        <v>630</v>
      </c>
      <c r="B4406" t="s">
        <v>559</v>
      </c>
      <c r="C4406" t="s">
        <v>53</v>
      </c>
      <c r="D4406" s="6">
        <v>45931</v>
      </c>
      <c r="E4406" t="str">
        <f>VLOOKUP(B4406,'PROCV GERENTES BD'!A:B,2,0)</f>
        <v>ALISSON DE SOUZA LIMA</v>
      </c>
      <c r="F4406" s="4" t="str">
        <f t="shared" si="408"/>
        <v>2025-10</v>
      </c>
      <c r="G4406" s="18">
        <f t="shared" si="409"/>
        <v>40</v>
      </c>
      <c r="H4406" t="str">
        <f t="shared" si="410"/>
        <v>ALISSON DE SOUZA LIMA</v>
      </c>
      <c r="I4406" t="str">
        <f t="shared" si="411"/>
        <v>JRG SOLUCOES INDUSTRIAIS LTDA</v>
      </c>
      <c r="J4406">
        <f t="shared" si="412"/>
        <v>1</v>
      </c>
      <c r="K4406">
        <f t="shared" si="413"/>
        <v>1</v>
      </c>
    </row>
    <row r="4407" spans="1:11" x14ac:dyDescent="0.25">
      <c r="A4407" t="s">
        <v>645</v>
      </c>
      <c r="B4407" t="s">
        <v>646</v>
      </c>
      <c r="C4407" t="s">
        <v>66</v>
      </c>
      <c r="D4407" s="6">
        <v>45931</v>
      </c>
      <c r="E4407" t="str">
        <f>VLOOKUP(B4407,'PROCV GERENTES BD'!A:B,2,0)</f>
        <v>RAFAEL PARISE</v>
      </c>
      <c r="F4407" s="4" t="str">
        <f t="shared" si="408"/>
        <v>2025-10</v>
      </c>
      <c r="G4407" s="18">
        <f t="shared" si="409"/>
        <v>40</v>
      </c>
      <c r="H4407" t="str">
        <f t="shared" si="410"/>
        <v>RAFAEL PARISE</v>
      </c>
      <c r="I4407" t="str">
        <f t="shared" si="411"/>
        <v>SIGGA LOGISTICA LTDA</v>
      </c>
      <c r="J4407">
        <f t="shared" si="412"/>
        <v>1</v>
      </c>
      <c r="K4407">
        <f t="shared" si="413"/>
        <v>0</v>
      </c>
    </row>
    <row r="4408" spans="1:11" x14ac:dyDescent="0.25">
      <c r="A4408" t="s">
        <v>488</v>
      </c>
      <c r="B4408" t="s">
        <v>247</v>
      </c>
      <c r="C4408" t="s">
        <v>50</v>
      </c>
      <c r="D4408" s="6">
        <v>45931</v>
      </c>
      <c r="E4408" t="str">
        <f>VLOOKUP(B4408,'PROCV GERENTES BD'!A:B,2,0)</f>
        <v>CELIO PIMENTA</v>
      </c>
      <c r="F4408" s="4" t="str">
        <f t="shared" si="408"/>
        <v>2025-10</v>
      </c>
      <c r="G4408" s="18">
        <f t="shared" si="409"/>
        <v>40</v>
      </c>
      <c r="H4408" t="str">
        <f t="shared" si="410"/>
        <v>CELIO PIMENTA</v>
      </c>
      <c r="I4408" t="str">
        <f t="shared" si="411"/>
        <v>AZ HIDRAULICA USINAGEM LTDA EPP</v>
      </c>
      <c r="J4408">
        <f t="shared" si="412"/>
        <v>0</v>
      </c>
      <c r="K4408">
        <f t="shared" si="413"/>
        <v>1</v>
      </c>
    </row>
    <row r="4409" spans="1:11" x14ac:dyDescent="0.25">
      <c r="A4409" t="s">
        <v>314</v>
      </c>
      <c r="B4409" t="s">
        <v>246</v>
      </c>
      <c r="C4409" t="s">
        <v>66</v>
      </c>
      <c r="D4409" s="6">
        <v>45931</v>
      </c>
      <c r="E4409" t="str">
        <f>VLOOKUP(B4409,'PROCV GERENTES BD'!A:B,2,0)</f>
        <v xml:space="preserve">ROGERIO </v>
      </c>
      <c r="F4409" s="4" t="str">
        <f t="shared" si="408"/>
        <v>2025-10</v>
      </c>
      <c r="G4409" s="18">
        <f t="shared" si="409"/>
        <v>40</v>
      </c>
      <c r="H4409" t="str">
        <f t="shared" si="410"/>
        <v xml:space="preserve">ROGERIO </v>
      </c>
      <c r="I4409" t="str">
        <f t="shared" si="411"/>
        <v>MUTCD CENTRO DE DISTRIBUICAO DE IND FABRICANTE DE</v>
      </c>
      <c r="J4409">
        <f t="shared" si="412"/>
        <v>1</v>
      </c>
      <c r="K4409">
        <f t="shared" si="413"/>
        <v>0</v>
      </c>
    </row>
    <row r="4410" spans="1:11" x14ac:dyDescent="0.25">
      <c r="A4410" t="s">
        <v>440</v>
      </c>
      <c r="B4410" t="s">
        <v>191</v>
      </c>
      <c r="C4410" t="s">
        <v>50</v>
      </c>
      <c r="D4410" s="6">
        <v>45931</v>
      </c>
      <c r="E4410" t="str">
        <f>VLOOKUP(B4410,'PROCV GERENTES BD'!A:B,2,0)</f>
        <v>PROSPECTAR</v>
      </c>
      <c r="F4410" s="4" t="str">
        <f t="shared" si="408"/>
        <v>2025-10</v>
      </c>
      <c r="G4410" s="18">
        <f t="shared" si="409"/>
        <v>40</v>
      </c>
      <c r="H4410" t="str">
        <f t="shared" si="410"/>
        <v>PROSPECTAR</v>
      </c>
      <c r="I4410" t="str">
        <f t="shared" si="411"/>
        <v>SAFRA OURO AGRONEGOCIOS LTDA EPP</v>
      </c>
      <c r="J4410">
        <f t="shared" si="412"/>
        <v>0</v>
      </c>
      <c r="K4410">
        <f t="shared" si="413"/>
        <v>1</v>
      </c>
    </row>
    <row r="4411" spans="1:11" x14ac:dyDescent="0.25">
      <c r="A4411" t="s">
        <v>430</v>
      </c>
      <c r="B4411" t="s">
        <v>181</v>
      </c>
      <c r="C4411" t="s">
        <v>50</v>
      </c>
      <c r="D4411" s="6">
        <v>45931</v>
      </c>
      <c r="E4411" t="str">
        <f>VLOOKUP(B4411,'PROCV GERENTES BD'!A:B,2,0)</f>
        <v>PROSPECTAR</v>
      </c>
      <c r="F4411" s="4" t="str">
        <f t="shared" si="408"/>
        <v>2025-10</v>
      </c>
      <c r="G4411" s="18">
        <f t="shared" si="409"/>
        <v>40</v>
      </c>
      <c r="H4411" t="str">
        <f t="shared" si="410"/>
        <v>PROSPECTAR</v>
      </c>
      <c r="I4411" t="str">
        <f t="shared" si="411"/>
        <v>SIQUEIRA E GAIPO INDUSTRIA E MATERIAIS ESPORTIVOS</v>
      </c>
      <c r="J4411">
        <f t="shared" si="412"/>
        <v>0</v>
      </c>
      <c r="K4411">
        <f t="shared" si="413"/>
        <v>1</v>
      </c>
    </row>
    <row r="4412" spans="1:11" x14ac:dyDescent="0.25">
      <c r="A4412" t="s">
        <v>460</v>
      </c>
      <c r="B4412" t="s">
        <v>217</v>
      </c>
      <c r="C4412" t="s">
        <v>50</v>
      </c>
      <c r="D4412" s="6">
        <v>45931</v>
      </c>
      <c r="E4412" t="str">
        <f>VLOOKUP(B4412,'PROCV GERENTES BD'!A:B,2,0)</f>
        <v>CELIO PIMENTA</v>
      </c>
      <c r="F4412" s="4" t="str">
        <f t="shared" si="408"/>
        <v>2025-10</v>
      </c>
      <c r="G4412" s="18">
        <f t="shared" si="409"/>
        <v>40</v>
      </c>
      <c r="H4412" t="str">
        <f t="shared" si="410"/>
        <v>CELIO PIMENTA</v>
      </c>
      <c r="I4412" t="str">
        <f t="shared" si="411"/>
        <v>MINAS CLEAN DISTRIBUIDORA DE PRODUTOS PARA LIMPEZA</v>
      </c>
      <c r="J4412">
        <f t="shared" si="412"/>
        <v>0</v>
      </c>
      <c r="K4412">
        <f t="shared" si="413"/>
        <v>1</v>
      </c>
    </row>
    <row r="4413" spans="1:11" x14ac:dyDescent="0.25">
      <c r="A4413" t="s">
        <v>456</v>
      </c>
      <c r="B4413" t="s">
        <v>213</v>
      </c>
      <c r="C4413" t="s">
        <v>66</v>
      </c>
      <c r="D4413" s="6">
        <v>45931</v>
      </c>
      <c r="E4413" t="str">
        <f>VLOOKUP(B4413,'PROCV GERENTES BD'!A:B,2,0)</f>
        <v>RAFAEL PARISE</v>
      </c>
      <c r="F4413" s="4" t="str">
        <f t="shared" si="408"/>
        <v>2025-10</v>
      </c>
      <c r="G4413" s="18">
        <f t="shared" si="409"/>
        <v>40</v>
      </c>
      <c r="H4413" t="str">
        <f t="shared" si="410"/>
        <v>RAFAEL PARISE</v>
      </c>
      <c r="I4413" t="str">
        <f t="shared" si="411"/>
        <v>ORNELAS RESENDE TORRES TRANSPORTE E LOGISTICA LTDA</v>
      </c>
      <c r="J4413">
        <f t="shared" si="412"/>
        <v>1</v>
      </c>
      <c r="K4413">
        <f t="shared" si="413"/>
        <v>0</v>
      </c>
    </row>
    <row r="4414" spans="1:11" x14ac:dyDescent="0.25">
      <c r="A4414" t="s">
        <v>623</v>
      </c>
      <c r="B4414" t="s">
        <v>624</v>
      </c>
      <c r="C4414" t="s">
        <v>50</v>
      </c>
      <c r="D4414" s="6">
        <v>45931</v>
      </c>
      <c r="E4414" t="str">
        <f>VLOOKUP(B4414,'PROCV GERENTES BD'!A:B,2,0)</f>
        <v>ALISSON DE SOUZA LIMA</v>
      </c>
      <c r="F4414" s="4" t="str">
        <f t="shared" si="408"/>
        <v>2025-10</v>
      </c>
      <c r="G4414" s="18">
        <f t="shared" si="409"/>
        <v>40</v>
      </c>
      <c r="H4414" t="str">
        <f t="shared" si="410"/>
        <v>ALISSON DE SOUZA LIMA</v>
      </c>
      <c r="I4414" t="str">
        <f t="shared" si="411"/>
        <v>A2 VIDROS INDUSTRIA E COMERCIO LTDA</v>
      </c>
      <c r="J4414">
        <f t="shared" si="412"/>
        <v>0</v>
      </c>
      <c r="K4414">
        <f t="shared" si="413"/>
        <v>1</v>
      </c>
    </row>
    <row r="4415" spans="1:11" x14ac:dyDescent="0.25">
      <c r="A4415" t="s">
        <v>487</v>
      </c>
      <c r="B4415" t="s">
        <v>244</v>
      </c>
      <c r="C4415" t="s">
        <v>50</v>
      </c>
      <c r="D4415" s="6">
        <v>45931</v>
      </c>
      <c r="E4415" t="str">
        <f>VLOOKUP(B4415,'PROCV GERENTES BD'!A:B,2,0)</f>
        <v xml:space="preserve">ROGERIO </v>
      </c>
      <c r="F4415" s="4" t="str">
        <f t="shared" si="408"/>
        <v>2025-10</v>
      </c>
      <c r="G4415" s="18">
        <f t="shared" si="409"/>
        <v>40</v>
      </c>
      <c r="H4415" t="str">
        <f t="shared" si="410"/>
        <v xml:space="preserve">ROGERIO </v>
      </c>
      <c r="I4415" t="str">
        <f t="shared" si="411"/>
        <v>MUNDO AGRO COMERCIO E DISTRIBUICAO DE CALCADOS LTD</v>
      </c>
      <c r="J4415">
        <f t="shared" si="412"/>
        <v>0</v>
      </c>
      <c r="K4415">
        <f t="shared" si="413"/>
        <v>1</v>
      </c>
    </row>
    <row r="4416" spans="1:11" x14ac:dyDescent="0.25">
      <c r="A4416" t="s">
        <v>534</v>
      </c>
      <c r="B4416" t="s">
        <v>303</v>
      </c>
      <c r="C4416" t="s">
        <v>50</v>
      </c>
      <c r="D4416" s="6">
        <v>45931</v>
      </c>
      <c r="E4416" t="str">
        <f>VLOOKUP(B4416,'PROCV GERENTES BD'!A:B,2,0)</f>
        <v xml:space="preserve">MARCUS VINICIUS </v>
      </c>
      <c r="F4416" s="4" t="str">
        <f t="shared" si="408"/>
        <v>2025-10</v>
      </c>
      <c r="G4416" s="18">
        <f t="shared" si="409"/>
        <v>40</v>
      </c>
      <c r="H4416" t="str">
        <f t="shared" si="410"/>
        <v xml:space="preserve">MARCUS VINICIUS </v>
      </c>
      <c r="I4416" t="str">
        <f t="shared" si="411"/>
        <v>GRAFICA JSA LTDA EPP</v>
      </c>
      <c r="J4416">
        <f t="shared" si="412"/>
        <v>0</v>
      </c>
      <c r="K4416">
        <f t="shared" si="413"/>
        <v>1</v>
      </c>
    </row>
    <row r="4417" spans="1:11" x14ac:dyDescent="0.25">
      <c r="A4417" t="s">
        <v>499</v>
      </c>
      <c r="B4417" t="s">
        <v>258</v>
      </c>
      <c r="C4417" t="s">
        <v>50</v>
      </c>
      <c r="D4417" s="6">
        <v>45931</v>
      </c>
      <c r="E4417" t="str">
        <f>VLOOKUP(B4417,'PROCV GERENTES BD'!A:B,2,0)</f>
        <v>PRISCILA METZ</v>
      </c>
      <c r="F4417" s="4" t="str">
        <f t="shared" si="408"/>
        <v>2025-10</v>
      </c>
      <c r="G4417" s="18">
        <f t="shared" si="409"/>
        <v>40</v>
      </c>
      <c r="H4417" t="str">
        <f t="shared" si="410"/>
        <v>PRISCILA METZ</v>
      </c>
      <c r="I4417" t="str">
        <f t="shared" si="411"/>
        <v>PLATINUM INDUSTRIA DE CONFECCOES LTDA</v>
      </c>
      <c r="J4417">
        <f t="shared" si="412"/>
        <v>0</v>
      </c>
      <c r="K4417">
        <f t="shared" si="413"/>
        <v>1</v>
      </c>
    </row>
    <row r="4418" spans="1:11" x14ac:dyDescent="0.25">
      <c r="A4418" t="s">
        <v>521</v>
      </c>
      <c r="B4418" t="s">
        <v>286</v>
      </c>
      <c r="C4418" t="s">
        <v>50</v>
      </c>
      <c r="D4418" s="6">
        <v>45931</v>
      </c>
      <c r="E4418" t="str">
        <f>VLOOKUP(B4418,'PROCV GERENTES BD'!A:B,2,0)</f>
        <v>CELIO PIMENTA</v>
      </c>
      <c r="F4418" s="4" t="str">
        <f t="shared" ref="F4418:F4480" si="414">YEAR(D4418)&amp;"-"&amp;TEXT(MONTH(D4418),"00")</f>
        <v>2025-10</v>
      </c>
      <c r="G4418" s="18">
        <f t="shared" ref="G4418:G4480" si="415">WEEKNUM(D4418)</f>
        <v>40</v>
      </c>
      <c r="H4418" t="str">
        <f t="shared" ref="H4418:H4480" si="416">E4418</f>
        <v>CELIO PIMENTA</v>
      </c>
      <c r="I4418" t="str">
        <f t="shared" ref="I4418:I4480" si="417">B4418</f>
        <v>LINGERIE E CIA LTDA ME</v>
      </c>
      <c r="J4418">
        <f t="shared" ref="J4418:J4480" si="418">IF(OR(C4418="EXCLUSAO  ANOT.INADIMPLENCIA",C4418="INCL/EXCL ANOT.INADIMPLENCIA"),1,0)</f>
        <v>0</v>
      </c>
      <c r="K4418">
        <f t="shared" ref="K4418:K4480" si="419">IF(OR(C4418="INCLUSAO  ANOT.INADIMPLENCIA",C4418="INCL/EXCL ANOT.INADIMPLENCIA"),1,0)</f>
        <v>1</v>
      </c>
    </row>
    <row r="4419" spans="1:11" x14ac:dyDescent="0.25">
      <c r="A4419" t="s">
        <v>604</v>
      </c>
      <c r="B4419" t="s">
        <v>605</v>
      </c>
      <c r="C4419" t="s">
        <v>50</v>
      </c>
      <c r="D4419" s="6">
        <v>45931</v>
      </c>
      <c r="E4419" t="str">
        <f>VLOOKUP(B4419,'PROCV GERENTES BD'!A:B,2,0)</f>
        <v>ALISSON DE SOUZA LIMA</v>
      </c>
      <c r="F4419" s="4" t="str">
        <f t="shared" si="414"/>
        <v>2025-10</v>
      </c>
      <c r="G4419" s="18">
        <f t="shared" si="415"/>
        <v>40</v>
      </c>
      <c r="H4419" t="str">
        <f t="shared" si="416"/>
        <v>ALISSON DE SOUZA LIMA</v>
      </c>
      <c r="I4419" t="str">
        <f t="shared" si="417"/>
        <v>3J FUNDICAO INDUSTRIAL LTDA</v>
      </c>
      <c r="J4419">
        <f t="shared" si="418"/>
        <v>0</v>
      </c>
      <c r="K4419">
        <f t="shared" si="419"/>
        <v>1</v>
      </c>
    </row>
    <row r="4420" spans="1:11" x14ac:dyDescent="0.25">
      <c r="A4420" t="s">
        <v>395</v>
      </c>
      <c r="B4420" t="s">
        <v>145</v>
      </c>
      <c r="C4420" t="s">
        <v>50</v>
      </c>
      <c r="D4420" s="6">
        <v>45931</v>
      </c>
      <c r="E4420" t="str">
        <f>VLOOKUP(B4420,'PROCV GERENTES BD'!A:B,2,0)</f>
        <v>MARCIO LEONEL</v>
      </c>
      <c r="F4420" s="4" t="str">
        <f t="shared" si="414"/>
        <v>2025-10</v>
      </c>
      <c r="G4420" s="18">
        <f t="shared" si="415"/>
        <v>40</v>
      </c>
      <c r="H4420" t="str">
        <f t="shared" si="416"/>
        <v>MARCIO LEONEL</v>
      </c>
      <c r="I4420" t="str">
        <f t="shared" si="417"/>
        <v>MEDICAL PRIME IMP EXPORT DISTRIB PRODUTOS MEDICOS</v>
      </c>
      <c r="J4420">
        <f t="shared" si="418"/>
        <v>0</v>
      </c>
      <c r="K4420">
        <f t="shared" si="419"/>
        <v>1</v>
      </c>
    </row>
    <row r="4421" spans="1:11" x14ac:dyDescent="0.25">
      <c r="A4421" t="s">
        <v>413</v>
      </c>
      <c r="B4421" t="s">
        <v>163</v>
      </c>
      <c r="C4421" t="s">
        <v>66</v>
      </c>
      <c r="D4421" s="6">
        <v>45931</v>
      </c>
      <c r="E4421" t="str">
        <f>VLOOKUP(B4421,'PROCV GERENTES BD'!A:B,2,0)</f>
        <v>CELIO PIMENTA</v>
      </c>
      <c r="F4421" s="4" t="str">
        <f t="shared" si="414"/>
        <v>2025-10</v>
      </c>
      <c r="G4421" s="18">
        <f t="shared" si="415"/>
        <v>40</v>
      </c>
      <c r="H4421" t="str">
        <f t="shared" si="416"/>
        <v>CELIO PIMENTA</v>
      </c>
      <c r="I4421" t="str">
        <f t="shared" si="417"/>
        <v>TOUROS IMPLEMENTOS LTDA ME</v>
      </c>
      <c r="J4421">
        <f t="shared" si="418"/>
        <v>1</v>
      </c>
      <c r="K4421">
        <f t="shared" si="419"/>
        <v>0</v>
      </c>
    </row>
    <row r="4422" spans="1:11" x14ac:dyDescent="0.25">
      <c r="A4422" t="s">
        <v>529</v>
      </c>
      <c r="B4422" t="s">
        <v>297</v>
      </c>
      <c r="C4422" t="s">
        <v>50</v>
      </c>
      <c r="D4422" s="6">
        <v>45931</v>
      </c>
      <c r="E4422" t="str">
        <f>VLOOKUP(B4422,'PROCV GERENTES BD'!A:B,2,0)</f>
        <v>ANDRE CUNHA</v>
      </c>
      <c r="F4422" s="4" t="str">
        <f t="shared" si="414"/>
        <v>2025-10</v>
      </c>
      <c r="G4422" s="18">
        <f t="shared" si="415"/>
        <v>40</v>
      </c>
      <c r="H4422" t="str">
        <f t="shared" si="416"/>
        <v>ANDRE CUNHA</v>
      </c>
      <c r="I4422" t="str">
        <f t="shared" si="417"/>
        <v>REVPACK TECNOLOGIA E COMERCIO DE COMPONENTES PLAST</v>
      </c>
      <c r="J4422">
        <f t="shared" si="418"/>
        <v>0</v>
      </c>
      <c r="K4422">
        <f t="shared" si="419"/>
        <v>1</v>
      </c>
    </row>
    <row r="4423" spans="1:11" x14ac:dyDescent="0.25">
      <c r="A4423" t="s">
        <v>523</v>
      </c>
      <c r="B4423" t="s">
        <v>288</v>
      </c>
      <c r="C4423" t="s">
        <v>50</v>
      </c>
      <c r="D4423" s="6">
        <v>45931</v>
      </c>
      <c r="E4423" t="str">
        <f>VLOOKUP(B4423,'PROCV GERENTES BD'!A:B,2,0)</f>
        <v>ADMINISTRAÇÃO</v>
      </c>
      <c r="F4423" s="4" t="str">
        <f t="shared" si="414"/>
        <v>2025-10</v>
      </c>
      <c r="G4423" s="18">
        <f t="shared" si="415"/>
        <v>40</v>
      </c>
      <c r="H4423" t="str">
        <f t="shared" si="416"/>
        <v>ADMINISTRAÇÃO</v>
      </c>
      <c r="I4423" t="str">
        <f t="shared" si="417"/>
        <v>REFRACONT BRASIL LTDA</v>
      </c>
      <c r="J4423">
        <f t="shared" si="418"/>
        <v>0</v>
      </c>
      <c r="K4423">
        <f t="shared" si="419"/>
        <v>1</v>
      </c>
    </row>
    <row r="4424" spans="1:11" x14ac:dyDescent="0.25">
      <c r="A4424" t="s">
        <v>305</v>
      </c>
      <c r="B4424" t="s">
        <v>141</v>
      </c>
      <c r="C4424" t="s">
        <v>50</v>
      </c>
      <c r="D4424" s="6">
        <v>45931</v>
      </c>
      <c r="E4424" t="str">
        <f>VLOOKUP(B4424,'PROCV GERENTES BD'!A:B,2,0)</f>
        <v>NOELI SALETE</v>
      </c>
      <c r="F4424" s="4" t="str">
        <f t="shared" si="414"/>
        <v>2025-10</v>
      </c>
      <c r="G4424" s="18">
        <f t="shared" si="415"/>
        <v>40</v>
      </c>
      <c r="H4424" t="str">
        <f t="shared" si="416"/>
        <v>NOELI SALETE</v>
      </c>
      <c r="I4424" t="str">
        <f t="shared" si="417"/>
        <v>JMS EMBALAGENS INDUSTRIAIS LTDA</v>
      </c>
      <c r="J4424">
        <f t="shared" si="418"/>
        <v>0</v>
      </c>
      <c r="K4424">
        <f t="shared" si="419"/>
        <v>1</v>
      </c>
    </row>
    <row r="4425" spans="1:11" x14ac:dyDescent="0.25">
      <c r="A4425" t="s">
        <v>524</v>
      </c>
      <c r="B4425" t="s">
        <v>289</v>
      </c>
      <c r="C4425" t="s">
        <v>66</v>
      </c>
      <c r="D4425" s="6">
        <v>45931</v>
      </c>
      <c r="E4425" t="str">
        <f>VLOOKUP(B4425,'PROCV GERENTES BD'!A:B,2,0)</f>
        <v>DALVA</v>
      </c>
      <c r="F4425" s="4" t="str">
        <f t="shared" si="414"/>
        <v>2025-10</v>
      </c>
      <c r="G4425" s="18">
        <f t="shared" si="415"/>
        <v>40</v>
      </c>
      <c r="H4425" t="str">
        <f t="shared" si="416"/>
        <v>DALVA</v>
      </c>
      <c r="I4425" t="str">
        <f t="shared" si="417"/>
        <v>FRAITECH INTELIGENCIA EM AUTOMACAO LTDA</v>
      </c>
      <c r="J4425">
        <f t="shared" si="418"/>
        <v>1</v>
      </c>
      <c r="K4425">
        <f t="shared" si="419"/>
        <v>0</v>
      </c>
    </row>
    <row r="4426" spans="1:11" x14ac:dyDescent="0.25">
      <c r="A4426" t="s">
        <v>324</v>
      </c>
      <c r="B4426" t="s">
        <v>119</v>
      </c>
      <c r="C4426" t="s">
        <v>66</v>
      </c>
      <c r="D4426" s="6">
        <v>45931</v>
      </c>
      <c r="E4426" t="str">
        <f>VLOOKUP(B4426,'PROCV GERENTES BD'!A:B,2,0)</f>
        <v>PROSPECTAR</v>
      </c>
      <c r="F4426" s="4" t="str">
        <f t="shared" si="414"/>
        <v>2025-10</v>
      </c>
      <c r="G4426" s="18">
        <f t="shared" si="415"/>
        <v>40</v>
      </c>
      <c r="H4426" t="str">
        <f t="shared" si="416"/>
        <v>PROSPECTAR</v>
      </c>
      <c r="I4426" t="str">
        <f t="shared" si="417"/>
        <v>TRANSHENRY TRANSPORTES LTDA</v>
      </c>
      <c r="J4426">
        <f t="shared" si="418"/>
        <v>1</v>
      </c>
      <c r="K4426">
        <f t="shared" si="419"/>
        <v>0</v>
      </c>
    </row>
    <row r="4427" spans="1:11" x14ac:dyDescent="0.25">
      <c r="A4427" t="s">
        <v>688</v>
      </c>
      <c r="B4427" t="s">
        <v>685</v>
      </c>
      <c r="C4427" t="s">
        <v>50</v>
      </c>
      <c r="D4427" s="6">
        <v>45931</v>
      </c>
      <c r="E4427" t="str">
        <f>VLOOKUP(B4427,'PROCV GERENTES BD'!A:B,2,0)</f>
        <v>PROSPECTAR</v>
      </c>
      <c r="F4427" s="4" t="str">
        <f t="shared" si="414"/>
        <v>2025-10</v>
      </c>
      <c r="G4427" s="18">
        <f t="shared" si="415"/>
        <v>40</v>
      </c>
      <c r="H4427" t="str">
        <f t="shared" si="416"/>
        <v>PROSPECTAR</v>
      </c>
      <c r="I4427" t="str">
        <f t="shared" si="417"/>
        <v>SINERGIKA INDUSTRIA DE ALIMENTOS LTDA</v>
      </c>
      <c r="J4427">
        <f t="shared" si="418"/>
        <v>0</v>
      </c>
      <c r="K4427">
        <f t="shared" si="419"/>
        <v>1</v>
      </c>
    </row>
    <row r="4428" spans="1:11" x14ac:dyDescent="0.25">
      <c r="A4428" t="s">
        <v>323</v>
      </c>
      <c r="B4428" t="s">
        <v>109</v>
      </c>
      <c r="C4428" t="s">
        <v>50</v>
      </c>
      <c r="D4428" s="6">
        <v>45931</v>
      </c>
      <c r="E4428" t="str">
        <f>VLOOKUP(B4428,'PROCV GERENTES BD'!A:B,2,0)</f>
        <v>PROSPECTAR</v>
      </c>
      <c r="F4428" s="4" t="str">
        <f t="shared" si="414"/>
        <v>2025-10</v>
      </c>
      <c r="G4428" s="18">
        <f t="shared" si="415"/>
        <v>40</v>
      </c>
      <c r="H4428" t="str">
        <f t="shared" si="416"/>
        <v>PROSPECTAR</v>
      </c>
      <c r="I4428" t="str">
        <f t="shared" si="417"/>
        <v>SIAP COMERCIO DE PRODUTOS AGROPECUARIOS LTDA</v>
      </c>
      <c r="J4428">
        <f t="shared" si="418"/>
        <v>0</v>
      </c>
      <c r="K4428">
        <f t="shared" si="419"/>
        <v>1</v>
      </c>
    </row>
    <row r="4429" spans="1:11" x14ac:dyDescent="0.25">
      <c r="A4429" t="s">
        <v>629</v>
      </c>
      <c r="B4429" t="s">
        <v>550</v>
      </c>
      <c r="C4429" t="s">
        <v>50</v>
      </c>
      <c r="D4429" s="6">
        <v>45931</v>
      </c>
      <c r="E4429" t="str">
        <f>VLOOKUP(B4429,'PROCV GERENTES BD'!A:B,2,0)</f>
        <v>CREDTEM</v>
      </c>
      <c r="F4429" s="4" t="str">
        <f t="shared" si="414"/>
        <v>2025-10</v>
      </c>
      <c r="G4429" s="18">
        <f t="shared" si="415"/>
        <v>40</v>
      </c>
      <c r="H4429" t="str">
        <f t="shared" si="416"/>
        <v>CREDTEM</v>
      </c>
      <c r="I4429" t="str">
        <f t="shared" si="417"/>
        <v>W M DE CASTRO NETO PRODUTOS FARMACEUTICOS EPP</v>
      </c>
      <c r="J4429">
        <f t="shared" si="418"/>
        <v>0</v>
      </c>
      <c r="K4429">
        <f t="shared" si="419"/>
        <v>1</v>
      </c>
    </row>
    <row r="4430" spans="1:11" x14ac:dyDescent="0.25">
      <c r="A4430" t="s">
        <v>51</v>
      </c>
      <c r="B4430" t="s">
        <v>52</v>
      </c>
      <c r="C4430" t="s">
        <v>50</v>
      </c>
      <c r="D4430" s="6">
        <v>45931</v>
      </c>
      <c r="E4430" t="str">
        <f>VLOOKUP(B4430,'PROCV GERENTES BD'!A:B,2,0)</f>
        <v>RAFAEL PARISE</v>
      </c>
      <c r="F4430" s="4" t="str">
        <f t="shared" si="414"/>
        <v>2025-10</v>
      </c>
      <c r="G4430" s="18">
        <f t="shared" si="415"/>
        <v>40</v>
      </c>
      <c r="H4430" t="str">
        <f t="shared" si="416"/>
        <v>RAFAEL PARISE</v>
      </c>
      <c r="I4430" t="str">
        <f t="shared" si="417"/>
        <v>TDR TRANSPORTES LOGISTICA LTDA</v>
      </c>
      <c r="J4430">
        <f t="shared" si="418"/>
        <v>0</v>
      </c>
      <c r="K4430">
        <f t="shared" si="419"/>
        <v>1</v>
      </c>
    </row>
    <row r="4431" spans="1:11" x14ac:dyDescent="0.25">
      <c r="A4431" t="s">
        <v>532</v>
      </c>
      <c r="B4431" t="s">
        <v>300</v>
      </c>
      <c r="C4431" t="s">
        <v>66</v>
      </c>
      <c r="D4431" s="6">
        <v>45931</v>
      </c>
      <c r="E4431" t="str">
        <f>VLOOKUP(B4431,'PROCV GERENTES BD'!A:B,2,0)</f>
        <v>RAFAEL PARISE</v>
      </c>
      <c r="F4431" s="4" t="str">
        <f t="shared" si="414"/>
        <v>2025-10</v>
      </c>
      <c r="G4431" s="18">
        <f t="shared" si="415"/>
        <v>40</v>
      </c>
      <c r="H4431" t="str">
        <f t="shared" si="416"/>
        <v>RAFAEL PARISE</v>
      </c>
      <c r="I4431" t="str">
        <f t="shared" si="417"/>
        <v>MINASPOL INDUSTRIA E COMERCIO DE COMPOSTOS POLIMER</v>
      </c>
      <c r="J4431">
        <f t="shared" si="418"/>
        <v>1</v>
      </c>
      <c r="K4431">
        <f t="shared" si="419"/>
        <v>0</v>
      </c>
    </row>
    <row r="4432" spans="1:11" x14ac:dyDescent="0.25">
      <c r="A4432" t="s">
        <v>387</v>
      </c>
      <c r="B4432" t="s">
        <v>134</v>
      </c>
      <c r="C4432" t="s">
        <v>50</v>
      </c>
      <c r="D4432" s="6">
        <v>45931</v>
      </c>
      <c r="E4432" t="str">
        <f>VLOOKUP(B4432,'PROCV GERENTES BD'!A:B,2,0)</f>
        <v>RAFAEL PARISE</v>
      </c>
      <c r="F4432" s="4" t="str">
        <f t="shared" si="414"/>
        <v>2025-10</v>
      </c>
      <c r="G4432" s="18">
        <f t="shared" si="415"/>
        <v>40</v>
      </c>
      <c r="H4432" t="str">
        <f t="shared" si="416"/>
        <v>RAFAEL PARISE</v>
      </c>
      <c r="I4432" t="str">
        <f t="shared" si="417"/>
        <v>MAIS DISTRIBUIDORA LTDA</v>
      </c>
      <c r="J4432">
        <f t="shared" si="418"/>
        <v>0</v>
      </c>
      <c r="K4432">
        <f t="shared" si="419"/>
        <v>1</v>
      </c>
    </row>
    <row r="4433" spans="1:11" x14ac:dyDescent="0.25">
      <c r="A4433" t="s">
        <v>54</v>
      </c>
      <c r="B4433" t="s">
        <v>55</v>
      </c>
      <c r="C4433" t="s">
        <v>50</v>
      </c>
      <c r="D4433" s="6">
        <v>45931</v>
      </c>
      <c r="E4433" t="str">
        <f>VLOOKUP(B4433,'PROCV GERENTES BD'!A:B,2,0)</f>
        <v>CELIO PIMENTA</v>
      </c>
      <c r="F4433" s="4" t="str">
        <f t="shared" si="414"/>
        <v>2025-10</v>
      </c>
      <c r="G4433" s="18">
        <f t="shared" si="415"/>
        <v>40</v>
      </c>
      <c r="H4433" t="str">
        <f t="shared" si="416"/>
        <v>CELIO PIMENTA</v>
      </c>
      <c r="I4433" t="str">
        <f t="shared" si="417"/>
        <v>WJ CALDEIRARIA INDUSTRIA E COMERCIO LTDA ME</v>
      </c>
      <c r="J4433">
        <f t="shared" si="418"/>
        <v>0</v>
      </c>
      <c r="K4433">
        <f t="shared" si="419"/>
        <v>1</v>
      </c>
    </row>
    <row r="4434" spans="1:11" x14ac:dyDescent="0.25">
      <c r="A4434" t="s">
        <v>361</v>
      </c>
      <c r="B4434" t="s">
        <v>106</v>
      </c>
      <c r="C4434" t="s">
        <v>66</v>
      </c>
      <c r="D4434" s="6">
        <v>45931</v>
      </c>
      <c r="E4434" t="str">
        <f>VLOOKUP(B4434,'PROCV GERENTES BD'!A:B,2,0)</f>
        <v>PRISCILA METZ</v>
      </c>
      <c r="F4434" s="4" t="str">
        <f t="shared" si="414"/>
        <v>2025-10</v>
      </c>
      <c r="G4434" s="18">
        <f t="shared" si="415"/>
        <v>40</v>
      </c>
      <c r="H4434" t="str">
        <f t="shared" si="416"/>
        <v>PRISCILA METZ</v>
      </c>
      <c r="I4434" t="str">
        <f t="shared" si="417"/>
        <v>HERBAMED LABORATORIO NUTRACEUTICO LTDA</v>
      </c>
      <c r="J4434">
        <f t="shared" si="418"/>
        <v>1</v>
      </c>
      <c r="K4434">
        <f t="shared" si="419"/>
        <v>0</v>
      </c>
    </row>
    <row r="4435" spans="1:11" x14ac:dyDescent="0.25">
      <c r="A4435" t="s">
        <v>634</v>
      </c>
      <c r="B4435" t="s">
        <v>585</v>
      </c>
      <c r="C4435" t="s">
        <v>50</v>
      </c>
      <c r="D4435" s="6">
        <v>45931</v>
      </c>
      <c r="E4435" t="str">
        <f>VLOOKUP(B4435,'PROCV GERENTES BD'!A:B,2,0)</f>
        <v>ANDERSON FRAGA</v>
      </c>
      <c r="F4435" s="4" t="str">
        <f t="shared" si="414"/>
        <v>2025-10</v>
      </c>
      <c r="G4435" s="18">
        <f t="shared" si="415"/>
        <v>40</v>
      </c>
      <c r="H4435" t="str">
        <f t="shared" si="416"/>
        <v>ANDERSON FRAGA</v>
      </c>
      <c r="I4435" t="str">
        <f t="shared" si="417"/>
        <v>E DE P BATISTA DISTRIBUIDORA ME</v>
      </c>
      <c r="J4435">
        <f t="shared" si="418"/>
        <v>0</v>
      </c>
      <c r="K4435">
        <f t="shared" si="419"/>
        <v>1</v>
      </c>
    </row>
    <row r="4436" spans="1:11" x14ac:dyDescent="0.25">
      <c r="A4436" t="s">
        <v>56</v>
      </c>
      <c r="B4436" t="s">
        <v>57</v>
      </c>
      <c r="C4436" t="s">
        <v>66</v>
      </c>
      <c r="D4436" s="6">
        <v>45931</v>
      </c>
      <c r="E4436" t="str">
        <f>VLOOKUP(B4436,'PROCV GERENTES BD'!A:B,2,0)</f>
        <v xml:space="preserve">ROGERIO </v>
      </c>
      <c r="F4436" s="4" t="str">
        <f t="shared" si="414"/>
        <v>2025-10</v>
      </c>
      <c r="G4436" s="18">
        <f t="shared" si="415"/>
        <v>40</v>
      </c>
      <c r="H4436" t="str">
        <f t="shared" si="416"/>
        <v xml:space="preserve">ROGERIO </v>
      </c>
      <c r="I4436" t="str">
        <f t="shared" si="417"/>
        <v>RODOVIEIRA TRANSPORTE LTDA</v>
      </c>
      <c r="J4436">
        <f t="shared" si="418"/>
        <v>1</v>
      </c>
      <c r="K4436">
        <f t="shared" si="419"/>
        <v>0</v>
      </c>
    </row>
    <row r="4437" spans="1:11" x14ac:dyDescent="0.25">
      <c r="A4437" t="s">
        <v>510</v>
      </c>
      <c r="B4437" t="s">
        <v>273</v>
      </c>
      <c r="C4437" t="s">
        <v>50</v>
      </c>
      <c r="D4437" s="6">
        <v>45931</v>
      </c>
      <c r="E4437" t="str">
        <f>VLOOKUP(B4437,'PROCV GERENTES BD'!A:B,2,0)</f>
        <v>CELIO PIMENTA</v>
      </c>
      <c r="F4437" s="4" t="str">
        <f t="shared" si="414"/>
        <v>2025-10</v>
      </c>
      <c r="G4437" s="18">
        <f t="shared" si="415"/>
        <v>40</v>
      </c>
      <c r="H4437" t="str">
        <f t="shared" si="416"/>
        <v>CELIO PIMENTA</v>
      </c>
      <c r="I4437" t="str">
        <f t="shared" si="417"/>
        <v>PRADO MOREIRA TEXTIL LTDA ME</v>
      </c>
      <c r="J4437">
        <f t="shared" si="418"/>
        <v>0</v>
      </c>
      <c r="K4437">
        <f t="shared" si="419"/>
        <v>1</v>
      </c>
    </row>
    <row r="4438" spans="1:11" x14ac:dyDescent="0.25">
      <c r="A4438" t="s">
        <v>529</v>
      </c>
      <c r="B4438" t="s">
        <v>297</v>
      </c>
      <c r="C4438" t="s">
        <v>50</v>
      </c>
      <c r="D4438" s="6">
        <v>45932</v>
      </c>
      <c r="E4438" t="str">
        <f>VLOOKUP(B4438,'PROCV GERENTES BD'!A:B,2,0)</f>
        <v>ANDRE CUNHA</v>
      </c>
      <c r="F4438" s="4" t="str">
        <f t="shared" si="414"/>
        <v>2025-10</v>
      </c>
      <c r="G4438" s="18">
        <f t="shared" si="415"/>
        <v>40</v>
      </c>
      <c r="H4438" t="str">
        <f t="shared" si="416"/>
        <v>ANDRE CUNHA</v>
      </c>
      <c r="I4438" t="str">
        <f t="shared" si="417"/>
        <v>REVPACK TECNOLOGIA E COMERCIO DE COMPONENTES PLAST</v>
      </c>
      <c r="J4438">
        <f t="shared" si="418"/>
        <v>0</v>
      </c>
      <c r="K4438">
        <f t="shared" si="419"/>
        <v>1</v>
      </c>
    </row>
    <row r="4439" spans="1:11" x14ac:dyDescent="0.25">
      <c r="A4439" t="s">
        <v>521</v>
      </c>
      <c r="B4439" t="s">
        <v>286</v>
      </c>
      <c r="C4439" t="s">
        <v>50</v>
      </c>
      <c r="D4439" s="6">
        <v>45932</v>
      </c>
      <c r="E4439" t="str">
        <f>VLOOKUP(B4439,'PROCV GERENTES BD'!A:B,2,0)</f>
        <v>CELIO PIMENTA</v>
      </c>
      <c r="F4439" s="4" t="str">
        <f t="shared" si="414"/>
        <v>2025-10</v>
      </c>
      <c r="G4439" s="18">
        <f t="shared" si="415"/>
        <v>40</v>
      </c>
      <c r="H4439" t="str">
        <f t="shared" si="416"/>
        <v>CELIO PIMENTA</v>
      </c>
      <c r="I4439" t="str">
        <f t="shared" si="417"/>
        <v>LINGERIE E CIA LTDA ME</v>
      </c>
      <c r="J4439">
        <f t="shared" si="418"/>
        <v>0</v>
      </c>
      <c r="K4439">
        <f t="shared" si="419"/>
        <v>1</v>
      </c>
    </row>
    <row r="4440" spans="1:11" x14ac:dyDescent="0.25">
      <c r="A4440" t="s">
        <v>325</v>
      </c>
      <c r="B4440" t="s">
        <v>138</v>
      </c>
      <c r="C4440" t="s">
        <v>50</v>
      </c>
      <c r="D4440" s="6">
        <v>45932</v>
      </c>
      <c r="E4440" t="str">
        <f>VLOOKUP(B4440,'PROCV GERENTES BD'!A:B,2,0)</f>
        <v>SACADO</v>
      </c>
      <c r="F4440" s="4" t="str">
        <f t="shared" si="414"/>
        <v>2025-10</v>
      </c>
      <c r="G4440" s="18">
        <f t="shared" si="415"/>
        <v>40</v>
      </c>
      <c r="H4440" t="str">
        <f t="shared" si="416"/>
        <v>SACADO</v>
      </c>
      <c r="I4440" t="str">
        <f t="shared" si="417"/>
        <v>ALLIAGE S A INDUSTRIAS MEDICO ODONTOLOGICA</v>
      </c>
      <c r="J4440">
        <f t="shared" si="418"/>
        <v>0</v>
      </c>
      <c r="K4440">
        <f t="shared" si="419"/>
        <v>1</v>
      </c>
    </row>
    <row r="4441" spans="1:11" x14ac:dyDescent="0.25">
      <c r="A4441" t="s">
        <v>623</v>
      </c>
      <c r="B4441" t="s">
        <v>624</v>
      </c>
      <c r="C4441" t="s">
        <v>50</v>
      </c>
      <c r="D4441" s="6">
        <v>45932</v>
      </c>
      <c r="E4441" t="str">
        <f>VLOOKUP(B4441,'PROCV GERENTES BD'!A:B,2,0)</f>
        <v>ALISSON DE SOUZA LIMA</v>
      </c>
      <c r="F4441" s="4" t="str">
        <f t="shared" si="414"/>
        <v>2025-10</v>
      </c>
      <c r="G4441" s="18">
        <f t="shared" si="415"/>
        <v>40</v>
      </c>
      <c r="H4441" t="str">
        <f t="shared" si="416"/>
        <v>ALISSON DE SOUZA LIMA</v>
      </c>
      <c r="I4441" t="str">
        <f t="shared" si="417"/>
        <v>A2 VIDROS INDUSTRIA E COMERCIO LTDA</v>
      </c>
      <c r="J4441">
        <f t="shared" si="418"/>
        <v>0</v>
      </c>
      <c r="K4441">
        <f t="shared" si="419"/>
        <v>1</v>
      </c>
    </row>
    <row r="4442" spans="1:11" x14ac:dyDescent="0.25">
      <c r="A4442" t="s">
        <v>635</v>
      </c>
      <c r="B4442" t="s">
        <v>636</v>
      </c>
      <c r="C4442" t="s">
        <v>66</v>
      </c>
      <c r="D4442" s="6">
        <v>45932</v>
      </c>
      <c r="E4442" t="str">
        <f>VLOOKUP(B4442,'PROCV GERENTES BD'!A:B,2,0)</f>
        <v>TIAGO NEVES</v>
      </c>
      <c r="F4442" s="4" t="str">
        <f t="shared" si="414"/>
        <v>2025-10</v>
      </c>
      <c r="G4442" s="18">
        <f t="shared" si="415"/>
        <v>40</v>
      </c>
      <c r="H4442" t="str">
        <f t="shared" si="416"/>
        <v>TIAGO NEVES</v>
      </c>
      <c r="I4442" t="str">
        <f t="shared" si="417"/>
        <v>MG GLASS VIDROS PARA TRATORES E CAMINHOES LTDA ME</v>
      </c>
      <c r="J4442">
        <f t="shared" si="418"/>
        <v>1</v>
      </c>
      <c r="K4442">
        <f t="shared" si="419"/>
        <v>0</v>
      </c>
    </row>
    <row r="4443" spans="1:11" x14ac:dyDescent="0.25">
      <c r="A4443" t="s">
        <v>448</v>
      </c>
      <c r="B4443" t="s">
        <v>201</v>
      </c>
      <c r="C4443" t="s">
        <v>53</v>
      </c>
      <c r="D4443" s="6">
        <v>45932</v>
      </c>
      <c r="E4443" t="str">
        <f>VLOOKUP(B4443,'PROCV GERENTES BD'!A:B,2,0)</f>
        <v>PRISCILA METZ</v>
      </c>
      <c r="F4443" s="4" t="str">
        <f t="shared" si="414"/>
        <v>2025-10</v>
      </c>
      <c r="G4443" s="18">
        <f t="shared" si="415"/>
        <v>40</v>
      </c>
      <c r="H4443" t="str">
        <f t="shared" si="416"/>
        <v>PRISCILA METZ</v>
      </c>
      <c r="I4443" t="str">
        <f t="shared" si="417"/>
        <v>M TRATORES LTDA EPP</v>
      </c>
      <c r="J4443">
        <f t="shared" si="418"/>
        <v>1</v>
      </c>
      <c r="K4443">
        <f t="shared" si="419"/>
        <v>1</v>
      </c>
    </row>
    <row r="4444" spans="1:11" x14ac:dyDescent="0.25">
      <c r="A4444" t="s">
        <v>67</v>
      </c>
      <c r="B4444" t="s">
        <v>68</v>
      </c>
      <c r="C4444" t="s">
        <v>50</v>
      </c>
      <c r="D4444" s="6">
        <v>45932</v>
      </c>
      <c r="E4444" t="str">
        <f>VLOOKUP(B4444,'PROCV GERENTES BD'!A:B,2,0)</f>
        <v xml:space="preserve">ROGERIO </v>
      </c>
      <c r="F4444" s="4" t="str">
        <f t="shared" si="414"/>
        <v>2025-10</v>
      </c>
      <c r="G4444" s="18">
        <f t="shared" si="415"/>
        <v>40</v>
      </c>
      <c r="H4444" t="str">
        <f t="shared" si="416"/>
        <v xml:space="preserve">ROGERIO </v>
      </c>
      <c r="I4444" t="str">
        <f t="shared" si="417"/>
        <v>DIOTTONI INDUSTRIA E COMERCIO DE ALIMENTOS LTDA ME</v>
      </c>
      <c r="J4444">
        <f t="shared" si="418"/>
        <v>0</v>
      </c>
      <c r="K4444">
        <f t="shared" si="419"/>
        <v>1</v>
      </c>
    </row>
    <row r="4445" spans="1:11" x14ac:dyDescent="0.25">
      <c r="A4445" t="s">
        <v>442</v>
      </c>
      <c r="B4445" t="s">
        <v>193</v>
      </c>
      <c r="C4445" t="s">
        <v>50</v>
      </c>
      <c r="D4445" s="6">
        <v>45932</v>
      </c>
      <c r="E4445" t="str">
        <f>VLOOKUP(B4445,'PROCV GERENTES BD'!A:B,2,0)</f>
        <v>CELIO PIMENTA</v>
      </c>
      <c r="F4445" s="4" t="str">
        <f t="shared" si="414"/>
        <v>2025-10</v>
      </c>
      <c r="G4445" s="18">
        <f t="shared" si="415"/>
        <v>40</v>
      </c>
      <c r="H4445" t="str">
        <f t="shared" si="416"/>
        <v>CELIO PIMENTA</v>
      </c>
      <c r="I4445" t="str">
        <f t="shared" si="417"/>
        <v>CIA TEXTIL LTDA ME</v>
      </c>
      <c r="J4445">
        <f t="shared" si="418"/>
        <v>0</v>
      </c>
      <c r="K4445">
        <f t="shared" si="419"/>
        <v>1</v>
      </c>
    </row>
    <row r="4446" spans="1:11" x14ac:dyDescent="0.25">
      <c r="A4446" t="s">
        <v>64</v>
      </c>
      <c r="B4446" t="s">
        <v>65</v>
      </c>
      <c r="C4446" t="s">
        <v>53</v>
      </c>
      <c r="D4446" s="6">
        <v>45932</v>
      </c>
      <c r="E4446" t="str">
        <f>VLOOKUP(B4446,'PROCV GERENTES BD'!A:B,2,0)</f>
        <v>ADMINISTRAÇÃO</v>
      </c>
      <c r="F4446" s="4" t="str">
        <f t="shared" si="414"/>
        <v>2025-10</v>
      </c>
      <c r="G4446" s="18">
        <f t="shared" si="415"/>
        <v>40</v>
      </c>
      <c r="H4446" t="str">
        <f t="shared" si="416"/>
        <v>ADMINISTRAÇÃO</v>
      </c>
      <c r="I4446" t="str">
        <f t="shared" si="417"/>
        <v>SOCIAL S/A</v>
      </c>
      <c r="J4446">
        <f t="shared" si="418"/>
        <v>1</v>
      </c>
      <c r="K4446">
        <f t="shared" si="419"/>
        <v>1</v>
      </c>
    </row>
    <row r="4447" spans="1:11" x14ac:dyDescent="0.25">
      <c r="A4447" t="s">
        <v>510</v>
      </c>
      <c r="B4447" t="s">
        <v>273</v>
      </c>
      <c r="C4447" t="s">
        <v>50</v>
      </c>
      <c r="D4447" s="6">
        <v>45932</v>
      </c>
      <c r="E4447" t="str">
        <f>VLOOKUP(B4447,'PROCV GERENTES BD'!A:B,2,0)</f>
        <v>CELIO PIMENTA</v>
      </c>
      <c r="F4447" s="4" t="str">
        <f t="shared" si="414"/>
        <v>2025-10</v>
      </c>
      <c r="G4447" s="18">
        <f t="shared" si="415"/>
        <v>40</v>
      </c>
      <c r="H4447" t="str">
        <f t="shared" si="416"/>
        <v>CELIO PIMENTA</v>
      </c>
      <c r="I4447" t="str">
        <f t="shared" si="417"/>
        <v>PRADO MOREIRA TEXTIL LTDA ME</v>
      </c>
      <c r="J4447">
        <f t="shared" si="418"/>
        <v>0</v>
      </c>
      <c r="K4447">
        <f t="shared" si="419"/>
        <v>1</v>
      </c>
    </row>
    <row r="4448" spans="1:11" x14ac:dyDescent="0.25">
      <c r="A4448" t="s">
        <v>62</v>
      </c>
      <c r="B4448" t="s">
        <v>63</v>
      </c>
      <c r="C4448" t="s">
        <v>66</v>
      </c>
      <c r="D4448" s="6">
        <v>45932</v>
      </c>
      <c r="E4448" t="str">
        <f>VLOOKUP(B4448,'PROCV GERENTES BD'!A:B,2,0)</f>
        <v>PROSPECTAR</v>
      </c>
      <c r="F4448" s="4" t="str">
        <f t="shared" si="414"/>
        <v>2025-10</v>
      </c>
      <c r="G4448" s="18">
        <f t="shared" si="415"/>
        <v>40</v>
      </c>
      <c r="H4448" t="str">
        <f t="shared" si="416"/>
        <v>PROSPECTAR</v>
      </c>
      <c r="I4448" t="str">
        <f t="shared" si="417"/>
        <v>MAPP COM IMPORTACAO EXPORTACAO IND PRODUTOS ALIMEN</v>
      </c>
      <c r="J4448">
        <f t="shared" si="418"/>
        <v>1</v>
      </c>
      <c r="K4448">
        <f t="shared" si="419"/>
        <v>0</v>
      </c>
    </row>
    <row r="4449" spans="1:11" x14ac:dyDescent="0.25">
      <c r="A4449" t="s">
        <v>355</v>
      </c>
      <c r="B4449" t="s">
        <v>100</v>
      </c>
      <c r="C4449" t="s">
        <v>50</v>
      </c>
      <c r="D4449" s="6">
        <v>45932</v>
      </c>
      <c r="E4449" t="str">
        <f>VLOOKUP(B4449,'PROCV GERENTES BD'!A:B,2,0)</f>
        <v>ADMINISTRAÇÃO</v>
      </c>
      <c r="F4449" s="4" t="str">
        <f t="shared" si="414"/>
        <v>2025-10</v>
      </c>
      <c r="G4449" s="18">
        <f t="shared" si="415"/>
        <v>40</v>
      </c>
      <c r="H4449" t="str">
        <f t="shared" si="416"/>
        <v>ADMINISTRAÇÃO</v>
      </c>
      <c r="I4449" t="str">
        <f t="shared" si="417"/>
        <v>DECISION DESENVOLVIMENTO DE SISTEMAS LTDA</v>
      </c>
      <c r="J4449">
        <f t="shared" si="418"/>
        <v>0</v>
      </c>
      <c r="K4449">
        <f t="shared" si="419"/>
        <v>1</v>
      </c>
    </row>
    <row r="4450" spans="1:11" x14ac:dyDescent="0.25">
      <c r="A4450" t="s">
        <v>58</v>
      </c>
      <c r="B4450" t="s">
        <v>59</v>
      </c>
      <c r="C4450" t="s">
        <v>66</v>
      </c>
      <c r="D4450" s="6">
        <v>45932</v>
      </c>
      <c r="E4450" t="str">
        <f>VLOOKUP(B4450,'PROCV GERENTES BD'!A:B,2,0)</f>
        <v>ADMINISTRAÇÃO</v>
      </c>
      <c r="F4450" s="4" t="str">
        <f t="shared" si="414"/>
        <v>2025-10</v>
      </c>
      <c r="G4450" s="18">
        <f t="shared" si="415"/>
        <v>40</v>
      </c>
      <c r="H4450" t="str">
        <f t="shared" si="416"/>
        <v>ADMINISTRAÇÃO</v>
      </c>
      <c r="I4450" t="str">
        <f t="shared" si="417"/>
        <v>BIOTECH LOGISTICA LTDA</v>
      </c>
      <c r="J4450">
        <f t="shared" si="418"/>
        <v>1</v>
      </c>
      <c r="K4450">
        <f t="shared" si="419"/>
        <v>0</v>
      </c>
    </row>
    <row r="4451" spans="1:11" x14ac:dyDescent="0.25">
      <c r="A4451" t="s">
        <v>638</v>
      </c>
      <c r="B4451" t="s">
        <v>539</v>
      </c>
      <c r="C4451" t="s">
        <v>50</v>
      </c>
      <c r="D4451" s="6">
        <v>45932</v>
      </c>
      <c r="E4451" t="str">
        <f>VLOOKUP(B4451,'PROCV GERENTES BD'!A:B,2,0)</f>
        <v>JJPH</v>
      </c>
      <c r="F4451" s="4" t="str">
        <f t="shared" si="414"/>
        <v>2025-10</v>
      </c>
      <c r="G4451" s="18">
        <f t="shared" si="415"/>
        <v>40</v>
      </c>
      <c r="H4451" t="str">
        <f t="shared" si="416"/>
        <v>JJPH</v>
      </c>
      <c r="I4451" t="str">
        <f t="shared" si="417"/>
        <v>DIFARMIG LTDA</v>
      </c>
      <c r="J4451">
        <f t="shared" si="418"/>
        <v>0</v>
      </c>
      <c r="K4451">
        <f t="shared" si="419"/>
        <v>1</v>
      </c>
    </row>
    <row r="4452" spans="1:11" x14ac:dyDescent="0.25">
      <c r="A4452" t="s">
        <v>323</v>
      </c>
      <c r="B4452" t="s">
        <v>109</v>
      </c>
      <c r="C4452" t="s">
        <v>66</v>
      </c>
      <c r="D4452" s="6">
        <v>45932</v>
      </c>
      <c r="E4452" t="str">
        <f>VLOOKUP(B4452,'PROCV GERENTES BD'!A:B,2,0)</f>
        <v>PROSPECTAR</v>
      </c>
      <c r="F4452" s="4" t="str">
        <f t="shared" si="414"/>
        <v>2025-10</v>
      </c>
      <c r="G4452" s="18">
        <f t="shared" si="415"/>
        <v>40</v>
      </c>
      <c r="H4452" t="str">
        <f t="shared" si="416"/>
        <v>PROSPECTAR</v>
      </c>
      <c r="I4452" t="str">
        <f t="shared" si="417"/>
        <v>SIAP COMERCIO DE PRODUTOS AGROPECUARIOS LTDA</v>
      </c>
      <c r="J4452">
        <f t="shared" si="418"/>
        <v>1</v>
      </c>
      <c r="K4452">
        <f t="shared" si="419"/>
        <v>0</v>
      </c>
    </row>
    <row r="4453" spans="1:11" x14ac:dyDescent="0.25">
      <c r="A4453" t="s">
        <v>324</v>
      </c>
      <c r="B4453" t="s">
        <v>119</v>
      </c>
      <c r="C4453" t="s">
        <v>50</v>
      </c>
      <c r="D4453" s="6">
        <v>45932</v>
      </c>
      <c r="E4453" t="str">
        <f>VLOOKUP(B4453,'PROCV GERENTES BD'!A:B,2,0)</f>
        <v>PROSPECTAR</v>
      </c>
      <c r="F4453" s="4" t="str">
        <f t="shared" si="414"/>
        <v>2025-10</v>
      </c>
      <c r="G4453" s="18">
        <f t="shared" si="415"/>
        <v>40</v>
      </c>
      <c r="H4453" t="str">
        <f t="shared" si="416"/>
        <v>PROSPECTAR</v>
      </c>
      <c r="I4453" t="str">
        <f t="shared" si="417"/>
        <v>TRANSHENRY TRANSPORTES LTDA</v>
      </c>
      <c r="J4453">
        <f t="shared" si="418"/>
        <v>0</v>
      </c>
      <c r="K4453">
        <f t="shared" si="419"/>
        <v>1</v>
      </c>
    </row>
    <row r="4454" spans="1:11" x14ac:dyDescent="0.25">
      <c r="A4454" t="s">
        <v>482</v>
      </c>
      <c r="B4454" t="s">
        <v>239</v>
      </c>
      <c r="C4454" t="s">
        <v>50</v>
      </c>
      <c r="D4454" s="6">
        <v>45932</v>
      </c>
      <c r="E4454" t="str">
        <f>VLOOKUP(B4454,'PROCV GERENTES BD'!A:B,2,0)</f>
        <v>RAFAEL PARISE</v>
      </c>
      <c r="F4454" s="4" t="str">
        <f t="shared" si="414"/>
        <v>2025-10</v>
      </c>
      <c r="G4454" s="18">
        <f t="shared" si="415"/>
        <v>40</v>
      </c>
      <c r="H4454" t="str">
        <f t="shared" si="416"/>
        <v>RAFAEL PARISE</v>
      </c>
      <c r="I4454" t="str">
        <f t="shared" si="417"/>
        <v>RENOVAR AGRICOLA LTDA</v>
      </c>
      <c r="J4454">
        <f t="shared" si="418"/>
        <v>0</v>
      </c>
      <c r="K4454">
        <f t="shared" si="419"/>
        <v>1</v>
      </c>
    </row>
    <row r="4455" spans="1:11" x14ac:dyDescent="0.25">
      <c r="A4455" t="s">
        <v>305</v>
      </c>
      <c r="B4455" t="s">
        <v>141</v>
      </c>
      <c r="C4455" t="s">
        <v>50</v>
      </c>
      <c r="D4455" s="6">
        <v>45932</v>
      </c>
      <c r="E4455" t="str">
        <f>VLOOKUP(B4455,'PROCV GERENTES BD'!A:B,2,0)</f>
        <v>NOELI SALETE</v>
      </c>
      <c r="F4455" s="4" t="str">
        <f t="shared" si="414"/>
        <v>2025-10</v>
      </c>
      <c r="G4455" s="18">
        <f t="shared" si="415"/>
        <v>40</v>
      </c>
      <c r="H4455" t="str">
        <f t="shared" si="416"/>
        <v>NOELI SALETE</v>
      </c>
      <c r="I4455" t="str">
        <f t="shared" si="417"/>
        <v>JMS EMBALAGENS INDUSTRIAIS LTDA</v>
      </c>
      <c r="J4455">
        <f t="shared" si="418"/>
        <v>0</v>
      </c>
      <c r="K4455">
        <f t="shared" si="419"/>
        <v>1</v>
      </c>
    </row>
    <row r="4456" spans="1:11" x14ac:dyDescent="0.25">
      <c r="A4456" t="s">
        <v>311</v>
      </c>
      <c r="B4456" t="s">
        <v>81</v>
      </c>
      <c r="C4456" t="s">
        <v>66</v>
      </c>
      <c r="D4456" s="6">
        <v>45932</v>
      </c>
      <c r="E4456" t="str">
        <f>VLOOKUP(B4456,'PROCV GERENTES BD'!A:B,2,0)</f>
        <v>CELIO PIMENTA</v>
      </c>
      <c r="F4456" s="4" t="str">
        <f t="shared" si="414"/>
        <v>2025-10</v>
      </c>
      <c r="G4456" s="18">
        <f t="shared" si="415"/>
        <v>40</v>
      </c>
      <c r="H4456" t="str">
        <f t="shared" si="416"/>
        <v>CELIO PIMENTA</v>
      </c>
      <c r="I4456" t="str">
        <f t="shared" si="417"/>
        <v>MBIOLOG DIAGNOSTICOS LTDA</v>
      </c>
      <c r="J4456">
        <f t="shared" si="418"/>
        <v>1</v>
      </c>
      <c r="K4456">
        <f t="shared" si="419"/>
        <v>0</v>
      </c>
    </row>
    <row r="4457" spans="1:11" x14ac:dyDescent="0.25">
      <c r="A4457" t="s">
        <v>604</v>
      </c>
      <c r="B4457" t="s">
        <v>605</v>
      </c>
      <c r="C4457" t="s">
        <v>53</v>
      </c>
      <c r="D4457" s="6">
        <v>45932</v>
      </c>
      <c r="E4457" t="str">
        <f>VLOOKUP(B4457,'PROCV GERENTES BD'!A:B,2,0)</f>
        <v>ALISSON DE SOUZA LIMA</v>
      </c>
      <c r="F4457" s="4" t="str">
        <f t="shared" si="414"/>
        <v>2025-10</v>
      </c>
      <c r="G4457" s="18">
        <f t="shared" si="415"/>
        <v>40</v>
      </c>
      <c r="H4457" t="str">
        <f t="shared" si="416"/>
        <v>ALISSON DE SOUZA LIMA</v>
      </c>
      <c r="I4457" t="str">
        <f t="shared" si="417"/>
        <v>3J FUNDICAO INDUSTRIAL LTDA</v>
      </c>
      <c r="J4457">
        <f t="shared" si="418"/>
        <v>1</v>
      </c>
      <c r="K4457">
        <f t="shared" si="419"/>
        <v>1</v>
      </c>
    </row>
    <row r="4458" spans="1:11" x14ac:dyDescent="0.25">
      <c r="A4458" t="s">
        <v>407</v>
      </c>
      <c r="B4458" t="s">
        <v>157</v>
      </c>
      <c r="C4458" t="s">
        <v>53</v>
      </c>
      <c r="D4458" s="6">
        <v>45932</v>
      </c>
      <c r="E4458" t="str">
        <f>VLOOKUP(B4458,'PROCV GERENTES BD'!A:B,2,0)</f>
        <v>NOELI SALETE</v>
      </c>
      <c r="F4458" s="4" t="str">
        <f t="shared" si="414"/>
        <v>2025-10</v>
      </c>
      <c r="G4458" s="18">
        <f t="shared" si="415"/>
        <v>40</v>
      </c>
      <c r="H4458" t="str">
        <f t="shared" si="416"/>
        <v>NOELI SALETE</v>
      </c>
      <c r="I4458" t="str">
        <f t="shared" si="417"/>
        <v>SGAMAQ INOVACAO AGROINDUSTRIAL LTDA</v>
      </c>
      <c r="J4458">
        <f t="shared" si="418"/>
        <v>1</v>
      </c>
      <c r="K4458">
        <f t="shared" si="419"/>
        <v>1</v>
      </c>
    </row>
    <row r="4459" spans="1:11" x14ac:dyDescent="0.25">
      <c r="A4459" t="s">
        <v>529</v>
      </c>
      <c r="B4459" t="s">
        <v>297</v>
      </c>
      <c r="C4459" t="s">
        <v>50</v>
      </c>
      <c r="D4459" s="6">
        <v>45933</v>
      </c>
      <c r="E4459" t="str">
        <f>VLOOKUP(B4459,'PROCV GERENTES BD'!A:B,2,0)</f>
        <v>ANDRE CUNHA</v>
      </c>
      <c r="F4459" s="4" t="str">
        <f t="shared" si="414"/>
        <v>2025-10</v>
      </c>
      <c r="G4459" s="18">
        <f t="shared" si="415"/>
        <v>40</v>
      </c>
      <c r="H4459" t="str">
        <f t="shared" si="416"/>
        <v>ANDRE CUNHA</v>
      </c>
      <c r="I4459" t="str">
        <f t="shared" si="417"/>
        <v>REVPACK TECNOLOGIA E COMERCIO DE COMPONENTES PLAST</v>
      </c>
      <c r="J4459">
        <f t="shared" si="418"/>
        <v>0</v>
      </c>
      <c r="K4459">
        <f t="shared" si="419"/>
        <v>1</v>
      </c>
    </row>
    <row r="4460" spans="1:11" x14ac:dyDescent="0.25">
      <c r="A4460" t="s">
        <v>521</v>
      </c>
      <c r="B4460" t="s">
        <v>286</v>
      </c>
      <c r="C4460" t="s">
        <v>50</v>
      </c>
      <c r="D4460" s="6">
        <v>45933</v>
      </c>
      <c r="E4460" t="str">
        <f>VLOOKUP(B4460,'PROCV GERENTES BD'!A:B,2,0)</f>
        <v>CELIO PIMENTA</v>
      </c>
      <c r="F4460" s="4" t="str">
        <f t="shared" si="414"/>
        <v>2025-10</v>
      </c>
      <c r="G4460" s="18">
        <f t="shared" si="415"/>
        <v>40</v>
      </c>
      <c r="H4460" t="str">
        <f t="shared" si="416"/>
        <v>CELIO PIMENTA</v>
      </c>
      <c r="I4460" t="str">
        <f t="shared" si="417"/>
        <v>LINGERIE E CIA LTDA ME</v>
      </c>
      <c r="J4460">
        <f t="shared" si="418"/>
        <v>0</v>
      </c>
      <c r="K4460">
        <f t="shared" si="419"/>
        <v>1</v>
      </c>
    </row>
    <row r="4461" spans="1:11" x14ac:dyDescent="0.25">
      <c r="A4461" t="s">
        <v>508</v>
      </c>
      <c r="B4461" t="s">
        <v>271</v>
      </c>
      <c r="C4461" t="s">
        <v>53</v>
      </c>
      <c r="D4461" s="6">
        <v>45933</v>
      </c>
      <c r="E4461" t="str">
        <f>VLOOKUP(B4461,'PROCV GERENTES BD'!A:B,2,0)</f>
        <v>PRISCILA METZ</v>
      </c>
      <c r="F4461" s="4" t="str">
        <f t="shared" si="414"/>
        <v>2025-10</v>
      </c>
      <c r="G4461" s="18">
        <f t="shared" si="415"/>
        <v>40</v>
      </c>
      <c r="H4461" t="str">
        <f t="shared" si="416"/>
        <v>PRISCILA METZ</v>
      </c>
      <c r="I4461" t="str">
        <f t="shared" si="417"/>
        <v>TUBOLARES VITORIA INDUSTRIA E COMERCIO LTDA ME</v>
      </c>
      <c r="J4461">
        <f t="shared" si="418"/>
        <v>1</v>
      </c>
      <c r="K4461">
        <f t="shared" si="419"/>
        <v>1</v>
      </c>
    </row>
    <row r="4462" spans="1:11" x14ac:dyDescent="0.25">
      <c r="A4462" t="s">
        <v>314</v>
      </c>
      <c r="B4462" t="s">
        <v>246</v>
      </c>
      <c r="C4462" t="s">
        <v>50</v>
      </c>
      <c r="D4462" s="6">
        <v>45933</v>
      </c>
      <c r="E4462" t="str">
        <f>VLOOKUP(B4462,'PROCV GERENTES BD'!A:B,2,0)</f>
        <v xml:space="preserve">ROGERIO </v>
      </c>
      <c r="F4462" s="4" t="str">
        <f t="shared" si="414"/>
        <v>2025-10</v>
      </c>
      <c r="G4462" s="18">
        <f t="shared" si="415"/>
        <v>40</v>
      </c>
      <c r="H4462" t="str">
        <f t="shared" si="416"/>
        <v xml:space="preserve">ROGERIO </v>
      </c>
      <c r="I4462" t="str">
        <f t="shared" si="417"/>
        <v>MUTCD CENTRO DE DISTRIBUICAO DE IND FABRICANTE DE</v>
      </c>
      <c r="J4462">
        <f t="shared" si="418"/>
        <v>0</v>
      </c>
      <c r="K4462">
        <f t="shared" si="419"/>
        <v>1</v>
      </c>
    </row>
    <row r="4463" spans="1:11" x14ac:dyDescent="0.25">
      <c r="A4463" t="s">
        <v>431</v>
      </c>
      <c r="B4463" t="s">
        <v>196</v>
      </c>
      <c r="C4463" t="s">
        <v>66</v>
      </c>
      <c r="D4463" s="6">
        <v>45933</v>
      </c>
      <c r="E4463" t="str">
        <f>VLOOKUP(B4463,'PROCV GERENTES BD'!A:B,2,0)</f>
        <v xml:space="preserve">ROGERIO </v>
      </c>
      <c r="F4463" s="4" t="str">
        <f t="shared" si="414"/>
        <v>2025-10</v>
      </c>
      <c r="G4463" s="18">
        <f t="shared" si="415"/>
        <v>40</v>
      </c>
      <c r="H4463" t="str">
        <f t="shared" si="416"/>
        <v xml:space="preserve">ROGERIO </v>
      </c>
      <c r="I4463" t="str">
        <f t="shared" si="417"/>
        <v>GRF JEANS WEAR LTDA EPP</v>
      </c>
      <c r="J4463">
        <f t="shared" si="418"/>
        <v>1</v>
      </c>
      <c r="K4463">
        <f t="shared" si="419"/>
        <v>0</v>
      </c>
    </row>
    <row r="4464" spans="1:11" x14ac:dyDescent="0.25">
      <c r="A4464" t="s">
        <v>600</v>
      </c>
      <c r="B4464" t="s">
        <v>594</v>
      </c>
      <c r="C4464" t="s">
        <v>50</v>
      </c>
      <c r="D4464" s="6">
        <v>45933</v>
      </c>
      <c r="E4464" t="str">
        <f>VLOOKUP(B4464,'PROCV GERENTES BD'!A:B,2,0)</f>
        <v xml:space="preserve">ROGERIO </v>
      </c>
      <c r="F4464" s="4" t="str">
        <f t="shared" si="414"/>
        <v>2025-10</v>
      </c>
      <c r="G4464" s="18">
        <f t="shared" si="415"/>
        <v>40</v>
      </c>
      <c r="H4464" t="str">
        <f t="shared" si="416"/>
        <v xml:space="preserve">ROGERIO </v>
      </c>
      <c r="I4464" t="str">
        <f t="shared" si="417"/>
        <v>METALAB COMERCIO E INDUSTRIA FARMACEUTICA LTDA ME</v>
      </c>
      <c r="J4464">
        <f t="shared" si="418"/>
        <v>0</v>
      </c>
      <c r="K4464">
        <f t="shared" si="419"/>
        <v>1</v>
      </c>
    </row>
    <row r="4465" spans="1:11" x14ac:dyDescent="0.25">
      <c r="A4465" t="s">
        <v>661</v>
      </c>
      <c r="B4465" t="s">
        <v>662</v>
      </c>
      <c r="C4465" t="s">
        <v>66</v>
      </c>
      <c r="D4465" s="6">
        <v>45933</v>
      </c>
      <c r="E4465" t="str">
        <f>VLOOKUP(B4465,'PROCV GERENTES BD'!A:B,2,0)</f>
        <v>PRISCILA METZ</v>
      </c>
      <c r="F4465" s="4" t="str">
        <f t="shared" si="414"/>
        <v>2025-10</v>
      </c>
      <c r="G4465" s="18">
        <f t="shared" si="415"/>
        <v>40</v>
      </c>
      <c r="H4465" t="str">
        <f t="shared" si="416"/>
        <v>PRISCILA METZ</v>
      </c>
      <c r="I4465" t="str">
        <f t="shared" si="417"/>
        <v>LIDER DISTRIBUIDORA DE MOVEIS E EQUIPAMENTOS PARA</v>
      </c>
      <c r="J4465">
        <f t="shared" si="418"/>
        <v>1</v>
      </c>
      <c r="K4465">
        <f t="shared" si="419"/>
        <v>0</v>
      </c>
    </row>
    <row r="4466" spans="1:11" x14ac:dyDescent="0.25">
      <c r="A4466" t="s">
        <v>635</v>
      </c>
      <c r="B4466" t="s">
        <v>636</v>
      </c>
      <c r="C4466" t="s">
        <v>53</v>
      </c>
      <c r="D4466" s="6">
        <v>45933</v>
      </c>
      <c r="E4466" t="str">
        <f>VLOOKUP(B4466,'PROCV GERENTES BD'!A:B,2,0)</f>
        <v>TIAGO NEVES</v>
      </c>
      <c r="F4466" s="4" t="str">
        <f t="shared" si="414"/>
        <v>2025-10</v>
      </c>
      <c r="G4466" s="18">
        <f t="shared" si="415"/>
        <v>40</v>
      </c>
      <c r="H4466" t="str">
        <f t="shared" si="416"/>
        <v>TIAGO NEVES</v>
      </c>
      <c r="I4466" t="str">
        <f t="shared" si="417"/>
        <v>MG GLASS VIDROS PARA TRATORES E CAMINHOES LTDA ME</v>
      </c>
      <c r="J4466">
        <f t="shared" si="418"/>
        <v>1</v>
      </c>
      <c r="K4466">
        <f t="shared" si="419"/>
        <v>1</v>
      </c>
    </row>
    <row r="4467" spans="1:11" x14ac:dyDescent="0.25">
      <c r="A4467" t="s">
        <v>515</v>
      </c>
      <c r="B4467" t="s">
        <v>277</v>
      </c>
      <c r="C4467" t="s">
        <v>66</v>
      </c>
      <c r="D4467" s="6">
        <v>45933</v>
      </c>
      <c r="E4467" t="str">
        <f>VLOOKUP(B4467,'PROCV GERENTES BD'!A:B,2,0)</f>
        <v>ALISSON DE SOUZA LIMA</v>
      </c>
      <c r="F4467" s="4" t="str">
        <f t="shared" si="414"/>
        <v>2025-10</v>
      </c>
      <c r="G4467" s="18">
        <f t="shared" si="415"/>
        <v>40</v>
      </c>
      <c r="H4467" t="str">
        <f t="shared" si="416"/>
        <v>ALISSON DE SOUZA LIMA</v>
      </c>
      <c r="I4467" t="str">
        <f t="shared" si="417"/>
        <v>COMERCIAL GTS INFORMATICA LTDA EPP</v>
      </c>
      <c r="J4467">
        <f t="shared" si="418"/>
        <v>1</v>
      </c>
      <c r="K4467">
        <f t="shared" si="419"/>
        <v>0</v>
      </c>
    </row>
    <row r="4468" spans="1:11" x14ac:dyDescent="0.25">
      <c r="A4468" t="s">
        <v>448</v>
      </c>
      <c r="B4468" t="s">
        <v>201</v>
      </c>
      <c r="C4468" t="s">
        <v>66</v>
      </c>
      <c r="D4468" s="6">
        <v>45933</v>
      </c>
      <c r="E4468" t="str">
        <f>VLOOKUP(B4468,'PROCV GERENTES BD'!A:B,2,0)</f>
        <v>PRISCILA METZ</v>
      </c>
      <c r="F4468" s="4" t="str">
        <f t="shared" si="414"/>
        <v>2025-10</v>
      </c>
      <c r="G4468" s="18">
        <f t="shared" si="415"/>
        <v>40</v>
      </c>
      <c r="H4468" t="str">
        <f t="shared" si="416"/>
        <v>PRISCILA METZ</v>
      </c>
      <c r="I4468" t="str">
        <f t="shared" si="417"/>
        <v>M TRATORES LTDA EPP</v>
      </c>
      <c r="J4468">
        <f t="shared" si="418"/>
        <v>1</v>
      </c>
      <c r="K4468">
        <f t="shared" si="419"/>
        <v>0</v>
      </c>
    </row>
    <row r="4469" spans="1:11" x14ac:dyDescent="0.25">
      <c r="A4469" t="s">
        <v>442</v>
      </c>
      <c r="B4469" t="s">
        <v>193</v>
      </c>
      <c r="C4469" t="s">
        <v>66</v>
      </c>
      <c r="D4469" s="6">
        <v>45933</v>
      </c>
      <c r="E4469" t="str">
        <f>VLOOKUP(B4469,'PROCV GERENTES BD'!A:B,2,0)</f>
        <v>CELIO PIMENTA</v>
      </c>
      <c r="F4469" s="4" t="str">
        <f t="shared" si="414"/>
        <v>2025-10</v>
      </c>
      <c r="G4469" s="18">
        <f t="shared" si="415"/>
        <v>40</v>
      </c>
      <c r="H4469" t="str">
        <f t="shared" si="416"/>
        <v>CELIO PIMENTA</v>
      </c>
      <c r="I4469" t="str">
        <f t="shared" si="417"/>
        <v>CIA TEXTIL LTDA ME</v>
      </c>
      <c r="J4469">
        <f t="shared" si="418"/>
        <v>1</v>
      </c>
      <c r="K4469">
        <f t="shared" si="419"/>
        <v>0</v>
      </c>
    </row>
    <row r="4470" spans="1:11" x14ac:dyDescent="0.25">
      <c r="A4470" t="s">
        <v>64</v>
      </c>
      <c r="B4470" t="s">
        <v>65</v>
      </c>
      <c r="C4470" t="s">
        <v>66</v>
      </c>
      <c r="D4470" s="6">
        <v>45933</v>
      </c>
      <c r="E4470" t="str">
        <f>VLOOKUP(B4470,'PROCV GERENTES BD'!A:B,2,0)</f>
        <v>ADMINISTRAÇÃO</v>
      </c>
      <c r="F4470" s="4" t="str">
        <f t="shared" si="414"/>
        <v>2025-10</v>
      </c>
      <c r="G4470" s="18">
        <f t="shared" si="415"/>
        <v>40</v>
      </c>
      <c r="H4470" t="str">
        <f t="shared" si="416"/>
        <v>ADMINISTRAÇÃO</v>
      </c>
      <c r="I4470" t="str">
        <f t="shared" si="417"/>
        <v>SOCIAL S/A</v>
      </c>
      <c r="J4470">
        <f t="shared" si="418"/>
        <v>1</v>
      </c>
      <c r="K4470">
        <f t="shared" si="419"/>
        <v>0</v>
      </c>
    </row>
    <row r="4471" spans="1:11" x14ac:dyDescent="0.25">
      <c r="A4471" t="s">
        <v>62</v>
      </c>
      <c r="B4471" t="s">
        <v>63</v>
      </c>
      <c r="C4471" t="s">
        <v>53</v>
      </c>
      <c r="D4471" s="6">
        <v>45933</v>
      </c>
      <c r="E4471" t="str">
        <f>VLOOKUP(B4471,'PROCV GERENTES BD'!A:B,2,0)</f>
        <v>PROSPECTAR</v>
      </c>
      <c r="F4471" s="4" t="str">
        <f t="shared" si="414"/>
        <v>2025-10</v>
      </c>
      <c r="G4471" s="18">
        <f t="shared" si="415"/>
        <v>40</v>
      </c>
      <c r="H4471" t="str">
        <f t="shared" si="416"/>
        <v>PROSPECTAR</v>
      </c>
      <c r="I4471" t="str">
        <f t="shared" si="417"/>
        <v>MAPP COM IMPORTACAO EXPORTACAO IND PRODUTOS ALIMEN</v>
      </c>
      <c r="J4471">
        <f t="shared" si="418"/>
        <v>1</v>
      </c>
      <c r="K4471">
        <f t="shared" si="419"/>
        <v>1</v>
      </c>
    </row>
    <row r="4472" spans="1:11" x14ac:dyDescent="0.25">
      <c r="A4472" t="s">
        <v>604</v>
      </c>
      <c r="B4472" t="s">
        <v>605</v>
      </c>
      <c r="C4472" t="s">
        <v>66</v>
      </c>
      <c r="D4472" s="6">
        <v>45933</v>
      </c>
      <c r="E4472" t="str">
        <f>VLOOKUP(B4472,'PROCV GERENTES BD'!A:B,2,0)</f>
        <v>ALISSON DE SOUZA LIMA</v>
      </c>
      <c r="F4472" s="4" t="str">
        <f t="shared" si="414"/>
        <v>2025-10</v>
      </c>
      <c r="G4472" s="18">
        <f t="shared" si="415"/>
        <v>40</v>
      </c>
      <c r="H4472" t="str">
        <f t="shared" si="416"/>
        <v>ALISSON DE SOUZA LIMA</v>
      </c>
      <c r="I4472" t="str">
        <f t="shared" si="417"/>
        <v>3J FUNDICAO INDUSTRIAL LTDA</v>
      </c>
      <c r="J4472">
        <f t="shared" si="418"/>
        <v>1</v>
      </c>
      <c r="K4472">
        <f t="shared" si="419"/>
        <v>0</v>
      </c>
    </row>
    <row r="4473" spans="1:11" x14ac:dyDescent="0.25">
      <c r="A4473" t="s">
        <v>361</v>
      </c>
      <c r="B4473" t="s">
        <v>106</v>
      </c>
      <c r="C4473" t="s">
        <v>50</v>
      </c>
      <c r="D4473" s="6">
        <v>45933</v>
      </c>
      <c r="E4473" t="str">
        <f>VLOOKUP(B4473,'PROCV GERENTES BD'!A:B,2,0)</f>
        <v>PRISCILA METZ</v>
      </c>
      <c r="F4473" s="4" t="str">
        <f t="shared" si="414"/>
        <v>2025-10</v>
      </c>
      <c r="G4473" s="18">
        <f t="shared" si="415"/>
        <v>40</v>
      </c>
      <c r="H4473" t="str">
        <f t="shared" si="416"/>
        <v>PRISCILA METZ</v>
      </c>
      <c r="I4473" t="str">
        <f t="shared" si="417"/>
        <v>HERBAMED LABORATORIO NUTRACEUTICO LTDA</v>
      </c>
      <c r="J4473">
        <f t="shared" si="418"/>
        <v>0</v>
      </c>
      <c r="K4473">
        <f t="shared" si="419"/>
        <v>1</v>
      </c>
    </row>
    <row r="4474" spans="1:11" x14ac:dyDescent="0.25">
      <c r="A4474" t="s">
        <v>387</v>
      </c>
      <c r="B4474" t="s">
        <v>134</v>
      </c>
      <c r="C4474" t="s">
        <v>50</v>
      </c>
      <c r="D4474" s="6">
        <v>45933</v>
      </c>
      <c r="E4474" t="str">
        <f>VLOOKUP(B4474,'PROCV GERENTES BD'!A:B,2,0)</f>
        <v>RAFAEL PARISE</v>
      </c>
      <c r="F4474" s="4" t="str">
        <f t="shared" si="414"/>
        <v>2025-10</v>
      </c>
      <c r="G4474" s="18">
        <f t="shared" si="415"/>
        <v>40</v>
      </c>
      <c r="H4474" t="str">
        <f t="shared" si="416"/>
        <v>RAFAEL PARISE</v>
      </c>
      <c r="I4474" t="str">
        <f t="shared" si="417"/>
        <v>MAIS DISTRIBUIDORA LTDA</v>
      </c>
      <c r="J4474">
        <f t="shared" si="418"/>
        <v>0</v>
      </c>
      <c r="K4474">
        <f t="shared" si="419"/>
        <v>1</v>
      </c>
    </row>
    <row r="4475" spans="1:11" x14ac:dyDescent="0.25">
      <c r="A4475" t="s">
        <v>51</v>
      </c>
      <c r="B4475" t="s">
        <v>52</v>
      </c>
      <c r="C4475" t="s">
        <v>66</v>
      </c>
      <c r="D4475" s="6">
        <v>45933</v>
      </c>
      <c r="E4475" t="str">
        <f>VLOOKUP(B4475,'PROCV GERENTES BD'!A:B,2,0)</f>
        <v>RAFAEL PARISE</v>
      </c>
      <c r="F4475" s="4" t="str">
        <f t="shared" si="414"/>
        <v>2025-10</v>
      </c>
      <c r="G4475" s="18">
        <f t="shared" si="415"/>
        <v>40</v>
      </c>
      <c r="H4475" t="str">
        <f t="shared" si="416"/>
        <v>RAFAEL PARISE</v>
      </c>
      <c r="I4475" t="str">
        <f t="shared" si="417"/>
        <v>TDR TRANSPORTES LOGISTICA LTDA</v>
      </c>
      <c r="J4475">
        <f t="shared" si="418"/>
        <v>1</v>
      </c>
      <c r="K4475">
        <f t="shared" si="419"/>
        <v>0</v>
      </c>
    </row>
    <row r="4476" spans="1:11" x14ac:dyDescent="0.25">
      <c r="A4476" t="s">
        <v>629</v>
      </c>
      <c r="B4476" t="s">
        <v>550</v>
      </c>
      <c r="C4476" t="s">
        <v>66</v>
      </c>
      <c r="D4476" s="6">
        <v>45933</v>
      </c>
      <c r="E4476" t="str">
        <f>VLOOKUP(B4476,'PROCV GERENTES BD'!A:B,2,0)</f>
        <v>CREDTEM</v>
      </c>
      <c r="F4476" s="4" t="str">
        <f t="shared" si="414"/>
        <v>2025-10</v>
      </c>
      <c r="G4476" s="18">
        <f t="shared" si="415"/>
        <v>40</v>
      </c>
      <c r="H4476" t="str">
        <f t="shared" si="416"/>
        <v>CREDTEM</v>
      </c>
      <c r="I4476" t="str">
        <f t="shared" si="417"/>
        <v>W M DE CASTRO NETO PRODUTOS FARMACEUTICOS EPP</v>
      </c>
      <c r="J4476">
        <f t="shared" si="418"/>
        <v>1</v>
      </c>
      <c r="K4476">
        <f t="shared" si="419"/>
        <v>0</v>
      </c>
    </row>
    <row r="4477" spans="1:11" x14ac:dyDescent="0.25">
      <c r="A4477" t="s">
        <v>324</v>
      </c>
      <c r="B4477" t="s">
        <v>119</v>
      </c>
      <c r="C4477" t="s">
        <v>53</v>
      </c>
      <c r="D4477" s="6">
        <v>45933</v>
      </c>
      <c r="E4477" t="str">
        <f>VLOOKUP(B4477,'PROCV GERENTES BD'!A:B,2,0)</f>
        <v>PROSPECTAR</v>
      </c>
      <c r="F4477" s="4" t="str">
        <f t="shared" si="414"/>
        <v>2025-10</v>
      </c>
      <c r="G4477" s="18">
        <f t="shared" si="415"/>
        <v>40</v>
      </c>
      <c r="H4477" t="str">
        <f t="shared" si="416"/>
        <v>PROSPECTAR</v>
      </c>
      <c r="I4477" t="str">
        <f t="shared" si="417"/>
        <v>TRANSHENRY TRANSPORTES LTDA</v>
      </c>
      <c r="J4477">
        <f t="shared" si="418"/>
        <v>1</v>
      </c>
      <c r="K4477">
        <f t="shared" si="419"/>
        <v>1</v>
      </c>
    </row>
    <row r="4478" spans="1:11" x14ac:dyDescent="0.25">
      <c r="A4478" t="s">
        <v>482</v>
      </c>
      <c r="B4478" t="s">
        <v>239</v>
      </c>
      <c r="C4478" t="s">
        <v>50</v>
      </c>
      <c r="D4478" s="6">
        <v>45933</v>
      </c>
      <c r="E4478" t="str">
        <f>VLOOKUP(B4478,'PROCV GERENTES BD'!A:B,2,0)</f>
        <v>RAFAEL PARISE</v>
      </c>
      <c r="F4478" s="4" t="str">
        <f t="shared" si="414"/>
        <v>2025-10</v>
      </c>
      <c r="G4478" s="18">
        <f t="shared" si="415"/>
        <v>40</v>
      </c>
      <c r="H4478" t="str">
        <f t="shared" si="416"/>
        <v>RAFAEL PARISE</v>
      </c>
      <c r="I4478" t="str">
        <f t="shared" si="417"/>
        <v>RENOVAR AGRICOLA LTDA</v>
      </c>
      <c r="J4478">
        <f t="shared" si="418"/>
        <v>0</v>
      </c>
      <c r="K4478">
        <f t="shared" si="419"/>
        <v>1</v>
      </c>
    </row>
    <row r="4479" spans="1:11" x14ac:dyDescent="0.25">
      <c r="A4479" t="s">
        <v>523</v>
      </c>
      <c r="B4479" t="s">
        <v>288</v>
      </c>
      <c r="C4479" t="s">
        <v>66</v>
      </c>
      <c r="D4479" s="6">
        <v>45933</v>
      </c>
      <c r="E4479" t="str">
        <f>VLOOKUP(B4479,'PROCV GERENTES BD'!A:B,2,0)</f>
        <v>ADMINISTRAÇÃO</v>
      </c>
      <c r="F4479" s="4" t="str">
        <f t="shared" si="414"/>
        <v>2025-10</v>
      </c>
      <c r="G4479" s="18">
        <f t="shared" si="415"/>
        <v>40</v>
      </c>
      <c r="H4479" t="str">
        <f t="shared" si="416"/>
        <v>ADMINISTRAÇÃO</v>
      </c>
      <c r="I4479" t="str">
        <f t="shared" si="417"/>
        <v>REFRACONT BRASIL LTDA</v>
      </c>
      <c r="J4479">
        <f t="shared" si="418"/>
        <v>1</v>
      </c>
      <c r="K4479">
        <f t="shared" si="419"/>
        <v>0</v>
      </c>
    </row>
    <row r="4480" spans="1:11" x14ac:dyDescent="0.25">
      <c r="A4480" t="s">
        <v>510</v>
      </c>
      <c r="B4480" t="s">
        <v>273</v>
      </c>
      <c r="C4480" t="s">
        <v>50</v>
      </c>
      <c r="D4480" s="6">
        <v>45933</v>
      </c>
      <c r="E4480" t="str">
        <f>VLOOKUP(B4480,'PROCV GERENTES BD'!A:B,2,0)</f>
        <v>CELIO PIMENTA</v>
      </c>
      <c r="F4480" s="4" t="str">
        <f t="shared" si="414"/>
        <v>2025-10</v>
      </c>
      <c r="G4480" s="18">
        <f t="shared" si="415"/>
        <v>40</v>
      </c>
      <c r="H4480" t="str">
        <f t="shared" si="416"/>
        <v>CELIO PIMENTA</v>
      </c>
      <c r="I4480" t="str">
        <f t="shared" si="417"/>
        <v>PRADO MOREIRA TEXTIL LTDA ME</v>
      </c>
      <c r="J4480">
        <f t="shared" si="418"/>
        <v>0</v>
      </c>
      <c r="K4480">
        <f t="shared" si="419"/>
        <v>1</v>
      </c>
    </row>
    <row r="4481" spans="1:11" x14ac:dyDescent="0.25">
      <c r="A4481" t="s">
        <v>326</v>
      </c>
      <c r="B4481" t="s">
        <v>122</v>
      </c>
      <c r="C4481" t="s">
        <v>50</v>
      </c>
      <c r="D4481" s="6">
        <v>45933</v>
      </c>
      <c r="E4481" t="str">
        <f>VLOOKUP(B4481,'PROCV GERENTES BD'!A:B,2,0)</f>
        <v xml:space="preserve">ROGERIO </v>
      </c>
      <c r="F4481" s="4" t="str">
        <f t="shared" ref="F4481:F4543" si="420">YEAR(D4481)&amp;"-"&amp;TEXT(MONTH(D4481),"00")</f>
        <v>2025-10</v>
      </c>
      <c r="G4481" s="18">
        <f t="shared" ref="G4481:G4543" si="421">WEEKNUM(D4481)</f>
        <v>40</v>
      </c>
      <c r="H4481" t="str">
        <f t="shared" ref="H4481:H4543" si="422">E4481</f>
        <v xml:space="preserve">ROGERIO </v>
      </c>
      <c r="I4481" t="str">
        <f t="shared" ref="I4481:I4543" si="423">B4481</f>
        <v>BIBE PRODUTOS INFANTIS LTDA</v>
      </c>
      <c r="J4481">
        <f t="shared" ref="J4481:J4543" si="424">IF(OR(C4481="EXCLUSAO  ANOT.INADIMPLENCIA",C4481="INCL/EXCL ANOT.INADIMPLENCIA"),1,0)</f>
        <v>0</v>
      </c>
      <c r="K4481">
        <f t="shared" ref="K4481:K4543" si="425">IF(OR(C4481="INCLUSAO  ANOT.INADIMPLENCIA",C4481="INCL/EXCL ANOT.INADIMPLENCIA"),1,0)</f>
        <v>1</v>
      </c>
    </row>
    <row r="4482" spans="1:11" x14ac:dyDescent="0.25">
      <c r="A4482" t="s">
        <v>368</v>
      </c>
      <c r="B4482" t="s">
        <v>111</v>
      </c>
      <c r="C4482" t="s">
        <v>50</v>
      </c>
      <c r="D4482" s="6">
        <v>45934</v>
      </c>
      <c r="E4482" t="str">
        <f>VLOOKUP(B4482,'PROCV GERENTES BD'!A:B,2,0)</f>
        <v>ADMINISTRAÇÃO</v>
      </c>
      <c r="F4482" s="4" t="str">
        <f t="shared" si="420"/>
        <v>2025-10</v>
      </c>
      <c r="G4482" s="18">
        <f t="shared" si="421"/>
        <v>40</v>
      </c>
      <c r="H4482" t="str">
        <f t="shared" si="422"/>
        <v>ADMINISTRAÇÃO</v>
      </c>
      <c r="I4482" t="str">
        <f t="shared" si="423"/>
        <v>ARTECAL ELETROCENTROS S/A</v>
      </c>
      <c r="J4482">
        <f t="shared" si="424"/>
        <v>0</v>
      </c>
      <c r="K4482">
        <f t="shared" si="425"/>
        <v>1</v>
      </c>
    </row>
    <row r="4483" spans="1:11" x14ac:dyDescent="0.25">
      <c r="A4483" t="s">
        <v>508</v>
      </c>
      <c r="B4483" t="s">
        <v>271</v>
      </c>
      <c r="C4483" t="s">
        <v>50</v>
      </c>
      <c r="D4483" s="6">
        <v>45934</v>
      </c>
      <c r="E4483" t="str">
        <f>VLOOKUP(B4483,'PROCV GERENTES BD'!A:B,2,0)</f>
        <v>PRISCILA METZ</v>
      </c>
      <c r="F4483" s="4" t="str">
        <f t="shared" si="420"/>
        <v>2025-10</v>
      </c>
      <c r="G4483" s="18">
        <f t="shared" si="421"/>
        <v>40</v>
      </c>
      <c r="H4483" t="str">
        <f t="shared" si="422"/>
        <v>PRISCILA METZ</v>
      </c>
      <c r="I4483" t="str">
        <f t="shared" si="423"/>
        <v>TUBOLARES VITORIA INDUSTRIA E COMERCIO LTDA ME</v>
      </c>
      <c r="J4483">
        <f t="shared" si="424"/>
        <v>0</v>
      </c>
      <c r="K4483">
        <f t="shared" si="425"/>
        <v>1</v>
      </c>
    </row>
    <row r="4484" spans="1:11" x14ac:dyDescent="0.25">
      <c r="A4484" t="s">
        <v>610</v>
      </c>
      <c r="B4484" t="s">
        <v>611</v>
      </c>
      <c r="C4484" t="s">
        <v>66</v>
      </c>
      <c r="D4484" s="6">
        <v>45934</v>
      </c>
      <c r="E4484" t="str">
        <f>VLOOKUP(B4484,'PROCV GERENTES BD'!A:B,2,0)</f>
        <v>TIAGO NEVES</v>
      </c>
      <c r="F4484" s="4" t="str">
        <f t="shared" si="420"/>
        <v>2025-10</v>
      </c>
      <c r="G4484" s="18">
        <f t="shared" si="421"/>
        <v>40</v>
      </c>
      <c r="H4484" t="str">
        <f t="shared" si="422"/>
        <v>TIAGO NEVES</v>
      </c>
      <c r="I4484" t="str">
        <f t="shared" si="423"/>
        <v>TRATOR GLASS LTDA ME</v>
      </c>
      <c r="J4484">
        <f t="shared" si="424"/>
        <v>1</v>
      </c>
      <c r="K4484">
        <f t="shared" si="425"/>
        <v>0</v>
      </c>
    </row>
    <row r="4485" spans="1:11" x14ac:dyDescent="0.25">
      <c r="A4485" t="s">
        <v>600</v>
      </c>
      <c r="B4485" t="s">
        <v>594</v>
      </c>
      <c r="C4485" t="s">
        <v>66</v>
      </c>
      <c r="D4485" s="6">
        <v>45934</v>
      </c>
      <c r="E4485" t="str">
        <f>VLOOKUP(B4485,'PROCV GERENTES BD'!A:B,2,0)</f>
        <v xml:space="preserve">ROGERIO </v>
      </c>
      <c r="F4485" s="4" t="str">
        <f t="shared" si="420"/>
        <v>2025-10</v>
      </c>
      <c r="G4485" s="18">
        <f t="shared" si="421"/>
        <v>40</v>
      </c>
      <c r="H4485" t="str">
        <f t="shared" si="422"/>
        <v xml:space="preserve">ROGERIO </v>
      </c>
      <c r="I4485" t="str">
        <f t="shared" si="423"/>
        <v>METALAB COMERCIO E INDUSTRIA FARMACEUTICA LTDA ME</v>
      </c>
      <c r="J4485">
        <f t="shared" si="424"/>
        <v>1</v>
      </c>
      <c r="K4485">
        <f t="shared" si="425"/>
        <v>0</v>
      </c>
    </row>
    <row r="4486" spans="1:11" x14ac:dyDescent="0.25">
      <c r="A4486" t="s">
        <v>488</v>
      </c>
      <c r="B4486" t="s">
        <v>247</v>
      </c>
      <c r="C4486" t="s">
        <v>50</v>
      </c>
      <c r="D4486" s="6">
        <v>45934</v>
      </c>
      <c r="E4486" t="str">
        <f>VLOOKUP(B4486,'PROCV GERENTES BD'!A:B,2,0)</f>
        <v>CELIO PIMENTA</v>
      </c>
      <c r="F4486" s="4" t="str">
        <f t="shared" si="420"/>
        <v>2025-10</v>
      </c>
      <c r="G4486" s="18">
        <f t="shared" si="421"/>
        <v>40</v>
      </c>
      <c r="H4486" t="str">
        <f t="shared" si="422"/>
        <v>CELIO PIMENTA</v>
      </c>
      <c r="I4486" t="str">
        <f t="shared" si="423"/>
        <v>AZ HIDRAULICA USINAGEM LTDA EPP</v>
      </c>
      <c r="J4486">
        <f t="shared" si="424"/>
        <v>0</v>
      </c>
      <c r="K4486">
        <f t="shared" si="425"/>
        <v>1</v>
      </c>
    </row>
    <row r="4487" spans="1:11" x14ac:dyDescent="0.25">
      <c r="A4487" t="s">
        <v>661</v>
      </c>
      <c r="B4487" t="s">
        <v>662</v>
      </c>
      <c r="C4487" t="s">
        <v>50</v>
      </c>
      <c r="D4487" s="6">
        <v>45934</v>
      </c>
      <c r="E4487" t="str">
        <f>VLOOKUP(B4487,'PROCV GERENTES BD'!A:B,2,0)</f>
        <v>PRISCILA METZ</v>
      </c>
      <c r="F4487" s="4" t="str">
        <f t="shared" si="420"/>
        <v>2025-10</v>
      </c>
      <c r="G4487" s="18">
        <f t="shared" si="421"/>
        <v>40</v>
      </c>
      <c r="H4487" t="str">
        <f t="shared" si="422"/>
        <v>PRISCILA METZ</v>
      </c>
      <c r="I4487" t="str">
        <f t="shared" si="423"/>
        <v>LIDER DISTRIBUIDORA DE MOVEIS E EQUIPAMENTOS PARA</v>
      </c>
      <c r="J4487">
        <f t="shared" si="424"/>
        <v>0</v>
      </c>
      <c r="K4487">
        <f t="shared" si="425"/>
        <v>1</v>
      </c>
    </row>
    <row r="4488" spans="1:11" x14ac:dyDescent="0.25">
      <c r="A4488" t="s">
        <v>630</v>
      </c>
      <c r="B4488" t="s">
        <v>559</v>
      </c>
      <c r="C4488" t="s">
        <v>50</v>
      </c>
      <c r="D4488" s="6">
        <v>45934</v>
      </c>
      <c r="E4488" t="str">
        <f>VLOOKUP(B4488,'PROCV GERENTES BD'!A:B,2,0)</f>
        <v>ALISSON DE SOUZA LIMA</v>
      </c>
      <c r="F4488" s="4" t="str">
        <f t="shared" si="420"/>
        <v>2025-10</v>
      </c>
      <c r="G4488" s="18">
        <f t="shared" si="421"/>
        <v>40</v>
      </c>
      <c r="H4488" t="str">
        <f t="shared" si="422"/>
        <v>ALISSON DE SOUZA LIMA</v>
      </c>
      <c r="I4488" t="str">
        <f t="shared" si="423"/>
        <v>JRG SOLUCOES INDUSTRIAIS LTDA</v>
      </c>
      <c r="J4488">
        <f t="shared" si="424"/>
        <v>0</v>
      </c>
      <c r="K4488">
        <f t="shared" si="425"/>
        <v>1</v>
      </c>
    </row>
    <row r="4489" spans="1:11" x14ac:dyDescent="0.25">
      <c r="A4489" t="s">
        <v>505</v>
      </c>
      <c r="B4489" t="s">
        <v>267</v>
      </c>
      <c r="C4489" t="s">
        <v>50</v>
      </c>
      <c r="D4489" s="6">
        <v>45934</v>
      </c>
      <c r="E4489" t="str">
        <f>VLOOKUP(B4489,'PROCV GERENTES BD'!A:B,2,0)</f>
        <v>PRISCILA METZ</v>
      </c>
      <c r="F4489" s="4" t="str">
        <f t="shared" si="420"/>
        <v>2025-10</v>
      </c>
      <c r="G4489" s="18">
        <f t="shared" si="421"/>
        <v>40</v>
      </c>
      <c r="H4489" t="str">
        <f t="shared" si="422"/>
        <v>PRISCILA METZ</v>
      </c>
      <c r="I4489" t="str">
        <f t="shared" si="423"/>
        <v>REAL DISTRIBUIDORA DE PRODUTOS PARA MARMORARIA LTD</v>
      </c>
      <c r="J4489">
        <f t="shared" si="424"/>
        <v>0</v>
      </c>
      <c r="K4489">
        <f t="shared" si="425"/>
        <v>1</v>
      </c>
    </row>
    <row r="4490" spans="1:11" x14ac:dyDescent="0.25">
      <c r="A4490" t="s">
        <v>64</v>
      </c>
      <c r="B4490" t="s">
        <v>65</v>
      </c>
      <c r="C4490" t="s">
        <v>50</v>
      </c>
      <c r="D4490" s="6">
        <v>45934</v>
      </c>
      <c r="E4490" t="str">
        <f>VLOOKUP(B4490,'PROCV GERENTES BD'!A:B,2,0)</f>
        <v>ADMINISTRAÇÃO</v>
      </c>
      <c r="F4490" s="4" t="str">
        <f t="shared" si="420"/>
        <v>2025-10</v>
      </c>
      <c r="G4490" s="18">
        <f t="shared" si="421"/>
        <v>40</v>
      </c>
      <c r="H4490" t="str">
        <f t="shared" si="422"/>
        <v>ADMINISTRAÇÃO</v>
      </c>
      <c r="I4490" t="str">
        <f t="shared" si="423"/>
        <v>SOCIAL S/A</v>
      </c>
      <c r="J4490">
        <f t="shared" si="424"/>
        <v>0</v>
      </c>
      <c r="K4490">
        <f t="shared" si="425"/>
        <v>1</v>
      </c>
    </row>
    <row r="4491" spans="1:11" x14ac:dyDescent="0.25">
      <c r="A4491" t="s">
        <v>62</v>
      </c>
      <c r="B4491" t="s">
        <v>63</v>
      </c>
      <c r="C4491" t="s">
        <v>50</v>
      </c>
      <c r="D4491" s="6">
        <v>45934</v>
      </c>
      <c r="E4491" t="str">
        <f>VLOOKUP(B4491,'PROCV GERENTES BD'!A:B,2,0)</f>
        <v>PROSPECTAR</v>
      </c>
      <c r="F4491" s="4" t="str">
        <f t="shared" si="420"/>
        <v>2025-10</v>
      </c>
      <c r="G4491" s="18">
        <f t="shared" si="421"/>
        <v>40</v>
      </c>
      <c r="H4491" t="str">
        <f t="shared" si="422"/>
        <v>PROSPECTAR</v>
      </c>
      <c r="I4491" t="str">
        <f t="shared" si="423"/>
        <v>MAPP COM IMPORTACAO EXPORTACAO IND PRODUTOS ALIMEN</v>
      </c>
      <c r="J4491">
        <f t="shared" si="424"/>
        <v>0</v>
      </c>
      <c r="K4491">
        <f t="shared" si="425"/>
        <v>1</v>
      </c>
    </row>
    <row r="4492" spans="1:11" x14ac:dyDescent="0.25">
      <c r="A4492" t="s">
        <v>499</v>
      </c>
      <c r="B4492" t="s">
        <v>258</v>
      </c>
      <c r="C4492" t="s">
        <v>66</v>
      </c>
      <c r="D4492" s="6">
        <v>45934</v>
      </c>
      <c r="E4492" t="str">
        <f>VLOOKUP(B4492,'PROCV GERENTES BD'!A:B,2,0)</f>
        <v>PRISCILA METZ</v>
      </c>
      <c r="F4492" s="4" t="str">
        <f t="shared" si="420"/>
        <v>2025-10</v>
      </c>
      <c r="G4492" s="18">
        <f t="shared" si="421"/>
        <v>40</v>
      </c>
      <c r="H4492" t="str">
        <f t="shared" si="422"/>
        <v>PRISCILA METZ</v>
      </c>
      <c r="I4492" t="str">
        <f t="shared" si="423"/>
        <v>PLATINUM INDUSTRIA DE CONFECCOES LTDA</v>
      </c>
      <c r="J4492">
        <f t="shared" si="424"/>
        <v>1</v>
      </c>
      <c r="K4492">
        <f t="shared" si="425"/>
        <v>0</v>
      </c>
    </row>
    <row r="4493" spans="1:11" x14ac:dyDescent="0.25">
      <c r="A4493" t="s">
        <v>604</v>
      </c>
      <c r="B4493" t="s">
        <v>605</v>
      </c>
      <c r="C4493" t="s">
        <v>50</v>
      </c>
      <c r="D4493" s="6">
        <v>45934</v>
      </c>
      <c r="E4493" t="str">
        <f>VLOOKUP(B4493,'PROCV GERENTES BD'!A:B,2,0)</f>
        <v>ALISSON DE SOUZA LIMA</v>
      </c>
      <c r="F4493" s="4" t="str">
        <f t="shared" si="420"/>
        <v>2025-10</v>
      </c>
      <c r="G4493" s="18">
        <f t="shared" si="421"/>
        <v>40</v>
      </c>
      <c r="H4493" t="str">
        <f t="shared" si="422"/>
        <v>ALISSON DE SOUZA LIMA</v>
      </c>
      <c r="I4493" t="str">
        <f t="shared" si="423"/>
        <v>3J FUNDICAO INDUSTRIAL LTDA</v>
      </c>
      <c r="J4493">
        <f t="shared" si="424"/>
        <v>0</v>
      </c>
      <c r="K4493">
        <f t="shared" si="425"/>
        <v>1</v>
      </c>
    </row>
    <row r="4494" spans="1:11" x14ac:dyDescent="0.25">
      <c r="A4494" t="s">
        <v>304</v>
      </c>
      <c r="B4494" t="s">
        <v>689</v>
      </c>
      <c r="C4494" t="s">
        <v>328</v>
      </c>
      <c r="D4494" s="6">
        <v>45934</v>
      </c>
      <c r="E4494" t="str">
        <f>VLOOKUP(B4494,'PROCV GERENTES BD'!A:B,2,0)</f>
        <v>ADMINISTRAÇÃO</v>
      </c>
      <c r="F4494" s="4" t="str">
        <f t="shared" si="420"/>
        <v>2025-10</v>
      </c>
      <c r="G4494" s="18">
        <f t="shared" si="421"/>
        <v>40</v>
      </c>
      <c r="H4494" t="str">
        <f t="shared" si="422"/>
        <v>ADMINISTRAÇÃO</v>
      </c>
      <c r="I4494" t="str">
        <f t="shared" si="423"/>
        <v>VIC LOGISTICA LTDA</v>
      </c>
      <c r="J4494">
        <f t="shared" si="424"/>
        <v>0</v>
      </c>
      <c r="K4494">
        <f t="shared" si="425"/>
        <v>0</v>
      </c>
    </row>
    <row r="4495" spans="1:11" x14ac:dyDescent="0.25">
      <c r="A4495" t="s">
        <v>475</v>
      </c>
      <c r="B4495" t="s">
        <v>232</v>
      </c>
      <c r="C4495" t="s">
        <v>66</v>
      </c>
      <c r="D4495" s="6">
        <v>45934</v>
      </c>
      <c r="E4495" t="str">
        <f>VLOOKUP(B4495,'PROCV GERENTES BD'!A:B,2,0)</f>
        <v>POENATELA</v>
      </c>
      <c r="F4495" s="4" t="str">
        <f t="shared" si="420"/>
        <v>2025-10</v>
      </c>
      <c r="G4495" s="18">
        <f t="shared" si="421"/>
        <v>40</v>
      </c>
      <c r="H4495" t="str">
        <f t="shared" si="422"/>
        <v>POENATELA</v>
      </c>
      <c r="I4495" t="str">
        <f t="shared" si="423"/>
        <v>JUATUBA MOVEIS E EMBALAGENS LTDA</v>
      </c>
      <c r="J4495">
        <f t="shared" si="424"/>
        <v>1</v>
      </c>
      <c r="K4495">
        <f t="shared" si="425"/>
        <v>0</v>
      </c>
    </row>
    <row r="4496" spans="1:11" x14ac:dyDescent="0.25">
      <c r="A4496" t="s">
        <v>58</v>
      </c>
      <c r="B4496" t="s">
        <v>59</v>
      </c>
      <c r="C4496" t="s">
        <v>66</v>
      </c>
      <c r="D4496" s="6">
        <v>45934</v>
      </c>
      <c r="E4496" t="str">
        <f>VLOOKUP(B4496,'PROCV GERENTES BD'!A:B,2,0)</f>
        <v>ADMINISTRAÇÃO</v>
      </c>
      <c r="F4496" s="4" t="str">
        <f t="shared" si="420"/>
        <v>2025-10</v>
      </c>
      <c r="G4496" s="18">
        <f t="shared" si="421"/>
        <v>40</v>
      </c>
      <c r="H4496" t="str">
        <f t="shared" si="422"/>
        <v>ADMINISTRAÇÃO</v>
      </c>
      <c r="I4496" t="str">
        <f t="shared" si="423"/>
        <v>BIOTECH LOGISTICA LTDA</v>
      </c>
      <c r="J4496">
        <f t="shared" si="424"/>
        <v>1</v>
      </c>
      <c r="K4496">
        <f t="shared" si="425"/>
        <v>0</v>
      </c>
    </row>
    <row r="4497" spans="1:11" x14ac:dyDescent="0.25">
      <c r="A4497" t="s">
        <v>690</v>
      </c>
      <c r="B4497" t="s">
        <v>683</v>
      </c>
      <c r="C4497" t="s">
        <v>50</v>
      </c>
      <c r="D4497" s="6">
        <v>45934</v>
      </c>
      <c r="E4497" t="str">
        <f>VLOOKUP(B4497,'PROCV GERENTES BD'!A:B,2,0)</f>
        <v>CAIO</v>
      </c>
      <c r="F4497" s="4" t="str">
        <f t="shared" si="420"/>
        <v>2025-10</v>
      </c>
      <c r="G4497" s="18">
        <f t="shared" si="421"/>
        <v>40</v>
      </c>
      <c r="H4497" t="str">
        <f t="shared" si="422"/>
        <v>CAIO</v>
      </c>
      <c r="I4497" t="str">
        <f t="shared" si="423"/>
        <v>SABORES DO TRIANGULO LTDA EPP</v>
      </c>
      <c r="J4497">
        <f t="shared" si="424"/>
        <v>0</v>
      </c>
      <c r="K4497">
        <f t="shared" si="425"/>
        <v>1</v>
      </c>
    </row>
    <row r="4498" spans="1:11" x14ac:dyDescent="0.25">
      <c r="A4498" t="s">
        <v>56</v>
      </c>
      <c r="B4498" t="s">
        <v>57</v>
      </c>
      <c r="C4498" t="s">
        <v>50</v>
      </c>
      <c r="D4498" s="6">
        <v>45934</v>
      </c>
      <c r="E4498" t="str">
        <f>VLOOKUP(B4498,'PROCV GERENTES BD'!A:B,2,0)</f>
        <v xml:space="preserve">ROGERIO </v>
      </c>
      <c r="F4498" s="4" t="str">
        <f t="shared" si="420"/>
        <v>2025-10</v>
      </c>
      <c r="G4498" s="18">
        <f t="shared" si="421"/>
        <v>40</v>
      </c>
      <c r="H4498" t="str">
        <f t="shared" si="422"/>
        <v xml:space="preserve">ROGERIO </v>
      </c>
      <c r="I4498" t="str">
        <f t="shared" si="423"/>
        <v>RODOVIEIRA TRANSPORTE LTDA</v>
      </c>
      <c r="J4498">
        <f t="shared" si="424"/>
        <v>0</v>
      </c>
      <c r="K4498">
        <f t="shared" si="425"/>
        <v>1</v>
      </c>
    </row>
    <row r="4499" spans="1:11" x14ac:dyDescent="0.25">
      <c r="A4499" t="s">
        <v>638</v>
      </c>
      <c r="B4499" t="s">
        <v>539</v>
      </c>
      <c r="C4499" t="s">
        <v>66</v>
      </c>
      <c r="D4499" s="6">
        <v>45934</v>
      </c>
      <c r="E4499" t="str">
        <f>VLOOKUP(B4499,'PROCV GERENTES BD'!A:B,2,0)</f>
        <v>JJPH</v>
      </c>
      <c r="F4499" s="4" t="str">
        <f t="shared" si="420"/>
        <v>2025-10</v>
      </c>
      <c r="G4499" s="18">
        <f t="shared" si="421"/>
        <v>40</v>
      </c>
      <c r="H4499" t="str">
        <f t="shared" si="422"/>
        <v>JJPH</v>
      </c>
      <c r="I4499" t="str">
        <f t="shared" si="423"/>
        <v>DIFARMIG LTDA</v>
      </c>
      <c r="J4499">
        <f t="shared" si="424"/>
        <v>1</v>
      </c>
      <c r="K4499">
        <f t="shared" si="425"/>
        <v>0</v>
      </c>
    </row>
    <row r="4500" spans="1:11" x14ac:dyDescent="0.25">
      <c r="A4500" t="s">
        <v>331</v>
      </c>
      <c r="B4500" t="s">
        <v>144</v>
      </c>
      <c r="C4500" t="s">
        <v>53</v>
      </c>
      <c r="D4500" s="6">
        <v>45934</v>
      </c>
      <c r="E4500" t="str">
        <f>VLOOKUP(B4500,'PROCV GERENTES BD'!A:B,2,0)</f>
        <v>ADMINISTRAÇÃO</v>
      </c>
      <c r="F4500" s="4" t="str">
        <f t="shared" si="420"/>
        <v>2025-10</v>
      </c>
      <c r="G4500" s="18">
        <f t="shared" si="421"/>
        <v>40</v>
      </c>
      <c r="H4500" t="str">
        <f t="shared" si="422"/>
        <v>ADMINISTRAÇÃO</v>
      </c>
      <c r="I4500" t="str">
        <f t="shared" si="423"/>
        <v>BOM PASTOR PAPEIS LTDA EM RECUPERACAO JUDICIAL</v>
      </c>
      <c r="J4500">
        <f t="shared" si="424"/>
        <v>1</v>
      </c>
      <c r="K4500">
        <f t="shared" si="425"/>
        <v>1</v>
      </c>
    </row>
    <row r="4501" spans="1:11" x14ac:dyDescent="0.25">
      <c r="A4501" t="s">
        <v>361</v>
      </c>
      <c r="B4501" t="s">
        <v>106</v>
      </c>
      <c r="C4501" t="s">
        <v>50</v>
      </c>
      <c r="D4501" s="6">
        <v>45934</v>
      </c>
      <c r="E4501" t="str">
        <f>VLOOKUP(B4501,'PROCV GERENTES BD'!A:B,2,0)</f>
        <v>PRISCILA METZ</v>
      </c>
      <c r="F4501" s="4" t="str">
        <f t="shared" si="420"/>
        <v>2025-10</v>
      </c>
      <c r="G4501" s="18">
        <f t="shared" si="421"/>
        <v>40</v>
      </c>
      <c r="H4501" t="str">
        <f t="shared" si="422"/>
        <v>PRISCILA METZ</v>
      </c>
      <c r="I4501" t="str">
        <f t="shared" si="423"/>
        <v>HERBAMED LABORATORIO NUTRACEUTICO LTDA</v>
      </c>
      <c r="J4501">
        <f t="shared" si="424"/>
        <v>0</v>
      </c>
      <c r="K4501">
        <f t="shared" si="425"/>
        <v>1</v>
      </c>
    </row>
    <row r="4502" spans="1:11" x14ac:dyDescent="0.25">
      <c r="A4502" t="s">
        <v>639</v>
      </c>
      <c r="B4502" t="s">
        <v>564</v>
      </c>
      <c r="C4502" t="s">
        <v>66</v>
      </c>
      <c r="D4502" s="6">
        <v>45934</v>
      </c>
      <c r="E4502" t="str">
        <f>VLOOKUP(B4502,'PROCV GERENTES BD'!A:B,2,0)</f>
        <v>CAIO</v>
      </c>
      <c r="F4502" s="4" t="str">
        <f t="shared" si="420"/>
        <v>2025-10</v>
      </c>
      <c r="G4502" s="18">
        <f t="shared" si="421"/>
        <v>40</v>
      </c>
      <c r="H4502" t="str">
        <f t="shared" si="422"/>
        <v>CAIO</v>
      </c>
      <c r="I4502" t="str">
        <f t="shared" si="423"/>
        <v>FRUTABELLA INDUSTRIA E COMERCIO DE ALIMENTOS LTDA</v>
      </c>
      <c r="J4502">
        <f t="shared" si="424"/>
        <v>1</v>
      </c>
      <c r="K4502">
        <f t="shared" si="425"/>
        <v>0</v>
      </c>
    </row>
    <row r="4503" spans="1:11" x14ac:dyDescent="0.25">
      <c r="A4503" t="s">
        <v>387</v>
      </c>
      <c r="B4503" t="s">
        <v>134</v>
      </c>
      <c r="C4503" t="s">
        <v>50</v>
      </c>
      <c r="D4503" s="6">
        <v>45934</v>
      </c>
      <c r="E4503" t="str">
        <f>VLOOKUP(B4503,'PROCV GERENTES BD'!A:B,2,0)</f>
        <v>RAFAEL PARISE</v>
      </c>
      <c r="F4503" s="4" t="str">
        <f t="shared" si="420"/>
        <v>2025-10</v>
      </c>
      <c r="G4503" s="18">
        <f t="shared" si="421"/>
        <v>40</v>
      </c>
      <c r="H4503" t="str">
        <f t="shared" si="422"/>
        <v>RAFAEL PARISE</v>
      </c>
      <c r="I4503" t="str">
        <f t="shared" si="423"/>
        <v>MAIS DISTRIBUIDORA LTDA</v>
      </c>
      <c r="J4503">
        <f t="shared" si="424"/>
        <v>0</v>
      </c>
      <c r="K4503">
        <f t="shared" si="425"/>
        <v>1</v>
      </c>
    </row>
    <row r="4504" spans="1:11" x14ac:dyDescent="0.25">
      <c r="A4504" t="s">
        <v>51</v>
      </c>
      <c r="B4504" t="s">
        <v>52</v>
      </c>
      <c r="C4504" t="s">
        <v>50</v>
      </c>
      <c r="D4504" s="6">
        <v>45934</v>
      </c>
      <c r="E4504" t="str">
        <f>VLOOKUP(B4504,'PROCV GERENTES BD'!A:B,2,0)</f>
        <v>RAFAEL PARISE</v>
      </c>
      <c r="F4504" s="4" t="str">
        <f t="shared" si="420"/>
        <v>2025-10</v>
      </c>
      <c r="G4504" s="18">
        <f t="shared" si="421"/>
        <v>40</v>
      </c>
      <c r="H4504" t="str">
        <f t="shared" si="422"/>
        <v>RAFAEL PARISE</v>
      </c>
      <c r="I4504" t="str">
        <f t="shared" si="423"/>
        <v>TDR TRANSPORTES LOGISTICA LTDA</v>
      </c>
      <c r="J4504">
        <f t="shared" si="424"/>
        <v>0</v>
      </c>
      <c r="K4504">
        <f t="shared" si="425"/>
        <v>1</v>
      </c>
    </row>
    <row r="4505" spans="1:11" x14ac:dyDescent="0.25">
      <c r="A4505" t="s">
        <v>660</v>
      </c>
      <c r="B4505" t="s">
        <v>545</v>
      </c>
      <c r="C4505" t="s">
        <v>50</v>
      </c>
      <c r="D4505" s="6">
        <v>45934</v>
      </c>
      <c r="E4505" t="str">
        <f>VLOOKUP(B4505,'PROCV GERENTES BD'!A:B,2,0)</f>
        <v xml:space="preserve">ROGERIO </v>
      </c>
      <c r="F4505" s="4" t="str">
        <f t="shared" si="420"/>
        <v>2025-10</v>
      </c>
      <c r="G4505" s="18">
        <f t="shared" si="421"/>
        <v>40</v>
      </c>
      <c r="H4505" t="str">
        <f t="shared" si="422"/>
        <v xml:space="preserve">ROGERIO </v>
      </c>
      <c r="I4505" t="str">
        <f t="shared" si="423"/>
        <v>DISEP ALIMENTOS LTDA ME</v>
      </c>
      <c r="J4505">
        <f t="shared" si="424"/>
        <v>0</v>
      </c>
      <c r="K4505">
        <f t="shared" si="425"/>
        <v>1</v>
      </c>
    </row>
    <row r="4506" spans="1:11" x14ac:dyDescent="0.25">
      <c r="A4506" t="s">
        <v>324</v>
      </c>
      <c r="B4506" t="s">
        <v>119</v>
      </c>
      <c r="C4506" t="s">
        <v>50</v>
      </c>
      <c r="D4506" s="6">
        <v>45934</v>
      </c>
      <c r="E4506" t="str">
        <f>VLOOKUP(B4506,'PROCV GERENTES BD'!A:B,2,0)</f>
        <v>PROSPECTAR</v>
      </c>
      <c r="F4506" s="4" t="str">
        <f t="shared" si="420"/>
        <v>2025-10</v>
      </c>
      <c r="G4506" s="18">
        <f t="shared" si="421"/>
        <v>40</v>
      </c>
      <c r="H4506" t="str">
        <f t="shared" si="422"/>
        <v>PROSPECTAR</v>
      </c>
      <c r="I4506" t="str">
        <f t="shared" si="423"/>
        <v>TRANSHENRY TRANSPORTES LTDA</v>
      </c>
      <c r="J4506">
        <f t="shared" si="424"/>
        <v>0</v>
      </c>
      <c r="K4506">
        <f t="shared" si="425"/>
        <v>1</v>
      </c>
    </row>
    <row r="4507" spans="1:11" x14ac:dyDescent="0.25">
      <c r="A4507" t="s">
        <v>415</v>
      </c>
      <c r="B4507" t="s">
        <v>165</v>
      </c>
      <c r="C4507" t="s">
        <v>66</v>
      </c>
      <c r="D4507" s="6">
        <v>45934</v>
      </c>
      <c r="E4507" t="str">
        <f>VLOOKUP(B4507,'PROCV GERENTES BD'!A:B,2,0)</f>
        <v>PROSPECTAR</v>
      </c>
      <c r="F4507" s="4" t="str">
        <f t="shared" si="420"/>
        <v>2025-10</v>
      </c>
      <c r="G4507" s="18">
        <f t="shared" si="421"/>
        <v>40</v>
      </c>
      <c r="H4507" t="str">
        <f t="shared" si="422"/>
        <v>PROSPECTAR</v>
      </c>
      <c r="I4507" t="str">
        <f t="shared" si="423"/>
        <v>STA SERVICOS LTDA</v>
      </c>
      <c r="J4507">
        <f t="shared" si="424"/>
        <v>1</v>
      </c>
      <c r="K4507">
        <f t="shared" si="425"/>
        <v>0</v>
      </c>
    </row>
    <row r="4508" spans="1:11" x14ac:dyDescent="0.25">
      <c r="A4508" t="s">
        <v>318</v>
      </c>
      <c r="B4508" t="s">
        <v>203</v>
      </c>
      <c r="C4508" t="s">
        <v>66</v>
      </c>
      <c r="D4508" s="6">
        <v>45934</v>
      </c>
      <c r="E4508" t="str">
        <f>VLOOKUP(B4508,'PROCV GERENTES BD'!A:B,2,0)</f>
        <v>JOSE ROBERTO</v>
      </c>
      <c r="F4508" s="4" t="str">
        <f t="shared" si="420"/>
        <v>2025-10</v>
      </c>
      <c r="G4508" s="18">
        <f t="shared" si="421"/>
        <v>40</v>
      </c>
      <c r="H4508" t="str">
        <f t="shared" si="422"/>
        <v>JOSE ROBERTO</v>
      </c>
      <c r="I4508" t="str">
        <f t="shared" si="423"/>
        <v>FUNDACAO DE ENSINO E PESQUISA DO SUL DE MINAS FEPE</v>
      </c>
      <c r="J4508">
        <f t="shared" si="424"/>
        <v>1</v>
      </c>
      <c r="K4508">
        <f t="shared" si="425"/>
        <v>0</v>
      </c>
    </row>
    <row r="4509" spans="1:11" x14ac:dyDescent="0.25">
      <c r="A4509" t="s">
        <v>304</v>
      </c>
      <c r="B4509" t="s">
        <v>689</v>
      </c>
      <c r="C4509" t="s">
        <v>71</v>
      </c>
      <c r="D4509" s="6">
        <v>45934</v>
      </c>
      <c r="E4509" t="str">
        <f>VLOOKUP(B4509,'PROCV GERENTES BD'!A:B,2,0)</f>
        <v>ADMINISTRAÇÃO</v>
      </c>
      <c r="F4509" s="4" t="str">
        <f t="shared" si="420"/>
        <v>2025-10</v>
      </c>
      <c r="G4509" s="18">
        <f t="shared" si="421"/>
        <v>40</v>
      </c>
      <c r="H4509" t="str">
        <f t="shared" si="422"/>
        <v>ADMINISTRAÇÃO</v>
      </c>
      <c r="I4509" t="str">
        <f t="shared" si="423"/>
        <v>VIC LOGISTICA LTDA</v>
      </c>
      <c r="J4509">
        <f t="shared" si="424"/>
        <v>0</v>
      </c>
      <c r="K4509">
        <f t="shared" si="425"/>
        <v>0</v>
      </c>
    </row>
    <row r="4510" spans="1:11" x14ac:dyDescent="0.25">
      <c r="A4510" t="s">
        <v>691</v>
      </c>
      <c r="B4510" t="s">
        <v>682</v>
      </c>
      <c r="C4510" t="s">
        <v>50</v>
      </c>
      <c r="D4510" s="6">
        <v>45937</v>
      </c>
      <c r="E4510" t="str">
        <f>VLOOKUP(B4510,'PROCV GERENTES BD'!A:B,2,0)</f>
        <v>ANDERSON FRAGA</v>
      </c>
      <c r="F4510" s="4" t="str">
        <f t="shared" si="420"/>
        <v>2025-10</v>
      </c>
      <c r="G4510" s="18">
        <f t="shared" si="421"/>
        <v>41</v>
      </c>
      <c r="H4510" t="str">
        <f t="shared" si="422"/>
        <v>ANDERSON FRAGA</v>
      </c>
      <c r="I4510" t="str">
        <f t="shared" si="423"/>
        <v>COMERCIAL COMAG LTDA</v>
      </c>
      <c r="J4510">
        <f t="shared" si="424"/>
        <v>0</v>
      </c>
      <c r="K4510">
        <f t="shared" si="425"/>
        <v>1</v>
      </c>
    </row>
    <row r="4511" spans="1:11" x14ac:dyDescent="0.25">
      <c r="A4511" t="s">
        <v>534</v>
      </c>
      <c r="B4511" t="s">
        <v>303</v>
      </c>
      <c r="C4511" t="s">
        <v>50</v>
      </c>
      <c r="D4511" s="6">
        <v>45937</v>
      </c>
      <c r="E4511" t="str">
        <f>VLOOKUP(B4511,'PROCV GERENTES BD'!A:B,2,0)</f>
        <v xml:space="preserve">MARCUS VINICIUS </v>
      </c>
      <c r="F4511" s="4" t="str">
        <f t="shared" si="420"/>
        <v>2025-10</v>
      </c>
      <c r="G4511" s="18">
        <f t="shared" si="421"/>
        <v>41</v>
      </c>
      <c r="H4511" t="str">
        <f t="shared" si="422"/>
        <v xml:space="preserve">MARCUS VINICIUS </v>
      </c>
      <c r="I4511" t="str">
        <f t="shared" si="423"/>
        <v>GRAFICA JSA LTDA EPP</v>
      </c>
      <c r="J4511">
        <f t="shared" si="424"/>
        <v>0</v>
      </c>
      <c r="K4511">
        <f t="shared" si="425"/>
        <v>1</v>
      </c>
    </row>
    <row r="4512" spans="1:11" x14ac:dyDescent="0.25">
      <c r="A4512" t="s">
        <v>623</v>
      </c>
      <c r="B4512" t="s">
        <v>624</v>
      </c>
      <c r="C4512" t="s">
        <v>50</v>
      </c>
      <c r="D4512" s="6">
        <v>45937</v>
      </c>
      <c r="E4512" t="str">
        <f>VLOOKUP(B4512,'PROCV GERENTES BD'!A:B,2,0)</f>
        <v>ALISSON DE SOUZA LIMA</v>
      </c>
      <c r="F4512" s="4" t="str">
        <f t="shared" si="420"/>
        <v>2025-10</v>
      </c>
      <c r="G4512" s="18">
        <f t="shared" si="421"/>
        <v>41</v>
      </c>
      <c r="H4512" t="str">
        <f t="shared" si="422"/>
        <v>ALISSON DE SOUZA LIMA</v>
      </c>
      <c r="I4512" t="str">
        <f t="shared" si="423"/>
        <v>A2 VIDROS INDUSTRIA E COMERCIO LTDA</v>
      </c>
      <c r="J4512">
        <f t="shared" si="424"/>
        <v>0</v>
      </c>
      <c r="K4512">
        <f t="shared" si="425"/>
        <v>1</v>
      </c>
    </row>
    <row r="4513" spans="1:11" x14ac:dyDescent="0.25">
      <c r="A4513" t="s">
        <v>460</v>
      </c>
      <c r="B4513" t="s">
        <v>217</v>
      </c>
      <c r="C4513" t="s">
        <v>50</v>
      </c>
      <c r="D4513" s="6">
        <v>45937</v>
      </c>
      <c r="E4513" t="str">
        <f>VLOOKUP(B4513,'PROCV GERENTES BD'!A:B,2,0)</f>
        <v>CELIO PIMENTA</v>
      </c>
      <c r="F4513" s="4" t="str">
        <f t="shared" si="420"/>
        <v>2025-10</v>
      </c>
      <c r="G4513" s="18">
        <f t="shared" si="421"/>
        <v>41</v>
      </c>
      <c r="H4513" t="str">
        <f t="shared" si="422"/>
        <v>CELIO PIMENTA</v>
      </c>
      <c r="I4513" t="str">
        <f t="shared" si="423"/>
        <v>MINAS CLEAN DISTRIBUIDORA DE PRODUTOS PARA LIMPEZA</v>
      </c>
      <c r="J4513">
        <f t="shared" si="424"/>
        <v>0</v>
      </c>
      <c r="K4513">
        <f t="shared" si="425"/>
        <v>1</v>
      </c>
    </row>
    <row r="4514" spans="1:11" x14ac:dyDescent="0.25">
      <c r="A4514" t="s">
        <v>440</v>
      </c>
      <c r="B4514" t="s">
        <v>191</v>
      </c>
      <c r="C4514" t="s">
        <v>66</v>
      </c>
      <c r="D4514" s="6">
        <v>45937</v>
      </c>
      <c r="E4514" t="str">
        <f>VLOOKUP(B4514,'PROCV GERENTES BD'!A:B,2,0)</f>
        <v>PROSPECTAR</v>
      </c>
      <c r="F4514" s="4" t="str">
        <f t="shared" si="420"/>
        <v>2025-10</v>
      </c>
      <c r="G4514" s="18">
        <f t="shared" si="421"/>
        <v>41</v>
      </c>
      <c r="H4514" t="str">
        <f t="shared" si="422"/>
        <v>PROSPECTAR</v>
      </c>
      <c r="I4514" t="str">
        <f t="shared" si="423"/>
        <v>SAFRA OURO AGRONEGOCIOS LTDA EPP</v>
      </c>
      <c r="J4514">
        <f t="shared" si="424"/>
        <v>1</v>
      </c>
      <c r="K4514">
        <f t="shared" si="425"/>
        <v>0</v>
      </c>
    </row>
    <row r="4515" spans="1:11" x14ac:dyDescent="0.25">
      <c r="A4515" t="s">
        <v>508</v>
      </c>
      <c r="B4515" t="s">
        <v>271</v>
      </c>
      <c r="C4515" t="s">
        <v>50</v>
      </c>
      <c r="D4515" s="6">
        <v>45937</v>
      </c>
      <c r="E4515" t="str">
        <f>VLOOKUP(B4515,'PROCV GERENTES BD'!A:B,2,0)</f>
        <v>PRISCILA METZ</v>
      </c>
      <c r="F4515" s="4" t="str">
        <f t="shared" si="420"/>
        <v>2025-10</v>
      </c>
      <c r="G4515" s="18">
        <f t="shared" si="421"/>
        <v>41</v>
      </c>
      <c r="H4515" t="str">
        <f t="shared" si="422"/>
        <v>PRISCILA METZ</v>
      </c>
      <c r="I4515" t="str">
        <f t="shared" si="423"/>
        <v>TUBOLARES VITORIA INDUSTRIA E COMERCIO LTDA ME</v>
      </c>
      <c r="J4515">
        <f t="shared" si="424"/>
        <v>0</v>
      </c>
      <c r="K4515">
        <f t="shared" si="425"/>
        <v>1</v>
      </c>
    </row>
    <row r="4516" spans="1:11" x14ac:dyDescent="0.25">
      <c r="A4516" t="s">
        <v>314</v>
      </c>
      <c r="B4516" t="s">
        <v>246</v>
      </c>
      <c r="C4516" t="s">
        <v>50</v>
      </c>
      <c r="D4516" s="6">
        <v>45937</v>
      </c>
      <c r="E4516" t="str">
        <f>VLOOKUP(B4516,'PROCV GERENTES BD'!A:B,2,0)</f>
        <v xml:space="preserve">ROGERIO </v>
      </c>
      <c r="F4516" s="4" t="str">
        <f t="shared" si="420"/>
        <v>2025-10</v>
      </c>
      <c r="G4516" s="18">
        <f t="shared" si="421"/>
        <v>41</v>
      </c>
      <c r="H4516" t="str">
        <f t="shared" si="422"/>
        <v xml:space="preserve">ROGERIO </v>
      </c>
      <c r="I4516" t="str">
        <f t="shared" si="423"/>
        <v>MUTCD CENTRO DE DISTRIBUICAO DE IND FABRICANTE DE</v>
      </c>
      <c r="J4516">
        <f t="shared" si="424"/>
        <v>0</v>
      </c>
      <c r="K4516">
        <f t="shared" si="425"/>
        <v>1</v>
      </c>
    </row>
    <row r="4517" spans="1:11" x14ac:dyDescent="0.25">
      <c r="A4517" t="s">
        <v>661</v>
      </c>
      <c r="B4517" t="s">
        <v>662</v>
      </c>
      <c r="C4517" t="s">
        <v>66</v>
      </c>
      <c r="D4517" s="6">
        <v>45937</v>
      </c>
      <c r="E4517" t="str">
        <f>VLOOKUP(B4517,'PROCV GERENTES BD'!A:B,2,0)</f>
        <v>PRISCILA METZ</v>
      </c>
      <c r="F4517" s="4" t="str">
        <f t="shared" si="420"/>
        <v>2025-10</v>
      </c>
      <c r="G4517" s="18">
        <f t="shared" si="421"/>
        <v>41</v>
      </c>
      <c r="H4517" t="str">
        <f t="shared" si="422"/>
        <v>PRISCILA METZ</v>
      </c>
      <c r="I4517" t="str">
        <f t="shared" si="423"/>
        <v>LIDER DISTRIBUIDORA DE MOVEIS E EQUIPAMENTOS PARA</v>
      </c>
      <c r="J4517">
        <f t="shared" si="424"/>
        <v>1</v>
      </c>
      <c r="K4517">
        <f t="shared" si="425"/>
        <v>0</v>
      </c>
    </row>
    <row r="4518" spans="1:11" x14ac:dyDescent="0.25">
      <c r="A4518" t="s">
        <v>616</v>
      </c>
      <c r="B4518" t="s">
        <v>617</v>
      </c>
      <c r="C4518" t="s">
        <v>66</v>
      </c>
      <c r="D4518" s="6">
        <v>45937</v>
      </c>
      <c r="E4518" t="str">
        <f>VLOOKUP(B4518,'PROCV GERENTES BD'!A:B,2,0)</f>
        <v>PRISCILA METZ</v>
      </c>
      <c r="F4518" s="4" t="str">
        <f t="shared" si="420"/>
        <v>2025-10</v>
      </c>
      <c r="G4518" s="18">
        <f t="shared" si="421"/>
        <v>41</v>
      </c>
      <c r="H4518" t="str">
        <f t="shared" si="422"/>
        <v>PRISCILA METZ</v>
      </c>
      <c r="I4518" t="str">
        <f t="shared" si="423"/>
        <v>DESTAK DISTRIBUIDORA PRODUTOS EQUIPAMENTOS HOSPITA</v>
      </c>
      <c r="J4518">
        <f t="shared" si="424"/>
        <v>1</v>
      </c>
      <c r="K4518">
        <f t="shared" si="425"/>
        <v>0</v>
      </c>
    </row>
    <row r="4519" spans="1:11" x14ac:dyDescent="0.25">
      <c r="A4519" t="s">
        <v>630</v>
      </c>
      <c r="B4519" t="s">
        <v>559</v>
      </c>
      <c r="C4519" t="s">
        <v>50</v>
      </c>
      <c r="D4519" s="6">
        <v>45937</v>
      </c>
      <c r="E4519" t="str">
        <f>VLOOKUP(B4519,'PROCV GERENTES BD'!A:B,2,0)</f>
        <v>ALISSON DE SOUZA LIMA</v>
      </c>
      <c r="F4519" s="4" t="str">
        <f t="shared" si="420"/>
        <v>2025-10</v>
      </c>
      <c r="G4519" s="18">
        <f t="shared" si="421"/>
        <v>41</v>
      </c>
      <c r="H4519" t="str">
        <f t="shared" si="422"/>
        <v>ALISSON DE SOUZA LIMA</v>
      </c>
      <c r="I4519" t="str">
        <f t="shared" si="423"/>
        <v>JRG SOLUCOES INDUSTRIAIS LTDA</v>
      </c>
      <c r="J4519">
        <f t="shared" si="424"/>
        <v>0</v>
      </c>
      <c r="K4519">
        <f t="shared" si="425"/>
        <v>1</v>
      </c>
    </row>
    <row r="4520" spans="1:11" x14ac:dyDescent="0.25">
      <c r="A4520" t="s">
        <v>505</v>
      </c>
      <c r="B4520" t="s">
        <v>267</v>
      </c>
      <c r="C4520" t="s">
        <v>50</v>
      </c>
      <c r="D4520" s="6">
        <v>45937</v>
      </c>
      <c r="E4520" t="str">
        <f>VLOOKUP(B4520,'PROCV GERENTES BD'!A:B,2,0)</f>
        <v>PRISCILA METZ</v>
      </c>
      <c r="F4520" s="4" t="str">
        <f t="shared" si="420"/>
        <v>2025-10</v>
      </c>
      <c r="G4520" s="18">
        <f t="shared" si="421"/>
        <v>41</v>
      </c>
      <c r="H4520" t="str">
        <f t="shared" si="422"/>
        <v>PRISCILA METZ</v>
      </c>
      <c r="I4520" t="str">
        <f t="shared" si="423"/>
        <v>REAL DISTRIBUIDORA DE PRODUTOS PARA MARMORARIA LTD</v>
      </c>
      <c r="J4520">
        <f t="shared" si="424"/>
        <v>0</v>
      </c>
      <c r="K4520">
        <f t="shared" si="425"/>
        <v>1</v>
      </c>
    </row>
    <row r="4521" spans="1:11" x14ac:dyDescent="0.25">
      <c r="A4521" t="s">
        <v>67</v>
      </c>
      <c r="B4521" t="s">
        <v>68</v>
      </c>
      <c r="C4521" t="s">
        <v>66</v>
      </c>
      <c r="D4521" s="6">
        <v>45937</v>
      </c>
      <c r="E4521" t="str">
        <f>VLOOKUP(B4521,'PROCV GERENTES BD'!A:B,2,0)</f>
        <v xml:space="preserve">ROGERIO </v>
      </c>
      <c r="F4521" s="4" t="str">
        <f t="shared" si="420"/>
        <v>2025-10</v>
      </c>
      <c r="G4521" s="18">
        <f t="shared" si="421"/>
        <v>41</v>
      </c>
      <c r="H4521" t="str">
        <f t="shared" si="422"/>
        <v xml:space="preserve">ROGERIO </v>
      </c>
      <c r="I4521" t="str">
        <f t="shared" si="423"/>
        <v>DIOTTONI INDUSTRIA E COMERCIO DE ALIMENTOS LTDA ME</v>
      </c>
      <c r="J4521">
        <f t="shared" si="424"/>
        <v>1</v>
      </c>
      <c r="K4521">
        <f t="shared" si="425"/>
        <v>0</v>
      </c>
    </row>
    <row r="4522" spans="1:11" x14ac:dyDescent="0.25">
      <c r="A4522" t="s">
        <v>442</v>
      </c>
      <c r="B4522" t="s">
        <v>193</v>
      </c>
      <c r="C4522" t="s">
        <v>50</v>
      </c>
      <c r="D4522" s="6">
        <v>45937</v>
      </c>
      <c r="E4522" t="str">
        <f>VLOOKUP(B4522,'PROCV GERENTES BD'!A:B,2,0)</f>
        <v>CELIO PIMENTA</v>
      </c>
      <c r="F4522" s="4" t="str">
        <f t="shared" si="420"/>
        <v>2025-10</v>
      </c>
      <c r="G4522" s="18">
        <f t="shared" si="421"/>
        <v>41</v>
      </c>
      <c r="H4522" t="str">
        <f t="shared" si="422"/>
        <v>CELIO PIMENTA</v>
      </c>
      <c r="I4522" t="str">
        <f t="shared" si="423"/>
        <v>CIA TEXTIL LTDA ME</v>
      </c>
      <c r="J4522">
        <f t="shared" si="424"/>
        <v>0</v>
      </c>
      <c r="K4522">
        <f t="shared" si="425"/>
        <v>1</v>
      </c>
    </row>
    <row r="4523" spans="1:11" x14ac:dyDescent="0.25">
      <c r="A4523" t="s">
        <v>64</v>
      </c>
      <c r="B4523" t="s">
        <v>65</v>
      </c>
      <c r="C4523" t="s">
        <v>53</v>
      </c>
      <c r="D4523" s="6">
        <v>45937</v>
      </c>
      <c r="E4523" t="str">
        <f>VLOOKUP(B4523,'PROCV GERENTES BD'!A:B,2,0)</f>
        <v>ADMINISTRAÇÃO</v>
      </c>
      <c r="F4523" s="4" t="str">
        <f t="shared" si="420"/>
        <v>2025-10</v>
      </c>
      <c r="G4523" s="18">
        <f t="shared" si="421"/>
        <v>41</v>
      </c>
      <c r="H4523" t="str">
        <f t="shared" si="422"/>
        <v>ADMINISTRAÇÃO</v>
      </c>
      <c r="I4523" t="str">
        <f t="shared" si="423"/>
        <v>SOCIAL S/A</v>
      </c>
      <c r="J4523">
        <f t="shared" si="424"/>
        <v>1</v>
      </c>
      <c r="K4523">
        <f t="shared" si="425"/>
        <v>1</v>
      </c>
    </row>
    <row r="4524" spans="1:11" x14ac:dyDescent="0.25">
      <c r="A4524" t="s">
        <v>499</v>
      </c>
      <c r="B4524" t="s">
        <v>258</v>
      </c>
      <c r="C4524" t="s">
        <v>50</v>
      </c>
      <c r="D4524" s="6">
        <v>45937</v>
      </c>
      <c r="E4524" t="str">
        <f>VLOOKUP(B4524,'PROCV GERENTES BD'!A:B,2,0)</f>
        <v>PRISCILA METZ</v>
      </c>
      <c r="F4524" s="4" t="str">
        <f t="shared" si="420"/>
        <v>2025-10</v>
      </c>
      <c r="G4524" s="18">
        <f t="shared" si="421"/>
        <v>41</v>
      </c>
      <c r="H4524" t="str">
        <f t="shared" si="422"/>
        <v>PRISCILA METZ</v>
      </c>
      <c r="I4524" t="str">
        <f t="shared" si="423"/>
        <v>PLATINUM INDUSTRIA DE CONFECCOES LTDA</v>
      </c>
      <c r="J4524">
        <f t="shared" si="424"/>
        <v>0</v>
      </c>
      <c r="K4524">
        <f t="shared" si="425"/>
        <v>1</v>
      </c>
    </row>
    <row r="4525" spans="1:11" x14ac:dyDescent="0.25">
      <c r="A4525" t="s">
        <v>521</v>
      </c>
      <c r="B4525" t="s">
        <v>286</v>
      </c>
      <c r="C4525" t="s">
        <v>50</v>
      </c>
      <c r="D4525" s="6">
        <v>45937</v>
      </c>
      <c r="E4525" t="str">
        <f>VLOOKUP(B4525,'PROCV GERENTES BD'!A:B,2,0)</f>
        <v>CELIO PIMENTA</v>
      </c>
      <c r="F4525" s="4" t="str">
        <f t="shared" si="420"/>
        <v>2025-10</v>
      </c>
      <c r="G4525" s="18">
        <f t="shared" si="421"/>
        <v>41</v>
      </c>
      <c r="H4525" t="str">
        <f t="shared" si="422"/>
        <v>CELIO PIMENTA</v>
      </c>
      <c r="I4525" t="str">
        <f t="shared" si="423"/>
        <v>LINGERIE E CIA LTDA ME</v>
      </c>
      <c r="J4525">
        <f t="shared" si="424"/>
        <v>0</v>
      </c>
      <c r="K4525">
        <f t="shared" si="425"/>
        <v>1</v>
      </c>
    </row>
    <row r="4526" spans="1:11" x14ac:dyDescent="0.25">
      <c r="A4526" t="s">
        <v>604</v>
      </c>
      <c r="B4526" t="s">
        <v>605</v>
      </c>
      <c r="C4526" t="s">
        <v>50</v>
      </c>
      <c r="D4526" s="6">
        <v>45937</v>
      </c>
      <c r="E4526" t="str">
        <f>VLOOKUP(B4526,'PROCV GERENTES BD'!A:B,2,0)</f>
        <v>ALISSON DE SOUZA LIMA</v>
      </c>
      <c r="F4526" s="4" t="str">
        <f t="shared" si="420"/>
        <v>2025-10</v>
      </c>
      <c r="G4526" s="18">
        <f t="shared" si="421"/>
        <v>41</v>
      </c>
      <c r="H4526" t="str">
        <f t="shared" si="422"/>
        <v>ALISSON DE SOUZA LIMA</v>
      </c>
      <c r="I4526" t="str">
        <f t="shared" si="423"/>
        <v>3J FUNDICAO INDUSTRIAL LTDA</v>
      </c>
      <c r="J4526">
        <f t="shared" si="424"/>
        <v>0</v>
      </c>
      <c r="K4526">
        <f t="shared" si="425"/>
        <v>1</v>
      </c>
    </row>
    <row r="4527" spans="1:11" x14ac:dyDescent="0.25">
      <c r="A4527" t="s">
        <v>355</v>
      </c>
      <c r="B4527" t="s">
        <v>100</v>
      </c>
      <c r="C4527" t="s">
        <v>66</v>
      </c>
      <c r="D4527" s="6">
        <v>45937</v>
      </c>
      <c r="E4527" t="str">
        <f>VLOOKUP(B4527,'PROCV GERENTES BD'!A:B,2,0)</f>
        <v>ADMINISTRAÇÃO</v>
      </c>
      <c r="F4527" s="4" t="str">
        <f t="shared" si="420"/>
        <v>2025-10</v>
      </c>
      <c r="G4527" s="18">
        <f t="shared" si="421"/>
        <v>41</v>
      </c>
      <c r="H4527" t="str">
        <f t="shared" si="422"/>
        <v>ADMINISTRAÇÃO</v>
      </c>
      <c r="I4527" t="str">
        <f t="shared" si="423"/>
        <v>DECISION DESENVOLVIMENTO DE SISTEMAS LTDA</v>
      </c>
      <c r="J4527">
        <f t="shared" si="424"/>
        <v>1</v>
      </c>
      <c r="K4527">
        <f t="shared" si="425"/>
        <v>0</v>
      </c>
    </row>
    <row r="4528" spans="1:11" x14ac:dyDescent="0.25">
      <c r="A4528" t="s">
        <v>372</v>
      </c>
      <c r="B4528" t="s">
        <v>116</v>
      </c>
      <c r="C4528" t="s">
        <v>66</v>
      </c>
      <c r="D4528" s="6">
        <v>45937</v>
      </c>
      <c r="E4528" t="str">
        <f>VLOOKUP(B4528,'PROCV GERENTES BD'!A:B,2,0)</f>
        <v>ADMINISTRAÇÃO</v>
      </c>
      <c r="F4528" s="4" t="str">
        <f t="shared" si="420"/>
        <v>2025-10</v>
      </c>
      <c r="G4528" s="18">
        <f t="shared" si="421"/>
        <v>41</v>
      </c>
      <c r="H4528" t="str">
        <f t="shared" si="422"/>
        <v>ADMINISTRAÇÃO</v>
      </c>
      <c r="I4528" t="str">
        <f t="shared" si="423"/>
        <v>PREMOLDADOS MATOSINHOS LTDA EPP</v>
      </c>
      <c r="J4528">
        <f t="shared" si="424"/>
        <v>1</v>
      </c>
      <c r="K4528">
        <f t="shared" si="425"/>
        <v>0</v>
      </c>
    </row>
    <row r="4529" spans="1:11" x14ac:dyDescent="0.25">
      <c r="A4529" t="s">
        <v>690</v>
      </c>
      <c r="B4529" t="s">
        <v>683</v>
      </c>
      <c r="C4529" t="s">
        <v>53</v>
      </c>
      <c r="D4529" s="6">
        <v>45937</v>
      </c>
      <c r="E4529" t="str">
        <f>VLOOKUP(B4529,'PROCV GERENTES BD'!A:B,2,0)</f>
        <v>CAIO</v>
      </c>
      <c r="F4529" s="4" t="str">
        <f t="shared" si="420"/>
        <v>2025-10</v>
      </c>
      <c r="G4529" s="18">
        <f t="shared" si="421"/>
        <v>41</v>
      </c>
      <c r="H4529" t="str">
        <f t="shared" si="422"/>
        <v>CAIO</v>
      </c>
      <c r="I4529" t="str">
        <f t="shared" si="423"/>
        <v>SABORES DO TRIANGULO LTDA EPP</v>
      </c>
      <c r="J4529">
        <f t="shared" si="424"/>
        <v>1</v>
      </c>
      <c r="K4529">
        <f t="shared" si="425"/>
        <v>1</v>
      </c>
    </row>
    <row r="4530" spans="1:11" x14ac:dyDescent="0.25">
      <c r="A4530" t="s">
        <v>56</v>
      </c>
      <c r="B4530" t="s">
        <v>57</v>
      </c>
      <c r="C4530" t="s">
        <v>53</v>
      </c>
      <c r="D4530" s="6">
        <v>45937</v>
      </c>
      <c r="E4530" t="str">
        <f>VLOOKUP(B4530,'PROCV GERENTES BD'!A:B,2,0)</f>
        <v xml:space="preserve">ROGERIO </v>
      </c>
      <c r="F4530" s="4" t="str">
        <f t="shared" si="420"/>
        <v>2025-10</v>
      </c>
      <c r="G4530" s="18">
        <f t="shared" si="421"/>
        <v>41</v>
      </c>
      <c r="H4530" t="str">
        <f t="shared" si="422"/>
        <v xml:space="preserve">ROGERIO </v>
      </c>
      <c r="I4530" t="str">
        <f t="shared" si="423"/>
        <v>RODOVIEIRA TRANSPORTE LTDA</v>
      </c>
      <c r="J4530">
        <f t="shared" si="424"/>
        <v>1</v>
      </c>
      <c r="K4530">
        <f t="shared" si="425"/>
        <v>1</v>
      </c>
    </row>
    <row r="4531" spans="1:11" x14ac:dyDescent="0.25">
      <c r="A4531" t="s">
        <v>638</v>
      </c>
      <c r="B4531" t="s">
        <v>539</v>
      </c>
      <c r="C4531" t="s">
        <v>50</v>
      </c>
      <c r="D4531" s="6">
        <v>45937</v>
      </c>
      <c r="E4531" t="str">
        <f>VLOOKUP(B4531,'PROCV GERENTES BD'!A:B,2,0)</f>
        <v>JJPH</v>
      </c>
      <c r="F4531" s="4" t="str">
        <f t="shared" si="420"/>
        <v>2025-10</v>
      </c>
      <c r="G4531" s="18">
        <f t="shared" si="421"/>
        <v>41</v>
      </c>
      <c r="H4531" t="str">
        <f t="shared" si="422"/>
        <v>JJPH</v>
      </c>
      <c r="I4531" t="str">
        <f t="shared" si="423"/>
        <v>DIFARMIG LTDA</v>
      </c>
      <c r="J4531">
        <f t="shared" si="424"/>
        <v>0</v>
      </c>
      <c r="K4531">
        <f t="shared" si="425"/>
        <v>1</v>
      </c>
    </row>
    <row r="4532" spans="1:11" x14ac:dyDescent="0.25">
      <c r="A4532" t="s">
        <v>358</v>
      </c>
      <c r="B4532" t="s">
        <v>104</v>
      </c>
      <c r="C4532" t="s">
        <v>50</v>
      </c>
      <c r="D4532" s="6">
        <v>45937</v>
      </c>
      <c r="E4532" t="str">
        <f>VLOOKUP(B4532,'PROCV GERENTES BD'!A:B,2,0)</f>
        <v>DIOGO AZEVEDO</v>
      </c>
      <c r="F4532" s="4" t="str">
        <f t="shared" si="420"/>
        <v>2025-10</v>
      </c>
      <c r="G4532" s="18">
        <f t="shared" si="421"/>
        <v>41</v>
      </c>
      <c r="H4532" t="str">
        <f t="shared" si="422"/>
        <v>DIOGO AZEVEDO</v>
      </c>
      <c r="I4532" t="str">
        <f t="shared" si="423"/>
        <v>INDUSTRIA E CERVEJARIA ARTESANAL DE MINAS GERAIS L</v>
      </c>
      <c r="J4532">
        <f t="shared" si="424"/>
        <v>0</v>
      </c>
      <c r="K4532">
        <f t="shared" si="425"/>
        <v>1</v>
      </c>
    </row>
    <row r="4533" spans="1:11" x14ac:dyDescent="0.25">
      <c r="A4533" t="s">
        <v>361</v>
      </c>
      <c r="B4533" t="s">
        <v>106</v>
      </c>
      <c r="C4533" t="s">
        <v>50</v>
      </c>
      <c r="D4533" s="6">
        <v>45937</v>
      </c>
      <c r="E4533" t="str">
        <f>VLOOKUP(B4533,'PROCV GERENTES BD'!A:B,2,0)</f>
        <v>PRISCILA METZ</v>
      </c>
      <c r="F4533" s="4" t="str">
        <f t="shared" si="420"/>
        <v>2025-10</v>
      </c>
      <c r="G4533" s="18">
        <f t="shared" si="421"/>
        <v>41</v>
      </c>
      <c r="H4533" t="str">
        <f t="shared" si="422"/>
        <v>PRISCILA METZ</v>
      </c>
      <c r="I4533" t="str">
        <f t="shared" si="423"/>
        <v>HERBAMED LABORATORIO NUTRACEUTICO LTDA</v>
      </c>
      <c r="J4533">
        <f t="shared" si="424"/>
        <v>0</v>
      </c>
      <c r="K4533">
        <f t="shared" si="425"/>
        <v>1</v>
      </c>
    </row>
    <row r="4534" spans="1:11" x14ac:dyDescent="0.25">
      <c r="A4534" t="s">
        <v>434</v>
      </c>
      <c r="B4534" t="s">
        <v>185</v>
      </c>
      <c r="C4534" t="s">
        <v>50</v>
      </c>
      <c r="D4534" s="6">
        <v>45937</v>
      </c>
      <c r="E4534" t="str">
        <f>VLOOKUP(B4534,'PROCV GERENTES BD'!A:B,2,0)</f>
        <v>RAFAEL PARISE</v>
      </c>
      <c r="F4534" s="4" t="str">
        <f t="shared" si="420"/>
        <v>2025-10</v>
      </c>
      <c r="G4534" s="18">
        <f t="shared" si="421"/>
        <v>41</v>
      </c>
      <c r="H4534" t="str">
        <f t="shared" si="422"/>
        <v>RAFAEL PARISE</v>
      </c>
      <c r="I4534" t="str">
        <f t="shared" si="423"/>
        <v>MARCAS COMERCIO LTDA ME</v>
      </c>
      <c r="J4534">
        <f t="shared" si="424"/>
        <v>0</v>
      </c>
      <c r="K4534">
        <f t="shared" si="425"/>
        <v>1</v>
      </c>
    </row>
    <row r="4535" spans="1:11" x14ac:dyDescent="0.25">
      <c r="A4535" t="s">
        <v>387</v>
      </c>
      <c r="B4535" t="s">
        <v>134</v>
      </c>
      <c r="C4535" t="s">
        <v>50</v>
      </c>
      <c r="D4535" s="6">
        <v>45937</v>
      </c>
      <c r="E4535" t="str">
        <f>VLOOKUP(B4535,'PROCV GERENTES BD'!A:B,2,0)</f>
        <v>RAFAEL PARISE</v>
      </c>
      <c r="F4535" s="4" t="str">
        <f t="shared" si="420"/>
        <v>2025-10</v>
      </c>
      <c r="G4535" s="18">
        <f t="shared" si="421"/>
        <v>41</v>
      </c>
      <c r="H4535" t="str">
        <f t="shared" si="422"/>
        <v>RAFAEL PARISE</v>
      </c>
      <c r="I4535" t="str">
        <f t="shared" si="423"/>
        <v>MAIS DISTRIBUIDORA LTDA</v>
      </c>
      <c r="J4535">
        <f t="shared" si="424"/>
        <v>0</v>
      </c>
      <c r="K4535">
        <f t="shared" si="425"/>
        <v>1</v>
      </c>
    </row>
    <row r="4536" spans="1:11" x14ac:dyDescent="0.25">
      <c r="A4536" t="s">
        <v>51</v>
      </c>
      <c r="B4536" t="s">
        <v>52</v>
      </c>
      <c r="C4536" t="s">
        <v>50</v>
      </c>
      <c r="D4536" s="6">
        <v>45937</v>
      </c>
      <c r="E4536" t="str">
        <f>VLOOKUP(B4536,'PROCV GERENTES BD'!A:B,2,0)</f>
        <v>RAFAEL PARISE</v>
      </c>
      <c r="F4536" s="4" t="str">
        <f t="shared" si="420"/>
        <v>2025-10</v>
      </c>
      <c r="G4536" s="18">
        <f t="shared" si="421"/>
        <v>41</v>
      </c>
      <c r="H4536" t="str">
        <f t="shared" si="422"/>
        <v>RAFAEL PARISE</v>
      </c>
      <c r="I4536" t="str">
        <f t="shared" si="423"/>
        <v>TDR TRANSPORTES LOGISTICA LTDA</v>
      </c>
      <c r="J4536">
        <f t="shared" si="424"/>
        <v>0</v>
      </c>
      <c r="K4536">
        <f t="shared" si="425"/>
        <v>1</v>
      </c>
    </row>
    <row r="4537" spans="1:11" x14ac:dyDescent="0.25">
      <c r="A4537" t="s">
        <v>324</v>
      </c>
      <c r="B4537" t="s">
        <v>119</v>
      </c>
      <c r="C4537" t="s">
        <v>66</v>
      </c>
      <c r="D4537" s="6">
        <v>45937</v>
      </c>
      <c r="E4537" t="str">
        <f>VLOOKUP(B4537,'PROCV GERENTES BD'!A:B,2,0)</f>
        <v>PROSPECTAR</v>
      </c>
      <c r="F4537" s="4" t="str">
        <f t="shared" si="420"/>
        <v>2025-10</v>
      </c>
      <c r="G4537" s="18">
        <f t="shared" si="421"/>
        <v>41</v>
      </c>
      <c r="H4537" t="str">
        <f t="shared" si="422"/>
        <v>PROSPECTAR</v>
      </c>
      <c r="I4537" t="str">
        <f t="shared" si="423"/>
        <v>TRANSHENRY TRANSPORTES LTDA</v>
      </c>
      <c r="J4537">
        <f t="shared" si="424"/>
        <v>1</v>
      </c>
      <c r="K4537">
        <f t="shared" si="425"/>
        <v>0</v>
      </c>
    </row>
    <row r="4538" spans="1:11" x14ac:dyDescent="0.25">
      <c r="A4538" t="s">
        <v>482</v>
      </c>
      <c r="B4538" t="s">
        <v>239</v>
      </c>
      <c r="C4538" t="s">
        <v>66</v>
      </c>
      <c r="D4538" s="6">
        <v>45937</v>
      </c>
      <c r="E4538" t="str">
        <f>VLOOKUP(B4538,'PROCV GERENTES BD'!A:B,2,0)</f>
        <v>RAFAEL PARISE</v>
      </c>
      <c r="F4538" s="4" t="str">
        <f t="shared" si="420"/>
        <v>2025-10</v>
      </c>
      <c r="G4538" s="18">
        <f t="shared" si="421"/>
        <v>41</v>
      </c>
      <c r="H4538" t="str">
        <f t="shared" si="422"/>
        <v>RAFAEL PARISE</v>
      </c>
      <c r="I4538" t="str">
        <f t="shared" si="423"/>
        <v>RENOVAR AGRICOLA LTDA</v>
      </c>
      <c r="J4538">
        <f t="shared" si="424"/>
        <v>1</v>
      </c>
      <c r="K4538">
        <f t="shared" si="425"/>
        <v>0</v>
      </c>
    </row>
    <row r="4539" spans="1:11" x14ac:dyDescent="0.25">
      <c r="A4539" t="s">
        <v>523</v>
      </c>
      <c r="B4539" t="s">
        <v>288</v>
      </c>
      <c r="C4539" t="s">
        <v>50</v>
      </c>
      <c r="D4539" s="6">
        <v>45937</v>
      </c>
      <c r="E4539" t="str">
        <f>VLOOKUP(B4539,'PROCV GERENTES BD'!A:B,2,0)</f>
        <v>ADMINISTRAÇÃO</v>
      </c>
      <c r="F4539" s="4" t="str">
        <f t="shared" si="420"/>
        <v>2025-10</v>
      </c>
      <c r="G4539" s="18">
        <f t="shared" si="421"/>
        <v>41</v>
      </c>
      <c r="H4539" t="str">
        <f t="shared" si="422"/>
        <v>ADMINISTRAÇÃO</v>
      </c>
      <c r="I4539" t="str">
        <f t="shared" si="423"/>
        <v>REFRACONT BRASIL LTDA</v>
      </c>
      <c r="J4539">
        <f t="shared" si="424"/>
        <v>0</v>
      </c>
      <c r="K4539">
        <f t="shared" si="425"/>
        <v>1</v>
      </c>
    </row>
    <row r="4540" spans="1:11" x14ac:dyDescent="0.25">
      <c r="A4540" t="s">
        <v>529</v>
      </c>
      <c r="B4540" t="s">
        <v>297</v>
      </c>
      <c r="C4540" t="s">
        <v>50</v>
      </c>
      <c r="D4540" s="6">
        <v>45937</v>
      </c>
      <c r="E4540" t="str">
        <f>VLOOKUP(B4540,'PROCV GERENTES BD'!A:B,2,0)</f>
        <v>ANDRE CUNHA</v>
      </c>
      <c r="F4540" s="4" t="str">
        <f t="shared" si="420"/>
        <v>2025-10</v>
      </c>
      <c r="G4540" s="18">
        <f t="shared" si="421"/>
        <v>41</v>
      </c>
      <c r="H4540" t="str">
        <f t="shared" si="422"/>
        <v>ANDRE CUNHA</v>
      </c>
      <c r="I4540" t="str">
        <f t="shared" si="423"/>
        <v>REVPACK TECNOLOGIA E COMERCIO DE COMPONENTES PLAST</v>
      </c>
      <c r="J4540">
        <f t="shared" si="424"/>
        <v>0</v>
      </c>
      <c r="K4540">
        <f t="shared" si="425"/>
        <v>1</v>
      </c>
    </row>
    <row r="4541" spans="1:11" x14ac:dyDescent="0.25">
      <c r="A4541" t="s">
        <v>310</v>
      </c>
      <c r="B4541" t="s">
        <v>204</v>
      </c>
      <c r="C4541" t="s">
        <v>66</v>
      </c>
      <c r="D4541" s="6">
        <v>45937</v>
      </c>
      <c r="E4541" t="str">
        <f>VLOOKUP(B4541,'PROCV GERENTES BD'!A:B,2,0)</f>
        <v xml:space="preserve">MARCUS VINICIUS </v>
      </c>
      <c r="F4541" s="4" t="str">
        <f t="shared" si="420"/>
        <v>2025-10</v>
      </c>
      <c r="G4541" s="18">
        <f t="shared" si="421"/>
        <v>41</v>
      </c>
      <c r="H4541" t="str">
        <f t="shared" si="422"/>
        <v xml:space="preserve">MARCUS VINICIUS </v>
      </c>
      <c r="I4541" t="str">
        <f t="shared" si="423"/>
        <v>INDUSTRIA E COMERCIO DE CHURRASQUEIRAS BOM JESUS L</v>
      </c>
      <c r="J4541">
        <f t="shared" si="424"/>
        <v>1</v>
      </c>
      <c r="K4541">
        <f t="shared" si="425"/>
        <v>0</v>
      </c>
    </row>
    <row r="4542" spans="1:11" x14ac:dyDescent="0.25">
      <c r="A4542" t="s">
        <v>510</v>
      </c>
      <c r="B4542" t="s">
        <v>273</v>
      </c>
      <c r="C4542" t="s">
        <v>50</v>
      </c>
      <c r="D4542" s="6">
        <v>45937</v>
      </c>
      <c r="E4542" t="str">
        <f>VLOOKUP(B4542,'PROCV GERENTES BD'!A:B,2,0)</f>
        <v>CELIO PIMENTA</v>
      </c>
      <c r="F4542" s="4" t="str">
        <f t="shared" si="420"/>
        <v>2025-10</v>
      </c>
      <c r="G4542" s="18">
        <f t="shared" si="421"/>
        <v>41</v>
      </c>
      <c r="H4542" t="str">
        <f t="shared" si="422"/>
        <v>CELIO PIMENTA</v>
      </c>
      <c r="I4542" t="str">
        <f t="shared" si="423"/>
        <v>PRADO MOREIRA TEXTIL LTDA ME</v>
      </c>
      <c r="J4542">
        <f t="shared" si="424"/>
        <v>0</v>
      </c>
      <c r="K4542">
        <f t="shared" si="425"/>
        <v>1</v>
      </c>
    </row>
    <row r="4543" spans="1:11" x14ac:dyDescent="0.25">
      <c r="A4543" t="s">
        <v>324</v>
      </c>
      <c r="B4543" t="s">
        <v>119</v>
      </c>
      <c r="C4543" t="s">
        <v>66</v>
      </c>
      <c r="D4543" s="6">
        <v>45938</v>
      </c>
      <c r="E4543" t="str">
        <f>VLOOKUP(B4543,'PROCV GERENTES BD'!A:B,2,0)</f>
        <v>PROSPECTAR</v>
      </c>
      <c r="F4543" s="4" t="str">
        <f t="shared" si="420"/>
        <v>2025-10</v>
      </c>
      <c r="G4543" s="18">
        <f t="shared" si="421"/>
        <v>41</v>
      </c>
      <c r="H4543" t="str">
        <f t="shared" si="422"/>
        <v>PROSPECTAR</v>
      </c>
      <c r="I4543" t="str">
        <f t="shared" si="423"/>
        <v>TRANSHENRY TRANSPORTES LTDA</v>
      </c>
      <c r="J4543">
        <f t="shared" si="424"/>
        <v>1</v>
      </c>
      <c r="K4543">
        <f t="shared" si="425"/>
        <v>0</v>
      </c>
    </row>
    <row r="4544" spans="1:11" x14ac:dyDescent="0.25">
      <c r="A4544" t="s">
        <v>510</v>
      </c>
      <c r="B4544" t="s">
        <v>273</v>
      </c>
      <c r="C4544" t="s">
        <v>50</v>
      </c>
      <c r="D4544" s="6">
        <v>45938</v>
      </c>
      <c r="E4544" t="str">
        <f>VLOOKUP(B4544,'PROCV GERENTES BD'!A:B,2,0)</f>
        <v>CELIO PIMENTA</v>
      </c>
      <c r="F4544" s="4" t="str">
        <f t="shared" ref="F4544:F4607" si="426">YEAR(D4544)&amp;"-"&amp;TEXT(MONTH(D4544),"00")</f>
        <v>2025-10</v>
      </c>
      <c r="G4544" s="18">
        <f t="shared" ref="G4544:G4607" si="427">WEEKNUM(D4544)</f>
        <v>41</v>
      </c>
      <c r="H4544" t="str">
        <f t="shared" ref="H4544:H4607" si="428">E4544</f>
        <v>CELIO PIMENTA</v>
      </c>
      <c r="I4544" t="str">
        <f t="shared" ref="I4544:I4607" si="429">B4544</f>
        <v>PRADO MOREIRA TEXTIL LTDA ME</v>
      </c>
      <c r="J4544">
        <f t="shared" ref="J4544:J4607" si="430">IF(OR(C4544="EXCLUSAO  ANOT.INADIMPLENCIA",C4544="INCL/EXCL ANOT.INADIMPLENCIA"),1,0)</f>
        <v>0</v>
      </c>
      <c r="K4544">
        <f t="shared" ref="K4544:K4607" si="431">IF(OR(C4544="INCLUSAO  ANOT.INADIMPLENCIA",C4544="INCL/EXCL ANOT.INADIMPLENCIA"),1,0)</f>
        <v>1</v>
      </c>
    </row>
    <row r="4545" spans="1:11" x14ac:dyDescent="0.25">
      <c r="A4545" t="s">
        <v>521</v>
      </c>
      <c r="B4545" t="s">
        <v>286</v>
      </c>
      <c r="C4545" t="s">
        <v>50</v>
      </c>
      <c r="D4545" s="6">
        <v>45938</v>
      </c>
      <c r="E4545" t="str">
        <f>VLOOKUP(B4545,'PROCV GERENTES BD'!A:B,2,0)</f>
        <v>CELIO PIMENTA</v>
      </c>
      <c r="F4545" s="4" t="str">
        <f t="shared" si="426"/>
        <v>2025-10</v>
      </c>
      <c r="G4545" s="18">
        <f t="shared" si="427"/>
        <v>41</v>
      </c>
      <c r="H4545" t="str">
        <f t="shared" si="428"/>
        <v>CELIO PIMENTA</v>
      </c>
      <c r="I4545" t="str">
        <f t="shared" si="429"/>
        <v>LINGERIE E CIA LTDA ME</v>
      </c>
      <c r="J4545">
        <f t="shared" si="430"/>
        <v>0</v>
      </c>
      <c r="K4545">
        <f t="shared" si="431"/>
        <v>1</v>
      </c>
    </row>
    <row r="4546" spans="1:11" x14ac:dyDescent="0.25">
      <c r="A4546" t="s">
        <v>325</v>
      </c>
      <c r="B4546" t="s">
        <v>138</v>
      </c>
      <c r="C4546" t="s">
        <v>66</v>
      </c>
      <c r="D4546" s="6">
        <v>45938</v>
      </c>
      <c r="E4546" t="str">
        <f>VLOOKUP(B4546,'PROCV GERENTES BD'!A:B,2,0)</f>
        <v>SACADO</v>
      </c>
      <c r="F4546" s="4" t="str">
        <f t="shared" si="426"/>
        <v>2025-10</v>
      </c>
      <c r="G4546" s="18">
        <f t="shared" si="427"/>
        <v>41</v>
      </c>
      <c r="H4546" t="str">
        <f t="shared" si="428"/>
        <v>SACADO</v>
      </c>
      <c r="I4546" t="str">
        <f t="shared" si="429"/>
        <v>ALLIAGE S A INDUSTRIAS MEDICO ODONTOLOGICA</v>
      </c>
      <c r="J4546">
        <f t="shared" si="430"/>
        <v>1</v>
      </c>
      <c r="K4546">
        <f t="shared" si="431"/>
        <v>0</v>
      </c>
    </row>
    <row r="4547" spans="1:11" x14ac:dyDescent="0.25">
      <c r="A4547" t="s">
        <v>487</v>
      </c>
      <c r="B4547" t="s">
        <v>244</v>
      </c>
      <c r="C4547" t="s">
        <v>66</v>
      </c>
      <c r="D4547" s="6">
        <v>45938</v>
      </c>
      <c r="E4547" t="str">
        <f>VLOOKUP(B4547,'PROCV GERENTES BD'!A:B,2,0)</f>
        <v xml:space="preserve">ROGERIO </v>
      </c>
      <c r="F4547" s="4" t="str">
        <f t="shared" si="426"/>
        <v>2025-10</v>
      </c>
      <c r="G4547" s="18">
        <f t="shared" si="427"/>
        <v>41</v>
      </c>
      <c r="H4547" t="str">
        <f t="shared" si="428"/>
        <v xml:space="preserve">ROGERIO </v>
      </c>
      <c r="I4547" t="str">
        <f t="shared" si="429"/>
        <v>MUNDO AGRO COMERCIO E DISTRIBUICAO DE CALCADOS LTD</v>
      </c>
      <c r="J4547">
        <f t="shared" si="430"/>
        <v>1</v>
      </c>
      <c r="K4547">
        <f t="shared" si="431"/>
        <v>0</v>
      </c>
    </row>
    <row r="4548" spans="1:11" x14ac:dyDescent="0.25">
      <c r="A4548" t="s">
        <v>508</v>
      </c>
      <c r="B4548" t="s">
        <v>271</v>
      </c>
      <c r="C4548" t="s">
        <v>50</v>
      </c>
      <c r="D4548" s="6">
        <v>45938</v>
      </c>
      <c r="E4548" t="str">
        <f>VLOOKUP(B4548,'PROCV GERENTES BD'!A:B,2,0)</f>
        <v>PRISCILA METZ</v>
      </c>
      <c r="F4548" s="4" t="str">
        <f t="shared" si="426"/>
        <v>2025-10</v>
      </c>
      <c r="G4548" s="18">
        <f t="shared" si="427"/>
        <v>41</v>
      </c>
      <c r="H4548" t="str">
        <f t="shared" si="428"/>
        <v>PRISCILA METZ</v>
      </c>
      <c r="I4548" t="str">
        <f t="shared" si="429"/>
        <v>TUBOLARES VITORIA INDUSTRIA E COMERCIO LTDA ME</v>
      </c>
      <c r="J4548">
        <f t="shared" si="430"/>
        <v>0</v>
      </c>
      <c r="K4548">
        <f t="shared" si="431"/>
        <v>1</v>
      </c>
    </row>
    <row r="4549" spans="1:11" x14ac:dyDescent="0.25">
      <c r="A4549" t="s">
        <v>655</v>
      </c>
      <c r="B4549" t="s">
        <v>548</v>
      </c>
      <c r="C4549" t="s">
        <v>50</v>
      </c>
      <c r="D4549" s="6">
        <v>45938</v>
      </c>
      <c r="E4549" t="str">
        <f>VLOOKUP(B4549,'PROCV GERENTES BD'!A:B,2,0)</f>
        <v xml:space="preserve">ROGERIO </v>
      </c>
      <c r="F4549" s="4" t="str">
        <f t="shared" si="426"/>
        <v>2025-10</v>
      </c>
      <c r="G4549" s="18">
        <f t="shared" si="427"/>
        <v>41</v>
      </c>
      <c r="H4549" t="str">
        <f t="shared" si="428"/>
        <v xml:space="preserve">ROGERIO </v>
      </c>
      <c r="I4549" t="str">
        <f t="shared" si="429"/>
        <v>AGROEP PISCICULTURA LTDA ME</v>
      </c>
      <c r="J4549">
        <f t="shared" si="430"/>
        <v>0</v>
      </c>
      <c r="K4549">
        <f t="shared" si="431"/>
        <v>1</v>
      </c>
    </row>
    <row r="4550" spans="1:11" x14ac:dyDescent="0.25">
      <c r="A4550" t="s">
        <v>64</v>
      </c>
      <c r="B4550" t="s">
        <v>65</v>
      </c>
      <c r="C4550" t="s">
        <v>50</v>
      </c>
      <c r="D4550" s="6">
        <v>45938</v>
      </c>
      <c r="E4550" t="str">
        <f>VLOOKUP(B4550,'PROCV GERENTES BD'!A:B,2,0)</f>
        <v>ADMINISTRAÇÃO</v>
      </c>
      <c r="F4550" s="4" t="str">
        <f t="shared" si="426"/>
        <v>2025-10</v>
      </c>
      <c r="G4550" s="18">
        <f t="shared" si="427"/>
        <v>41</v>
      </c>
      <c r="H4550" t="str">
        <f t="shared" si="428"/>
        <v>ADMINISTRAÇÃO</v>
      </c>
      <c r="I4550" t="str">
        <f t="shared" si="429"/>
        <v>SOCIAL S/A</v>
      </c>
      <c r="J4550">
        <f t="shared" si="430"/>
        <v>0</v>
      </c>
      <c r="K4550">
        <f t="shared" si="431"/>
        <v>1</v>
      </c>
    </row>
    <row r="4551" spans="1:11" x14ac:dyDescent="0.25">
      <c r="A4551" t="s">
        <v>499</v>
      </c>
      <c r="B4551" t="s">
        <v>258</v>
      </c>
      <c r="C4551" t="s">
        <v>50</v>
      </c>
      <c r="D4551" s="6">
        <v>45938</v>
      </c>
      <c r="E4551" t="str">
        <f>VLOOKUP(B4551,'PROCV GERENTES BD'!A:B,2,0)</f>
        <v>PRISCILA METZ</v>
      </c>
      <c r="F4551" s="4" t="str">
        <f t="shared" si="426"/>
        <v>2025-10</v>
      </c>
      <c r="G4551" s="18">
        <f t="shared" si="427"/>
        <v>41</v>
      </c>
      <c r="H4551" t="str">
        <f t="shared" si="428"/>
        <v>PRISCILA METZ</v>
      </c>
      <c r="I4551" t="str">
        <f t="shared" si="429"/>
        <v>PLATINUM INDUSTRIA DE CONFECCOES LTDA</v>
      </c>
      <c r="J4551">
        <f t="shared" si="430"/>
        <v>0</v>
      </c>
      <c r="K4551">
        <f t="shared" si="431"/>
        <v>1</v>
      </c>
    </row>
    <row r="4552" spans="1:11" x14ac:dyDescent="0.25">
      <c r="A4552" t="s">
        <v>326</v>
      </c>
      <c r="B4552" t="s">
        <v>122</v>
      </c>
      <c r="C4552" t="s">
        <v>50</v>
      </c>
      <c r="D4552" s="6">
        <v>45938</v>
      </c>
      <c r="E4552" t="str">
        <f>VLOOKUP(B4552,'PROCV GERENTES BD'!A:B,2,0)</f>
        <v xml:space="preserve">ROGERIO </v>
      </c>
      <c r="F4552" s="4" t="str">
        <f t="shared" si="426"/>
        <v>2025-10</v>
      </c>
      <c r="G4552" s="18">
        <f t="shared" si="427"/>
        <v>41</v>
      </c>
      <c r="H4552" t="str">
        <f t="shared" si="428"/>
        <v xml:space="preserve">ROGERIO </v>
      </c>
      <c r="I4552" t="str">
        <f t="shared" si="429"/>
        <v>BIBE PRODUTOS INFANTIS LTDA</v>
      </c>
      <c r="J4552">
        <f t="shared" si="430"/>
        <v>0</v>
      </c>
      <c r="K4552">
        <f t="shared" si="431"/>
        <v>1</v>
      </c>
    </row>
    <row r="4553" spans="1:11" x14ac:dyDescent="0.25">
      <c r="A4553" t="s">
        <v>604</v>
      </c>
      <c r="B4553" t="s">
        <v>605</v>
      </c>
      <c r="C4553" t="s">
        <v>50</v>
      </c>
      <c r="D4553" s="6">
        <v>45938</v>
      </c>
      <c r="E4553" t="str">
        <f>VLOOKUP(B4553,'PROCV GERENTES BD'!A:B,2,0)</f>
        <v>ALISSON DE SOUZA LIMA</v>
      </c>
      <c r="F4553" s="4" t="str">
        <f t="shared" si="426"/>
        <v>2025-10</v>
      </c>
      <c r="G4553" s="18">
        <f t="shared" si="427"/>
        <v>41</v>
      </c>
      <c r="H4553" t="str">
        <f t="shared" si="428"/>
        <v>ALISSON DE SOUZA LIMA</v>
      </c>
      <c r="I4553" t="str">
        <f t="shared" si="429"/>
        <v>3J FUNDICAO INDUSTRIAL LTDA</v>
      </c>
      <c r="J4553">
        <f t="shared" si="430"/>
        <v>0</v>
      </c>
      <c r="K4553">
        <f t="shared" si="431"/>
        <v>1</v>
      </c>
    </row>
    <row r="4554" spans="1:11" x14ac:dyDescent="0.25">
      <c r="A4554" t="s">
        <v>692</v>
      </c>
      <c r="B4554" t="s">
        <v>542</v>
      </c>
      <c r="C4554" t="s">
        <v>66</v>
      </c>
      <c r="D4554" s="6">
        <v>45938</v>
      </c>
      <c r="E4554" t="str">
        <f>VLOOKUP(B4554,'PROCV GERENTES BD'!A:B,2,0)</f>
        <v>CELIO PIMENTA</v>
      </c>
      <c r="F4554" s="4" t="str">
        <f t="shared" si="426"/>
        <v>2025-10</v>
      </c>
      <c r="G4554" s="18">
        <f t="shared" si="427"/>
        <v>41</v>
      </c>
      <c r="H4554" t="str">
        <f t="shared" si="428"/>
        <v>CELIO PIMENTA</v>
      </c>
      <c r="I4554" t="str">
        <f t="shared" si="429"/>
        <v>AGUIA LIDER TRANSPORTE RODOVIARIO LTDA EPP</v>
      </c>
      <c r="J4554">
        <f t="shared" si="430"/>
        <v>1</v>
      </c>
      <c r="K4554">
        <f t="shared" si="431"/>
        <v>0</v>
      </c>
    </row>
    <row r="4555" spans="1:11" x14ac:dyDescent="0.25">
      <c r="A4555" t="s">
        <v>58</v>
      </c>
      <c r="B4555" t="s">
        <v>59</v>
      </c>
      <c r="C4555" t="s">
        <v>50</v>
      </c>
      <c r="D4555" s="6">
        <v>45938</v>
      </c>
      <c r="E4555" t="str">
        <f>VLOOKUP(B4555,'PROCV GERENTES BD'!A:B,2,0)</f>
        <v>ADMINISTRAÇÃO</v>
      </c>
      <c r="F4555" s="4" t="str">
        <f t="shared" si="426"/>
        <v>2025-10</v>
      </c>
      <c r="G4555" s="18">
        <f t="shared" si="427"/>
        <v>41</v>
      </c>
      <c r="H4555" t="str">
        <f t="shared" si="428"/>
        <v>ADMINISTRAÇÃO</v>
      </c>
      <c r="I4555" t="str">
        <f t="shared" si="429"/>
        <v>BIOTECH LOGISTICA LTDA</v>
      </c>
      <c r="J4555">
        <f t="shared" si="430"/>
        <v>0</v>
      </c>
      <c r="K4555">
        <f t="shared" si="431"/>
        <v>1</v>
      </c>
    </row>
    <row r="4556" spans="1:11" x14ac:dyDescent="0.25">
      <c r="A4556" t="s">
        <v>56</v>
      </c>
      <c r="B4556" t="s">
        <v>57</v>
      </c>
      <c r="C4556" t="s">
        <v>53</v>
      </c>
      <c r="D4556" s="6">
        <v>45938</v>
      </c>
      <c r="E4556" t="str">
        <f>VLOOKUP(B4556,'PROCV GERENTES BD'!A:B,2,0)</f>
        <v xml:space="preserve">ROGERIO </v>
      </c>
      <c r="F4556" s="4" t="str">
        <f t="shared" si="426"/>
        <v>2025-10</v>
      </c>
      <c r="G4556" s="18">
        <f t="shared" si="427"/>
        <v>41</v>
      </c>
      <c r="H4556" t="str">
        <f t="shared" si="428"/>
        <v xml:space="preserve">ROGERIO </v>
      </c>
      <c r="I4556" t="str">
        <f t="shared" si="429"/>
        <v>RODOVIEIRA TRANSPORTE LTDA</v>
      </c>
      <c r="J4556">
        <f t="shared" si="430"/>
        <v>1</v>
      </c>
      <c r="K4556">
        <f t="shared" si="431"/>
        <v>1</v>
      </c>
    </row>
    <row r="4557" spans="1:11" x14ac:dyDescent="0.25">
      <c r="A4557" t="s">
        <v>395</v>
      </c>
      <c r="B4557" t="s">
        <v>145</v>
      </c>
      <c r="C4557" t="s">
        <v>66</v>
      </c>
      <c r="D4557" s="6">
        <v>45938</v>
      </c>
      <c r="E4557" t="str">
        <f>VLOOKUP(B4557,'PROCV GERENTES BD'!A:B,2,0)</f>
        <v>MARCIO LEONEL</v>
      </c>
      <c r="F4557" s="4" t="str">
        <f t="shared" si="426"/>
        <v>2025-10</v>
      </c>
      <c r="G4557" s="18">
        <f t="shared" si="427"/>
        <v>41</v>
      </c>
      <c r="H4557" t="str">
        <f t="shared" si="428"/>
        <v>MARCIO LEONEL</v>
      </c>
      <c r="I4557" t="str">
        <f t="shared" si="429"/>
        <v>MEDICAL PRIME IMP EXPORT DISTRIB PRODUTOS MEDICOS</v>
      </c>
      <c r="J4557">
        <f t="shared" si="430"/>
        <v>1</v>
      </c>
      <c r="K4557">
        <f t="shared" si="431"/>
        <v>0</v>
      </c>
    </row>
    <row r="4558" spans="1:11" x14ac:dyDescent="0.25">
      <c r="A4558" t="s">
        <v>361</v>
      </c>
      <c r="B4558" t="s">
        <v>106</v>
      </c>
      <c r="C4558" t="s">
        <v>53</v>
      </c>
      <c r="D4558" s="6">
        <v>45938</v>
      </c>
      <c r="E4558" t="str">
        <f>VLOOKUP(B4558,'PROCV GERENTES BD'!A:B,2,0)</f>
        <v>PRISCILA METZ</v>
      </c>
      <c r="F4558" s="4" t="str">
        <f t="shared" si="426"/>
        <v>2025-10</v>
      </c>
      <c r="G4558" s="18">
        <f t="shared" si="427"/>
        <v>41</v>
      </c>
      <c r="H4558" t="str">
        <f t="shared" si="428"/>
        <v>PRISCILA METZ</v>
      </c>
      <c r="I4558" t="str">
        <f t="shared" si="429"/>
        <v>HERBAMED LABORATORIO NUTRACEUTICO LTDA</v>
      </c>
      <c r="J4558">
        <f t="shared" si="430"/>
        <v>1</v>
      </c>
      <c r="K4558">
        <f t="shared" si="431"/>
        <v>1</v>
      </c>
    </row>
    <row r="4559" spans="1:11" x14ac:dyDescent="0.25">
      <c r="A4559" t="s">
        <v>387</v>
      </c>
      <c r="B4559" t="s">
        <v>134</v>
      </c>
      <c r="C4559" t="s">
        <v>50</v>
      </c>
      <c r="D4559" s="6">
        <v>45938</v>
      </c>
      <c r="E4559" t="str">
        <f>VLOOKUP(B4559,'PROCV GERENTES BD'!A:B,2,0)</f>
        <v>RAFAEL PARISE</v>
      </c>
      <c r="F4559" s="4" t="str">
        <f t="shared" si="426"/>
        <v>2025-10</v>
      </c>
      <c r="G4559" s="18">
        <f t="shared" si="427"/>
        <v>41</v>
      </c>
      <c r="H4559" t="str">
        <f t="shared" si="428"/>
        <v>RAFAEL PARISE</v>
      </c>
      <c r="I4559" t="str">
        <f t="shared" si="429"/>
        <v>MAIS DISTRIBUIDORA LTDA</v>
      </c>
      <c r="J4559">
        <f t="shared" si="430"/>
        <v>0</v>
      </c>
      <c r="K4559">
        <f t="shared" si="431"/>
        <v>1</v>
      </c>
    </row>
    <row r="4560" spans="1:11" x14ac:dyDescent="0.25">
      <c r="A4560" t="s">
        <v>51</v>
      </c>
      <c r="B4560" t="s">
        <v>52</v>
      </c>
      <c r="C4560" t="s">
        <v>50</v>
      </c>
      <c r="D4560" s="6">
        <v>45938</v>
      </c>
      <c r="E4560" t="str">
        <f>VLOOKUP(B4560,'PROCV GERENTES BD'!A:B,2,0)</f>
        <v>RAFAEL PARISE</v>
      </c>
      <c r="F4560" s="4" t="str">
        <f t="shared" si="426"/>
        <v>2025-10</v>
      </c>
      <c r="G4560" s="18">
        <f t="shared" si="427"/>
        <v>41</v>
      </c>
      <c r="H4560" t="str">
        <f t="shared" si="428"/>
        <v>RAFAEL PARISE</v>
      </c>
      <c r="I4560" t="str">
        <f t="shared" si="429"/>
        <v>TDR TRANSPORTES LOGISTICA LTDA</v>
      </c>
      <c r="J4560">
        <f t="shared" si="430"/>
        <v>0</v>
      </c>
      <c r="K4560">
        <f t="shared" si="431"/>
        <v>1</v>
      </c>
    </row>
    <row r="4561" spans="1:11" x14ac:dyDescent="0.25">
      <c r="A4561" t="s">
        <v>660</v>
      </c>
      <c r="B4561" t="s">
        <v>545</v>
      </c>
      <c r="C4561" t="s">
        <v>66</v>
      </c>
      <c r="D4561" s="6">
        <v>45938</v>
      </c>
      <c r="E4561" t="str">
        <f>VLOOKUP(B4561,'PROCV GERENTES BD'!A:B,2,0)</f>
        <v xml:space="preserve">ROGERIO </v>
      </c>
      <c r="F4561" s="4" t="str">
        <f t="shared" si="426"/>
        <v>2025-10</v>
      </c>
      <c r="G4561" s="18">
        <f t="shared" si="427"/>
        <v>41</v>
      </c>
      <c r="H4561" t="str">
        <f t="shared" si="428"/>
        <v xml:space="preserve">ROGERIO </v>
      </c>
      <c r="I4561" t="str">
        <f t="shared" si="429"/>
        <v>DISEP ALIMENTOS LTDA ME</v>
      </c>
      <c r="J4561">
        <f t="shared" si="430"/>
        <v>1</v>
      </c>
      <c r="K4561">
        <f t="shared" si="431"/>
        <v>0</v>
      </c>
    </row>
    <row r="4562" spans="1:11" x14ac:dyDescent="0.25">
      <c r="A4562" t="s">
        <v>632</v>
      </c>
      <c r="B4562" t="s">
        <v>633</v>
      </c>
      <c r="C4562" t="s">
        <v>66</v>
      </c>
      <c r="D4562" s="6">
        <v>45938</v>
      </c>
      <c r="E4562" t="str">
        <f>VLOOKUP(B4562,'PROCV GERENTES BD'!A:B,2,0)</f>
        <v>TIAGO NEVES</v>
      </c>
      <c r="F4562" s="4" t="str">
        <f t="shared" si="426"/>
        <v>2025-10</v>
      </c>
      <c r="G4562" s="18">
        <f t="shared" si="427"/>
        <v>41</v>
      </c>
      <c r="H4562" t="str">
        <f t="shared" si="428"/>
        <v>TIAGO NEVES</v>
      </c>
      <c r="I4562" t="str">
        <f t="shared" si="429"/>
        <v>AUTO VIDROS MG INDUSTRIA E COMERCIO LTDA</v>
      </c>
      <c r="J4562">
        <f t="shared" si="430"/>
        <v>1</v>
      </c>
      <c r="K4562">
        <f t="shared" si="431"/>
        <v>0</v>
      </c>
    </row>
    <row r="4563" spans="1:11" x14ac:dyDescent="0.25">
      <c r="A4563" t="s">
        <v>407</v>
      </c>
      <c r="B4563" t="s">
        <v>157</v>
      </c>
      <c r="C4563" t="s">
        <v>66</v>
      </c>
      <c r="D4563" s="6">
        <v>45938</v>
      </c>
      <c r="E4563" t="str">
        <f>VLOOKUP(B4563,'PROCV GERENTES BD'!A:B,2,0)</f>
        <v>NOELI SALETE</v>
      </c>
      <c r="F4563" s="4" t="str">
        <f t="shared" si="426"/>
        <v>2025-10</v>
      </c>
      <c r="G4563" s="18">
        <f t="shared" si="427"/>
        <v>41</v>
      </c>
      <c r="H4563" t="str">
        <f t="shared" si="428"/>
        <v>NOELI SALETE</v>
      </c>
      <c r="I4563" t="str">
        <f t="shared" si="429"/>
        <v>SGAMAQ INOVACAO AGROINDUSTRIAL LTDA</v>
      </c>
      <c r="J4563">
        <f t="shared" si="430"/>
        <v>1</v>
      </c>
      <c r="K4563">
        <f t="shared" si="431"/>
        <v>0</v>
      </c>
    </row>
    <row r="4564" spans="1:11" x14ac:dyDescent="0.25">
      <c r="A4564" t="s">
        <v>311</v>
      </c>
      <c r="B4564" t="s">
        <v>81</v>
      </c>
      <c r="C4564" t="s">
        <v>50</v>
      </c>
      <c r="D4564" s="6">
        <v>45939</v>
      </c>
      <c r="E4564" t="str">
        <f>VLOOKUP(B4564,'PROCV GERENTES BD'!A:B,2,0)</f>
        <v>CELIO PIMENTA</v>
      </c>
      <c r="F4564" s="4" t="str">
        <f t="shared" si="426"/>
        <v>2025-10</v>
      </c>
      <c r="G4564" s="18">
        <f t="shared" si="427"/>
        <v>41</v>
      </c>
      <c r="H4564" t="str">
        <f t="shared" si="428"/>
        <v>CELIO PIMENTA</v>
      </c>
      <c r="I4564" t="str">
        <f t="shared" si="429"/>
        <v>MBIOLOG DIAGNOSTICOS LTDA</v>
      </c>
      <c r="J4564">
        <f t="shared" si="430"/>
        <v>0</v>
      </c>
      <c r="K4564">
        <f t="shared" si="431"/>
        <v>1</v>
      </c>
    </row>
    <row r="4565" spans="1:11" x14ac:dyDescent="0.25">
      <c r="A4565" t="s">
        <v>325</v>
      </c>
      <c r="B4565" t="s">
        <v>138</v>
      </c>
      <c r="C4565" t="s">
        <v>66</v>
      </c>
      <c r="D4565" s="6">
        <v>45939</v>
      </c>
      <c r="E4565" t="str">
        <f>VLOOKUP(B4565,'PROCV GERENTES BD'!A:B,2,0)</f>
        <v>SACADO</v>
      </c>
      <c r="F4565" s="4" t="str">
        <f t="shared" si="426"/>
        <v>2025-10</v>
      </c>
      <c r="G4565" s="18">
        <f t="shared" si="427"/>
        <v>41</v>
      </c>
      <c r="H4565" t="str">
        <f t="shared" si="428"/>
        <v>SACADO</v>
      </c>
      <c r="I4565" t="str">
        <f t="shared" si="429"/>
        <v>ALLIAGE S A INDUSTRIAS MEDICO ODONTOLOGICA</v>
      </c>
      <c r="J4565">
        <f t="shared" si="430"/>
        <v>1</v>
      </c>
      <c r="K4565">
        <f t="shared" si="431"/>
        <v>0</v>
      </c>
    </row>
    <row r="4566" spans="1:11" x14ac:dyDescent="0.25">
      <c r="A4566" t="s">
        <v>488</v>
      </c>
      <c r="B4566" t="s">
        <v>247</v>
      </c>
      <c r="C4566" t="s">
        <v>66</v>
      </c>
      <c r="D4566" s="6">
        <v>45939</v>
      </c>
      <c r="E4566" t="str">
        <f>VLOOKUP(B4566,'PROCV GERENTES BD'!A:B,2,0)</f>
        <v>CELIO PIMENTA</v>
      </c>
      <c r="F4566" s="4" t="str">
        <f t="shared" si="426"/>
        <v>2025-10</v>
      </c>
      <c r="G4566" s="18">
        <f t="shared" si="427"/>
        <v>41</v>
      </c>
      <c r="H4566" t="str">
        <f t="shared" si="428"/>
        <v>CELIO PIMENTA</v>
      </c>
      <c r="I4566" t="str">
        <f t="shared" si="429"/>
        <v>AZ HIDRAULICA USINAGEM LTDA EPP</v>
      </c>
      <c r="J4566">
        <f t="shared" si="430"/>
        <v>1</v>
      </c>
      <c r="K4566">
        <f t="shared" si="431"/>
        <v>0</v>
      </c>
    </row>
    <row r="4567" spans="1:11" x14ac:dyDescent="0.25">
      <c r="A4567" t="s">
        <v>655</v>
      </c>
      <c r="B4567" t="s">
        <v>548</v>
      </c>
      <c r="C4567" t="s">
        <v>66</v>
      </c>
      <c r="D4567" s="6">
        <v>45939</v>
      </c>
      <c r="E4567" t="str">
        <f>VLOOKUP(B4567,'PROCV GERENTES BD'!A:B,2,0)</f>
        <v xml:space="preserve">ROGERIO </v>
      </c>
      <c r="F4567" s="4" t="str">
        <f t="shared" si="426"/>
        <v>2025-10</v>
      </c>
      <c r="G4567" s="18">
        <f t="shared" si="427"/>
        <v>41</v>
      </c>
      <c r="H4567" t="str">
        <f t="shared" si="428"/>
        <v xml:space="preserve">ROGERIO </v>
      </c>
      <c r="I4567" t="str">
        <f t="shared" si="429"/>
        <v>AGROEP PISCICULTURA LTDA ME</v>
      </c>
      <c r="J4567">
        <f t="shared" si="430"/>
        <v>1</v>
      </c>
      <c r="K4567">
        <f t="shared" si="431"/>
        <v>0</v>
      </c>
    </row>
    <row r="4568" spans="1:11" x14ac:dyDescent="0.25">
      <c r="A4568" t="s">
        <v>630</v>
      </c>
      <c r="B4568" t="s">
        <v>559</v>
      </c>
      <c r="C4568" t="s">
        <v>53</v>
      </c>
      <c r="D4568" s="6">
        <v>45939</v>
      </c>
      <c r="E4568" t="str">
        <f>VLOOKUP(B4568,'PROCV GERENTES BD'!A:B,2,0)</f>
        <v>ALISSON DE SOUZA LIMA</v>
      </c>
      <c r="F4568" s="4" t="str">
        <f t="shared" si="426"/>
        <v>2025-10</v>
      </c>
      <c r="G4568" s="18">
        <f t="shared" si="427"/>
        <v>41</v>
      </c>
      <c r="H4568" t="str">
        <f t="shared" si="428"/>
        <v>ALISSON DE SOUZA LIMA</v>
      </c>
      <c r="I4568" t="str">
        <f t="shared" si="429"/>
        <v>JRG SOLUCOES INDUSTRIAIS LTDA</v>
      </c>
      <c r="J4568">
        <f t="shared" si="430"/>
        <v>1</v>
      </c>
      <c r="K4568">
        <f t="shared" si="431"/>
        <v>1</v>
      </c>
    </row>
    <row r="4569" spans="1:11" x14ac:dyDescent="0.25">
      <c r="A4569" t="s">
        <v>601</v>
      </c>
      <c r="B4569" t="s">
        <v>552</v>
      </c>
      <c r="C4569" t="s">
        <v>66</v>
      </c>
      <c r="D4569" s="6">
        <v>45939</v>
      </c>
      <c r="E4569" t="str">
        <f>VLOOKUP(B4569,'PROCV GERENTES BD'!A:B,2,0)</f>
        <v>DALVA</v>
      </c>
      <c r="F4569" s="4" t="str">
        <f t="shared" si="426"/>
        <v>2025-10</v>
      </c>
      <c r="G4569" s="18">
        <f t="shared" si="427"/>
        <v>41</v>
      </c>
      <c r="H4569" t="str">
        <f t="shared" si="428"/>
        <v>DALVA</v>
      </c>
      <c r="I4569" t="str">
        <f t="shared" si="429"/>
        <v>NOVA CALDERARIA MONTAGEM LTDA EPP</v>
      </c>
      <c r="J4569">
        <f t="shared" si="430"/>
        <v>1</v>
      </c>
      <c r="K4569">
        <f t="shared" si="431"/>
        <v>0</v>
      </c>
    </row>
    <row r="4570" spans="1:11" x14ac:dyDescent="0.25">
      <c r="A4570" t="s">
        <v>635</v>
      </c>
      <c r="B4570" t="s">
        <v>636</v>
      </c>
      <c r="C4570" t="s">
        <v>329</v>
      </c>
      <c r="D4570" s="6">
        <v>45939</v>
      </c>
      <c r="E4570" t="str">
        <f>VLOOKUP(B4570,'PROCV GERENTES BD'!A:B,2,0)</f>
        <v>TIAGO NEVES</v>
      </c>
      <c r="F4570" s="4" t="str">
        <f t="shared" si="426"/>
        <v>2025-10</v>
      </c>
      <c r="G4570" s="18">
        <f t="shared" si="427"/>
        <v>41</v>
      </c>
      <c r="H4570" t="str">
        <f t="shared" si="428"/>
        <v>TIAGO NEVES</v>
      </c>
      <c r="I4570" t="str">
        <f t="shared" si="429"/>
        <v>MG GLASS VIDROS PARA TRATORES E CAMINHOES LTDA ME</v>
      </c>
      <c r="J4570">
        <f t="shared" si="430"/>
        <v>0</v>
      </c>
      <c r="K4570">
        <f t="shared" si="431"/>
        <v>0</v>
      </c>
    </row>
    <row r="4571" spans="1:11" x14ac:dyDescent="0.25">
      <c r="A4571" t="s">
        <v>635</v>
      </c>
      <c r="B4571" t="s">
        <v>636</v>
      </c>
      <c r="C4571" t="s">
        <v>327</v>
      </c>
      <c r="D4571" s="6">
        <v>45939</v>
      </c>
      <c r="E4571" t="str">
        <f>VLOOKUP(B4571,'PROCV GERENTES BD'!A:B,2,0)</f>
        <v>TIAGO NEVES</v>
      </c>
      <c r="F4571" s="4" t="str">
        <f t="shared" si="426"/>
        <v>2025-10</v>
      </c>
      <c r="G4571" s="18">
        <f t="shared" si="427"/>
        <v>41</v>
      </c>
      <c r="H4571" t="str">
        <f t="shared" si="428"/>
        <v>TIAGO NEVES</v>
      </c>
      <c r="I4571" t="str">
        <f t="shared" si="429"/>
        <v>MG GLASS VIDROS PARA TRATORES E CAMINHOES LTDA ME</v>
      </c>
      <c r="J4571">
        <f t="shared" si="430"/>
        <v>0</v>
      </c>
      <c r="K4571">
        <f t="shared" si="431"/>
        <v>0</v>
      </c>
    </row>
    <row r="4572" spans="1:11" x14ac:dyDescent="0.25">
      <c r="A4572" t="s">
        <v>316</v>
      </c>
      <c r="B4572" t="s">
        <v>302</v>
      </c>
      <c r="C4572" t="s">
        <v>50</v>
      </c>
      <c r="D4572" s="6">
        <v>45939</v>
      </c>
      <c r="E4572" t="str">
        <f>VLOOKUP(B4572,'PROCV GERENTES BD'!A:B,2,0)</f>
        <v>CELIO PIMENTA</v>
      </c>
      <c r="F4572" s="4" t="str">
        <f t="shared" si="426"/>
        <v>2025-10</v>
      </c>
      <c r="G4572" s="18">
        <f t="shared" si="427"/>
        <v>41</v>
      </c>
      <c r="H4572" t="str">
        <f t="shared" si="428"/>
        <v>CELIO PIMENTA</v>
      </c>
      <c r="I4572" t="str">
        <f t="shared" si="429"/>
        <v>LOTUS DESENVOLVIMENTO IMOBILIARIO LTDA</v>
      </c>
      <c r="J4572">
        <f t="shared" si="430"/>
        <v>0</v>
      </c>
      <c r="K4572">
        <f t="shared" si="431"/>
        <v>1</v>
      </c>
    </row>
    <row r="4573" spans="1:11" x14ac:dyDescent="0.25">
      <c r="A4573" t="s">
        <v>604</v>
      </c>
      <c r="B4573" t="s">
        <v>605</v>
      </c>
      <c r="C4573" t="s">
        <v>53</v>
      </c>
      <c r="D4573" s="6">
        <v>45939</v>
      </c>
      <c r="E4573" t="str">
        <f>VLOOKUP(B4573,'PROCV GERENTES BD'!A:B,2,0)</f>
        <v>ALISSON DE SOUZA LIMA</v>
      </c>
      <c r="F4573" s="4" t="str">
        <f t="shared" si="426"/>
        <v>2025-10</v>
      </c>
      <c r="G4573" s="18">
        <f t="shared" si="427"/>
        <v>41</v>
      </c>
      <c r="H4573" t="str">
        <f t="shared" si="428"/>
        <v>ALISSON DE SOUZA LIMA</v>
      </c>
      <c r="I4573" t="str">
        <f t="shared" si="429"/>
        <v>3J FUNDICAO INDUSTRIAL LTDA</v>
      </c>
      <c r="J4573">
        <f t="shared" si="430"/>
        <v>1</v>
      </c>
      <c r="K4573">
        <f t="shared" si="431"/>
        <v>1</v>
      </c>
    </row>
    <row r="4574" spans="1:11" x14ac:dyDescent="0.25">
      <c r="A4574" t="s">
        <v>58</v>
      </c>
      <c r="B4574" t="s">
        <v>59</v>
      </c>
      <c r="C4574" t="s">
        <v>66</v>
      </c>
      <c r="D4574" s="6">
        <v>45939</v>
      </c>
      <c r="E4574" t="str">
        <f>VLOOKUP(B4574,'PROCV GERENTES BD'!A:B,2,0)</f>
        <v>ADMINISTRAÇÃO</v>
      </c>
      <c r="F4574" s="4" t="str">
        <f t="shared" si="426"/>
        <v>2025-10</v>
      </c>
      <c r="G4574" s="18">
        <f t="shared" si="427"/>
        <v>41</v>
      </c>
      <c r="H4574" t="str">
        <f t="shared" si="428"/>
        <v>ADMINISTRAÇÃO</v>
      </c>
      <c r="I4574" t="str">
        <f t="shared" si="429"/>
        <v>BIOTECH LOGISTICA LTDA</v>
      </c>
      <c r="J4574">
        <f t="shared" si="430"/>
        <v>1</v>
      </c>
      <c r="K4574">
        <f t="shared" si="431"/>
        <v>0</v>
      </c>
    </row>
    <row r="4575" spans="1:11" x14ac:dyDescent="0.25">
      <c r="A4575" t="s">
        <v>690</v>
      </c>
      <c r="B4575" t="s">
        <v>683</v>
      </c>
      <c r="C4575" t="s">
        <v>66</v>
      </c>
      <c r="D4575" s="6">
        <v>45939</v>
      </c>
      <c r="E4575" t="str">
        <f>VLOOKUP(B4575,'PROCV GERENTES BD'!A:B,2,0)</f>
        <v>CAIO</v>
      </c>
      <c r="F4575" s="4" t="str">
        <f t="shared" si="426"/>
        <v>2025-10</v>
      </c>
      <c r="G4575" s="18">
        <f t="shared" si="427"/>
        <v>41</v>
      </c>
      <c r="H4575" t="str">
        <f t="shared" si="428"/>
        <v>CAIO</v>
      </c>
      <c r="I4575" t="str">
        <f t="shared" si="429"/>
        <v>SABORES DO TRIANGULO LTDA EPP</v>
      </c>
      <c r="J4575">
        <f t="shared" si="430"/>
        <v>1</v>
      </c>
      <c r="K4575">
        <f t="shared" si="431"/>
        <v>0</v>
      </c>
    </row>
    <row r="4576" spans="1:11" x14ac:dyDescent="0.25">
      <c r="A4576" t="s">
        <v>56</v>
      </c>
      <c r="B4576" t="s">
        <v>57</v>
      </c>
      <c r="C4576" t="s">
        <v>53</v>
      </c>
      <c r="D4576" s="6">
        <v>45939</v>
      </c>
      <c r="E4576" t="str">
        <f>VLOOKUP(B4576,'PROCV GERENTES BD'!A:B,2,0)</f>
        <v xml:space="preserve">ROGERIO </v>
      </c>
      <c r="F4576" s="4" t="str">
        <f t="shared" si="426"/>
        <v>2025-10</v>
      </c>
      <c r="G4576" s="18">
        <f t="shared" si="427"/>
        <v>41</v>
      </c>
      <c r="H4576" t="str">
        <f t="shared" si="428"/>
        <v xml:space="preserve">ROGERIO </v>
      </c>
      <c r="I4576" t="str">
        <f t="shared" si="429"/>
        <v>RODOVIEIRA TRANSPORTE LTDA</v>
      </c>
      <c r="J4576">
        <f t="shared" si="430"/>
        <v>1</v>
      </c>
      <c r="K4576">
        <f t="shared" si="431"/>
        <v>1</v>
      </c>
    </row>
    <row r="4577" spans="1:11" x14ac:dyDescent="0.25">
      <c r="A4577" t="s">
        <v>331</v>
      </c>
      <c r="B4577" t="s">
        <v>144</v>
      </c>
      <c r="C4577" t="s">
        <v>53</v>
      </c>
      <c r="D4577" s="6">
        <v>45939</v>
      </c>
      <c r="E4577" t="str">
        <f>VLOOKUP(B4577,'PROCV GERENTES BD'!A:B,2,0)</f>
        <v>ADMINISTRAÇÃO</v>
      </c>
      <c r="F4577" s="4" t="str">
        <f t="shared" si="426"/>
        <v>2025-10</v>
      </c>
      <c r="G4577" s="18">
        <f t="shared" si="427"/>
        <v>41</v>
      </c>
      <c r="H4577" t="str">
        <f t="shared" si="428"/>
        <v>ADMINISTRAÇÃO</v>
      </c>
      <c r="I4577" t="str">
        <f t="shared" si="429"/>
        <v>BOM PASTOR PAPEIS LTDA EM RECUPERACAO JUDICIAL</v>
      </c>
      <c r="J4577">
        <f t="shared" si="430"/>
        <v>1</v>
      </c>
      <c r="K4577">
        <f t="shared" si="431"/>
        <v>1</v>
      </c>
    </row>
    <row r="4578" spans="1:11" x14ac:dyDescent="0.25">
      <c r="A4578" t="s">
        <v>361</v>
      </c>
      <c r="B4578" t="s">
        <v>106</v>
      </c>
      <c r="C4578" t="s">
        <v>50</v>
      </c>
      <c r="D4578" s="6">
        <v>45939</v>
      </c>
      <c r="E4578" t="str">
        <f>VLOOKUP(B4578,'PROCV GERENTES BD'!A:B,2,0)</f>
        <v>PRISCILA METZ</v>
      </c>
      <c r="F4578" s="4" t="str">
        <f t="shared" si="426"/>
        <v>2025-10</v>
      </c>
      <c r="G4578" s="18">
        <f t="shared" si="427"/>
        <v>41</v>
      </c>
      <c r="H4578" t="str">
        <f t="shared" si="428"/>
        <v>PRISCILA METZ</v>
      </c>
      <c r="I4578" t="str">
        <f t="shared" si="429"/>
        <v>HERBAMED LABORATORIO NUTRACEUTICO LTDA</v>
      </c>
      <c r="J4578">
        <f t="shared" si="430"/>
        <v>0</v>
      </c>
      <c r="K4578">
        <f t="shared" si="431"/>
        <v>1</v>
      </c>
    </row>
    <row r="4579" spans="1:11" x14ac:dyDescent="0.25">
      <c r="A4579" t="s">
        <v>506</v>
      </c>
      <c r="B4579" t="s">
        <v>268</v>
      </c>
      <c r="C4579" t="s">
        <v>327</v>
      </c>
      <c r="D4579" s="6">
        <v>45939</v>
      </c>
      <c r="E4579" t="str">
        <f>VLOOKUP(B4579,'PROCV GERENTES BD'!A:B,2,0)</f>
        <v>CAIO</v>
      </c>
      <c r="F4579" s="4" t="str">
        <f t="shared" si="426"/>
        <v>2025-10</v>
      </c>
      <c r="G4579" s="18">
        <f t="shared" si="427"/>
        <v>41</v>
      </c>
      <c r="H4579" t="str">
        <f t="shared" si="428"/>
        <v>CAIO</v>
      </c>
      <c r="I4579" t="str">
        <f t="shared" si="429"/>
        <v>BEECORP BEM ESTAR CORPORATIVO LTDA ME</v>
      </c>
      <c r="J4579">
        <f t="shared" si="430"/>
        <v>0</v>
      </c>
      <c r="K4579">
        <f t="shared" si="431"/>
        <v>0</v>
      </c>
    </row>
    <row r="4580" spans="1:11" x14ac:dyDescent="0.25">
      <c r="A4580" t="s">
        <v>54</v>
      </c>
      <c r="B4580" t="s">
        <v>55</v>
      </c>
      <c r="C4580" t="s">
        <v>66</v>
      </c>
      <c r="D4580" s="6">
        <v>45939</v>
      </c>
      <c r="E4580" t="str">
        <f>VLOOKUP(B4580,'PROCV GERENTES BD'!A:B,2,0)</f>
        <v>CELIO PIMENTA</v>
      </c>
      <c r="F4580" s="4" t="str">
        <f t="shared" si="426"/>
        <v>2025-10</v>
      </c>
      <c r="G4580" s="18">
        <f t="shared" si="427"/>
        <v>41</v>
      </c>
      <c r="H4580" t="str">
        <f t="shared" si="428"/>
        <v>CELIO PIMENTA</v>
      </c>
      <c r="I4580" t="str">
        <f t="shared" si="429"/>
        <v>WJ CALDEIRARIA INDUSTRIA E COMERCIO LTDA ME</v>
      </c>
      <c r="J4580">
        <f t="shared" si="430"/>
        <v>1</v>
      </c>
      <c r="K4580">
        <f t="shared" si="431"/>
        <v>0</v>
      </c>
    </row>
    <row r="4581" spans="1:11" x14ac:dyDescent="0.25">
      <c r="A4581" t="s">
        <v>688</v>
      </c>
      <c r="B4581" t="s">
        <v>685</v>
      </c>
      <c r="C4581" t="s">
        <v>66</v>
      </c>
      <c r="D4581" s="6">
        <v>45939</v>
      </c>
      <c r="E4581" t="str">
        <f>VLOOKUP(B4581,'PROCV GERENTES BD'!A:B,2,0)</f>
        <v>PROSPECTAR</v>
      </c>
      <c r="F4581" s="4" t="str">
        <f t="shared" si="426"/>
        <v>2025-10</v>
      </c>
      <c r="G4581" s="18">
        <f t="shared" si="427"/>
        <v>41</v>
      </c>
      <c r="H4581" t="str">
        <f t="shared" si="428"/>
        <v>PROSPECTAR</v>
      </c>
      <c r="I4581" t="str">
        <f t="shared" si="429"/>
        <v>SINERGIKA INDUSTRIA DE ALIMENTOS LTDA</v>
      </c>
      <c r="J4581">
        <f t="shared" si="430"/>
        <v>1</v>
      </c>
      <c r="K4581">
        <f t="shared" si="431"/>
        <v>0</v>
      </c>
    </row>
    <row r="4582" spans="1:11" x14ac:dyDescent="0.25">
      <c r="A4582" t="s">
        <v>521</v>
      </c>
      <c r="B4582" t="s">
        <v>286</v>
      </c>
      <c r="C4582" t="s">
        <v>50</v>
      </c>
      <c r="D4582" s="6">
        <v>45939</v>
      </c>
      <c r="E4582" t="str">
        <f>VLOOKUP(B4582,'PROCV GERENTES BD'!A:B,2,0)</f>
        <v>CELIO PIMENTA</v>
      </c>
      <c r="F4582" s="4" t="str">
        <f t="shared" si="426"/>
        <v>2025-10</v>
      </c>
      <c r="G4582" s="18">
        <f t="shared" si="427"/>
        <v>41</v>
      </c>
      <c r="H4582" t="str">
        <f t="shared" si="428"/>
        <v>CELIO PIMENTA</v>
      </c>
      <c r="I4582" t="str">
        <f t="shared" si="429"/>
        <v>LINGERIE E CIA LTDA ME</v>
      </c>
      <c r="J4582">
        <f t="shared" si="430"/>
        <v>0</v>
      </c>
      <c r="K4582">
        <f t="shared" si="431"/>
        <v>1</v>
      </c>
    </row>
    <row r="4583" spans="1:11" x14ac:dyDescent="0.25">
      <c r="A4583" t="s">
        <v>510</v>
      </c>
      <c r="B4583" t="s">
        <v>273</v>
      </c>
      <c r="C4583" t="s">
        <v>50</v>
      </c>
      <c r="D4583" s="6">
        <v>45939</v>
      </c>
      <c r="E4583" t="str">
        <f>VLOOKUP(B4583,'PROCV GERENTES BD'!A:B,2,0)</f>
        <v>CELIO PIMENTA</v>
      </c>
      <c r="F4583" s="4" t="str">
        <f t="shared" si="426"/>
        <v>2025-10</v>
      </c>
      <c r="G4583" s="18">
        <f t="shared" si="427"/>
        <v>41</v>
      </c>
      <c r="H4583" t="str">
        <f t="shared" si="428"/>
        <v>CELIO PIMENTA</v>
      </c>
      <c r="I4583" t="str">
        <f t="shared" si="429"/>
        <v>PRADO MOREIRA TEXTIL LTDA ME</v>
      </c>
      <c r="J4583">
        <f t="shared" si="430"/>
        <v>0</v>
      </c>
      <c r="K4583">
        <f t="shared" si="431"/>
        <v>1</v>
      </c>
    </row>
    <row r="4584" spans="1:11" x14ac:dyDescent="0.25">
      <c r="A4584" t="s">
        <v>697</v>
      </c>
      <c r="B4584" t="s">
        <v>695</v>
      </c>
      <c r="C4584" t="s">
        <v>50</v>
      </c>
      <c r="D4584" s="6">
        <v>45940</v>
      </c>
      <c r="E4584" t="str">
        <f>VLOOKUP(B4584,'PROCV GERENTES BD'!A:B,2,0)</f>
        <v>PROSPECTAR</v>
      </c>
      <c r="F4584" s="4" t="str">
        <f t="shared" si="426"/>
        <v>2025-10</v>
      </c>
      <c r="G4584" s="18">
        <f t="shared" si="427"/>
        <v>41</v>
      </c>
      <c r="H4584" t="str">
        <f t="shared" si="428"/>
        <v>PROSPECTAR</v>
      </c>
      <c r="I4584" t="str">
        <f t="shared" si="429"/>
        <v>GLOBAL PAPEIS EM RECUPERACAO JUDICIAL LTDA</v>
      </c>
      <c r="J4584">
        <f t="shared" si="430"/>
        <v>0</v>
      </c>
      <c r="K4584">
        <f t="shared" si="431"/>
        <v>1</v>
      </c>
    </row>
    <row r="4585" spans="1:11" x14ac:dyDescent="0.25">
      <c r="A4585" t="s">
        <v>467</v>
      </c>
      <c r="B4585" t="s">
        <v>224</v>
      </c>
      <c r="C4585" t="s">
        <v>50</v>
      </c>
      <c r="D4585" s="6">
        <v>45940</v>
      </c>
      <c r="E4585" t="str">
        <f>VLOOKUP(B4585,'PROCV GERENTES BD'!A:B,2,0)</f>
        <v>DIOGO AZEVEDO</v>
      </c>
      <c r="F4585" s="4" t="str">
        <f t="shared" si="426"/>
        <v>2025-10</v>
      </c>
      <c r="G4585" s="18">
        <f t="shared" si="427"/>
        <v>41</v>
      </c>
      <c r="H4585" t="str">
        <f t="shared" si="428"/>
        <v>DIOGO AZEVEDO</v>
      </c>
      <c r="I4585" t="str">
        <f t="shared" si="429"/>
        <v>VGS COMERCIO DE EMBALAGENS DE MADEIRAS LTDA ME</v>
      </c>
      <c r="J4585">
        <f t="shared" si="430"/>
        <v>0</v>
      </c>
      <c r="K4585">
        <f t="shared" si="431"/>
        <v>1</v>
      </c>
    </row>
    <row r="4586" spans="1:11" x14ac:dyDescent="0.25">
      <c r="A4586" t="s">
        <v>488</v>
      </c>
      <c r="B4586" t="s">
        <v>247</v>
      </c>
      <c r="C4586" t="s">
        <v>50</v>
      </c>
      <c r="D4586" s="6">
        <v>45940</v>
      </c>
      <c r="E4586" t="str">
        <f>VLOOKUP(B4586,'PROCV GERENTES BD'!A:B,2,0)</f>
        <v>CELIO PIMENTA</v>
      </c>
      <c r="F4586" s="4" t="str">
        <f t="shared" si="426"/>
        <v>2025-10</v>
      </c>
      <c r="G4586" s="18">
        <f t="shared" si="427"/>
        <v>41</v>
      </c>
      <c r="H4586" t="str">
        <f t="shared" si="428"/>
        <v>CELIO PIMENTA</v>
      </c>
      <c r="I4586" t="str">
        <f t="shared" si="429"/>
        <v>AZ HIDRAULICA USINAGEM LTDA EPP</v>
      </c>
      <c r="J4586">
        <f t="shared" si="430"/>
        <v>0</v>
      </c>
      <c r="K4586">
        <f t="shared" si="431"/>
        <v>1</v>
      </c>
    </row>
    <row r="4587" spans="1:11" x14ac:dyDescent="0.25">
      <c r="A4587" t="s">
        <v>444</v>
      </c>
      <c r="B4587" t="s">
        <v>195</v>
      </c>
      <c r="C4587" t="s">
        <v>66</v>
      </c>
      <c r="D4587" s="6">
        <v>45940</v>
      </c>
      <c r="E4587" t="str">
        <f>VLOOKUP(B4587,'PROCV GERENTES BD'!A:B,2,0)</f>
        <v>RAFAEL PARISE</v>
      </c>
      <c r="F4587" s="4" t="str">
        <f t="shared" si="426"/>
        <v>2025-10</v>
      </c>
      <c r="G4587" s="18">
        <f t="shared" si="427"/>
        <v>41</v>
      </c>
      <c r="H4587" t="str">
        <f t="shared" si="428"/>
        <v>RAFAEL PARISE</v>
      </c>
      <c r="I4587" t="str">
        <f t="shared" si="429"/>
        <v>GEDIBOR RUBBER POLYURETHANE LTDA EPP</v>
      </c>
      <c r="J4587">
        <f t="shared" si="430"/>
        <v>1</v>
      </c>
      <c r="K4587">
        <f t="shared" si="431"/>
        <v>0</v>
      </c>
    </row>
    <row r="4588" spans="1:11" x14ac:dyDescent="0.25">
      <c r="A4588" t="s">
        <v>404</v>
      </c>
      <c r="B4588" t="s">
        <v>154</v>
      </c>
      <c r="C4588" t="s">
        <v>66</v>
      </c>
      <c r="D4588" s="6">
        <v>45940</v>
      </c>
      <c r="E4588" t="str">
        <f>VLOOKUP(B4588,'PROCV GERENTES BD'!A:B,2,0)</f>
        <v>ADMINISTRAÇÃO</v>
      </c>
      <c r="F4588" s="4" t="str">
        <f t="shared" si="426"/>
        <v>2025-10</v>
      </c>
      <c r="G4588" s="18">
        <f t="shared" si="427"/>
        <v>41</v>
      </c>
      <c r="H4588" t="str">
        <f t="shared" si="428"/>
        <v>ADMINISTRAÇÃO</v>
      </c>
      <c r="I4588" t="str">
        <f t="shared" si="429"/>
        <v>PRIVILEGIO CONFECCOES CAMA MESA E BANHO LTDA EPP</v>
      </c>
      <c r="J4588">
        <f t="shared" si="430"/>
        <v>1</v>
      </c>
      <c r="K4588">
        <f t="shared" si="431"/>
        <v>0</v>
      </c>
    </row>
    <row r="4589" spans="1:11" x14ac:dyDescent="0.25">
      <c r="A4589" t="s">
        <v>661</v>
      </c>
      <c r="B4589" t="s">
        <v>662</v>
      </c>
      <c r="C4589" t="s">
        <v>66</v>
      </c>
      <c r="D4589" s="6">
        <v>45940</v>
      </c>
      <c r="E4589" t="str">
        <f>VLOOKUP(B4589,'PROCV GERENTES BD'!A:B,2,0)</f>
        <v>PRISCILA METZ</v>
      </c>
      <c r="F4589" s="4" t="str">
        <f t="shared" si="426"/>
        <v>2025-10</v>
      </c>
      <c r="G4589" s="18">
        <f t="shared" si="427"/>
        <v>41</v>
      </c>
      <c r="H4589" t="str">
        <f t="shared" si="428"/>
        <v>PRISCILA METZ</v>
      </c>
      <c r="I4589" t="str">
        <f t="shared" si="429"/>
        <v>LIDER DISTRIBUIDORA DE MOVEIS E EQUIPAMENTOS PARA</v>
      </c>
      <c r="J4589">
        <f t="shared" si="430"/>
        <v>1</v>
      </c>
      <c r="K4589">
        <f t="shared" si="431"/>
        <v>0</v>
      </c>
    </row>
    <row r="4590" spans="1:11" x14ac:dyDescent="0.25">
      <c r="A4590" t="s">
        <v>630</v>
      </c>
      <c r="B4590" t="s">
        <v>559</v>
      </c>
      <c r="C4590" t="s">
        <v>50</v>
      </c>
      <c r="D4590" s="6">
        <v>45940</v>
      </c>
      <c r="E4590" t="str">
        <f>VLOOKUP(B4590,'PROCV GERENTES BD'!A:B,2,0)</f>
        <v>ALISSON DE SOUZA LIMA</v>
      </c>
      <c r="F4590" s="4" t="str">
        <f t="shared" si="426"/>
        <v>2025-10</v>
      </c>
      <c r="G4590" s="18">
        <f t="shared" si="427"/>
        <v>41</v>
      </c>
      <c r="H4590" t="str">
        <f t="shared" si="428"/>
        <v>ALISSON DE SOUZA LIMA</v>
      </c>
      <c r="I4590" t="str">
        <f t="shared" si="429"/>
        <v>JRG SOLUCOES INDUSTRIAIS LTDA</v>
      </c>
      <c r="J4590">
        <f t="shared" si="430"/>
        <v>0</v>
      </c>
      <c r="K4590">
        <f t="shared" si="431"/>
        <v>1</v>
      </c>
    </row>
    <row r="4591" spans="1:11" x14ac:dyDescent="0.25">
      <c r="A4591" t="s">
        <v>442</v>
      </c>
      <c r="B4591" t="s">
        <v>193</v>
      </c>
      <c r="C4591" t="s">
        <v>50</v>
      </c>
      <c r="D4591" s="6">
        <v>45940</v>
      </c>
      <c r="E4591" t="str">
        <f>VLOOKUP(B4591,'PROCV GERENTES BD'!A:B,2,0)</f>
        <v>CELIO PIMENTA</v>
      </c>
      <c r="F4591" s="4" t="str">
        <f t="shared" si="426"/>
        <v>2025-10</v>
      </c>
      <c r="G4591" s="18">
        <f t="shared" si="427"/>
        <v>41</v>
      </c>
      <c r="H4591" t="str">
        <f t="shared" si="428"/>
        <v>CELIO PIMENTA</v>
      </c>
      <c r="I4591" t="str">
        <f t="shared" si="429"/>
        <v>CIA TEXTIL LTDA ME</v>
      </c>
      <c r="J4591">
        <f t="shared" si="430"/>
        <v>0</v>
      </c>
      <c r="K4591">
        <f t="shared" si="431"/>
        <v>1</v>
      </c>
    </row>
    <row r="4592" spans="1:11" x14ac:dyDescent="0.25">
      <c r="A4592" t="s">
        <v>64</v>
      </c>
      <c r="B4592" t="s">
        <v>65</v>
      </c>
      <c r="C4592" t="s">
        <v>50</v>
      </c>
      <c r="D4592" s="6">
        <v>45940</v>
      </c>
      <c r="E4592" t="str">
        <f>VLOOKUP(B4592,'PROCV GERENTES BD'!A:B,2,0)</f>
        <v>ADMINISTRAÇÃO</v>
      </c>
      <c r="F4592" s="4" t="str">
        <f t="shared" si="426"/>
        <v>2025-10</v>
      </c>
      <c r="G4592" s="18">
        <f t="shared" si="427"/>
        <v>41</v>
      </c>
      <c r="H4592" t="str">
        <f t="shared" si="428"/>
        <v>ADMINISTRAÇÃO</v>
      </c>
      <c r="I4592" t="str">
        <f t="shared" si="429"/>
        <v>SOCIAL S/A</v>
      </c>
      <c r="J4592">
        <f t="shared" si="430"/>
        <v>0</v>
      </c>
      <c r="K4592">
        <f t="shared" si="431"/>
        <v>1</v>
      </c>
    </row>
    <row r="4593" spans="1:11" x14ac:dyDescent="0.25">
      <c r="A4593" t="s">
        <v>521</v>
      </c>
      <c r="B4593" t="s">
        <v>286</v>
      </c>
      <c r="C4593" t="s">
        <v>50</v>
      </c>
      <c r="D4593" s="6">
        <v>45940</v>
      </c>
      <c r="E4593" t="str">
        <f>VLOOKUP(B4593,'PROCV GERENTES BD'!A:B,2,0)</f>
        <v>CELIO PIMENTA</v>
      </c>
      <c r="F4593" s="4" t="str">
        <f t="shared" si="426"/>
        <v>2025-10</v>
      </c>
      <c r="G4593" s="18">
        <f t="shared" si="427"/>
        <v>41</v>
      </c>
      <c r="H4593" t="str">
        <f t="shared" si="428"/>
        <v>CELIO PIMENTA</v>
      </c>
      <c r="I4593" t="str">
        <f t="shared" si="429"/>
        <v>LINGERIE E CIA LTDA ME</v>
      </c>
      <c r="J4593">
        <f t="shared" si="430"/>
        <v>0</v>
      </c>
      <c r="K4593">
        <f t="shared" si="431"/>
        <v>1</v>
      </c>
    </row>
    <row r="4594" spans="1:11" x14ac:dyDescent="0.25">
      <c r="A4594" t="s">
        <v>499</v>
      </c>
      <c r="B4594" t="s">
        <v>258</v>
      </c>
      <c r="C4594" t="s">
        <v>50</v>
      </c>
      <c r="D4594" s="6">
        <v>45940</v>
      </c>
      <c r="E4594" t="str">
        <f>VLOOKUP(B4594,'PROCV GERENTES BD'!A:B,2,0)</f>
        <v>PRISCILA METZ</v>
      </c>
      <c r="F4594" s="4" t="str">
        <f t="shared" si="426"/>
        <v>2025-10</v>
      </c>
      <c r="G4594" s="18">
        <f t="shared" si="427"/>
        <v>41</v>
      </c>
      <c r="H4594" t="str">
        <f t="shared" si="428"/>
        <v>PRISCILA METZ</v>
      </c>
      <c r="I4594" t="str">
        <f t="shared" si="429"/>
        <v>PLATINUM INDUSTRIA DE CONFECCOES LTDA</v>
      </c>
      <c r="J4594">
        <f t="shared" si="430"/>
        <v>0</v>
      </c>
      <c r="K4594">
        <f t="shared" si="431"/>
        <v>1</v>
      </c>
    </row>
    <row r="4595" spans="1:11" x14ac:dyDescent="0.25">
      <c r="A4595" t="s">
        <v>58</v>
      </c>
      <c r="B4595" t="s">
        <v>59</v>
      </c>
      <c r="C4595" t="s">
        <v>66</v>
      </c>
      <c r="D4595" s="6">
        <v>45940</v>
      </c>
      <c r="E4595" t="str">
        <f>VLOOKUP(B4595,'PROCV GERENTES BD'!A:B,2,0)</f>
        <v>ADMINISTRAÇÃO</v>
      </c>
      <c r="F4595" s="4" t="str">
        <f t="shared" si="426"/>
        <v>2025-10</v>
      </c>
      <c r="G4595" s="18">
        <f t="shared" si="427"/>
        <v>41</v>
      </c>
      <c r="H4595" t="str">
        <f t="shared" si="428"/>
        <v>ADMINISTRAÇÃO</v>
      </c>
      <c r="I4595" t="str">
        <f t="shared" si="429"/>
        <v>BIOTECH LOGISTICA LTDA</v>
      </c>
      <c r="J4595">
        <f t="shared" si="430"/>
        <v>1</v>
      </c>
      <c r="K4595">
        <f t="shared" si="431"/>
        <v>0</v>
      </c>
    </row>
    <row r="4596" spans="1:11" x14ac:dyDescent="0.25">
      <c r="A4596" t="s">
        <v>56</v>
      </c>
      <c r="B4596" t="s">
        <v>57</v>
      </c>
      <c r="C4596" t="s">
        <v>53</v>
      </c>
      <c r="D4596" s="6">
        <v>45940</v>
      </c>
      <c r="E4596" t="str">
        <f>VLOOKUP(B4596,'PROCV GERENTES BD'!A:B,2,0)</f>
        <v xml:space="preserve">ROGERIO </v>
      </c>
      <c r="F4596" s="4" t="str">
        <f t="shared" si="426"/>
        <v>2025-10</v>
      </c>
      <c r="G4596" s="18">
        <f t="shared" si="427"/>
        <v>41</v>
      </c>
      <c r="H4596" t="str">
        <f t="shared" si="428"/>
        <v xml:space="preserve">ROGERIO </v>
      </c>
      <c r="I4596" t="str">
        <f t="shared" si="429"/>
        <v>RODOVIEIRA TRANSPORTE LTDA</v>
      </c>
      <c r="J4596">
        <f t="shared" si="430"/>
        <v>1</v>
      </c>
      <c r="K4596">
        <f t="shared" si="431"/>
        <v>1</v>
      </c>
    </row>
    <row r="4597" spans="1:11" x14ac:dyDescent="0.25">
      <c r="A4597" t="s">
        <v>331</v>
      </c>
      <c r="B4597" t="s">
        <v>144</v>
      </c>
      <c r="C4597" t="s">
        <v>53</v>
      </c>
      <c r="D4597" s="6">
        <v>45940</v>
      </c>
      <c r="E4597" t="str">
        <f>VLOOKUP(B4597,'PROCV GERENTES BD'!A:B,2,0)</f>
        <v>ADMINISTRAÇÃO</v>
      </c>
      <c r="F4597" s="4" t="str">
        <f t="shared" si="426"/>
        <v>2025-10</v>
      </c>
      <c r="G4597" s="18">
        <f t="shared" si="427"/>
        <v>41</v>
      </c>
      <c r="H4597" t="str">
        <f t="shared" si="428"/>
        <v>ADMINISTRAÇÃO</v>
      </c>
      <c r="I4597" t="str">
        <f t="shared" si="429"/>
        <v>BOM PASTOR PAPEIS LTDA EM RECUPERACAO JUDICIAL</v>
      </c>
      <c r="J4597">
        <f t="shared" si="430"/>
        <v>1</v>
      </c>
      <c r="K4597">
        <f t="shared" si="431"/>
        <v>1</v>
      </c>
    </row>
    <row r="4598" spans="1:11" x14ac:dyDescent="0.25">
      <c r="A4598" t="s">
        <v>361</v>
      </c>
      <c r="B4598" t="s">
        <v>106</v>
      </c>
      <c r="C4598" t="s">
        <v>53</v>
      </c>
      <c r="D4598" s="6">
        <v>45940</v>
      </c>
      <c r="E4598" t="str">
        <f>VLOOKUP(B4598,'PROCV GERENTES BD'!A:B,2,0)</f>
        <v>PRISCILA METZ</v>
      </c>
      <c r="F4598" s="4" t="str">
        <f t="shared" si="426"/>
        <v>2025-10</v>
      </c>
      <c r="G4598" s="18">
        <f t="shared" si="427"/>
        <v>41</v>
      </c>
      <c r="H4598" t="str">
        <f t="shared" si="428"/>
        <v>PRISCILA METZ</v>
      </c>
      <c r="I4598" t="str">
        <f t="shared" si="429"/>
        <v>HERBAMED LABORATORIO NUTRACEUTICO LTDA</v>
      </c>
      <c r="J4598">
        <f t="shared" si="430"/>
        <v>1</v>
      </c>
      <c r="K4598">
        <f t="shared" si="431"/>
        <v>1</v>
      </c>
    </row>
    <row r="4599" spans="1:11" x14ac:dyDescent="0.25">
      <c r="A4599" t="s">
        <v>51</v>
      </c>
      <c r="B4599" t="s">
        <v>52</v>
      </c>
      <c r="C4599" t="s">
        <v>66</v>
      </c>
      <c r="D4599" s="6">
        <v>45940</v>
      </c>
      <c r="E4599" t="str">
        <f>VLOOKUP(B4599,'PROCV GERENTES BD'!A:B,2,0)</f>
        <v>RAFAEL PARISE</v>
      </c>
      <c r="F4599" s="4" t="str">
        <f t="shared" si="426"/>
        <v>2025-10</v>
      </c>
      <c r="G4599" s="18">
        <f t="shared" si="427"/>
        <v>41</v>
      </c>
      <c r="H4599" t="str">
        <f t="shared" si="428"/>
        <v>RAFAEL PARISE</v>
      </c>
      <c r="I4599" t="str">
        <f t="shared" si="429"/>
        <v>TDR TRANSPORTES LOGISTICA LTDA</v>
      </c>
      <c r="J4599">
        <f t="shared" si="430"/>
        <v>1</v>
      </c>
      <c r="K4599">
        <f t="shared" si="431"/>
        <v>0</v>
      </c>
    </row>
    <row r="4600" spans="1:11" x14ac:dyDescent="0.25">
      <c r="A4600" t="s">
        <v>306</v>
      </c>
      <c r="B4600" t="s">
        <v>266</v>
      </c>
      <c r="C4600" t="s">
        <v>66</v>
      </c>
      <c r="D4600" s="6">
        <v>45940</v>
      </c>
      <c r="E4600" t="str">
        <f>VLOOKUP(B4600,'PROCV GERENTES BD'!A:B,2,0)</f>
        <v>CAIO</v>
      </c>
      <c r="F4600" s="4" t="str">
        <f t="shared" si="426"/>
        <v>2025-10</v>
      </c>
      <c r="G4600" s="18">
        <f t="shared" si="427"/>
        <v>41</v>
      </c>
      <c r="H4600" t="str">
        <f t="shared" si="428"/>
        <v>CAIO</v>
      </c>
      <c r="I4600" t="str">
        <f t="shared" si="429"/>
        <v>MECALD MECANICA E CALDEIRARIA LTDA EPP</v>
      </c>
      <c r="J4600">
        <f t="shared" si="430"/>
        <v>1</v>
      </c>
      <c r="K4600">
        <f t="shared" si="431"/>
        <v>0</v>
      </c>
    </row>
    <row r="4601" spans="1:11" x14ac:dyDescent="0.25">
      <c r="A4601" t="s">
        <v>656</v>
      </c>
      <c r="B4601" t="s">
        <v>657</v>
      </c>
      <c r="C4601" t="s">
        <v>50</v>
      </c>
      <c r="D4601" s="6">
        <v>45940</v>
      </c>
      <c r="E4601" t="str">
        <f>VLOOKUP(B4601,'PROCV GERENTES BD'!A:B,2,0)</f>
        <v>ADMINISTRAÇÃO</v>
      </c>
      <c r="F4601" s="4" t="str">
        <f t="shared" si="426"/>
        <v>2025-10</v>
      </c>
      <c r="G4601" s="18">
        <f t="shared" si="427"/>
        <v>41</v>
      </c>
      <c r="H4601" t="str">
        <f t="shared" si="428"/>
        <v>ADMINISTRAÇÃO</v>
      </c>
      <c r="I4601" t="str">
        <f t="shared" si="429"/>
        <v>NCBA INTERMEDIACAO LTDA ME</v>
      </c>
      <c r="J4601">
        <f t="shared" si="430"/>
        <v>0</v>
      </c>
      <c r="K4601">
        <f t="shared" si="431"/>
        <v>1</v>
      </c>
    </row>
    <row r="4602" spans="1:11" x14ac:dyDescent="0.25">
      <c r="A4602" t="s">
        <v>529</v>
      </c>
      <c r="B4602" t="s">
        <v>297</v>
      </c>
      <c r="C4602" t="s">
        <v>50</v>
      </c>
      <c r="D4602" s="6">
        <v>45940</v>
      </c>
      <c r="E4602" t="str">
        <f>VLOOKUP(B4602,'PROCV GERENTES BD'!A:B,2,0)</f>
        <v>ANDRE CUNHA</v>
      </c>
      <c r="F4602" s="4" t="str">
        <f t="shared" si="426"/>
        <v>2025-10</v>
      </c>
      <c r="G4602" s="18">
        <f t="shared" si="427"/>
        <v>41</v>
      </c>
      <c r="H4602" t="str">
        <f t="shared" si="428"/>
        <v>ANDRE CUNHA</v>
      </c>
      <c r="I4602" t="str">
        <f t="shared" si="429"/>
        <v>REVPACK TECNOLOGIA E COMERCIO DE COMPONENTES PLAST</v>
      </c>
      <c r="J4602">
        <f t="shared" si="430"/>
        <v>0</v>
      </c>
      <c r="K4602">
        <f t="shared" si="431"/>
        <v>1</v>
      </c>
    </row>
    <row r="4603" spans="1:11" x14ac:dyDescent="0.25">
      <c r="A4603" t="s">
        <v>604</v>
      </c>
      <c r="B4603" t="s">
        <v>605</v>
      </c>
      <c r="C4603" t="s">
        <v>66</v>
      </c>
      <c r="D4603" s="6">
        <v>45940</v>
      </c>
      <c r="E4603" t="str">
        <f>VLOOKUP(B4603,'PROCV GERENTES BD'!A:B,2,0)</f>
        <v>ALISSON DE SOUZA LIMA</v>
      </c>
      <c r="F4603" s="4" t="str">
        <f t="shared" si="426"/>
        <v>2025-10</v>
      </c>
      <c r="G4603" s="18">
        <f t="shared" si="427"/>
        <v>41</v>
      </c>
      <c r="H4603" t="str">
        <f t="shared" si="428"/>
        <v>ALISSON DE SOUZA LIMA</v>
      </c>
      <c r="I4603" t="str">
        <f t="shared" si="429"/>
        <v>3J FUNDICAO INDUSTRIAL LTDA</v>
      </c>
      <c r="J4603">
        <f t="shared" si="430"/>
        <v>1</v>
      </c>
      <c r="K4603">
        <f t="shared" si="431"/>
        <v>0</v>
      </c>
    </row>
    <row r="4604" spans="1:11" x14ac:dyDescent="0.25">
      <c r="A4604" t="s">
        <v>510</v>
      </c>
      <c r="B4604" t="s">
        <v>273</v>
      </c>
      <c r="C4604" t="s">
        <v>50</v>
      </c>
      <c r="D4604" s="6">
        <v>45940</v>
      </c>
      <c r="E4604" t="str">
        <f>VLOOKUP(B4604,'PROCV GERENTES BD'!A:B,2,0)</f>
        <v>CELIO PIMENTA</v>
      </c>
      <c r="F4604" s="4" t="str">
        <f t="shared" si="426"/>
        <v>2025-10</v>
      </c>
      <c r="G4604" s="18">
        <f t="shared" si="427"/>
        <v>41</v>
      </c>
      <c r="H4604" t="str">
        <f t="shared" si="428"/>
        <v>CELIO PIMENTA</v>
      </c>
      <c r="I4604" t="str">
        <f t="shared" si="429"/>
        <v>PRADO MOREIRA TEXTIL LTDA ME</v>
      </c>
      <c r="J4604">
        <f t="shared" si="430"/>
        <v>0</v>
      </c>
      <c r="K4604">
        <f t="shared" si="431"/>
        <v>1</v>
      </c>
    </row>
    <row r="4605" spans="1:11" x14ac:dyDescent="0.25">
      <c r="A4605" t="s">
        <v>529</v>
      </c>
      <c r="B4605" t="s">
        <v>297</v>
      </c>
      <c r="C4605" t="s">
        <v>53</v>
      </c>
      <c r="D4605" s="6">
        <v>45941</v>
      </c>
      <c r="E4605" t="str">
        <f>VLOOKUP(B4605,'PROCV GERENTES BD'!A:B,2,0)</f>
        <v>ANDRE CUNHA</v>
      </c>
      <c r="F4605" s="4" t="str">
        <f t="shared" si="426"/>
        <v>2025-10</v>
      </c>
      <c r="G4605" s="18">
        <f t="shared" si="427"/>
        <v>41</v>
      </c>
      <c r="H4605" t="str">
        <f t="shared" si="428"/>
        <v>ANDRE CUNHA</v>
      </c>
      <c r="I4605" t="str">
        <f t="shared" si="429"/>
        <v>REVPACK TECNOLOGIA E COMERCIO DE COMPONENTES PLAST</v>
      </c>
      <c r="J4605">
        <f t="shared" si="430"/>
        <v>1</v>
      </c>
      <c r="K4605">
        <f t="shared" si="431"/>
        <v>1</v>
      </c>
    </row>
    <row r="4606" spans="1:11" x14ac:dyDescent="0.25">
      <c r="A4606" t="s">
        <v>667</v>
      </c>
      <c r="B4606" t="s">
        <v>560</v>
      </c>
      <c r="C4606" t="s">
        <v>50</v>
      </c>
      <c r="D4606" s="6">
        <v>45941</v>
      </c>
      <c r="E4606" t="str">
        <f>VLOOKUP(B4606,'PROCV GERENTES BD'!A:B,2,0)</f>
        <v>ALISSON DE SOUZA LIMA</v>
      </c>
      <c r="F4606" s="4" t="str">
        <f t="shared" si="426"/>
        <v>2025-10</v>
      </c>
      <c r="G4606" s="18">
        <f t="shared" si="427"/>
        <v>41</v>
      </c>
      <c r="H4606" t="str">
        <f t="shared" si="428"/>
        <v>ALISSON DE SOUZA LIMA</v>
      </c>
      <c r="I4606" t="str">
        <f t="shared" si="429"/>
        <v>JRG SOLUCOES EM SERVICOS LTDA ME</v>
      </c>
      <c r="J4606">
        <f t="shared" si="430"/>
        <v>0</v>
      </c>
      <c r="K4606">
        <f t="shared" si="431"/>
        <v>1</v>
      </c>
    </row>
    <row r="4607" spans="1:11" x14ac:dyDescent="0.25">
      <c r="A4607" t="s">
        <v>630</v>
      </c>
      <c r="B4607" t="s">
        <v>559</v>
      </c>
      <c r="C4607" t="s">
        <v>50</v>
      </c>
      <c r="D4607" s="6">
        <v>45941</v>
      </c>
      <c r="E4607" t="str">
        <f>VLOOKUP(B4607,'PROCV GERENTES BD'!A:B,2,0)</f>
        <v>ALISSON DE SOUZA LIMA</v>
      </c>
      <c r="F4607" s="4" t="str">
        <f t="shared" si="426"/>
        <v>2025-10</v>
      </c>
      <c r="G4607" s="18">
        <f t="shared" si="427"/>
        <v>41</v>
      </c>
      <c r="H4607" t="str">
        <f t="shared" si="428"/>
        <v>ALISSON DE SOUZA LIMA</v>
      </c>
      <c r="I4607" t="str">
        <f t="shared" si="429"/>
        <v>JRG SOLUCOES INDUSTRIAIS LTDA</v>
      </c>
      <c r="J4607">
        <f t="shared" si="430"/>
        <v>0</v>
      </c>
      <c r="K4607">
        <f t="shared" si="431"/>
        <v>1</v>
      </c>
    </row>
    <row r="4608" spans="1:11" x14ac:dyDescent="0.25">
      <c r="A4608" t="s">
        <v>651</v>
      </c>
      <c r="B4608" t="s">
        <v>652</v>
      </c>
      <c r="C4608" t="s">
        <v>50</v>
      </c>
      <c r="D4608" s="6">
        <v>45941</v>
      </c>
      <c r="E4608" t="str">
        <f>VLOOKUP(B4608,'PROCV GERENTES BD'!A:B,2,0)</f>
        <v>PROSPECTAR</v>
      </c>
      <c r="F4608" s="4" t="str">
        <f t="shared" ref="F4608:F4671" si="432">YEAR(D4608)&amp;"-"&amp;TEXT(MONTH(D4608),"00")</f>
        <v>2025-10</v>
      </c>
      <c r="G4608" s="18">
        <f t="shared" ref="G4608:G4671" si="433">WEEKNUM(D4608)</f>
        <v>41</v>
      </c>
      <c r="H4608" t="str">
        <f t="shared" ref="H4608:H4671" si="434">E4608</f>
        <v>PROSPECTAR</v>
      </c>
      <c r="I4608" t="str">
        <f t="shared" ref="I4608:I4671" si="435">B4608</f>
        <v>C A M DIAS SOARES LTDA EPP</v>
      </c>
      <c r="J4608">
        <f t="shared" ref="J4608:J4671" si="436">IF(OR(C4608="EXCLUSAO  ANOT.INADIMPLENCIA",C4608="INCL/EXCL ANOT.INADIMPLENCIA"),1,0)</f>
        <v>0</v>
      </c>
      <c r="K4608">
        <f t="shared" ref="K4608:K4671" si="437">IF(OR(C4608="INCLUSAO  ANOT.INADIMPLENCIA",C4608="INCL/EXCL ANOT.INADIMPLENCIA"),1,0)</f>
        <v>1</v>
      </c>
    </row>
    <row r="4609" spans="1:11" x14ac:dyDescent="0.25">
      <c r="A4609" t="s">
        <v>676</v>
      </c>
      <c r="B4609" t="s">
        <v>555</v>
      </c>
      <c r="C4609" t="s">
        <v>66</v>
      </c>
      <c r="D4609" s="6">
        <v>45941</v>
      </c>
      <c r="E4609" t="str">
        <f>VLOOKUP(B4609,'PROCV GERENTES BD'!A:B,2,0)</f>
        <v>PROSPECTAR</v>
      </c>
      <c r="F4609" s="4" t="str">
        <f t="shared" si="432"/>
        <v>2025-10</v>
      </c>
      <c r="G4609" s="18">
        <f t="shared" si="433"/>
        <v>41</v>
      </c>
      <c r="H4609" t="str">
        <f t="shared" si="434"/>
        <v>PROSPECTAR</v>
      </c>
      <c r="I4609" t="str">
        <f t="shared" si="435"/>
        <v>LUCAS ALLA LOGISTICA LTDA</v>
      </c>
      <c r="J4609">
        <f t="shared" si="436"/>
        <v>1</v>
      </c>
      <c r="K4609">
        <f t="shared" si="437"/>
        <v>0</v>
      </c>
    </row>
    <row r="4610" spans="1:11" x14ac:dyDescent="0.25">
      <c r="A4610" t="s">
        <v>442</v>
      </c>
      <c r="B4610" t="s">
        <v>193</v>
      </c>
      <c r="C4610" t="s">
        <v>66</v>
      </c>
      <c r="D4610" s="6">
        <v>45941</v>
      </c>
      <c r="E4610" t="str">
        <f>VLOOKUP(B4610,'PROCV GERENTES BD'!A:B,2,0)</f>
        <v>CELIO PIMENTA</v>
      </c>
      <c r="F4610" s="4" t="str">
        <f t="shared" si="432"/>
        <v>2025-10</v>
      </c>
      <c r="G4610" s="18">
        <f t="shared" si="433"/>
        <v>41</v>
      </c>
      <c r="H4610" t="str">
        <f t="shared" si="434"/>
        <v>CELIO PIMENTA</v>
      </c>
      <c r="I4610" t="str">
        <f t="shared" si="435"/>
        <v>CIA TEXTIL LTDA ME</v>
      </c>
      <c r="J4610">
        <f t="shared" si="436"/>
        <v>1</v>
      </c>
      <c r="K4610">
        <f t="shared" si="437"/>
        <v>0</v>
      </c>
    </row>
    <row r="4611" spans="1:11" x14ac:dyDescent="0.25">
      <c r="A4611" t="s">
        <v>499</v>
      </c>
      <c r="B4611" t="s">
        <v>258</v>
      </c>
      <c r="C4611" t="s">
        <v>50</v>
      </c>
      <c r="D4611" s="6">
        <v>45941</v>
      </c>
      <c r="E4611" t="str">
        <f>VLOOKUP(B4611,'PROCV GERENTES BD'!A:B,2,0)</f>
        <v>PRISCILA METZ</v>
      </c>
      <c r="F4611" s="4" t="str">
        <f t="shared" si="432"/>
        <v>2025-10</v>
      </c>
      <c r="G4611" s="18">
        <f t="shared" si="433"/>
        <v>41</v>
      </c>
      <c r="H4611" t="str">
        <f t="shared" si="434"/>
        <v>PRISCILA METZ</v>
      </c>
      <c r="I4611" t="str">
        <f t="shared" si="435"/>
        <v>PLATINUM INDUSTRIA DE CONFECCOES LTDA</v>
      </c>
      <c r="J4611">
        <f t="shared" si="436"/>
        <v>0</v>
      </c>
      <c r="K4611">
        <f t="shared" si="437"/>
        <v>1</v>
      </c>
    </row>
    <row r="4612" spans="1:11" x14ac:dyDescent="0.25">
      <c r="A4612" t="s">
        <v>58</v>
      </c>
      <c r="B4612" t="s">
        <v>59</v>
      </c>
      <c r="C4612" t="s">
        <v>66</v>
      </c>
      <c r="D4612" s="6">
        <v>45941</v>
      </c>
      <c r="E4612" t="str">
        <f>VLOOKUP(B4612,'PROCV GERENTES BD'!A:B,2,0)</f>
        <v>ADMINISTRAÇÃO</v>
      </c>
      <c r="F4612" s="4" t="str">
        <f t="shared" si="432"/>
        <v>2025-10</v>
      </c>
      <c r="G4612" s="18">
        <f t="shared" si="433"/>
        <v>41</v>
      </c>
      <c r="H4612" t="str">
        <f t="shared" si="434"/>
        <v>ADMINISTRAÇÃO</v>
      </c>
      <c r="I4612" t="str">
        <f t="shared" si="435"/>
        <v>BIOTECH LOGISTICA LTDA</v>
      </c>
      <c r="J4612">
        <f t="shared" si="436"/>
        <v>1</v>
      </c>
      <c r="K4612">
        <f t="shared" si="437"/>
        <v>0</v>
      </c>
    </row>
    <row r="4613" spans="1:11" x14ac:dyDescent="0.25">
      <c r="A4613" t="s">
        <v>623</v>
      </c>
      <c r="B4613" t="s">
        <v>624</v>
      </c>
      <c r="C4613" t="s">
        <v>50</v>
      </c>
      <c r="D4613" s="6">
        <v>45941</v>
      </c>
      <c r="E4613" t="str">
        <f>VLOOKUP(B4613,'PROCV GERENTES BD'!A:B,2,0)</f>
        <v>ALISSON DE SOUZA LIMA</v>
      </c>
      <c r="F4613" s="4" t="str">
        <f t="shared" si="432"/>
        <v>2025-10</v>
      </c>
      <c r="G4613" s="18">
        <f t="shared" si="433"/>
        <v>41</v>
      </c>
      <c r="H4613" t="str">
        <f t="shared" si="434"/>
        <v>ALISSON DE SOUZA LIMA</v>
      </c>
      <c r="I4613" t="str">
        <f t="shared" si="435"/>
        <v>A2 VIDROS INDUSTRIA E COMERCIO LTDA</v>
      </c>
      <c r="J4613">
        <f t="shared" si="436"/>
        <v>0</v>
      </c>
      <c r="K4613">
        <f t="shared" si="437"/>
        <v>1</v>
      </c>
    </row>
    <row r="4614" spans="1:11" x14ac:dyDescent="0.25">
      <c r="A4614" t="s">
        <v>56</v>
      </c>
      <c r="B4614" t="s">
        <v>57</v>
      </c>
      <c r="C4614" t="s">
        <v>66</v>
      </c>
      <c r="D4614" s="6">
        <v>45941</v>
      </c>
      <c r="E4614" t="str">
        <f>VLOOKUP(B4614,'PROCV GERENTES BD'!A:B,2,0)</f>
        <v xml:space="preserve">ROGERIO </v>
      </c>
      <c r="F4614" s="4" t="str">
        <f t="shared" si="432"/>
        <v>2025-10</v>
      </c>
      <c r="G4614" s="18">
        <f t="shared" si="433"/>
        <v>41</v>
      </c>
      <c r="H4614" t="str">
        <f t="shared" si="434"/>
        <v xml:space="preserve">ROGERIO </v>
      </c>
      <c r="I4614" t="str">
        <f t="shared" si="435"/>
        <v>RODOVIEIRA TRANSPORTE LTDA</v>
      </c>
      <c r="J4614">
        <f t="shared" si="436"/>
        <v>1</v>
      </c>
      <c r="K4614">
        <f t="shared" si="437"/>
        <v>0</v>
      </c>
    </row>
    <row r="4615" spans="1:11" x14ac:dyDescent="0.25">
      <c r="A4615" t="s">
        <v>358</v>
      </c>
      <c r="B4615" t="s">
        <v>104</v>
      </c>
      <c r="C4615" t="s">
        <v>50</v>
      </c>
      <c r="D4615" s="6">
        <v>45941</v>
      </c>
      <c r="E4615" t="str">
        <f>VLOOKUP(B4615,'PROCV GERENTES BD'!A:B,2,0)</f>
        <v>DIOGO AZEVEDO</v>
      </c>
      <c r="F4615" s="4" t="str">
        <f t="shared" si="432"/>
        <v>2025-10</v>
      </c>
      <c r="G4615" s="18">
        <f t="shared" si="433"/>
        <v>41</v>
      </c>
      <c r="H4615" t="str">
        <f t="shared" si="434"/>
        <v>DIOGO AZEVEDO</v>
      </c>
      <c r="I4615" t="str">
        <f t="shared" si="435"/>
        <v>INDUSTRIA E CERVEJARIA ARTESANAL DE MINAS GERAIS L</v>
      </c>
      <c r="J4615">
        <f t="shared" si="436"/>
        <v>0</v>
      </c>
      <c r="K4615">
        <f t="shared" si="437"/>
        <v>1</v>
      </c>
    </row>
    <row r="4616" spans="1:11" x14ac:dyDescent="0.25">
      <c r="A4616" t="s">
        <v>361</v>
      </c>
      <c r="B4616" t="s">
        <v>106</v>
      </c>
      <c r="C4616" t="s">
        <v>50</v>
      </c>
      <c r="D4616" s="6">
        <v>45941</v>
      </c>
      <c r="E4616" t="str">
        <f>VLOOKUP(B4616,'PROCV GERENTES BD'!A:B,2,0)</f>
        <v>PRISCILA METZ</v>
      </c>
      <c r="F4616" s="4" t="str">
        <f t="shared" si="432"/>
        <v>2025-10</v>
      </c>
      <c r="G4616" s="18">
        <f t="shared" si="433"/>
        <v>41</v>
      </c>
      <c r="H4616" t="str">
        <f t="shared" si="434"/>
        <v>PRISCILA METZ</v>
      </c>
      <c r="I4616" t="str">
        <f t="shared" si="435"/>
        <v>HERBAMED LABORATORIO NUTRACEUTICO LTDA</v>
      </c>
      <c r="J4616">
        <f t="shared" si="436"/>
        <v>0</v>
      </c>
      <c r="K4616">
        <f t="shared" si="437"/>
        <v>1</v>
      </c>
    </row>
    <row r="4617" spans="1:11" x14ac:dyDescent="0.25">
      <c r="A4617" t="s">
        <v>321</v>
      </c>
      <c r="B4617" t="s">
        <v>264</v>
      </c>
      <c r="C4617" t="s">
        <v>50</v>
      </c>
      <c r="D4617" s="6">
        <v>45941</v>
      </c>
      <c r="E4617" t="str">
        <f>VLOOKUP(B4617,'PROCV GERENTES BD'!A:B,2,0)</f>
        <v>RAFAEL PARISE</v>
      </c>
      <c r="F4617" s="4" t="str">
        <f t="shared" si="432"/>
        <v>2025-10</v>
      </c>
      <c r="G4617" s="18">
        <f t="shared" si="433"/>
        <v>41</v>
      </c>
      <c r="H4617" t="str">
        <f t="shared" si="434"/>
        <v>RAFAEL PARISE</v>
      </c>
      <c r="I4617" t="str">
        <f t="shared" si="435"/>
        <v>METALCROMO METALIZACAO E CROMO DURO INDUSTRIAL LTD</v>
      </c>
      <c r="J4617">
        <f t="shared" si="436"/>
        <v>0</v>
      </c>
      <c r="K4617">
        <f t="shared" si="437"/>
        <v>1</v>
      </c>
    </row>
    <row r="4618" spans="1:11" x14ac:dyDescent="0.25">
      <c r="A4618" t="s">
        <v>698</v>
      </c>
      <c r="B4618" t="s">
        <v>699</v>
      </c>
      <c r="C4618" t="s">
        <v>66</v>
      </c>
      <c r="D4618" s="6">
        <v>45941</v>
      </c>
      <c r="E4618" t="str">
        <f>VLOOKUP(B4618,'PROCV GERENTES BD'!A:B,2,0)</f>
        <v>VALERIA</v>
      </c>
      <c r="F4618" s="4" t="str">
        <f t="shared" si="432"/>
        <v>2025-10</v>
      </c>
      <c r="G4618" s="18">
        <f t="shared" si="433"/>
        <v>41</v>
      </c>
      <c r="H4618" t="str">
        <f t="shared" si="434"/>
        <v>VALERIA</v>
      </c>
      <c r="I4618" t="str">
        <f t="shared" si="435"/>
        <v>FRIGORIFICO BRAZFRIG INDUSTRIA E IMPORTACAO LTDA E</v>
      </c>
      <c r="J4618">
        <f t="shared" si="436"/>
        <v>1</v>
      </c>
      <c r="K4618">
        <f t="shared" si="437"/>
        <v>0</v>
      </c>
    </row>
    <row r="4619" spans="1:11" x14ac:dyDescent="0.25">
      <c r="A4619" t="s">
        <v>344</v>
      </c>
      <c r="B4619" t="s">
        <v>89</v>
      </c>
      <c r="C4619" t="s">
        <v>50</v>
      </c>
      <c r="D4619" s="6">
        <v>45941</v>
      </c>
      <c r="E4619" t="str">
        <f>VLOOKUP(B4619,'PROCV GERENTES BD'!A:B,2,0)</f>
        <v>POENATELA</v>
      </c>
      <c r="F4619" s="4" t="str">
        <f t="shared" si="432"/>
        <v>2025-10</v>
      </c>
      <c r="G4619" s="18">
        <f t="shared" si="433"/>
        <v>41</v>
      </c>
      <c r="H4619" t="str">
        <f t="shared" si="434"/>
        <v>POENATELA</v>
      </c>
      <c r="I4619" t="str">
        <f t="shared" si="435"/>
        <v>CERVEJARIA SOUZA LTDA</v>
      </c>
      <c r="J4619">
        <f t="shared" si="436"/>
        <v>0</v>
      </c>
      <c r="K4619">
        <f t="shared" si="437"/>
        <v>1</v>
      </c>
    </row>
    <row r="4620" spans="1:11" x14ac:dyDescent="0.25">
      <c r="A4620" t="s">
        <v>700</v>
      </c>
      <c r="B4620" t="s">
        <v>680</v>
      </c>
      <c r="C4620" t="s">
        <v>50</v>
      </c>
      <c r="D4620" s="6">
        <v>45941</v>
      </c>
      <c r="E4620" t="str">
        <f>VLOOKUP(B4620,'PROCV GERENTES BD'!A:B,2,0)</f>
        <v>POENATELA</v>
      </c>
      <c r="F4620" s="4" t="str">
        <f t="shared" si="432"/>
        <v>2025-10</v>
      </c>
      <c r="G4620" s="18">
        <f t="shared" si="433"/>
        <v>41</v>
      </c>
      <c r="H4620" t="str">
        <f t="shared" si="434"/>
        <v>POENATELA</v>
      </c>
      <c r="I4620" t="str">
        <f t="shared" si="435"/>
        <v>BIORGANICA PRODUTOS ORGANICOS LTDA</v>
      </c>
      <c r="J4620">
        <f t="shared" si="436"/>
        <v>0</v>
      </c>
      <c r="K4620">
        <f t="shared" si="437"/>
        <v>1</v>
      </c>
    </row>
    <row r="4621" spans="1:11" x14ac:dyDescent="0.25">
      <c r="A4621" t="s">
        <v>656</v>
      </c>
      <c r="B4621" t="s">
        <v>657</v>
      </c>
      <c r="C4621" t="s">
        <v>50</v>
      </c>
      <c r="D4621" s="6">
        <v>45941</v>
      </c>
      <c r="E4621" t="str">
        <f>VLOOKUP(B4621,'PROCV GERENTES BD'!A:B,2,0)</f>
        <v>ADMINISTRAÇÃO</v>
      </c>
      <c r="F4621" s="4" t="str">
        <f t="shared" si="432"/>
        <v>2025-10</v>
      </c>
      <c r="G4621" s="18">
        <f t="shared" si="433"/>
        <v>41</v>
      </c>
      <c r="H4621" t="str">
        <f t="shared" si="434"/>
        <v>ADMINISTRAÇÃO</v>
      </c>
      <c r="I4621" t="str">
        <f t="shared" si="435"/>
        <v>NCBA INTERMEDIACAO LTDA ME</v>
      </c>
      <c r="J4621">
        <f t="shared" si="436"/>
        <v>0</v>
      </c>
      <c r="K4621">
        <f t="shared" si="437"/>
        <v>1</v>
      </c>
    </row>
    <row r="4622" spans="1:11" x14ac:dyDescent="0.25">
      <c r="A4622" t="s">
        <v>480</v>
      </c>
      <c r="B4622" t="s">
        <v>237</v>
      </c>
      <c r="C4622" t="s">
        <v>50</v>
      </c>
      <c r="D4622" s="6">
        <v>45941</v>
      </c>
      <c r="E4622" t="str">
        <f>VLOOKUP(B4622,'PROCV GERENTES BD'!A:B,2,0)</f>
        <v>POENATELA</v>
      </c>
      <c r="F4622" s="4" t="str">
        <f t="shared" si="432"/>
        <v>2025-10</v>
      </c>
      <c r="G4622" s="18">
        <f t="shared" si="433"/>
        <v>41</v>
      </c>
      <c r="H4622" t="str">
        <f t="shared" si="434"/>
        <v>POENATELA</v>
      </c>
      <c r="I4622" t="str">
        <f t="shared" si="435"/>
        <v>PARANAIBA FERTILIZANTES IND E COM LTDA EM RECUPERA</v>
      </c>
      <c r="J4622">
        <f t="shared" si="436"/>
        <v>0</v>
      </c>
      <c r="K4622">
        <f t="shared" si="437"/>
        <v>1</v>
      </c>
    </row>
    <row r="4623" spans="1:11" x14ac:dyDescent="0.25">
      <c r="A4623" t="s">
        <v>534</v>
      </c>
      <c r="B4623" t="s">
        <v>303</v>
      </c>
      <c r="C4623" t="s">
        <v>50</v>
      </c>
      <c r="D4623" s="6">
        <v>45941</v>
      </c>
      <c r="E4623" t="str">
        <f>VLOOKUP(B4623,'PROCV GERENTES BD'!A:B,2,0)</f>
        <v xml:space="preserve">MARCUS VINICIUS </v>
      </c>
      <c r="F4623" s="4" t="str">
        <f t="shared" si="432"/>
        <v>2025-10</v>
      </c>
      <c r="G4623" s="18">
        <f t="shared" si="433"/>
        <v>41</v>
      </c>
      <c r="H4623" t="str">
        <f t="shared" si="434"/>
        <v xml:space="preserve">MARCUS VINICIUS </v>
      </c>
      <c r="I4623" t="str">
        <f t="shared" si="435"/>
        <v>GRAFICA JSA LTDA EPP</v>
      </c>
      <c r="J4623">
        <f t="shared" si="436"/>
        <v>0</v>
      </c>
      <c r="K4623">
        <f t="shared" si="437"/>
        <v>1</v>
      </c>
    </row>
    <row r="4624" spans="1:11" x14ac:dyDescent="0.25">
      <c r="A4624" t="s">
        <v>502</v>
      </c>
      <c r="B4624" t="s">
        <v>262</v>
      </c>
      <c r="C4624" t="s">
        <v>66</v>
      </c>
      <c r="D4624" s="6">
        <v>45944</v>
      </c>
      <c r="E4624" t="str">
        <f>VLOOKUP(B4624,'PROCV GERENTES BD'!A:B,2,0)</f>
        <v>ANTECIPA</v>
      </c>
      <c r="F4624" s="4" t="str">
        <f t="shared" si="432"/>
        <v>2025-10</v>
      </c>
      <c r="G4624" s="18">
        <f t="shared" si="433"/>
        <v>42</v>
      </c>
      <c r="H4624" t="str">
        <f t="shared" si="434"/>
        <v>ANTECIPA</v>
      </c>
      <c r="I4624" t="str">
        <f t="shared" si="435"/>
        <v>CONSTRUENGE ENGENHARIA E GERENCIAMENTO LTDA</v>
      </c>
      <c r="J4624">
        <f t="shared" si="436"/>
        <v>1</v>
      </c>
      <c r="K4624">
        <f t="shared" si="437"/>
        <v>0</v>
      </c>
    </row>
    <row r="4625" spans="1:11" x14ac:dyDescent="0.25">
      <c r="A4625" t="s">
        <v>623</v>
      </c>
      <c r="B4625" t="s">
        <v>624</v>
      </c>
      <c r="C4625" t="s">
        <v>50</v>
      </c>
      <c r="D4625" s="6">
        <v>45944</v>
      </c>
      <c r="E4625" t="str">
        <f>VLOOKUP(B4625,'PROCV GERENTES BD'!A:B,2,0)</f>
        <v>ALISSON DE SOUZA LIMA</v>
      </c>
      <c r="F4625" s="4" t="str">
        <f t="shared" si="432"/>
        <v>2025-10</v>
      </c>
      <c r="G4625" s="18">
        <f t="shared" si="433"/>
        <v>42</v>
      </c>
      <c r="H4625" t="str">
        <f t="shared" si="434"/>
        <v>ALISSON DE SOUZA LIMA</v>
      </c>
      <c r="I4625" t="str">
        <f t="shared" si="435"/>
        <v>A2 VIDROS INDUSTRIA E COMERCIO LTDA</v>
      </c>
      <c r="J4625">
        <f t="shared" si="436"/>
        <v>0</v>
      </c>
      <c r="K4625">
        <f t="shared" si="437"/>
        <v>1</v>
      </c>
    </row>
    <row r="4626" spans="1:11" x14ac:dyDescent="0.25">
      <c r="A4626" t="s">
        <v>667</v>
      </c>
      <c r="B4626" t="s">
        <v>560</v>
      </c>
      <c r="C4626" t="s">
        <v>50</v>
      </c>
      <c r="D4626" s="6">
        <v>45944</v>
      </c>
      <c r="E4626" t="str">
        <f>VLOOKUP(B4626,'PROCV GERENTES BD'!A:B,2,0)</f>
        <v>ALISSON DE SOUZA LIMA</v>
      </c>
      <c r="F4626" s="4" t="str">
        <f t="shared" si="432"/>
        <v>2025-10</v>
      </c>
      <c r="G4626" s="18">
        <f t="shared" si="433"/>
        <v>42</v>
      </c>
      <c r="H4626" t="str">
        <f t="shared" si="434"/>
        <v>ALISSON DE SOUZA LIMA</v>
      </c>
      <c r="I4626" t="str">
        <f t="shared" si="435"/>
        <v>JRG SOLUCOES EM SERVICOS LTDA ME</v>
      </c>
      <c r="J4626">
        <f t="shared" si="436"/>
        <v>0</v>
      </c>
      <c r="K4626">
        <f t="shared" si="437"/>
        <v>1</v>
      </c>
    </row>
    <row r="4627" spans="1:11" x14ac:dyDescent="0.25">
      <c r="A4627" t="s">
        <v>314</v>
      </c>
      <c r="B4627" t="s">
        <v>246</v>
      </c>
      <c r="C4627" t="s">
        <v>50</v>
      </c>
      <c r="D4627" s="6">
        <v>45944</v>
      </c>
      <c r="E4627" t="str">
        <f>VLOOKUP(B4627,'PROCV GERENTES BD'!A:B,2,0)</f>
        <v xml:space="preserve">ROGERIO </v>
      </c>
      <c r="F4627" s="4" t="str">
        <f t="shared" si="432"/>
        <v>2025-10</v>
      </c>
      <c r="G4627" s="18">
        <f t="shared" si="433"/>
        <v>42</v>
      </c>
      <c r="H4627" t="str">
        <f t="shared" si="434"/>
        <v xml:space="preserve">ROGERIO </v>
      </c>
      <c r="I4627" t="str">
        <f t="shared" si="435"/>
        <v>MUTCD CENTRO DE DISTRIBUICAO DE IND FABRICANTE DE</v>
      </c>
      <c r="J4627">
        <f t="shared" si="436"/>
        <v>0</v>
      </c>
      <c r="K4627">
        <f t="shared" si="437"/>
        <v>1</v>
      </c>
    </row>
    <row r="4628" spans="1:11" x14ac:dyDescent="0.25">
      <c r="A4628" t="s">
        <v>635</v>
      </c>
      <c r="B4628" t="s">
        <v>636</v>
      </c>
      <c r="C4628" t="s">
        <v>53</v>
      </c>
      <c r="D4628" s="6">
        <v>45944</v>
      </c>
      <c r="E4628" t="str">
        <f>VLOOKUP(B4628,'PROCV GERENTES BD'!A:B,2,0)</f>
        <v>TIAGO NEVES</v>
      </c>
      <c r="F4628" s="4" t="str">
        <f t="shared" si="432"/>
        <v>2025-10</v>
      </c>
      <c r="G4628" s="18">
        <f t="shared" si="433"/>
        <v>42</v>
      </c>
      <c r="H4628" t="str">
        <f t="shared" si="434"/>
        <v>TIAGO NEVES</v>
      </c>
      <c r="I4628" t="str">
        <f t="shared" si="435"/>
        <v>MG GLASS VIDROS PARA TRATORES E CAMINHOES LTDA ME</v>
      </c>
      <c r="J4628">
        <f t="shared" si="436"/>
        <v>1</v>
      </c>
      <c r="K4628">
        <f t="shared" si="437"/>
        <v>1</v>
      </c>
    </row>
    <row r="4629" spans="1:11" x14ac:dyDescent="0.25">
      <c r="A4629" t="s">
        <v>701</v>
      </c>
      <c r="B4629" t="s">
        <v>696</v>
      </c>
      <c r="C4629" t="s">
        <v>50</v>
      </c>
      <c r="D4629" s="6">
        <v>45944</v>
      </c>
      <c r="E4629" t="str">
        <f>VLOOKUP(B4629,'PROCV GERENTES BD'!A:B,2,0)</f>
        <v xml:space="preserve">ROGERIO </v>
      </c>
      <c r="F4629" s="4" t="str">
        <f t="shared" si="432"/>
        <v>2025-10</v>
      </c>
      <c r="G4629" s="18">
        <f t="shared" si="433"/>
        <v>42</v>
      </c>
      <c r="H4629" t="str">
        <f t="shared" si="434"/>
        <v xml:space="preserve">ROGERIO </v>
      </c>
      <c r="I4629" t="str">
        <f t="shared" si="435"/>
        <v>CONFIARE ADMINISTRADORA LTDA EPP</v>
      </c>
      <c r="J4629">
        <f t="shared" si="436"/>
        <v>0</v>
      </c>
      <c r="K4629">
        <f t="shared" si="437"/>
        <v>1</v>
      </c>
    </row>
    <row r="4630" spans="1:11" x14ac:dyDescent="0.25">
      <c r="A4630" t="s">
        <v>64</v>
      </c>
      <c r="B4630" t="s">
        <v>65</v>
      </c>
      <c r="C4630" t="s">
        <v>50</v>
      </c>
      <c r="D4630" s="6">
        <v>45944</v>
      </c>
      <c r="E4630" t="str">
        <f>VLOOKUP(B4630,'PROCV GERENTES BD'!A:B,2,0)</f>
        <v>ADMINISTRAÇÃO</v>
      </c>
      <c r="F4630" s="4" t="str">
        <f t="shared" si="432"/>
        <v>2025-10</v>
      </c>
      <c r="G4630" s="18">
        <f t="shared" si="433"/>
        <v>42</v>
      </c>
      <c r="H4630" t="str">
        <f t="shared" si="434"/>
        <v>ADMINISTRAÇÃO</v>
      </c>
      <c r="I4630" t="str">
        <f t="shared" si="435"/>
        <v>SOCIAL S/A</v>
      </c>
      <c r="J4630">
        <f t="shared" si="436"/>
        <v>0</v>
      </c>
      <c r="K4630">
        <f t="shared" si="437"/>
        <v>1</v>
      </c>
    </row>
    <row r="4631" spans="1:11" x14ac:dyDescent="0.25">
      <c r="A4631" t="s">
        <v>519</v>
      </c>
      <c r="B4631" t="s">
        <v>283</v>
      </c>
      <c r="C4631" t="s">
        <v>50</v>
      </c>
      <c r="D4631" s="6">
        <v>45944</v>
      </c>
      <c r="E4631" t="str">
        <f>VLOOKUP(B4631,'PROCV GERENTES BD'!A:B,2,0)</f>
        <v>DALVA</v>
      </c>
      <c r="F4631" s="4" t="str">
        <f t="shared" si="432"/>
        <v>2025-10</v>
      </c>
      <c r="G4631" s="18">
        <f t="shared" si="433"/>
        <v>42</v>
      </c>
      <c r="H4631" t="str">
        <f t="shared" si="434"/>
        <v>DALVA</v>
      </c>
      <c r="I4631" t="str">
        <f t="shared" si="435"/>
        <v>LTA USINAGEM LTDA EPP</v>
      </c>
      <c r="J4631">
        <f t="shared" si="436"/>
        <v>0</v>
      </c>
      <c r="K4631">
        <f t="shared" si="437"/>
        <v>1</v>
      </c>
    </row>
    <row r="4632" spans="1:11" x14ac:dyDescent="0.25">
      <c r="A4632" t="s">
        <v>499</v>
      </c>
      <c r="B4632" t="s">
        <v>258</v>
      </c>
      <c r="C4632" t="s">
        <v>50</v>
      </c>
      <c r="D4632" s="6">
        <v>45944</v>
      </c>
      <c r="E4632" t="str">
        <f>VLOOKUP(B4632,'PROCV GERENTES BD'!A:B,2,0)</f>
        <v>PRISCILA METZ</v>
      </c>
      <c r="F4632" s="4" t="str">
        <f t="shared" si="432"/>
        <v>2025-10</v>
      </c>
      <c r="G4632" s="18">
        <f t="shared" si="433"/>
        <v>42</v>
      </c>
      <c r="H4632" t="str">
        <f t="shared" si="434"/>
        <v>PRISCILA METZ</v>
      </c>
      <c r="I4632" t="str">
        <f t="shared" si="435"/>
        <v>PLATINUM INDUSTRIA DE CONFECCOES LTDA</v>
      </c>
      <c r="J4632">
        <f t="shared" si="436"/>
        <v>0</v>
      </c>
      <c r="K4632">
        <f t="shared" si="437"/>
        <v>1</v>
      </c>
    </row>
    <row r="4633" spans="1:11" x14ac:dyDescent="0.25">
      <c r="A4633" t="s">
        <v>604</v>
      </c>
      <c r="B4633" t="s">
        <v>605</v>
      </c>
      <c r="C4633" t="s">
        <v>50</v>
      </c>
      <c r="D4633" s="6">
        <v>45944</v>
      </c>
      <c r="E4633" t="str">
        <f>VLOOKUP(B4633,'PROCV GERENTES BD'!A:B,2,0)</f>
        <v>ALISSON DE SOUZA LIMA</v>
      </c>
      <c r="F4633" s="4" t="str">
        <f t="shared" si="432"/>
        <v>2025-10</v>
      </c>
      <c r="G4633" s="18">
        <f t="shared" si="433"/>
        <v>42</v>
      </c>
      <c r="H4633" t="str">
        <f t="shared" si="434"/>
        <v>ALISSON DE SOUZA LIMA</v>
      </c>
      <c r="I4633" t="str">
        <f t="shared" si="435"/>
        <v>3J FUNDICAO INDUSTRIAL LTDA</v>
      </c>
      <c r="J4633">
        <f t="shared" si="436"/>
        <v>0</v>
      </c>
      <c r="K4633">
        <f t="shared" si="437"/>
        <v>1</v>
      </c>
    </row>
    <row r="4634" spans="1:11" x14ac:dyDescent="0.25">
      <c r="A4634" t="s">
        <v>310</v>
      </c>
      <c r="B4634" t="s">
        <v>204</v>
      </c>
      <c r="C4634" t="s">
        <v>66</v>
      </c>
      <c r="D4634" s="6">
        <v>45944</v>
      </c>
      <c r="E4634" t="str">
        <f>VLOOKUP(B4634,'PROCV GERENTES BD'!A:B,2,0)</f>
        <v xml:space="preserve">MARCUS VINICIUS </v>
      </c>
      <c r="F4634" s="4" t="str">
        <f t="shared" si="432"/>
        <v>2025-10</v>
      </c>
      <c r="G4634" s="18">
        <f t="shared" si="433"/>
        <v>42</v>
      </c>
      <c r="H4634" t="str">
        <f t="shared" si="434"/>
        <v xml:space="preserve">MARCUS VINICIUS </v>
      </c>
      <c r="I4634" t="str">
        <f t="shared" si="435"/>
        <v>INDUSTRIA E COMERCIO DE CHURRASQUEIRAS BOM JESUS L</v>
      </c>
      <c r="J4634">
        <f t="shared" si="436"/>
        <v>1</v>
      </c>
      <c r="K4634">
        <f t="shared" si="437"/>
        <v>0</v>
      </c>
    </row>
    <row r="4635" spans="1:11" x14ac:dyDescent="0.25">
      <c r="A4635" t="s">
        <v>317</v>
      </c>
      <c r="B4635" t="s">
        <v>280</v>
      </c>
      <c r="C4635" t="s">
        <v>50</v>
      </c>
      <c r="D4635" s="6">
        <v>45944</v>
      </c>
      <c r="E4635" t="str">
        <f>VLOOKUP(B4635,'PROCV GERENTES BD'!A:B,2,0)</f>
        <v>PROSPECTAR</v>
      </c>
      <c r="F4635" s="4" t="str">
        <f t="shared" si="432"/>
        <v>2025-10</v>
      </c>
      <c r="G4635" s="18">
        <f t="shared" si="433"/>
        <v>42</v>
      </c>
      <c r="H4635" t="str">
        <f t="shared" si="434"/>
        <v>PROSPECTAR</v>
      </c>
      <c r="I4635" t="str">
        <f t="shared" si="435"/>
        <v>STA TECHCANA LTDA</v>
      </c>
      <c r="J4635">
        <f t="shared" si="436"/>
        <v>0</v>
      </c>
      <c r="K4635">
        <f t="shared" si="437"/>
        <v>1</v>
      </c>
    </row>
    <row r="4636" spans="1:11" x14ac:dyDescent="0.25">
      <c r="A4636" t="s">
        <v>58</v>
      </c>
      <c r="B4636" t="s">
        <v>59</v>
      </c>
      <c r="C4636" t="s">
        <v>50</v>
      </c>
      <c r="D4636" s="6">
        <v>45944</v>
      </c>
      <c r="E4636" t="str">
        <f>VLOOKUP(B4636,'PROCV GERENTES BD'!A:B,2,0)</f>
        <v>ADMINISTRAÇÃO</v>
      </c>
      <c r="F4636" s="4" t="str">
        <f t="shared" si="432"/>
        <v>2025-10</v>
      </c>
      <c r="G4636" s="18">
        <f t="shared" si="433"/>
        <v>42</v>
      </c>
      <c r="H4636" t="str">
        <f t="shared" si="434"/>
        <v>ADMINISTRAÇÃO</v>
      </c>
      <c r="I4636" t="str">
        <f t="shared" si="435"/>
        <v>BIOTECH LOGISTICA LTDA</v>
      </c>
      <c r="J4636">
        <f t="shared" si="436"/>
        <v>0</v>
      </c>
      <c r="K4636">
        <f t="shared" si="437"/>
        <v>1</v>
      </c>
    </row>
    <row r="4637" spans="1:11" x14ac:dyDescent="0.25">
      <c r="A4637" t="s">
        <v>690</v>
      </c>
      <c r="B4637" t="s">
        <v>683</v>
      </c>
      <c r="C4637" t="s">
        <v>66</v>
      </c>
      <c r="D4637" s="6">
        <v>45944</v>
      </c>
      <c r="E4637" t="str">
        <f>VLOOKUP(B4637,'PROCV GERENTES BD'!A:B,2,0)</f>
        <v>CAIO</v>
      </c>
      <c r="F4637" s="4" t="str">
        <f t="shared" si="432"/>
        <v>2025-10</v>
      </c>
      <c r="G4637" s="18">
        <f t="shared" si="433"/>
        <v>42</v>
      </c>
      <c r="H4637" t="str">
        <f t="shared" si="434"/>
        <v>CAIO</v>
      </c>
      <c r="I4637" t="str">
        <f t="shared" si="435"/>
        <v>SABORES DO TRIANGULO LTDA EPP</v>
      </c>
      <c r="J4637">
        <f t="shared" si="436"/>
        <v>1</v>
      </c>
      <c r="K4637">
        <f t="shared" si="437"/>
        <v>0</v>
      </c>
    </row>
    <row r="4638" spans="1:11" x14ac:dyDescent="0.25">
      <c r="A4638" t="s">
        <v>56</v>
      </c>
      <c r="B4638" t="s">
        <v>57</v>
      </c>
      <c r="C4638" t="s">
        <v>50</v>
      </c>
      <c r="D4638" s="6">
        <v>45944</v>
      </c>
      <c r="E4638" t="str">
        <f>VLOOKUP(B4638,'PROCV GERENTES BD'!A:B,2,0)</f>
        <v xml:space="preserve">ROGERIO </v>
      </c>
      <c r="F4638" s="4" t="str">
        <f t="shared" si="432"/>
        <v>2025-10</v>
      </c>
      <c r="G4638" s="18">
        <f t="shared" si="433"/>
        <v>42</v>
      </c>
      <c r="H4638" t="str">
        <f t="shared" si="434"/>
        <v xml:space="preserve">ROGERIO </v>
      </c>
      <c r="I4638" t="str">
        <f t="shared" si="435"/>
        <v>RODOVIEIRA TRANSPORTE LTDA</v>
      </c>
      <c r="J4638">
        <f t="shared" si="436"/>
        <v>0</v>
      </c>
      <c r="K4638">
        <f t="shared" si="437"/>
        <v>1</v>
      </c>
    </row>
    <row r="4639" spans="1:11" x14ac:dyDescent="0.25">
      <c r="A4639" t="s">
        <v>702</v>
      </c>
      <c r="B4639" t="s">
        <v>693</v>
      </c>
      <c r="C4639" t="s">
        <v>50</v>
      </c>
      <c r="D4639" s="6">
        <v>45944</v>
      </c>
      <c r="E4639" t="str">
        <f>VLOOKUP(B4639,'PROCV GERENTES BD'!A:B,2,0)</f>
        <v>PROSPECTAR</v>
      </c>
      <c r="F4639" s="4" t="str">
        <f t="shared" si="432"/>
        <v>2025-10</v>
      </c>
      <c r="G4639" s="18">
        <f t="shared" si="433"/>
        <v>42</v>
      </c>
      <c r="H4639" t="str">
        <f t="shared" si="434"/>
        <v>PROSPECTAR</v>
      </c>
      <c r="I4639" t="str">
        <f t="shared" si="435"/>
        <v>SR LIMA PAPEIS FINOS EM RECUPERACAO JUDICIAL LTDA</v>
      </c>
      <c r="J4639">
        <f t="shared" si="436"/>
        <v>0</v>
      </c>
      <c r="K4639">
        <f t="shared" si="437"/>
        <v>1</v>
      </c>
    </row>
    <row r="4640" spans="1:11" x14ac:dyDescent="0.25">
      <c r="A4640" t="s">
        <v>361</v>
      </c>
      <c r="B4640" t="s">
        <v>106</v>
      </c>
      <c r="C4640" t="s">
        <v>53</v>
      </c>
      <c r="D4640" s="6">
        <v>45944</v>
      </c>
      <c r="E4640" t="str">
        <f>VLOOKUP(B4640,'PROCV GERENTES BD'!A:B,2,0)</f>
        <v>PRISCILA METZ</v>
      </c>
      <c r="F4640" s="4" t="str">
        <f t="shared" si="432"/>
        <v>2025-10</v>
      </c>
      <c r="G4640" s="18">
        <f t="shared" si="433"/>
        <v>42</v>
      </c>
      <c r="H4640" t="str">
        <f t="shared" si="434"/>
        <v>PRISCILA METZ</v>
      </c>
      <c r="I4640" t="str">
        <f t="shared" si="435"/>
        <v>HERBAMED LABORATORIO NUTRACEUTICO LTDA</v>
      </c>
      <c r="J4640">
        <f t="shared" si="436"/>
        <v>1</v>
      </c>
      <c r="K4640">
        <f t="shared" si="437"/>
        <v>1</v>
      </c>
    </row>
    <row r="4641" spans="1:11" x14ac:dyDescent="0.25">
      <c r="A4641" t="s">
        <v>54</v>
      </c>
      <c r="B4641" t="s">
        <v>55</v>
      </c>
      <c r="C4641" t="s">
        <v>50</v>
      </c>
      <c r="D4641" s="6">
        <v>45944</v>
      </c>
      <c r="E4641" t="str">
        <f>VLOOKUP(B4641,'PROCV GERENTES BD'!A:B,2,0)</f>
        <v>CELIO PIMENTA</v>
      </c>
      <c r="F4641" s="4" t="str">
        <f t="shared" si="432"/>
        <v>2025-10</v>
      </c>
      <c r="G4641" s="18">
        <f t="shared" si="433"/>
        <v>42</v>
      </c>
      <c r="H4641" t="str">
        <f t="shared" si="434"/>
        <v>CELIO PIMENTA</v>
      </c>
      <c r="I4641" t="str">
        <f t="shared" si="435"/>
        <v>WJ CALDEIRARIA INDUSTRIA E COMERCIO LTDA ME</v>
      </c>
      <c r="J4641">
        <f t="shared" si="436"/>
        <v>0</v>
      </c>
      <c r="K4641">
        <f t="shared" si="437"/>
        <v>1</v>
      </c>
    </row>
    <row r="4642" spans="1:11" x14ac:dyDescent="0.25">
      <c r="A4642" t="s">
        <v>344</v>
      </c>
      <c r="B4642" t="s">
        <v>89</v>
      </c>
      <c r="C4642" t="s">
        <v>66</v>
      </c>
      <c r="D4642" s="6">
        <v>45944</v>
      </c>
      <c r="E4642" t="str">
        <f>VLOOKUP(B4642,'PROCV GERENTES BD'!A:B,2,0)</f>
        <v>POENATELA</v>
      </c>
      <c r="F4642" s="4" t="str">
        <f t="shared" si="432"/>
        <v>2025-10</v>
      </c>
      <c r="G4642" s="18">
        <f t="shared" si="433"/>
        <v>42</v>
      </c>
      <c r="H4642" t="str">
        <f t="shared" si="434"/>
        <v>POENATELA</v>
      </c>
      <c r="I4642" t="str">
        <f t="shared" si="435"/>
        <v>CERVEJARIA SOUZA LTDA</v>
      </c>
      <c r="J4642">
        <f t="shared" si="436"/>
        <v>1</v>
      </c>
      <c r="K4642">
        <f t="shared" si="437"/>
        <v>0</v>
      </c>
    </row>
    <row r="4643" spans="1:11" x14ac:dyDescent="0.25">
      <c r="A4643" t="s">
        <v>387</v>
      </c>
      <c r="B4643" t="s">
        <v>134</v>
      </c>
      <c r="C4643" t="s">
        <v>50</v>
      </c>
      <c r="D4643" s="6">
        <v>45944</v>
      </c>
      <c r="E4643" t="str">
        <f>VLOOKUP(B4643,'PROCV GERENTES BD'!A:B,2,0)</f>
        <v>RAFAEL PARISE</v>
      </c>
      <c r="F4643" s="4" t="str">
        <f t="shared" si="432"/>
        <v>2025-10</v>
      </c>
      <c r="G4643" s="18">
        <f t="shared" si="433"/>
        <v>42</v>
      </c>
      <c r="H4643" t="str">
        <f t="shared" si="434"/>
        <v>RAFAEL PARISE</v>
      </c>
      <c r="I4643" t="str">
        <f t="shared" si="435"/>
        <v>MAIS DISTRIBUIDORA LTDA</v>
      </c>
      <c r="J4643">
        <f t="shared" si="436"/>
        <v>0</v>
      </c>
      <c r="K4643">
        <f t="shared" si="437"/>
        <v>1</v>
      </c>
    </row>
    <row r="4644" spans="1:11" x14ac:dyDescent="0.25">
      <c r="A4644" t="s">
        <v>660</v>
      </c>
      <c r="B4644" t="s">
        <v>545</v>
      </c>
      <c r="C4644" t="s">
        <v>50</v>
      </c>
      <c r="D4644" s="6">
        <v>45944</v>
      </c>
      <c r="E4644" t="str">
        <f>VLOOKUP(B4644,'PROCV GERENTES BD'!A:B,2,0)</f>
        <v xml:space="preserve">ROGERIO </v>
      </c>
      <c r="F4644" s="4" t="str">
        <f t="shared" si="432"/>
        <v>2025-10</v>
      </c>
      <c r="G4644" s="18">
        <f t="shared" si="433"/>
        <v>42</v>
      </c>
      <c r="H4644" t="str">
        <f t="shared" si="434"/>
        <v xml:space="preserve">ROGERIO </v>
      </c>
      <c r="I4644" t="str">
        <f t="shared" si="435"/>
        <v>DISEP ALIMENTOS LTDA ME</v>
      </c>
      <c r="J4644">
        <f t="shared" si="436"/>
        <v>0</v>
      </c>
      <c r="K4644">
        <f t="shared" si="437"/>
        <v>1</v>
      </c>
    </row>
    <row r="4645" spans="1:11" x14ac:dyDescent="0.25">
      <c r="A4645" t="s">
        <v>415</v>
      </c>
      <c r="B4645" t="s">
        <v>165</v>
      </c>
      <c r="C4645" t="s">
        <v>50</v>
      </c>
      <c r="D4645" s="6">
        <v>45944</v>
      </c>
      <c r="E4645" t="str">
        <f>VLOOKUP(B4645,'PROCV GERENTES BD'!A:B,2,0)</f>
        <v>PROSPECTAR</v>
      </c>
      <c r="F4645" s="4" t="str">
        <f t="shared" si="432"/>
        <v>2025-10</v>
      </c>
      <c r="G4645" s="18">
        <f t="shared" si="433"/>
        <v>42</v>
      </c>
      <c r="H4645" t="str">
        <f t="shared" si="434"/>
        <v>PROSPECTAR</v>
      </c>
      <c r="I4645" t="str">
        <f t="shared" si="435"/>
        <v>STA SERVICOS LTDA</v>
      </c>
      <c r="J4645">
        <f t="shared" si="436"/>
        <v>0</v>
      </c>
      <c r="K4645">
        <f t="shared" si="437"/>
        <v>1</v>
      </c>
    </row>
    <row r="4646" spans="1:11" x14ac:dyDescent="0.25">
      <c r="A4646" t="s">
        <v>656</v>
      </c>
      <c r="B4646" t="s">
        <v>657</v>
      </c>
      <c r="C4646" t="s">
        <v>50</v>
      </c>
      <c r="D4646" s="6">
        <v>45944</v>
      </c>
      <c r="E4646" t="str">
        <f>VLOOKUP(B4646,'PROCV GERENTES BD'!A:B,2,0)</f>
        <v>ADMINISTRAÇÃO</v>
      </c>
      <c r="F4646" s="4" t="str">
        <f t="shared" si="432"/>
        <v>2025-10</v>
      </c>
      <c r="G4646" s="18">
        <f t="shared" si="433"/>
        <v>42</v>
      </c>
      <c r="H4646" t="str">
        <f t="shared" si="434"/>
        <v>ADMINISTRAÇÃO</v>
      </c>
      <c r="I4646" t="str">
        <f t="shared" si="435"/>
        <v>NCBA INTERMEDIACAO LTDA ME</v>
      </c>
      <c r="J4646">
        <f t="shared" si="436"/>
        <v>0</v>
      </c>
      <c r="K4646">
        <f t="shared" si="437"/>
        <v>1</v>
      </c>
    </row>
    <row r="4647" spans="1:11" x14ac:dyDescent="0.25">
      <c r="A4647" t="s">
        <v>368</v>
      </c>
      <c r="B4647" t="s">
        <v>111</v>
      </c>
      <c r="C4647" t="s">
        <v>50</v>
      </c>
      <c r="D4647" s="6">
        <v>45944</v>
      </c>
      <c r="E4647" t="str">
        <f>VLOOKUP(B4647,'PROCV GERENTES BD'!A:B,2,0)</f>
        <v>ADMINISTRAÇÃO</v>
      </c>
      <c r="F4647" s="4" t="str">
        <f t="shared" si="432"/>
        <v>2025-10</v>
      </c>
      <c r="G4647" s="18">
        <f t="shared" si="433"/>
        <v>42</v>
      </c>
      <c r="H4647" t="str">
        <f t="shared" si="434"/>
        <v>ADMINISTRAÇÃO</v>
      </c>
      <c r="I4647" t="str">
        <f t="shared" si="435"/>
        <v>ARTECAL ELETROCENTROS S/A</v>
      </c>
      <c r="J4647">
        <f t="shared" si="436"/>
        <v>0</v>
      </c>
      <c r="K4647">
        <f t="shared" si="437"/>
        <v>1</v>
      </c>
    </row>
    <row r="4648" spans="1:11" x14ac:dyDescent="0.25">
      <c r="A4648" t="s">
        <v>311</v>
      </c>
      <c r="B4648" t="s">
        <v>81</v>
      </c>
      <c r="C4648" t="s">
        <v>50</v>
      </c>
      <c r="D4648" s="6">
        <v>45944</v>
      </c>
      <c r="E4648" t="str">
        <f>VLOOKUP(B4648,'PROCV GERENTES BD'!A:B,2,0)</f>
        <v>CELIO PIMENTA</v>
      </c>
      <c r="F4648" s="4" t="str">
        <f t="shared" si="432"/>
        <v>2025-10</v>
      </c>
      <c r="G4648" s="18">
        <f t="shared" si="433"/>
        <v>42</v>
      </c>
      <c r="H4648" t="str">
        <f t="shared" si="434"/>
        <v>CELIO PIMENTA</v>
      </c>
      <c r="I4648" t="str">
        <f t="shared" si="435"/>
        <v>MBIOLOG DIAGNOSTICOS LTDA</v>
      </c>
      <c r="J4648">
        <f t="shared" si="436"/>
        <v>0</v>
      </c>
      <c r="K4648">
        <f t="shared" si="437"/>
        <v>1</v>
      </c>
    </row>
    <row r="4649" spans="1:11" x14ac:dyDescent="0.25">
      <c r="A4649" t="s">
        <v>529</v>
      </c>
      <c r="B4649" t="s">
        <v>297</v>
      </c>
      <c r="C4649" t="s">
        <v>50</v>
      </c>
      <c r="D4649" s="6">
        <v>45944</v>
      </c>
      <c r="E4649" t="str">
        <f>VLOOKUP(B4649,'PROCV GERENTES BD'!A:B,2,0)</f>
        <v>ANDRE CUNHA</v>
      </c>
      <c r="F4649" s="4" t="str">
        <f t="shared" si="432"/>
        <v>2025-10</v>
      </c>
      <c r="G4649" s="18">
        <f t="shared" si="433"/>
        <v>42</v>
      </c>
      <c r="H4649" t="str">
        <f t="shared" si="434"/>
        <v>ANDRE CUNHA</v>
      </c>
      <c r="I4649" t="str">
        <f t="shared" si="435"/>
        <v>REVPACK TECNOLOGIA E COMERCIO DE COMPONENTES PLAST</v>
      </c>
      <c r="J4649">
        <f t="shared" si="436"/>
        <v>0</v>
      </c>
      <c r="K4649">
        <f t="shared" si="437"/>
        <v>1</v>
      </c>
    </row>
    <row r="4650" spans="1:11" x14ac:dyDescent="0.25">
      <c r="A4650" t="s">
        <v>534</v>
      </c>
      <c r="B4650" t="s">
        <v>303</v>
      </c>
      <c r="C4650" t="s">
        <v>50</v>
      </c>
      <c r="D4650" s="6">
        <v>45944</v>
      </c>
      <c r="E4650" t="str">
        <f>VLOOKUP(B4650,'PROCV GERENTES BD'!A:B,2,0)</f>
        <v xml:space="preserve">MARCUS VINICIUS </v>
      </c>
      <c r="F4650" s="4" t="str">
        <f t="shared" si="432"/>
        <v>2025-10</v>
      </c>
      <c r="G4650" s="18">
        <f t="shared" si="433"/>
        <v>42</v>
      </c>
      <c r="H4650" t="str">
        <f t="shared" si="434"/>
        <v xml:space="preserve">MARCUS VINICIUS </v>
      </c>
      <c r="I4650" t="str">
        <f t="shared" si="435"/>
        <v>GRAFICA JSA LTDA EPP</v>
      </c>
      <c r="J4650">
        <f t="shared" si="436"/>
        <v>0</v>
      </c>
      <c r="K4650">
        <f t="shared" si="437"/>
        <v>1</v>
      </c>
    </row>
    <row r="4651" spans="1:11" x14ac:dyDescent="0.25">
      <c r="A4651" t="s">
        <v>510</v>
      </c>
      <c r="B4651" t="s">
        <v>273</v>
      </c>
      <c r="C4651" t="s">
        <v>50</v>
      </c>
      <c r="D4651" s="6">
        <v>45944</v>
      </c>
      <c r="E4651" t="str">
        <f>VLOOKUP(B4651,'PROCV GERENTES BD'!A:B,2,0)</f>
        <v>CELIO PIMENTA</v>
      </c>
      <c r="F4651" s="4" t="str">
        <f t="shared" si="432"/>
        <v>2025-10</v>
      </c>
      <c r="G4651" s="18">
        <f t="shared" si="433"/>
        <v>42</v>
      </c>
      <c r="H4651" t="str">
        <f t="shared" si="434"/>
        <v>CELIO PIMENTA</v>
      </c>
      <c r="I4651" t="str">
        <f t="shared" si="435"/>
        <v>PRADO MOREIRA TEXTIL LTDA ME</v>
      </c>
      <c r="J4651">
        <f t="shared" si="436"/>
        <v>0</v>
      </c>
      <c r="K4651">
        <f t="shared" si="437"/>
        <v>1</v>
      </c>
    </row>
    <row r="4652" spans="1:11" x14ac:dyDescent="0.25">
      <c r="A4652" t="s">
        <v>529</v>
      </c>
      <c r="B4652" t="s">
        <v>297</v>
      </c>
      <c r="C4652" t="s">
        <v>50</v>
      </c>
      <c r="D4652" s="6">
        <v>45945</v>
      </c>
      <c r="E4652" t="str">
        <f>VLOOKUP(B4652,'PROCV GERENTES BD'!A:B,2,0)</f>
        <v>ANDRE CUNHA</v>
      </c>
      <c r="F4652" s="4" t="str">
        <f t="shared" si="432"/>
        <v>2025-10</v>
      </c>
      <c r="G4652" s="18">
        <f t="shared" si="433"/>
        <v>42</v>
      </c>
      <c r="H4652" t="str">
        <f t="shared" si="434"/>
        <v>ANDRE CUNHA</v>
      </c>
      <c r="I4652" t="str">
        <f t="shared" si="435"/>
        <v>REVPACK TECNOLOGIA E COMERCIO DE COMPONENTES PLAST</v>
      </c>
      <c r="J4652">
        <f t="shared" si="436"/>
        <v>0</v>
      </c>
      <c r="K4652">
        <f t="shared" si="437"/>
        <v>1</v>
      </c>
    </row>
    <row r="4653" spans="1:11" x14ac:dyDescent="0.25">
      <c r="A4653" t="s">
        <v>521</v>
      </c>
      <c r="B4653" t="s">
        <v>286</v>
      </c>
      <c r="C4653" t="s">
        <v>50</v>
      </c>
      <c r="D4653" s="6">
        <v>45945</v>
      </c>
      <c r="E4653" t="str">
        <f>VLOOKUP(B4653,'PROCV GERENTES BD'!A:B,2,0)</f>
        <v>CELIO PIMENTA</v>
      </c>
      <c r="F4653" s="4" t="str">
        <f t="shared" si="432"/>
        <v>2025-10</v>
      </c>
      <c r="G4653" s="18">
        <f t="shared" si="433"/>
        <v>42</v>
      </c>
      <c r="H4653" t="str">
        <f t="shared" si="434"/>
        <v>CELIO PIMENTA</v>
      </c>
      <c r="I4653" t="str">
        <f t="shared" si="435"/>
        <v>LINGERIE E CIA LTDA ME</v>
      </c>
      <c r="J4653">
        <f t="shared" si="436"/>
        <v>0</v>
      </c>
      <c r="K4653">
        <f t="shared" si="437"/>
        <v>1</v>
      </c>
    </row>
    <row r="4654" spans="1:11" x14ac:dyDescent="0.25">
      <c r="A4654" t="s">
        <v>623</v>
      </c>
      <c r="B4654" t="s">
        <v>624</v>
      </c>
      <c r="C4654" t="s">
        <v>50</v>
      </c>
      <c r="D4654" s="6">
        <v>45945</v>
      </c>
      <c r="E4654" t="str">
        <f>VLOOKUP(B4654,'PROCV GERENTES BD'!A:B,2,0)</f>
        <v>ALISSON DE SOUZA LIMA</v>
      </c>
      <c r="F4654" s="4" t="str">
        <f t="shared" si="432"/>
        <v>2025-10</v>
      </c>
      <c r="G4654" s="18">
        <f t="shared" si="433"/>
        <v>42</v>
      </c>
      <c r="H4654" t="str">
        <f t="shared" si="434"/>
        <v>ALISSON DE SOUZA LIMA</v>
      </c>
      <c r="I4654" t="str">
        <f t="shared" si="435"/>
        <v>A2 VIDROS INDUSTRIA E COMERCIO LTDA</v>
      </c>
      <c r="J4654">
        <f t="shared" si="436"/>
        <v>0</v>
      </c>
      <c r="K4654">
        <f t="shared" si="437"/>
        <v>1</v>
      </c>
    </row>
    <row r="4655" spans="1:11" x14ac:dyDescent="0.25">
      <c r="A4655" t="s">
        <v>508</v>
      </c>
      <c r="B4655" t="s">
        <v>271</v>
      </c>
      <c r="C4655" t="s">
        <v>50</v>
      </c>
      <c r="D4655" s="6">
        <v>45945</v>
      </c>
      <c r="E4655" t="str">
        <f>VLOOKUP(B4655,'PROCV GERENTES BD'!A:B,2,0)</f>
        <v>PRISCILA METZ</v>
      </c>
      <c r="F4655" s="4" t="str">
        <f t="shared" si="432"/>
        <v>2025-10</v>
      </c>
      <c r="G4655" s="18">
        <f t="shared" si="433"/>
        <v>42</v>
      </c>
      <c r="H4655" t="str">
        <f t="shared" si="434"/>
        <v>PRISCILA METZ</v>
      </c>
      <c r="I4655" t="str">
        <f t="shared" si="435"/>
        <v>TUBOLARES VITORIA INDUSTRIA E COMERCIO LTDA ME</v>
      </c>
      <c r="J4655">
        <f t="shared" si="436"/>
        <v>0</v>
      </c>
      <c r="K4655">
        <f t="shared" si="437"/>
        <v>1</v>
      </c>
    </row>
    <row r="4656" spans="1:11" x14ac:dyDescent="0.25">
      <c r="A4656" t="s">
        <v>655</v>
      </c>
      <c r="B4656" t="s">
        <v>548</v>
      </c>
      <c r="C4656" t="s">
        <v>50</v>
      </c>
      <c r="D4656" s="6">
        <v>45945</v>
      </c>
      <c r="E4656" t="str">
        <f>VLOOKUP(B4656,'PROCV GERENTES BD'!A:B,2,0)</f>
        <v xml:space="preserve">ROGERIO </v>
      </c>
      <c r="F4656" s="4" t="str">
        <f t="shared" si="432"/>
        <v>2025-10</v>
      </c>
      <c r="G4656" s="18">
        <f t="shared" si="433"/>
        <v>42</v>
      </c>
      <c r="H4656" t="str">
        <f t="shared" si="434"/>
        <v xml:space="preserve">ROGERIO </v>
      </c>
      <c r="I4656" t="str">
        <f t="shared" si="435"/>
        <v>AGROEP PISCICULTURA LTDA ME</v>
      </c>
      <c r="J4656">
        <f t="shared" si="436"/>
        <v>0</v>
      </c>
      <c r="K4656">
        <f t="shared" si="437"/>
        <v>1</v>
      </c>
    </row>
    <row r="4657" spans="1:11" x14ac:dyDescent="0.25">
      <c r="A4657" t="s">
        <v>630</v>
      </c>
      <c r="B4657" t="s">
        <v>559</v>
      </c>
      <c r="C4657" t="s">
        <v>66</v>
      </c>
      <c r="D4657" s="6">
        <v>45945</v>
      </c>
      <c r="E4657" t="str">
        <f>VLOOKUP(B4657,'PROCV GERENTES BD'!A:B,2,0)</f>
        <v>ALISSON DE SOUZA LIMA</v>
      </c>
      <c r="F4657" s="4" t="str">
        <f t="shared" si="432"/>
        <v>2025-10</v>
      </c>
      <c r="G4657" s="18">
        <f t="shared" si="433"/>
        <v>42</v>
      </c>
      <c r="H4657" t="str">
        <f t="shared" si="434"/>
        <v>ALISSON DE SOUZA LIMA</v>
      </c>
      <c r="I4657" t="str">
        <f t="shared" si="435"/>
        <v>JRG SOLUCOES INDUSTRIAIS LTDA</v>
      </c>
      <c r="J4657">
        <f t="shared" si="436"/>
        <v>1</v>
      </c>
      <c r="K4657">
        <f t="shared" si="437"/>
        <v>0</v>
      </c>
    </row>
    <row r="4658" spans="1:11" x14ac:dyDescent="0.25">
      <c r="A4658" t="s">
        <v>442</v>
      </c>
      <c r="B4658" t="s">
        <v>193</v>
      </c>
      <c r="C4658" t="s">
        <v>50</v>
      </c>
      <c r="D4658" s="6">
        <v>45945</v>
      </c>
      <c r="E4658" t="str">
        <f>VLOOKUP(B4658,'PROCV GERENTES BD'!A:B,2,0)</f>
        <v>CELIO PIMENTA</v>
      </c>
      <c r="F4658" s="4" t="str">
        <f t="shared" si="432"/>
        <v>2025-10</v>
      </c>
      <c r="G4658" s="18">
        <f t="shared" si="433"/>
        <v>42</v>
      </c>
      <c r="H4658" t="str">
        <f t="shared" si="434"/>
        <v>CELIO PIMENTA</v>
      </c>
      <c r="I4658" t="str">
        <f t="shared" si="435"/>
        <v>CIA TEXTIL LTDA ME</v>
      </c>
      <c r="J4658">
        <f t="shared" si="436"/>
        <v>0</v>
      </c>
      <c r="K4658">
        <f t="shared" si="437"/>
        <v>1</v>
      </c>
    </row>
    <row r="4659" spans="1:11" x14ac:dyDescent="0.25">
      <c r="A4659" t="s">
        <v>510</v>
      </c>
      <c r="B4659" t="s">
        <v>273</v>
      </c>
      <c r="C4659" t="s">
        <v>50</v>
      </c>
      <c r="D4659" s="6">
        <v>45945</v>
      </c>
      <c r="E4659" t="str">
        <f>VLOOKUP(B4659,'PROCV GERENTES BD'!A:B,2,0)</f>
        <v>CELIO PIMENTA</v>
      </c>
      <c r="F4659" s="4" t="str">
        <f t="shared" si="432"/>
        <v>2025-10</v>
      </c>
      <c r="G4659" s="18">
        <f t="shared" si="433"/>
        <v>42</v>
      </c>
      <c r="H4659" t="str">
        <f t="shared" si="434"/>
        <v>CELIO PIMENTA</v>
      </c>
      <c r="I4659" t="str">
        <f t="shared" si="435"/>
        <v>PRADO MOREIRA TEXTIL LTDA ME</v>
      </c>
      <c r="J4659">
        <f t="shared" si="436"/>
        <v>0</v>
      </c>
      <c r="K4659">
        <f t="shared" si="437"/>
        <v>1</v>
      </c>
    </row>
    <row r="4660" spans="1:11" x14ac:dyDescent="0.25">
      <c r="A4660" t="s">
        <v>499</v>
      </c>
      <c r="B4660" t="s">
        <v>258</v>
      </c>
      <c r="C4660" t="s">
        <v>53</v>
      </c>
      <c r="D4660" s="6">
        <v>45945</v>
      </c>
      <c r="E4660" t="str">
        <f>VLOOKUP(B4660,'PROCV GERENTES BD'!A:B,2,0)</f>
        <v>PRISCILA METZ</v>
      </c>
      <c r="F4660" s="4" t="str">
        <f t="shared" si="432"/>
        <v>2025-10</v>
      </c>
      <c r="G4660" s="18">
        <f t="shared" si="433"/>
        <v>42</v>
      </c>
      <c r="H4660" t="str">
        <f t="shared" si="434"/>
        <v>PRISCILA METZ</v>
      </c>
      <c r="I4660" t="str">
        <f t="shared" si="435"/>
        <v>PLATINUM INDUSTRIA DE CONFECCOES LTDA</v>
      </c>
      <c r="J4660">
        <f t="shared" si="436"/>
        <v>1</v>
      </c>
      <c r="K4660">
        <f t="shared" si="437"/>
        <v>1</v>
      </c>
    </row>
    <row r="4661" spans="1:11" x14ac:dyDescent="0.25">
      <c r="A4661" t="s">
        <v>372</v>
      </c>
      <c r="B4661" t="s">
        <v>116</v>
      </c>
      <c r="C4661" t="s">
        <v>50</v>
      </c>
      <c r="D4661" s="6">
        <v>45945</v>
      </c>
      <c r="E4661" t="str">
        <f>VLOOKUP(B4661,'PROCV GERENTES BD'!A:B,2,0)</f>
        <v>ADMINISTRAÇÃO</v>
      </c>
      <c r="F4661" s="4" t="str">
        <f t="shared" si="432"/>
        <v>2025-10</v>
      </c>
      <c r="G4661" s="18">
        <f t="shared" si="433"/>
        <v>42</v>
      </c>
      <c r="H4661" t="str">
        <f t="shared" si="434"/>
        <v>ADMINISTRAÇÃO</v>
      </c>
      <c r="I4661" t="str">
        <f t="shared" si="435"/>
        <v>PREMOLDADOS MATOSINHOS LTDA EPP</v>
      </c>
      <c r="J4661">
        <f t="shared" si="436"/>
        <v>0</v>
      </c>
      <c r="K4661">
        <f t="shared" si="437"/>
        <v>1</v>
      </c>
    </row>
    <row r="4662" spans="1:11" x14ac:dyDescent="0.25">
      <c r="A4662" t="s">
        <v>56</v>
      </c>
      <c r="B4662" t="s">
        <v>57</v>
      </c>
      <c r="C4662" t="s">
        <v>66</v>
      </c>
      <c r="D4662" s="6">
        <v>45945</v>
      </c>
      <c r="E4662" t="str">
        <f>VLOOKUP(B4662,'PROCV GERENTES BD'!A:B,2,0)</f>
        <v xml:space="preserve">ROGERIO </v>
      </c>
      <c r="F4662" s="4" t="str">
        <f t="shared" si="432"/>
        <v>2025-10</v>
      </c>
      <c r="G4662" s="18">
        <f t="shared" si="433"/>
        <v>42</v>
      </c>
      <c r="H4662" t="str">
        <f t="shared" si="434"/>
        <v xml:space="preserve">ROGERIO </v>
      </c>
      <c r="I4662" t="str">
        <f t="shared" si="435"/>
        <v>RODOVIEIRA TRANSPORTE LTDA</v>
      </c>
      <c r="J4662">
        <f t="shared" si="436"/>
        <v>1</v>
      </c>
      <c r="K4662">
        <f t="shared" si="437"/>
        <v>0</v>
      </c>
    </row>
    <row r="4663" spans="1:11" x14ac:dyDescent="0.25">
      <c r="A4663" t="s">
        <v>361</v>
      </c>
      <c r="B4663" t="s">
        <v>106</v>
      </c>
      <c r="C4663" t="s">
        <v>50</v>
      </c>
      <c r="D4663" s="6">
        <v>45945</v>
      </c>
      <c r="E4663" t="str">
        <f>VLOOKUP(B4663,'PROCV GERENTES BD'!A:B,2,0)</f>
        <v>PRISCILA METZ</v>
      </c>
      <c r="F4663" s="4" t="str">
        <f t="shared" si="432"/>
        <v>2025-10</v>
      </c>
      <c r="G4663" s="18">
        <f t="shared" si="433"/>
        <v>42</v>
      </c>
      <c r="H4663" t="str">
        <f t="shared" si="434"/>
        <v>PRISCILA METZ</v>
      </c>
      <c r="I4663" t="str">
        <f t="shared" si="435"/>
        <v>HERBAMED LABORATORIO NUTRACEUTICO LTDA</v>
      </c>
      <c r="J4663">
        <f t="shared" si="436"/>
        <v>0</v>
      </c>
      <c r="K4663">
        <f t="shared" si="437"/>
        <v>1</v>
      </c>
    </row>
    <row r="4664" spans="1:11" x14ac:dyDescent="0.25">
      <c r="A4664" t="s">
        <v>322</v>
      </c>
      <c r="B4664" t="s">
        <v>294</v>
      </c>
      <c r="C4664" t="s">
        <v>50</v>
      </c>
      <c r="D4664" s="6">
        <v>45945</v>
      </c>
      <c r="E4664" t="str">
        <f>VLOOKUP(B4664,'PROCV GERENTES BD'!A:B,2,0)</f>
        <v>CAIO</v>
      </c>
      <c r="F4664" s="4" t="str">
        <f t="shared" si="432"/>
        <v>2025-10</v>
      </c>
      <c r="G4664" s="18">
        <f t="shared" si="433"/>
        <v>42</v>
      </c>
      <c r="H4664" t="str">
        <f t="shared" si="434"/>
        <v>CAIO</v>
      </c>
      <c r="I4664" t="str">
        <f t="shared" si="435"/>
        <v>LAF COMERCIAL LTDA ME</v>
      </c>
      <c r="J4664">
        <f t="shared" si="436"/>
        <v>0</v>
      </c>
      <c r="K4664">
        <f t="shared" si="437"/>
        <v>1</v>
      </c>
    </row>
    <row r="4665" spans="1:11" x14ac:dyDescent="0.25">
      <c r="A4665" t="s">
        <v>387</v>
      </c>
      <c r="B4665" t="s">
        <v>134</v>
      </c>
      <c r="C4665" t="s">
        <v>66</v>
      </c>
      <c r="D4665" s="6">
        <v>45945</v>
      </c>
      <c r="E4665" t="str">
        <f>VLOOKUP(B4665,'PROCV GERENTES BD'!A:B,2,0)</f>
        <v>RAFAEL PARISE</v>
      </c>
      <c r="F4665" s="4" t="str">
        <f t="shared" si="432"/>
        <v>2025-10</v>
      </c>
      <c r="G4665" s="18">
        <f t="shared" si="433"/>
        <v>42</v>
      </c>
      <c r="H4665" t="str">
        <f t="shared" si="434"/>
        <v>RAFAEL PARISE</v>
      </c>
      <c r="I4665" t="str">
        <f t="shared" si="435"/>
        <v>MAIS DISTRIBUIDORA LTDA</v>
      </c>
      <c r="J4665">
        <f t="shared" si="436"/>
        <v>1</v>
      </c>
      <c r="K4665">
        <f t="shared" si="437"/>
        <v>0</v>
      </c>
    </row>
    <row r="4666" spans="1:11" x14ac:dyDescent="0.25">
      <c r="A4666" t="s">
        <v>660</v>
      </c>
      <c r="B4666" t="s">
        <v>545</v>
      </c>
      <c r="C4666" t="s">
        <v>66</v>
      </c>
      <c r="D4666" s="6">
        <v>45945</v>
      </c>
      <c r="E4666" t="str">
        <f>VLOOKUP(B4666,'PROCV GERENTES BD'!A:B,2,0)</f>
        <v xml:space="preserve">ROGERIO </v>
      </c>
      <c r="F4666" s="4" t="str">
        <f t="shared" si="432"/>
        <v>2025-10</v>
      </c>
      <c r="G4666" s="18">
        <f t="shared" si="433"/>
        <v>42</v>
      </c>
      <c r="H4666" t="str">
        <f t="shared" si="434"/>
        <v xml:space="preserve">ROGERIO </v>
      </c>
      <c r="I4666" t="str">
        <f t="shared" si="435"/>
        <v>DISEP ALIMENTOS LTDA ME</v>
      </c>
      <c r="J4666">
        <f t="shared" si="436"/>
        <v>1</v>
      </c>
      <c r="K4666">
        <f t="shared" si="437"/>
        <v>0</v>
      </c>
    </row>
    <row r="4667" spans="1:11" x14ac:dyDescent="0.25">
      <c r="A4667" t="s">
        <v>604</v>
      </c>
      <c r="B4667" t="s">
        <v>605</v>
      </c>
      <c r="C4667" t="s">
        <v>50</v>
      </c>
      <c r="D4667" s="6">
        <v>45945</v>
      </c>
      <c r="E4667" t="str">
        <f>VLOOKUP(B4667,'PROCV GERENTES BD'!A:B,2,0)</f>
        <v>ALISSON DE SOUZA LIMA</v>
      </c>
      <c r="F4667" s="4" t="str">
        <f t="shared" si="432"/>
        <v>2025-10</v>
      </c>
      <c r="G4667" s="18">
        <f t="shared" si="433"/>
        <v>42</v>
      </c>
      <c r="H4667" t="str">
        <f t="shared" si="434"/>
        <v>ALISSON DE SOUZA LIMA</v>
      </c>
      <c r="I4667" t="str">
        <f t="shared" si="435"/>
        <v>3J FUNDICAO INDUSTRIAL LTDA</v>
      </c>
      <c r="J4667">
        <f t="shared" si="436"/>
        <v>0</v>
      </c>
      <c r="K4667">
        <f t="shared" si="437"/>
        <v>1</v>
      </c>
    </row>
    <row r="4668" spans="1:11" x14ac:dyDescent="0.25">
      <c r="A4668" t="s">
        <v>326</v>
      </c>
      <c r="B4668" t="s">
        <v>122</v>
      </c>
      <c r="C4668" t="s">
        <v>50</v>
      </c>
      <c r="D4668" s="6">
        <v>45945</v>
      </c>
      <c r="E4668" t="str">
        <f>VLOOKUP(B4668,'PROCV GERENTES BD'!A:B,2,0)</f>
        <v xml:space="preserve">ROGERIO </v>
      </c>
      <c r="F4668" s="4" t="str">
        <f t="shared" si="432"/>
        <v>2025-10</v>
      </c>
      <c r="G4668" s="18">
        <f t="shared" si="433"/>
        <v>42</v>
      </c>
      <c r="H4668" t="str">
        <f t="shared" si="434"/>
        <v xml:space="preserve">ROGERIO </v>
      </c>
      <c r="I4668" t="str">
        <f t="shared" si="435"/>
        <v>BIBE PRODUTOS INFANTIS LTDA</v>
      </c>
      <c r="J4668">
        <f t="shared" si="436"/>
        <v>0</v>
      </c>
      <c r="K4668">
        <f t="shared" si="437"/>
        <v>1</v>
      </c>
    </row>
    <row r="4669" spans="1:11" x14ac:dyDescent="0.25">
      <c r="A4669" t="s">
        <v>529</v>
      </c>
      <c r="B4669" t="s">
        <v>297</v>
      </c>
      <c r="C4669" t="s">
        <v>66</v>
      </c>
      <c r="D4669" s="6">
        <v>45946</v>
      </c>
      <c r="E4669" t="str">
        <f>VLOOKUP(B4669,'PROCV GERENTES BD'!A:B,2,0)</f>
        <v>ANDRE CUNHA</v>
      </c>
      <c r="F4669" s="4" t="str">
        <f t="shared" si="432"/>
        <v>2025-10</v>
      </c>
      <c r="G4669" s="18">
        <f t="shared" si="433"/>
        <v>42</v>
      </c>
      <c r="H4669" t="str">
        <f t="shared" si="434"/>
        <v>ANDRE CUNHA</v>
      </c>
      <c r="I4669" t="str">
        <f t="shared" si="435"/>
        <v>REVPACK TECNOLOGIA E COMERCIO DE COMPONENTES PLAST</v>
      </c>
      <c r="J4669">
        <f t="shared" si="436"/>
        <v>1</v>
      </c>
      <c r="K4669">
        <f t="shared" si="437"/>
        <v>0</v>
      </c>
    </row>
    <row r="4670" spans="1:11" x14ac:dyDescent="0.25">
      <c r="A4670" t="s">
        <v>467</v>
      </c>
      <c r="B4670" t="s">
        <v>224</v>
      </c>
      <c r="C4670" t="s">
        <v>66</v>
      </c>
      <c r="D4670" s="6">
        <v>45946</v>
      </c>
      <c r="E4670" t="str">
        <f>VLOOKUP(B4670,'PROCV GERENTES BD'!A:B,2,0)</f>
        <v>DIOGO AZEVEDO</v>
      </c>
      <c r="F4670" s="4" t="str">
        <f t="shared" si="432"/>
        <v>2025-10</v>
      </c>
      <c r="G4670" s="18">
        <f t="shared" si="433"/>
        <v>42</v>
      </c>
      <c r="H4670" t="str">
        <f t="shared" si="434"/>
        <v>DIOGO AZEVEDO</v>
      </c>
      <c r="I4670" t="str">
        <f t="shared" si="435"/>
        <v>VGS COMERCIO DE EMBALAGENS DE MADEIRAS LTDA ME</v>
      </c>
      <c r="J4670">
        <f t="shared" si="436"/>
        <v>1</v>
      </c>
      <c r="K4670">
        <f t="shared" si="437"/>
        <v>0</v>
      </c>
    </row>
    <row r="4671" spans="1:11" x14ac:dyDescent="0.25">
      <c r="A4671" t="s">
        <v>450</v>
      </c>
      <c r="B4671" t="s">
        <v>207</v>
      </c>
      <c r="C4671" t="s">
        <v>50</v>
      </c>
      <c r="D4671" s="6">
        <v>45946</v>
      </c>
      <c r="E4671" t="str">
        <f>VLOOKUP(B4671,'PROCV GERENTES BD'!A:B,2,0)</f>
        <v>CELIO PIMENTA</v>
      </c>
      <c r="F4671" s="4" t="str">
        <f t="shared" si="432"/>
        <v>2025-10</v>
      </c>
      <c r="G4671" s="18">
        <f t="shared" si="433"/>
        <v>42</v>
      </c>
      <c r="H4671" t="str">
        <f t="shared" si="434"/>
        <v>CELIO PIMENTA</v>
      </c>
      <c r="I4671" t="str">
        <f t="shared" si="435"/>
        <v>LIDER COMERCIO DE UNIFORMES E EPI S LTDA ME</v>
      </c>
      <c r="J4671">
        <f t="shared" si="436"/>
        <v>0</v>
      </c>
      <c r="K4671">
        <f t="shared" si="437"/>
        <v>1</v>
      </c>
    </row>
    <row r="4672" spans="1:11" x14ac:dyDescent="0.25">
      <c r="A4672" t="s">
        <v>630</v>
      </c>
      <c r="B4672" t="s">
        <v>559</v>
      </c>
      <c r="C4672" t="s">
        <v>53</v>
      </c>
      <c r="D4672" s="6">
        <v>45946</v>
      </c>
      <c r="E4672" t="str">
        <f>VLOOKUP(B4672,'PROCV GERENTES BD'!A:B,2,0)</f>
        <v>ALISSON DE SOUZA LIMA</v>
      </c>
      <c r="F4672" s="4" t="str">
        <f t="shared" ref="F4672:F4735" si="438">YEAR(D4672)&amp;"-"&amp;TEXT(MONTH(D4672),"00")</f>
        <v>2025-10</v>
      </c>
      <c r="G4672" s="18">
        <f t="shared" ref="G4672:G4735" si="439">WEEKNUM(D4672)</f>
        <v>42</v>
      </c>
      <c r="H4672" t="str">
        <f t="shared" ref="H4672:H4735" si="440">E4672</f>
        <v>ALISSON DE SOUZA LIMA</v>
      </c>
      <c r="I4672" t="str">
        <f t="shared" ref="I4672:I4735" si="441">B4672</f>
        <v>JRG SOLUCOES INDUSTRIAIS LTDA</v>
      </c>
      <c r="J4672">
        <f t="shared" ref="J4672:J4735" si="442">IF(OR(C4672="EXCLUSAO  ANOT.INADIMPLENCIA",C4672="INCL/EXCL ANOT.INADIMPLENCIA"),1,0)</f>
        <v>1</v>
      </c>
      <c r="K4672">
        <f t="shared" ref="K4672:K4735" si="443">IF(OR(C4672="INCLUSAO  ANOT.INADIMPLENCIA",C4672="INCL/EXCL ANOT.INADIMPLENCIA"),1,0)</f>
        <v>1</v>
      </c>
    </row>
    <row r="4673" spans="1:11" x14ac:dyDescent="0.25">
      <c r="A4673" t="s">
        <v>442</v>
      </c>
      <c r="B4673" t="s">
        <v>193</v>
      </c>
      <c r="C4673" t="s">
        <v>66</v>
      </c>
      <c r="D4673" s="6">
        <v>45946</v>
      </c>
      <c r="E4673" t="str">
        <f>VLOOKUP(B4673,'PROCV GERENTES BD'!A:B,2,0)</f>
        <v>CELIO PIMENTA</v>
      </c>
      <c r="F4673" s="4" t="str">
        <f t="shared" si="438"/>
        <v>2025-10</v>
      </c>
      <c r="G4673" s="18">
        <f t="shared" si="439"/>
        <v>42</v>
      </c>
      <c r="H4673" t="str">
        <f t="shared" si="440"/>
        <v>CELIO PIMENTA</v>
      </c>
      <c r="I4673" t="str">
        <f t="shared" si="441"/>
        <v>CIA TEXTIL LTDA ME</v>
      </c>
      <c r="J4673">
        <f t="shared" si="442"/>
        <v>1</v>
      </c>
      <c r="K4673">
        <f t="shared" si="443"/>
        <v>0</v>
      </c>
    </row>
    <row r="4674" spans="1:11" x14ac:dyDescent="0.25">
      <c r="A4674" t="s">
        <v>64</v>
      </c>
      <c r="B4674" t="s">
        <v>65</v>
      </c>
      <c r="C4674" t="s">
        <v>50</v>
      </c>
      <c r="D4674" s="6">
        <v>45946</v>
      </c>
      <c r="E4674" t="str">
        <f>VLOOKUP(B4674,'PROCV GERENTES BD'!A:B,2,0)</f>
        <v>ADMINISTRAÇÃO</v>
      </c>
      <c r="F4674" s="4" t="str">
        <f t="shared" si="438"/>
        <v>2025-10</v>
      </c>
      <c r="G4674" s="18">
        <f t="shared" si="439"/>
        <v>42</v>
      </c>
      <c r="H4674" t="str">
        <f t="shared" si="440"/>
        <v>ADMINISTRAÇÃO</v>
      </c>
      <c r="I4674" t="str">
        <f t="shared" si="441"/>
        <v>SOCIAL S/A</v>
      </c>
      <c r="J4674">
        <f t="shared" si="442"/>
        <v>0</v>
      </c>
      <c r="K4674">
        <f t="shared" si="443"/>
        <v>1</v>
      </c>
    </row>
    <row r="4675" spans="1:11" x14ac:dyDescent="0.25">
      <c r="A4675" t="s">
        <v>62</v>
      </c>
      <c r="B4675" t="s">
        <v>63</v>
      </c>
      <c r="C4675" t="s">
        <v>66</v>
      </c>
      <c r="D4675" s="6">
        <v>45946</v>
      </c>
      <c r="E4675" t="str">
        <f>VLOOKUP(B4675,'PROCV GERENTES BD'!A:B,2,0)</f>
        <v>PROSPECTAR</v>
      </c>
      <c r="F4675" s="4" t="str">
        <f t="shared" si="438"/>
        <v>2025-10</v>
      </c>
      <c r="G4675" s="18">
        <f t="shared" si="439"/>
        <v>42</v>
      </c>
      <c r="H4675" t="str">
        <f t="shared" si="440"/>
        <v>PROSPECTAR</v>
      </c>
      <c r="I4675" t="str">
        <f t="shared" si="441"/>
        <v>MAPP COM IMPORTACAO EXPORTACAO IND PRODUTOS ALIMEN</v>
      </c>
      <c r="J4675">
        <f t="shared" si="442"/>
        <v>1</v>
      </c>
      <c r="K4675">
        <f t="shared" si="443"/>
        <v>0</v>
      </c>
    </row>
    <row r="4676" spans="1:11" x14ac:dyDescent="0.25">
      <c r="A4676" t="s">
        <v>499</v>
      </c>
      <c r="B4676" t="s">
        <v>258</v>
      </c>
      <c r="C4676" t="s">
        <v>53</v>
      </c>
      <c r="D4676" s="6">
        <v>45946</v>
      </c>
      <c r="E4676" t="str">
        <f>VLOOKUP(B4676,'PROCV GERENTES BD'!A:B,2,0)</f>
        <v>PRISCILA METZ</v>
      </c>
      <c r="F4676" s="4" t="str">
        <f t="shared" si="438"/>
        <v>2025-10</v>
      </c>
      <c r="G4676" s="18">
        <f t="shared" si="439"/>
        <v>42</v>
      </c>
      <c r="H4676" t="str">
        <f t="shared" si="440"/>
        <v>PRISCILA METZ</v>
      </c>
      <c r="I4676" t="str">
        <f t="shared" si="441"/>
        <v>PLATINUM INDUSTRIA DE CONFECCOES LTDA</v>
      </c>
      <c r="J4676">
        <f t="shared" si="442"/>
        <v>1</v>
      </c>
      <c r="K4676">
        <f t="shared" si="443"/>
        <v>1</v>
      </c>
    </row>
    <row r="4677" spans="1:11" x14ac:dyDescent="0.25">
      <c r="A4677" t="s">
        <v>318</v>
      </c>
      <c r="B4677" t="s">
        <v>203</v>
      </c>
      <c r="C4677" t="s">
        <v>66</v>
      </c>
      <c r="D4677" s="6">
        <v>45946</v>
      </c>
      <c r="E4677" t="str">
        <f>VLOOKUP(B4677,'PROCV GERENTES BD'!A:B,2,0)</f>
        <v>JOSE ROBERTO</v>
      </c>
      <c r="F4677" s="4" t="str">
        <f t="shared" si="438"/>
        <v>2025-10</v>
      </c>
      <c r="G4677" s="18">
        <f t="shared" si="439"/>
        <v>42</v>
      </c>
      <c r="H4677" t="str">
        <f t="shared" si="440"/>
        <v>JOSE ROBERTO</v>
      </c>
      <c r="I4677" t="str">
        <f t="shared" si="441"/>
        <v>FUNDACAO DE ENSINO E PESQUISA DO SUL DE MINAS FEPE</v>
      </c>
      <c r="J4677">
        <f t="shared" si="442"/>
        <v>1</v>
      </c>
      <c r="K4677">
        <f t="shared" si="443"/>
        <v>0</v>
      </c>
    </row>
    <row r="4678" spans="1:11" x14ac:dyDescent="0.25">
      <c r="A4678" t="s">
        <v>58</v>
      </c>
      <c r="B4678" t="s">
        <v>59</v>
      </c>
      <c r="C4678" t="s">
        <v>66</v>
      </c>
      <c r="D4678" s="6">
        <v>45946</v>
      </c>
      <c r="E4678" t="str">
        <f>VLOOKUP(B4678,'PROCV GERENTES BD'!A:B,2,0)</f>
        <v>ADMINISTRAÇÃO</v>
      </c>
      <c r="F4678" s="4" t="str">
        <f t="shared" si="438"/>
        <v>2025-10</v>
      </c>
      <c r="G4678" s="18">
        <f t="shared" si="439"/>
        <v>42</v>
      </c>
      <c r="H4678" t="str">
        <f t="shared" si="440"/>
        <v>ADMINISTRAÇÃO</v>
      </c>
      <c r="I4678" t="str">
        <f t="shared" si="441"/>
        <v>BIOTECH LOGISTICA LTDA</v>
      </c>
      <c r="J4678">
        <f t="shared" si="442"/>
        <v>1</v>
      </c>
      <c r="K4678">
        <f t="shared" si="443"/>
        <v>0</v>
      </c>
    </row>
    <row r="4679" spans="1:11" x14ac:dyDescent="0.25">
      <c r="A4679" t="s">
        <v>703</v>
      </c>
      <c r="B4679" t="s">
        <v>681</v>
      </c>
      <c r="C4679" t="s">
        <v>50</v>
      </c>
      <c r="D4679" s="6">
        <v>45946</v>
      </c>
      <c r="E4679" t="str">
        <f>VLOOKUP(B4679,'PROCV GERENTES BD'!A:B,2,0)</f>
        <v>ADMINISTRAÇÃO</v>
      </c>
      <c r="F4679" s="4" t="str">
        <f t="shared" si="438"/>
        <v>2025-10</v>
      </c>
      <c r="G4679" s="18">
        <f t="shared" si="439"/>
        <v>42</v>
      </c>
      <c r="H4679" t="str">
        <f t="shared" si="440"/>
        <v>ADMINISTRAÇÃO</v>
      </c>
      <c r="I4679" t="str">
        <f t="shared" si="441"/>
        <v>MN GLOBAL MARKETING LTDA</v>
      </c>
      <c r="J4679">
        <f t="shared" si="442"/>
        <v>0</v>
      </c>
      <c r="K4679">
        <f t="shared" si="443"/>
        <v>1</v>
      </c>
    </row>
    <row r="4680" spans="1:11" x14ac:dyDescent="0.25">
      <c r="A4680" t="s">
        <v>56</v>
      </c>
      <c r="B4680" t="s">
        <v>57</v>
      </c>
      <c r="C4680" t="s">
        <v>50</v>
      </c>
      <c r="D4680" s="6">
        <v>45946</v>
      </c>
      <c r="E4680" t="str">
        <f>VLOOKUP(B4680,'PROCV GERENTES BD'!A:B,2,0)</f>
        <v xml:space="preserve">ROGERIO </v>
      </c>
      <c r="F4680" s="4" t="str">
        <f t="shared" si="438"/>
        <v>2025-10</v>
      </c>
      <c r="G4680" s="18">
        <f t="shared" si="439"/>
        <v>42</v>
      </c>
      <c r="H4680" t="str">
        <f t="shared" si="440"/>
        <v xml:space="preserve">ROGERIO </v>
      </c>
      <c r="I4680" t="str">
        <f t="shared" si="441"/>
        <v>RODOVIEIRA TRANSPORTE LTDA</v>
      </c>
      <c r="J4680">
        <f t="shared" si="442"/>
        <v>0</v>
      </c>
      <c r="K4680">
        <f t="shared" si="443"/>
        <v>1</v>
      </c>
    </row>
    <row r="4681" spans="1:11" x14ac:dyDescent="0.25">
      <c r="A4681" t="s">
        <v>361</v>
      </c>
      <c r="B4681" t="s">
        <v>106</v>
      </c>
      <c r="C4681" t="s">
        <v>53</v>
      </c>
      <c r="D4681" s="6">
        <v>45946</v>
      </c>
      <c r="E4681" t="str">
        <f>VLOOKUP(B4681,'PROCV GERENTES BD'!A:B,2,0)</f>
        <v>PRISCILA METZ</v>
      </c>
      <c r="F4681" s="4" t="str">
        <f t="shared" si="438"/>
        <v>2025-10</v>
      </c>
      <c r="G4681" s="18">
        <f t="shared" si="439"/>
        <v>42</v>
      </c>
      <c r="H4681" t="str">
        <f t="shared" si="440"/>
        <v>PRISCILA METZ</v>
      </c>
      <c r="I4681" t="str">
        <f t="shared" si="441"/>
        <v>HERBAMED LABORATORIO NUTRACEUTICO LTDA</v>
      </c>
      <c r="J4681">
        <f t="shared" si="442"/>
        <v>1</v>
      </c>
      <c r="K4681">
        <f t="shared" si="443"/>
        <v>1</v>
      </c>
    </row>
    <row r="4682" spans="1:11" x14ac:dyDescent="0.25">
      <c r="A4682" t="s">
        <v>663</v>
      </c>
      <c r="B4682" t="s">
        <v>664</v>
      </c>
      <c r="C4682" t="s">
        <v>66</v>
      </c>
      <c r="D4682" s="6">
        <v>45946</v>
      </c>
      <c r="E4682" t="str">
        <f>VLOOKUP(B4682,'PROCV GERENTES BD'!A:B,2,0)</f>
        <v>ADMINISTRAÇÃO</v>
      </c>
      <c r="F4682" s="4" t="str">
        <f t="shared" si="438"/>
        <v>2025-10</v>
      </c>
      <c r="G4682" s="18">
        <f t="shared" si="439"/>
        <v>42</v>
      </c>
      <c r="H4682" t="str">
        <f t="shared" si="440"/>
        <v>ADMINISTRAÇÃO</v>
      </c>
      <c r="I4682" t="str">
        <f t="shared" si="441"/>
        <v>PRIVILEGIO CONFECCOES LTDA ME</v>
      </c>
      <c r="J4682">
        <f t="shared" si="442"/>
        <v>1</v>
      </c>
      <c r="K4682">
        <f t="shared" si="443"/>
        <v>0</v>
      </c>
    </row>
    <row r="4683" spans="1:11" x14ac:dyDescent="0.25">
      <c r="A4683" t="s">
        <v>344</v>
      </c>
      <c r="B4683" t="s">
        <v>89</v>
      </c>
      <c r="C4683" t="s">
        <v>66</v>
      </c>
      <c r="D4683" s="6">
        <v>45946</v>
      </c>
      <c r="E4683" t="str">
        <f>VLOOKUP(B4683,'PROCV GERENTES BD'!A:B,2,0)</f>
        <v>POENATELA</v>
      </c>
      <c r="F4683" s="4" t="str">
        <f t="shared" si="438"/>
        <v>2025-10</v>
      </c>
      <c r="G4683" s="18">
        <f t="shared" si="439"/>
        <v>42</v>
      </c>
      <c r="H4683" t="str">
        <f t="shared" si="440"/>
        <v>POENATELA</v>
      </c>
      <c r="I4683" t="str">
        <f t="shared" si="441"/>
        <v>CERVEJARIA SOUZA LTDA</v>
      </c>
      <c r="J4683">
        <f t="shared" si="442"/>
        <v>1</v>
      </c>
      <c r="K4683">
        <f t="shared" si="443"/>
        <v>0</v>
      </c>
    </row>
    <row r="4684" spans="1:11" x14ac:dyDescent="0.25">
      <c r="A4684" t="s">
        <v>51</v>
      </c>
      <c r="B4684" t="s">
        <v>52</v>
      </c>
      <c r="C4684" t="s">
        <v>50</v>
      </c>
      <c r="D4684" s="6">
        <v>45946</v>
      </c>
      <c r="E4684" t="str">
        <f>VLOOKUP(B4684,'PROCV GERENTES BD'!A:B,2,0)</f>
        <v>RAFAEL PARISE</v>
      </c>
      <c r="F4684" s="4" t="str">
        <f t="shared" si="438"/>
        <v>2025-10</v>
      </c>
      <c r="G4684" s="18">
        <f t="shared" si="439"/>
        <v>42</v>
      </c>
      <c r="H4684" t="str">
        <f t="shared" si="440"/>
        <v>RAFAEL PARISE</v>
      </c>
      <c r="I4684" t="str">
        <f t="shared" si="441"/>
        <v>TDR TRANSPORTES LOGISTICA LTDA</v>
      </c>
      <c r="J4684">
        <f t="shared" si="442"/>
        <v>0</v>
      </c>
      <c r="K4684">
        <f t="shared" si="443"/>
        <v>1</v>
      </c>
    </row>
    <row r="4685" spans="1:11" x14ac:dyDescent="0.25">
      <c r="A4685" t="s">
        <v>656</v>
      </c>
      <c r="B4685" t="s">
        <v>657</v>
      </c>
      <c r="C4685" t="s">
        <v>50</v>
      </c>
      <c r="D4685" s="6">
        <v>45946</v>
      </c>
      <c r="E4685" t="str">
        <f>VLOOKUP(B4685,'PROCV GERENTES BD'!A:B,2,0)</f>
        <v>ADMINISTRAÇÃO</v>
      </c>
      <c r="F4685" s="4" t="str">
        <f t="shared" si="438"/>
        <v>2025-10</v>
      </c>
      <c r="G4685" s="18">
        <f t="shared" si="439"/>
        <v>42</v>
      </c>
      <c r="H4685" t="str">
        <f t="shared" si="440"/>
        <v>ADMINISTRAÇÃO</v>
      </c>
      <c r="I4685" t="str">
        <f t="shared" si="441"/>
        <v>NCBA INTERMEDIACAO LTDA ME</v>
      </c>
      <c r="J4685">
        <f t="shared" si="442"/>
        <v>0</v>
      </c>
      <c r="K4685">
        <f t="shared" si="443"/>
        <v>1</v>
      </c>
    </row>
    <row r="4686" spans="1:11" x14ac:dyDescent="0.25">
      <c r="A4686" t="s">
        <v>311</v>
      </c>
      <c r="B4686" t="s">
        <v>81</v>
      </c>
      <c r="C4686" t="s">
        <v>66</v>
      </c>
      <c r="D4686" s="6">
        <v>45946</v>
      </c>
      <c r="E4686" t="str">
        <f>VLOOKUP(B4686,'PROCV GERENTES BD'!A:B,2,0)</f>
        <v>CELIO PIMENTA</v>
      </c>
      <c r="F4686" s="4" t="str">
        <f t="shared" si="438"/>
        <v>2025-10</v>
      </c>
      <c r="G4686" s="18">
        <f t="shared" si="439"/>
        <v>42</v>
      </c>
      <c r="H4686" t="str">
        <f t="shared" si="440"/>
        <v>CELIO PIMENTA</v>
      </c>
      <c r="I4686" t="str">
        <f t="shared" si="441"/>
        <v>MBIOLOG DIAGNOSTICOS LTDA</v>
      </c>
      <c r="J4686">
        <f t="shared" si="442"/>
        <v>1</v>
      </c>
      <c r="K4686">
        <f t="shared" si="443"/>
        <v>0</v>
      </c>
    </row>
    <row r="4687" spans="1:11" x14ac:dyDescent="0.25">
      <c r="A4687" t="s">
        <v>521</v>
      </c>
      <c r="B4687" t="s">
        <v>286</v>
      </c>
      <c r="C4687" t="s">
        <v>50</v>
      </c>
      <c r="D4687" s="6">
        <v>45946</v>
      </c>
      <c r="E4687" t="str">
        <f>VLOOKUP(B4687,'PROCV GERENTES BD'!A:B,2,0)</f>
        <v>CELIO PIMENTA</v>
      </c>
      <c r="F4687" s="4" t="str">
        <f t="shared" si="438"/>
        <v>2025-10</v>
      </c>
      <c r="G4687" s="18">
        <f t="shared" si="439"/>
        <v>42</v>
      </c>
      <c r="H4687" t="str">
        <f t="shared" si="440"/>
        <v>CELIO PIMENTA</v>
      </c>
      <c r="I4687" t="str">
        <f t="shared" si="441"/>
        <v>LINGERIE E CIA LTDA ME</v>
      </c>
      <c r="J4687">
        <f t="shared" si="442"/>
        <v>0</v>
      </c>
      <c r="K4687">
        <f t="shared" si="443"/>
        <v>1</v>
      </c>
    </row>
    <row r="4688" spans="1:11" x14ac:dyDescent="0.25">
      <c r="A4688" t="s">
        <v>510</v>
      </c>
      <c r="B4688" t="s">
        <v>273</v>
      </c>
      <c r="C4688" t="s">
        <v>50</v>
      </c>
      <c r="D4688" s="6">
        <v>45946</v>
      </c>
      <c r="E4688" t="str">
        <f>VLOOKUP(B4688,'PROCV GERENTES BD'!A:B,2,0)</f>
        <v>CELIO PIMENTA</v>
      </c>
      <c r="F4688" s="4" t="str">
        <f t="shared" si="438"/>
        <v>2025-10</v>
      </c>
      <c r="G4688" s="18">
        <f t="shared" si="439"/>
        <v>42</v>
      </c>
      <c r="H4688" t="str">
        <f t="shared" si="440"/>
        <v>CELIO PIMENTA</v>
      </c>
      <c r="I4688" t="str">
        <f t="shared" si="441"/>
        <v>PRADO MOREIRA TEXTIL LTDA ME</v>
      </c>
      <c r="J4688">
        <f t="shared" si="442"/>
        <v>0</v>
      </c>
      <c r="K4688">
        <f t="shared" si="443"/>
        <v>1</v>
      </c>
    </row>
    <row r="4689" spans="1:11" x14ac:dyDescent="0.25">
      <c r="A4689" t="s">
        <v>529</v>
      </c>
      <c r="B4689" t="s">
        <v>297</v>
      </c>
      <c r="C4689" t="s">
        <v>50</v>
      </c>
      <c r="D4689" s="6">
        <v>45947</v>
      </c>
      <c r="E4689" t="str">
        <f>VLOOKUP(B4689,'PROCV GERENTES BD'!A:B,2,0)</f>
        <v>ANDRE CUNHA</v>
      </c>
      <c r="F4689" s="4" t="str">
        <f t="shared" si="438"/>
        <v>2025-10</v>
      </c>
      <c r="G4689" s="18">
        <f t="shared" si="439"/>
        <v>42</v>
      </c>
      <c r="H4689" t="str">
        <f t="shared" si="440"/>
        <v>ANDRE CUNHA</v>
      </c>
      <c r="I4689" t="str">
        <f t="shared" si="441"/>
        <v>REVPACK TECNOLOGIA E COMERCIO DE COMPONENTES PLAST</v>
      </c>
      <c r="J4689">
        <f t="shared" si="442"/>
        <v>0</v>
      </c>
      <c r="K4689">
        <f t="shared" si="443"/>
        <v>1</v>
      </c>
    </row>
    <row r="4690" spans="1:11" x14ac:dyDescent="0.25">
      <c r="A4690" t="s">
        <v>326</v>
      </c>
      <c r="B4690" t="s">
        <v>122</v>
      </c>
      <c r="C4690" t="s">
        <v>66</v>
      </c>
      <c r="D4690" s="6">
        <v>45947</v>
      </c>
      <c r="E4690" t="str">
        <f>VLOOKUP(B4690,'PROCV GERENTES BD'!A:B,2,0)</f>
        <v xml:space="preserve">ROGERIO </v>
      </c>
      <c r="F4690" s="4" t="str">
        <f t="shared" si="438"/>
        <v>2025-10</v>
      </c>
      <c r="G4690" s="18">
        <f t="shared" si="439"/>
        <v>42</v>
      </c>
      <c r="H4690" t="str">
        <f t="shared" si="440"/>
        <v xml:space="preserve">ROGERIO </v>
      </c>
      <c r="I4690" t="str">
        <f t="shared" si="441"/>
        <v>BIBE PRODUTOS INFANTIS LTDA</v>
      </c>
      <c r="J4690">
        <f t="shared" si="442"/>
        <v>1</v>
      </c>
      <c r="K4690">
        <f t="shared" si="443"/>
        <v>0</v>
      </c>
    </row>
    <row r="4691" spans="1:11" x14ac:dyDescent="0.25">
      <c r="A4691" t="s">
        <v>704</v>
      </c>
      <c r="B4691" t="s">
        <v>705</v>
      </c>
      <c r="C4691" t="s">
        <v>50</v>
      </c>
      <c r="D4691" s="6">
        <v>45947</v>
      </c>
      <c r="E4691" t="str">
        <f>VLOOKUP(B4691,'PROCV GERENTES BD'!A:B,2,0)</f>
        <v>DAVI</v>
      </c>
      <c r="F4691" s="4" t="str">
        <f t="shared" si="438"/>
        <v>2025-10</v>
      </c>
      <c r="G4691" s="18">
        <f t="shared" si="439"/>
        <v>42</v>
      </c>
      <c r="H4691" t="str">
        <f t="shared" si="440"/>
        <v>DAVI</v>
      </c>
      <c r="I4691" t="str">
        <f t="shared" si="441"/>
        <v>DUOPLASTIC INDUSTRIA DE MOVEIS LTDA ME</v>
      </c>
      <c r="J4691">
        <f t="shared" si="442"/>
        <v>0</v>
      </c>
      <c r="K4691">
        <f t="shared" si="443"/>
        <v>1</v>
      </c>
    </row>
    <row r="4692" spans="1:11" x14ac:dyDescent="0.25">
      <c r="A4692" t="s">
        <v>635</v>
      </c>
      <c r="B4692" t="s">
        <v>636</v>
      </c>
      <c r="C4692" t="s">
        <v>66</v>
      </c>
      <c r="D4692" s="6">
        <v>45947</v>
      </c>
      <c r="E4692" t="str">
        <f>VLOOKUP(B4692,'PROCV GERENTES BD'!A:B,2,0)</f>
        <v>TIAGO NEVES</v>
      </c>
      <c r="F4692" s="4" t="str">
        <f t="shared" si="438"/>
        <v>2025-10</v>
      </c>
      <c r="G4692" s="18">
        <f t="shared" si="439"/>
        <v>42</v>
      </c>
      <c r="H4692" t="str">
        <f t="shared" si="440"/>
        <v>TIAGO NEVES</v>
      </c>
      <c r="I4692" t="str">
        <f t="shared" si="441"/>
        <v>MG GLASS VIDROS PARA TRATORES E CAMINHOES LTDA ME</v>
      </c>
      <c r="J4692">
        <f t="shared" si="442"/>
        <v>1</v>
      </c>
      <c r="K4692">
        <f t="shared" si="443"/>
        <v>0</v>
      </c>
    </row>
    <row r="4693" spans="1:11" x14ac:dyDescent="0.25">
      <c r="A4693" t="s">
        <v>519</v>
      </c>
      <c r="B4693" t="s">
        <v>283</v>
      </c>
      <c r="C4693" t="s">
        <v>50</v>
      </c>
      <c r="D4693" s="6">
        <v>45947</v>
      </c>
      <c r="E4693" t="str">
        <f>VLOOKUP(B4693,'PROCV GERENTES BD'!A:B,2,0)</f>
        <v>DALVA</v>
      </c>
      <c r="F4693" s="4" t="str">
        <f t="shared" si="438"/>
        <v>2025-10</v>
      </c>
      <c r="G4693" s="18">
        <f t="shared" si="439"/>
        <v>42</v>
      </c>
      <c r="H4693" t="str">
        <f t="shared" si="440"/>
        <v>DALVA</v>
      </c>
      <c r="I4693" t="str">
        <f t="shared" si="441"/>
        <v>LTA USINAGEM LTDA EPP</v>
      </c>
      <c r="J4693">
        <f t="shared" si="442"/>
        <v>0</v>
      </c>
      <c r="K4693">
        <f t="shared" si="443"/>
        <v>1</v>
      </c>
    </row>
    <row r="4694" spans="1:11" x14ac:dyDescent="0.25">
      <c r="A4694" t="s">
        <v>499</v>
      </c>
      <c r="B4694" t="s">
        <v>258</v>
      </c>
      <c r="C4694" t="s">
        <v>50</v>
      </c>
      <c r="D4694" s="6">
        <v>45947</v>
      </c>
      <c r="E4694" t="str">
        <f>VLOOKUP(B4694,'PROCV GERENTES BD'!A:B,2,0)</f>
        <v>PRISCILA METZ</v>
      </c>
      <c r="F4694" s="4" t="str">
        <f t="shared" si="438"/>
        <v>2025-10</v>
      </c>
      <c r="G4694" s="18">
        <f t="shared" si="439"/>
        <v>42</v>
      </c>
      <c r="H4694" t="str">
        <f t="shared" si="440"/>
        <v>PRISCILA METZ</v>
      </c>
      <c r="I4694" t="str">
        <f t="shared" si="441"/>
        <v>PLATINUM INDUSTRIA DE CONFECCOES LTDA</v>
      </c>
      <c r="J4694">
        <f t="shared" si="442"/>
        <v>0</v>
      </c>
      <c r="K4694">
        <f t="shared" si="443"/>
        <v>1</v>
      </c>
    </row>
    <row r="4695" spans="1:11" x14ac:dyDescent="0.25">
      <c r="A4695" t="s">
        <v>703</v>
      </c>
      <c r="B4695" t="s">
        <v>681</v>
      </c>
      <c r="C4695" t="s">
        <v>50</v>
      </c>
      <c r="D4695" s="6">
        <v>45947</v>
      </c>
      <c r="E4695" t="str">
        <f>VLOOKUP(B4695,'PROCV GERENTES BD'!A:B,2,0)</f>
        <v>ADMINISTRAÇÃO</v>
      </c>
      <c r="F4695" s="4" t="str">
        <f t="shared" si="438"/>
        <v>2025-10</v>
      </c>
      <c r="G4695" s="18">
        <f t="shared" si="439"/>
        <v>42</v>
      </c>
      <c r="H4695" t="str">
        <f t="shared" si="440"/>
        <v>ADMINISTRAÇÃO</v>
      </c>
      <c r="I4695" t="str">
        <f t="shared" si="441"/>
        <v>MN GLOBAL MARKETING LTDA</v>
      </c>
      <c r="J4695">
        <f t="shared" si="442"/>
        <v>0</v>
      </c>
      <c r="K4695">
        <f t="shared" si="443"/>
        <v>1</v>
      </c>
    </row>
    <row r="4696" spans="1:11" x14ac:dyDescent="0.25">
      <c r="A4696" t="s">
        <v>623</v>
      </c>
      <c r="B4696" t="s">
        <v>624</v>
      </c>
      <c r="C4696" t="s">
        <v>66</v>
      </c>
      <c r="D4696" s="6">
        <v>45947</v>
      </c>
      <c r="E4696" t="str">
        <f>VLOOKUP(B4696,'PROCV GERENTES BD'!A:B,2,0)</f>
        <v>ALISSON DE SOUZA LIMA</v>
      </c>
      <c r="F4696" s="4" t="str">
        <f t="shared" si="438"/>
        <v>2025-10</v>
      </c>
      <c r="G4696" s="18">
        <f t="shared" si="439"/>
        <v>42</v>
      </c>
      <c r="H4696" t="str">
        <f t="shared" si="440"/>
        <v>ALISSON DE SOUZA LIMA</v>
      </c>
      <c r="I4696" t="str">
        <f t="shared" si="441"/>
        <v>A2 VIDROS INDUSTRIA E COMERCIO LTDA</v>
      </c>
      <c r="J4696">
        <f t="shared" si="442"/>
        <v>1</v>
      </c>
      <c r="K4696">
        <f t="shared" si="443"/>
        <v>0</v>
      </c>
    </row>
    <row r="4697" spans="1:11" x14ac:dyDescent="0.25">
      <c r="A4697" t="s">
        <v>331</v>
      </c>
      <c r="B4697" t="s">
        <v>144</v>
      </c>
      <c r="C4697" t="s">
        <v>66</v>
      </c>
      <c r="D4697" s="6">
        <v>45947</v>
      </c>
      <c r="E4697" t="str">
        <f>VLOOKUP(B4697,'PROCV GERENTES BD'!A:B,2,0)</f>
        <v>ADMINISTRAÇÃO</v>
      </c>
      <c r="F4697" s="4" t="str">
        <f t="shared" si="438"/>
        <v>2025-10</v>
      </c>
      <c r="G4697" s="18">
        <f t="shared" si="439"/>
        <v>42</v>
      </c>
      <c r="H4697" t="str">
        <f t="shared" si="440"/>
        <v>ADMINISTRAÇÃO</v>
      </c>
      <c r="I4697" t="str">
        <f t="shared" si="441"/>
        <v>BOM PASTOR PAPEIS LTDA EM RECUPERACAO JUDICIAL</v>
      </c>
      <c r="J4697">
        <f t="shared" si="442"/>
        <v>1</v>
      </c>
      <c r="K4697">
        <f t="shared" si="443"/>
        <v>0</v>
      </c>
    </row>
    <row r="4698" spans="1:11" x14ac:dyDescent="0.25">
      <c r="A4698" t="s">
        <v>361</v>
      </c>
      <c r="B4698" t="s">
        <v>106</v>
      </c>
      <c r="C4698" t="s">
        <v>50</v>
      </c>
      <c r="D4698" s="6">
        <v>45947</v>
      </c>
      <c r="E4698" t="str">
        <f>VLOOKUP(B4698,'PROCV GERENTES BD'!A:B,2,0)</f>
        <v>PRISCILA METZ</v>
      </c>
      <c r="F4698" s="4" t="str">
        <f t="shared" si="438"/>
        <v>2025-10</v>
      </c>
      <c r="G4698" s="18">
        <f t="shared" si="439"/>
        <v>42</v>
      </c>
      <c r="H4698" t="str">
        <f t="shared" si="440"/>
        <v>PRISCILA METZ</v>
      </c>
      <c r="I4698" t="str">
        <f t="shared" si="441"/>
        <v>HERBAMED LABORATORIO NUTRACEUTICO LTDA</v>
      </c>
      <c r="J4698">
        <f t="shared" si="442"/>
        <v>0</v>
      </c>
      <c r="K4698">
        <f t="shared" si="443"/>
        <v>1</v>
      </c>
    </row>
    <row r="4699" spans="1:11" x14ac:dyDescent="0.25">
      <c r="A4699" t="s">
        <v>321</v>
      </c>
      <c r="B4699" t="s">
        <v>264</v>
      </c>
      <c r="C4699" t="s">
        <v>66</v>
      </c>
      <c r="D4699" s="6">
        <v>45947</v>
      </c>
      <c r="E4699" t="str">
        <f>VLOOKUP(B4699,'PROCV GERENTES BD'!A:B,2,0)</f>
        <v>RAFAEL PARISE</v>
      </c>
      <c r="F4699" s="4" t="str">
        <f t="shared" si="438"/>
        <v>2025-10</v>
      </c>
      <c r="G4699" s="18">
        <f t="shared" si="439"/>
        <v>42</v>
      </c>
      <c r="H4699" t="str">
        <f t="shared" si="440"/>
        <v>RAFAEL PARISE</v>
      </c>
      <c r="I4699" t="str">
        <f t="shared" si="441"/>
        <v>METALCROMO METALIZACAO E CROMO DURO INDUSTRIAL LTD</v>
      </c>
      <c r="J4699">
        <f t="shared" si="442"/>
        <v>1</v>
      </c>
      <c r="K4699">
        <f t="shared" si="443"/>
        <v>0</v>
      </c>
    </row>
    <row r="4700" spans="1:11" x14ac:dyDescent="0.25">
      <c r="A4700" t="s">
        <v>307</v>
      </c>
      <c r="B4700" t="s">
        <v>102</v>
      </c>
      <c r="C4700" t="s">
        <v>66</v>
      </c>
      <c r="D4700" s="6">
        <v>45947</v>
      </c>
      <c r="E4700" t="str">
        <f>VLOOKUP(B4700,'PROCV GERENTES BD'!A:B,2,0)</f>
        <v>POENATELA</v>
      </c>
      <c r="F4700" s="4" t="str">
        <f t="shared" si="438"/>
        <v>2025-10</v>
      </c>
      <c r="G4700" s="18">
        <f t="shared" si="439"/>
        <v>42</v>
      </c>
      <c r="H4700" t="str">
        <f t="shared" si="440"/>
        <v>POENATELA</v>
      </c>
      <c r="I4700" t="str">
        <f t="shared" si="441"/>
        <v>ECOPINUS INDUSTRIA E COMERCIO DE EMBALAGENS DE MAD</v>
      </c>
      <c r="J4700">
        <f t="shared" si="442"/>
        <v>1</v>
      </c>
      <c r="K4700">
        <f t="shared" si="443"/>
        <v>0</v>
      </c>
    </row>
    <row r="4701" spans="1:11" x14ac:dyDescent="0.25">
      <c r="A4701" t="s">
        <v>415</v>
      </c>
      <c r="B4701" t="s">
        <v>165</v>
      </c>
      <c r="C4701" t="s">
        <v>50</v>
      </c>
      <c r="D4701" s="6">
        <v>45947</v>
      </c>
      <c r="E4701" t="str">
        <f>VLOOKUP(B4701,'PROCV GERENTES BD'!A:B,2,0)</f>
        <v>PROSPECTAR</v>
      </c>
      <c r="F4701" s="4" t="str">
        <f t="shared" si="438"/>
        <v>2025-10</v>
      </c>
      <c r="G4701" s="18">
        <f t="shared" si="439"/>
        <v>42</v>
      </c>
      <c r="H4701" t="str">
        <f t="shared" si="440"/>
        <v>PROSPECTAR</v>
      </c>
      <c r="I4701" t="str">
        <f t="shared" si="441"/>
        <v>STA SERVICOS LTDA</v>
      </c>
      <c r="J4701">
        <f t="shared" si="442"/>
        <v>0</v>
      </c>
      <c r="K4701">
        <f t="shared" si="443"/>
        <v>1</v>
      </c>
    </row>
    <row r="4702" spans="1:11" x14ac:dyDescent="0.25">
      <c r="A4702" t="s">
        <v>368</v>
      </c>
      <c r="B4702" t="s">
        <v>111</v>
      </c>
      <c r="C4702" t="s">
        <v>50</v>
      </c>
      <c r="D4702" s="6">
        <v>45947</v>
      </c>
      <c r="E4702" t="str">
        <f>VLOOKUP(B4702,'PROCV GERENTES BD'!A:B,2,0)</f>
        <v>ADMINISTRAÇÃO</v>
      </c>
      <c r="F4702" s="4" t="str">
        <f t="shared" si="438"/>
        <v>2025-10</v>
      </c>
      <c r="G4702" s="18">
        <f t="shared" si="439"/>
        <v>42</v>
      </c>
      <c r="H4702" t="str">
        <f t="shared" si="440"/>
        <v>ADMINISTRAÇÃO</v>
      </c>
      <c r="I4702" t="str">
        <f t="shared" si="441"/>
        <v>ARTECAL ELETROCENTROS S/A</v>
      </c>
      <c r="J4702">
        <f t="shared" si="442"/>
        <v>0</v>
      </c>
      <c r="K4702">
        <f t="shared" si="443"/>
        <v>1</v>
      </c>
    </row>
    <row r="4703" spans="1:11" x14ac:dyDescent="0.25">
      <c r="A4703" t="s">
        <v>56</v>
      </c>
      <c r="B4703" t="s">
        <v>57</v>
      </c>
      <c r="C4703" t="s">
        <v>50</v>
      </c>
      <c r="D4703" s="6">
        <v>45947</v>
      </c>
      <c r="E4703" t="str">
        <f>VLOOKUP(B4703,'PROCV GERENTES BD'!A:B,2,0)</f>
        <v xml:space="preserve">ROGERIO </v>
      </c>
      <c r="F4703" s="4" t="str">
        <f t="shared" si="438"/>
        <v>2025-10</v>
      </c>
      <c r="G4703" s="18">
        <f t="shared" si="439"/>
        <v>42</v>
      </c>
      <c r="H4703" t="str">
        <f t="shared" si="440"/>
        <v xml:space="preserve">ROGERIO </v>
      </c>
      <c r="I4703" t="str">
        <f t="shared" si="441"/>
        <v>RODOVIEIRA TRANSPORTE LTDA</v>
      </c>
      <c r="J4703">
        <f t="shared" si="442"/>
        <v>0</v>
      </c>
      <c r="K4703">
        <f t="shared" si="443"/>
        <v>1</v>
      </c>
    </row>
    <row r="4704" spans="1:11" x14ac:dyDescent="0.25">
      <c r="A4704" t="s">
        <v>371</v>
      </c>
      <c r="B4704" t="s">
        <v>706</v>
      </c>
      <c r="C4704" t="s">
        <v>328</v>
      </c>
      <c r="D4704" s="6">
        <v>45948</v>
      </c>
      <c r="E4704" t="str">
        <f>VLOOKUP(B4704,'PROCV GERENTES BD'!A:B,2,0)</f>
        <v>ADMINISTRAÇÃO</v>
      </c>
      <c r="F4704" s="4" t="str">
        <f t="shared" si="438"/>
        <v>2025-10</v>
      </c>
      <c r="G4704" s="18">
        <f t="shared" si="439"/>
        <v>42</v>
      </c>
      <c r="H4704" t="str">
        <f t="shared" si="440"/>
        <v>ADMINISTRAÇÃO</v>
      </c>
      <c r="I4704" t="str">
        <f t="shared" si="441"/>
        <v>ESPECIALI INDUSTRIA DE ALIMENTOS S/A</v>
      </c>
      <c r="J4704">
        <f t="shared" si="442"/>
        <v>0</v>
      </c>
      <c r="K4704">
        <f t="shared" si="443"/>
        <v>0</v>
      </c>
    </row>
    <row r="4705" spans="1:11" x14ac:dyDescent="0.25">
      <c r="A4705" t="s">
        <v>371</v>
      </c>
      <c r="B4705" t="s">
        <v>706</v>
      </c>
      <c r="C4705" t="s">
        <v>71</v>
      </c>
      <c r="D4705" s="6">
        <v>45948</v>
      </c>
      <c r="E4705" t="str">
        <f>VLOOKUP(B4705,'PROCV GERENTES BD'!A:B,2,0)</f>
        <v>ADMINISTRAÇÃO</v>
      </c>
      <c r="F4705" s="4" t="str">
        <f t="shared" si="438"/>
        <v>2025-10</v>
      </c>
      <c r="G4705" s="18">
        <f t="shared" si="439"/>
        <v>42</v>
      </c>
      <c r="H4705" t="str">
        <f t="shared" si="440"/>
        <v>ADMINISTRAÇÃO</v>
      </c>
      <c r="I4705" t="str">
        <f t="shared" si="441"/>
        <v>ESPECIALI INDUSTRIA DE ALIMENTOS S/A</v>
      </c>
      <c r="J4705">
        <f t="shared" si="442"/>
        <v>0</v>
      </c>
      <c r="K4705">
        <f t="shared" si="443"/>
        <v>0</v>
      </c>
    </row>
    <row r="4706" spans="1:11" x14ac:dyDescent="0.25">
      <c r="A4706" t="s">
        <v>658</v>
      </c>
      <c r="B4706" t="s">
        <v>659</v>
      </c>
      <c r="C4706" t="s">
        <v>50</v>
      </c>
      <c r="D4706" s="6">
        <v>45948</v>
      </c>
      <c r="E4706" t="str">
        <f>VLOOKUP(B4706,'PROCV GERENTES BD'!A:B,2,0)</f>
        <v>ADMINISTRAÇÃO</v>
      </c>
      <c r="F4706" s="4" t="str">
        <f t="shared" si="438"/>
        <v>2025-10</v>
      </c>
      <c r="G4706" s="18">
        <f t="shared" si="439"/>
        <v>42</v>
      </c>
      <c r="H4706" t="str">
        <f t="shared" si="440"/>
        <v>ADMINISTRAÇÃO</v>
      </c>
      <c r="I4706" t="str">
        <f t="shared" si="441"/>
        <v>LEFORM PLANEJADOS LTDA ME</v>
      </c>
      <c r="J4706">
        <f t="shared" si="442"/>
        <v>0</v>
      </c>
      <c r="K4706">
        <f t="shared" si="443"/>
        <v>1</v>
      </c>
    </row>
    <row r="4707" spans="1:11" x14ac:dyDescent="0.25">
      <c r="A4707" t="s">
        <v>704</v>
      </c>
      <c r="B4707" t="s">
        <v>705</v>
      </c>
      <c r="C4707" t="s">
        <v>66</v>
      </c>
      <c r="D4707" s="6">
        <v>45948</v>
      </c>
      <c r="E4707" t="str">
        <f>VLOOKUP(B4707,'PROCV GERENTES BD'!A:B,2,0)</f>
        <v>DAVI</v>
      </c>
      <c r="F4707" s="4" t="str">
        <f t="shared" si="438"/>
        <v>2025-10</v>
      </c>
      <c r="G4707" s="18">
        <f t="shared" si="439"/>
        <v>42</v>
      </c>
      <c r="H4707" t="str">
        <f t="shared" si="440"/>
        <v>DAVI</v>
      </c>
      <c r="I4707" t="str">
        <f t="shared" si="441"/>
        <v>DUOPLASTIC INDUSTRIA DE MOVEIS LTDA ME</v>
      </c>
      <c r="J4707">
        <f t="shared" si="442"/>
        <v>1</v>
      </c>
      <c r="K4707">
        <f t="shared" si="443"/>
        <v>0</v>
      </c>
    </row>
    <row r="4708" spans="1:11" x14ac:dyDescent="0.25">
      <c r="A4708" t="s">
        <v>314</v>
      </c>
      <c r="B4708" t="s">
        <v>246</v>
      </c>
      <c r="C4708" t="s">
        <v>66</v>
      </c>
      <c r="D4708" s="6">
        <v>45948</v>
      </c>
      <c r="E4708" t="str">
        <f>VLOOKUP(B4708,'PROCV GERENTES BD'!A:B,2,0)</f>
        <v xml:space="preserve">ROGERIO </v>
      </c>
      <c r="F4708" s="4" t="str">
        <f t="shared" si="438"/>
        <v>2025-10</v>
      </c>
      <c r="G4708" s="18">
        <f t="shared" si="439"/>
        <v>42</v>
      </c>
      <c r="H4708" t="str">
        <f t="shared" si="440"/>
        <v xml:space="preserve">ROGERIO </v>
      </c>
      <c r="I4708" t="str">
        <f t="shared" si="441"/>
        <v>MUTCD CENTRO DE DISTRIBUICAO DE IND FABRICANTE DE</v>
      </c>
      <c r="J4708">
        <f t="shared" si="442"/>
        <v>1</v>
      </c>
      <c r="K4708">
        <f t="shared" si="443"/>
        <v>0</v>
      </c>
    </row>
    <row r="4709" spans="1:11" x14ac:dyDescent="0.25">
      <c r="A4709" t="s">
        <v>608</v>
      </c>
      <c r="B4709" t="s">
        <v>707</v>
      </c>
      <c r="C4709" t="s">
        <v>71</v>
      </c>
      <c r="D4709" s="6">
        <v>45948</v>
      </c>
      <c r="E4709" t="str">
        <f>VLOOKUP(B4709,'PROCV GERENTES BD'!A:B,2,0)</f>
        <v>PROSPECTAR</v>
      </c>
      <c r="F4709" s="4" t="str">
        <f t="shared" si="438"/>
        <v>2025-10</v>
      </c>
      <c r="G4709" s="18">
        <f t="shared" si="439"/>
        <v>42</v>
      </c>
      <c r="H4709" t="str">
        <f t="shared" si="440"/>
        <v>PROSPECTAR</v>
      </c>
      <c r="I4709" t="str">
        <f t="shared" si="441"/>
        <v>TEXTIL CLUB ACADEMY LTDA EPP</v>
      </c>
      <c r="J4709">
        <f t="shared" si="442"/>
        <v>0</v>
      </c>
      <c r="K4709">
        <f t="shared" si="443"/>
        <v>0</v>
      </c>
    </row>
    <row r="4710" spans="1:11" x14ac:dyDescent="0.25">
      <c r="A4710" t="s">
        <v>608</v>
      </c>
      <c r="B4710" t="s">
        <v>707</v>
      </c>
      <c r="C4710" t="s">
        <v>328</v>
      </c>
      <c r="D4710" s="6">
        <v>45948</v>
      </c>
      <c r="E4710" t="str">
        <f>VLOOKUP(B4710,'PROCV GERENTES BD'!A:B,2,0)</f>
        <v>PROSPECTAR</v>
      </c>
      <c r="F4710" s="4" t="str">
        <f t="shared" si="438"/>
        <v>2025-10</v>
      </c>
      <c r="G4710" s="18">
        <f t="shared" si="439"/>
        <v>42</v>
      </c>
      <c r="H4710" t="str">
        <f t="shared" si="440"/>
        <v>PROSPECTAR</v>
      </c>
      <c r="I4710" t="str">
        <f t="shared" si="441"/>
        <v>TEXTIL CLUB ACADEMY LTDA EPP</v>
      </c>
      <c r="J4710">
        <f t="shared" si="442"/>
        <v>0</v>
      </c>
      <c r="K4710">
        <f t="shared" si="443"/>
        <v>0</v>
      </c>
    </row>
    <row r="4711" spans="1:11" x14ac:dyDescent="0.25">
      <c r="A4711" t="s">
        <v>608</v>
      </c>
      <c r="B4711" t="s">
        <v>707</v>
      </c>
      <c r="C4711" t="s">
        <v>602</v>
      </c>
      <c r="D4711" s="6">
        <v>45948</v>
      </c>
      <c r="E4711" t="str">
        <f>VLOOKUP(B4711,'PROCV GERENTES BD'!A:B,2,0)</f>
        <v>PROSPECTAR</v>
      </c>
      <c r="F4711" s="4" t="str">
        <f t="shared" si="438"/>
        <v>2025-10</v>
      </c>
      <c r="G4711" s="18">
        <f t="shared" si="439"/>
        <v>42</v>
      </c>
      <c r="H4711" t="str">
        <f t="shared" si="440"/>
        <v>PROSPECTAR</v>
      </c>
      <c r="I4711" t="str">
        <f t="shared" si="441"/>
        <v>TEXTIL CLUB ACADEMY LTDA EPP</v>
      </c>
      <c r="J4711">
        <f t="shared" si="442"/>
        <v>0</v>
      </c>
      <c r="K4711">
        <f t="shared" si="443"/>
        <v>0</v>
      </c>
    </row>
    <row r="4712" spans="1:11" x14ac:dyDescent="0.25">
      <c r="A4712" t="s">
        <v>521</v>
      </c>
      <c r="B4712" t="s">
        <v>286</v>
      </c>
      <c r="C4712" t="s">
        <v>327</v>
      </c>
      <c r="D4712" s="6">
        <v>45948</v>
      </c>
      <c r="E4712" t="str">
        <f>VLOOKUP(B4712,'PROCV GERENTES BD'!A:B,2,0)</f>
        <v>CELIO PIMENTA</v>
      </c>
      <c r="F4712" s="4" t="str">
        <f t="shared" si="438"/>
        <v>2025-10</v>
      </c>
      <c r="G4712" s="18">
        <f t="shared" si="439"/>
        <v>42</v>
      </c>
      <c r="H4712" t="str">
        <f t="shared" si="440"/>
        <v>CELIO PIMENTA</v>
      </c>
      <c r="I4712" t="str">
        <f t="shared" si="441"/>
        <v>LINGERIE E CIA LTDA ME</v>
      </c>
      <c r="J4712">
        <f t="shared" si="442"/>
        <v>0</v>
      </c>
      <c r="K4712">
        <f t="shared" si="443"/>
        <v>0</v>
      </c>
    </row>
    <row r="4713" spans="1:11" x14ac:dyDescent="0.25">
      <c r="A4713" t="s">
        <v>521</v>
      </c>
      <c r="B4713" t="s">
        <v>286</v>
      </c>
      <c r="C4713" t="s">
        <v>329</v>
      </c>
      <c r="D4713" s="6">
        <v>45948</v>
      </c>
      <c r="E4713" t="str">
        <f>VLOOKUP(B4713,'PROCV GERENTES BD'!A:B,2,0)</f>
        <v>CELIO PIMENTA</v>
      </c>
      <c r="F4713" s="4" t="str">
        <f t="shared" si="438"/>
        <v>2025-10</v>
      </c>
      <c r="G4713" s="18">
        <f t="shared" si="439"/>
        <v>42</v>
      </c>
      <c r="H4713" t="str">
        <f t="shared" si="440"/>
        <v>CELIO PIMENTA</v>
      </c>
      <c r="I4713" t="str">
        <f t="shared" si="441"/>
        <v>LINGERIE E CIA LTDA ME</v>
      </c>
      <c r="J4713">
        <f t="shared" si="442"/>
        <v>0</v>
      </c>
      <c r="K4713">
        <f t="shared" si="443"/>
        <v>0</v>
      </c>
    </row>
    <row r="4714" spans="1:11" x14ac:dyDescent="0.25">
      <c r="A4714" t="s">
        <v>630</v>
      </c>
      <c r="B4714" t="s">
        <v>559</v>
      </c>
      <c r="C4714" t="s">
        <v>50</v>
      </c>
      <c r="D4714" s="6">
        <v>45948</v>
      </c>
      <c r="E4714" t="str">
        <f>VLOOKUP(B4714,'PROCV GERENTES BD'!A:B,2,0)</f>
        <v>ALISSON DE SOUZA LIMA</v>
      </c>
      <c r="F4714" s="4" t="str">
        <f t="shared" si="438"/>
        <v>2025-10</v>
      </c>
      <c r="G4714" s="18">
        <f t="shared" si="439"/>
        <v>42</v>
      </c>
      <c r="H4714" t="str">
        <f t="shared" si="440"/>
        <v>ALISSON DE SOUZA LIMA</v>
      </c>
      <c r="I4714" t="str">
        <f t="shared" si="441"/>
        <v>JRG SOLUCOES INDUSTRIAIS LTDA</v>
      </c>
      <c r="J4714">
        <f t="shared" si="442"/>
        <v>0</v>
      </c>
      <c r="K4714">
        <f t="shared" si="443"/>
        <v>1</v>
      </c>
    </row>
    <row r="4715" spans="1:11" x14ac:dyDescent="0.25">
      <c r="A4715" t="s">
        <v>487</v>
      </c>
      <c r="B4715" t="s">
        <v>244</v>
      </c>
      <c r="C4715" t="s">
        <v>66</v>
      </c>
      <c r="D4715" s="6">
        <v>45948</v>
      </c>
      <c r="E4715" t="str">
        <f>VLOOKUP(B4715,'PROCV GERENTES BD'!A:B,2,0)</f>
        <v xml:space="preserve">ROGERIO </v>
      </c>
      <c r="F4715" s="4" t="str">
        <f t="shared" si="438"/>
        <v>2025-10</v>
      </c>
      <c r="G4715" s="18">
        <f t="shared" si="439"/>
        <v>42</v>
      </c>
      <c r="H4715" t="str">
        <f t="shared" si="440"/>
        <v xml:space="preserve">ROGERIO </v>
      </c>
      <c r="I4715" t="str">
        <f t="shared" si="441"/>
        <v>MUNDO AGRO COMERCIO E DISTRIBUICAO DE CALCADOS LTD</v>
      </c>
      <c r="J4715">
        <f t="shared" si="442"/>
        <v>1</v>
      </c>
      <c r="K4715">
        <f t="shared" si="443"/>
        <v>0</v>
      </c>
    </row>
    <row r="4716" spans="1:11" x14ac:dyDescent="0.25">
      <c r="A4716" t="s">
        <v>427</v>
      </c>
      <c r="B4716" t="s">
        <v>178</v>
      </c>
      <c r="C4716" t="s">
        <v>50</v>
      </c>
      <c r="D4716" s="6">
        <v>45948</v>
      </c>
      <c r="E4716" t="str">
        <f>VLOOKUP(B4716,'PROCV GERENTES BD'!A:B,2,0)</f>
        <v>ADMINISTRAÇÃO</v>
      </c>
      <c r="F4716" s="4" t="str">
        <f t="shared" si="438"/>
        <v>2025-10</v>
      </c>
      <c r="G4716" s="18">
        <f t="shared" si="439"/>
        <v>42</v>
      </c>
      <c r="H4716" t="str">
        <f t="shared" si="440"/>
        <v>ADMINISTRAÇÃO</v>
      </c>
      <c r="I4716" t="str">
        <f t="shared" si="441"/>
        <v>LIZZENA COSMETICOS LTDA EPP</v>
      </c>
      <c r="J4716">
        <f t="shared" si="442"/>
        <v>0</v>
      </c>
      <c r="K4716">
        <f t="shared" si="443"/>
        <v>1</v>
      </c>
    </row>
    <row r="4717" spans="1:11" x14ac:dyDescent="0.25">
      <c r="A4717" t="s">
        <v>331</v>
      </c>
      <c r="B4717" t="s">
        <v>144</v>
      </c>
      <c r="C4717" t="s">
        <v>66</v>
      </c>
      <c r="D4717" s="6">
        <v>45948</v>
      </c>
      <c r="E4717" t="str">
        <f>VLOOKUP(B4717,'PROCV GERENTES BD'!A:B,2,0)</f>
        <v>ADMINISTRAÇÃO</v>
      </c>
      <c r="F4717" s="4" t="str">
        <f t="shared" si="438"/>
        <v>2025-10</v>
      </c>
      <c r="G4717" s="18">
        <f t="shared" si="439"/>
        <v>42</v>
      </c>
      <c r="H4717" t="str">
        <f t="shared" si="440"/>
        <v>ADMINISTRAÇÃO</v>
      </c>
      <c r="I4717" t="str">
        <f t="shared" si="441"/>
        <v>BOM PASTOR PAPEIS LTDA EM RECUPERACAO JUDICIAL</v>
      </c>
      <c r="J4717">
        <f t="shared" si="442"/>
        <v>1</v>
      </c>
      <c r="K4717">
        <f t="shared" si="443"/>
        <v>0</v>
      </c>
    </row>
    <row r="4718" spans="1:11" x14ac:dyDescent="0.25">
      <c r="A4718" t="s">
        <v>708</v>
      </c>
      <c r="B4718" t="s">
        <v>570</v>
      </c>
      <c r="C4718" t="s">
        <v>71</v>
      </c>
      <c r="D4718" s="6">
        <v>45948</v>
      </c>
      <c r="E4718" t="str">
        <f>VLOOKUP(B4718,'PROCV GERENTES BD'!A:B,2,0)</f>
        <v>RAFAEL PARISE</v>
      </c>
      <c r="F4718" s="4" t="str">
        <f t="shared" si="438"/>
        <v>2025-10</v>
      </c>
      <c r="G4718" s="18">
        <f t="shared" si="439"/>
        <v>42</v>
      </c>
      <c r="H4718" t="str">
        <f t="shared" si="440"/>
        <v>RAFAEL PARISE</v>
      </c>
      <c r="I4718" t="str">
        <f t="shared" si="441"/>
        <v>NITROTEX INDUSTRIA E COMERCIO TEXTEIS LTDA ME</v>
      </c>
      <c r="J4718">
        <f t="shared" si="442"/>
        <v>0</v>
      </c>
      <c r="K4718">
        <f t="shared" si="443"/>
        <v>0</v>
      </c>
    </row>
    <row r="4719" spans="1:11" x14ac:dyDescent="0.25">
      <c r="A4719" t="s">
        <v>499</v>
      </c>
      <c r="B4719" t="s">
        <v>258</v>
      </c>
      <c r="C4719" t="s">
        <v>50</v>
      </c>
      <c r="D4719" s="6">
        <v>45948</v>
      </c>
      <c r="E4719" t="str">
        <f>VLOOKUP(B4719,'PROCV GERENTES BD'!A:B,2,0)</f>
        <v>PRISCILA METZ</v>
      </c>
      <c r="F4719" s="4" t="str">
        <f t="shared" si="438"/>
        <v>2025-10</v>
      </c>
      <c r="G4719" s="18">
        <f t="shared" si="439"/>
        <v>42</v>
      </c>
      <c r="H4719" t="str">
        <f t="shared" si="440"/>
        <v>PRISCILA METZ</v>
      </c>
      <c r="I4719" t="str">
        <f t="shared" si="441"/>
        <v>PLATINUM INDUSTRIA DE CONFECCOES LTDA</v>
      </c>
      <c r="J4719">
        <f t="shared" si="442"/>
        <v>0</v>
      </c>
      <c r="K4719">
        <f t="shared" si="443"/>
        <v>1</v>
      </c>
    </row>
    <row r="4720" spans="1:11" x14ac:dyDescent="0.25">
      <c r="A4720" t="s">
        <v>632</v>
      </c>
      <c r="B4720" t="s">
        <v>709</v>
      </c>
      <c r="C4720" t="s">
        <v>50</v>
      </c>
      <c r="D4720" s="6">
        <v>45948</v>
      </c>
      <c r="E4720" t="str">
        <f>VLOOKUP(B4720,'PROCV GERENTES BD'!A:B,2,0)</f>
        <v>TIAGO NEVES</v>
      </c>
      <c r="F4720" s="4" t="str">
        <f t="shared" si="438"/>
        <v>2025-10</v>
      </c>
      <c r="G4720" s="18">
        <f t="shared" si="439"/>
        <v>42</v>
      </c>
      <c r="H4720" t="str">
        <f t="shared" si="440"/>
        <v>TIAGO NEVES</v>
      </c>
      <c r="I4720" t="str">
        <f t="shared" si="441"/>
        <v>AUTO VIDROS MG LTDA</v>
      </c>
      <c r="J4720">
        <f t="shared" si="442"/>
        <v>0</v>
      </c>
      <c r="K4720">
        <f t="shared" si="443"/>
        <v>1</v>
      </c>
    </row>
    <row r="4721" spans="1:11" x14ac:dyDescent="0.25">
      <c r="A4721" t="s">
        <v>632</v>
      </c>
      <c r="B4721" t="s">
        <v>709</v>
      </c>
      <c r="C4721" t="s">
        <v>328</v>
      </c>
      <c r="D4721" s="6">
        <v>45948</v>
      </c>
      <c r="E4721" t="str">
        <f>VLOOKUP(B4721,'PROCV GERENTES BD'!A:B,2,0)</f>
        <v>TIAGO NEVES</v>
      </c>
      <c r="F4721" s="4" t="str">
        <f t="shared" si="438"/>
        <v>2025-10</v>
      </c>
      <c r="G4721" s="18">
        <f t="shared" si="439"/>
        <v>42</v>
      </c>
      <c r="H4721" t="str">
        <f t="shared" si="440"/>
        <v>TIAGO NEVES</v>
      </c>
      <c r="I4721" t="str">
        <f t="shared" si="441"/>
        <v>AUTO VIDROS MG LTDA</v>
      </c>
      <c r="J4721">
        <f t="shared" si="442"/>
        <v>0</v>
      </c>
      <c r="K4721">
        <f t="shared" si="443"/>
        <v>0</v>
      </c>
    </row>
    <row r="4722" spans="1:11" x14ac:dyDescent="0.25">
      <c r="A4722" t="s">
        <v>58</v>
      </c>
      <c r="B4722" t="s">
        <v>59</v>
      </c>
      <c r="C4722" t="s">
        <v>53</v>
      </c>
      <c r="D4722" s="6">
        <v>45948</v>
      </c>
      <c r="E4722" t="str">
        <f>VLOOKUP(B4722,'PROCV GERENTES BD'!A:B,2,0)</f>
        <v>ADMINISTRAÇÃO</v>
      </c>
      <c r="F4722" s="4" t="str">
        <f t="shared" si="438"/>
        <v>2025-10</v>
      </c>
      <c r="G4722" s="18">
        <f t="shared" si="439"/>
        <v>42</v>
      </c>
      <c r="H4722" t="str">
        <f t="shared" si="440"/>
        <v>ADMINISTRAÇÃO</v>
      </c>
      <c r="I4722" t="str">
        <f t="shared" si="441"/>
        <v>BIOTECH LOGISTICA LTDA</v>
      </c>
      <c r="J4722">
        <f t="shared" si="442"/>
        <v>1</v>
      </c>
      <c r="K4722">
        <f t="shared" si="443"/>
        <v>1</v>
      </c>
    </row>
    <row r="4723" spans="1:11" x14ac:dyDescent="0.25">
      <c r="A4723" t="s">
        <v>510</v>
      </c>
      <c r="B4723" t="s">
        <v>273</v>
      </c>
      <c r="C4723" t="s">
        <v>327</v>
      </c>
      <c r="D4723" s="6">
        <v>45948</v>
      </c>
      <c r="E4723" t="str">
        <f>VLOOKUP(B4723,'PROCV GERENTES BD'!A:B,2,0)</f>
        <v>CELIO PIMENTA</v>
      </c>
      <c r="F4723" s="4" t="str">
        <f t="shared" si="438"/>
        <v>2025-10</v>
      </c>
      <c r="G4723" s="18">
        <f t="shared" si="439"/>
        <v>42</v>
      </c>
      <c r="H4723" t="str">
        <f t="shared" si="440"/>
        <v>CELIO PIMENTA</v>
      </c>
      <c r="I4723" t="str">
        <f t="shared" si="441"/>
        <v>PRADO MOREIRA TEXTIL LTDA ME</v>
      </c>
      <c r="J4723">
        <f t="shared" si="442"/>
        <v>0</v>
      </c>
      <c r="K4723">
        <f t="shared" si="443"/>
        <v>0</v>
      </c>
    </row>
    <row r="4724" spans="1:11" x14ac:dyDescent="0.25">
      <c r="A4724" t="s">
        <v>361</v>
      </c>
      <c r="B4724" t="s">
        <v>106</v>
      </c>
      <c r="C4724" t="s">
        <v>50</v>
      </c>
      <c r="D4724" s="6">
        <v>45948</v>
      </c>
      <c r="E4724" t="str">
        <f>VLOOKUP(B4724,'PROCV GERENTES BD'!A:B,2,0)</f>
        <v>PRISCILA METZ</v>
      </c>
      <c r="F4724" s="4" t="str">
        <f t="shared" si="438"/>
        <v>2025-10</v>
      </c>
      <c r="G4724" s="18">
        <f t="shared" si="439"/>
        <v>42</v>
      </c>
      <c r="H4724" t="str">
        <f t="shared" si="440"/>
        <v>PRISCILA METZ</v>
      </c>
      <c r="I4724" t="str">
        <f t="shared" si="441"/>
        <v>HERBAMED LABORATORIO NUTRACEUTICO LTDA</v>
      </c>
      <c r="J4724">
        <f t="shared" si="442"/>
        <v>0</v>
      </c>
      <c r="K4724">
        <f t="shared" si="443"/>
        <v>1</v>
      </c>
    </row>
    <row r="4725" spans="1:11" x14ac:dyDescent="0.25">
      <c r="A4725" t="s">
        <v>387</v>
      </c>
      <c r="B4725" t="s">
        <v>134</v>
      </c>
      <c r="C4725" t="s">
        <v>50</v>
      </c>
      <c r="D4725" s="6">
        <v>45948</v>
      </c>
      <c r="E4725" t="str">
        <f>VLOOKUP(B4725,'PROCV GERENTES BD'!A:B,2,0)</f>
        <v>RAFAEL PARISE</v>
      </c>
      <c r="F4725" s="4" t="str">
        <f t="shared" si="438"/>
        <v>2025-10</v>
      </c>
      <c r="G4725" s="18">
        <f t="shared" si="439"/>
        <v>42</v>
      </c>
      <c r="H4725" t="str">
        <f t="shared" si="440"/>
        <v>RAFAEL PARISE</v>
      </c>
      <c r="I4725" t="str">
        <f t="shared" si="441"/>
        <v>MAIS DISTRIBUIDORA LTDA</v>
      </c>
      <c r="J4725">
        <f t="shared" si="442"/>
        <v>0</v>
      </c>
      <c r="K4725">
        <f t="shared" si="443"/>
        <v>1</v>
      </c>
    </row>
    <row r="4726" spans="1:11" x14ac:dyDescent="0.25">
      <c r="A4726" t="s">
        <v>387</v>
      </c>
      <c r="B4726" t="s">
        <v>134</v>
      </c>
      <c r="C4726" t="s">
        <v>71</v>
      </c>
      <c r="D4726" s="6">
        <v>45948</v>
      </c>
      <c r="E4726" t="str">
        <f>VLOOKUP(B4726,'PROCV GERENTES BD'!A:B,2,0)</f>
        <v>RAFAEL PARISE</v>
      </c>
      <c r="F4726" s="4" t="str">
        <f t="shared" si="438"/>
        <v>2025-10</v>
      </c>
      <c r="G4726" s="18">
        <f t="shared" si="439"/>
        <v>42</v>
      </c>
      <c r="H4726" t="str">
        <f t="shared" si="440"/>
        <v>RAFAEL PARISE</v>
      </c>
      <c r="I4726" t="str">
        <f t="shared" si="441"/>
        <v>MAIS DISTRIBUIDORA LTDA</v>
      </c>
      <c r="J4726">
        <f t="shared" si="442"/>
        <v>0</v>
      </c>
      <c r="K4726">
        <f t="shared" si="443"/>
        <v>0</v>
      </c>
    </row>
    <row r="4727" spans="1:11" x14ac:dyDescent="0.25">
      <c r="A4727" t="s">
        <v>51</v>
      </c>
      <c r="B4727" t="s">
        <v>52</v>
      </c>
      <c r="C4727" t="s">
        <v>50</v>
      </c>
      <c r="D4727" s="6">
        <v>45948</v>
      </c>
      <c r="E4727" t="str">
        <f>VLOOKUP(B4727,'PROCV GERENTES BD'!A:B,2,0)</f>
        <v>RAFAEL PARISE</v>
      </c>
      <c r="F4727" s="4" t="str">
        <f t="shared" si="438"/>
        <v>2025-10</v>
      </c>
      <c r="G4727" s="18">
        <f t="shared" si="439"/>
        <v>42</v>
      </c>
      <c r="H4727" t="str">
        <f t="shared" si="440"/>
        <v>RAFAEL PARISE</v>
      </c>
      <c r="I4727" t="str">
        <f t="shared" si="441"/>
        <v>TDR TRANSPORTES LOGISTICA LTDA</v>
      </c>
      <c r="J4727">
        <f t="shared" si="442"/>
        <v>0</v>
      </c>
      <c r="K4727">
        <f t="shared" si="443"/>
        <v>1</v>
      </c>
    </row>
    <row r="4728" spans="1:11" x14ac:dyDescent="0.25">
      <c r="A4728" t="s">
        <v>311</v>
      </c>
      <c r="B4728" t="s">
        <v>81</v>
      </c>
      <c r="C4728" t="s">
        <v>66</v>
      </c>
      <c r="D4728" s="6">
        <v>45948</v>
      </c>
      <c r="E4728" t="str">
        <f>VLOOKUP(B4728,'PROCV GERENTES BD'!A:B,2,0)</f>
        <v>CELIO PIMENTA</v>
      </c>
      <c r="F4728" s="4" t="str">
        <f t="shared" si="438"/>
        <v>2025-10</v>
      </c>
      <c r="G4728" s="18">
        <f t="shared" si="439"/>
        <v>42</v>
      </c>
      <c r="H4728" t="str">
        <f t="shared" si="440"/>
        <v>CELIO PIMENTA</v>
      </c>
      <c r="I4728" t="str">
        <f t="shared" si="441"/>
        <v>MBIOLOG DIAGNOSTICOS LTDA</v>
      </c>
      <c r="J4728">
        <f t="shared" si="442"/>
        <v>1</v>
      </c>
      <c r="K4728">
        <f t="shared" si="443"/>
        <v>0</v>
      </c>
    </row>
    <row r="4729" spans="1:11" x14ac:dyDescent="0.25">
      <c r="A4729" t="s">
        <v>522</v>
      </c>
      <c r="B4729" t="s">
        <v>290</v>
      </c>
      <c r="C4729" t="s">
        <v>66</v>
      </c>
      <c r="D4729" s="6">
        <v>45948</v>
      </c>
      <c r="E4729" t="str">
        <f>VLOOKUP(B4729,'PROCV GERENTES BD'!A:B,2,0)</f>
        <v>CAIO</v>
      </c>
      <c r="F4729" s="4" t="str">
        <f t="shared" si="438"/>
        <v>2025-10</v>
      </c>
      <c r="G4729" s="18">
        <f t="shared" si="439"/>
        <v>42</v>
      </c>
      <c r="H4729" t="str">
        <f t="shared" si="440"/>
        <v>CAIO</v>
      </c>
      <c r="I4729" t="str">
        <f t="shared" si="441"/>
        <v>C V T O IND E COM LTDA EPP</v>
      </c>
      <c r="J4729">
        <f t="shared" si="442"/>
        <v>1</v>
      </c>
      <c r="K4729">
        <f t="shared" si="443"/>
        <v>0</v>
      </c>
    </row>
    <row r="4730" spans="1:11" x14ac:dyDescent="0.25">
      <c r="A4730" t="s">
        <v>710</v>
      </c>
      <c r="B4730" t="s">
        <v>573</v>
      </c>
      <c r="C4730" t="s">
        <v>71</v>
      </c>
      <c r="D4730" s="6">
        <v>45948</v>
      </c>
      <c r="E4730" t="str">
        <f>VLOOKUP(B4730,'PROCV GERENTES BD'!A:B,2,0)</f>
        <v>VALERIA</v>
      </c>
      <c r="F4730" s="4" t="str">
        <f t="shared" si="438"/>
        <v>2025-10</v>
      </c>
      <c r="G4730" s="18">
        <f t="shared" si="439"/>
        <v>42</v>
      </c>
      <c r="H4730" t="str">
        <f t="shared" si="440"/>
        <v>VALERIA</v>
      </c>
      <c r="I4730" t="str">
        <f t="shared" si="441"/>
        <v>HIDROCARBONETOS IMPORT LTDA</v>
      </c>
      <c r="J4730">
        <f t="shared" si="442"/>
        <v>0</v>
      </c>
      <c r="K4730">
        <f t="shared" si="443"/>
        <v>0</v>
      </c>
    </row>
    <row r="4731" spans="1:11" x14ac:dyDescent="0.25">
      <c r="A4731" t="s">
        <v>510</v>
      </c>
      <c r="B4731" t="s">
        <v>273</v>
      </c>
      <c r="C4731" t="s">
        <v>329</v>
      </c>
      <c r="D4731" s="6">
        <v>45948</v>
      </c>
      <c r="E4731" t="str">
        <f>VLOOKUP(B4731,'PROCV GERENTES BD'!A:B,2,0)</f>
        <v>CELIO PIMENTA</v>
      </c>
      <c r="F4731" s="4" t="str">
        <f t="shared" si="438"/>
        <v>2025-10</v>
      </c>
      <c r="G4731" s="18">
        <f t="shared" si="439"/>
        <v>42</v>
      </c>
      <c r="H4731" t="str">
        <f t="shared" si="440"/>
        <v>CELIO PIMENTA</v>
      </c>
      <c r="I4731" t="str">
        <f t="shared" si="441"/>
        <v>PRADO MOREIRA TEXTIL LTDA ME</v>
      </c>
      <c r="J4731">
        <f t="shared" si="442"/>
        <v>0</v>
      </c>
      <c r="K4731">
        <f t="shared" si="443"/>
        <v>0</v>
      </c>
    </row>
    <row r="4732" spans="1:11" x14ac:dyDescent="0.25">
      <c r="A4732" t="s">
        <v>529</v>
      </c>
      <c r="B4732" t="s">
        <v>297</v>
      </c>
      <c r="C4732" t="s">
        <v>50</v>
      </c>
      <c r="D4732" s="6">
        <v>45951</v>
      </c>
      <c r="E4732" t="str">
        <f>VLOOKUP(B4732,'PROCV GERENTES BD'!A:B,2,0)</f>
        <v>ANDRE CUNHA</v>
      </c>
      <c r="F4732" s="4" t="str">
        <f t="shared" si="438"/>
        <v>2025-10</v>
      </c>
      <c r="G4732" s="18">
        <f t="shared" si="439"/>
        <v>43</v>
      </c>
      <c r="H4732" t="str">
        <f t="shared" si="440"/>
        <v>ANDRE CUNHA</v>
      </c>
      <c r="I4732" t="str">
        <f t="shared" si="441"/>
        <v>REVPACK TECNOLOGIA E COMERCIO DE COMPONENTES PLAST</v>
      </c>
      <c r="J4732">
        <f t="shared" si="442"/>
        <v>0</v>
      </c>
      <c r="K4732">
        <f t="shared" si="443"/>
        <v>1</v>
      </c>
    </row>
    <row r="4733" spans="1:11" x14ac:dyDescent="0.25">
      <c r="A4733" t="s">
        <v>314</v>
      </c>
      <c r="B4733" t="s">
        <v>246</v>
      </c>
      <c r="C4733" t="s">
        <v>50</v>
      </c>
      <c r="D4733" s="6">
        <v>45951</v>
      </c>
      <c r="E4733" t="str">
        <f>VLOOKUP(B4733,'PROCV GERENTES BD'!A:B,2,0)</f>
        <v xml:space="preserve">ROGERIO </v>
      </c>
      <c r="F4733" s="4" t="str">
        <f t="shared" si="438"/>
        <v>2025-10</v>
      </c>
      <c r="G4733" s="18">
        <f t="shared" si="439"/>
        <v>43</v>
      </c>
      <c r="H4733" t="str">
        <f t="shared" si="440"/>
        <v xml:space="preserve">ROGERIO </v>
      </c>
      <c r="I4733" t="str">
        <f t="shared" si="441"/>
        <v>MUTCD CENTRO DE DISTRIBUICAO DE IND FABRICANTE DE</v>
      </c>
      <c r="J4733">
        <f t="shared" si="442"/>
        <v>0</v>
      </c>
      <c r="K4733">
        <f t="shared" si="443"/>
        <v>1</v>
      </c>
    </row>
    <row r="4734" spans="1:11" x14ac:dyDescent="0.25">
      <c r="A4734" t="s">
        <v>704</v>
      </c>
      <c r="B4734" t="s">
        <v>705</v>
      </c>
      <c r="C4734" t="s">
        <v>66</v>
      </c>
      <c r="D4734" s="6">
        <v>45951</v>
      </c>
      <c r="E4734" t="str">
        <f>VLOOKUP(B4734,'PROCV GERENTES BD'!A:B,2,0)</f>
        <v>DAVI</v>
      </c>
      <c r="F4734" s="4" t="str">
        <f t="shared" si="438"/>
        <v>2025-10</v>
      </c>
      <c r="G4734" s="18">
        <f t="shared" si="439"/>
        <v>43</v>
      </c>
      <c r="H4734" t="str">
        <f t="shared" si="440"/>
        <v>DAVI</v>
      </c>
      <c r="I4734" t="str">
        <f t="shared" si="441"/>
        <v>DUOPLASTIC INDUSTRIA DE MOVEIS LTDA ME</v>
      </c>
      <c r="J4734">
        <f t="shared" si="442"/>
        <v>1</v>
      </c>
      <c r="K4734">
        <f t="shared" si="443"/>
        <v>0</v>
      </c>
    </row>
    <row r="4735" spans="1:11" x14ac:dyDescent="0.25">
      <c r="A4735" t="s">
        <v>488</v>
      </c>
      <c r="B4735" t="s">
        <v>247</v>
      </c>
      <c r="C4735" t="s">
        <v>50</v>
      </c>
      <c r="D4735" s="6">
        <v>45951</v>
      </c>
      <c r="E4735" t="str">
        <f>VLOOKUP(B4735,'PROCV GERENTES BD'!A:B,2,0)</f>
        <v>CELIO PIMENTA</v>
      </c>
      <c r="F4735" s="4" t="str">
        <f t="shared" si="438"/>
        <v>2025-10</v>
      </c>
      <c r="G4735" s="18">
        <f t="shared" si="439"/>
        <v>43</v>
      </c>
      <c r="H4735" t="str">
        <f t="shared" si="440"/>
        <v>CELIO PIMENTA</v>
      </c>
      <c r="I4735" t="str">
        <f t="shared" si="441"/>
        <v>AZ HIDRAULICA USINAGEM LTDA EPP</v>
      </c>
      <c r="J4735">
        <f t="shared" si="442"/>
        <v>0</v>
      </c>
      <c r="K4735">
        <f t="shared" si="443"/>
        <v>1</v>
      </c>
    </row>
    <row r="4736" spans="1:11" x14ac:dyDescent="0.25">
      <c r="A4736" t="s">
        <v>371</v>
      </c>
      <c r="B4736" t="s">
        <v>706</v>
      </c>
      <c r="C4736" t="s">
        <v>327</v>
      </c>
      <c r="D4736" s="6">
        <v>45951</v>
      </c>
      <c r="E4736" t="str">
        <f>VLOOKUP(B4736,'PROCV GERENTES BD'!A:B,2,0)</f>
        <v>ADMINISTRAÇÃO</v>
      </c>
      <c r="F4736" s="4" t="str">
        <f t="shared" ref="F4736:F4799" si="444">YEAR(D4736)&amp;"-"&amp;TEXT(MONTH(D4736),"00")</f>
        <v>2025-10</v>
      </c>
      <c r="G4736" s="18">
        <f t="shared" ref="G4736:G4799" si="445">WEEKNUM(D4736)</f>
        <v>43</v>
      </c>
      <c r="H4736" t="str">
        <f t="shared" ref="H4736:H4799" si="446">E4736</f>
        <v>ADMINISTRAÇÃO</v>
      </c>
      <c r="I4736" t="str">
        <f t="shared" ref="I4736:I4799" si="447">B4736</f>
        <v>ESPECIALI INDUSTRIA DE ALIMENTOS S/A</v>
      </c>
      <c r="J4736">
        <f t="shared" ref="J4736:J4799" si="448">IF(OR(C4736="EXCLUSAO  ANOT.INADIMPLENCIA",C4736="INCL/EXCL ANOT.INADIMPLENCIA"),1,0)</f>
        <v>0</v>
      </c>
      <c r="K4736">
        <f t="shared" ref="K4736:K4799" si="449">IF(OR(C4736="INCLUSAO  ANOT.INADIMPLENCIA",C4736="INCL/EXCL ANOT.INADIMPLENCIA"),1,0)</f>
        <v>0</v>
      </c>
    </row>
    <row r="4737" spans="1:11" x14ac:dyDescent="0.25">
      <c r="A4737" t="s">
        <v>427</v>
      </c>
      <c r="B4737" t="s">
        <v>178</v>
      </c>
      <c r="C4737" t="s">
        <v>50</v>
      </c>
      <c r="D4737" s="6">
        <v>45951</v>
      </c>
      <c r="E4737" t="str">
        <f>VLOOKUP(B4737,'PROCV GERENTES BD'!A:B,2,0)</f>
        <v>ADMINISTRAÇÃO</v>
      </c>
      <c r="F4737" s="4" t="str">
        <f t="shared" si="444"/>
        <v>2025-10</v>
      </c>
      <c r="G4737" s="18">
        <f t="shared" si="445"/>
        <v>43</v>
      </c>
      <c r="H4737" t="str">
        <f t="shared" si="446"/>
        <v>ADMINISTRAÇÃO</v>
      </c>
      <c r="I4737" t="str">
        <f t="shared" si="447"/>
        <v>LIZZENA COSMETICOS LTDA EPP</v>
      </c>
      <c r="J4737">
        <f t="shared" si="448"/>
        <v>0</v>
      </c>
      <c r="K4737">
        <f t="shared" si="449"/>
        <v>1</v>
      </c>
    </row>
    <row r="4738" spans="1:11" x14ac:dyDescent="0.25">
      <c r="A4738" t="s">
        <v>708</v>
      </c>
      <c r="B4738" t="s">
        <v>570</v>
      </c>
      <c r="C4738" t="s">
        <v>50</v>
      </c>
      <c r="D4738" s="6">
        <v>45951</v>
      </c>
      <c r="E4738" t="str">
        <f>VLOOKUP(B4738,'PROCV GERENTES BD'!A:B,2,0)</f>
        <v>RAFAEL PARISE</v>
      </c>
      <c r="F4738" s="4" t="str">
        <f t="shared" si="444"/>
        <v>2025-10</v>
      </c>
      <c r="G4738" s="18">
        <f t="shared" si="445"/>
        <v>43</v>
      </c>
      <c r="H4738" t="str">
        <f t="shared" si="446"/>
        <v>RAFAEL PARISE</v>
      </c>
      <c r="I4738" t="str">
        <f t="shared" si="447"/>
        <v>NITROTEX INDUSTRIA E COMERCIO TEXTEIS LTDA ME</v>
      </c>
      <c r="J4738">
        <f t="shared" si="448"/>
        <v>0</v>
      </c>
      <c r="K4738">
        <f t="shared" si="449"/>
        <v>1</v>
      </c>
    </row>
    <row r="4739" spans="1:11" x14ac:dyDescent="0.25">
      <c r="A4739" t="s">
        <v>442</v>
      </c>
      <c r="B4739" t="s">
        <v>193</v>
      </c>
      <c r="C4739" t="s">
        <v>66</v>
      </c>
      <c r="D4739" s="6">
        <v>45951</v>
      </c>
      <c r="E4739" t="str">
        <f>VLOOKUP(B4739,'PROCV GERENTES BD'!A:B,2,0)</f>
        <v>CELIO PIMENTA</v>
      </c>
      <c r="F4739" s="4" t="str">
        <f t="shared" si="444"/>
        <v>2025-10</v>
      </c>
      <c r="G4739" s="18">
        <f t="shared" si="445"/>
        <v>43</v>
      </c>
      <c r="H4739" t="str">
        <f t="shared" si="446"/>
        <v>CELIO PIMENTA</v>
      </c>
      <c r="I4739" t="str">
        <f t="shared" si="447"/>
        <v>CIA TEXTIL LTDA ME</v>
      </c>
      <c r="J4739">
        <f t="shared" si="448"/>
        <v>1</v>
      </c>
      <c r="K4739">
        <f t="shared" si="449"/>
        <v>0</v>
      </c>
    </row>
    <row r="4740" spans="1:11" x14ac:dyDescent="0.25">
      <c r="A4740" t="s">
        <v>614</v>
      </c>
      <c r="B4740" t="s">
        <v>615</v>
      </c>
      <c r="C4740" t="s">
        <v>66</v>
      </c>
      <c r="D4740" s="6">
        <v>45951</v>
      </c>
      <c r="E4740" t="str">
        <f>VLOOKUP(B4740,'PROCV GERENTES BD'!A:B,2,0)</f>
        <v>RAFAEL PARISE</v>
      </c>
      <c r="F4740" s="4" t="str">
        <f t="shared" si="444"/>
        <v>2025-10</v>
      </c>
      <c r="G4740" s="18">
        <f t="shared" si="445"/>
        <v>43</v>
      </c>
      <c r="H4740" t="str">
        <f t="shared" si="446"/>
        <v>RAFAEL PARISE</v>
      </c>
      <c r="I4740" t="str">
        <f t="shared" si="447"/>
        <v>SAGATEC LTDA</v>
      </c>
      <c r="J4740">
        <f t="shared" si="448"/>
        <v>1</v>
      </c>
      <c r="K4740">
        <f t="shared" si="449"/>
        <v>0</v>
      </c>
    </row>
    <row r="4741" spans="1:11" x14ac:dyDescent="0.25">
      <c r="A4741" t="s">
        <v>64</v>
      </c>
      <c r="B4741" t="s">
        <v>65</v>
      </c>
      <c r="C4741" t="s">
        <v>50</v>
      </c>
      <c r="D4741" s="6">
        <v>45951</v>
      </c>
      <c r="E4741" t="str">
        <f>VLOOKUP(B4741,'PROCV GERENTES BD'!A:B,2,0)</f>
        <v>ADMINISTRAÇÃO</v>
      </c>
      <c r="F4741" s="4" t="str">
        <f t="shared" si="444"/>
        <v>2025-10</v>
      </c>
      <c r="G4741" s="18">
        <f t="shared" si="445"/>
        <v>43</v>
      </c>
      <c r="H4741" t="str">
        <f t="shared" si="446"/>
        <v>ADMINISTRAÇÃO</v>
      </c>
      <c r="I4741" t="str">
        <f t="shared" si="447"/>
        <v>SOCIAL S/A</v>
      </c>
      <c r="J4741">
        <f t="shared" si="448"/>
        <v>0</v>
      </c>
      <c r="K4741">
        <f t="shared" si="449"/>
        <v>1</v>
      </c>
    </row>
    <row r="4742" spans="1:11" x14ac:dyDescent="0.25">
      <c r="A4742" t="s">
        <v>667</v>
      </c>
      <c r="B4742" t="s">
        <v>560</v>
      </c>
      <c r="C4742" t="s">
        <v>50</v>
      </c>
      <c r="D4742" s="6">
        <v>45951</v>
      </c>
      <c r="E4742" t="str">
        <f>VLOOKUP(B4742,'PROCV GERENTES BD'!A:B,2,0)</f>
        <v>ALISSON DE SOUZA LIMA</v>
      </c>
      <c r="F4742" s="4" t="str">
        <f t="shared" si="444"/>
        <v>2025-10</v>
      </c>
      <c r="G4742" s="18">
        <f t="shared" si="445"/>
        <v>43</v>
      </c>
      <c r="H4742" t="str">
        <f t="shared" si="446"/>
        <v>ALISSON DE SOUZA LIMA</v>
      </c>
      <c r="I4742" t="str">
        <f t="shared" si="447"/>
        <v>JRG SOLUCOES EM SERVICOS LTDA ME</v>
      </c>
      <c r="J4742">
        <f t="shared" si="448"/>
        <v>0</v>
      </c>
      <c r="K4742">
        <f t="shared" si="449"/>
        <v>1</v>
      </c>
    </row>
    <row r="4743" spans="1:11" x14ac:dyDescent="0.25">
      <c r="A4743" t="s">
        <v>499</v>
      </c>
      <c r="B4743" t="s">
        <v>258</v>
      </c>
      <c r="C4743" t="s">
        <v>50</v>
      </c>
      <c r="D4743" s="6">
        <v>45951</v>
      </c>
      <c r="E4743" t="str">
        <f>VLOOKUP(B4743,'PROCV GERENTES BD'!A:B,2,0)</f>
        <v>PRISCILA METZ</v>
      </c>
      <c r="F4743" s="4" t="str">
        <f t="shared" si="444"/>
        <v>2025-10</v>
      </c>
      <c r="G4743" s="18">
        <f t="shared" si="445"/>
        <v>43</v>
      </c>
      <c r="H4743" t="str">
        <f t="shared" si="446"/>
        <v>PRISCILA METZ</v>
      </c>
      <c r="I4743" t="str">
        <f t="shared" si="447"/>
        <v>PLATINUM INDUSTRIA DE CONFECCOES LTDA</v>
      </c>
      <c r="J4743">
        <f t="shared" si="448"/>
        <v>0</v>
      </c>
      <c r="K4743">
        <f t="shared" si="449"/>
        <v>1</v>
      </c>
    </row>
    <row r="4744" spans="1:11" x14ac:dyDescent="0.25">
      <c r="A4744" t="s">
        <v>317</v>
      </c>
      <c r="B4744" t="s">
        <v>280</v>
      </c>
      <c r="C4744" t="s">
        <v>50</v>
      </c>
      <c r="D4744" s="6">
        <v>45951</v>
      </c>
      <c r="E4744" t="str">
        <f>VLOOKUP(B4744,'PROCV GERENTES BD'!A:B,2,0)</f>
        <v>PROSPECTAR</v>
      </c>
      <c r="F4744" s="4" t="str">
        <f t="shared" si="444"/>
        <v>2025-10</v>
      </c>
      <c r="G4744" s="18">
        <f t="shared" si="445"/>
        <v>43</v>
      </c>
      <c r="H4744" t="str">
        <f t="shared" si="446"/>
        <v>PROSPECTAR</v>
      </c>
      <c r="I4744" t="str">
        <f t="shared" si="447"/>
        <v>STA TECHCANA LTDA</v>
      </c>
      <c r="J4744">
        <f t="shared" si="448"/>
        <v>0</v>
      </c>
      <c r="K4744">
        <f t="shared" si="449"/>
        <v>1</v>
      </c>
    </row>
    <row r="4745" spans="1:11" x14ac:dyDescent="0.25">
      <c r="A4745" t="s">
        <v>318</v>
      </c>
      <c r="B4745" t="s">
        <v>203</v>
      </c>
      <c r="C4745" t="s">
        <v>53</v>
      </c>
      <c r="D4745" s="6">
        <v>45951</v>
      </c>
      <c r="E4745" t="str">
        <f>VLOOKUP(B4745,'PROCV GERENTES BD'!A:B,2,0)</f>
        <v>JOSE ROBERTO</v>
      </c>
      <c r="F4745" s="4" t="str">
        <f t="shared" si="444"/>
        <v>2025-10</v>
      </c>
      <c r="G4745" s="18">
        <f t="shared" si="445"/>
        <v>43</v>
      </c>
      <c r="H4745" t="str">
        <f t="shared" si="446"/>
        <v>JOSE ROBERTO</v>
      </c>
      <c r="I4745" t="str">
        <f t="shared" si="447"/>
        <v>FUNDACAO DE ENSINO E PESQUISA DO SUL DE MINAS FEPE</v>
      </c>
      <c r="J4745">
        <f t="shared" si="448"/>
        <v>1</v>
      </c>
      <c r="K4745">
        <f t="shared" si="449"/>
        <v>1</v>
      </c>
    </row>
    <row r="4746" spans="1:11" x14ac:dyDescent="0.25">
      <c r="A4746" t="s">
        <v>58</v>
      </c>
      <c r="B4746" t="s">
        <v>59</v>
      </c>
      <c r="C4746" t="s">
        <v>53</v>
      </c>
      <c r="D4746" s="6">
        <v>45951</v>
      </c>
      <c r="E4746" t="str">
        <f>VLOOKUP(B4746,'PROCV GERENTES BD'!A:B,2,0)</f>
        <v>ADMINISTRAÇÃO</v>
      </c>
      <c r="F4746" s="4" t="str">
        <f t="shared" si="444"/>
        <v>2025-10</v>
      </c>
      <c r="G4746" s="18">
        <f t="shared" si="445"/>
        <v>43</v>
      </c>
      <c r="H4746" t="str">
        <f t="shared" si="446"/>
        <v>ADMINISTRAÇÃO</v>
      </c>
      <c r="I4746" t="str">
        <f t="shared" si="447"/>
        <v>BIOTECH LOGISTICA LTDA</v>
      </c>
      <c r="J4746">
        <f t="shared" si="448"/>
        <v>1</v>
      </c>
      <c r="K4746">
        <f t="shared" si="449"/>
        <v>1</v>
      </c>
    </row>
    <row r="4747" spans="1:11" x14ac:dyDescent="0.25">
      <c r="A4747" t="s">
        <v>56</v>
      </c>
      <c r="B4747" t="s">
        <v>57</v>
      </c>
      <c r="C4747" t="s">
        <v>53</v>
      </c>
      <c r="D4747" s="6">
        <v>45951</v>
      </c>
      <c r="E4747" t="str">
        <f>VLOOKUP(B4747,'PROCV GERENTES BD'!A:B,2,0)</f>
        <v xml:space="preserve">ROGERIO </v>
      </c>
      <c r="F4747" s="4" t="str">
        <f t="shared" si="444"/>
        <v>2025-10</v>
      </c>
      <c r="G4747" s="18">
        <f t="shared" si="445"/>
        <v>43</v>
      </c>
      <c r="H4747" t="str">
        <f t="shared" si="446"/>
        <v xml:space="preserve">ROGERIO </v>
      </c>
      <c r="I4747" t="str">
        <f t="shared" si="447"/>
        <v>RODOVIEIRA TRANSPORTE LTDA</v>
      </c>
      <c r="J4747">
        <f t="shared" si="448"/>
        <v>1</v>
      </c>
      <c r="K4747">
        <f t="shared" si="449"/>
        <v>1</v>
      </c>
    </row>
    <row r="4748" spans="1:11" x14ac:dyDescent="0.25">
      <c r="A4748" t="s">
        <v>361</v>
      </c>
      <c r="B4748" t="s">
        <v>106</v>
      </c>
      <c r="C4748" t="s">
        <v>50</v>
      </c>
      <c r="D4748" s="6">
        <v>45951</v>
      </c>
      <c r="E4748" t="str">
        <f>VLOOKUP(B4748,'PROCV GERENTES BD'!A:B,2,0)</f>
        <v>PRISCILA METZ</v>
      </c>
      <c r="F4748" s="4" t="str">
        <f t="shared" si="444"/>
        <v>2025-10</v>
      </c>
      <c r="G4748" s="18">
        <f t="shared" si="445"/>
        <v>43</v>
      </c>
      <c r="H4748" t="str">
        <f t="shared" si="446"/>
        <v>PRISCILA METZ</v>
      </c>
      <c r="I4748" t="str">
        <f t="shared" si="447"/>
        <v>HERBAMED LABORATORIO NUTRACEUTICO LTDA</v>
      </c>
      <c r="J4748">
        <f t="shared" si="448"/>
        <v>0</v>
      </c>
      <c r="K4748">
        <f t="shared" si="449"/>
        <v>1</v>
      </c>
    </row>
    <row r="4749" spans="1:11" x14ac:dyDescent="0.25">
      <c r="A4749" t="s">
        <v>321</v>
      </c>
      <c r="B4749" t="s">
        <v>264</v>
      </c>
      <c r="C4749" t="s">
        <v>50</v>
      </c>
      <c r="D4749" s="6">
        <v>45951</v>
      </c>
      <c r="E4749" t="str">
        <f>VLOOKUP(B4749,'PROCV GERENTES BD'!A:B,2,0)</f>
        <v>RAFAEL PARISE</v>
      </c>
      <c r="F4749" s="4" t="str">
        <f t="shared" si="444"/>
        <v>2025-10</v>
      </c>
      <c r="G4749" s="18">
        <f t="shared" si="445"/>
        <v>43</v>
      </c>
      <c r="H4749" t="str">
        <f t="shared" si="446"/>
        <v>RAFAEL PARISE</v>
      </c>
      <c r="I4749" t="str">
        <f t="shared" si="447"/>
        <v>METALCROMO METALIZACAO E CROMO DURO INDUSTRIAL LTD</v>
      </c>
      <c r="J4749">
        <f t="shared" si="448"/>
        <v>0</v>
      </c>
      <c r="K4749">
        <f t="shared" si="449"/>
        <v>1</v>
      </c>
    </row>
    <row r="4750" spans="1:11" x14ac:dyDescent="0.25">
      <c r="A4750" t="s">
        <v>54</v>
      </c>
      <c r="B4750" t="s">
        <v>55</v>
      </c>
      <c r="C4750" t="s">
        <v>66</v>
      </c>
      <c r="D4750" s="6">
        <v>45951</v>
      </c>
      <c r="E4750" t="str">
        <f>VLOOKUP(B4750,'PROCV GERENTES BD'!A:B,2,0)</f>
        <v>CELIO PIMENTA</v>
      </c>
      <c r="F4750" s="4" t="str">
        <f t="shared" si="444"/>
        <v>2025-10</v>
      </c>
      <c r="G4750" s="18">
        <f t="shared" si="445"/>
        <v>43</v>
      </c>
      <c r="H4750" t="str">
        <f t="shared" si="446"/>
        <v>CELIO PIMENTA</v>
      </c>
      <c r="I4750" t="str">
        <f t="shared" si="447"/>
        <v>WJ CALDEIRARIA INDUSTRIA E COMERCIO LTDA ME</v>
      </c>
      <c r="J4750">
        <f t="shared" si="448"/>
        <v>1</v>
      </c>
      <c r="K4750">
        <f t="shared" si="449"/>
        <v>0</v>
      </c>
    </row>
    <row r="4751" spans="1:11" x14ac:dyDescent="0.25">
      <c r="A4751" t="s">
        <v>51</v>
      </c>
      <c r="B4751" t="s">
        <v>52</v>
      </c>
      <c r="C4751" t="s">
        <v>50</v>
      </c>
      <c r="D4751" s="6">
        <v>45951</v>
      </c>
      <c r="E4751" t="str">
        <f>VLOOKUP(B4751,'PROCV GERENTES BD'!A:B,2,0)</f>
        <v>RAFAEL PARISE</v>
      </c>
      <c r="F4751" s="4" t="str">
        <f t="shared" si="444"/>
        <v>2025-10</v>
      </c>
      <c r="G4751" s="18">
        <f t="shared" si="445"/>
        <v>43</v>
      </c>
      <c r="H4751" t="str">
        <f t="shared" si="446"/>
        <v>RAFAEL PARISE</v>
      </c>
      <c r="I4751" t="str">
        <f t="shared" si="447"/>
        <v>TDR TRANSPORTES LOGISTICA LTDA</v>
      </c>
      <c r="J4751">
        <f t="shared" si="448"/>
        <v>0</v>
      </c>
      <c r="K4751">
        <f t="shared" si="449"/>
        <v>1</v>
      </c>
    </row>
    <row r="4752" spans="1:11" x14ac:dyDescent="0.25">
      <c r="A4752" t="s">
        <v>656</v>
      </c>
      <c r="B4752" t="s">
        <v>657</v>
      </c>
      <c r="C4752" t="s">
        <v>50</v>
      </c>
      <c r="D4752" s="6">
        <v>45951</v>
      </c>
      <c r="E4752" t="str">
        <f>VLOOKUP(B4752,'PROCV GERENTES BD'!A:B,2,0)</f>
        <v>ADMINISTRAÇÃO</v>
      </c>
      <c r="F4752" s="4" t="str">
        <f t="shared" si="444"/>
        <v>2025-10</v>
      </c>
      <c r="G4752" s="18">
        <f t="shared" si="445"/>
        <v>43</v>
      </c>
      <c r="H4752" t="str">
        <f t="shared" si="446"/>
        <v>ADMINISTRAÇÃO</v>
      </c>
      <c r="I4752" t="str">
        <f t="shared" si="447"/>
        <v>NCBA INTERMEDIACAO LTDA ME</v>
      </c>
      <c r="J4752">
        <f t="shared" si="448"/>
        <v>0</v>
      </c>
      <c r="K4752">
        <f t="shared" si="449"/>
        <v>1</v>
      </c>
    </row>
    <row r="4753" spans="1:11" x14ac:dyDescent="0.25">
      <c r="A4753" t="s">
        <v>604</v>
      </c>
      <c r="B4753" t="s">
        <v>605</v>
      </c>
      <c r="C4753" t="s">
        <v>53</v>
      </c>
      <c r="D4753" s="6">
        <v>45951</v>
      </c>
      <c r="E4753" t="str">
        <f>VLOOKUP(B4753,'PROCV GERENTES BD'!A:B,2,0)</f>
        <v>ALISSON DE SOUZA LIMA</v>
      </c>
      <c r="F4753" s="4" t="str">
        <f t="shared" si="444"/>
        <v>2025-10</v>
      </c>
      <c r="G4753" s="18">
        <f t="shared" si="445"/>
        <v>43</v>
      </c>
      <c r="H4753" t="str">
        <f t="shared" si="446"/>
        <v>ALISSON DE SOUZA LIMA</v>
      </c>
      <c r="I4753" t="str">
        <f t="shared" si="447"/>
        <v>3J FUNDICAO INDUSTRIAL LTDA</v>
      </c>
      <c r="J4753">
        <f t="shared" si="448"/>
        <v>1</v>
      </c>
      <c r="K4753">
        <f t="shared" si="449"/>
        <v>1</v>
      </c>
    </row>
    <row r="4754" spans="1:11" x14ac:dyDescent="0.25">
      <c r="A4754" t="s">
        <v>325</v>
      </c>
      <c r="B4754" t="s">
        <v>138</v>
      </c>
      <c r="C4754" t="s">
        <v>50</v>
      </c>
      <c r="D4754" s="6">
        <v>45951</v>
      </c>
      <c r="E4754" t="str">
        <f>VLOOKUP(B4754,'PROCV GERENTES BD'!A:B,2,0)</f>
        <v>SACADO</v>
      </c>
      <c r="F4754" s="4" t="str">
        <f t="shared" si="444"/>
        <v>2025-10</v>
      </c>
      <c r="G4754" s="18">
        <f t="shared" si="445"/>
        <v>43</v>
      </c>
      <c r="H4754" t="str">
        <f t="shared" si="446"/>
        <v>SACADO</v>
      </c>
      <c r="I4754" t="str">
        <f t="shared" si="447"/>
        <v>ALLIAGE S A INDUSTRIAS MEDICO ODONTOLOGICA</v>
      </c>
      <c r="J4754">
        <f t="shared" si="448"/>
        <v>0</v>
      </c>
      <c r="K4754">
        <f t="shared" si="449"/>
        <v>1</v>
      </c>
    </row>
    <row r="4755" spans="1:11" x14ac:dyDescent="0.25">
      <c r="A4755" t="s">
        <v>529</v>
      </c>
      <c r="B4755" t="s">
        <v>297</v>
      </c>
      <c r="C4755" t="s">
        <v>50</v>
      </c>
      <c r="D4755" s="6">
        <v>45952</v>
      </c>
      <c r="E4755" t="str">
        <f>VLOOKUP(B4755,'PROCV GERENTES BD'!A:B,2,0)</f>
        <v>ANDRE CUNHA</v>
      </c>
      <c r="F4755" s="4" t="str">
        <f t="shared" si="444"/>
        <v>2025-10</v>
      </c>
      <c r="G4755" s="18">
        <f t="shared" si="445"/>
        <v>43</v>
      </c>
      <c r="H4755" t="str">
        <f t="shared" si="446"/>
        <v>ANDRE CUNHA</v>
      </c>
      <c r="I4755" t="str">
        <f t="shared" si="447"/>
        <v>REVPACK TECNOLOGIA E COMERCIO DE COMPONENTES PLAST</v>
      </c>
      <c r="J4755">
        <f t="shared" si="448"/>
        <v>0</v>
      </c>
      <c r="K4755">
        <f t="shared" si="449"/>
        <v>1</v>
      </c>
    </row>
    <row r="4756" spans="1:11" x14ac:dyDescent="0.25">
      <c r="A4756" t="s">
        <v>667</v>
      </c>
      <c r="B4756" t="s">
        <v>560</v>
      </c>
      <c r="C4756" t="s">
        <v>66</v>
      </c>
      <c r="D4756" s="6">
        <v>45952</v>
      </c>
      <c r="E4756" t="str">
        <f>VLOOKUP(B4756,'PROCV GERENTES BD'!A:B,2,0)</f>
        <v>ALISSON DE SOUZA LIMA</v>
      </c>
      <c r="F4756" s="4" t="str">
        <f t="shared" si="444"/>
        <v>2025-10</v>
      </c>
      <c r="G4756" s="18">
        <f t="shared" si="445"/>
        <v>43</v>
      </c>
      <c r="H4756" t="str">
        <f t="shared" si="446"/>
        <v>ALISSON DE SOUZA LIMA</v>
      </c>
      <c r="I4756" t="str">
        <f t="shared" si="447"/>
        <v>JRG SOLUCOES EM SERVICOS LTDA ME</v>
      </c>
      <c r="J4756">
        <f t="shared" si="448"/>
        <v>1</v>
      </c>
      <c r="K4756">
        <f t="shared" si="449"/>
        <v>0</v>
      </c>
    </row>
    <row r="4757" spans="1:11" x14ac:dyDescent="0.25">
      <c r="A4757" t="s">
        <v>461</v>
      </c>
      <c r="B4757" t="s">
        <v>218</v>
      </c>
      <c r="C4757" t="s">
        <v>50</v>
      </c>
      <c r="D4757" s="6">
        <v>45952</v>
      </c>
      <c r="E4757" t="str">
        <f>VLOOKUP(B4757,'PROCV GERENTES BD'!A:B,2,0)</f>
        <v>SACADO</v>
      </c>
      <c r="F4757" s="4" t="str">
        <f t="shared" si="444"/>
        <v>2025-10</v>
      </c>
      <c r="G4757" s="18">
        <f t="shared" si="445"/>
        <v>43</v>
      </c>
      <c r="H4757" t="str">
        <f t="shared" si="446"/>
        <v>SACADO</v>
      </c>
      <c r="I4757" t="str">
        <f t="shared" si="447"/>
        <v>KUARA COMERCIAL E EXPORTADORA DE FRUTAS LTDA</v>
      </c>
      <c r="J4757">
        <f t="shared" si="448"/>
        <v>0</v>
      </c>
      <c r="K4757">
        <f t="shared" si="449"/>
        <v>1</v>
      </c>
    </row>
    <row r="4758" spans="1:11" x14ac:dyDescent="0.25">
      <c r="A4758" t="s">
        <v>630</v>
      </c>
      <c r="B4758" t="s">
        <v>559</v>
      </c>
      <c r="C4758" t="s">
        <v>50</v>
      </c>
      <c r="D4758" s="6">
        <v>45952</v>
      </c>
      <c r="E4758" t="str">
        <f>VLOOKUP(B4758,'PROCV GERENTES BD'!A:B,2,0)</f>
        <v>ALISSON DE SOUZA LIMA</v>
      </c>
      <c r="F4758" s="4" t="str">
        <f t="shared" si="444"/>
        <v>2025-10</v>
      </c>
      <c r="G4758" s="18">
        <f t="shared" si="445"/>
        <v>43</v>
      </c>
      <c r="H4758" t="str">
        <f t="shared" si="446"/>
        <v>ALISSON DE SOUZA LIMA</v>
      </c>
      <c r="I4758" t="str">
        <f t="shared" si="447"/>
        <v>JRG SOLUCOES INDUSTRIAIS LTDA</v>
      </c>
      <c r="J4758">
        <f t="shared" si="448"/>
        <v>0</v>
      </c>
      <c r="K4758">
        <f t="shared" si="449"/>
        <v>1</v>
      </c>
    </row>
    <row r="4759" spans="1:11" x14ac:dyDescent="0.25">
      <c r="A4759" t="s">
        <v>427</v>
      </c>
      <c r="B4759" t="s">
        <v>178</v>
      </c>
      <c r="C4759" t="s">
        <v>50</v>
      </c>
      <c r="D4759" s="6">
        <v>45952</v>
      </c>
      <c r="E4759" t="str">
        <f>VLOOKUP(B4759,'PROCV GERENTES BD'!A:B,2,0)</f>
        <v>ADMINISTRAÇÃO</v>
      </c>
      <c r="F4759" s="4" t="str">
        <f t="shared" si="444"/>
        <v>2025-10</v>
      </c>
      <c r="G4759" s="18">
        <f t="shared" si="445"/>
        <v>43</v>
      </c>
      <c r="H4759" t="str">
        <f t="shared" si="446"/>
        <v>ADMINISTRAÇÃO</v>
      </c>
      <c r="I4759" t="str">
        <f t="shared" si="447"/>
        <v>LIZZENA COSMETICOS LTDA EPP</v>
      </c>
      <c r="J4759">
        <f t="shared" si="448"/>
        <v>0</v>
      </c>
      <c r="K4759">
        <f t="shared" si="449"/>
        <v>1</v>
      </c>
    </row>
    <row r="4760" spans="1:11" x14ac:dyDescent="0.25">
      <c r="A4760" t="s">
        <v>505</v>
      </c>
      <c r="B4760" t="s">
        <v>267</v>
      </c>
      <c r="C4760" t="s">
        <v>50</v>
      </c>
      <c r="D4760" s="6">
        <v>45952</v>
      </c>
      <c r="E4760" t="str">
        <f>VLOOKUP(B4760,'PROCV GERENTES BD'!A:B,2,0)</f>
        <v>PRISCILA METZ</v>
      </c>
      <c r="F4760" s="4" t="str">
        <f t="shared" si="444"/>
        <v>2025-10</v>
      </c>
      <c r="G4760" s="18">
        <f t="shared" si="445"/>
        <v>43</v>
      </c>
      <c r="H4760" t="str">
        <f t="shared" si="446"/>
        <v>PRISCILA METZ</v>
      </c>
      <c r="I4760" t="str">
        <f t="shared" si="447"/>
        <v>REAL DISTRIBUIDORA DE PRODUTOS PARA MARMORARIA LTD</v>
      </c>
      <c r="J4760">
        <f t="shared" si="448"/>
        <v>0</v>
      </c>
      <c r="K4760">
        <f t="shared" si="449"/>
        <v>1</v>
      </c>
    </row>
    <row r="4761" spans="1:11" x14ac:dyDescent="0.25">
      <c r="A4761" t="s">
        <v>708</v>
      </c>
      <c r="B4761" t="s">
        <v>570</v>
      </c>
      <c r="C4761" t="s">
        <v>50</v>
      </c>
      <c r="D4761" s="6">
        <v>45952</v>
      </c>
      <c r="E4761" t="str">
        <f>VLOOKUP(B4761,'PROCV GERENTES BD'!A:B,2,0)</f>
        <v>RAFAEL PARISE</v>
      </c>
      <c r="F4761" s="4" t="str">
        <f t="shared" si="444"/>
        <v>2025-10</v>
      </c>
      <c r="G4761" s="18">
        <f t="shared" si="445"/>
        <v>43</v>
      </c>
      <c r="H4761" t="str">
        <f t="shared" si="446"/>
        <v>RAFAEL PARISE</v>
      </c>
      <c r="I4761" t="str">
        <f t="shared" si="447"/>
        <v>NITROTEX INDUSTRIA E COMERCIO TEXTEIS LTDA ME</v>
      </c>
      <c r="J4761">
        <f t="shared" si="448"/>
        <v>0</v>
      </c>
      <c r="K4761">
        <f t="shared" si="449"/>
        <v>1</v>
      </c>
    </row>
    <row r="4762" spans="1:11" x14ac:dyDescent="0.25">
      <c r="A4762" t="s">
        <v>499</v>
      </c>
      <c r="B4762" t="s">
        <v>258</v>
      </c>
      <c r="C4762" t="s">
        <v>50</v>
      </c>
      <c r="D4762" s="6">
        <v>45952</v>
      </c>
      <c r="E4762" t="str">
        <f>VLOOKUP(B4762,'PROCV GERENTES BD'!A:B,2,0)</f>
        <v>PRISCILA METZ</v>
      </c>
      <c r="F4762" s="4" t="str">
        <f t="shared" si="444"/>
        <v>2025-10</v>
      </c>
      <c r="G4762" s="18">
        <f t="shared" si="445"/>
        <v>43</v>
      </c>
      <c r="H4762" t="str">
        <f t="shared" si="446"/>
        <v>PRISCILA METZ</v>
      </c>
      <c r="I4762" t="str">
        <f t="shared" si="447"/>
        <v>PLATINUM INDUSTRIA DE CONFECCOES LTDA</v>
      </c>
      <c r="J4762">
        <f t="shared" si="448"/>
        <v>0</v>
      </c>
      <c r="K4762">
        <f t="shared" si="449"/>
        <v>1</v>
      </c>
    </row>
    <row r="4763" spans="1:11" x14ac:dyDescent="0.25">
      <c r="A4763" t="s">
        <v>534</v>
      </c>
      <c r="B4763" t="s">
        <v>303</v>
      </c>
      <c r="C4763" t="s">
        <v>50</v>
      </c>
      <c r="D4763" s="6">
        <v>45952</v>
      </c>
      <c r="E4763" t="str">
        <f>VLOOKUP(B4763,'PROCV GERENTES BD'!A:B,2,0)</f>
        <v xml:space="preserve">MARCUS VINICIUS </v>
      </c>
      <c r="F4763" s="4" t="str">
        <f t="shared" si="444"/>
        <v>2025-10</v>
      </c>
      <c r="G4763" s="18">
        <f t="shared" si="445"/>
        <v>43</v>
      </c>
      <c r="H4763" t="str">
        <f t="shared" si="446"/>
        <v xml:space="preserve">MARCUS VINICIUS </v>
      </c>
      <c r="I4763" t="str">
        <f t="shared" si="447"/>
        <v>GRAFICA JSA LTDA EPP</v>
      </c>
      <c r="J4763">
        <f t="shared" si="448"/>
        <v>0</v>
      </c>
      <c r="K4763">
        <f t="shared" si="449"/>
        <v>1</v>
      </c>
    </row>
    <row r="4764" spans="1:11" x14ac:dyDescent="0.25">
      <c r="A4764" t="s">
        <v>604</v>
      </c>
      <c r="B4764" t="s">
        <v>605</v>
      </c>
      <c r="C4764" t="s">
        <v>50</v>
      </c>
      <c r="D4764" s="6">
        <v>45952</v>
      </c>
      <c r="E4764" t="str">
        <f>VLOOKUP(B4764,'PROCV GERENTES BD'!A:B,2,0)</f>
        <v>ALISSON DE SOUZA LIMA</v>
      </c>
      <c r="F4764" s="4" t="str">
        <f t="shared" si="444"/>
        <v>2025-10</v>
      </c>
      <c r="G4764" s="18">
        <f t="shared" si="445"/>
        <v>43</v>
      </c>
      <c r="H4764" t="str">
        <f t="shared" si="446"/>
        <v>ALISSON DE SOUZA LIMA</v>
      </c>
      <c r="I4764" t="str">
        <f t="shared" si="447"/>
        <v>3J FUNDICAO INDUSTRIAL LTDA</v>
      </c>
      <c r="J4764">
        <f t="shared" si="448"/>
        <v>0</v>
      </c>
      <c r="K4764">
        <f t="shared" si="449"/>
        <v>1</v>
      </c>
    </row>
    <row r="4765" spans="1:11" x14ac:dyDescent="0.25">
      <c r="A4765" t="s">
        <v>56</v>
      </c>
      <c r="B4765" t="s">
        <v>57</v>
      </c>
      <c r="C4765" t="s">
        <v>53</v>
      </c>
      <c r="D4765" s="6">
        <v>45952</v>
      </c>
      <c r="E4765" t="str">
        <f>VLOOKUP(B4765,'PROCV GERENTES BD'!A:B,2,0)</f>
        <v xml:space="preserve">ROGERIO </v>
      </c>
      <c r="F4765" s="4" t="str">
        <f t="shared" si="444"/>
        <v>2025-10</v>
      </c>
      <c r="G4765" s="18">
        <f t="shared" si="445"/>
        <v>43</v>
      </c>
      <c r="H4765" t="str">
        <f t="shared" si="446"/>
        <v xml:space="preserve">ROGERIO </v>
      </c>
      <c r="I4765" t="str">
        <f t="shared" si="447"/>
        <v>RODOVIEIRA TRANSPORTE LTDA</v>
      </c>
      <c r="J4765">
        <f t="shared" si="448"/>
        <v>1</v>
      </c>
      <c r="K4765">
        <f t="shared" si="449"/>
        <v>1</v>
      </c>
    </row>
    <row r="4766" spans="1:11" x14ac:dyDescent="0.25">
      <c r="A4766" t="s">
        <v>361</v>
      </c>
      <c r="B4766" t="s">
        <v>106</v>
      </c>
      <c r="C4766" t="s">
        <v>53</v>
      </c>
      <c r="D4766" s="6">
        <v>45952</v>
      </c>
      <c r="E4766" t="str">
        <f>VLOOKUP(B4766,'PROCV GERENTES BD'!A:B,2,0)</f>
        <v>PRISCILA METZ</v>
      </c>
      <c r="F4766" s="4" t="str">
        <f t="shared" si="444"/>
        <v>2025-10</v>
      </c>
      <c r="G4766" s="18">
        <f t="shared" si="445"/>
        <v>43</v>
      </c>
      <c r="H4766" t="str">
        <f t="shared" si="446"/>
        <v>PRISCILA METZ</v>
      </c>
      <c r="I4766" t="str">
        <f t="shared" si="447"/>
        <v>HERBAMED LABORATORIO NUTRACEUTICO LTDA</v>
      </c>
      <c r="J4766">
        <f t="shared" si="448"/>
        <v>1</v>
      </c>
      <c r="K4766">
        <f t="shared" si="449"/>
        <v>1</v>
      </c>
    </row>
    <row r="4767" spans="1:11" x14ac:dyDescent="0.25">
      <c r="A4767" t="s">
        <v>54</v>
      </c>
      <c r="B4767" t="s">
        <v>55</v>
      </c>
      <c r="C4767" t="s">
        <v>50</v>
      </c>
      <c r="D4767" s="6">
        <v>45952</v>
      </c>
      <c r="E4767" t="str">
        <f>VLOOKUP(B4767,'PROCV GERENTES BD'!A:B,2,0)</f>
        <v>CELIO PIMENTA</v>
      </c>
      <c r="F4767" s="4" t="str">
        <f t="shared" si="444"/>
        <v>2025-10</v>
      </c>
      <c r="G4767" s="18">
        <f t="shared" si="445"/>
        <v>43</v>
      </c>
      <c r="H4767" t="str">
        <f t="shared" si="446"/>
        <v>CELIO PIMENTA</v>
      </c>
      <c r="I4767" t="str">
        <f t="shared" si="447"/>
        <v>WJ CALDEIRARIA INDUSTRIA E COMERCIO LTDA ME</v>
      </c>
      <c r="J4767">
        <f t="shared" si="448"/>
        <v>0</v>
      </c>
      <c r="K4767">
        <f t="shared" si="449"/>
        <v>1</v>
      </c>
    </row>
    <row r="4768" spans="1:11" x14ac:dyDescent="0.25">
      <c r="A4768" t="s">
        <v>51</v>
      </c>
      <c r="B4768" t="s">
        <v>52</v>
      </c>
      <c r="C4768" t="s">
        <v>50</v>
      </c>
      <c r="D4768" s="6">
        <v>45952</v>
      </c>
      <c r="E4768" t="str">
        <f>VLOOKUP(B4768,'PROCV GERENTES BD'!A:B,2,0)</f>
        <v>RAFAEL PARISE</v>
      </c>
      <c r="F4768" s="4" t="str">
        <f t="shared" si="444"/>
        <v>2025-10</v>
      </c>
      <c r="G4768" s="18">
        <f t="shared" si="445"/>
        <v>43</v>
      </c>
      <c r="H4768" t="str">
        <f t="shared" si="446"/>
        <v>RAFAEL PARISE</v>
      </c>
      <c r="I4768" t="str">
        <f t="shared" si="447"/>
        <v>TDR TRANSPORTES LOGISTICA LTDA</v>
      </c>
      <c r="J4768">
        <f t="shared" si="448"/>
        <v>0</v>
      </c>
      <c r="K4768">
        <f t="shared" si="449"/>
        <v>1</v>
      </c>
    </row>
    <row r="4769" spans="1:11" x14ac:dyDescent="0.25">
      <c r="A4769" t="s">
        <v>656</v>
      </c>
      <c r="B4769" t="s">
        <v>657</v>
      </c>
      <c r="C4769" t="s">
        <v>50</v>
      </c>
      <c r="D4769" s="6">
        <v>45952</v>
      </c>
      <c r="E4769" t="str">
        <f>VLOOKUP(B4769,'PROCV GERENTES BD'!A:B,2,0)</f>
        <v>ADMINISTRAÇÃO</v>
      </c>
      <c r="F4769" s="4" t="str">
        <f t="shared" si="444"/>
        <v>2025-10</v>
      </c>
      <c r="G4769" s="18">
        <f t="shared" si="445"/>
        <v>43</v>
      </c>
      <c r="H4769" t="str">
        <f t="shared" si="446"/>
        <v>ADMINISTRAÇÃO</v>
      </c>
      <c r="I4769" t="str">
        <f t="shared" si="447"/>
        <v>NCBA INTERMEDIACAO LTDA ME</v>
      </c>
      <c r="J4769">
        <f t="shared" si="448"/>
        <v>0</v>
      </c>
      <c r="K4769">
        <f t="shared" si="449"/>
        <v>1</v>
      </c>
    </row>
    <row r="4770" spans="1:11" x14ac:dyDescent="0.25">
      <c r="A4770" t="s">
        <v>304</v>
      </c>
      <c r="B4770" t="s">
        <v>689</v>
      </c>
      <c r="C4770" t="s">
        <v>50</v>
      </c>
      <c r="D4770" s="6">
        <v>45952</v>
      </c>
      <c r="E4770" t="str">
        <f>VLOOKUP(B4770,'PROCV GERENTES BD'!A:B,2,0)</f>
        <v>ADMINISTRAÇÃO</v>
      </c>
      <c r="F4770" s="4" t="str">
        <f t="shared" si="444"/>
        <v>2025-10</v>
      </c>
      <c r="G4770" s="18">
        <f t="shared" si="445"/>
        <v>43</v>
      </c>
      <c r="H4770" t="str">
        <f t="shared" si="446"/>
        <v>ADMINISTRAÇÃO</v>
      </c>
      <c r="I4770" t="str">
        <f t="shared" si="447"/>
        <v>VIC LOGISTICA LTDA</v>
      </c>
      <c r="J4770">
        <f t="shared" si="448"/>
        <v>0</v>
      </c>
      <c r="K4770">
        <f t="shared" si="449"/>
        <v>1</v>
      </c>
    </row>
    <row r="4771" spans="1:11" x14ac:dyDescent="0.25">
      <c r="A4771" t="s">
        <v>311</v>
      </c>
      <c r="B4771" t="s">
        <v>81</v>
      </c>
      <c r="C4771" t="s">
        <v>50</v>
      </c>
      <c r="D4771" s="6">
        <v>45952</v>
      </c>
      <c r="E4771" t="str">
        <f>VLOOKUP(B4771,'PROCV GERENTES BD'!A:B,2,0)</f>
        <v>CELIO PIMENTA</v>
      </c>
      <c r="F4771" s="4" t="str">
        <f t="shared" si="444"/>
        <v>2025-10</v>
      </c>
      <c r="G4771" s="18">
        <f t="shared" si="445"/>
        <v>43</v>
      </c>
      <c r="H4771" t="str">
        <f t="shared" si="446"/>
        <v>CELIO PIMENTA</v>
      </c>
      <c r="I4771" t="str">
        <f t="shared" si="447"/>
        <v>MBIOLOG DIAGNOSTICOS LTDA</v>
      </c>
      <c r="J4771">
        <f t="shared" si="448"/>
        <v>0</v>
      </c>
      <c r="K4771">
        <f t="shared" si="449"/>
        <v>1</v>
      </c>
    </row>
    <row r="4772" spans="1:11" x14ac:dyDescent="0.25">
      <c r="A4772" t="s">
        <v>317</v>
      </c>
      <c r="B4772" t="s">
        <v>280</v>
      </c>
      <c r="C4772" t="s">
        <v>50</v>
      </c>
      <c r="D4772" s="6">
        <v>45952</v>
      </c>
      <c r="E4772" t="str">
        <f>VLOOKUP(B4772,'PROCV GERENTES BD'!A:B,2,0)</f>
        <v>PROSPECTAR</v>
      </c>
      <c r="F4772" s="4" t="str">
        <f t="shared" si="444"/>
        <v>2025-10</v>
      </c>
      <c r="G4772" s="18">
        <f t="shared" si="445"/>
        <v>43</v>
      </c>
      <c r="H4772" t="str">
        <f t="shared" si="446"/>
        <v>PROSPECTAR</v>
      </c>
      <c r="I4772" t="str">
        <f t="shared" si="447"/>
        <v>STA TECHCANA LTDA</v>
      </c>
      <c r="J4772">
        <f t="shared" si="448"/>
        <v>0</v>
      </c>
      <c r="K4772">
        <f t="shared" si="449"/>
        <v>1</v>
      </c>
    </row>
    <row r="4773" spans="1:11" x14ac:dyDescent="0.25">
      <c r="A4773" t="s">
        <v>521</v>
      </c>
      <c r="B4773" t="s">
        <v>286</v>
      </c>
      <c r="C4773" t="s">
        <v>50</v>
      </c>
      <c r="D4773" s="6">
        <v>45952</v>
      </c>
      <c r="E4773" t="str">
        <f>VLOOKUP(B4773,'PROCV GERENTES BD'!A:B,2,0)</f>
        <v>CELIO PIMENTA</v>
      </c>
      <c r="F4773" s="4" t="str">
        <f t="shared" si="444"/>
        <v>2025-10</v>
      </c>
      <c r="G4773" s="18">
        <f t="shared" si="445"/>
        <v>43</v>
      </c>
      <c r="H4773" t="str">
        <f t="shared" si="446"/>
        <v>CELIO PIMENTA</v>
      </c>
      <c r="I4773" t="str">
        <f t="shared" si="447"/>
        <v>LINGERIE E CIA LTDA ME</v>
      </c>
      <c r="J4773">
        <f t="shared" si="448"/>
        <v>0</v>
      </c>
      <c r="K4773">
        <f t="shared" si="449"/>
        <v>1</v>
      </c>
    </row>
    <row r="4774" spans="1:11" x14ac:dyDescent="0.25">
      <c r="A4774" t="s">
        <v>691</v>
      </c>
      <c r="B4774" t="s">
        <v>682</v>
      </c>
      <c r="C4774" t="s">
        <v>66</v>
      </c>
      <c r="D4774" s="6">
        <v>45953</v>
      </c>
      <c r="E4774" t="str">
        <f>VLOOKUP(B4774,'PROCV GERENTES BD'!A:B,2,0)</f>
        <v>ANDERSON FRAGA</v>
      </c>
      <c r="F4774" s="4" t="str">
        <f t="shared" si="444"/>
        <v>2025-10</v>
      </c>
      <c r="G4774" s="18">
        <f t="shared" si="445"/>
        <v>43</v>
      </c>
      <c r="H4774" t="str">
        <f t="shared" si="446"/>
        <v>ANDERSON FRAGA</v>
      </c>
      <c r="I4774" t="str">
        <f t="shared" si="447"/>
        <v>COMERCIAL COMAG LTDA</v>
      </c>
      <c r="J4774">
        <f t="shared" si="448"/>
        <v>1</v>
      </c>
      <c r="K4774">
        <f t="shared" si="449"/>
        <v>0</v>
      </c>
    </row>
    <row r="4775" spans="1:11" x14ac:dyDescent="0.25">
      <c r="A4775" t="s">
        <v>508</v>
      </c>
      <c r="B4775" t="s">
        <v>271</v>
      </c>
      <c r="C4775" t="s">
        <v>50</v>
      </c>
      <c r="D4775" s="6">
        <v>45953</v>
      </c>
      <c r="E4775" t="str">
        <f>VLOOKUP(B4775,'PROCV GERENTES BD'!A:B,2,0)</f>
        <v>PRISCILA METZ</v>
      </c>
      <c r="F4775" s="4" t="str">
        <f t="shared" si="444"/>
        <v>2025-10</v>
      </c>
      <c r="G4775" s="18">
        <f t="shared" si="445"/>
        <v>43</v>
      </c>
      <c r="H4775" t="str">
        <f t="shared" si="446"/>
        <v>PRISCILA METZ</v>
      </c>
      <c r="I4775" t="str">
        <f t="shared" si="447"/>
        <v>TUBOLARES VITORIA INDUSTRIA E COMERCIO LTDA ME</v>
      </c>
      <c r="J4775">
        <f t="shared" si="448"/>
        <v>0</v>
      </c>
      <c r="K4775">
        <f t="shared" si="449"/>
        <v>1</v>
      </c>
    </row>
    <row r="4776" spans="1:11" x14ac:dyDescent="0.25">
      <c r="A4776" t="s">
        <v>667</v>
      </c>
      <c r="B4776" t="s">
        <v>560</v>
      </c>
      <c r="C4776" t="s">
        <v>66</v>
      </c>
      <c r="D4776" s="6">
        <v>45953</v>
      </c>
      <c r="E4776" t="str">
        <f>VLOOKUP(B4776,'PROCV GERENTES BD'!A:B,2,0)</f>
        <v>ALISSON DE SOUZA LIMA</v>
      </c>
      <c r="F4776" s="4" t="str">
        <f t="shared" si="444"/>
        <v>2025-10</v>
      </c>
      <c r="G4776" s="18">
        <f t="shared" si="445"/>
        <v>43</v>
      </c>
      <c r="H4776" t="str">
        <f t="shared" si="446"/>
        <v>ALISSON DE SOUZA LIMA</v>
      </c>
      <c r="I4776" t="str">
        <f t="shared" si="447"/>
        <v>JRG SOLUCOES EM SERVICOS LTDA ME</v>
      </c>
      <c r="J4776">
        <f t="shared" si="448"/>
        <v>1</v>
      </c>
      <c r="K4776">
        <f t="shared" si="449"/>
        <v>0</v>
      </c>
    </row>
    <row r="4777" spans="1:11" x14ac:dyDescent="0.25">
      <c r="A4777" t="s">
        <v>610</v>
      </c>
      <c r="B4777" t="s">
        <v>611</v>
      </c>
      <c r="C4777" t="s">
        <v>50</v>
      </c>
      <c r="D4777" s="6">
        <v>45953</v>
      </c>
      <c r="E4777" t="str">
        <f>VLOOKUP(B4777,'PROCV GERENTES BD'!A:B,2,0)</f>
        <v>TIAGO NEVES</v>
      </c>
      <c r="F4777" s="4" t="str">
        <f t="shared" si="444"/>
        <v>2025-10</v>
      </c>
      <c r="G4777" s="18">
        <f t="shared" si="445"/>
        <v>43</v>
      </c>
      <c r="H4777" t="str">
        <f t="shared" si="446"/>
        <v>TIAGO NEVES</v>
      </c>
      <c r="I4777" t="str">
        <f t="shared" si="447"/>
        <v>TRATOR GLASS LTDA ME</v>
      </c>
      <c r="J4777">
        <f t="shared" si="448"/>
        <v>0</v>
      </c>
      <c r="K4777">
        <f t="shared" si="449"/>
        <v>1</v>
      </c>
    </row>
    <row r="4778" spans="1:11" x14ac:dyDescent="0.25">
      <c r="A4778" t="s">
        <v>478</v>
      </c>
      <c r="B4778" t="s">
        <v>235</v>
      </c>
      <c r="C4778" t="s">
        <v>66</v>
      </c>
      <c r="D4778" s="6">
        <v>45953</v>
      </c>
      <c r="E4778" t="str">
        <f>VLOOKUP(B4778,'PROCV GERENTES BD'!A:B,2,0)</f>
        <v>PROSPECTAR</v>
      </c>
      <c r="F4778" s="4" t="str">
        <f t="shared" si="444"/>
        <v>2025-10</v>
      </c>
      <c r="G4778" s="18">
        <f t="shared" si="445"/>
        <v>43</v>
      </c>
      <c r="H4778" t="str">
        <f t="shared" si="446"/>
        <v>PROSPECTAR</v>
      </c>
      <c r="I4778" t="str">
        <f t="shared" si="447"/>
        <v>NUTRIENS FERTIL LTDA ME</v>
      </c>
      <c r="J4778">
        <f t="shared" si="448"/>
        <v>1</v>
      </c>
      <c r="K4778">
        <f t="shared" si="449"/>
        <v>0</v>
      </c>
    </row>
    <row r="4779" spans="1:11" x14ac:dyDescent="0.25">
      <c r="A4779" t="s">
        <v>655</v>
      </c>
      <c r="B4779" t="s">
        <v>548</v>
      </c>
      <c r="C4779" t="s">
        <v>66</v>
      </c>
      <c r="D4779" s="6">
        <v>45953</v>
      </c>
      <c r="E4779" t="str">
        <f>VLOOKUP(B4779,'PROCV GERENTES BD'!A:B,2,0)</f>
        <v xml:space="preserve">ROGERIO </v>
      </c>
      <c r="F4779" s="4" t="str">
        <f t="shared" si="444"/>
        <v>2025-10</v>
      </c>
      <c r="G4779" s="18">
        <f t="shared" si="445"/>
        <v>43</v>
      </c>
      <c r="H4779" t="str">
        <f t="shared" si="446"/>
        <v xml:space="preserve">ROGERIO </v>
      </c>
      <c r="I4779" t="str">
        <f t="shared" si="447"/>
        <v>AGROEP PISCICULTURA LTDA ME</v>
      </c>
      <c r="J4779">
        <f t="shared" si="448"/>
        <v>1</v>
      </c>
      <c r="K4779">
        <f t="shared" si="449"/>
        <v>0</v>
      </c>
    </row>
    <row r="4780" spans="1:11" x14ac:dyDescent="0.25">
      <c r="A4780" t="s">
        <v>450</v>
      </c>
      <c r="B4780" t="s">
        <v>207</v>
      </c>
      <c r="C4780" t="s">
        <v>66</v>
      </c>
      <c r="D4780" s="6">
        <v>45953</v>
      </c>
      <c r="E4780" t="str">
        <f>VLOOKUP(B4780,'PROCV GERENTES BD'!A:B,2,0)</f>
        <v>CELIO PIMENTA</v>
      </c>
      <c r="F4780" s="4" t="str">
        <f t="shared" si="444"/>
        <v>2025-10</v>
      </c>
      <c r="G4780" s="18">
        <f t="shared" si="445"/>
        <v>43</v>
      </c>
      <c r="H4780" t="str">
        <f t="shared" si="446"/>
        <v>CELIO PIMENTA</v>
      </c>
      <c r="I4780" t="str">
        <f t="shared" si="447"/>
        <v>LIDER COMERCIO DE UNIFORMES E EPI S LTDA ME</v>
      </c>
      <c r="J4780">
        <f t="shared" si="448"/>
        <v>1</v>
      </c>
      <c r="K4780">
        <f t="shared" si="449"/>
        <v>0</v>
      </c>
    </row>
    <row r="4781" spans="1:11" x14ac:dyDescent="0.25">
      <c r="A4781" t="s">
        <v>630</v>
      </c>
      <c r="B4781" t="s">
        <v>559</v>
      </c>
      <c r="C4781" t="s">
        <v>66</v>
      </c>
      <c r="D4781" s="6">
        <v>45953</v>
      </c>
      <c r="E4781" t="str">
        <f>VLOOKUP(B4781,'PROCV GERENTES BD'!A:B,2,0)</f>
        <v>ALISSON DE SOUZA LIMA</v>
      </c>
      <c r="F4781" s="4" t="str">
        <f t="shared" si="444"/>
        <v>2025-10</v>
      </c>
      <c r="G4781" s="18">
        <f t="shared" si="445"/>
        <v>43</v>
      </c>
      <c r="H4781" t="str">
        <f t="shared" si="446"/>
        <v>ALISSON DE SOUZA LIMA</v>
      </c>
      <c r="I4781" t="str">
        <f t="shared" si="447"/>
        <v>JRG SOLUCOES INDUSTRIAIS LTDA</v>
      </c>
      <c r="J4781">
        <f t="shared" si="448"/>
        <v>1</v>
      </c>
      <c r="K4781">
        <f t="shared" si="449"/>
        <v>0</v>
      </c>
    </row>
    <row r="4782" spans="1:11" x14ac:dyDescent="0.25">
      <c r="A4782" t="s">
        <v>427</v>
      </c>
      <c r="B4782" t="s">
        <v>178</v>
      </c>
      <c r="C4782" t="s">
        <v>50</v>
      </c>
      <c r="D4782" s="6">
        <v>45953</v>
      </c>
      <c r="E4782" t="str">
        <f>VLOOKUP(B4782,'PROCV GERENTES BD'!A:B,2,0)</f>
        <v>ADMINISTRAÇÃO</v>
      </c>
      <c r="F4782" s="4" t="str">
        <f t="shared" si="444"/>
        <v>2025-10</v>
      </c>
      <c r="G4782" s="18">
        <f t="shared" si="445"/>
        <v>43</v>
      </c>
      <c r="H4782" t="str">
        <f t="shared" si="446"/>
        <v>ADMINISTRAÇÃO</v>
      </c>
      <c r="I4782" t="str">
        <f t="shared" si="447"/>
        <v>LIZZENA COSMETICOS LTDA EPP</v>
      </c>
      <c r="J4782">
        <f t="shared" si="448"/>
        <v>0</v>
      </c>
      <c r="K4782">
        <f t="shared" si="449"/>
        <v>1</v>
      </c>
    </row>
    <row r="4783" spans="1:11" x14ac:dyDescent="0.25">
      <c r="A4783" t="s">
        <v>713</v>
      </c>
      <c r="B4783" t="s">
        <v>694</v>
      </c>
      <c r="C4783" t="s">
        <v>50</v>
      </c>
      <c r="D4783" s="6">
        <v>45953</v>
      </c>
      <c r="E4783" t="str">
        <f>VLOOKUP(B4783,'PROCV GERENTES BD'!A:B,2,0)</f>
        <v>CAIO</v>
      </c>
      <c r="F4783" s="4" t="str">
        <f t="shared" si="444"/>
        <v>2025-10</v>
      </c>
      <c r="G4783" s="18">
        <f t="shared" si="445"/>
        <v>43</v>
      </c>
      <c r="H4783" t="str">
        <f t="shared" si="446"/>
        <v>CAIO</v>
      </c>
      <c r="I4783" t="str">
        <f t="shared" si="447"/>
        <v>DENTAL FREE MATERIAIS E SOLUCOES ODONTOLOGICAS LTD</v>
      </c>
      <c r="J4783">
        <f t="shared" si="448"/>
        <v>0</v>
      </c>
      <c r="K4783">
        <f t="shared" si="449"/>
        <v>1</v>
      </c>
    </row>
    <row r="4784" spans="1:11" x14ac:dyDescent="0.25">
      <c r="A4784" t="s">
        <v>442</v>
      </c>
      <c r="B4784" t="s">
        <v>193</v>
      </c>
      <c r="C4784" t="s">
        <v>50</v>
      </c>
      <c r="D4784" s="6">
        <v>45953</v>
      </c>
      <c r="E4784" t="str">
        <f>VLOOKUP(B4784,'PROCV GERENTES BD'!A:B,2,0)</f>
        <v>CELIO PIMENTA</v>
      </c>
      <c r="F4784" s="4" t="str">
        <f t="shared" si="444"/>
        <v>2025-10</v>
      </c>
      <c r="G4784" s="18">
        <f t="shared" si="445"/>
        <v>43</v>
      </c>
      <c r="H4784" t="str">
        <f t="shared" si="446"/>
        <v>CELIO PIMENTA</v>
      </c>
      <c r="I4784" t="str">
        <f t="shared" si="447"/>
        <v>CIA TEXTIL LTDA ME</v>
      </c>
      <c r="J4784">
        <f t="shared" si="448"/>
        <v>0</v>
      </c>
      <c r="K4784">
        <f t="shared" si="449"/>
        <v>1</v>
      </c>
    </row>
    <row r="4785" spans="1:11" x14ac:dyDescent="0.25">
      <c r="A4785" t="s">
        <v>64</v>
      </c>
      <c r="B4785" t="s">
        <v>65</v>
      </c>
      <c r="C4785" t="s">
        <v>50</v>
      </c>
      <c r="D4785" s="6">
        <v>45953</v>
      </c>
      <c r="E4785" t="str">
        <f>VLOOKUP(B4785,'PROCV GERENTES BD'!A:B,2,0)</f>
        <v>ADMINISTRAÇÃO</v>
      </c>
      <c r="F4785" s="4" t="str">
        <f t="shared" si="444"/>
        <v>2025-10</v>
      </c>
      <c r="G4785" s="18">
        <f t="shared" si="445"/>
        <v>43</v>
      </c>
      <c r="H4785" t="str">
        <f t="shared" si="446"/>
        <v>ADMINISTRAÇÃO</v>
      </c>
      <c r="I4785" t="str">
        <f t="shared" si="447"/>
        <v>SOCIAL S/A</v>
      </c>
      <c r="J4785">
        <f t="shared" si="448"/>
        <v>0</v>
      </c>
      <c r="K4785">
        <f t="shared" si="449"/>
        <v>1</v>
      </c>
    </row>
    <row r="4786" spans="1:11" x14ac:dyDescent="0.25">
      <c r="A4786" t="s">
        <v>604</v>
      </c>
      <c r="B4786" t="s">
        <v>605</v>
      </c>
      <c r="C4786" t="s">
        <v>50</v>
      </c>
      <c r="D4786" s="6">
        <v>45953</v>
      </c>
      <c r="E4786" t="str">
        <f>VLOOKUP(B4786,'PROCV GERENTES BD'!A:B,2,0)</f>
        <v>ALISSON DE SOUZA LIMA</v>
      </c>
      <c r="F4786" s="4" t="str">
        <f t="shared" si="444"/>
        <v>2025-10</v>
      </c>
      <c r="G4786" s="18">
        <f t="shared" si="445"/>
        <v>43</v>
      </c>
      <c r="H4786" t="str">
        <f t="shared" si="446"/>
        <v>ALISSON DE SOUZA LIMA</v>
      </c>
      <c r="I4786" t="str">
        <f t="shared" si="447"/>
        <v>3J FUNDICAO INDUSTRIAL LTDA</v>
      </c>
      <c r="J4786">
        <f t="shared" si="448"/>
        <v>0</v>
      </c>
      <c r="K4786">
        <f t="shared" si="449"/>
        <v>1</v>
      </c>
    </row>
    <row r="4787" spans="1:11" x14ac:dyDescent="0.25">
      <c r="A4787" t="s">
        <v>58</v>
      </c>
      <c r="B4787" t="s">
        <v>59</v>
      </c>
      <c r="C4787" t="s">
        <v>66</v>
      </c>
      <c r="D4787" s="6">
        <v>45953</v>
      </c>
      <c r="E4787" t="str">
        <f>VLOOKUP(B4787,'PROCV GERENTES BD'!A:B,2,0)</f>
        <v>ADMINISTRAÇÃO</v>
      </c>
      <c r="F4787" s="4" t="str">
        <f t="shared" si="444"/>
        <v>2025-10</v>
      </c>
      <c r="G4787" s="18">
        <f t="shared" si="445"/>
        <v>43</v>
      </c>
      <c r="H4787" t="str">
        <f t="shared" si="446"/>
        <v>ADMINISTRAÇÃO</v>
      </c>
      <c r="I4787" t="str">
        <f t="shared" si="447"/>
        <v>BIOTECH LOGISTICA LTDA</v>
      </c>
      <c r="J4787">
        <f t="shared" si="448"/>
        <v>1</v>
      </c>
      <c r="K4787">
        <f t="shared" si="449"/>
        <v>0</v>
      </c>
    </row>
    <row r="4788" spans="1:11" x14ac:dyDescent="0.25">
      <c r="A4788" t="s">
        <v>361</v>
      </c>
      <c r="B4788" t="s">
        <v>106</v>
      </c>
      <c r="C4788" t="s">
        <v>50</v>
      </c>
      <c r="D4788" s="6">
        <v>45953</v>
      </c>
      <c r="E4788" t="str">
        <f>VLOOKUP(B4788,'PROCV GERENTES BD'!A:B,2,0)</f>
        <v>PRISCILA METZ</v>
      </c>
      <c r="F4788" s="4" t="str">
        <f t="shared" si="444"/>
        <v>2025-10</v>
      </c>
      <c r="G4788" s="18">
        <f t="shared" si="445"/>
        <v>43</v>
      </c>
      <c r="H4788" t="str">
        <f t="shared" si="446"/>
        <v>PRISCILA METZ</v>
      </c>
      <c r="I4788" t="str">
        <f t="shared" si="447"/>
        <v>HERBAMED LABORATORIO NUTRACEUTICO LTDA</v>
      </c>
      <c r="J4788">
        <f t="shared" si="448"/>
        <v>0</v>
      </c>
      <c r="K4788">
        <f t="shared" si="449"/>
        <v>1</v>
      </c>
    </row>
    <row r="4789" spans="1:11" x14ac:dyDescent="0.25">
      <c r="A4789" t="s">
        <v>415</v>
      </c>
      <c r="B4789" t="s">
        <v>165</v>
      </c>
      <c r="C4789" t="s">
        <v>50</v>
      </c>
      <c r="D4789" s="6">
        <v>45953</v>
      </c>
      <c r="E4789" t="str">
        <f>VLOOKUP(B4789,'PROCV GERENTES BD'!A:B,2,0)</f>
        <v>PROSPECTAR</v>
      </c>
      <c r="F4789" s="4" t="str">
        <f t="shared" si="444"/>
        <v>2025-10</v>
      </c>
      <c r="G4789" s="18">
        <f t="shared" si="445"/>
        <v>43</v>
      </c>
      <c r="H4789" t="str">
        <f t="shared" si="446"/>
        <v>PROSPECTAR</v>
      </c>
      <c r="I4789" t="str">
        <f t="shared" si="447"/>
        <v>STA SERVICOS LTDA</v>
      </c>
      <c r="J4789">
        <f t="shared" si="448"/>
        <v>0</v>
      </c>
      <c r="K4789">
        <f t="shared" si="449"/>
        <v>1</v>
      </c>
    </row>
    <row r="4790" spans="1:11" x14ac:dyDescent="0.25">
      <c r="A4790" t="s">
        <v>460</v>
      </c>
      <c r="B4790" t="s">
        <v>217</v>
      </c>
      <c r="C4790" t="s">
        <v>50</v>
      </c>
      <c r="D4790" s="6">
        <v>45953</v>
      </c>
      <c r="E4790" t="str">
        <f>VLOOKUP(B4790,'PROCV GERENTES BD'!A:B,2,0)</f>
        <v>CELIO PIMENTA</v>
      </c>
      <c r="F4790" s="4" t="str">
        <f t="shared" si="444"/>
        <v>2025-10</v>
      </c>
      <c r="G4790" s="18">
        <f t="shared" si="445"/>
        <v>43</v>
      </c>
      <c r="H4790" t="str">
        <f t="shared" si="446"/>
        <v>CELIO PIMENTA</v>
      </c>
      <c r="I4790" t="str">
        <f t="shared" si="447"/>
        <v>MINAS CLEAN DISTRIBUIDORA DE PRODUTOS PARA LIMPEZA</v>
      </c>
      <c r="J4790">
        <f t="shared" si="448"/>
        <v>0</v>
      </c>
      <c r="K4790">
        <f t="shared" si="449"/>
        <v>1</v>
      </c>
    </row>
    <row r="4791" spans="1:11" x14ac:dyDescent="0.25">
      <c r="A4791" t="s">
        <v>521</v>
      </c>
      <c r="B4791" t="s">
        <v>286</v>
      </c>
      <c r="C4791" t="s">
        <v>50</v>
      </c>
      <c r="D4791" s="6">
        <v>45953</v>
      </c>
      <c r="E4791" t="str">
        <f>VLOOKUP(B4791,'PROCV GERENTES BD'!A:B,2,0)</f>
        <v>CELIO PIMENTA</v>
      </c>
      <c r="F4791" s="4" t="str">
        <f t="shared" si="444"/>
        <v>2025-10</v>
      </c>
      <c r="G4791" s="18">
        <f t="shared" si="445"/>
        <v>43</v>
      </c>
      <c r="H4791" t="str">
        <f t="shared" si="446"/>
        <v>CELIO PIMENTA</v>
      </c>
      <c r="I4791" t="str">
        <f t="shared" si="447"/>
        <v>LINGERIE E CIA LTDA ME</v>
      </c>
      <c r="J4791">
        <f t="shared" si="448"/>
        <v>0</v>
      </c>
      <c r="K4791">
        <f t="shared" si="449"/>
        <v>1</v>
      </c>
    </row>
    <row r="4792" spans="1:11" x14ac:dyDescent="0.25">
      <c r="A4792" t="s">
        <v>529</v>
      </c>
      <c r="B4792" t="s">
        <v>297</v>
      </c>
      <c r="C4792" t="s">
        <v>66</v>
      </c>
      <c r="D4792" s="6">
        <v>45954</v>
      </c>
      <c r="E4792" t="str">
        <f>VLOOKUP(B4792,'PROCV GERENTES BD'!A:B,2,0)</f>
        <v>ANDRE CUNHA</v>
      </c>
      <c r="F4792" s="4" t="str">
        <f t="shared" si="444"/>
        <v>2025-10</v>
      </c>
      <c r="G4792" s="18">
        <f t="shared" si="445"/>
        <v>43</v>
      </c>
      <c r="H4792" t="str">
        <f t="shared" si="446"/>
        <v>ANDRE CUNHA</v>
      </c>
      <c r="I4792" t="str">
        <f t="shared" si="447"/>
        <v>REVPACK TECNOLOGIA E COMERCIO DE COMPONENTES PLAST</v>
      </c>
      <c r="J4792">
        <f t="shared" si="448"/>
        <v>1</v>
      </c>
      <c r="K4792">
        <f t="shared" si="449"/>
        <v>0</v>
      </c>
    </row>
    <row r="4793" spans="1:11" x14ac:dyDescent="0.25">
      <c r="A4793" t="s">
        <v>322</v>
      </c>
      <c r="B4793" t="s">
        <v>294</v>
      </c>
      <c r="C4793" t="s">
        <v>50</v>
      </c>
      <c r="D4793" s="6">
        <v>45954</v>
      </c>
      <c r="E4793" t="str">
        <f>VLOOKUP(B4793,'PROCV GERENTES BD'!A:B,2,0)</f>
        <v>CAIO</v>
      </c>
      <c r="F4793" s="4" t="str">
        <f t="shared" si="444"/>
        <v>2025-10</v>
      </c>
      <c r="G4793" s="18">
        <f t="shared" si="445"/>
        <v>43</v>
      </c>
      <c r="H4793" t="str">
        <f t="shared" si="446"/>
        <v>CAIO</v>
      </c>
      <c r="I4793" t="str">
        <f t="shared" si="447"/>
        <v>LAF COMERCIAL LTDA ME</v>
      </c>
      <c r="J4793">
        <f t="shared" si="448"/>
        <v>0</v>
      </c>
      <c r="K4793">
        <f t="shared" si="449"/>
        <v>1</v>
      </c>
    </row>
    <row r="4794" spans="1:11" x14ac:dyDescent="0.25">
      <c r="A4794" t="s">
        <v>361</v>
      </c>
      <c r="B4794" t="s">
        <v>106</v>
      </c>
      <c r="C4794" t="s">
        <v>50</v>
      </c>
      <c r="D4794" s="6">
        <v>45954</v>
      </c>
      <c r="E4794" t="str">
        <f>VLOOKUP(B4794,'PROCV GERENTES BD'!A:B,2,0)</f>
        <v>PRISCILA METZ</v>
      </c>
      <c r="F4794" s="4" t="str">
        <f t="shared" si="444"/>
        <v>2025-10</v>
      </c>
      <c r="G4794" s="18">
        <f t="shared" si="445"/>
        <v>43</v>
      </c>
      <c r="H4794" t="str">
        <f t="shared" si="446"/>
        <v>PRISCILA METZ</v>
      </c>
      <c r="I4794" t="str">
        <f t="shared" si="447"/>
        <v>HERBAMED LABORATORIO NUTRACEUTICO LTDA</v>
      </c>
      <c r="J4794">
        <f t="shared" si="448"/>
        <v>0</v>
      </c>
      <c r="K4794">
        <f t="shared" si="449"/>
        <v>1</v>
      </c>
    </row>
    <row r="4795" spans="1:11" x14ac:dyDescent="0.25">
      <c r="A4795" t="s">
        <v>56</v>
      </c>
      <c r="B4795" t="s">
        <v>57</v>
      </c>
      <c r="C4795" t="s">
        <v>50</v>
      </c>
      <c r="D4795" s="6">
        <v>45954</v>
      </c>
      <c r="E4795" t="str">
        <f>VLOOKUP(B4795,'PROCV GERENTES BD'!A:B,2,0)</f>
        <v xml:space="preserve">ROGERIO </v>
      </c>
      <c r="F4795" s="4" t="str">
        <f t="shared" si="444"/>
        <v>2025-10</v>
      </c>
      <c r="G4795" s="18">
        <f t="shared" si="445"/>
        <v>43</v>
      </c>
      <c r="H4795" t="str">
        <f t="shared" si="446"/>
        <v xml:space="preserve">ROGERIO </v>
      </c>
      <c r="I4795" t="str">
        <f t="shared" si="447"/>
        <v>RODOVIEIRA TRANSPORTE LTDA</v>
      </c>
      <c r="J4795">
        <f t="shared" si="448"/>
        <v>0</v>
      </c>
      <c r="K4795">
        <f t="shared" si="449"/>
        <v>1</v>
      </c>
    </row>
    <row r="4796" spans="1:11" x14ac:dyDescent="0.25">
      <c r="A4796" t="s">
        <v>58</v>
      </c>
      <c r="B4796" t="s">
        <v>59</v>
      </c>
      <c r="C4796" t="s">
        <v>50</v>
      </c>
      <c r="D4796" s="6">
        <v>45954</v>
      </c>
      <c r="E4796" t="str">
        <f>VLOOKUP(B4796,'PROCV GERENTES BD'!A:B,2,0)</f>
        <v>ADMINISTRAÇÃO</v>
      </c>
      <c r="F4796" s="4" t="str">
        <f t="shared" si="444"/>
        <v>2025-10</v>
      </c>
      <c r="G4796" s="18">
        <f t="shared" si="445"/>
        <v>43</v>
      </c>
      <c r="H4796" t="str">
        <f t="shared" si="446"/>
        <v>ADMINISTRAÇÃO</v>
      </c>
      <c r="I4796" t="str">
        <f t="shared" si="447"/>
        <v>BIOTECH LOGISTICA LTDA</v>
      </c>
      <c r="J4796">
        <f t="shared" si="448"/>
        <v>0</v>
      </c>
      <c r="K4796">
        <f t="shared" si="449"/>
        <v>1</v>
      </c>
    </row>
    <row r="4797" spans="1:11" x14ac:dyDescent="0.25">
      <c r="A4797" t="s">
        <v>499</v>
      </c>
      <c r="B4797" t="s">
        <v>258</v>
      </c>
      <c r="C4797" t="s">
        <v>50</v>
      </c>
      <c r="D4797" s="6">
        <v>45954</v>
      </c>
      <c r="E4797" t="str">
        <f>VLOOKUP(B4797,'PROCV GERENTES BD'!A:B,2,0)</f>
        <v>PRISCILA METZ</v>
      </c>
      <c r="F4797" s="4" t="str">
        <f t="shared" si="444"/>
        <v>2025-10</v>
      </c>
      <c r="G4797" s="18">
        <f t="shared" si="445"/>
        <v>43</v>
      </c>
      <c r="H4797" t="str">
        <f t="shared" si="446"/>
        <v>PRISCILA METZ</v>
      </c>
      <c r="I4797" t="str">
        <f t="shared" si="447"/>
        <v>PLATINUM INDUSTRIA DE CONFECCOES LTDA</v>
      </c>
      <c r="J4797">
        <f t="shared" si="448"/>
        <v>0</v>
      </c>
      <c r="K4797">
        <f t="shared" si="449"/>
        <v>1</v>
      </c>
    </row>
    <row r="4798" spans="1:11" x14ac:dyDescent="0.25">
      <c r="A4798" t="s">
        <v>461</v>
      </c>
      <c r="B4798" t="s">
        <v>218</v>
      </c>
      <c r="C4798" t="s">
        <v>66</v>
      </c>
      <c r="D4798" s="6">
        <v>45954</v>
      </c>
      <c r="E4798" t="str">
        <f>VLOOKUP(B4798,'PROCV GERENTES BD'!A:B,2,0)</f>
        <v>SACADO</v>
      </c>
      <c r="F4798" s="4" t="str">
        <f t="shared" si="444"/>
        <v>2025-10</v>
      </c>
      <c r="G4798" s="18">
        <f t="shared" si="445"/>
        <v>43</v>
      </c>
      <c r="H4798" t="str">
        <f t="shared" si="446"/>
        <v>SACADO</v>
      </c>
      <c r="I4798" t="str">
        <f t="shared" si="447"/>
        <v>KUARA COMERCIAL E EXPORTADORA DE FRUTAS LTDA</v>
      </c>
      <c r="J4798">
        <f t="shared" si="448"/>
        <v>1</v>
      </c>
      <c r="K4798">
        <f t="shared" si="449"/>
        <v>0</v>
      </c>
    </row>
    <row r="4799" spans="1:11" x14ac:dyDescent="0.25">
      <c r="A4799" t="s">
        <v>488</v>
      </c>
      <c r="B4799" t="s">
        <v>247</v>
      </c>
      <c r="C4799" t="s">
        <v>50</v>
      </c>
      <c r="D4799" s="6">
        <v>45954</v>
      </c>
      <c r="E4799" t="str">
        <f>VLOOKUP(B4799,'PROCV GERENTES BD'!A:B,2,0)</f>
        <v>CELIO PIMENTA</v>
      </c>
      <c r="F4799" s="4" t="str">
        <f t="shared" si="444"/>
        <v>2025-10</v>
      </c>
      <c r="G4799" s="18">
        <f t="shared" si="445"/>
        <v>43</v>
      </c>
      <c r="H4799" t="str">
        <f t="shared" si="446"/>
        <v>CELIO PIMENTA</v>
      </c>
      <c r="I4799" t="str">
        <f t="shared" si="447"/>
        <v>AZ HIDRAULICA USINAGEM LTDA EPP</v>
      </c>
      <c r="J4799">
        <f t="shared" si="448"/>
        <v>0</v>
      </c>
      <c r="K4799">
        <f t="shared" si="449"/>
        <v>1</v>
      </c>
    </row>
    <row r="4800" spans="1:11" x14ac:dyDescent="0.25">
      <c r="A4800" t="s">
        <v>510</v>
      </c>
      <c r="B4800" t="s">
        <v>273</v>
      </c>
      <c r="C4800" t="s">
        <v>50</v>
      </c>
      <c r="D4800" s="6">
        <v>45954</v>
      </c>
      <c r="E4800" t="str">
        <f>VLOOKUP(B4800,'PROCV GERENTES BD'!A:B,2,0)</f>
        <v>CELIO PIMENTA</v>
      </c>
      <c r="F4800" s="4" t="str">
        <f t="shared" ref="F4800:F4863" si="450">YEAR(D4800)&amp;"-"&amp;TEXT(MONTH(D4800),"00")</f>
        <v>2025-10</v>
      </c>
      <c r="G4800" s="18">
        <f t="shared" ref="G4800:G4863" si="451">WEEKNUM(D4800)</f>
        <v>43</v>
      </c>
      <c r="H4800" t="str">
        <f t="shared" ref="H4800:H4863" si="452">E4800</f>
        <v>CELIO PIMENTA</v>
      </c>
      <c r="I4800" t="str">
        <f t="shared" ref="I4800:I4863" si="453">B4800</f>
        <v>PRADO MOREIRA TEXTIL LTDA ME</v>
      </c>
      <c r="J4800">
        <f t="shared" ref="J4800:J4863" si="454">IF(OR(C4800="EXCLUSAO  ANOT.INADIMPLENCIA",C4800="INCL/EXCL ANOT.INADIMPLENCIA"),1,0)</f>
        <v>0</v>
      </c>
      <c r="K4800">
        <f t="shared" ref="K4800:K4863" si="455">IF(OR(C4800="INCLUSAO  ANOT.INADIMPLENCIA",C4800="INCL/EXCL ANOT.INADIMPLENCIA"),1,0)</f>
        <v>1</v>
      </c>
    </row>
    <row r="4801" spans="1:11" x14ac:dyDescent="0.25">
      <c r="A4801" t="s">
        <v>524</v>
      </c>
      <c r="B4801" t="s">
        <v>289</v>
      </c>
      <c r="C4801" t="s">
        <v>50</v>
      </c>
      <c r="D4801" s="6">
        <v>45955</v>
      </c>
      <c r="E4801" t="str">
        <f>VLOOKUP(B4801,'PROCV GERENTES BD'!A:B,2,0)</f>
        <v>DALVA</v>
      </c>
      <c r="F4801" s="4" t="str">
        <f t="shared" si="450"/>
        <v>2025-10</v>
      </c>
      <c r="G4801" s="18">
        <f t="shared" si="451"/>
        <v>43</v>
      </c>
      <c r="H4801" t="str">
        <f t="shared" si="452"/>
        <v>DALVA</v>
      </c>
      <c r="I4801" t="str">
        <f t="shared" si="453"/>
        <v>FRAITECH INTELIGENCIA EM AUTOMACAO LTDA</v>
      </c>
      <c r="J4801">
        <f t="shared" si="454"/>
        <v>0</v>
      </c>
      <c r="K4801">
        <f t="shared" si="455"/>
        <v>1</v>
      </c>
    </row>
    <row r="4802" spans="1:11" x14ac:dyDescent="0.25">
      <c r="A4802" t="s">
        <v>700</v>
      </c>
      <c r="B4802" t="s">
        <v>680</v>
      </c>
      <c r="C4802" t="s">
        <v>50</v>
      </c>
      <c r="D4802" s="6">
        <v>45955</v>
      </c>
      <c r="E4802" t="str">
        <f>VLOOKUP(B4802,'PROCV GERENTES BD'!A:B,2,0)</f>
        <v>POENATELA</v>
      </c>
      <c r="F4802" s="4" t="str">
        <f t="shared" si="450"/>
        <v>2025-10</v>
      </c>
      <c r="G4802" s="18">
        <f t="shared" si="451"/>
        <v>43</v>
      </c>
      <c r="H4802" t="str">
        <f t="shared" si="452"/>
        <v>POENATELA</v>
      </c>
      <c r="I4802" t="str">
        <f t="shared" si="453"/>
        <v>BIORGANICA PRODUTOS ORGANICOS LTDA</v>
      </c>
      <c r="J4802">
        <f t="shared" si="454"/>
        <v>0</v>
      </c>
      <c r="K4802">
        <f t="shared" si="455"/>
        <v>1</v>
      </c>
    </row>
    <row r="4803" spans="1:11" x14ac:dyDescent="0.25">
      <c r="A4803" t="s">
        <v>387</v>
      </c>
      <c r="B4803" t="s">
        <v>134</v>
      </c>
      <c r="C4803" t="s">
        <v>50</v>
      </c>
      <c r="D4803" s="6">
        <v>45955</v>
      </c>
      <c r="E4803" t="str">
        <f>VLOOKUP(B4803,'PROCV GERENTES BD'!A:B,2,0)</f>
        <v>RAFAEL PARISE</v>
      </c>
      <c r="F4803" s="4" t="str">
        <f t="shared" si="450"/>
        <v>2025-10</v>
      </c>
      <c r="G4803" s="18">
        <f t="shared" si="451"/>
        <v>43</v>
      </c>
      <c r="H4803" t="str">
        <f t="shared" si="452"/>
        <v>RAFAEL PARISE</v>
      </c>
      <c r="I4803" t="str">
        <f t="shared" si="453"/>
        <v>MAIS DISTRIBUIDORA LTDA</v>
      </c>
      <c r="J4803">
        <f t="shared" si="454"/>
        <v>0</v>
      </c>
      <c r="K4803">
        <f t="shared" si="455"/>
        <v>1</v>
      </c>
    </row>
    <row r="4804" spans="1:11" x14ac:dyDescent="0.25">
      <c r="A4804" t="s">
        <v>56</v>
      </c>
      <c r="B4804" t="s">
        <v>57</v>
      </c>
      <c r="C4804" t="s">
        <v>50</v>
      </c>
      <c r="D4804" s="6">
        <v>45955</v>
      </c>
      <c r="E4804" t="str">
        <f>VLOOKUP(B4804,'PROCV GERENTES BD'!A:B,2,0)</f>
        <v xml:space="preserve">ROGERIO </v>
      </c>
      <c r="F4804" s="4" t="str">
        <f t="shared" si="450"/>
        <v>2025-10</v>
      </c>
      <c r="G4804" s="18">
        <f t="shared" si="451"/>
        <v>43</v>
      </c>
      <c r="H4804" t="str">
        <f t="shared" si="452"/>
        <v xml:space="preserve">ROGERIO </v>
      </c>
      <c r="I4804" t="str">
        <f t="shared" si="453"/>
        <v>RODOVIEIRA TRANSPORTE LTDA</v>
      </c>
      <c r="J4804">
        <f t="shared" si="454"/>
        <v>0</v>
      </c>
      <c r="K4804">
        <f t="shared" si="455"/>
        <v>1</v>
      </c>
    </row>
    <row r="4805" spans="1:11" x14ac:dyDescent="0.25">
      <c r="A4805" t="s">
        <v>58</v>
      </c>
      <c r="B4805" t="s">
        <v>59</v>
      </c>
      <c r="C4805" t="s">
        <v>66</v>
      </c>
      <c r="D4805" s="6">
        <v>45955</v>
      </c>
      <c r="E4805" t="str">
        <f>VLOOKUP(B4805,'PROCV GERENTES BD'!A:B,2,0)</f>
        <v>ADMINISTRAÇÃO</v>
      </c>
      <c r="F4805" s="4" t="str">
        <f t="shared" si="450"/>
        <v>2025-10</v>
      </c>
      <c r="G4805" s="18">
        <f t="shared" si="451"/>
        <v>43</v>
      </c>
      <c r="H4805" t="str">
        <f t="shared" si="452"/>
        <v>ADMINISTRAÇÃO</v>
      </c>
      <c r="I4805" t="str">
        <f t="shared" si="453"/>
        <v>BIOTECH LOGISTICA LTDA</v>
      </c>
      <c r="J4805">
        <f t="shared" si="454"/>
        <v>1</v>
      </c>
      <c r="K4805">
        <f t="shared" si="455"/>
        <v>0</v>
      </c>
    </row>
    <row r="4806" spans="1:11" x14ac:dyDescent="0.25">
      <c r="A4806" t="s">
        <v>318</v>
      </c>
      <c r="B4806" t="s">
        <v>203</v>
      </c>
      <c r="C4806" t="s">
        <v>66</v>
      </c>
      <c r="D4806" s="6">
        <v>45955</v>
      </c>
      <c r="E4806" t="str">
        <f>VLOOKUP(B4806,'PROCV GERENTES BD'!A:B,2,0)</f>
        <v>JOSE ROBERTO</v>
      </c>
      <c r="F4806" s="4" t="str">
        <f t="shared" si="450"/>
        <v>2025-10</v>
      </c>
      <c r="G4806" s="18">
        <f t="shared" si="451"/>
        <v>43</v>
      </c>
      <c r="H4806" t="str">
        <f t="shared" si="452"/>
        <v>JOSE ROBERTO</v>
      </c>
      <c r="I4806" t="str">
        <f t="shared" si="453"/>
        <v>FUNDACAO DE ENSINO E PESQUISA DO SUL DE MINAS FEPE</v>
      </c>
      <c r="J4806">
        <f t="shared" si="454"/>
        <v>1</v>
      </c>
      <c r="K4806">
        <f t="shared" si="455"/>
        <v>0</v>
      </c>
    </row>
    <row r="4807" spans="1:11" x14ac:dyDescent="0.25">
      <c r="A4807" t="s">
        <v>62</v>
      </c>
      <c r="B4807" t="s">
        <v>63</v>
      </c>
      <c r="C4807" t="s">
        <v>66</v>
      </c>
      <c r="D4807" s="6">
        <v>45955</v>
      </c>
      <c r="E4807" t="str">
        <f>VLOOKUP(B4807,'PROCV GERENTES BD'!A:B,2,0)</f>
        <v>PROSPECTAR</v>
      </c>
      <c r="F4807" s="4" t="str">
        <f t="shared" si="450"/>
        <v>2025-10</v>
      </c>
      <c r="G4807" s="18">
        <f t="shared" si="451"/>
        <v>43</v>
      </c>
      <c r="H4807" t="str">
        <f t="shared" si="452"/>
        <v>PROSPECTAR</v>
      </c>
      <c r="I4807" t="str">
        <f t="shared" si="453"/>
        <v>MAPP COM IMPORTACAO EXPORTACAO IND PRODUTOS ALIMEN</v>
      </c>
      <c r="J4807">
        <f t="shared" si="454"/>
        <v>1</v>
      </c>
      <c r="K4807">
        <f t="shared" si="455"/>
        <v>0</v>
      </c>
    </row>
    <row r="4808" spans="1:11" x14ac:dyDescent="0.25">
      <c r="A4808" t="s">
        <v>701</v>
      </c>
      <c r="B4808" t="s">
        <v>696</v>
      </c>
      <c r="C4808" t="s">
        <v>50</v>
      </c>
      <c r="D4808" s="6">
        <v>45955</v>
      </c>
      <c r="E4808" t="str">
        <f>VLOOKUP(B4808,'PROCV GERENTES BD'!A:B,2,0)</f>
        <v xml:space="preserve">ROGERIO </v>
      </c>
      <c r="F4808" s="4" t="str">
        <f t="shared" si="450"/>
        <v>2025-10</v>
      </c>
      <c r="G4808" s="18">
        <f t="shared" si="451"/>
        <v>43</v>
      </c>
      <c r="H4808" t="str">
        <f t="shared" si="452"/>
        <v xml:space="preserve">ROGERIO </v>
      </c>
      <c r="I4808" t="str">
        <f t="shared" si="453"/>
        <v>CONFIARE ADMINISTRADORA LTDA EPP</v>
      </c>
      <c r="J4808">
        <f t="shared" si="454"/>
        <v>0</v>
      </c>
      <c r="K4808">
        <f t="shared" si="455"/>
        <v>1</v>
      </c>
    </row>
    <row r="4809" spans="1:11" x14ac:dyDescent="0.25">
      <c r="A4809" t="s">
        <v>630</v>
      </c>
      <c r="B4809" t="s">
        <v>559</v>
      </c>
      <c r="C4809" t="s">
        <v>66</v>
      </c>
      <c r="D4809" s="6">
        <v>45955</v>
      </c>
      <c r="E4809" t="str">
        <f>VLOOKUP(B4809,'PROCV GERENTES BD'!A:B,2,0)</f>
        <v>ALISSON DE SOUZA LIMA</v>
      </c>
      <c r="F4809" s="4" t="str">
        <f t="shared" si="450"/>
        <v>2025-10</v>
      </c>
      <c r="G4809" s="18">
        <f t="shared" si="451"/>
        <v>43</v>
      </c>
      <c r="H4809" t="str">
        <f t="shared" si="452"/>
        <v>ALISSON DE SOUZA LIMA</v>
      </c>
      <c r="I4809" t="str">
        <f t="shared" si="453"/>
        <v>JRG SOLUCOES INDUSTRIAIS LTDA</v>
      </c>
      <c r="J4809">
        <f t="shared" si="454"/>
        <v>1</v>
      </c>
      <c r="K4809">
        <f t="shared" si="455"/>
        <v>0</v>
      </c>
    </row>
    <row r="4810" spans="1:11" x14ac:dyDescent="0.25">
      <c r="A4810" t="s">
        <v>450</v>
      </c>
      <c r="B4810" t="s">
        <v>207</v>
      </c>
      <c r="C4810" t="s">
        <v>50</v>
      </c>
      <c r="D4810" s="6">
        <v>45955</v>
      </c>
      <c r="E4810" t="str">
        <f>VLOOKUP(B4810,'PROCV GERENTES BD'!A:B,2,0)</f>
        <v>CELIO PIMENTA</v>
      </c>
      <c r="F4810" s="4" t="str">
        <f t="shared" si="450"/>
        <v>2025-10</v>
      </c>
      <c r="G4810" s="18">
        <f t="shared" si="451"/>
        <v>43</v>
      </c>
      <c r="H4810" t="str">
        <f t="shared" si="452"/>
        <v>CELIO PIMENTA</v>
      </c>
      <c r="I4810" t="str">
        <f t="shared" si="453"/>
        <v>LIDER COMERCIO DE UNIFORMES E EPI S LTDA ME</v>
      </c>
      <c r="J4810">
        <f t="shared" si="454"/>
        <v>0</v>
      </c>
      <c r="K4810">
        <f t="shared" si="455"/>
        <v>1</v>
      </c>
    </row>
    <row r="4811" spans="1:11" x14ac:dyDescent="0.25">
      <c r="A4811" t="s">
        <v>667</v>
      </c>
      <c r="B4811" t="s">
        <v>560</v>
      </c>
      <c r="C4811" t="s">
        <v>53</v>
      </c>
      <c r="D4811" s="6">
        <v>45955</v>
      </c>
      <c r="E4811" t="str">
        <f>VLOOKUP(B4811,'PROCV GERENTES BD'!A:B,2,0)</f>
        <v>ALISSON DE SOUZA LIMA</v>
      </c>
      <c r="F4811" s="4" t="str">
        <f t="shared" si="450"/>
        <v>2025-10</v>
      </c>
      <c r="G4811" s="18">
        <f t="shared" si="451"/>
        <v>43</v>
      </c>
      <c r="H4811" t="str">
        <f t="shared" si="452"/>
        <v>ALISSON DE SOUZA LIMA</v>
      </c>
      <c r="I4811" t="str">
        <f t="shared" si="453"/>
        <v>JRG SOLUCOES EM SERVICOS LTDA ME</v>
      </c>
      <c r="J4811">
        <f t="shared" si="454"/>
        <v>1</v>
      </c>
      <c r="K4811">
        <f t="shared" si="455"/>
        <v>1</v>
      </c>
    </row>
    <row r="4812" spans="1:11" x14ac:dyDescent="0.25">
      <c r="A4812" t="s">
        <v>460</v>
      </c>
      <c r="B4812" t="s">
        <v>217</v>
      </c>
      <c r="C4812" t="s">
        <v>50</v>
      </c>
      <c r="D4812" s="6">
        <v>45955</v>
      </c>
      <c r="E4812" t="str">
        <f>VLOOKUP(B4812,'PROCV GERENTES BD'!A:B,2,0)</f>
        <v>CELIO PIMENTA</v>
      </c>
      <c r="F4812" s="4" t="str">
        <f t="shared" si="450"/>
        <v>2025-10</v>
      </c>
      <c r="G4812" s="18">
        <f t="shared" si="451"/>
        <v>43</v>
      </c>
      <c r="H4812" t="str">
        <f t="shared" si="452"/>
        <v>CELIO PIMENTA</v>
      </c>
      <c r="I4812" t="str">
        <f t="shared" si="453"/>
        <v>MINAS CLEAN DISTRIBUIDORA DE PRODUTOS PARA LIMPEZA</v>
      </c>
      <c r="J4812">
        <f t="shared" si="454"/>
        <v>0</v>
      </c>
      <c r="K4812">
        <f t="shared" si="455"/>
        <v>1</v>
      </c>
    </row>
    <row r="4813" spans="1:11" x14ac:dyDescent="0.25">
      <c r="A4813" t="s">
        <v>510</v>
      </c>
      <c r="B4813" t="s">
        <v>273</v>
      </c>
      <c r="C4813" t="s">
        <v>50</v>
      </c>
      <c r="D4813" s="6">
        <v>45955</v>
      </c>
      <c r="E4813" t="str">
        <f>VLOOKUP(B4813,'PROCV GERENTES BD'!A:B,2,0)</f>
        <v>CELIO PIMENTA</v>
      </c>
      <c r="F4813" s="4" t="str">
        <f t="shared" si="450"/>
        <v>2025-10</v>
      </c>
      <c r="G4813" s="18">
        <f t="shared" si="451"/>
        <v>43</v>
      </c>
      <c r="H4813" t="str">
        <f t="shared" si="452"/>
        <v>CELIO PIMENTA</v>
      </c>
      <c r="I4813" t="str">
        <f t="shared" si="453"/>
        <v>PRADO MOREIRA TEXTIL LTDA ME</v>
      </c>
      <c r="J4813">
        <f t="shared" si="454"/>
        <v>0</v>
      </c>
      <c r="K4813">
        <f t="shared" si="455"/>
        <v>1</v>
      </c>
    </row>
    <row r="4814" spans="1:11" x14ac:dyDescent="0.25">
      <c r="A4814" t="s">
        <v>311</v>
      </c>
      <c r="B4814" t="s">
        <v>81</v>
      </c>
      <c r="C4814" t="s">
        <v>50</v>
      </c>
      <c r="D4814" s="6">
        <v>45958</v>
      </c>
      <c r="E4814" t="str">
        <f>VLOOKUP(B4814,'PROCV GERENTES BD'!A:B,2,0)</f>
        <v>CELIO PIMENTA</v>
      </c>
      <c r="F4814" s="4" t="str">
        <f t="shared" si="450"/>
        <v>2025-10</v>
      </c>
      <c r="G4814" s="18">
        <f t="shared" si="451"/>
        <v>44</v>
      </c>
      <c r="H4814" t="str">
        <f t="shared" si="452"/>
        <v>CELIO PIMENTA</v>
      </c>
      <c r="I4814" t="str">
        <f t="shared" si="453"/>
        <v>MBIOLOG DIAGNOSTICOS LTDA</v>
      </c>
      <c r="J4814">
        <f t="shared" si="454"/>
        <v>0</v>
      </c>
      <c r="K4814">
        <f t="shared" si="455"/>
        <v>1</v>
      </c>
    </row>
    <row r="4815" spans="1:11" x14ac:dyDescent="0.25">
      <c r="A4815" t="s">
        <v>534</v>
      </c>
      <c r="B4815" t="s">
        <v>303</v>
      </c>
      <c r="C4815" t="s">
        <v>53</v>
      </c>
      <c r="D4815" s="6">
        <v>45958</v>
      </c>
      <c r="E4815" t="str">
        <f>VLOOKUP(B4815,'PROCV GERENTES BD'!A:B,2,0)</f>
        <v xml:space="preserve">MARCUS VINICIUS </v>
      </c>
      <c r="F4815" s="4" t="str">
        <f t="shared" si="450"/>
        <v>2025-10</v>
      </c>
      <c r="G4815" s="18">
        <f t="shared" si="451"/>
        <v>44</v>
      </c>
      <c r="H4815" t="str">
        <f t="shared" si="452"/>
        <v xml:space="preserve">MARCUS VINICIUS </v>
      </c>
      <c r="I4815" t="str">
        <f t="shared" si="453"/>
        <v>GRAFICA JSA LTDA EPP</v>
      </c>
      <c r="J4815">
        <f t="shared" si="454"/>
        <v>1</v>
      </c>
      <c r="K4815">
        <f t="shared" si="455"/>
        <v>1</v>
      </c>
    </row>
    <row r="4816" spans="1:11" x14ac:dyDescent="0.25">
      <c r="A4816" t="s">
        <v>396</v>
      </c>
      <c r="B4816" t="s">
        <v>146</v>
      </c>
      <c r="C4816" t="s">
        <v>50</v>
      </c>
      <c r="D4816" s="6">
        <v>45958</v>
      </c>
      <c r="E4816" t="str">
        <f>VLOOKUP(B4816,'PROCV GERENTES BD'!A:B,2,0)</f>
        <v xml:space="preserve">MARCUS VINICIUS </v>
      </c>
      <c r="F4816" s="4" t="str">
        <f t="shared" si="450"/>
        <v>2025-10</v>
      </c>
      <c r="G4816" s="18">
        <f t="shared" si="451"/>
        <v>44</v>
      </c>
      <c r="H4816" t="str">
        <f t="shared" si="452"/>
        <v xml:space="preserve">MARCUS VINICIUS </v>
      </c>
      <c r="I4816" t="str">
        <f t="shared" si="453"/>
        <v>OLINDA IMPORTACAO E COMERCIO LTDA</v>
      </c>
      <c r="J4816">
        <f t="shared" si="454"/>
        <v>0</v>
      </c>
      <c r="K4816">
        <f t="shared" si="455"/>
        <v>1</v>
      </c>
    </row>
    <row r="4817" spans="1:11" x14ac:dyDescent="0.25">
      <c r="A4817" t="s">
        <v>508</v>
      </c>
      <c r="B4817" t="s">
        <v>271</v>
      </c>
      <c r="C4817" t="s">
        <v>50</v>
      </c>
      <c r="D4817" s="6">
        <v>45958</v>
      </c>
      <c r="E4817" t="str">
        <f>VLOOKUP(B4817,'PROCV GERENTES BD'!A:B,2,0)</f>
        <v>PRISCILA METZ</v>
      </c>
      <c r="F4817" s="4" t="str">
        <f t="shared" si="450"/>
        <v>2025-10</v>
      </c>
      <c r="G4817" s="18">
        <f t="shared" si="451"/>
        <v>44</v>
      </c>
      <c r="H4817" t="str">
        <f t="shared" si="452"/>
        <v>PRISCILA METZ</v>
      </c>
      <c r="I4817" t="str">
        <f t="shared" si="453"/>
        <v>TUBOLARES VITORIA INDUSTRIA E COMERCIO LTDA ME</v>
      </c>
      <c r="J4817">
        <f t="shared" si="454"/>
        <v>0</v>
      </c>
      <c r="K4817">
        <f t="shared" si="455"/>
        <v>1</v>
      </c>
    </row>
    <row r="4818" spans="1:11" x14ac:dyDescent="0.25">
      <c r="A4818" t="s">
        <v>667</v>
      </c>
      <c r="B4818" t="s">
        <v>560</v>
      </c>
      <c r="C4818" t="s">
        <v>50</v>
      </c>
      <c r="D4818" s="6">
        <v>45958</v>
      </c>
      <c r="E4818" t="str">
        <f>VLOOKUP(B4818,'PROCV GERENTES BD'!A:B,2,0)</f>
        <v>ALISSON DE SOUZA LIMA</v>
      </c>
      <c r="F4818" s="4" t="str">
        <f t="shared" si="450"/>
        <v>2025-10</v>
      </c>
      <c r="G4818" s="18">
        <f t="shared" si="451"/>
        <v>44</v>
      </c>
      <c r="H4818" t="str">
        <f t="shared" si="452"/>
        <v>ALISSON DE SOUZA LIMA</v>
      </c>
      <c r="I4818" t="str">
        <f t="shared" si="453"/>
        <v>JRG SOLUCOES EM SERVICOS LTDA ME</v>
      </c>
      <c r="J4818">
        <f t="shared" si="454"/>
        <v>0</v>
      </c>
      <c r="K4818">
        <f t="shared" si="455"/>
        <v>1</v>
      </c>
    </row>
    <row r="4819" spans="1:11" x14ac:dyDescent="0.25">
      <c r="A4819" t="s">
        <v>488</v>
      </c>
      <c r="B4819" t="s">
        <v>247</v>
      </c>
      <c r="C4819" t="s">
        <v>50</v>
      </c>
      <c r="D4819" s="6">
        <v>45958</v>
      </c>
      <c r="E4819" t="str">
        <f>VLOOKUP(B4819,'PROCV GERENTES BD'!A:B,2,0)</f>
        <v>CELIO PIMENTA</v>
      </c>
      <c r="F4819" s="4" t="str">
        <f t="shared" si="450"/>
        <v>2025-10</v>
      </c>
      <c r="G4819" s="18">
        <f t="shared" si="451"/>
        <v>44</v>
      </c>
      <c r="H4819" t="str">
        <f t="shared" si="452"/>
        <v>CELIO PIMENTA</v>
      </c>
      <c r="I4819" t="str">
        <f t="shared" si="453"/>
        <v>AZ HIDRAULICA USINAGEM LTDA EPP</v>
      </c>
      <c r="J4819">
        <f t="shared" si="454"/>
        <v>0</v>
      </c>
      <c r="K4819">
        <f t="shared" si="455"/>
        <v>1</v>
      </c>
    </row>
    <row r="4820" spans="1:11" x14ac:dyDescent="0.25">
      <c r="A4820" t="s">
        <v>461</v>
      </c>
      <c r="B4820" t="s">
        <v>218</v>
      </c>
      <c r="C4820" t="s">
        <v>50</v>
      </c>
      <c r="D4820" s="6">
        <v>45958</v>
      </c>
      <c r="E4820" t="str">
        <f>VLOOKUP(B4820,'PROCV GERENTES BD'!A:B,2,0)</f>
        <v>SACADO</v>
      </c>
      <c r="F4820" s="4" t="str">
        <f t="shared" si="450"/>
        <v>2025-10</v>
      </c>
      <c r="G4820" s="18">
        <f t="shared" si="451"/>
        <v>44</v>
      </c>
      <c r="H4820" t="str">
        <f t="shared" si="452"/>
        <v>SACADO</v>
      </c>
      <c r="I4820" t="str">
        <f t="shared" si="453"/>
        <v>KUARA COMERCIAL E EXPORTADORA DE FRUTAS LTDA</v>
      </c>
      <c r="J4820">
        <f t="shared" si="454"/>
        <v>0</v>
      </c>
      <c r="K4820">
        <f t="shared" si="455"/>
        <v>1</v>
      </c>
    </row>
    <row r="4821" spans="1:11" x14ac:dyDescent="0.25">
      <c r="A4821" t="s">
        <v>655</v>
      </c>
      <c r="B4821" t="s">
        <v>548</v>
      </c>
      <c r="C4821" t="s">
        <v>50</v>
      </c>
      <c r="D4821" s="6">
        <v>45958</v>
      </c>
      <c r="E4821" t="str">
        <f>VLOOKUP(B4821,'PROCV GERENTES BD'!A:B,2,0)</f>
        <v xml:space="preserve">ROGERIO </v>
      </c>
      <c r="F4821" s="4" t="str">
        <f t="shared" si="450"/>
        <v>2025-10</v>
      </c>
      <c r="G4821" s="18">
        <f t="shared" si="451"/>
        <v>44</v>
      </c>
      <c r="H4821" t="str">
        <f t="shared" si="452"/>
        <v xml:space="preserve">ROGERIO </v>
      </c>
      <c r="I4821" t="str">
        <f t="shared" si="453"/>
        <v>AGROEP PISCICULTURA LTDA ME</v>
      </c>
      <c r="J4821">
        <f t="shared" si="454"/>
        <v>0</v>
      </c>
      <c r="K4821">
        <f t="shared" si="455"/>
        <v>1</v>
      </c>
    </row>
    <row r="4822" spans="1:11" x14ac:dyDescent="0.25">
      <c r="A4822" t="s">
        <v>630</v>
      </c>
      <c r="B4822" t="s">
        <v>559</v>
      </c>
      <c r="C4822" t="s">
        <v>50</v>
      </c>
      <c r="D4822" s="6">
        <v>45958</v>
      </c>
      <c r="E4822" t="str">
        <f>VLOOKUP(B4822,'PROCV GERENTES BD'!A:B,2,0)</f>
        <v>ALISSON DE SOUZA LIMA</v>
      </c>
      <c r="F4822" s="4" t="str">
        <f t="shared" si="450"/>
        <v>2025-10</v>
      </c>
      <c r="G4822" s="18">
        <f t="shared" si="451"/>
        <v>44</v>
      </c>
      <c r="H4822" t="str">
        <f t="shared" si="452"/>
        <v>ALISSON DE SOUZA LIMA</v>
      </c>
      <c r="I4822" t="str">
        <f t="shared" si="453"/>
        <v>JRG SOLUCOES INDUSTRIAIS LTDA</v>
      </c>
      <c r="J4822">
        <f t="shared" si="454"/>
        <v>0</v>
      </c>
      <c r="K4822">
        <f t="shared" si="455"/>
        <v>1</v>
      </c>
    </row>
    <row r="4823" spans="1:11" x14ac:dyDescent="0.25">
      <c r="A4823" t="s">
        <v>316</v>
      </c>
      <c r="B4823" t="s">
        <v>302</v>
      </c>
      <c r="C4823" t="s">
        <v>50</v>
      </c>
      <c r="D4823" s="6">
        <v>45958</v>
      </c>
      <c r="E4823" t="str">
        <f>VLOOKUP(B4823,'PROCV GERENTES BD'!A:B,2,0)</f>
        <v>CELIO PIMENTA</v>
      </c>
      <c r="F4823" s="4" t="str">
        <f t="shared" si="450"/>
        <v>2025-10</v>
      </c>
      <c r="G4823" s="18">
        <f t="shared" si="451"/>
        <v>44</v>
      </c>
      <c r="H4823" t="str">
        <f t="shared" si="452"/>
        <v>CELIO PIMENTA</v>
      </c>
      <c r="I4823" t="str">
        <f t="shared" si="453"/>
        <v>LOTUS DESENVOLVIMENTO IMOBILIARIO LTDA</v>
      </c>
      <c r="J4823">
        <f t="shared" si="454"/>
        <v>0</v>
      </c>
      <c r="K4823">
        <f t="shared" si="455"/>
        <v>1</v>
      </c>
    </row>
    <row r="4824" spans="1:11" x14ac:dyDescent="0.25">
      <c r="A4824" t="s">
        <v>713</v>
      </c>
      <c r="B4824" t="s">
        <v>694</v>
      </c>
      <c r="C4824" t="s">
        <v>66</v>
      </c>
      <c r="D4824" s="6">
        <v>45958</v>
      </c>
      <c r="E4824" t="str">
        <f>VLOOKUP(B4824,'PROCV GERENTES BD'!A:B,2,0)</f>
        <v>CAIO</v>
      </c>
      <c r="F4824" s="4" t="str">
        <f t="shared" si="450"/>
        <v>2025-10</v>
      </c>
      <c r="G4824" s="18">
        <f t="shared" si="451"/>
        <v>44</v>
      </c>
      <c r="H4824" t="str">
        <f t="shared" si="452"/>
        <v>CAIO</v>
      </c>
      <c r="I4824" t="str">
        <f t="shared" si="453"/>
        <v>DENTAL FREE MATERIAIS E SOLUCOES ODONTOLOGICAS LTD</v>
      </c>
      <c r="J4824">
        <f t="shared" si="454"/>
        <v>1</v>
      </c>
      <c r="K4824">
        <f t="shared" si="455"/>
        <v>0</v>
      </c>
    </row>
    <row r="4825" spans="1:11" x14ac:dyDescent="0.25">
      <c r="A4825" t="s">
        <v>505</v>
      </c>
      <c r="B4825" t="s">
        <v>267</v>
      </c>
      <c r="C4825" t="s">
        <v>50</v>
      </c>
      <c r="D4825" s="6">
        <v>45958</v>
      </c>
      <c r="E4825" t="str">
        <f>VLOOKUP(B4825,'PROCV GERENTES BD'!A:B,2,0)</f>
        <v>PRISCILA METZ</v>
      </c>
      <c r="F4825" s="4" t="str">
        <f t="shared" si="450"/>
        <v>2025-10</v>
      </c>
      <c r="G4825" s="18">
        <f t="shared" si="451"/>
        <v>44</v>
      </c>
      <c r="H4825" t="str">
        <f t="shared" si="452"/>
        <v>PRISCILA METZ</v>
      </c>
      <c r="I4825" t="str">
        <f t="shared" si="453"/>
        <v>REAL DISTRIBUIDORA DE PRODUTOS PARA MARMORARIA LTD</v>
      </c>
      <c r="J4825">
        <f t="shared" si="454"/>
        <v>0</v>
      </c>
      <c r="K4825">
        <f t="shared" si="455"/>
        <v>1</v>
      </c>
    </row>
    <row r="4826" spans="1:11" x14ac:dyDescent="0.25">
      <c r="A4826" t="s">
        <v>64</v>
      </c>
      <c r="B4826" t="s">
        <v>65</v>
      </c>
      <c r="C4826" t="s">
        <v>50</v>
      </c>
      <c r="D4826" s="6">
        <v>45958</v>
      </c>
      <c r="E4826" t="str">
        <f>VLOOKUP(B4826,'PROCV GERENTES BD'!A:B,2,0)</f>
        <v>ADMINISTRAÇÃO</v>
      </c>
      <c r="F4826" s="4" t="str">
        <f t="shared" si="450"/>
        <v>2025-10</v>
      </c>
      <c r="G4826" s="18">
        <f t="shared" si="451"/>
        <v>44</v>
      </c>
      <c r="H4826" t="str">
        <f t="shared" si="452"/>
        <v>ADMINISTRAÇÃO</v>
      </c>
      <c r="I4826" t="str">
        <f t="shared" si="453"/>
        <v>SOCIAL S/A</v>
      </c>
      <c r="J4826">
        <f t="shared" si="454"/>
        <v>0</v>
      </c>
      <c r="K4826">
        <f t="shared" si="455"/>
        <v>1</v>
      </c>
    </row>
    <row r="4827" spans="1:11" x14ac:dyDescent="0.25">
      <c r="A4827" t="s">
        <v>499</v>
      </c>
      <c r="B4827" t="s">
        <v>258</v>
      </c>
      <c r="C4827" t="s">
        <v>50</v>
      </c>
      <c r="D4827" s="6">
        <v>45958</v>
      </c>
      <c r="E4827" t="str">
        <f>VLOOKUP(B4827,'PROCV GERENTES BD'!A:B,2,0)</f>
        <v>PRISCILA METZ</v>
      </c>
      <c r="F4827" s="4" t="str">
        <f t="shared" si="450"/>
        <v>2025-10</v>
      </c>
      <c r="G4827" s="18">
        <f t="shared" si="451"/>
        <v>44</v>
      </c>
      <c r="H4827" t="str">
        <f t="shared" si="452"/>
        <v>PRISCILA METZ</v>
      </c>
      <c r="I4827" t="str">
        <f t="shared" si="453"/>
        <v>PLATINUM INDUSTRIA DE CONFECCOES LTDA</v>
      </c>
      <c r="J4827">
        <f t="shared" si="454"/>
        <v>0</v>
      </c>
      <c r="K4827">
        <f t="shared" si="455"/>
        <v>1</v>
      </c>
    </row>
    <row r="4828" spans="1:11" x14ac:dyDescent="0.25">
      <c r="A4828" t="s">
        <v>352</v>
      </c>
      <c r="B4828" t="s">
        <v>96</v>
      </c>
      <c r="C4828" t="s">
        <v>50</v>
      </c>
      <c r="D4828" s="6">
        <v>45958</v>
      </c>
      <c r="E4828" t="str">
        <f>VLOOKUP(B4828,'PROCV GERENTES BD'!A:B,2,0)</f>
        <v>POENATELA</v>
      </c>
      <c r="F4828" s="4" t="str">
        <f t="shared" si="450"/>
        <v>2025-10</v>
      </c>
      <c r="G4828" s="18">
        <f t="shared" si="451"/>
        <v>44</v>
      </c>
      <c r="H4828" t="str">
        <f t="shared" si="452"/>
        <v>POENATELA</v>
      </c>
      <c r="I4828" t="str">
        <f t="shared" si="453"/>
        <v>SUPER HARD TECNOLOGIA EM TRATAMENTO DE SUPERFICIES</v>
      </c>
      <c r="J4828">
        <f t="shared" si="454"/>
        <v>0</v>
      </c>
      <c r="K4828">
        <f t="shared" si="455"/>
        <v>1</v>
      </c>
    </row>
    <row r="4829" spans="1:11" x14ac:dyDescent="0.25">
      <c r="A4829" t="s">
        <v>372</v>
      </c>
      <c r="B4829" t="s">
        <v>116</v>
      </c>
      <c r="C4829" t="s">
        <v>50</v>
      </c>
      <c r="D4829" s="6">
        <v>45958</v>
      </c>
      <c r="E4829" t="str">
        <f>VLOOKUP(B4829,'PROCV GERENTES BD'!A:B,2,0)</f>
        <v>ADMINISTRAÇÃO</v>
      </c>
      <c r="F4829" s="4" t="str">
        <f t="shared" si="450"/>
        <v>2025-10</v>
      </c>
      <c r="G4829" s="18">
        <f t="shared" si="451"/>
        <v>44</v>
      </c>
      <c r="H4829" t="str">
        <f t="shared" si="452"/>
        <v>ADMINISTRAÇÃO</v>
      </c>
      <c r="I4829" t="str">
        <f t="shared" si="453"/>
        <v>PREMOLDADOS MATOSINHOS LTDA EPP</v>
      </c>
      <c r="J4829">
        <f t="shared" si="454"/>
        <v>0</v>
      </c>
      <c r="K4829">
        <f t="shared" si="455"/>
        <v>1</v>
      </c>
    </row>
    <row r="4830" spans="1:11" x14ac:dyDescent="0.25">
      <c r="A4830" t="s">
        <v>58</v>
      </c>
      <c r="B4830" t="s">
        <v>59</v>
      </c>
      <c r="C4830" t="s">
        <v>66</v>
      </c>
      <c r="D4830" s="6">
        <v>45958</v>
      </c>
      <c r="E4830" t="str">
        <f>VLOOKUP(B4830,'PROCV GERENTES BD'!A:B,2,0)</f>
        <v>ADMINISTRAÇÃO</v>
      </c>
      <c r="F4830" s="4" t="str">
        <f t="shared" si="450"/>
        <v>2025-10</v>
      </c>
      <c r="G4830" s="18">
        <f t="shared" si="451"/>
        <v>44</v>
      </c>
      <c r="H4830" t="str">
        <f t="shared" si="452"/>
        <v>ADMINISTRAÇÃO</v>
      </c>
      <c r="I4830" t="str">
        <f t="shared" si="453"/>
        <v>BIOTECH LOGISTICA LTDA</v>
      </c>
      <c r="J4830">
        <f t="shared" si="454"/>
        <v>1</v>
      </c>
      <c r="K4830">
        <f t="shared" si="455"/>
        <v>0</v>
      </c>
    </row>
    <row r="4831" spans="1:11" x14ac:dyDescent="0.25">
      <c r="A4831" t="s">
        <v>56</v>
      </c>
      <c r="B4831" t="s">
        <v>57</v>
      </c>
      <c r="C4831" t="s">
        <v>50</v>
      </c>
      <c r="D4831" s="6">
        <v>45958</v>
      </c>
      <c r="E4831" t="str">
        <f>VLOOKUP(B4831,'PROCV GERENTES BD'!A:B,2,0)</f>
        <v xml:space="preserve">ROGERIO </v>
      </c>
      <c r="F4831" s="4" t="str">
        <f t="shared" si="450"/>
        <v>2025-10</v>
      </c>
      <c r="G4831" s="18">
        <f t="shared" si="451"/>
        <v>44</v>
      </c>
      <c r="H4831" t="str">
        <f t="shared" si="452"/>
        <v xml:space="preserve">ROGERIO </v>
      </c>
      <c r="I4831" t="str">
        <f t="shared" si="453"/>
        <v>RODOVIEIRA TRANSPORTE LTDA</v>
      </c>
      <c r="J4831">
        <f t="shared" si="454"/>
        <v>0</v>
      </c>
      <c r="K4831">
        <f t="shared" si="455"/>
        <v>1</v>
      </c>
    </row>
    <row r="4832" spans="1:11" x14ac:dyDescent="0.25">
      <c r="A4832" t="s">
        <v>331</v>
      </c>
      <c r="B4832" t="s">
        <v>144</v>
      </c>
      <c r="C4832" t="s">
        <v>50</v>
      </c>
      <c r="D4832" s="6">
        <v>45958</v>
      </c>
      <c r="E4832" t="str">
        <f>VLOOKUP(B4832,'PROCV GERENTES BD'!A:B,2,0)</f>
        <v>ADMINISTRAÇÃO</v>
      </c>
      <c r="F4832" s="4" t="str">
        <f t="shared" si="450"/>
        <v>2025-10</v>
      </c>
      <c r="G4832" s="18">
        <f t="shared" si="451"/>
        <v>44</v>
      </c>
      <c r="H4832" t="str">
        <f t="shared" si="452"/>
        <v>ADMINISTRAÇÃO</v>
      </c>
      <c r="I4832" t="str">
        <f t="shared" si="453"/>
        <v>BOM PASTOR PAPEIS LTDA EM RECUPERACAO JUDICIAL</v>
      </c>
      <c r="J4832">
        <f t="shared" si="454"/>
        <v>0</v>
      </c>
      <c r="K4832">
        <f t="shared" si="455"/>
        <v>1</v>
      </c>
    </row>
    <row r="4833" spans="1:11" x14ac:dyDescent="0.25">
      <c r="A4833" t="s">
        <v>361</v>
      </c>
      <c r="B4833" t="s">
        <v>106</v>
      </c>
      <c r="C4833" t="s">
        <v>53</v>
      </c>
      <c r="D4833" s="6">
        <v>45958</v>
      </c>
      <c r="E4833" t="str">
        <f>VLOOKUP(B4833,'PROCV GERENTES BD'!A:B,2,0)</f>
        <v>PRISCILA METZ</v>
      </c>
      <c r="F4833" s="4" t="str">
        <f t="shared" si="450"/>
        <v>2025-10</v>
      </c>
      <c r="G4833" s="18">
        <f t="shared" si="451"/>
        <v>44</v>
      </c>
      <c r="H4833" t="str">
        <f t="shared" si="452"/>
        <v>PRISCILA METZ</v>
      </c>
      <c r="I4833" t="str">
        <f t="shared" si="453"/>
        <v>HERBAMED LABORATORIO NUTRACEUTICO LTDA</v>
      </c>
      <c r="J4833">
        <f t="shared" si="454"/>
        <v>1</v>
      </c>
      <c r="K4833">
        <f t="shared" si="455"/>
        <v>1</v>
      </c>
    </row>
    <row r="4834" spans="1:11" x14ac:dyDescent="0.25">
      <c r="A4834" t="s">
        <v>700</v>
      </c>
      <c r="B4834" t="s">
        <v>680</v>
      </c>
      <c r="C4834" t="s">
        <v>66</v>
      </c>
      <c r="D4834" s="6">
        <v>45958</v>
      </c>
      <c r="E4834" t="str">
        <f>VLOOKUP(B4834,'PROCV GERENTES BD'!A:B,2,0)</f>
        <v>POENATELA</v>
      </c>
      <c r="F4834" s="4" t="str">
        <f t="shared" si="450"/>
        <v>2025-10</v>
      </c>
      <c r="G4834" s="18">
        <f t="shared" si="451"/>
        <v>44</v>
      </c>
      <c r="H4834" t="str">
        <f t="shared" si="452"/>
        <v>POENATELA</v>
      </c>
      <c r="I4834" t="str">
        <f t="shared" si="453"/>
        <v>BIORGANICA PRODUTOS ORGANICOS LTDA</v>
      </c>
      <c r="J4834">
        <f t="shared" si="454"/>
        <v>1</v>
      </c>
      <c r="K4834">
        <f t="shared" si="455"/>
        <v>0</v>
      </c>
    </row>
    <row r="4835" spans="1:11" x14ac:dyDescent="0.25">
      <c r="A4835" t="s">
        <v>51</v>
      </c>
      <c r="B4835" t="s">
        <v>52</v>
      </c>
      <c r="C4835" t="s">
        <v>50</v>
      </c>
      <c r="D4835" s="6">
        <v>45958</v>
      </c>
      <c r="E4835" t="str">
        <f>VLOOKUP(B4835,'PROCV GERENTES BD'!A:B,2,0)</f>
        <v>RAFAEL PARISE</v>
      </c>
      <c r="F4835" s="4" t="str">
        <f t="shared" si="450"/>
        <v>2025-10</v>
      </c>
      <c r="G4835" s="18">
        <f t="shared" si="451"/>
        <v>44</v>
      </c>
      <c r="H4835" t="str">
        <f t="shared" si="452"/>
        <v>RAFAEL PARISE</v>
      </c>
      <c r="I4835" t="str">
        <f t="shared" si="453"/>
        <v>TDR TRANSPORTES LOGISTICA LTDA</v>
      </c>
      <c r="J4835">
        <f t="shared" si="454"/>
        <v>0</v>
      </c>
      <c r="K4835">
        <f t="shared" si="455"/>
        <v>1</v>
      </c>
    </row>
    <row r="4836" spans="1:11" x14ac:dyDescent="0.25">
      <c r="A4836" t="s">
        <v>524</v>
      </c>
      <c r="B4836" t="s">
        <v>289</v>
      </c>
      <c r="C4836" t="s">
        <v>66</v>
      </c>
      <c r="D4836" s="6">
        <v>45958</v>
      </c>
      <c r="E4836" t="str">
        <f>VLOOKUP(B4836,'PROCV GERENTES BD'!A:B,2,0)</f>
        <v>DALVA</v>
      </c>
      <c r="F4836" s="4" t="str">
        <f t="shared" si="450"/>
        <v>2025-10</v>
      </c>
      <c r="G4836" s="18">
        <f t="shared" si="451"/>
        <v>44</v>
      </c>
      <c r="H4836" t="str">
        <f t="shared" si="452"/>
        <v>DALVA</v>
      </c>
      <c r="I4836" t="str">
        <f t="shared" si="453"/>
        <v>FRAITECH INTELIGENCIA EM AUTOMACAO LTDA</v>
      </c>
      <c r="J4836">
        <f t="shared" si="454"/>
        <v>1</v>
      </c>
      <c r="K4836">
        <f t="shared" si="455"/>
        <v>0</v>
      </c>
    </row>
    <row r="4837" spans="1:11" x14ac:dyDescent="0.25">
      <c r="A4837" t="s">
        <v>368</v>
      </c>
      <c r="B4837" t="s">
        <v>111</v>
      </c>
      <c r="C4837" t="s">
        <v>50</v>
      </c>
      <c r="D4837" s="6">
        <v>45958</v>
      </c>
      <c r="E4837" t="str">
        <f>VLOOKUP(B4837,'PROCV GERENTES BD'!A:B,2,0)</f>
        <v>ADMINISTRAÇÃO</v>
      </c>
      <c r="F4837" s="4" t="str">
        <f t="shared" si="450"/>
        <v>2025-10</v>
      </c>
      <c r="G4837" s="18">
        <f t="shared" si="451"/>
        <v>44</v>
      </c>
      <c r="H4837" t="str">
        <f t="shared" si="452"/>
        <v>ADMINISTRAÇÃO</v>
      </c>
      <c r="I4837" t="str">
        <f t="shared" si="453"/>
        <v>ARTECAL ELETROCENTROS S/A</v>
      </c>
      <c r="J4837">
        <f t="shared" si="454"/>
        <v>0</v>
      </c>
      <c r="K4837">
        <f t="shared" si="455"/>
        <v>1</v>
      </c>
    </row>
    <row r="4838" spans="1:11" x14ac:dyDescent="0.25">
      <c r="A4838" t="s">
        <v>521</v>
      </c>
      <c r="B4838" t="s">
        <v>286</v>
      </c>
      <c r="C4838" t="s">
        <v>50</v>
      </c>
      <c r="D4838" s="6">
        <v>45958</v>
      </c>
      <c r="E4838" t="str">
        <f>VLOOKUP(B4838,'PROCV GERENTES BD'!A:B,2,0)</f>
        <v>CELIO PIMENTA</v>
      </c>
      <c r="F4838" s="4" t="str">
        <f t="shared" si="450"/>
        <v>2025-10</v>
      </c>
      <c r="G4838" s="18">
        <f t="shared" si="451"/>
        <v>44</v>
      </c>
      <c r="H4838" t="str">
        <f t="shared" si="452"/>
        <v>CELIO PIMENTA</v>
      </c>
      <c r="I4838" t="str">
        <f t="shared" si="453"/>
        <v>LINGERIE E CIA LTDA ME</v>
      </c>
      <c r="J4838">
        <f t="shared" si="454"/>
        <v>0</v>
      </c>
      <c r="K4838">
        <f t="shared" si="455"/>
        <v>1</v>
      </c>
    </row>
    <row r="4839" spans="1:11" x14ac:dyDescent="0.25">
      <c r="A4839" t="s">
        <v>511</v>
      </c>
      <c r="B4839" t="s">
        <v>274</v>
      </c>
      <c r="C4839" t="s">
        <v>66</v>
      </c>
      <c r="D4839" s="6">
        <v>45958</v>
      </c>
      <c r="E4839" t="str">
        <f>VLOOKUP(B4839,'PROCV GERENTES BD'!A:B,2,0)</f>
        <v>RAFAEL PARISE</v>
      </c>
      <c r="F4839" s="4" t="str">
        <f t="shared" si="450"/>
        <v>2025-10</v>
      </c>
      <c r="G4839" s="18">
        <f t="shared" si="451"/>
        <v>44</v>
      </c>
      <c r="H4839" t="str">
        <f t="shared" si="452"/>
        <v>RAFAEL PARISE</v>
      </c>
      <c r="I4839" t="str">
        <f t="shared" si="453"/>
        <v>ARTE FINAL INDUSTRIA E COMERCIO DE COURO LTDA</v>
      </c>
      <c r="J4839">
        <f t="shared" si="454"/>
        <v>1</v>
      </c>
      <c r="K4839">
        <f t="shared" si="455"/>
        <v>0</v>
      </c>
    </row>
    <row r="4840" spans="1:11" x14ac:dyDescent="0.25">
      <c r="A4840" t="s">
        <v>311</v>
      </c>
      <c r="B4840" t="s">
        <v>81</v>
      </c>
      <c r="C4840" t="s">
        <v>66</v>
      </c>
      <c r="D4840" s="6">
        <v>45959</v>
      </c>
      <c r="E4840" t="str">
        <f>VLOOKUP(B4840,'PROCV GERENTES BD'!A:B,2,0)</f>
        <v>CELIO PIMENTA</v>
      </c>
      <c r="F4840" s="4" t="str">
        <f t="shared" si="450"/>
        <v>2025-10</v>
      </c>
      <c r="G4840" s="18">
        <f t="shared" si="451"/>
        <v>44</v>
      </c>
      <c r="H4840" t="str">
        <f t="shared" si="452"/>
        <v>CELIO PIMENTA</v>
      </c>
      <c r="I4840" t="str">
        <f t="shared" si="453"/>
        <v>MBIOLOG DIAGNOSTICOS LTDA</v>
      </c>
      <c r="J4840">
        <f t="shared" si="454"/>
        <v>1</v>
      </c>
      <c r="K4840">
        <f t="shared" si="455"/>
        <v>0</v>
      </c>
    </row>
    <row r="4841" spans="1:11" x14ac:dyDescent="0.25">
      <c r="A4841" t="s">
        <v>492</v>
      </c>
      <c r="B4841" t="s">
        <v>251</v>
      </c>
      <c r="C4841" t="s">
        <v>50</v>
      </c>
      <c r="D4841" s="6">
        <v>45959</v>
      </c>
      <c r="E4841" t="str">
        <f>VLOOKUP(B4841,'PROCV GERENTES BD'!A:B,2,0)</f>
        <v>PROSPECTAR</v>
      </c>
      <c r="F4841" s="4" t="str">
        <f t="shared" si="450"/>
        <v>2025-10</v>
      </c>
      <c r="G4841" s="18">
        <f t="shared" si="451"/>
        <v>44</v>
      </c>
      <c r="H4841" t="str">
        <f t="shared" si="452"/>
        <v>PROSPECTAR</v>
      </c>
      <c r="I4841" t="str">
        <f t="shared" si="453"/>
        <v>JANE FIGUEIRA CONFECCOES LTDA ME</v>
      </c>
      <c r="J4841">
        <f t="shared" si="454"/>
        <v>0</v>
      </c>
      <c r="K4841">
        <f t="shared" si="455"/>
        <v>1</v>
      </c>
    </row>
    <row r="4842" spans="1:11" x14ac:dyDescent="0.25">
      <c r="A4842" t="s">
        <v>314</v>
      </c>
      <c r="B4842" t="s">
        <v>246</v>
      </c>
      <c r="C4842" t="s">
        <v>50</v>
      </c>
      <c r="D4842" s="6">
        <v>45959</v>
      </c>
      <c r="E4842" t="str">
        <f>VLOOKUP(B4842,'PROCV GERENTES BD'!A:B,2,0)</f>
        <v xml:space="preserve">ROGERIO </v>
      </c>
      <c r="F4842" s="4" t="str">
        <f t="shared" si="450"/>
        <v>2025-10</v>
      </c>
      <c r="G4842" s="18">
        <f t="shared" si="451"/>
        <v>44</v>
      </c>
      <c r="H4842" t="str">
        <f t="shared" si="452"/>
        <v xml:space="preserve">ROGERIO </v>
      </c>
      <c r="I4842" t="str">
        <f t="shared" si="453"/>
        <v>MUTCD CENTRO DE DISTRIBUICAO DE IND FABRICANTE DE</v>
      </c>
      <c r="J4842">
        <f t="shared" si="454"/>
        <v>0</v>
      </c>
      <c r="K4842">
        <f t="shared" si="455"/>
        <v>1</v>
      </c>
    </row>
    <row r="4843" spans="1:11" x14ac:dyDescent="0.25">
      <c r="A4843" t="s">
        <v>488</v>
      </c>
      <c r="B4843" t="s">
        <v>247</v>
      </c>
      <c r="C4843" t="s">
        <v>50</v>
      </c>
      <c r="D4843" s="6">
        <v>45959</v>
      </c>
      <c r="E4843" t="str">
        <f>VLOOKUP(B4843,'PROCV GERENTES BD'!A:B,2,0)</f>
        <v>CELIO PIMENTA</v>
      </c>
      <c r="F4843" s="4" t="str">
        <f t="shared" si="450"/>
        <v>2025-10</v>
      </c>
      <c r="G4843" s="18">
        <f t="shared" si="451"/>
        <v>44</v>
      </c>
      <c r="H4843" t="str">
        <f t="shared" si="452"/>
        <v>CELIO PIMENTA</v>
      </c>
      <c r="I4843" t="str">
        <f t="shared" si="453"/>
        <v>AZ HIDRAULICA USINAGEM LTDA EPP</v>
      </c>
      <c r="J4843">
        <f t="shared" si="454"/>
        <v>0</v>
      </c>
      <c r="K4843">
        <f t="shared" si="455"/>
        <v>1</v>
      </c>
    </row>
    <row r="4844" spans="1:11" x14ac:dyDescent="0.25">
      <c r="A4844" t="s">
        <v>461</v>
      </c>
      <c r="B4844" t="s">
        <v>218</v>
      </c>
      <c r="C4844" t="s">
        <v>66</v>
      </c>
      <c r="D4844" s="6">
        <v>45959</v>
      </c>
      <c r="E4844" t="str">
        <f>VLOOKUP(B4844,'PROCV GERENTES BD'!A:B,2,0)</f>
        <v>SACADO</v>
      </c>
      <c r="F4844" s="4" t="str">
        <f t="shared" si="450"/>
        <v>2025-10</v>
      </c>
      <c r="G4844" s="18">
        <f t="shared" si="451"/>
        <v>44</v>
      </c>
      <c r="H4844" t="str">
        <f t="shared" si="452"/>
        <v>SACADO</v>
      </c>
      <c r="I4844" t="str">
        <f t="shared" si="453"/>
        <v>KUARA COMERCIAL E EXPORTADORA DE FRUTAS LTDA</v>
      </c>
      <c r="J4844">
        <f t="shared" si="454"/>
        <v>1</v>
      </c>
      <c r="K4844">
        <f t="shared" si="455"/>
        <v>0</v>
      </c>
    </row>
    <row r="4845" spans="1:11" x14ac:dyDescent="0.25">
      <c r="A4845" t="s">
        <v>655</v>
      </c>
      <c r="B4845" t="s">
        <v>548</v>
      </c>
      <c r="C4845" t="s">
        <v>66</v>
      </c>
      <c r="D4845" s="6">
        <v>45959</v>
      </c>
      <c r="E4845" t="str">
        <f>VLOOKUP(B4845,'PROCV GERENTES BD'!A:B,2,0)</f>
        <v xml:space="preserve">ROGERIO </v>
      </c>
      <c r="F4845" s="4" t="str">
        <f t="shared" si="450"/>
        <v>2025-10</v>
      </c>
      <c r="G4845" s="18">
        <f t="shared" si="451"/>
        <v>44</v>
      </c>
      <c r="H4845" t="str">
        <f t="shared" si="452"/>
        <v xml:space="preserve">ROGERIO </v>
      </c>
      <c r="I4845" t="str">
        <f t="shared" si="453"/>
        <v>AGROEP PISCICULTURA LTDA ME</v>
      </c>
      <c r="J4845">
        <f t="shared" si="454"/>
        <v>1</v>
      </c>
      <c r="K4845">
        <f t="shared" si="455"/>
        <v>0</v>
      </c>
    </row>
    <row r="4846" spans="1:11" x14ac:dyDescent="0.25">
      <c r="A4846" t="s">
        <v>630</v>
      </c>
      <c r="B4846" t="s">
        <v>559</v>
      </c>
      <c r="C4846" t="s">
        <v>50</v>
      </c>
      <c r="D4846" s="6">
        <v>45959</v>
      </c>
      <c r="E4846" t="str">
        <f>VLOOKUP(B4846,'PROCV GERENTES BD'!A:B,2,0)</f>
        <v>ALISSON DE SOUZA LIMA</v>
      </c>
      <c r="F4846" s="4" t="str">
        <f t="shared" si="450"/>
        <v>2025-10</v>
      </c>
      <c r="G4846" s="18">
        <f t="shared" si="451"/>
        <v>44</v>
      </c>
      <c r="H4846" t="str">
        <f t="shared" si="452"/>
        <v>ALISSON DE SOUZA LIMA</v>
      </c>
      <c r="I4846" t="str">
        <f t="shared" si="453"/>
        <v>JRG SOLUCOES INDUSTRIAIS LTDA</v>
      </c>
      <c r="J4846">
        <f t="shared" si="454"/>
        <v>0</v>
      </c>
      <c r="K4846">
        <f t="shared" si="455"/>
        <v>1</v>
      </c>
    </row>
    <row r="4847" spans="1:11" x14ac:dyDescent="0.25">
      <c r="A4847" t="s">
        <v>427</v>
      </c>
      <c r="B4847" t="s">
        <v>178</v>
      </c>
      <c r="C4847" t="s">
        <v>50</v>
      </c>
      <c r="D4847" s="6">
        <v>45959</v>
      </c>
      <c r="E4847" t="str">
        <f>VLOOKUP(B4847,'PROCV GERENTES BD'!A:B,2,0)</f>
        <v>ADMINISTRAÇÃO</v>
      </c>
      <c r="F4847" s="4" t="str">
        <f t="shared" si="450"/>
        <v>2025-10</v>
      </c>
      <c r="G4847" s="18">
        <f t="shared" si="451"/>
        <v>44</v>
      </c>
      <c r="H4847" t="str">
        <f t="shared" si="452"/>
        <v>ADMINISTRAÇÃO</v>
      </c>
      <c r="I4847" t="str">
        <f t="shared" si="453"/>
        <v>LIZZENA COSMETICOS LTDA EPP</v>
      </c>
      <c r="J4847">
        <f t="shared" si="454"/>
        <v>0</v>
      </c>
      <c r="K4847">
        <f t="shared" si="455"/>
        <v>1</v>
      </c>
    </row>
    <row r="4848" spans="1:11" x14ac:dyDescent="0.25">
      <c r="A4848" t="s">
        <v>505</v>
      </c>
      <c r="B4848" t="s">
        <v>267</v>
      </c>
      <c r="C4848" t="s">
        <v>50</v>
      </c>
      <c r="D4848" s="6">
        <v>45959</v>
      </c>
      <c r="E4848" t="str">
        <f>VLOOKUP(B4848,'PROCV GERENTES BD'!A:B,2,0)</f>
        <v>PRISCILA METZ</v>
      </c>
      <c r="F4848" s="4" t="str">
        <f t="shared" si="450"/>
        <v>2025-10</v>
      </c>
      <c r="G4848" s="18">
        <f t="shared" si="451"/>
        <v>44</v>
      </c>
      <c r="H4848" t="str">
        <f t="shared" si="452"/>
        <v>PRISCILA METZ</v>
      </c>
      <c r="I4848" t="str">
        <f t="shared" si="453"/>
        <v>REAL DISTRIBUIDORA DE PRODUTOS PARA MARMORARIA LTD</v>
      </c>
      <c r="J4848">
        <f t="shared" si="454"/>
        <v>0</v>
      </c>
      <c r="K4848">
        <f t="shared" si="455"/>
        <v>1</v>
      </c>
    </row>
    <row r="4849" spans="1:11" x14ac:dyDescent="0.25">
      <c r="A4849" t="s">
        <v>499</v>
      </c>
      <c r="B4849" t="s">
        <v>258</v>
      </c>
      <c r="C4849" t="s">
        <v>50</v>
      </c>
      <c r="D4849" s="6">
        <v>45959</v>
      </c>
      <c r="E4849" t="str">
        <f>VLOOKUP(B4849,'PROCV GERENTES BD'!A:B,2,0)</f>
        <v>PRISCILA METZ</v>
      </c>
      <c r="F4849" s="4" t="str">
        <f t="shared" si="450"/>
        <v>2025-10</v>
      </c>
      <c r="G4849" s="18">
        <f t="shared" si="451"/>
        <v>44</v>
      </c>
      <c r="H4849" t="str">
        <f t="shared" si="452"/>
        <v>PRISCILA METZ</v>
      </c>
      <c r="I4849" t="str">
        <f t="shared" si="453"/>
        <v>PLATINUM INDUSTRIA DE CONFECCOES LTDA</v>
      </c>
      <c r="J4849">
        <f t="shared" si="454"/>
        <v>0</v>
      </c>
      <c r="K4849">
        <f t="shared" si="455"/>
        <v>1</v>
      </c>
    </row>
    <row r="4850" spans="1:11" x14ac:dyDescent="0.25">
      <c r="A4850" t="s">
        <v>317</v>
      </c>
      <c r="B4850" t="s">
        <v>280</v>
      </c>
      <c r="C4850" t="s">
        <v>50</v>
      </c>
      <c r="D4850" s="6">
        <v>45959</v>
      </c>
      <c r="E4850" t="str">
        <f>VLOOKUP(B4850,'PROCV GERENTES BD'!A:B,2,0)</f>
        <v>PROSPECTAR</v>
      </c>
      <c r="F4850" s="4" t="str">
        <f t="shared" si="450"/>
        <v>2025-10</v>
      </c>
      <c r="G4850" s="18">
        <f t="shared" si="451"/>
        <v>44</v>
      </c>
      <c r="H4850" t="str">
        <f t="shared" si="452"/>
        <v>PROSPECTAR</v>
      </c>
      <c r="I4850" t="str">
        <f t="shared" si="453"/>
        <v>STA TECHCANA LTDA</v>
      </c>
      <c r="J4850">
        <f t="shared" si="454"/>
        <v>0</v>
      </c>
      <c r="K4850">
        <f t="shared" si="455"/>
        <v>1</v>
      </c>
    </row>
    <row r="4851" spans="1:11" x14ac:dyDescent="0.25">
      <c r="A4851" t="s">
        <v>521</v>
      </c>
      <c r="B4851" t="s">
        <v>286</v>
      </c>
      <c r="C4851" t="s">
        <v>50</v>
      </c>
      <c r="D4851" s="6">
        <v>45959</v>
      </c>
      <c r="E4851" t="str">
        <f>VLOOKUP(B4851,'PROCV GERENTES BD'!A:B,2,0)</f>
        <v>CELIO PIMENTA</v>
      </c>
      <c r="F4851" s="4" t="str">
        <f t="shared" si="450"/>
        <v>2025-10</v>
      </c>
      <c r="G4851" s="18">
        <f t="shared" si="451"/>
        <v>44</v>
      </c>
      <c r="H4851" t="str">
        <f t="shared" si="452"/>
        <v>CELIO PIMENTA</v>
      </c>
      <c r="I4851" t="str">
        <f t="shared" si="453"/>
        <v>LINGERIE E CIA LTDA ME</v>
      </c>
      <c r="J4851">
        <f t="shared" si="454"/>
        <v>0</v>
      </c>
      <c r="K4851">
        <f t="shared" si="455"/>
        <v>1</v>
      </c>
    </row>
    <row r="4852" spans="1:11" x14ac:dyDescent="0.25">
      <c r="A4852" t="s">
        <v>352</v>
      </c>
      <c r="B4852" t="s">
        <v>96</v>
      </c>
      <c r="C4852" t="s">
        <v>50</v>
      </c>
      <c r="D4852" s="6">
        <v>45959</v>
      </c>
      <c r="E4852" t="str">
        <f>VLOOKUP(B4852,'PROCV GERENTES BD'!A:B,2,0)</f>
        <v>POENATELA</v>
      </c>
      <c r="F4852" s="4" t="str">
        <f t="shared" si="450"/>
        <v>2025-10</v>
      </c>
      <c r="G4852" s="18">
        <f t="shared" si="451"/>
        <v>44</v>
      </c>
      <c r="H4852" t="str">
        <f t="shared" si="452"/>
        <v>POENATELA</v>
      </c>
      <c r="I4852" t="str">
        <f t="shared" si="453"/>
        <v>SUPER HARD TECNOLOGIA EM TRATAMENTO DE SUPERFICIES</v>
      </c>
      <c r="J4852">
        <f t="shared" si="454"/>
        <v>0</v>
      </c>
      <c r="K4852">
        <f t="shared" si="455"/>
        <v>1</v>
      </c>
    </row>
    <row r="4853" spans="1:11" x14ac:dyDescent="0.25">
      <c r="A4853" t="s">
        <v>690</v>
      </c>
      <c r="B4853" t="s">
        <v>683</v>
      </c>
      <c r="C4853" t="s">
        <v>50</v>
      </c>
      <c r="D4853" s="6">
        <v>45959</v>
      </c>
      <c r="E4853" t="str">
        <f>VLOOKUP(B4853,'PROCV GERENTES BD'!A:B,2,0)</f>
        <v>CAIO</v>
      </c>
      <c r="F4853" s="4" t="str">
        <f t="shared" si="450"/>
        <v>2025-10</v>
      </c>
      <c r="G4853" s="18">
        <f t="shared" si="451"/>
        <v>44</v>
      </c>
      <c r="H4853" t="str">
        <f t="shared" si="452"/>
        <v>CAIO</v>
      </c>
      <c r="I4853" t="str">
        <f t="shared" si="453"/>
        <v>SABORES DO TRIANGULO LTDA EPP</v>
      </c>
      <c r="J4853">
        <f t="shared" si="454"/>
        <v>0</v>
      </c>
      <c r="K4853">
        <f t="shared" si="455"/>
        <v>1</v>
      </c>
    </row>
    <row r="4854" spans="1:11" x14ac:dyDescent="0.25">
      <c r="A4854" t="s">
        <v>56</v>
      </c>
      <c r="B4854" t="s">
        <v>57</v>
      </c>
      <c r="C4854" t="s">
        <v>53</v>
      </c>
      <c r="D4854" s="6">
        <v>45959</v>
      </c>
      <c r="E4854" t="str">
        <f>VLOOKUP(B4854,'PROCV GERENTES BD'!A:B,2,0)</f>
        <v xml:space="preserve">ROGERIO </v>
      </c>
      <c r="F4854" s="4" t="str">
        <f t="shared" si="450"/>
        <v>2025-10</v>
      </c>
      <c r="G4854" s="18">
        <f t="shared" si="451"/>
        <v>44</v>
      </c>
      <c r="H4854" t="str">
        <f t="shared" si="452"/>
        <v xml:space="preserve">ROGERIO </v>
      </c>
      <c r="I4854" t="str">
        <f t="shared" si="453"/>
        <v>RODOVIEIRA TRANSPORTE LTDA</v>
      </c>
      <c r="J4854">
        <f t="shared" si="454"/>
        <v>1</v>
      </c>
      <c r="K4854">
        <f t="shared" si="455"/>
        <v>1</v>
      </c>
    </row>
    <row r="4855" spans="1:11" x14ac:dyDescent="0.25">
      <c r="A4855" t="s">
        <v>331</v>
      </c>
      <c r="B4855" t="s">
        <v>144</v>
      </c>
      <c r="C4855" t="s">
        <v>50</v>
      </c>
      <c r="D4855" s="6">
        <v>45959</v>
      </c>
      <c r="E4855" t="str">
        <f>VLOOKUP(B4855,'PROCV GERENTES BD'!A:B,2,0)</f>
        <v>ADMINISTRAÇÃO</v>
      </c>
      <c r="F4855" s="4" t="str">
        <f t="shared" si="450"/>
        <v>2025-10</v>
      </c>
      <c r="G4855" s="18">
        <f t="shared" si="451"/>
        <v>44</v>
      </c>
      <c r="H4855" t="str">
        <f t="shared" si="452"/>
        <v>ADMINISTRAÇÃO</v>
      </c>
      <c r="I4855" t="str">
        <f t="shared" si="453"/>
        <v>BOM PASTOR PAPEIS LTDA EM RECUPERACAO JUDICIAL</v>
      </c>
      <c r="J4855">
        <f t="shared" si="454"/>
        <v>0</v>
      </c>
      <c r="K4855">
        <f t="shared" si="455"/>
        <v>1</v>
      </c>
    </row>
    <row r="4856" spans="1:11" x14ac:dyDescent="0.25">
      <c r="A4856" t="s">
        <v>361</v>
      </c>
      <c r="B4856" t="s">
        <v>106</v>
      </c>
      <c r="C4856" t="s">
        <v>50</v>
      </c>
      <c r="D4856" s="6">
        <v>45959</v>
      </c>
      <c r="E4856" t="str">
        <f>VLOOKUP(B4856,'PROCV GERENTES BD'!A:B,2,0)</f>
        <v>PRISCILA METZ</v>
      </c>
      <c r="F4856" s="4" t="str">
        <f t="shared" si="450"/>
        <v>2025-10</v>
      </c>
      <c r="G4856" s="18">
        <f t="shared" si="451"/>
        <v>44</v>
      </c>
      <c r="H4856" t="str">
        <f t="shared" si="452"/>
        <v>PRISCILA METZ</v>
      </c>
      <c r="I4856" t="str">
        <f t="shared" si="453"/>
        <v>HERBAMED LABORATORIO NUTRACEUTICO LTDA</v>
      </c>
      <c r="J4856">
        <f t="shared" si="454"/>
        <v>0</v>
      </c>
      <c r="K4856">
        <f t="shared" si="455"/>
        <v>1</v>
      </c>
    </row>
    <row r="4857" spans="1:11" x14ac:dyDescent="0.25">
      <c r="A4857" t="s">
        <v>698</v>
      </c>
      <c r="B4857" t="s">
        <v>699</v>
      </c>
      <c r="C4857" t="s">
        <v>50</v>
      </c>
      <c r="D4857" s="6">
        <v>45959</v>
      </c>
      <c r="E4857" t="str">
        <f>VLOOKUP(B4857,'PROCV GERENTES BD'!A:B,2,0)</f>
        <v>VALERIA</v>
      </c>
      <c r="F4857" s="4" t="str">
        <f t="shared" si="450"/>
        <v>2025-10</v>
      </c>
      <c r="G4857" s="18">
        <f t="shared" si="451"/>
        <v>44</v>
      </c>
      <c r="H4857" t="str">
        <f t="shared" si="452"/>
        <v>VALERIA</v>
      </c>
      <c r="I4857" t="str">
        <f t="shared" si="453"/>
        <v>FRIGORIFICO BRAZFRIG INDUSTRIA E IMPORTACAO LTDA E</v>
      </c>
      <c r="J4857">
        <f t="shared" si="454"/>
        <v>0</v>
      </c>
      <c r="K4857">
        <f t="shared" si="455"/>
        <v>1</v>
      </c>
    </row>
    <row r="4858" spans="1:11" x14ac:dyDescent="0.25">
      <c r="A4858" t="s">
        <v>54</v>
      </c>
      <c r="B4858" t="s">
        <v>55</v>
      </c>
      <c r="C4858" t="s">
        <v>50</v>
      </c>
      <c r="D4858" s="6">
        <v>45959</v>
      </c>
      <c r="E4858" t="str">
        <f>VLOOKUP(B4858,'PROCV GERENTES BD'!A:B,2,0)</f>
        <v>CELIO PIMENTA</v>
      </c>
      <c r="F4858" s="4" t="str">
        <f t="shared" si="450"/>
        <v>2025-10</v>
      </c>
      <c r="G4858" s="18">
        <f t="shared" si="451"/>
        <v>44</v>
      </c>
      <c r="H4858" t="str">
        <f t="shared" si="452"/>
        <v>CELIO PIMENTA</v>
      </c>
      <c r="I4858" t="str">
        <f t="shared" si="453"/>
        <v>WJ CALDEIRARIA INDUSTRIA E COMERCIO LTDA ME</v>
      </c>
      <c r="J4858">
        <f t="shared" si="454"/>
        <v>0</v>
      </c>
      <c r="K4858">
        <f t="shared" si="455"/>
        <v>1</v>
      </c>
    </row>
    <row r="4859" spans="1:11" x14ac:dyDescent="0.25">
      <c r="A4859" t="s">
        <v>51</v>
      </c>
      <c r="B4859" t="s">
        <v>52</v>
      </c>
      <c r="C4859" t="s">
        <v>50</v>
      </c>
      <c r="D4859" s="6">
        <v>45959</v>
      </c>
      <c r="E4859" t="str">
        <f>VLOOKUP(B4859,'PROCV GERENTES BD'!A:B,2,0)</f>
        <v>RAFAEL PARISE</v>
      </c>
      <c r="F4859" s="4" t="str">
        <f t="shared" si="450"/>
        <v>2025-10</v>
      </c>
      <c r="G4859" s="18">
        <f t="shared" si="451"/>
        <v>44</v>
      </c>
      <c r="H4859" t="str">
        <f t="shared" si="452"/>
        <v>RAFAEL PARISE</v>
      </c>
      <c r="I4859" t="str">
        <f t="shared" si="453"/>
        <v>TDR TRANSPORTES LOGISTICA LTDA</v>
      </c>
      <c r="J4859">
        <f t="shared" si="454"/>
        <v>0</v>
      </c>
      <c r="K4859">
        <f t="shared" si="455"/>
        <v>1</v>
      </c>
    </row>
    <row r="4860" spans="1:11" x14ac:dyDescent="0.25">
      <c r="A4860" t="s">
        <v>714</v>
      </c>
      <c r="B4860" t="s">
        <v>715</v>
      </c>
      <c r="C4860" t="s">
        <v>50</v>
      </c>
      <c r="D4860" s="6">
        <v>45959</v>
      </c>
      <c r="E4860" t="str">
        <f>VLOOKUP(B4860,'PROCV GERENTES BD'!A:B,2,0)</f>
        <v>POENATELA</v>
      </c>
      <c r="F4860" s="4" t="str">
        <f t="shared" si="450"/>
        <v>2025-10</v>
      </c>
      <c r="G4860" s="18">
        <f t="shared" si="451"/>
        <v>44</v>
      </c>
      <c r="H4860" t="str">
        <f t="shared" si="452"/>
        <v>POENATELA</v>
      </c>
      <c r="I4860" t="str">
        <f t="shared" si="453"/>
        <v>PRP TRANSPORTES SERVICOS E LOCACAO DE MAQUINAS LTD</v>
      </c>
      <c r="J4860">
        <f t="shared" si="454"/>
        <v>0</v>
      </c>
      <c r="K4860">
        <f t="shared" si="455"/>
        <v>1</v>
      </c>
    </row>
    <row r="4861" spans="1:11" x14ac:dyDescent="0.25">
      <c r="A4861" t="s">
        <v>660</v>
      </c>
      <c r="B4861" t="s">
        <v>545</v>
      </c>
      <c r="C4861" t="s">
        <v>50</v>
      </c>
      <c r="D4861" s="6">
        <v>45959</v>
      </c>
      <c r="E4861" t="str">
        <f>VLOOKUP(B4861,'PROCV GERENTES BD'!A:B,2,0)</f>
        <v xml:space="preserve">ROGERIO </v>
      </c>
      <c r="F4861" s="4" t="str">
        <f t="shared" si="450"/>
        <v>2025-10</v>
      </c>
      <c r="G4861" s="18">
        <f t="shared" si="451"/>
        <v>44</v>
      </c>
      <c r="H4861" t="str">
        <f t="shared" si="452"/>
        <v xml:space="preserve">ROGERIO </v>
      </c>
      <c r="I4861" t="str">
        <f t="shared" si="453"/>
        <v>DISEP ALIMENTOS LTDA ME</v>
      </c>
      <c r="J4861">
        <f t="shared" si="454"/>
        <v>0</v>
      </c>
      <c r="K4861">
        <f t="shared" si="455"/>
        <v>1</v>
      </c>
    </row>
    <row r="4862" spans="1:11" x14ac:dyDescent="0.25">
      <c r="A4862" t="s">
        <v>415</v>
      </c>
      <c r="B4862" t="s">
        <v>165</v>
      </c>
      <c r="C4862" t="s">
        <v>50</v>
      </c>
      <c r="D4862" s="6">
        <v>45959</v>
      </c>
      <c r="E4862" t="str">
        <f>VLOOKUP(B4862,'PROCV GERENTES BD'!A:B,2,0)</f>
        <v>PROSPECTAR</v>
      </c>
      <c r="F4862" s="4" t="str">
        <f t="shared" si="450"/>
        <v>2025-10</v>
      </c>
      <c r="G4862" s="18">
        <f t="shared" si="451"/>
        <v>44</v>
      </c>
      <c r="H4862" t="str">
        <f t="shared" si="452"/>
        <v>PROSPECTAR</v>
      </c>
      <c r="I4862" t="str">
        <f t="shared" si="453"/>
        <v>STA SERVICOS LTDA</v>
      </c>
      <c r="J4862">
        <f t="shared" si="454"/>
        <v>0</v>
      </c>
      <c r="K4862">
        <f t="shared" si="455"/>
        <v>1</v>
      </c>
    </row>
    <row r="4863" spans="1:11" x14ac:dyDescent="0.25">
      <c r="A4863" t="s">
        <v>372</v>
      </c>
      <c r="B4863" t="s">
        <v>116</v>
      </c>
      <c r="C4863" t="s">
        <v>50</v>
      </c>
      <c r="D4863" s="6">
        <v>45959</v>
      </c>
      <c r="E4863" t="str">
        <f>VLOOKUP(B4863,'PROCV GERENTES BD'!A:B,2,0)</f>
        <v>ADMINISTRAÇÃO</v>
      </c>
      <c r="F4863" s="4" t="str">
        <f t="shared" si="450"/>
        <v>2025-10</v>
      </c>
      <c r="G4863" s="18">
        <f t="shared" si="451"/>
        <v>44</v>
      </c>
      <c r="H4863" t="str">
        <f t="shared" si="452"/>
        <v>ADMINISTRAÇÃO</v>
      </c>
      <c r="I4863" t="str">
        <f t="shared" si="453"/>
        <v>PREMOLDADOS MATOSINHOS LTDA EPP</v>
      </c>
      <c r="J4863">
        <f t="shared" si="454"/>
        <v>0</v>
      </c>
      <c r="K4863">
        <f t="shared" si="455"/>
        <v>1</v>
      </c>
    </row>
    <row r="4864" spans="1:11" x14ac:dyDescent="0.25">
      <c r="A4864" t="s">
        <v>510</v>
      </c>
      <c r="B4864" t="s">
        <v>273</v>
      </c>
      <c r="C4864" t="s">
        <v>50</v>
      </c>
      <c r="D4864" s="6">
        <v>45959</v>
      </c>
      <c r="E4864" t="str">
        <f>VLOOKUP(B4864,'PROCV GERENTES BD'!A:B,2,0)</f>
        <v>CELIO PIMENTA</v>
      </c>
      <c r="F4864" s="4" t="str">
        <f t="shared" ref="F4864:F4926" si="456">YEAR(D4864)&amp;"-"&amp;TEXT(MONTH(D4864),"00")</f>
        <v>2025-10</v>
      </c>
      <c r="G4864" s="18">
        <f t="shared" ref="G4864:G4926" si="457">WEEKNUM(D4864)</f>
        <v>44</v>
      </c>
      <c r="H4864" t="str">
        <f t="shared" ref="H4864:H4926" si="458">E4864</f>
        <v>CELIO PIMENTA</v>
      </c>
      <c r="I4864" t="str">
        <f t="shared" ref="I4864:I4926" si="459">B4864</f>
        <v>PRADO MOREIRA TEXTIL LTDA ME</v>
      </c>
      <c r="J4864">
        <f t="shared" ref="J4864:J4926" si="460">IF(OR(C4864="EXCLUSAO  ANOT.INADIMPLENCIA",C4864="INCL/EXCL ANOT.INADIMPLENCIA"),1,0)</f>
        <v>0</v>
      </c>
      <c r="K4864">
        <f t="shared" ref="K4864:K4926" si="461">IF(OR(C4864="INCLUSAO  ANOT.INADIMPLENCIA",C4864="INCL/EXCL ANOT.INADIMPLENCIA"),1,0)</f>
        <v>1</v>
      </c>
    </row>
    <row r="4865" spans="1:11" x14ac:dyDescent="0.25">
      <c r="A4865" t="s">
        <v>697</v>
      </c>
      <c r="B4865" t="s">
        <v>695</v>
      </c>
      <c r="C4865" t="s">
        <v>66</v>
      </c>
      <c r="D4865" s="6">
        <v>45960</v>
      </c>
      <c r="E4865" t="str">
        <f>VLOOKUP(B4865,'PROCV GERENTES BD'!A:B,2,0)</f>
        <v>PROSPECTAR</v>
      </c>
      <c r="F4865" s="4" t="str">
        <f t="shared" si="456"/>
        <v>2025-10</v>
      </c>
      <c r="G4865" s="18">
        <f t="shared" si="457"/>
        <v>44</v>
      </c>
      <c r="H4865" t="str">
        <f t="shared" si="458"/>
        <v>PROSPECTAR</v>
      </c>
      <c r="I4865" t="str">
        <f t="shared" si="459"/>
        <v>GLOBAL PAPEIS EM RECUPERACAO JUDICIAL LTDA</v>
      </c>
      <c r="J4865">
        <f t="shared" si="460"/>
        <v>1</v>
      </c>
      <c r="K4865">
        <f t="shared" si="461"/>
        <v>0</v>
      </c>
    </row>
    <row r="4866" spans="1:11" x14ac:dyDescent="0.25">
      <c r="A4866" t="s">
        <v>522</v>
      </c>
      <c r="B4866" t="s">
        <v>290</v>
      </c>
      <c r="C4866" t="s">
        <v>66</v>
      </c>
      <c r="D4866" s="6">
        <v>45960</v>
      </c>
      <c r="E4866" t="str">
        <f>VLOOKUP(B4866,'PROCV GERENTES BD'!A:B,2,0)</f>
        <v>CAIO</v>
      </c>
      <c r="F4866" s="4" t="str">
        <f t="shared" si="456"/>
        <v>2025-10</v>
      </c>
      <c r="G4866" s="18">
        <f t="shared" si="457"/>
        <v>44</v>
      </c>
      <c r="H4866" t="str">
        <f t="shared" si="458"/>
        <v>CAIO</v>
      </c>
      <c r="I4866" t="str">
        <f t="shared" si="459"/>
        <v>C V T O IND E COM LTDA EPP</v>
      </c>
      <c r="J4866">
        <f t="shared" si="460"/>
        <v>1</v>
      </c>
      <c r="K4866">
        <f t="shared" si="461"/>
        <v>0</v>
      </c>
    </row>
    <row r="4867" spans="1:11" x14ac:dyDescent="0.25">
      <c r="A4867" t="s">
        <v>415</v>
      </c>
      <c r="B4867" t="s">
        <v>165</v>
      </c>
      <c r="C4867" t="s">
        <v>50</v>
      </c>
      <c r="D4867" s="6">
        <v>45960</v>
      </c>
      <c r="E4867" t="str">
        <f>VLOOKUP(B4867,'PROCV GERENTES BD'!A:B,2,0)</f>
        <v>PROSPECTAR</v>
      </c>
      <c r="F4867" s="4" t="str">
        <f t="shared" si="456"/>
        <v>2025-10</v>
      </c>
      <c r="G4867" s="18">
        <f t="shared" si="457"/>
        <v>44</v>
      </c>
      <c r="H4867" t="str">
        <f t="shared" si="458"/>
        <v>PROSPECTAR</v>
      </c>
      <c r="I4867" t="str">
        <f t="shared" si="459"/>
        <v>STA SERVICOS LTDA</v>
      </c>
      <c r="J4867">
        <f t="shared" si="460"/>
        <v>0</v>
      </c>
      <c r="K4867">
        <f t="shared" si="461"/>
        <v>1</v>
      </c>
    </row>
    <row r="4868" spans="1:11" x14ac:dyDescent="0.25">
      <c r="A4868" t="s">
        <v>660</v>
      </c>
      <c r="B4868" t="s">
        <v>545</v>
      </c>
      <c r="C4868" t="s">
        <v>50</v>
      </c>
      <c r="D4868" s="6">
        <v>45960</v>
      </c>
      <c r="E4868" t="str">
        <f>VLOOKUP(B4868,'PROCV GERENTES BD'!A:B,2,0)</f>
        <v xml:space="preserve">ROGERIO </v>
      </c>
      <c r="F4868" s="4" t="str">
        <f t="shared" si="456"/>
        <v>2025-10</v>
      </c>
      <c r="G4868" s="18">
        <f t="shared" si="457"/>
        <v>44</v>
      </c>
      <c r="H4868" t="str">
        <f t="shared" si="458"/>
        <v xml:space="preserve">ROGERIO </v>
      </c>
      <c r="I4868" t="str">
        <f t="shared" si="459"/>
        <v>DISEP ALIMENTOS LTDA ME</v>
      </c>
      <c r="J4868">
        <f t="shared" si="460"/>
        <v>0</v>
      </c>
      <c r="K4868">
        <f t="shared" si="461"/>
        <v>1</v>
      </c>
    </row>
    <row r="4869" spans="1:11" x14ac:dyDescent="0.25">
      <c r="A4869" t="s">
        <v>698</v>
      </c>
      <c r="B4869" t="s">
        <v>699</v>
      </c>
      <c r="C4869" t="s">
        <v>50</v>
      </c>
      <c r="D4869" s="6">
        <v>45960</v>
      </c>
      <c r="E4869" t="str">
        <f>VLOOKUP(B4869,'PROCV GERENTES BD'!A:B,2,0)</f>
        <v>VALERIA</v>
      </c>
      <c r="F4869" s="4" t="str">
        <f t="shared" si="456"/>
        <v>2025-10</v>
      </c>
      <c r="G4869" s="18">
        <f t="shared" si="457"/>
        <v>44</v>
      </c>
      <c r="H4869" t="str">
        <f t="shared" si="458"/>
        <v>VALERIA</v>
      </c>
      <c r="I4869" t="str">
        <f t="shared" si="459"/>
        <v>FRIGORIFICO BRAZFRIG INDUSTRIA E IMPORTACAO LTDA E</v>
      </c>
      <c r="J4869">
        <f t="shared" si="460"/>
        <v>0</v>
      </c>
      <c r="K4869">
        <f t="shared" si="461"/>
        <v>1</v>
      </c>
    </row>
    <row r="4870" spans="1:11" x14ac:dyDescent="0.25">
      <c r="A4870" t="s">
        <v>361</v>
      </c>
      <c r="B4870" t="s">
        <v>106</v>
      </c>
      <c r="C4870" t="s">
        <v>66</v>
      </c>
      <c r="D4870" s="6">
        <v>45960</v>
      </c>
      <c r="E4870" t="str">
        <f>VLOOKUP(B4870,'PROCV GERENTES BD'!A:B,2,0)</f>
        <v>PRISCILA METZ</v>
      </c>
      <c r="F4870" s="4" t="str">
        <f t="shared" si="456"/>
        <v>2025-10</v>
      </c>
      <c r="G4870" s="18">
        <f t="shared" si="457"/>
        <v>44</v>
      </c>
      <c r="H4870" t="str">
        <f t="shared" si="458"/>
        <v>PRISCILA METZ</v>
      </c>
      <c r="I4870" t="str">
        <f t="shared" si="459"/>
        <v>HERBAMED LABORATORIO NUTRACEUTICO LTDA</v>
      </c>
      <c r="J4870">
        <f t="shared" si="460"/>
        <v>1</v>
      </c>
      <c r="K4870">
        <f t="shared" si="461"/>
        <v>0</v>
      </c>
    </row>
    <row r="4871" spans="1:11" x14ac:dyDescent="0.25">
      <c r="A4871" t="s">
        <v>56</v>
      </c>
      <c r="B4871" t="s">
        <v>57</v>
      </c>
      <c r="C4871" t="s">
        <v>53</v>
      </c>
      <c r="D4871" s="6">
        <v>45960</v>
      </c>
      <c r="E4871" t="str">
        <f>VLOOKUP(B4871,'PROCV GERENTES BD'!A:B,2,0)</f>
        <v xml:space="preserve">ROGERIO </v>
      </c>
      <c r="F4871" s="4" t="str">
        <f t="shared" si="456"/>
        <v>2025-10</v>
      </c>
      <c r="G4871" s="18">
        <f t="shared" si="457"/>
        <v>44</v>
      </c>
      <c r="H4871" t="str">
        <f t="shared" si="458"/>
        <v xml:space="preserve">ROGERIO </v>
      </c>
      <c r="I4871" t="str">
        <f t="shared" si="459"/>
        <v>RODOVIEIRA TRANSPORTE LTDA</v>
      </c>
      <c r="J4871">
        <f t="shared" si="460"/>
        <v>1</v>
      </c>
      <c r="K4871">
        <f t="shared" si="461"/>
        <v>1</v>
      </c>
    </row>
    <row r="4872" spans="1:11" x14ac:dyDescent="0.25">
      <c r="A4872" t="s">
        <v>690</v>
      </c>
      <c r="B4872" t="s">
        <v>683</v>
      </c>
      <c r="C4872" t="s">
        <v>50</v>
      </c>
      <c r="D4872" s="6">
        <v>45960</v>
      </c>
      <c r="E4872" t="str">
        <f>VLOOKUP(B4872,'PROCV GERENTES BD'!A:B,2,0)</f>
        <v>CAIO</v>
      </c>
      <c r="F4872" s="4" t="str">
        <f t="shared" si="456"/>
        <v>2025-10</v>
      </c>
      <c r="G4872" s="18">
        <f t="shared" si="457"/>
        <v>44</v>
      </c>
      <c r="H4872" t="str">
        <f t="shared" si="458"/>
        <v>CAIO</v>
      </c>
      <c r="I4872" t="str">
        <f t="shared" si="459"/>
        <v>SABORES DO TRIANGULO LTDA EPP</v>
      </c>
      <c r="J4872">
        <f t="shared" si="460"/>
        <v>0</v>
      </c>
      <c r="K4872">
        <f t="shared" si="461"/>
        <v>1</v>
      </c>
    </row>
    <row r="4873" spans="1:11" x14ac:dyDescent="0.25">
      <c r="A4873" t="s">
        <v>58</v>
      </c>
      <c r="B4873" t="s">
        <v>59</v>
      </c>
      <c r="C4873" t="s">
        <v>50</v>
      </c>
      <c r="D4873" s="6">
        <v>45960</v>
      </c>
      <c r="E4873" t="str">
        <f>VLOOKUP(B4873,'PROCV GERENTES BD'!A:B,2,0)</f>
        <v>ADMINISTRAÇÃO</v>
      </c>
      <c r="F4873" s="4" t="str">
        <f t="shared" si="456"/>
        <v>2025-10</v>
      </c>
      <c r="G4873" s="18">
        <f t="shared" si="457"/>
        <v>44</v>
      </c>
      <c r="H4873" t="str">
        <f t="shared" si="458"/>
        <v>ADMINISTRAÇÃO</v>
      </c>
      <c r="I4873" t="str">
        <f t="shared" si="459"/>
        <v>BIOTECH LOGISTICA LTDA</v>
      </c>
      <c r="J4873">
        <f t="shared" si="460"/>
        <v>0</v>
      </c>
      <c r="K4873">
        <f t="shared" si="461"/>
        <v>1</v>
      </c>
    </row>
    <row r="4874" spans="1:11" x14ac:dyDescent="0.25">
      <c r="A4874" t="s">
        <v>64</v>
      </c>
      <c r="B4874" t="s">
        <v>65</v>
      </c>
      <c r="C4874" t="s">
        <v>50</v>
      </c>
      <c r="D4874" s="6">
        <v>45960</v>
      </c>
      <c r="E4874" t="str">
        <f>VLOOKUP(B4874,'PROCV GERENTES BD'!A:B,2,0)</f>
        <v>ADMINISTRAÇÃO</v>
      </c>
      <c r="F4874" s="4" t="str">
        <f t="shared" si="456"/>
        <v>2025-10</v>
      </c>
      <c r="G4874" s="18">
        <f t="shared" si="457"/>
        <v>44</v>
      </c>
      <c r="H4874" t="str">
        <f t="shared" si="458"/>
        <v>ADMINISTRAÇÃO</v>
      </c>
      <c r="I4874" t="str">
        <f t="shared" si="459"/>
        <v>SOCIAL S/A</v>
      </c>
      <c r="J4874">
        <f t="shared" si="460"/>
        <v>0</v>
      </c>
      <c r="K4874">
        <f t="shared" si="461"/>
        <v>1</v>
      </c>
    </row>
    <row r="4875" spans="1:11" x14ac:dyDescent="0.25">
      <c r="A4875" t="s">
        <v>442</v>
      </c>
      <c r="B4875" t="s">
        <v>193</v>
      </c>
      <c r="C4875" t="s">
        <v>50</v>
      </c>
      <c r="D4875" s="6">
        <v>45960</v>
      </c>
      <c r="E4875" t="str">
        <f>VLOOKUP(B4875,'PROCV GERENTES BD'!A:B,2,0)</f>
        <v>CELIO PIMENTA</v>
      </c>
      <c r="F4875" s="4" t="str">
        <f t="shared" si="456"/>
        <v>2025-10</v>
      </c>
      <c r="G4875" s="18">
        <f t="shared" si="457"/>
        <v>44</v>
      </c>
      <c r="H4875" t="str">
        <f t="shared" si="458"/>
        <v>CELIO PIMENTA</v>
      </c>
      <c r="I4875" t="str">
        <f t="shared" si="459"/>
        <v>CIA TEXTIL LTDA ME</v>
      </c>
      <c r="J4875">
        <f t="shared" si="460"/>
        <v>0</v>
      </c>
      <c r="K4875">
        <f t="shared" si="461"/>
        <v>1</v>
      </c>
    </row>
    <row r="4876" spans="1:11" x14ac:dyDescent="0.25">
      <c r="A4876" t="s">
        <v>427</v>
      </c>
      <c r="B4876" t="s">
        <v>178</v>
      </c>
      <c r="C4876" t="s">
        <v>66</v>
      </c>
      <c r="D4876" s="6">
        <v>45960</v>
      </c>
      <c r="E4876" t="str">
        <f>VLOOKUP(B4876,'PROCV GERENTES BD'!A:B,2,0)</f>
        <v>ADMINISTRAÇÃO</v>
      </c>
      <c r="F4876" s="4" t="str">
        <f t="shared" si="456"/>
        <v>2025-10</v>
      </c>
      <c r="G4876" s="18">
        <f t="shared" si="457"/>
        <v>44</v>
      </c>
      <c r="H4876" t="str">
        <f t="shared" si="458"/>
        <v>ADMINISTRAÇÃO</v>
      </c>
      <c r="I4876" t="str">
        <f t="shared" si="459"/>
        <v>LIZZENA COSMETICOS LTDA EPP</v>
      </c>
      <c r="J4876">
        <f t="shared" si="460"/>
        <v>1</v>
      </c>
      <c r="K4876">
        <f t="shared" si="461"/>
        <v>0</v>
      </c>
    </row>
    <row r="4877" spans="1:11" x14ac:dyDescent="0.25">
      <c r="A4877" t="s">
        <v>655</v>
      </c>
      <c r="B4877" t="s">
        <v>548</v>
      </c>
      <c r="C4877" t="s">
        <v>66</v>
      </c>
      <c r="D4877" s="6">
        <v>45960</v>
      </c>
      <c r="E4877" t="str">
        <f>VLOOKUP(B4877,'PROCV GERENTES BD'!A:B,2,0)</f>
        <v xml:space="preserve">ROGERIO </v>
      </c>
      <c r="F4877" s="4" t="str">
        <f t="shared" si="456"/>
        <v>2025-10</v>
      </c>
      <c r="G4877" s="18">
        <f t="shared" si="457"/>
        <v>44</v>
      </c>
      <c r="H4877" t="str">
        <f t="shared" si="458"/>
        <v xml:space="preserve">ROGERIO </v>
      </c>
      <c r="I4877" t="str">
        <f t="shared" si="459"/>
        <v>AGROEP PISCICULTURA LTDA ME</v>
      </c>
      <c r="J4877">
        <f t="shared" si="460"/>
        <v>1</v>
      </c>
      <c r="K4877">
        <f t="shared" si="461"/>
        <v>0</v>
      </c>
    </row>
    <row r="4878" spans="1:11" x14ac:dyDescent="0.25">
      <c r="A4878" t="s">
        <v>510</v>
      </c>
      <c r="B4878" t="s">
        <v>273</v>
      </c>
      <c r="C4878" t="s">
        <v>50</v>
      </c>
      <c r="D4878" s="6">
        <v>45960</v>
      </c>
      <c r="E4878" t="str">
        <f>VLOOKUP(B4878,'PROCV GERENTES BD'!A:B,2,0)</f>
        <v>CELIO PIMENTA</v>
      </c>
      <c r="F4878" s="4" t="str">
        <f t="shared" si="456"/>
        <v>2025-10</v>
      </c>
      <c r="G4878" s="18">
        <f t="shared" si="457"/>
        <v>44</v>
      </c>
      <c r="H4878" t="str">
        <f t="shared" si="458"/>
        <v>CELIO PIMENTA</v>
      </c>
      <c r="I4878" t="str">
        <f t="shared" si="459"/>
        <v>PRADO MOREIRA TEXTIL LTDA ME</v>
      </c>
      <c r="J4878">
        <f t="shared" si="460"/>
        <v>0</v>
      </c>
      <c r="K4878">
        <f t="shared" si="461"/>
        <v>1</v>
      </c>
    </row>
    <row r="4879" spans="1:11" x14ac:dyDescent="0.25">
      <c r="A4879" t="s">
        <v>687</v>
      </c>
      <c r="B4879" t="s">
        <v>684</v>
      </c>
      <c r="C4879" t="s">
        <v>50</v>
      </c>
      <c r="D4879" s="6">
        <v>45960</v>
      </c>
      <c r="E4879" t="str">
        <f>VLOOKUP(B4879,'PROCV GERENTES BD'!A:B,2,0)</f>
        <v>DALVA</v>
      </c>
      <c r="F4879" s="4" t="str">
        <f t="shared" si="456"/>
        <v>2025-10</v>
      </c>
      <c r="G4879" s="18">
        <f t="shared" si="457"/>
        <v>44</v>
      </c>
      <c r="H4879" t="str">
        <f t="shared" si="458"/>
        <v>DALVA</v>
      </c>
      <c r="I4879" t="str">
        <f t="shared" si="459"/>
        <v>AGUIA DE FOGO PREVENCAO DE INCENDIO LTDA EPP</v>
      </c>
      <c r="J4879">
        <f t="shared" si="460"/>
        <v>0</v>
      </c>
      <c r="K4879">
        <f t="shared" si="461"/>
        <v>1</v>
      </c>
    </row>
    <row r="4880" spans="1:11" x14ac:dyDescent="0.25">
      <c r="A4880" t="s">
        <v>502</v>
      </c>
      <c r="B4880" t="s">
        <v>262</v>
      </c>
      <c r="C4880" t="s">
        <v>66</v>
      </c>
      <c r="D4880" s="6">
        <v>45961</v>
      </c>
      <c r="E4880" t="str">
        <f>VLOOKUP(B4880,'PROCV GERENTES BD'!A:B,2,0)</f>
        <v>ANTECIPA</v>
      </c>
      <c r="F4880" s="4" t="str">
        <f t="shared" si="456"/>
        <v>2025-10</v>
      </c>
      <c r="G4880" s="18">
        <f t="shared" si="457"/>
        <v>44</v>
      </c>
      <c r="H4880" t="str">
        <f t="shared" si="458"/>
        <v>ANTECIPA</v>
      </c>
      <c r="I4880" t="str">
        <f t="shared" si="459"/>
        <v>CONSTRUENGE ENGENHARIA E GERENCIAMENTO LTDA</v>
      </c>
      <c r="J4880">
        <f t="shared" si="460"/>
        <v>1</v>
      </c>
      <c r="K4880">
        <f t="shared" si="461"/>
        <v>0</v>
      </c>
    </row>
    <row r="4881" spans="1:11" x14ac:dyDescent="0.25">
      <c r="A4881" t="s">
        <v>521</v>
      </c>
      <c r="B4881" t="s">
        <v>286</v>
      </c>
      <c r="C4881" t="s">
        <v>50</v>
      </c>
      <c r="D4881" s="6">
        <v>45961</v>
      </c>
      <c r="E4881" t="str">
        <f>VLOOKUP(B4881,'PROCV GERENTES BD'!A:B,2,0)</f>
        <v>CELIO PIMENTA</v>
      </c>
      <c r="F4881" s="4" t="str">
        <f t="shared" si="456"/>
        <v>2025-10</v>
      </c>
      <c r="G4881" s="18">
        <f t="shared" si="457"/>
        <v>44</v>
      </c>
      <c r="H4881" t="str">
        <f t="shared" si="458"/>
        <v>CELIO PIMENTA</v>
      </c>
      <c r="I4881" t="str">
        <f t="shared" si="459"/>
        <v>LINGERIE E CIA LTDA ME</v>
      </c>
      <c r="J4881">
        <f t="shared" si="460"/>
        <v>0</v>
      </c>
      <c r="K4881">
        <f t="shared" si="461"/>
        <v>1</v>
      </c>
    </row>
    <row r="4882" spans="1:11" x14ac:dyDescent="0.25">
      <c r="A4882" t="s">
        <v>460</v>
      </c>
      <c r="B4882" t="s">
        <v>217</v>
      </c>
      <c r="C4882" t="s">
        <v>50</v>
      </c>
      <c r="D4882" s="6">
        <v>45961</v>
      </c>
      <c r="E4882" t="str">
        <f>VLOOKUP(B4882,'PROCV GERENTES BD'!A:B,2,0)</f>
        <v>CELIO PIMENTA</v>
      </c>
      <c r="F4882" s="4" t="str">
        <f t="shared" si="456"/>
        <v>2025-10</v>
      </c>
      <c r="G4882" s="18">
        <f t="shared" si="457"/>
        <v>44</v>
      </c>
      <c r="H4882" t="str">
        <f t="shared" si="458"/>
        <v>CELIO PIMENTA</v>
      </c>
      <c r="I4882" t="str">
        <f t="shared" si="459"/>
        <v>MINAS CLEAN DISTRIBUIDORA DE PRODUTOS PARA LIMPEZA</v>
      </c>
      <c r="J4882">
        <f t="shared" si="460"/>
        <v>0</v>
      </c>
      <c r="K4882">
        <f t="shared" si="461"/>
        <v>1</v>
      </c>
    </row>
    <row r="4883" spans="1:11" x14ac:dyDescent="0.25">
      <c r="A4883" t="s">
        <v>667</v>
      </c>
      <c r="B4883" t="s">
        <v>560</v>
      </c>
      <c r="C4883" t="s">
        <v>66</v>
      </c>
      <c r="D4883" s="6">
        <v>45961</v>
      </c>
      <c r="E4883" t="str">
        <f>VLOOKUP(B4883,'PROCV GERENTES BD'!A:B,2,0)</f>
        <v>ALISSON DE SOUZA LIMA</v>
      </c>
      <c r="F4883" s="4" t="str">
        <f t="shared" si="456"/>
        <v>2025-10</v>
      </c>
      <c r="G4883" s="18">
        <f t="shared" si="457"/>
        <v>44</v>
      </c>
      <c r="H4883" t="str">
        <f t="shared" si="458"/>
        <v>ALISSON DE SOUZA LIMA</v>
      </c>
      <c r="I4883" t="str">
        <f t="shared" si="459"/>
        <v>JRG SOLUCOES EM SERVICOS LTDA ME</v>
      </c>
      <c r="J4883">
        <f t="shared" si="460"/>
        <v>1</v>
      </c>
      <c r="K4883">
        <f t="shared" si="461"/>
        <v>0</v>
      </c>
    </row>
    <row r="4884" spans="1:11" x14ac:dyDescent="0.25">
      <c r="A4884" t="s">
        <v>314</v>
      </c>
      <c r="B4884" t="s">
        <v>246</v>
      </c>
      <c r="C4884" t="s">
        <v>50</v>
      </c>
      <c r="D4884" s="6">
        <v>45961</v>
      </c>
      <c r="E4884" t="str">
        <f>VLOOKUP(B4884,'PROCV GERENTES BD'!A:B,2,0)</f>
        <v xml:space="preserve">ROGERIO </v>
      </c>
      <c r="F4884" s="4" t="str">
        <f t="shared" si="456"/>
        <v>2025-10</v>
      </c>
      <c r="G4884" s="18">
        <f t="shared" si="457"/>
        <v>44</v>
      </c>
      <c r="H4884" t="str">
        <f t="shared" si="458"/>
        <v xml:space="preserve">ROGERIO </v>
      </c>
      <c r="I4884" t="str">
        <f t="shared" si="459"/>
        <v>MUTCD CENTRO DE DISTRIBUICAO DE IND FABRICANTE DE</v>
      </c>
      <c r="J4884">
        <f t="shared" si="460"/>
        <v>0</v>
      </c>
      <c r="K4884">
        <f t="shared" si="461"/>
        <v>1</v>
      </c>
    </row>
    <row r="4885" spans="1:11" x14ac:dyDescent="0.25">
      <c r="A4885" t="s">
        <v>488</v>
      </c>
      <c r="B4885" t="s">
        <v>247</v>
      </c>
      <c r="C4885" t="s">
        <v>66</v>
      </c>
      <c r="D4885" s="6">
        <v>45961</v>
      </c>
      <c r="E4885" t="str">
        <f>VLOOKUP(B4885,'PROCV GERENTES BD'!A:B,2,0)</f>
        <v>CELIO PIMENTA</v>
      </c>
      <c r="F4885" s="4" t="str">
        <f t="shared" si="456"/>
        <v>2025-10</v>
      </c>
      <c r="G4885" s="18">
        <f t="shared" si="457"/>
        <v>44</v>
      </c>
      <c r="H4885" t="str">
        <f t="shared" si="458"/>
        <v>CELIO PIMENTA</v>
      </c>
      <c r="I4885" t="str">
        <f t="shared" si="459"/>
        <v>AZ HIDRAULICA USINAGEM LTDA EPP</v>
      </c>
      <c r="J4885">
        <f t="shared" si="460"/>
        <v>1</v>
      </c>
      <c r="K4885">
        <f t="shared" si="461"/>
        <v>0</v>
      </c>
    </row>
    <row r="4886" spans="1:11" x14ac:dyDescent="0.25">
      <c r="A4886" t="s">
        <v>658</v>
      </c>
      <c r="B4886" t="s">
        <v>659</v>
      </c>
      <c r="C4886" t="s">
        <v>66</v>
      </c>
      <c r="D4886" s="6">
        <v>45961</v>
      </c>
      <c r="E4886" t="str">
        <f>VLOOKUP(B4886,'PROCV GERENTES BD'!A:B,2,0)</f>
        <v>ADMINISTRAÇÃO</v>
      </c>
      <c r="F4886" s="4" t="str">
        <f t="shared" si="456"/>
        <v>2025-10</v>
      </c>
      <c r="G4886" s="18">
        <f t="shared" si="457"/>
        <v>44</v>
      </c>
      <c r="H4886" t="str">
        <f t="shared" si="458"/>
        <v>ADMINISTRAÇÃO</v>
      </c>
      <c r="I4886" t="str">
        <f t="shared" si="459"/>
        <v>LEFORM PLANEJADOS LTDA ME</v>
      </c>
      <c r="J4886">
        <f t="shared" si="460"/>
        <v>1</v>
      </c>
      <c r="K4886">
        <f t="shared" si="461"/>
        <v>0</v>
      </c>
    </row>
    <row r="4887" spans="1:11" x14ac:dyDescent="0.25">
      <c r="A4887" t="s">
        <v>630</v>
      </c>
      <c r="B4887" t="s">
        <v>559</v>
      </c>
      <c r="C4887" t="s">
        <v>66</v>
      </c>
      <c r="D4887" s="6">
        <v>45961</v>
      </c>
      <c r="E4887" t="str">
        <f>VLOOKUP(B4887,'PROCV GERENTES BD'!A:B,2,0)</f>
        <v>ALISSON DE SOUZA LIMA</v>
      </c>
      <c r="F4887" s="4" t="str">
        <f t="shared" si="456"/>
        <v>2025-10</v>
      </c>
      <c r="G4887" s="18">
        <f t="shared" si="457"/>
        <v>44</v>
      </c>
      <c r="H4887" t="str">
        <f t="shared" si="458"/>
        <v>ALISSON DE SOUZA LIMA</v>
      </c>
      <c r="I4887" t="str">
        <f t="shared" si="459"/>
        <v>JRG SOLUCOES INDUSTRIAIS LTDA</v>
      </c>
      <c r="J4887">
        <f t="shared" si="460"/>
        <v>1</v>
      </c>
      <c r="K4887">
        <f t="shared" si="461"/>
        <v>0</v>
      </c>
    </row>
    <row r="4888" spans="1:11" x14ac:dyDescent="0.25">
      <c r="A4888" t="s">
        <v>510</v>
      </c>
      <c r="B4888" t="s">
        <v>273</v>
      </c>
      <c r="C4888" t="s">
        <v>50</v>
      </c>
      <c r="D4888" s="6">
        <v>45961</v>
      </c>
      <c r="E4888" t="str">
        <f>VLOOKUP(B4888,'PROCV GERENTES BD'!A:B,2,0)</f>
        <v>CELIO PIMENTA</v>
      </c>
      <c r="F4888" s="4" t="str">
        <f t="shared" si="456"/>
        <v>2025-10</v>
      </c>
      <c r="G4888" s="18">
        <f t="shared" si="457"/>
        <v>44</v>
      </c>
      <c r="H4888" t="str">
        <f t="shared" si="458"/>
        <v>CELIO PIMENTA</v>
      </c>
      <c r="I4888" t="str">
        <f t="shared" si="459"/>
        <v>PRADO MOREIRA TEXTIL LTDA ME</v>
      </c>
      <c r="J4888">
        <f t="shared" si="460"/>
        <v>0</v>
      </c>
      <c r="K4888">
        <f t="shared" si="461"/>
        <v>1</v>
      </c>
    </row>
    <row r="4889" spans="1:11" x14ac:dyDescent="0.25">
      <c r="A4889" t="s">
        <v>442</v>
      </c>
      <c r="B4889" t="s">
        <v>193</v>
      </c>
      <c r="C4889" t="s">
        <v>66</v>
      </c>
      <c r="D4889" s="6">
        <v>45961</v>
      </c>
      <c r="E4889" t="str">
        <f>VLOOKUP(B4889,'PROCV GERENTES BD'!A:B,2,0)</f>
        <v>CELIO PIMENTA</v>
      </c>
      <c r="F4889" s="4" t="str">
        <f t="shared" si="456"/>
        <v>2025-10</v>
      </c>
      <c r="G4889" s="18">
        <f t="shared" si="457"/>
        <v>44</v>
      </c>
      <c r="H4889" t="str">
        <f t="shared" si="458"/>
        <v>CELIO PIMENTA</v>
      </c>
      <c r="I4889" t="str">
        <f t="shared" si="459"/>
        <v>CIA TEXTIL LTDA ME</v>
      </c>
      <c r="J4889">
        <f t="shared" si="460"/>
        <v>1</v>
      </c>
      <c r="K4889">
        <f t="shared" si="461"/>
        <v>0</v>
      </c>
    </row>
    <row r="4890" spans="1:11" x14ac:dyDescent="0.25">
      <c r="A4890" t="s">
        <v>632</v>
      </c>
      <c r="B4890" t="s">
        <v>709</v>
      </c>
      <c r="C4890" t="s">
        <v>66</v>
      </c>
      <c r="D4890" s="6">
        <v>45961</v>
      </c>
      <c r="E4890" t="str">
        <f>VLOOKUP(B4890,'PROCV GERENTES BD'!A:B,2,0)</f>
        <v>TIAGO NEVES</v>
      </c>
      <c r="F4890" s="4" t="str">
        <f t="shared" si="456"/>
        <v>2025-10</v>
      </c>
      <c r="G4890" s="18">
        <f t="shared" si="457"/>
        <v>44</v>
      </c>
      <c r="H4890" t="str">
        <f t="shared" si="458"/>
        <v>TIAGO NEVES</v>
      </c>
      <c r="I4890" t="str">
        <f t="shared" si="459"/>
        <v>AUTO VIDROS MG LTDA</v>
      </c>
      <c r="J4890">
        <f t="shared" si="460"/>
        <v>1</v>
      </c>
      <c r="K4890">
        <f t="shared" si="461"/>
        <v>0</v>
      </c>
    </row>
    <row r="4891" spans="1:11" x14ac:dyDescent="0.25">
      <c r="A4891" t="s">
        <v>317</v>
      </c>
      <c r="B4891" t="s">
        <v>280</v>
      </c>
      <c r="C4891" t="s">
        <v>50</v>
      </c>
      <c r="D4891" s="6">
        <v>45961</v>
      </c>
      <c r="E4891" t="str">
        <f>VLOOKUP(B4891,'PROCV GERENTES BD'!A:B,2,0)</f>
        <v>PROSPECTAR</v>
      </c>
      <c r="F4891" s="4" t="str">
        <f t="shared" si="456"/>
        <v>2025-10</v>
      </c>
      <c r="G4891" s="18">
        <f t="shared" si="457"/>
        <v>44</v>
      </c>
      <c r="H4891" t="str">
        <f t="shared" si="458"/>
        <v>PROSPECTAR</v>
      </c>
      <c r="I4891" t="str">
        <f t="shared" si="459"/>
        <v>STA TECHCANA LTDA</v>
      </c>
      <c r="J4891">
        <f t="shared" si="460"/>
        <v>0</v>
      </c>
      <c r="K4891">
        <f t="shared" si="461"/>
        <v>1</v>
      </c>
    </row>
    <row r="4892" spans="1:11" x14ac:dyDescent="0.25">
      <c r="A4892" t="s">
        <v>56</v>
      </c>
      <c r="B4892" t="s">
        <v>57</v>
      </c>
      <c r="C4892" t="s">
        <v>50</v>
      </c>
      <c r="D4892" s="6">
        <v>45961</v>
      </c>
      <c r="E4892" t="str">
        <f>VLOOKUP(B4892,'PROCV GERENTES BD'!A:B,2,0)</f>
        <v xml:space="preserve">ROGERIO </v>
      </c>
      <c r="F4892" s="4" t="str">
        <f t="shared" si="456"/>
        <v>2025-10</v>
      </c>
      <c r="G4892" s="18">
        <f t="shared" si="457"/>
        <v>44</v>
      </c>
      <c r="H4892" t="str">
        <f t="shared" si="458"/>
        <v xml:space="preserve">ROGERIO </v>
      </c>
      <c r="I4892" t="str">
        <f t="shared" si="459"/>
        <v>RODOVIEIRA TRANSPORTE LTDA</v>
      </c>
      <c r="J4892">
        <f t="shared" si="460"/>
        <v>0</v>
      </c>
      <c r="K4892">
        <f t="shared" si="461"/>
        <v>1</v>
      </c>
    </row>
    <row r="4893" spans="1:11" x14ac:dyDescent="0.25">
      <c r="A4893" t="s">
        <v>361</v>
      </c>
      <c r="B4893" t="s">
        <v>106</v>
      </c>
      <c r="C4893" t="s">
        <v>50</v>
      </c>
      <c r="D4893" s="6">
        <v>45961</v>
      </c>
      <c r="E4893" t="str">
        <f>VLOOKUP(B4893,'PROCV GERENTES BD'!A:B,2,0)</f>
        <v>PRISCILA METZ</v>
      </c>
      <c r="F4893" s="4" t="str">
        <f t="shared" si="456"/>
        <v>2025-10</v>
      </c>
      <c r="G4893" s="18">
        <f t="shared" si="457"/>
        <v>44</v>
      </c>
      <c r="H4893" t="str">
        <f t="shared" si="458"/>
        <v>PRISCILA METZ</v>
      </c>
      <c r="I4893" t="str">
        <f t="shared" si="459"/>
        <v>HERBAMED LABORATORIO NUTRACEUTICO LTDA</v>
      </c>
      <c r="J4893">
        <f t="shared" si="460"/>
        <v>0</v>
      </c>
      <c r="K4893">
        <f t="shared" si="461"/>
        <v>1</v>
      </c>
    </row>
    <row r="4894" spans="1:11" x14ac:dyDescent="0.25">
      <c r="A4894" t="s">
        <v>639</v>
      </c>
      <c r="B4894" t="s">
        <v>564</v>
      </c>
      <c r="C4894" t="s">
        <v>66</v>
      </c>
      <c r="D4894" s="6">
        <v>45961</v>
      </c>
      <c r="E4894" t="str">
        <f>VLOOKUP(B4894,'PROCV GERENTES BD'!A:B,2,0)</f>
        <v>CAIO</v>
      </c>
      <c r="F4894" s="4" t="str">
        <f t="shared" si="456"/>
        <v>2025-10</v>
      </c>
      <c r="G4894" s="18">
        <f t="shared" si="457"/>
        <v>44</v>
      </c>
      <c r="H4894" t="str">
        <f t="shared" si="458"/>
        <v>CAIO</v>
      </c>
      <c r="I4894" t="str">
        <f t="shared" si="459"/>
        <v>FRUTABELLA INDUSTRIA E COMERCIO DE ALIMENTOS LTDA</v>
      </c>
      <c r="J4894">
        <f t="shared" si="460"/>
        <v>1</v>
      </c>
      <c r="K4894">
        <f t="shared" si="461"/>
        <v>0</v>
      </c>
    </row>
    <row r="4895" spans="1:11" x14ac:dyDescent="0.25">
      <c r="A4895" t="s">
        <v>700</v>
      </c>
      <c r="B4895" t="s">
        <v>680</v>
      </c>
      <c r="C4895" t="s">
        <v>66</v>
      </c>
      <c r="D4895" s="6">
        <v>45961</v>
      </c>
      <c r="E4895" t="str">
        <f>VLOOKUP(B4895,'PROCV GERENTES BD'!A:B,2,0)</f>
        <v>POENATELA</v>
      </c>
      <c r="F4895" s="4" t="str">
        <f t="shared" si="456"/>
        <v>2025-10</v>
      </c>
      <c r="G4895" s="18">
        <f t="shared" si="457"/>
        <v>44</v>
      </c>
      <c r="H4895" t="str">
        <f t="shared" si="458"/>
        <v>POENATELA</v>
      </c>
      <c r="I4895" t="str">
        <f t="shared" si="459"/>
        <v>BIORGANICA PRODUTOS ORGANICOS LTDA</v>
      </c>
      <c r="J4895">
        <f t="shared" si="460"/>
        <v>1</v>
      </c>
      <c r="K4895">
        <f t="shared" si="461"/>
        <v>0</v>
      </c>
    </row>
    <row r="4896" spans="1:11" x14ac:dyDescent="0.25">
      <c r="A4896" t="s">
        <v>311</v>
      </c>
      <c r="B4896" t="s">
        <v>81</v>
      </c>
      <c r="C4896" t="s">
        <v>66</v>
      </c>
      <c r="D4896" s="6">
        <v>45961</v>
      </c>
      <c r="E4896" t="str">
        <f>VLOOKUP(B4896,'PROCV GERENTES BD'!A:B,2,0)</f>
        <v>CELIO PIMENTA</v>
      </c>
      <c r="F4896" s="4" t="str">
        <f t="shared" si="456"/>
        <v>2025-10</v>
      </c>
      <c r="G4896" s="18">
        <f t="shared" si="457"/>
        <v>44</v>
      </c>
      <c r="H4896" t="str">
        <f t="shared" si="458"/>
        <v>CELIO PIMENTA</v>
      </c>
      <c r="I4896" t="str">
        <f t="shared" si="459"/>
        <v>MBIOLOG DIAGNOSTICOS LTDA</v>
      </c>
      <c r="J4896">
        <f t="shared" si="460"/>
        <v>1</v>
      </c>
      <c r="K4896">
        <f t="shared" si="461"/>
        <v>0</v>
      </c>
    </row>
    <row r="4897" spans="1:11" x14ac:dyDescent="0.25">
      <c r="A4897" t="s">
        <v>64</v>
      </c>
      <c r="B4897" t="s">
        <v>65</v>
      </c>
      <c r="C4897" t="s">
        <v>66</v>
      </c>
      <c r="D4897" s="6">
        <v>45961</v>
      </c>
      <c r="E4897" t="str">
        <f>VLOOKUP(B4897,'PROCV GERENTES BD'!A:B,2,0)</f>
        <v>ADMINISTRAÇÃO</v>
      </c>
      <c r="F4897" s="4" t="str">
        <f t="shared" si="456"/>
        <v>2025-10</v>
      </c>
      <c r="G4897" s="18">
        <f t="shared" si="457"/>
        <v>44</v>
      </c>
      <c r="H4897" t="str">
        <f t="shared" si="458"/>
        <v>ADMINISTRAÇÃO</v>
      </c>
      <c r="I4897" t="str">
        <f t="shared" si="459"/>
        <v>SOCIAL S/A</v>
      </c>
      <c r="J4897">
        <f t="shared" si="460"/>
        <v>1</v>
      </c>
      <c r="K4897">
        <f t="shared" si="461"/>
        <v>0</v>
      </c>
    </row>
    <row r="4898" spans="1:11" x14ac:dyDescent="0.25">
      <c r="A4898" t="s">
        <v>326</v>
      </c>
      <c r="B4898" t="s">
        <v>122</v>
      </c>
      <c r="C4898" t="s">
        <v>66</v>
      </c>
      <c r="D4898" s="6">
        <v>45961</v>
      </c>
      <c r="E4898" t="str">
        <f>VLOOKUP(B4898,'PROCV GERENTES BD'!A:B,2,0)</f>
        <v xml:space="preserve">ROGERIO </v>
      </c>
      <c r="F4898" s="4" t="str">
        <f t="shared" si="456"/>
        <v>2025-10</v>
      </c>
      <c r="G4898" s="18">
        <f t="shared" si="457"/>
        <v>44</v>
      </c>
      <c r="H4898" t="str">
        <f t="shared" si="458"/>
        <v xml:space="preserve">ROGERIO </v>
      </c>
      <c r="I4898" t="str">
        <f t="shared" si="459"/>
        <v>BIBE PRODUTOS INFANTIS LTDA</v>
      </c>
      <c r="J4898">
        <f t="shared" si="460"/>
        <v>1</v>
      </c>
      <c r="K4898">
        <f t="shared" si="461"/>
        <v>0</v>
      </c>
    </row>
    <row r="4899" spans="1:11" x14ac:dyDescent="0.25">
      <c r="A4899" t="s">
        <v>697</v>
      </c>
      <c r="B4899" t="s">
        <v>695</v>
      </c>
      <c r="C4899" t="s">
        <v>50</v>
      </c>
      <c r="D4899" s="6">
        <v>45962</v>
      </c>
      <c r="E4899" t="str">
        <f>VLOOKUP(B4899,'PROCV GERENTES BD'!A:B,2,0)</f>
        <v>PROSPECTAR</v>
      </c>
      <c r="F4899" s="4" t="str">
        <f t="shared" si="456"/>
        <v>2025-11</v>
      </c>
      <c r="G4899" s="18">
        <f t="shared" si="457"/>
        <v>44</v>
      </c>
      <c r="H4899" t="str">
        <f t="shared" si="458"/>
        <v>PROSPECTAR</v>
      </c>
      <c r="I4899" t="str">
        <f t="shared" si="459"/>
        <v>GLOBAL PAPEIS EM RECUPERACAO JUDICIAL LTDA</v>
      </c>
      <c r="J4899">
        <f t="shared" si="460"/>
        <v>0</v>
      </c>
      <c r="K4899">
        <f t="shared" si="461"/>
        <v>1</v>
      </c>
    </row>
    <row r="4900" spans="1:11" x14ac:dyDescent="0.25">
      <c r="A4900" t="s">
        <v>653</v>
      </c>
      <c r="B4900" t="s">
        <v>566</v>
      </c>
      <c r="C4900" t="s">
        <v>50</v>
      </c>
      <c r="D4900" s="6">
        <v>45962</v>
      </c>
      <c r="E4900" t="str">
        <f>VLOOKUP(B4900,'PROCV GERENTES BD'!A:B,2,0)</f>
        <v>DIOGO AZEVEDO</v>
      </c>
      <c r="F4900" s="4" t="str">
        <f t="shared" si="456"/>
        <v>2025-11</v>
      </c>
      <c r="G4900" s="18">
        <f t="shared" si="457"/>
        <v>44</v>
      </c>
      <c r="H4900" t="str">
        <f t="shared" si="458"/>
        <v>DIOGO AZEVEDO</v>
      </c>
      <c r="I4900" t="str">
        <f t="shared" si="459"/>
        <v>MILK LAT LTDA EPP</v>
      </c>
      <c r="J4900">
        <f t="shared" si="460"/>
        <v>0</v>
      </c>
      <c r="K4900">
        <f t="shared" si="461"/>
        <v>1</v>
      </c>
    </row>
    <row r="4901" spans="1:11" x14ac:dyDescent="0.25">
      <c r="A4901" t="s">
        <v>396</v>
      </c>
      <c r="B4901" t="s">
        <v>146</v>
      </c>
      <c r="C4901" t="s">
        <v>66</v>
      </c>
      <c r="D4901" s="6">
        <v>45962</v>
      </c>
      <c r="E4901" t="str">
        <f>VLOOKUP(B4901,'PROCV GERENTES BD'!A:B,2,0)</f>
        <v xml:space="preserve">MARCUS VINICIUS </v>
      </c>
      <c r="F4901" s="4" t="str">
        <f t="shared" si="456"/>
        <v>2025-11</v>
      </c>
      <c r="G4901" s="18">
        <f t="shared" si="457"/>
        <v>44</v>
      </c>
      <c r="H4901" t="str">
        <f t="shared" si="458"/>
        <v xml:space="preserve">MARCUS VINICIUS </v>
      </c>
      <c r="I4901" t="str">
        <f t="shared" si="459"/>
        <v>OLINDA IMPORTACAO E COMERCIO LTDA</v>
      </c>
      <c r="J4901">
        <f t="shared" si="460"/>
        <v>1</v>
      </c>
      <c r="K4901">
        <f t="shared" si="461"/>
        <v>0</v>
      </c>
    </row>
    <row r="4902" spans="1:11" x14ac:dyDescent="0.25">
      <c r="A4902" t="s">
        <v>667</v>
      </c>
      <c r="B4902" t="s">
        <v>560</v>
      </c>
      <c r="C4902" t="s">
        <v>66</v>
      </c>
      <c r="D4902" s="6">
        <v>45962</v>
      </c>
      <c r="E4902" t="str">
        <f>VLOOKUP(B4902,'PROCV GERENTES BD'!A:B,2,0)</f>
        <v>ALISSON DE SOUZA LIMA</v>
      </c>
      <c r="F4902" s="4" t="str">
        <f t="shared" si="456"/>
        <v>2025-11</v>
      </c>
      <c r="G4902" s="18">
        <f t="shared" si="457"/>
        <v>44</v>
      </c>
      <c r="H4902" t="str">
        <f t="shared" si="458"/>
        <v>ALISSON DE SOUZA LIMA</v>
      </c>
      <c r="I4902" t="str">
        <f t="shared" si="459"/>
        <v>JRG SOLUCOES EM SERVICOS LTDA ME</v>
      </c>
      <c r="J4902">
        <f t="shared" si="460"/>
        <v>1</v>
      </c>
      <c r="K4902">
        <f t="shared" si="461"/>
        <v>0</v>
      </c>
    </row>
    <row r="4903" spans="1:11" x14ac:dyDescent="0.25">
      <c r="A4903" t="s">
        <v>314</v>
      </c>
      <c r="B4903" t="s">
        <v>246</v>
      </c>
      <c r="C4903" t="s">
        <v>50</v>
      </c>
      <c r="D4903" s="6">
        <v>45962</v>
      </c>
      <c r="E4903" t="str">
        <f>VLOOKUP(B4903,'PROCV GERENTES BD'!A:B,2,0)</f>
        <v xml:space="preserve">ROGERIO </v>
      </c>
      <c r="F4903" s="4" t="str">
        <f t="shared" si="456"/>
        <v>2025-11</v>
      </c>
      <c r="G4903" s="18">
        <f t="shared" si="457"/>
        <v>44</v>
      </c>
      <c r="H4903" t="str">
        <f t="shared" si="458"/>
        <v xml:space="preserve">ROGERIO </v>
      </c>
      <c r="I4903" t="str">
        <f t="shared" si="459"/>
        <v>MUTCD CENTRO DE DISTRIBUICAO DE IND FABRICANTE DE</v>
      </c>
      <c r="J4903">
        <f t="shared" si="460"/>
        <v>0</v>
      </c>
      <c r="K4903">
        <f t="shared" si="461"/>
        <v>1</v>
      </c>
    </row>
    <row r="4904" spans="1:11" x14ac:dyDescent="0.25">
      <c r="A4904" t="s">
        <v>488</v>
      </c>
      <c r="B4904" t="s">
        <v>247</v>
      </c>
      <c r="C4904" t="s">
        <v>50</v>
      </c>
      <c r="D4904" s="6">
        <v>45962</v>
      </c>
      <c r="E4904" t="str">
        <f>VLOOKUP(B4904,'PROCV GERENTES BD'!A:B,2,0)</f>
        <v>CELIO PIMENTA</v>
      </c>
      <c r="F4904" s="4" t="str">
        <f t="shared" si="456"/>
        <v>2025-11</v>
      </c>
      <c r="G4904" s="18">
        <f t="shared" si="457"/>
        <v>44</v>
      </c>
      <c r="H4904" t="str">
        <f t="shared" si="458"/>
        <v>CELIO PIMENTA</v>
      </c>
      <c r="I4904" t="str">
        <f t="shared" si="459"/>
        <v>AZ HIDRAULICA USINAGEM LTDA EPP</v>
      </c>
      <c r="J4904">
        <f t="shared" si="460"/>
        <v>0</v>
      </c>
      <c r="K4904">
        <f t="shared" si="461"/>
        <v>1</v>
      </c>
    </row>
    <row r="4905" spans="1:11" x14ac:dyDescent="0.25">
      <c r="A4905" t="s">
        <v>655</v>
      </c>
      <c r="B4905" t="s">
        <v>548</v>
      </c>
      <c r="C4905" t="s">
        <v>50</v>
      </c>
      <c r="D4905" s="6">
        <v>45962</v>
      </c>
      <c r="E4905" t="str">
        <f>VLOOKUP(B4905,'PROCV GERENTES BD'!A:B,2,0)</f>
        <v xml:space="preserve">ROGERIO </v>
      </c>
      <c r="F4905" s="4" t="str">
        <f t="shared" si="456"/>
        <v>2025-11</v>
      </c>
      <c r="G4905" s="18">
        <f t="shared" si="457"/>
        <v>44</v>
      </c>
      <c r="H4905" t="str">
        <f t="shared" si="458"/>
        <v xml:space="preserve">ROGERIO </v>
      </c>
      <c r="I4905" t="str">
        <f t="shared" si="459"/>
        <v>AGROEP PISCICULTURA LTDA ME</v>
      </c>
      <c r="J4905">
        <f t="shared" si="460"/>
        <v>0</v>
      </c>
      <c r="K4905">
        <f t="shared" si="461"/>
        <v>1</v>
      </c>
    </row>
    <row r="4906" spans="1:11" x14ac:dyDescent="0.25">
      <c r="A4906" t="s">
        <v>658</v>
      </c>
      <c r="B4906" t="s">
        <v>659</v>
      </c>
      <c r="C4906" t="s">
        <v>50</v>
      </c>
      <c r="D4906" s="6">
        <v>45962</v>
      </c>
      <c r="E4906" t="str">
        <f>VLOOKUP(B4906,'PROCV GERENTES BD'!A:B,2,0)</f>
        <v>ADMINISTRAÇÃO</v>
      </c>
      <c r="F4906" s="4" t="str">
        <f t="shared" si="456"/>
        <v>2025-11</v>
      </c>
      <c r="G4906" s="18">
        <f t="shared" si="457"/>
        <v>44</v>
      </c>
      <c r="H4906" t="str">
        <f t="shared" si="458"/>
        <v>ADMINISTRAÇÃO</v>
      </c>
      <c r="I4906" t="str">
        <f t="shared" si="459"/>
        <v>LEFORM PLANEJADOS LTDA ME</v>
      </c>
      <c r="J4906">
        <f t="shared" si="460"/>
        <v>0</v>
      </c>
      <c r="K4906">
        <f t="shared" si="461"/>
        <v>1</v>
      </c>
    </row>
    <row r="4907" spans="1:11" x14ac:dyDescent="0.25">
      <c r="A4907" t="s">
        <v>370</v>
      </c>
      <c r="B4907" t="s">
        <v>114</v>
      </c>
      <c r="C4907" t="s">
        <v>50</v>
      </c>
      <c r="D4907" s="6">
        <v>45962</v>
      </c>
      <c r="E4907" t="str">
        <f>VLOOKUP(B4907,'PROCV GERENTES BD'!A:B,2,0)</f>
        <v>POENATELA</v>
      </c>
      <c r="F4907" s="4" t="str">
        <f t="shared" si="456"/>
        <v>2025-11</v>
      </c>
      <c r="G4907" s="18">
        <f t="shared" si="457"/>
        <v>44</v>
      </c>
      <c r="H4907" t="str">
        <f t="shared" si="458"/>
        <v>POENATELA</v>
      </c>
      <c r="I4907" t="str">
        <f t="shared" si="459"/>
        <v>COOPERATIVA TRANSP AUTON CARGAS PASSAG SERVICOS LO</v>
      </c>
      <c r="J4907">
        <f t="shared" si="460"/>
        <v>0</v>
      </c>
      <c r="K4907">
        <f t="shared" si="461"/>
        <v>1</v>
      </c>
    </row>
    <row r="4908" spans="1:11" x14ac:dyDescent="0.25">
      <c r="A4908" t="s">
        <v>630</v>
      </c>
      <c r="B4908" t="s">
        <v>559</v>
      </c>
      <c r="C4908" t="s">
        <v>50</v>
      </c>
      <c r="D4908" s="6">
        <v>45962</v>
      </c>
      <c r="E4908" t="str">
        <f>VLOOKUP(B4908,'PROCV GERENTES BD'!A:B,2,0)</f>
        <v>ALISSON DE SOUZA LIMA</v>
      </c>
      <c r="F4908" s="4" t="str">
        <f t="shared" si="456"/>
        <v>2025-11</v>
      </c>
      <c r="G4908" s="18">
        <f t="shared" si="457"/>
        <v>44</v>
      </c>
      <c r="H4908" t="str">
        <f t="shared" si="458"/>
        <v>ALISSON DE SOUZA LIMA</v>
      </c>
      <c r="I4908" t="str">
        <f t="shared" si="459"/>
        <v>JRG SOLUCOES INDUSTRIAIS LTDA</v>
      </c>
      <c r="J4908">
        <f t="shared" si="460"/>
        <v>0</v>
      </c>
      <c r="K4908">
        <f t="shared" si="461"/>
        <v>1</v>
      </c>
    </row>
    <row r="4909" spans="1:11" x14ac:dyDescent="0.25">
      <c r="A4909" t="s">
        <v>456</v>
      </c>
      <c r="B4909" t="s">
        <v>213</v>
      </c>
      <c r="C4909" t="s">
        <v>50</v>
      </c>
      <c r="D4909" s="6">
        <v>45962</v>
      </c>
      <c r="E4909" t="str">
        <f>VLOOKUP(B4909,'PROCV GERENTES BD'!A:B,2,0)</f>
        <v>RAFAEL PARISE</v>
      </c>
      <c r="F4909" s="4" t="str">
        <f t="shared" si="456"/>
        <v>2025-11</v>
      </c>
      <c r="G4909" s="18">
        <f t="shared" si="457"/>
        <v>44</v>
      </c>
      <c r="H4909" t="str">
        <f t="shared" si="458"/>
        <v>RAFAEL PARISE</v>
      </c>
      <c r="I4909" t="str">
        <f t="shared" si="459"/>
        <v>ORNELAS RESENDE TORRES TRANSPORTE E LOGISTICA LTDA</v>
      </c>
      <c r="J4909">
        <f t="shared" si="460"/>
        <v>0</v>
      </c>
      <c r="K4909">
        <f t="shared" si="461"/>
        <v>1</v>
      </c>
    </row>
    <row r="4910" spans="1:11" x14ac:dyDescent="0.25">
      <c r="A4910" t="s">
        <v>708</v>
      </c>
      <c r="B4910" t="s">
        <v>570</v>
      </c>
      <c r="C4910" t="s">
        <v>50</v>
      </c>
      <c r="D4910" s="6">
        <v>45962</v>
      </c>
      <c r="E4910" t="str">
        <f>VLOOKUP(B4910,'PROCV GERENTES BD'!A:B,2,0)</f>
        <v>RAFAEL PARISE</v>
      </c>
      <c r="F4910" s="4" t="str">
        <f t="shared" si="456"/>
        <v>2025-11</v>
      </c>
      <c r="G4910" s="18">
        <f t="shared" si="457"/>
        <v>44</v>
      </c>
      <c r="H4910" t="str">
        <f t="shared" si="458"/>
        <v>RAFAEL PARISE</v>
      </c>
      <c r="I4910" t="str">
        <f t="shared" si="459"/>
        <v>NITROTEX INDUSTRIA E COMERCIO TEXTEIS LTDA ME</v>
      </c>
      <c r="J4910">
        <f t="shared" si="460"/>
        <v>0</v>
      </c>
      <c r="K4910">
        <f t="shared" si="461"/>
        <v>1</v>
      </c>
    </row>
    <row r="4911" spans="1:11" x14ac:dyDescent="0.25">
      <c r="A4911" t="s">
        <v>352</v>
      </c>
      <c r="B4911" t="s">
        <v>96</v>
      </c>
      <c r="C4911" t="s">
        <v>66</v>
      </c>
      <c r="D4911" s="6">
        <v>45962</v>
      </c>
      <c r="E4911" t="str">
        <f>VLOOKUP(B4911,'PROCV GERENTES BD'!A:B,2,0)</f>
        <v>POENATELA</v>
      </c>
      <c r="F4911" s="4" t="str">
        <f t="shared" si="456"/>
        <v>2025-11</v>
      </c>
      <c r="G4911" s="18">
        <f t="shared" si="457"/>
        <v>44</v>
      </c>
      <c r="H4911" t="str">
        <f t="shared" si="458"/>
        <v>POENATELA</v>
      </c>
      <c r="I4911" t="str">
        <f t="shared" si="459"/>
        <v>SUPER HARD TECNOLOGIA EM TRATAMENTO DE SUPERFICIES</v>
      </c>
      <c r="J4911">
        <f t="shared" si="460"/>
        <v>1</v>
      </c>
      <c r="K4911">
        <f t="shared" si="461"/>
        <v>0</v>
      </c>
    </row>
    <row r="4912" spans="1:11" x14ac:dyDescent="0.25">
      <c r="A4912" t="s">
        <v>638</v>
      </c>
      <c r="B4912" t="s">
        <v>539</v>
      </c>
      <c r="C4912" t="s">
        <v>66</v>
      </c>
      <c r="D4912" s="6">
        <v>45962</v>
      </c>
      <c r="E4912" t="str">
        <f>VLOOKUP(B4912,'PROCV GERENTES BD'!A:B,2,0)</f>
        <v>JJPH</v>
      </c>
      <c r="F4912" s="4" t="str">
        <f t="shared" si="456"/>
        <v>2025-11</v>
      </c>
      <c r="G4912" s="18">
        <f t="shared" si="457"/>
        <v>44</v>
      </c>
      <c r="H4912" t="str">
        <f t="shared" si="458"/>
        <v>JJPH</v>
      </c>
      <c r="I4912" t="str">
        <f t="shared" si="459"/>
        <v>DIFARMIG LTDA</v>
      </c>
      <c r="J4912">
        <f t="shared" si="460"/>
        <v>1</v>
      </c>
      <c r="K4912">
        <f t="shared" si="461"/>
        <v>0</v>
      </c>
    </row>
    <row r="4913" spans="1:11" x14ac:dyDescent="0.25">
      <c r="A4913" t="s">
        <v>702</v>
      </c>
      <c r="B4913" t="s">
        <v>693</v>
      </c>
      <c r="C4913" t="s">
        <v>50</v>
      </c>
      <c r="D4913" s="6">
        <v>45962</v>
      </c>
      <c r="E4913" t="str">
        <f>VLOOKUP(B4913,'PROCV GERENTES BD'!A:B,2,0)</f>
        <v>PROSPECTAR</v>
      </c>
      <c r="F4913" s="4" t="str">
        <f t="shared" si="456"/>
        <v>2025-11</v>
      </c>
      <c r="G4913" s="18">
        <f t="shared" si="457"/>
        <v>44</v>
      </c>
      <c r="H4913" t="str">
        <f t="shared" si="458"/>
        <v>PROSPECTAR</v>
      </c>
      <c r="I4913" t="str">
        <f t="shared" si="459"/>
        <v>SR LIMA PAPEIS FINOS EM RECUPERACAO JUDICIAL LTDA</v>
      </c>
      <c r="J4913">
        <f t="shared" si="460"/>
        <v>0</v>
      </c>
      <c r="K4913">
        <f t="shared" si="461"/>
        <v>1</v>
      </c>
    </row>
    <row r="4914" spans="1:11" x14ac:dyDescent="0.25">
      <c r="A4914" t="s">
        <v>331</v>
      </c>
      <c r="B4914" t="s">
        <v>144</v>
      </c>
      <c r="C4914" t="s">
        <v>50</v>
      </c>
      <c r="D4914" s="6">
        <v>45962</v>
      </c>
      <c r="E4914" t="str">
        <f>VLOOKUP(B4914,'PROCV GERENTES BD'!A:B,2,0)</f>
        <v>ADMINISTRAÇÃO</v>
      </c>
      <c r="F4914" s="4" t="str">
        <f t="shared" si="456"/>
        <v>2025-11</v>
      </c>
      <c r="G4914" s="18">
        <f t="shared" si="457"/>
        <v>44</v>
      </c>
      <c r="H4914" t="str">
        <f t="shared" si="458"/>
        <v>ADMINISTRAÇÃO</v>
      </c>
      <c r="I4914" t="str">
        <f t="shared" si="459"/>
        <v>BOM PASTOR PAPEIS LTDA EM RECUPERACAO JUDICIAL</v>
      </c>
      <c r="J4914">
        <f t="shared" si="460"/>
        <v>0</v>
      </c>
      <c r="K4914">
        <f t="shared" si="461"/>
        <v>1</v>
      </c>
    </row>
    <row r="4915" spans="1:11" x14ac:dyDescent="0.25">
      <c r="A4915" t="s">
        <v>361</v>
      </c>
      <c r="B4915" t="s">
        <v>106</v>
      </c>
      <c r="C4915" t="s">
        <v>50</v>
      </c>
      <c r="D4915" s="6">
        <v>45962</v>
      </c>
      <c r="E4915" t="str">
        <f>VLOOKUP(B4915,'PROCV GERENTES BD'!A:B,2,0)</f>
        <v>PRISCILA METZ</v>
      </c>
      <c r="F4915" s="4" t="str">
        <f t="shared" si="456"/>
        <v>2025-11</v>
      </c>
      <c r="G4915" s="18">
        <f t="shared" si="457"/>
        <v>44</v>
      </c>
      <c r="H4915" t="str">
        <f t="shared" si="458"/>
        <v>PRISCILA METZ</v>
      </c>
      <c r="I4915" t="str">
        <f t="shared" si="459"/>
        <v>HERBAMED LABORATORIO NUTRACEUTICO LTDA</v>
      </c>
      <c r="J4915">
        <f t="shared" si="460"/>
        <v>0</v>
      </c>
      <c r="K4915">
        <f t="shared" si="461"/>
        <v>1</v>
      </c>
    </row>
    <row r="4916" spans="1:11" x14ac:dyDescent="0.25">
      <c r="A4916" t="s">
        <v>668</v>
      </c>
      <c r="B4916" t="s">
        <v>669</v>
      </c>
      <c r="C4916" t="s">
        <v>66</v>
      </c>
      <c r="D4916" s="6">
        <v>45962</v>
      </c>
      <c r="E4916" t="str">
        <f>VLOOKUP(B4916,'PROCV GERENTES BD'!A:B,2,0)</f>
        <v>ADMINISTRAÇÃO</v>
      </c>
      <c r="F4916" s="4" t="str">
        <f t="shared" si="456"/>
        <v>2025-11</v>
      </c>
      <c r="G4916" s="18">
        <f t="shared" si="457"/>
        <v>44</v>
      </c>
      <c r="H4916" t="str">
        <f t="shared" si="458"/>
        <v>ADMINISTRAÇÃO</v>
      </c>
      <c r="I4916" t="str">
        <f t="shared" si="459"/>
        <v>SUPER BULL IMPORTACAO E COMERCIO DE EQUIPAMENTOS L</v>
      </c>
      <c r="J4916">
        <f t="shared" si="460"/>
        <v>1</v>
      </c>
      <c r="K4916">
        <f t="shared" si="461"/>
        <v>0</v>
      </c>
    </row>
    <row r="4917" spans="1:11" x14ac:dyDescent="0.25">
      <c r="A4917" t="s">
        <v>698</v>
      </c>
      <c r="B4917" t="s">
        <v>699</v>
      </c>
      <c r="C4917" t="s">
        <v>50</v>
      </c>
      <c r="D4917" s="6">
        <v>45962</v>
      </c>
      <c r="E4917" t="str">
        <f>VLOOKUP(B4917,'PROCV GERENTES BD'!A:B,2,0)</f>
        <v>VALERIA</v>
      </c>
      <c r="F4917" s="4" t="str">
        <f t="shared" si="456"/>
        <v>2025-11</v>
      </c>
      <c r="G4917" s="18">
        <f t="shared" si="457"/>
        <v>44</v>
      </c>
      <c r="H4917" t="str">
        <f t="shared" si="458"/>
        <v>VALERIA</v>
      </c>
      <c r="I4917" t="str">
        <f t="shared" si="459"/>
        <v>FRIGORIFICO BRAZFRIG INDUSTRIA E IMPORTACAO LTDA E</v>
      </c>
      <c r="J4917">
        <f t="shared" si="460"/>
        <v>0</v>
      </c>
      <c r="K4917">
        <f t="shared" si="461"/>
        <v>1</v>
      </c>
    </row>
    <row r="4918" spans="1:11" x14ac:dyDescent="0.25">
      <c r="A4918" t="s">
        <v>397</v>
      </c>
      <c r="B4918" t="s">
        <v>147</v>
      </c>
      <c r="C4918" t="s">
        <v>50</v>
      </c>
      <c r="D4918" s="6">
        <v>45962</v>
      </c>
      <c r="E4918" t="str">
        <f>VLOOKUP(B4918,'PROCV GERENTES BD'!A:B,2,0)</f>
        <v xml:space="preserve">MARCUS VINICIUS </v>
      </c>
      <c r="F4918" s="4" t="str">
        <f t="shared" si="456"/>
        <v>2025-11</v>
      </c>
      <c r="G4918" s="18">
        <f t="shared" si="457"/>
        <v>44</v>
      </c>
      <c r="H4918" t="str">
        <f t="shared" si="458"/>
        <v xml:space="preserve">MARCUS VINICIUS </v>
      </c>
      <c r="I4918" t="str">
        <f t="shared" si="459"/>
        <v>UNIVERSO INOX INDUSTRIA E COMERCIO LTDA EPP</v>
      </c>
      <c r="J4918">
        <f t="shared" si="460"/>
        <v>0</v>
      </c>
      <c r="K4918">
        <f t="shared" si="461"/>
        <v>1</v>
      </c>
    </row>
    <row r="4919" spans="1:11" x14ac:dyDescent="0.25">
      <c r="A4919" t="s">
        <v>311</v>
      </c>
      <c r="B4919" t="s">
        <v>81</v>
      </c>
      <c r="C4919" t="s">
        <v>50</v>
      </c>
      <c r="D4919" s="6">
        <v>45962</v>
      </c>
      <c r="E4919" t="str">
        <f>VLOOKUP(B4919,'PROCV GERENTES BD'!A:B,2,0)</f>
        <v>CELIO PIMENTA</v>
      </c>
      <c r="F4919" s="4" t="str">
        <f t="shared" si="456"/>
        <v>2025-11</v>
      </c>
      <c r="G4919" s="18">
        <f t="shared" si="457"/>
        <v>44</v>
      </c>
      <c r="H4919" t="str">
        <f t="shared" si="458"/>
        <v>CELIO PIMENTA</v>
      </c>
      <c r="I4919" t="str">
        <f t="shared" si="459"/>
        <v>MBIOLOG DIAGNOSTICOS LTDA</v>
      </c>
      <c r="J4919">
        <f t="shared" si="460"/>
        <v>0</v>
      </c>
      <c r="K4919">
        <f t="shared" si="461"/>
        <v>1</v>
      </c>
    </row>
    <row r="4920" spans="1:11" x14ac:dyDescent="0.25">
      <c r="A4920" t="s">
        <v>62</v>
      </c>
      <c r="B4920" t="s">
        <v>63</v>
      </c>
      <c r="C4920" t="s">
        <v>66</v>
      </c>
      <c r="D4920" s="6">
        <v>45962</v>
      </c>
      <c r="E4920" t="str">
        <f>VLOOKUP(B4920,'PROCV GERENTES BD'!A:B,2,0)</f>
        <v>PROSPECTAR</v>
      </c>
      <c r="F4920" s="4" t="str">
        <f t="shared" si="456"/>
        <v>2025-11</v>
      </c>
      <c r="G4920" s="18">
        <f t="shared" si="457"/>
        <v>44</v>
      </c>
      <c r="H4920" t="str">
        <f t="shared" si="458"/>
        <v>PROSPECTAR</v>
      </c>
      <c r="I4920" t="str">
        <f t="shared" si="459"/>
        <v>MAPP COM IMPORTACAO EXPORTACAO IND PRODUTOS ALIMEN</v>
      </c>
      <c r="J4920">
        <f t="shared" si="460"/>
        <v>1</v>
      </c>
      <c r="K4920">
        <f t="shared" si="461"/>
        <v>0</v>
      </c>
    </row>
    <row r="4921" spans="1:11" x14ac:dyDescent="0.25">
      <c r="A4921" t="s">
        <v>510</v>
      </c>
      <c r="B4921" t="s">
        <v>273</v>
      </c>
      <c r="C4921" t="s">
        <v>50</v>
      </c>
      <c r="D4921" s="6">
        <v>45962</v>
      </c>
      <c r="E4921" t="str">
        <f>VLOOKUP(B4921,'PROCV GERENTES BD'!A:B,2,0)</f>
        <v>CELIO PIMENTA</v>
      </c>
      <c r="F4921" s="4" t="str">
        <f t="shared" si="456"/>
        <v>2025-11</v>
      </c>
      <c r="G4921" s="18">
        <f t="shared" si="457"/>
        <v>44</v>
      </c>
      <c r="H4921" t="str">
        <f t="shared" si="458"/>
        <v>CELIO PIMENTA</v>
      </c>
      <c r="I4921" t="str">
        <f t="shared" si="459"/>
        <v>PRADO MOREIRA TEXTIL LTDA ME</v>
      </c>
      <c r="J4921">
        <f t="shared" si="460"/>
        <v>0</v>
      </c>
      <c r="K4921">
        <f t="shared" si="461"/>
        <v>1</v>
      </c>
    </row>
    <row r="4922" spans="1:11" x14ac:dyDescent="0.25">
      <c r="A4922" t="s">
        <v>311</v>
      </c>
      <c r="B4922" t="s">
        <v>81</v>
      </c>
      <c r="C4922" t="s">
        <v>66</v>
      </c>
      <c r="D4922" s="6">
        <v>45965</v>
      </c>
      <c r="E4922" t="str">
        <f>VLOOKUP(B4922,'PROCV GERENTES BD'!A:B,2,0)</f>
        <v>CELIO PIMENTA</v>
      </c>
      <c r="F4922" s="4" t="str">
        <f t="shared" si="456"/>
        <v>2025-11</v>
      </c>
      <c r="G4922" s="18">
        <f t="shared" si="457"/>
        <v>45</v>
      </c>
      <c r="H4922" t="str">
        <f t="shared" si="458"/>
        <v>CELIO PIMENTA</v>
      </c>
      <c r="I4922" t="str">
        <f t="shared" si="459"/>
        <v>MBIOLOG DIAGNOSTICOS LTDA</v>
      </c>
      <c r="J4922">
        <f t="shared" si="460"/>
        <v>1</v>
      </c>
      <c r="K4922">
        <f t="shared" si="461"/>
        <v>0</v>
      </c>
    </row>
    <row r="4923" spans="1:11" x14ac:dyDescent="0.25">
      <c r="A4923" t="s">
        <v>508</v>
      </c>
      <c r="B4923" t="s">
        <v>271</v>
      </c>
      <c r="C4923" t="s">
        <v>53</v>
      </c>
      <c r="D4923" s="6">
        <v>45965</v>
      </c>
      <c r="E4923" t="str">
        <f>VLOOKUP(B4923,'PROCV GERENTES BD'!A:B,2,0)</f>
        <v>PRISCILA METZ</v>
      </c>
      <c r="F4923" s="4" t="str">
        <f t="shared" si="456"/>
        <v>2025-11</v>
      </c>
      <c r="G4923" s="18">
        <f t="shared" si="457"/>
        <v>45</v>
      </c>
      <c r="H4923" t="str">
        <f t="shared" si="458"/>
        <v>PRISCILA METZ</v>
      </c>
      <c r="I4923" t="str">
        <f t="shared" si="459"/>
        <v>TUBOLARES VITORIA INDUSTRIA E COMERCIO LTDA ME</v>
      </c>
      <c r="J4923">
        <f t="shared" si="460"/>
        <v>1</v>
      </c>
      <c r="K4923">
        <f t="shared" si="461"/>
        <v>1</v>
      </c>
    </row>
    <row r="4924" spans="1:11" x14ac:dyDescent="0.25">
      <c r="A4924" t="s">
        <v>667</v>
      </c>
      <c r="B4924" t="s">
        <v>560</v>
      </c>
      <c r="C4924" t="s">
        <v>66</v>
      </c>
      <c r="D4924" s="6">
        <v>45965</v>
      </c>
      <c r="E4924" t="str">
        <f>VLOOKUP(B4924,'PROCV GERENTES BD'!A:B,2,0)</f>
        <v>ALISSON DE SOUZA LIMA</v>
      </c>
      <c r="F4924" s="4" t="str">
        <f t="shared" si="456"/>
        <v>2025-11</v>
      </c>
      <c r="G4924" s="18">
        <f t="shared" si="457"/>
        <v>45</v>
      </c>
      <c r="H4924" t="str">
        <f t="shared" si="458"/>
        <v>ALISSON DE SOUZA LIMA</v>
      </c>
      <c r="I4924" t="str">
        <f t="shared" si="459"/>
        <v>JRG SOLUCOES EM SERVICOS LTDA ME</v>
      </c>
      <c r="J4924">
        <f t="shared" si="460"/>
        <v>1</v>
      </c>
      <c r="K4924">
        <f t="shared" si="461"/>
        <v>0</v>
      </c>
    </row>
    <row r="4925" spans="1:11" x14ac:dyDescent="0.25">
      <c r="A4925" t="s">
        <v>314</v>
      </c>
      <c r="B4925" t="s">
        <v>246</v>
      </c>
      <c r="C4925" t="s">
        <v>50</v>
      </c>
      <c r="D4925" s="6">
        <v>45965</v>
      </c>
      <c r="E4925" t="str">
        <f>VLOOKUP(B4925,'PROCV GERENTES BD'!A:B,2,0)</f>
        <v xml:space="preserve">ROGERIO </v>
      </c>
      <c r="F4925" s="4" t="str">
        <f t="shared" si="456"/>
        <v>2025-11</v>
      </c>
      <c r="G4925" s="18">
        <f t="shared" si="457"/>
        <v>45</v>
      </c>
      <c r="H4925" t="str">
        <f t="shared" si="458"/>
        <v xml:space="preserve">ROGERIO </v>
      </c>
      <c r="I4925" t="str">
        <f t="shared" si="459"/>
        <v>MUTCD CENTRO DE DISTRIBUICAO DE IND FABRICANTE DE</v>
      </c>
      <c r="J4925">
        <f t="shared" si="460"/>
        <v>0</v>
      </c>
      <c r="K4925">
        <f t="shared" si="461"/>
        <v>1</v>
      </c>
    </row>
    <row r="4926" spans="1:11" x14ac:dyDescent="0.25">
      <c r="A4926" t="s">
        <v>655</v>
      </c>
      <c r="B4926" t="s">
        <v>548</v>
      </c>
      <c r="C4926" t="s">
        <v>50</v>
      </c>
      <c r="D4926" s="6">
        <v>45965</v>
      </c>
      <c r="E4926" t="str">
        <f>VLOOKUP(B4926,'PROCV GERENTES BD'!A:B,2,0)</f>
        <v xml:space="preserve">ROGERIO </v>
      </c>
      <c r="F4926" s="4" t="str">
        <f t="shared" si="456"/>
        <v>2025-11</v>
      </c>
      <c r="G4926" s="18">
        <f t="shared" si="457"/>
        <v>45</v>
      </c>
      <c r="H4926" t="str">
        <f t="shared" si="458"/>
        <v xml:space="preserve">ROGERIO </v>
      </c>
      <c r="I4926" t="str">
        <f t="shared" si="459"/>
        <v>AGROEP PISCICULTURA LTDA ME</v>
      </c>
      <c r="J4926">
        <f t="shared" si="460"/>
        <v>0</v>
      </c>
      <c r="K4926">
        <f t="shared" si="461"/>
        <v>1</v>
      </c>
    </row>
    <row r="4927" spans="1:11" x14ac:dyDescent="0.25">
      <c r="A4927" t="s">
        <v>630</v>
      </c>
      <c r="B4927" t="s">
        <v>559</v>
      </c>
      <c r="C4927" t="s">
        <v>53</v>
      </c>
      <c r="D4927" s="6">
        <v>45965</v>
      </c>
      <c r="E4927" t="str">
        <f>VLOOKUP(B4927,'PROCV GERENTES BD'!A:B,2,0)</f>
        <v>ALISSON DE SOUZA LIMA</v>
      </c>
      <c r="F4927" s="4" t="str">
        <f t="shared" ref="F4927:F4949" si="462">YEAR(D4927)&amp;"-"&amp;TEXT(MONTH(D4927),"00")</f>
        <v>2025-11</v>
      </c>
      <c r="G4927" s="18">
        <f t="shared" ref="G4927:G4949" si="463">WEEKNUM(D4927)</f>
        <v>45</v>
      </c>
      <c r="H4927" t="str">
        <f t="shared" ref="H4927:H4949" si="464">E4927</f>
        <v>ALISSON DE SOUZA LIMA</v>
      </c>
      <c r="I4927" t="str">
        <f t="shared" ref="I4927:I4949" si="465">B4927</f>
        <v>JRG SOLUCOES INDUSTRIAIS LTDA</v>
      </c>
      <c r="J4927">
        <f t="shared" ref="J4927:J4949" si="466">IF(OR(C4927="EXCLUSAO  ANOT.INADIMPLENCIA",C4927="INCL/EXCL ANOT.INADIMPLENCIA"),1,0)</f>
        <v>1</v>
      </c>
      <c r="K4927">
        <f t="shared" ref="K4927:K4949" si="467">IF(OR(C4927="INCLUSAO  ANOT.INADIMPLENCIA",C4927="INCL/EXCL ANOT.INADIMPLENCIA"),1,0)</f>
        <v>1</v>
      </c>
    </row>
    <row r="4928" spans="1:11" x14ac:dyDescent="0.25">
      <c r="A4928" t="s">
        <v>505</v>
      </c>
      <c r="B4928" t="s">
        <v>267</v>
      </c>
      <c r="C4928" t="s">
        <v>66</v>
      </c>
      <c r="D4928" s="6">
        <v>45965</v>
      </c>
      <c r="E4928" t="str">
        <f>VLOOKUP(B4928,'PROCV GERENTES BD'!A:B,2,0)</f>
        <v>PRISCILA METZ</v>
      </c>
      <c r="F4928" s="4" t="str">
        <f t="shared" si="462"/>
        <v>2025-11</v>
      </c>
      <c r="G4928" s="18">
        <f t="shared" si="463"/>
        <v>45</v>
      </c>
      <c r="H4928" t="str">
        <f t="shared" si="464"/>
        <v>PRISCILA METZ</v>
      </c>
      <c r="I4928" t="str">
        <f t="shared" si="465"/>
        <v>REAL DISTRIBUIDORA DE PRODUTOS PARA MARMORARIA LTD</v>
      </c>
      <c r="J4928">
        <f t="shared" si="466"/>
        <v>1</v>
      </c>
      <c r="K4928">
        <f t="shared" si="467"/>
        <v>0</v>
      </c>
    </row>
    <row r="4929" spans="1:11" x14ac:dyDescent="0.25">
      <c r="A4929" t="s">
        <v>651</v>
      </c>
      <c r="B4929" t="s">
        <v>652</v>
      </c>
      <c r="C4929" t="s">
        <v>50</v>
      </c>
      <c r="D4929" s="6">
        <v>45965</v>
      </c>
      <c r="E4929" t="str">
        <f>VLOOKUP(B4929,'PROCV GERENTES BD'!A:B,2,0)</f>
        <v>PROSPECTAR</v>
      </c>
      <c r="F4929" s="4" t="str">
        <f t="shared" si="462"/>
        <v>2025-11</v>
      </c>
      <c r="G4929" s="18">
        <f t="shared" si="463"/>
        <v>45</v>
      </c>
      <c r="H4929" t="str">
        <f t="shared" si="464"/>
        <v>PROSPECTAR</v>
      </c>
      <c r="I4929" t="str">
        <f t="shared" si="465"/>
        <v>C A M DIAS SOARES LTDA EPP</v>
      </c>
      <c r="J4929">
        <f t="shared" si="466"/>
        <v>0</v>
      </c>
      <c r="K4929">
        <f t="shared" si="467"/>
        <v>1</v>
      </c>
    </row>
    <row r="4930" spans="1:11" x14ac:dyDescent="0.25">
      <c r="A4930" t="s">
        <v>716</v>
      </c>
      <c r="B4930" t="s">
        <v>717</v>
      </c>
      <c r="C4930" t="s">
        <v>66</v>
      </c>
      <c r="D4930" s="6">
        <v>45965</v>
      </c>
      <c r="E4930" t="str">
        <f>VLOOKUP(B4930,'PROCV GERENTES BD'!A:B,2,0)</f>
        <v xml:space="preserve">ROGERIO </v>
      </c>
      <c r="F4930" s="4" t="str">
        <f t="shared" si="462"/>
        <v>2025-11</v>
      </c>
      <c r="G4930" s="18">
        <f t="shared" si="463"/>
        <v>45</v>
      </c>
      <c r="H4930" t="str">
        <f t="shared" si="464"/>
        <v xml:space="preserve">ROGERIO </v>
      </c>
      <c r="I4930" t="str">
        <f t="shared" si="465"/>
        <v>CONFIARE TERCERIZACAO LTDA EPP</v>
      </c>
      <c r="J4930">
        <f t="shared" si="466"/>
        <v>1</v>
      </c>
      <c r="K4930">
        <f t="shared" si="467"/>
        <v>0</v>
      </c>
    </row>
    <row r="4931" spans="1:11" x14ac:dyDescent="0.25">
      <c r="A4931" t="s">
        <v>708</v>
      </c>
      <c r="B4931" t="s">
        <v>570</v>
      </c>
      <c r="C4931" t="s">
        <v>50</v>
      </c>
      <c r="D4931" s="6">
        <v>45965</v>
      </c>
      <c r="E4931" t="str">
        <f>VLOOKUP(B4931,'PROCV GERENTES BD'!A:B,2,0)</f>
        <v>RAFAEL PARISE</v>
      </c>
      <c r="F4931" s="4" t="str">
        <f t="shared" si="462"/>
        <v>2025-11</v>
      </c>
      <c r="G4931" s="18">
        <f t="shared" si="463"/>
        <v>45</v>
      </c>
      <c r="H4931" t="str">
        <f t="shared" si="464"/>
        <v>RAFAEL PARISE</v>
      </c>
      <c r="I4931" t="str">
        <f t="shared" si="465"/>
        <v>NITROTEX INDUSTRIA E COMERCIO TEXTEIS LTDA ME</v>
      </c>
      <c r="J4931">
        <f t="shared" si="466"/>
        <v>0</v>
      </c>
      <c r="K4931">
        <f t="shared" si="467"/>
        <v>1</v>
      </c>
    </row>
    <row r="4932" spans="1:11" x14ac:dyDescent="0.25">
      <c r="A4932" t="s">
        <v>442</v>
      </c>
      <c r="B4932" t="s">
        <v>193</v>
      </c>
      <c r="C4932" t="s">
        <v>50</v>
      </c>
      <c r="D4932" s="6">
        <v>45965</v>
      </c>
      <c r="E4932" t="str">
        <f>VLOOKUP(B4932,'PROCV GERENTES BD'!A:B,2,0)</f>
        <v>CELIO PIMENTA</v>
      </c>
      <c r="F4932" s="4" t="str">
        <f t="shared" si="462"/>
        <v>2025-11</v>
      </c>
      <c r="G4932" s="18">
        <f t="shared" si="463"/>
        <v>45</v>
      </c>
      <c r="H4932" t="str">
        <f t="shared" si="464"/>
        <v>CELIO PIMENTA</v>
      </c>
      <c r="I4932" t="str">
        <f t="shared" si="465"/>
        <v>CIA TEXTIL LTDA ME</v>
      </c>
      <c r="J4932">
        <f t="shared" si="466"/>
        <v>0</v>
      </c>
      <c r="K4932">
        <f t="shared" si="467"/>
        <v>1</v>
      </c>
    </row>
    <row r="4933" spans="1:11" x14ac:dyDescent="0.25">
      <c r="A4933" t="s">
        <v>64</v>
      </c>
      <c r="B4933" t="s">
        <v>65</v>
      </c>
      <c r="C4933" t="s">
        <v>50</v>
      </c>
      <c r="D4933" s="6">
        <v>45965</v>
      </c>
      <c r="E4933" t="str">
        <f>VLOOKUP(B4933,'PROCV GERENTES BD'!A:B,2,0)</f>
        <v>ADMINISTRAÇÃO</v>
      </c>
      <c r="F4933" s="4" t="str">
        <f t="shared" si="462"/>
        <v>2025-11</v>
      </c>
      <c r="G4933" s="18">
        <f t="shared" si="463"/>
        <v>45</v>
      </c>
      <c r="H4933" t="str">
        <f t="shared" si="464"/>
        <v>ADMINISTRAÇÃO</v>
      </c>
      <c r="I4933" t="str">
        <f t="shared" si="465"/>
        <v>SOCIAL S/A</v>
      </c>
      <c r="J4933">
        <f t="shared" si="466"/>
        <v>0</v>
      </c>
      <c r="K4933">
        <f t="shared" si="467"/>
        <v>1</v>
      </c>
    </row>
    <row r="4934" spans="1:11" x14ac:dyDescent="0.25">
      <c r="A4934" t="s">
        <v>62</v>
      </c>
      <c r="B4934" t="s">
        <v>63</v>
      </c>
      <c r="C4934" t="s">
        <v>53</v>
      </c>
      <c r="D4934" s="6">
        <v>45965</v>
      </c>
      <c r="E4934" t="str">
        <f>VLOOKUP(B4934,'PROCV GERENTES BD'!A:B,2,0)</f>
        <v>PROSPECTAR</v>
      </c>
      <c r="F4934" s="4" t="str">
        <f t="shared" si="462"/>
        <v>2025-11</v>
      </c>
      <c r="G4934" s="18">
        <f t="shared" si="463"/>
        <v>45</v>
      </c>
      <c r="H4934" t="str">
        <f t="shared" si="464"/>
        <v>PROSPECTAR</v>
      </c>
      <c r="I4934" t="str">
        <f t="shared" si="465"/>
        <v>MAPP COM IMPORTACAO EXPORTACAO IND PRODUTOS ALIMEN</v>
      </c>
      <c r="J4934">
        <f t="shared" si="466"/>
        <v>1</v>
      </c>
      <c r="K4934">
        <f t="shared" si="467"/>
        <v>1</v>
      </c>
    </row>
    <row r="4935" spans="1:11" x14ac:dyDescent="0.25">
      <c r="A4935" t="s">
        <v>499</v>
      </c>
      <c r="B4935" t="s">
        <v>258</v>
      </c>
      <c r="C4935" t="s">
        <v>50</v>
      </c>
      <c r="D4935" s="6">
        <v>45965</v>
      </c>
      <c r="E4935" t="str">
        <f>VLOOKUP(B4935,'PROCV GERENTES BD'!A:B,2,0)</f>
        <v>PRISCILA METZ</v>
      </c>
      <c r="F4935" s="4" t="str">
        <f t="shared" si="462"/>
        <v>2025-11</v>
      </c>
      <c r="G4935" s="18">
        <f t="shared" si="463"/>
        <v>45</v>
      </c>
      <c r="H4935" t="str">
        <f t="shared" si="464"/>
        <v>PRISCILA METZ</v>
      </c>
      <c r="I4935" t="str">
        <f t="shared" si="465"/>
        <v>PLATINUM INDUSTRIA DE CONFECCOES LTDA</v>
      </c>
      <c r="J4935">
        <f t="shared" si="466"/>
        <v>0</v>
      </c>
      <c r="K4935">
        <f t="shared" si="467"/>
        <v>1</v>
      </c>
    </row>
    <row r="4936" spans="1:11" x14ac:dyDescent="0.25">
      <c r="A4936" t="s">
        <v>317</v>
      </c>
      <c r="B4936" t="s">
        <v>280</v>
      </c>
      <c r="C4936" t="s">
        <v>50</v>
      </c>
      <c r="D4936" s="6">
        <v>45965</v>
      </c>
      <c r="E4936" t="str">
        <f>VLOOKUP(B4936,'PROCV GERENTES BD'!A:B,2,0)</f>
        <v>PROSPECTAR</v>
      </c>
      <c r="F4936" s="4" t="str">
        <f t="shared" si="462"/>
        <v>2025-11</v>
      </c>
      <c r="G4936" s="18">
        <f t="shared" si="463"/>
        <v>45</v>
      </c>
      <c r="H4936" t="str">
        <f t="shared" si="464"/>
        <v>PROSPECTAR</v>
      </c>
      <c r="I4936" t="str">
        <f t="shared" si="465"/>
        <v>STA TECHCANA LTDA</v>
      </c>
      <c r="J4936">
        <f t="shared" si="466"/>
        <v>0</v>
      </c>
      <c r="K4936">
        <f t="shared" si="467"/>
        <v>1</v>
      </c>
    </row>
    <row r="4937" spans="1:11" x14ac:dyDescent="0.25">
      <c r="A4937" t="s">
        <v>718</v>
      </c>
      <c r="B4937" t="s">
        <v>719</v>
      </c>
      <c r="C4937" t="s">
        <v>53</v>
      </c>
      <c r="D4937" s="6">
        <v>45965</v>
      </c>
      <c r="E4937" t="str">
        <f>VLOOKUP(B4937,'PROCV GERENTES BD'!A:B,2,0)</f>
        <v>CAIO</v>
      </c>
      <c r="F4937" s="4" t="str">
        <f t="shared" si="462"/>
        <v>2025-11</v>
      </c>
      <c r="G4937" s="18">
        <f t="shared" si="463"/>
        <v>45</v>
      </c>
      <c r="H4937" t="str">
        <f t="shared" si="464"/>
        <v>CAIO</v>
      </c>
      <c r="I4937" t="str">
        <f t="shared" si="465"/>
        <v>GEOTHRA GEOLOGIA GEOTECNIA LTDA EPP</v>
      </c>
      <c r="J4937">
        <f t="shared" si="466"/>
        <v>1</v>
      </c>
      <c r="K4937">
        <f t="shared" si="467"/>
        <v>1</v>
      </c>
    </row>
    <row r="4938" spans="1:11" x14ac:dyDescent="0.25">
      <c r="A4938" t="s">
        <v>56</v>
      </c>
      <c r="B4938" t="s">
        <v>57</v>
      </c>
      <c r="C4938" t="s">
        <v>66</v>
      </c>
      <c r="D4938" s="6">
        <v>45965</v>
      </c>
      <c r="E4938" t="str">
        <f>VLOOKUP(B4938,'PROCV GERENTES BD'!A:B,2,0)</f>
        <v xml:space="preserve">ROGERIO </v>
      </c>
      <c r="F4938" s="4" t="str">
        <f t="shared" si="462"/>
        <v>2025-11</v>
      </c>
      <c r="G4938" s="18">
        <f t="shared" si="463"/>
        <v>45</v>
      </c>
      <c r="H4938" t="str">
        <f t="shared" si="464"/>
        <v xml:space="preserve">ROGERIO </v>
      </c>
      <c r="I4938" t="str">
        <f t="shared" si="465"/>
        <v>RODOVIEIRA TRANSPORTE LTDA</v>
      </c>
      <c r="J4938">
        <f t="shared" si="466"/>
        <v>1</v>
      </c>
      <c r="K4938">
        <f t="shared" si="467"/>
        <v>0</v>
      </c>
    </row>
    <row r="4939" spans="1:11" x14ac:dyDescent="0.25">
      <c r="A4939" t="s">
        <v>638</v>
      </c>
      <c r="B4939" t="s">
        <v>539</v>
      </c>
      <c r="C4939" t="s">
        <v>50</v>
      </c>
      <c r="D4939" s="6">
        <v>45965</v>
      </c>
      <c r="E4939" t="str">
        <f>VLOOKUP(B4939,'PROCV GERENTES BD'!A:B,2,0)</f>
        <v>JJPH</v>
      </c>
      <c r="F4939" s="4" t="str">
        <f t="shared" si="462"/>
        <v>2025-11</v>
      </c>
      <c r="G4939" s="18">
        <f t="shared" si="463"/>
        <v>45</v>
      </c>
      <c r="H4939" t="str">
        <f t="shared" si="464"/>
        <v>JJPH</v>
      </c>
      <c r="I4939" t="str">
        <f t="shared" si="465"/>
        <v>DIFARMIG LTDA</v>
      </c>
      <c r="J4939">
        <f t="shared" si="466"/>
        <v>0</v>
      </c>
      <c r="K4939">
        <f t="shared" si="467"/>
        <v>1</v>
      </c>
    </row>
    <row r="4940" spans="1:11" x14ac:dyDescent="0.25">
      <c r="A4940" t="s">
        <v>361</v>
      </c>
      <c r="B4940" t="s">
        <v>106</v>
      </c>
      <c r="C4940" t="s">
        <v>50</v>
      </c>
      <c r="D4940" s="6">
        <v>45965</v>
      </c>
      <c r="E4940" t="str">
        <f>VLOOKUP(B4940,'PROCV GERENTES BD'!A:B,2,0)</f>
        <v>PRISCILA METZ</v>
      </c>
      <c r="F4940" s="4" t="str">
        <f t="shared" si="462"/>
        <v>2025-11</v>
      </c>
      <c r="G4940" s="18">
        <f t="shared" si="463"/>
        <v>45</v>
      </c>
      <c r="H4940" t="str">
        <f t="shared" si="464"/>
        <v>PRISCILA METZ</v>
      </c>
      <c r="I4940" t="str">
        <f t="shared" si="465"/>
        <v>HERBAMED LABORATORIO NUTRACEUTICO LTDA</v>
      </c>
      <c r="J4940">
        <f t="shared" si="466"/>
        <v>0</v>
      </c>
      <c r="K4940">
        <f t="shared" si="467"/>
        <v>1</v>
      </c>
    </row>
    <row r="4941" spans="1:11" x14ac:dyDescent="0.25">
      <c r="A4941" t="s">
        <v>698</v>
      </c>
      <c r="B4941" t="s">
        <v>699</v>
      </c>
      <c r="C4941" t="s">
        <v>50</v>
      </c>
      <c r="D4941" s="6">
        <v>45965</v>
      </c>
      <c r="E4941" t="str">
        <f>VLOOKUP(B4941,'PROCV GERENTES BD'!A:B,2,0)</f>
        <v>VALERIA</v>
      </c>
      <c r="F4941" s="4" t="str">
        <f t="shared" si="462"/>
        <v>2025-11</v>
      </c>
      <c r="G4941" s="18">
        <f t="shared" si="463"/>
        <v>45</v>
      </c>
      <c r="H4941" t="str">
        <f t="shared" si="464"/>
        <v>VALERIA</v>
      </c>
      <c r="I4941" t="str">
        <f t="shared" si="465"/>
        <v>FRIGORIFICO BRAZFRIG INDUSTRIA E IMPORTACAO LTDA E</v>
      </c>
      <c r="J4941">
        <f t="shared" si="466"/>
        <v>0</v>
      </c>
      <c r="K4941">
        <f t="shared" si="467"/>
        <v>1</v>
      </c>
    </row>
    <row r="4942" spans="1:11" x14ac:dyDescent="0.25">
      <c r="A4942" t="s">
        <v>387</v>
      </c>
      <c r="B4942" t="s">
        <v>134</v>
      </c>
      <c r="C4942" t="s">
        <v>50</v>
      </c>
      <c r="D4942" s="6">
        <v>45965</v>
      </c>
      <c r="E4942" t="str">
        <f>VLOOKUP(B4942,'PROCV GERENTES BD'!A:B,2,0)</f>
        <v>RAFAEL PARISE</v>
      </c>
      <c r="F4942" s="4" t="str">
        <f t="shared" si="462"/>
        <v>2025-11</v>
      </c>
      <c r="G4942" s="18">
        <f t="shared" si="463"/>
        <v>45</v>
      </c>
      <c r="H4942" t="str">
        <f t="shared" si="464"/>
        <v>RAFAEL PARISE</v>
      </c>
      <c r="I4942" t="str">
        <f t="shared" si="465"/>
        <v>MAIS DISTRIBUIDORA LTDA</v>
      </c>
      <c r="J4942">
        <f t="shared" si="466"/>
        <v>0</v>
      </c>
      <c r="K4942">
        <f t="shared" si="467"/>
        <v>1</v>
      </c>
    </row>
    <row r="4943" spans="1:11" x14ac:dyDescent="0.25">
      <c r="A4943" t="s">
        <v>720</v>
      </c>
      <c r="B4943" t="s">
        <v>721</v>
      </c>
      <c r="C4943" t="s">
        <v>50</v>
      </c>
      <c r="D4943" s="6">
        <v>45965</v>
      </c>
      <c r="E4943" t="str">
        <f>VLOOKUP(B4943,'PROCV GERENTES BD'!A:B,2,0)</f>
        <v>POENATELA</v>
      </c>
      <c r="F4943" s="4" t="str">
        <f t="shared" si="462"/>
        <v>2025-11</v>
      </c>
      <c r="G4943" s="18">
        <f t="shared" si="463"/>
        <v>45</v>
      </c>
      <c r="H4943" t="str">
        <f t="shared" si="464"/>
        <v>POENATELA</v>
      </c>
      <c r="I4943" t="str">
        <f t="shared" si="465"/>
        <v>FERA DO ACO INDUSTRIA E COMERCIO LTDA EPP</v>
      </c>
      <c r="J4943">
        <f t="shared" si="466"/>
        <v>0</v>
      </c>
      <c r="K4943">
        <f t="shared" si="467"/>
        <v>1</v>
      </c>
    </row>
    <row r="4944" spans="1:11" x14ac:dyDescent="0.25">
      <c r="A4944" t="s">
        <v>525</v>
      </c>
      <c r="B4944" t="s">
        <v>292</v>
      </c>
      <c r="C4944" t="s">
        <v>50</v>
      </c>
      <c r="D4944" s="6">
        <v>45965</v>
      </c>
      <c r="E4944" t="str">
        <f>VLOOKUP(B4944,'PROCV GERENTES BD'!A:B,2,0)</f>
        <v>ALISSON DE SOUZA LIMA</v>
      </c>
      <c r="F4944" s="4" t="str">
        <f t="shared" si="462"/>
        <v>2025-11</v>
      </c>
      <c r="G4944" s="18">
        <f t="shared" si="463"/>
        <v>45</v>
      </c>
      <c r="H4944" t="str">
        <f t="shared" si="464"/>
        <v>ALISSON DE SOUZA LIMA</v>
      </c>
      <c r="I4944" t="str">
        <f t="shared" si="465"/>
        <v>GALLE INDUSTRIA E COMERCIO DE TINTAS E VERNIZES LT</v>
      </c>
      <c r="J4944">
        <f t="shared" si="466"/>
        <v>0</v>
      </c>
      <c r="K4944">
        <f t="shared" si="467"/>
        <v>1</v>
      </c>
    </row>
    <row r="4945" spans="1:11" x14ac:dyDescent="0.25">
      <c r="A4945" t="s">
        <v>51</v>
      </c>
      <c r="B4945" t="s">
        <v>52</v>
      </c>
      <c r="C4945" t="s">
        <v>50</v>
      </c>
      <c r="D4945" s="6">
        <v>45965</v>
      </c>
      <c r="E4945" t="str">
        <f>VLOOKUP(B4945,'PROCV GERENTES BD'!A:B,2,0)</f>
        <v>RAFAEL PARISE</v>
      </c>
      <c r="F4945" s="4" t="str">
        <f t="shared" si="462"/>
        <v>2025-11</v>
      </c>
      <c r="G4945" s="18">
        <f t="shared" si="463"/>
        <v>45</v>
      </c>
      <c r="H4945" t="str">
        <f t="shared" si="464"/>
        <v>RAFAEL PARISE</v>
      </c>
      <c r="I4945" t="str">
        <f t="shared" si="465"/>
        <v>TDR TRANSPORTES LOGISTICA LTDA</v>
      </c>
      <c r="J4945">
        <f t="shared" si="466"/>
        <v>0</v>
      </c>
      <c r="K4945">
        <f t="shared" si="467"/>
        <v>1</v>
      </c>
    </row>
    <row r="4946" spans="1:11" x14ac:dyDescent="0.25">
      <c r="A4946" t="s">
        <v>660</v>
      </c>
      <c r="B4946" t="s">
        <v>545</v>
      </c>
      <c r="C4946" t="s">
        <v>50</v>
      </c>
      <c r="D4946" s="6">
        <v>45965</v>
      </c>
      <c r="E4946" t="str">
        <f>VLOOKUP(B4946,'PROCV GERENTES BD'!A:B,2,0)</f>
        <v xml:space="preserve">ROGERIO </v>
      </c>
      <c r="F4946" s="4" t="str">
        <f t="shared" si="462"/>
        <v>2025-11</v>
      </c>
      <c r="G4946" s="18">
        <f t="shared" si="463"/>
        <v>45</v>
      </c>
      <c r="H4946" t="str">
        <f t="shared" si="464"/>
        <v xml:space="preserve">ROGERIO </v>
      </c>
      <c r="I4946" t="str">
        <f t="shared" si="465"/>
        <v>DISEP ALIMENTOS LTDA ME</v>
      </c>
      <c r="J4946">
        <f t="shared" si="466"/>
        <v>0</v>
      </c>
      <c r="K4946">
        <f t="shared" si="467"/>
        <v>1</v>
      </c>
    </row>
    <row r="4947" spans="1:11" x14ac:dyDescent="0.25">
      <c r="A4947" t="s">
        <v>415</v>
      </c>
      <c r="B4947" t="s">
        <v>165</v>
      </c>
      <c r="C4947" t="s">
        <v>50</v>
      </c>
      <c r="D4947" s="6">
        <v>45965</v>
      </c>
      <c r="E4947" t="str">
        <f>VLOOKUP(B4947,'PROCV GERENTES BD'!A:B,2,0)</f>
        <v>PROSPECTAR</v>
      </c>
      <c r="F4947" s="4" t="str">
        <f t="shared" si="462"/>
        <v>2025-11</v>
      </c>
      <c r="G4947" s="18">
        <f t="shared" si="463"/>
        <v>45</v>
      </c>
      <c r="H4947" t="str">
        <f t="shared" si="464"/>
        <v>PROSPECTAR</v>
      </c>
      <c r="I4947" t="str">
        <f t="shared" si="465"/>
        <v>STA SERVICOS LTDA</v>
      </c>
      <c r="J4947">
        <f t="shared" si="466"/>
        <v>0</v>
      </c>
      <c r="K4947">
        <f t="shared" si="467"/>
        <v>1</v>
      </c>
    </row>
    <row r="4948" spans="1:11" x14ac:dyDescent="0.25">
      <c r="A4948" t="s">
        <v>534</v>
      </c>
      <c r="B4948" t="s">
        <v>303</v>
      </c>
      <c r="C4948" t="s">
        <v>50</v>
      </c>
      <c r="D4948" s="6">
        <v>45965</v>
      </c>
      <c r="E4948" t="str">
        <f>VLOOKUP(B4948,'PROCV GERENTES BD'!A:B,2,0)</f>
        <v xml:space="preserve">MARCUS VINICIUS </v>
      </c>
      <c r="F4948" s="4" t="str">
        <f t="shared" si="462"/>
        <v>2025-11</v>
      </c>
      <c r="G4948" s="18">
        <f t="shared" si="463"/>
        <v>45</v>
      </c>
      <c r="H4948" t="str">
        <f t="shared" si="464"/>
        <v xml:space="preserve">MARCUS VINICIUS </v>
      </c>
      <c r="I4948" t="str">
        <f t="shared" si="465"/>
        <v>GRAFICA JSA LTDA EPP</v>
      </c>
      <c r="J4948">
        <f t="shared" si="466"/>
        <v>0</v>
      </c>
      <c r="K4948">
        <f t="shared" si="467"/>
        <v>1</v>
      </c>
    </row>
    <row r="4949" spans="1:11" x14ac:dyDescent="0.25">
      <c r="A4949" t="s">
        <v>510</v>
      </c>
      <c r="B4949" t="s">
        <v>273</v>
      </c>
      <c r="C4949" t="s">
        <v>50</v>
      </c>
      <c r="D4949" s="6">
        <v>45965</v>
      </c>
      <c r="E4949" t="str">
        <f>VLOOKUP(B4949,'PROCV GERENTES BD'!A:B,2,0)</f>
        <v>CELIO PIMENTA</v>
      </c>
      <c r="F4949" s="4" t="str">
        <f t="shared" si="462"/>
        <v>2025-11</v>
      </c>
      <c r="G4949" s="18">
        <f t="shared" si="463"/>
        <v>45</v>
      </c>
      <c r="H4949" t="str">
        <f t="shared" si="464"/>
        <v>CELIO PIMENTA</v>
      </c>
      <c r="I4949" t="str">
        <f t="shared" si="465"/>
        <v>PRADO MOREIRA TEXTIL LTDA ME</v>
      </c>
      <c r="J4949">
        <f t="shared" si="466"/>
        <v>0</v>
      </c>
      <c r="K4949">
        <f t="shared" si="467"/>
        <v>1</v>
      </c>
    </row>
    <row r="4950" spans="1:11" x14ac:dyDescent="0.25">
      <c r="A4950" t="s">
        <v>697</v>
      </c>
      <c r="B4950" t="s">
        <v>695</v>
      </c>
      <c r="C4950" t="s">
        <v>50</v>
      </c>
      <c r="D4950" s="6">
        <v>45966</v>
      </c>
      <c r="E4950" t="str">
        <f>VLOOKUP(B4950,'PROCV GERENTES BD'!A:B,2,0)</f>
        <v>PROSPECTAR</v>
      </c>
      <c r="F4950" s="4" t="str">
        <f t="shared" ref="F4950:F4975" si="468">YEAR(D4950)&amp;"-"&amp;TEXT(MONTH(D4950),"00")</f>
        <v>2025-11</v>
      </c>
      <c r="G4950" s="18">
        <f t="shared" ref="G4950:G4975" si="469">WEEKNUM(D4950)</f>
        <v>45</v>
      </c>
      <c r="H4950" t="str">
        <f t="shared" ref="H4950:H4975" si="470">E4950</f>
        <v>PROSPECTAR</v>
      </c>
      <c r="I4950" t="str">
        <f t="shared" ref="I4950:I4975" si="471">B4950</f>
        <v>GLOBAL PAPEIS EM RECUPERACAO JUDICIAL LTDA</v>
      </c>
      <c r="J4950">
        <f t="shared" ref="J4950:J4975" si="472">IF(OR(C4950="EXCLUSAO  ANOT.INADIMPLENCIA",C4950="INCL/EXCL ANOT.INADIMPLENCIA"),1,0)</f>
        <v>0</v>
      </c>
      <c r="K4950">
        <f t="shared" ref="K4950:K4975" si="473">IF(OR(C4950="INCLUSAO  ANOT.INADIMPLENCIA",C4950="INCL/EXCL ANOT.INADIMPLENCIA"),1,0)</f>
        <v>1</v>
      </c>
    </row>
    <row r="4951" spans="1:11" x14ac:dyDescent="0.25">
      <c r="A4951" t="s">
        <v>534</v>
      </c>
      <c r="B4951" t="s">
        <v>303</v>
      </c>
      <c r="C4951" t="s">
        <v>50</v>
      </c>
      <c r="D4951" s="6">
        <v>45966</v>
      </c>
      <c r="E4951" t="str">
        <f>VLOOKUP(B4951,'PROCV GERENTES BD'!A:B,2,0)</f>
        <v xml:space="preserve">MARCUS VINICIUS </v>
      </c>
      <c r="F4951" s="4" t="str">
        <f t="shared" si="468"/>
        <v>2025-11</v>
      </c>
      <c r="G4951" s="18">
        <f t="shared" si="469"/>
        <v>45</v>
      </c>
      <c r="H4951" t="str">
        <f t="shared" si="470"/>
        <v xml:space="preserve">MARCUS VINICIUS </v>
      </c>
      <c r="I4951" t="str">
        <f t="shared" si="471"/>
        <v>GRAFICA JSA LTDA EPP</v>
      </c>
      <c r="J4951">
        <f t="shared" si="472"/>
        <v>0</v>
      </c>
      <c r="K4951">
        <f t="shared" si="473"/>
        <v>1</v>
      </c>
    </row>
    <row r="4952" spans="1:11" x14ac:dyDescent="0.25">
      <c r="A4952" t="s">
        <v>460</v>
      </c>
      <c r="B4952" t="s">
        <v>217</v>
      </c>
      <c r="C4952" t="s">
        <v>50</v>
      </c>
      <c r="D4952" s="6">
        <v>45966</v>
      </c>
      <c r="E4952" t="str">
        <f>VLOOKUP(B4952,'PROCV GERENTES BD'!A:B,2,0)</f>
        <v>CELIO PIMENTA</v>
      </c>
      <c r="F4952" s="4" t="str">
        <f t="shared" si="468"/>
        <v>2025-11</v>
      </c>
      <c r="G4952" s="18">
        <f t="shared" si="469"/>
        <v>45</v>
      </c>
      <c r="H4952" t="str">
        <f t="shared" si="470"/>
        <v>CELIO PIMENTA</v>
      </c>
      <c r="I4952" t="str">
        <f t="shared" si="471"/>
        <v>MINAS CLEAN DISTRIBUIDORA DE PRODUTOS PARA LIMPEZA</v>
      </c>
      <c r="J4952">
        <f t="shared" si="472"/>
        <v>0</v>
      </c>
      <c r="K4952">
        <f t="shared" si="473"/>
        <v>1</v>
      </c>
    </row>
    <row r="4953" spans="1:11" x14ac:dyDescent="0.25">
      <c r="A4953" t="s">
        <v>508</v>
      </c>
      <c r="B4953" t="s">
        <v>271</v>
      </c>
      <c r="C4953" t="s">
        <v>50</v>
      </c>
      <c r="D4953" s="6">
        <v>45966</v>
      </c>
      <c r="E4953" t="str">
        <f>VLOOKUP(B4953,'PROCV GERENTES BD'!A:B,2,0)</f>
        <v>PRISCILA METZ</v>
      </c>
      <c r="F4953" s="4" t="str">
        <f t="shared" si="468"/>
        <v>2025-11</v>
      </c>
      <c r="G4953" s="18">
        <f t="shared" si="469"/>
        <v>45</v>
      </c>
      <c r="H4953" t="str">
        <f t="shared" si="470"/>
        <v>PRISCILA METZ</v>
      </c>
      <c r="I4953" t="str">
        <f t="shared" si="471"/>
        <v>TUBOLARES VITORIA INDUSTRIA E COMERCIO LTDA ME</v>
      </c>
      <c r="J4953">
        <f t="shared" si="472"/>
        <v>0</v>
      </c>
      <c r="K4953">
        <f t="shared" si="473"/>
        <v>1</v>
      </c>
    </row>
    <row r="4954" spans="1:11" x14ac:dyDescent="0.25">
      <c r="A4954" t="s">
        <v>508</v>
      </c>
      <c r="B4954" t="s">
        <v>271</v>
      </c>
      <c r="C4954" t="s">
        <v>329</v>
      </c>
      <c r="D4954" s="6">
        <v>45966</v>
      </c>
      <c r="E4954" t="str">
        <f>VLOOKUP(B4954,'PROCV GERENTES BD'!A:B,2,0)</f>
        <v>PRISCILA METZ</v>
      </c>
      <c r="F4954" s="4" t="str">
        <f t="shared" si="468"/>
        <v>2025-11</v>
      </c>
      <c r="G4954" s="18">
        <f t="shared" si="469"/>
        <v>45</v>
      </c>
      <c r="H4954" t="str">
        <f t="shared" si="470"/>
        <v>PRISCILA METZ</v>
      </c>
      <c r="I4954" t="str">
        <f t="shared" si="471"/>
        <v>TUBOLARES VITORIA INDUSTRIA E COMERCIO LTDA ME</v>
      </c>
      <c r="J4954">
        <f t="shared" si="472"/>
        <v>0</v>
      </c>
      <c r="K4954">
        <f t="shared" si="473"/>
        <v>0</v>
      </c>
    </row>
    <row r="4955" spans="1:11" x14ac:dyDescent="0.25">
      <c r="A4955" t="s">
        <v>508</v>
      </c>
      <c r="B4955" t="s">
        <v>271</v>
      </c>
      <c r="C4955" t="s">
        <v>327</v>
      </c>
      <c r="D4955" s="6">
        <v>45966</v>
      </c>
      <c r="E4955" t="str">
        <f>VLOOKUP(B4955,'PROCV GERENTES BD'!A:B,2,0)</f>
        <v>PRISCILA METZ</v>
      </c>
      <c r="F4955" s="4" t="str">
        <f t="shared" si="468"/>
        <v>2025-11</v>
      </c>
      <c r="G4955" s="18">
        <f t="shared" si="469"/>
        <v>45</v>
      </c>
      <c r="H4955" t="str">
        <f t="shared" si="470"/>
        <v>PRISCILA METZ</v>
      </c>
      <c r="I4955" t="str">
        <f t="shared" si="471"/>
        <v>TUBOLARES VITORIA INDUSTRIA E COMERCIO LTDA ME</v>
      </c>
      <c r="J4955">
        <f t="shared" si="472"/>
        <v>0</v>
      </c>
      <c r="K4955">
        <f t="shared" si="473"/>
        <v>0</v>
      </c>
    </row>
    <row r="4956" spans="1:11" x14ac:dyDescent="0.25">
      <c r="A4956" t="s">
        <v>488</v>
      </c>
      <c r="B4956" t="s">
        <v>247</v>
      </c>
      <c r="C4956" t="s">
        <v>50</v>
      </c>
      <c r="D4956" s="6">
        <v>45966</v>
      </c>
      <c r="E4956" t="str">
        <f>VLOOKUP(B4956,'PROCV GERENTES BD'!A:B,2,0)</f>
        <v>CELIO PIMENTA</v>
      </c>
      <c r="F4956" s="4" t="str">
        <f t="shared" si="468"/>
        <v>2025-11</v>
      </c>
      <c r="G4956" s="18">
        <f t="shared" si="469"/>
        <v>45</v>
      </c>
      <c r="H4956" t="str">
        <f t="shared" si="470"/>
        <v>CELIO PIMENTA</v>
      </c>
      <c r="I4956" t="str">
        <f t="shared" si="471"/>
        <v>AZ HIDRAULICA USINAGEM LTDA EPP</v>
      </c>
      <c r="J4956">
        <f t="shared" si="472"/>
        <v>0</v>
      </c>
      <c r="K4956">
        <f t="shared" si="473"/>
        <v>1</v>
      </c>
    </row>
    <row r="4957" spans="1:11" x14ac:dyDescent="0.25">
      <c r="A4957" t="s">
        <v>655</v>
      </c>
      <c r="B4957" t="s">
        <v>548</v>
      </c>
      <c r="C4957" t="s">
        <v>50</v>
      </c>
      <c r="D4957" s="6">
        <v>45966</v>
      </c>
      <c r="E4957" t="str">
        <f>VLOOKUP(B4957,'PROCV GERENTES BD'!A:B,2,0)</f>
        <v xml:space="preserve">ROGERIO </v>
      </c>
      <c r="F4957" s="4" t="str">
        <f t="shared" si="468"/>
        <v>2025-11</v>
      </c>
      <c r="G4957" s="18">
        <f t="shared" si="469"/>
        <v>45</v>
      </c>
      <c r="H4957" t="str">
        <f t="shared" si="470"/>
        <v xml:space="preserve">ROGERIO </v>
      </c>
      <c r="I4957" t="str">
        <f t="shared" si="471"/>
        <v>AGROEP PISCICULTURA LTDA ME</v>
      </c>
      <c r="J4957">
        <f t="shared" si="472"/>
        <v>0</v>
      </c>
      <c r="K4957">
        <f t="shared" si="473"/>
        <v>1</v>
      </c>
    </row>
    <row r="4958" spans="1:11" x14ac:dyDescent="0.25">
      <c r="A4958" t="s">
        <v>370</v>
      </c>
      <c r="B4958" t="s">
        <v>114</v>
      </c>
      <c r="C4958" t="s">
        <v>66</v>
      </c>
      <c r="D4958" s="6">
        <v>45966</v>
      </c>
      <c r="E4958" t="str">
        <f>VLOOKUP(B4958,'PROCV GERENTES BD'!A:B,2,0)</f>
        <v>POENATELA</v>
      </c>
      <c r="F4958" s="4" t="str">
        <f t="shared" si="468"/>
        <v>2025-11</v>
      </c>
      <c r="G4958" s="18">
        <f t="shared" si="469"/>
        <v>45</v>
      </c>
      <c r="H4958" t="str">
        <f t="shared" si="470"/>
        <v>POENATELA</v>
      </c>
      <c r="I4958" t="str">
        <f t="shared" si="471"/>
        <v>COOPERATIVA TRANSP AUTON CARGAS PASSAG SERVICOS LO</v>
      </c>
      <c r="J4958">
        <f t="shared" si="472"/>
        <v>1</v>
      </c>
      <c r="K4958">
        <f t="shared" si="473"/>
        <v>0</v>
      </c>
    </row>
    <row r="4959" spans="1:11" x14ac:dyDescent="0.25">
      <c r="A4959" t="s">
        <v>616</v>
      </c>
      <c r="B4959" t="s">
        <v>617</v>
      </c>
      <c r="C4959" t="s">
        <v>50</v>
      </c>
      <c r="D4959" s="6">
        <v>45966</v>
      </c>
      <c r="E4959" t="str">
        <f>VLOOKUP(B4959,'PROCV GERENTES BD'!A:B,2,0)</f>
        <v>PRISCILA METZ</v>
      </c>
      <c r="F4959" s="4" t="str">
        <f t="shared" si="468"/>
        <v>2025-11</v>
      </c>
      <c r="G4959" s="18">
        <f t="shared" si="469"/>
        <v>45</v>
      </c>
      <c r="H4959" t="str">
        <f t="shared" si="470"/>
        <v>PRISCILA METZ</v>
      </c>
      <c r="I4959" t="str">
        <f t="shared" si="471"/>
        <v>DESTAK DISTRIBUIDORA PRODUTOS EQUIPAMENTOS HOSPITA</v>
      </c>
      <c r="J4959">
        <f t="shared" si="472"/>
        <v>0</v>
      </c>
      <c r="K4959">
        <f t="shared" si="473"/>
        <v>1</v>
      </c>
    </row>
    <row r="4960" spans="1:11" x14ac:dyDescent="0.25">
      <c r="A4960" t="s">
        <v>427</v>
      </c>
      <c r="B4960" t="s">
        <v>178</v>
      </c>
      <c r="C4960" t="s">
        <v>50</v>
      </c>
      <c r="D4960" s="6">
        <v>45966</v>
      </c>
      <c r="E4960" t="str">
        <f>VLOOKUP(B4960,'PROCV GERENTES BD'!A:B,2,0)</f>
        <v>ADMINISTRAÇÃO</v>
      </c>
      <c r="F4960" s="4" t="str">
        <f t="shared" si="468"/>
        <v>2025-11</v>
      </c>
      <c r="G4960" s="18">
        <f t="shared" si="469"/>
        <v>45</v>
      </c>
      <c r="H4960" t="str">
        <f t="shared" si="470"/>
        <v>ADMINISTRAÇÃO</v>
      </c>
      <c r="I4960" t="str">
        <f t="shared" si="471"/>
        <v>LIZZENA COSMETICOS LTDA EPP</v>
      </c>
      <c r="J4960">
        <f t="shared" si="472"/>
        <v>0</v>
      </c>
      <c r="K4960">
        <f t="shared" si="473"/>
        <v>1</v>
      </c>
    </row>
    <row r="4961" spans="1:11" x14ac:dyDescent="0.25">
      <c r="A4961" t="s">
        <v>708</v>
      </c>
      <c r="B4961" t="s">
        <v>570</v>
      </c>
      <c r="C4961" t="s">
        <v>50</v>
      </c>
      <c r="D4961" s="6">
        <v>45966</v>
      </c>
      <c r="E4961" t="str">
        <f>VLOOKUP(B4961,'PROCV GERENTES BD'!A:B,2,0)</f>
        <v>RAFAEL PARISE</v>
      </c>
      <c r="F4961" s="4" t="str">
        <f t="shared" si="468"/>
        <v>2025-11</v>
      </c>
      <c r="G4961" s="18">
        <f t="shared" si="469"/>
        <v>45</v>
      </c>
      <c r="H4961" t="str">
        <f t="shared" si="470"/>
        <v>RAFAEL PARISE</v>
      </c>
      <c r="I4961" t="str">
        <f t="shared" si="471"/>
        <v>NITROTEX INDUSTRIA E COMERCIO TEXTEIS LTDA ME</v>
      </c>
      <c r="J4961">
        <f t="shared" si="472"/>
        <v>0</v>
      </c>
      <c r="K4961">
        <f t="shared" si="473"/>
        <v>1</v>
      </c>
    </row>
    <row r="4962" spans="1:11" x14ac:dyDescent="0.25">
      <c r="A4962" t="s">
        <v>64</v>
      </c>
      <c r="B4962" t="s">
        <v>65</v>
      </c>
      <c r="C4962" t="s">
        <v>66</v>
      </c>
      <c r="D4962" s="6">
        <v>45966</v>
      </c>
      <c r="E4962" t="str">
        <f>VLOOKUP(B4962,'PROCV GERENTES BD'!A:B,2,0)</f>
        <v>ADMINISTRAÇÃO</v>
      </c>
      <c r="F4962" s="4" t="str">
        <f t="shared" si="468"/>
        <v>2025-11</v>
      </c>
      <c r="G4962" s="18">
        <f t="shared" si="469"/>
        <v>45</v>
      </c>
      <c r="H4962" t="str">
        <f t="shared" si="470"/>
        <v>ADMINISTRAÇÃO</v>
      </c>
      <c r="I4962" t="str">
        <f t="shared" si="471"/>
        <v>SOCIAL S/A</v>
      </c>
      <c r="J4962">
        <f t="shared" si="472"/>
        <v>1</v>
      </c>
      <c r="K4962">
        <f t="shared" si="473"/>
        <v>0</v>
      </c>
    </row>
    <row r="4963" spans="1:11" x14ac:dyDescent="0.25">
      <c r="A4963" t="s">
        <v>499</v>
      </c>
      <c r="B4963" t="s">
        <v>258</v>
      </c>
      <c r="C4963" t="s">
        <v>50</v>
      </c>
      <c r="D4963" s="6">
        <v>45966</v>
      </c>
      <c r="E4963" t="str">
        <f>VLOOKUP(B4963,'PROCV GERENTES BD'!A:B,2,0)</f>
        <v>PRISCILA METZ</v>
      </c>
      <c r="F4963" s="4" t="str">
        <f t="shared" si="468"/>
        <v>2025-11</v>
      </c>
      <c r="G4963" s="18">
        <f t="shared" si="469"/>
        <v>45</v>
      </c>
      <c r="H4963" t="str">
        <f t="shared" si="470"/>
        <v>PRISCILA METZ</v>
      </c>
      <c r="I4963" t="str">
        <f t="shared" si="471"/>
        <v>PLATINUM INDUSTRIA DE CONFECCOES LTDA</v>
      </c>
      <c r="J4963">
        <f t="shared" si="472"/>
        <v>0</v>
      </c>
      <c r="K4963">
        <f t="shared" si="473"/>
        <v>1</v>
      </c>
    </row>
    <row r="4964" spans="1:11" x14ac:dyDescent="0.25">
      <c r="A4964" t="s">
        <v>632</v>
      </c>
      <c r="B4964" t="s">
        <v>709</v>
      </c>
      <c r="C4964" t="s">
        <v>50</v>
      </c>
      <c r="D4964" s="6">
        <v>45966</v>
      </c>
      <c r="E4964" t="str">
        <f>VLOOKUP(B4964,'PROCV GERENTES BD'!A:B,2,0)</f>
        <v>TIAGO NEVES</v>
      </c>
      <c r="F4964" s="4" t="str">
        <f t="shared" si="468"/>
        <v>2025-11</v>
      </c>
      <c r="G4964" s="18">
        <f t="shared" si="469"/>
        <v>45</v>
      </c>
      <c r="H4964" t="str">
        <f t="shared" si="470"/>
        <v>TIAGO NEVES</v>
      </c>
      <c r="I4964" t="str">
        <f t="shared" si="471"/>
        <v>AUTO VIDROS MG LTDA</v>
      </c>
      <c r="J4964">
        <f t="shared" si="472"/>
        <v>0</v>
      </c>
      <c r="K4964">
        <f t="shared" si="473"/>
        <v>1</v>
      </c>
    </row>
    <row r="4965" spans="1:11" x14ac:dyDescent="0.25">
      <c r="A4965" t="s">
        <v>722</v>
      </c>
      <c r="B4965" t="s">
        <v>723</v>
      </c>
      <c r="C4965" t="s">
        <v>66</v>
      </c>
      <c r="D4965" s="6">
        <v>45966</v>
      </c>
      <c r="E4965" t="str">
        <f>VLOOKUP(B4965,'PROCV GERENTES BD'!A:B,2,0)</f>
        <v>POENATELA</v>
      </c>
      <c r="F4965" s="4" t="str">
        <f t="shared" si="468"/>
        <v>2025-11</v>
      </c>
      <c r="G4965" s="18">
        <f t="shared" si="469"/>
        <v>45</v>
      </c>
      <c r="H4965" t="str">
        <f t="shared" si="470"/>
        <v>POENATELA</v>
      </c>
      <c r="I4965" t="str">
        <f t="shared" si="471"/>
        <v>LIDER MIX CONCRETOS E AGREGADOS LTDA</v>
      </c>
      <c r="J4965">
        <f t="shared" si="472"/>
        <v>1</v>
      </c>
      <c r="K4965">
        <f t="shared" si="473"/>
        <v>0</v>
      </c>
    </row>
    <row r="4966" spans="1:11" x14ac:dyDescent="0.25">
      <c r="A4966" t="s">
        <v>56</v>
      </c>
      <c r="B4966" t="s">
        <v>57</v>
      </c>
      <c r="C4966" t="s">
        <v>50</v>
      </c>
      <c r="D4966" s="6">
        <v>45966</v>
      </c>
      <c r="E4966" t="str">
        <f>VLOOKUP(B4966,'PROCV GERENTES BD'!A:B,2,0)</f>
        <v xml:space="preserve">ROGERIO </v>
      </c>
      <c r="F4966" s="4" t="str">
        <f t="shared" si="468"/>
        <v>2025-11</v>
      </c>
      <c r="G4966" s="18">
        <f t="shared" si="469"/>
        <v>45</v>
      </c>
      <c r="H4966" t="str">
        <f t="shared" si="470"/>
        <v xml:space="preserve">ROGERIO </v>
      </c>
      <c r="I4966" t="str">
        <f t="shared" si="471"/>
        <v>RODOVIEIRA TRANSPORTE LTDA</v>
      </c>
      <c r="J4966">
        <f t="shared" si="472"/>
        <v>0</v>
      </c>
      <c r="K4966">
        <f t="shared" si="473"/>
        <v>1</v>
      </c>
    </row>
    <row r="4967" spans="1:11" x14ac:dyDescent="0.25">
      <c r="A4967" t="s">
        <v>702</v>
      </c>
      <c r="B4967" t="s">
        <v>693</v>
      </c>
      <c r="C4967" t="s">
        <v>50</v>
      </c>
      <c r="D4967" s="6">
        <v>45966</v>
      </c>
      <c r="E4967" t="str">
        <f>VLOOKUP(B4967,'PROCV GERENTES BD'!A:B,2,0)</f>
        <v>PROSPECTAR</v>
      </c>
      <c r="F4967" s="4" t="str">
        <f t="shared" si="468"/>
        <v>2025-11</v>
      </c>
      <c r="G4967" s="18">
        <f t="shared" si="469"/>
        <v>45</v>
      </c>
      <c r="H4967" t="str">
        <f t="shared" si="470"/>
        <v>PROSPECTAR</v>
      </c>
      <c r="I4967" t="str">
        <f t="shared" si="471"/>
        <v>SR LIMA PAPEIS FINOS EM RECUPERACAO JUDICIAL LTDA</v>
      </c>
      <c r="J4967">
        <f t="shared" si="472"/>
        <v>0</v>
      </c>
      <c r="K4967">
        <f t="shared" si="473"/>
        <v>1</v>
      </c>
    </row>
    <row r="4968" spans="1:11" x14ac:dyDescent="0.25">
      <c r="A4968" t="s">
        <v>361</v>
      </c>
      <c r="B4968" t="s">
        <v>106</v>
      </c>
      <c r="C4968" t="s">
        <v>50</v>
      </c>
      <c r="D4968" s="6">
        <v>45966</v>
      </c>
      <c r="E4968" t="str">
        <f>VLOOKUP(B4968,'PROCV GERENTES BD'!A:B,2,0)</f>
        <v>PRISCILA METZ</v>
      </c>
      <c r="F4968" s="4" t="str">
        <f t="shared" si="468"/>
        <v>2025-11</v>
      </c>
      <c r="G4968" s="18">
        <f t="shared" si="469"/>
        <v>45</v>
      </c>
      <c r="H4968" t="str">
        <f t="shared" si="470"/>
        <v>PRISCILA METZ</v>
      </c>
      <c r="I4968" t="str">
        <f t="shared" si="471"/>
        <v>HERBAMED LABORATORIO NUTRACEUTICO LTDA</v>
      </c>
      <c r="J4968">
        <f t="shared" si="472"/>
        <v>0</v>
      </c>
      <c r="K4968">
        <f t="shared" si="473"/>
        <v>1</v>
      </c>
    </row>
    <row r="4969" spans="1:11" x14ac:dyDescent="0.25">
      <c r="A4969" t="s">
        <v>387</v>
      </c>
      <c r="B4969" t="s">
        <v>134</v>
      </c>
      <c r="C4969" t="s">
        <v>50</v>
      </c>
      <c r="D4969" s="6">
        <v>45966</v>
      </c>
      <c r="E4969" t="str">
        <f>VLOOKUP(B4969,'PROCV GERENTES BD'!A:B,2,0)</f>
        <v>RAFAEL PARISE</v>
      </c>
      <c r="F4969" s="4" t="str">
        <f t="shared" si="468"/>
        <v>2025-11</v>
      </c>
      <c r="G4969" s="18">
        <f t="shared" si="469"/>
        <v>45</v>
      </c>
      <c r="H4969" t="str">
        <f t="shared" si="470"/>
        <v>RAFAEL PARISE</v>
      </c>
      <c r="I4969" t="str">
        <f t="shared" si="471"/>
        <v>MAIS DISTRIBUIDORA LTDA</v>
      </c>
      <c r="J4969">
        <f t="shared" si="472"/>
        <v>0</v>
      </c>
      <c r="K4969">
        <f t="shared" si="473"/>
        <v>1</v>
      </c>
    </row>
    <row r="4970" spans="1:11" x14ac:dyDescent="0.25">
      <c r="A4970" t="s">
        <v>660</v>
      </c>
      <c r="B4970" t="s">
        <v>545</v>
      </c>
      <c r="C4970" t="s">
        <v>50</v>
      </c>
      <c r="D4970" s="6">
        <v>45966</v>
      </c>
      <c r="E4970" t="str">
        <f>VLOOKUP(B4970,'PROCV GERENTES BD'!A:B,2,0)</f>
        <v xml:space="preserve">ROGERIO </v>
      </c>
      <c r="F4970" s="4" t="str">
        <f t="shared" si="468"/>
        <v>2025-11</v>
      </c>
      <c r="G4970" s="18">
        <f t="shared" si="469"/>
        <v>45</v>
      </c>
      <c r="H4970" t="str">
        <f t="shared" si="470"/>
        <v xml:space="preserve">ROGERIO </v>
      </c>
      <c r="I4970" t="str">
        <f t="shared" si="471"/>
        <v>DISEP ALIMENTOS LTDA ME</v>
      </c>
      <c r="J4970">
        <f t="shared" si="472"/>
        <v>0</v>
      </c>
      <c r="K4970">
        <f t="shared" si="473"/>
        <v>1</v>
      </c>
    </row>
    <row r="4971" spans="1:11" x14ac:dyDescent="0.25">
      <c r="A4971" t="s">
        <v>415</v>
      </c>
      <c r="B4971" t="s">
        <v>165</v>
      </c>
      <c r="C4971" t="s">
        <v>50</v>
      </c>
      <c r="D4971" s="6">
        <v>45966</v>
      </c>
      <c r="E4971" t="str">
        <f>VLOOKUP(B4971,'PROCV GERENTES BD'!A:B,2,0)</f>
        <v>PROSPECTAR</v>
      </c>
      <c r="F4971" s="4" t="str">
        <f t="shared" si="468"/>
        <v>2025-11</v>
      </c>
      <c r="G4971" s="18">
        <f t="shared" si="469"/>
        <v>45</v>
      </c>
      <c r="H4971" t="str">
        <f t="shared" si="470"/>
        <v>PROSPECTAR</v>
      </c>
      <c r="I4971" t="str">
        <f t="shared" si="471"/>
        <v>STA SERVICOS LTDA</v>
      </c>
      <c r="J4971">
        <f t="shared" si="472"/>
        <v>0</v>
      </c>
      <c r="K4971">
        <f t="shared" si="473"/>
        <v>1</v>
      </c>
    </row>
    <row r="4972" spans="1:11" x14ac:dyDescent="0.25">
      <c r="A4972" t="s">
        <v>304</v>
      </c>
      <c r="B4972" t="s">
        <v>689</v>
      </c>
      <c r="C4972" t="s">
        <v>66</v>
      </c>
      <c r="D4972" s="6">
        <v>45966</v>
      </c>
      <c r="E4972" t="str">
        <f>VLOOKUP(B4972,'PROCV GERENTES BD'!A:B,2,0)</f>
        <v>ADMINISTRAÇÃO</v>
      </c>
      <c r="F4972" s="4" t="str">
        <f t="shared" si="468"/>
        <v>2025-11</v>
      </c>
      <c r="G4972" s="18">
        <f t="shared" si="469"/>
        <v>45</v>
      </c>
      <c r="H4972" t="str">
        <f t="shared" si="470"/>
        <v>ADMINISTRAÇÃO</v>
      </c>
      <c r="I4972" t="str">
        <f t="shared" si="471"/>
        <v>VIC LOGISTICA LTDA</v>
      </c>
      <c r="J4972">
        <f t="shared" si="472"/>
        <v>1</v>
      </c>
      <c r="K4972">
        <f t="shared" si="473"/>
        <v>0</v>
      </c>
    </row>
    <row r="4973" spans="1:11" x14ac:dyDescent="0.25">
      <c r="A4973" t="s">
        <v>368</v>
      </c>
      <c r="B4973" t="s">
        <v>111</v>
      </c>
      <c r="C4973" t="s">
        <v>50</v>
      </c>
      <c r="D4973" s="6">
        <v>45966</v>
      </c>
      <c r="E4973" t="str">
        <f>VLOOKUP(B4973,'PROCV GERENTES BD'!A:B,2,0)</f>
        <v>ADMINISTRAÇÃO</v>
      </c>
      <c r="F4973" s="4" t="str">
        <f t="shared" si="468"/>
        <v>2025-11</v>
      </c>
      <c r="G4973" s="18">
        <f t="shared" si="469"/>
        <v>45</v>
      </c>
      <c r="H4973" t="str">
        <f t="shared" si="470"/>
        <v>ADMINISTRAÇÃO</v>
      </c>
      <c r="I4973" t="str">
        <f t="shared" si="471"/>
        <v>ARTECAL ELETROCENTROS S/A</v>
      </c>
      <c r="J4973">
        <f t="shared" si="472"/>
        <v>0</v>
      </c>
      <c r="K4973">
        <f t="shared" si="473"/>
        <v>1</v>
      </c>
    </row>
    <row r="4974" spans="1:11" x14ac:dyDescent="0.25">
      <c r="A4974" t="s">
        <v>510</v>
      </c>
      <c r="B4974" t="s">
        <v>273</v>
      </c>
      <c r="C4974" t="s">
        <v>50</v>
      </c>
      <c r="D4974" s="6">
        <v>45966</v>
      </c>
      <c r="E4974" t="str">
        <f>VLOOKUP(B4974,'PROCV GERENTES BD'!A:B,2,0)</f>
        <v>CELIO PIMENTA</v>
      </c>
      <c r="F4974" s="4" t="str">
        <f t="shared" si="468"/>
        <v>2025-11</v>
      </c>
      <c r="G4974" s="18">
        <f t="shared" si="469"/>
        <v>45</v>
      </c>
      <c r="H4974" t="str">
        <f t="shared" si="470"/>
        <v>CELIO PIMENTA</v>
      </c>
      <c r="I4974" t="str">
        <f t="shared" si="471"/>
        <v>PRADO MOREIRA TEXTIL LTDA ME</v>
      </c>
      <c r="J4974">
        <f t="shared" si="472"/>
        <v>0</v>
      </c>
      <c r="K4974">
        <f t="shared" si="473"/>
        <v>1</v>
      </c>
    </row>
    <row r="4975" spans="1:11" x14ac:dyDescent="0.25">
      <c r="A4975" t="s">
        <v>687</v>
      </c>
      <c r="B4975" t="s">
        <v>684</v>
      </c>
      <c r="C4975" t="s">
        <v>50</v>
      </c>
      <c r="D4975" s="6">
        <v>45966</v>
      </c>
      <c r="E4975" t="str">
        <f>VLOOKUP(B4975,'PROCV GERENTES BD'!A:B,2,0)</f>
        <v>DALVA</v>
      </c>
      <c r="F4975" s="4" t="str">
        <f t="shared" si="468"/>
        <v>2025-11</v>
      </c>
      <c r="G4975" s="18">
        <f t="shared" si="469"/>
        <v>45</v>
      </c>
      <c r="H4975" t="str">
        <f t="shared" si="470"/>
        <v>DALVA</v>
      </c>
      <c r="I4975" t="str">
        <f t="shared" si="471"/>
        <v>AGUIA DE FOGO PREVENCAO DE INCENDIO LTDA EPP</v>
      </c>
      <c r="J4975">
        <f t="shared" si="472"/>
        <v>0</v>
      </c>
      <c r="K4975">
        <f t="shared" si="473"/>
        <v>1</v>
      </c>
    </row>
    <row r="4976" spans="1:11" x14ac:dyDescent="0.25">
      <c r="A4976" t="s">
        <v>526</v>
      </c>
      <c r="B4976" t="s">
        <v>293</v>
      </c>
      <c r="C4976" t="s">
        <v>50</v>
      </c>
      <c r="D4976" s="6">
        <v>45967</v>
      </c>
      <c r="E4976" t="str">
        <f>VLOOKUP(B4976,'PROCV GERENTES BD'!A:B,2,0)</f>
        <v>DALVA</v>
      </c>
      <c r="F4976" s="4" t="str">
        <f t="shared" ref="F4976:F4988" si="474">YEAR(D4976)&amp;"-"&amp;TEXT(MONTH(D4976),"00")</f>
        <v>2025-11</v>
      </c>
      <c r="G4976" s="18">
        <f t="shared" ref="G4976:G4988" si="475">WEEKNUM(D4976)</f>
        <v>45</v>
      </c>
      <c r="H4976" t="str">
        <f t="shared" ref="H4976:H4988" si="476">E4976</f>
        <v>DALVA</v>
      </c>
      <c r="I4976" t="str">
        <f t="shared" ref="I4976:I4988" si="477">B4976</f>
        <v>COMERCIAL PROGRESSO LTDA EPP</v>
      </c>
      <c r="J4976">
        <f t="shared" ref="J4976:J4988" si="478">IF(OR(C4976="EXCLUSAO  ANOT.INADIMPLENCIA",C4976="INCL/EXCL ANOT.INADIMPLENCIA"),1,0)</f>
        <v>0</v>
      </c>
      <c r="K4976">
        <f t="shared" ref="K4976:K4988" si="479">IF(OR(C4976="INCLUSAO  ANOT.INADIMPLENCIA",C4976="INCL/EXCL ANOT.INADIMPLENCIA"),1,0)</f>
        <v>1</v>
      </c>
    </row>
    <row r="4977" spans="1:11" x14ac:dyDescent="0.25">
      <c r="A4977" t="s">
        <v>415</v>
      </c>
      <c r="B4977" t="s">
        <v>165</v>
      </c>
      <c r="C4977" t="s">
        <v>50</v>
      </c>
      <c r="D4977" s="6">
        <v>45967</v>
      </c>
      <c r="E4977" t="str">
        <f>VLOOKUP(B4977,'PROCV GERENTES BD'!A:B,2,0)</f>
        <v>PROSPECTAR</v>
      </c>
      <c r="F4977" s="4" t="str">
        <f t="shared" si="474"/>
        <v>2025-11</v>
      </c>
      <c r="G4977" s="18">
        <f t="shared" si="475"/>
        <v>45</v>
      </c>
      <c r="H4977" t="str">
        <f t="shared" si="476"/>
        <v>PROSPECTAR</v>
      </c>
      <c r="I4977" t="str">
        <f t="shared" si="477"/>
        <v>STA SERVICOS LTDA</v>
      </c>
      <c r="J4977">
        <f t="shared" si="478"/>
        <v>0</v>
      </c>
      <c r="K4977">
        <f t="shared" si="479"/>
        <v>1</v>
      </c>
    </row>
    <row r="4978" spans="1:11" x14ac:dyDescent="0.25">
      <c r="A4978" t="s">
        <v>51</v>
      </c>
      <c r="B4978" t="s">
        <v>52</v>
      </c>
      <c r="C4978" t="s">
        <v>53</v>
      </c>
      <c r="D4978" s="6">
        <v>45967</v>
      </c>
      <c r="E4978" t="str">
        <f>VLOOKUP(B4978,'PROCV GERENTES BD'!A:B,2,0)</f>
        <v>RAFAEL PARISE</v>
      </c>
      <c r="F4978" s="4" t="str">
        <f t="shared" si="474"/>
        <v>2025-11</v>
      </c>
      <c r="G4978" s="18">
        <f t="shared" si="475"/>
        <v>45</v>
      </c>
      <c r="H4978" t="str">
        <f t="shared" si="476"/>
        <v>RAFAEL PARISE</v>
      </c>
      <c r="I4978" t="str">
        <f t="shared" si="477"/>
        <v>TDR TRANSPORTES LOGISTICA LTDA</v>
      </c>
      <c r="J4978">
        <f t="shared" si="478"/>
        <v>1</v>
      </c>
      <c r="K4978">
        <f t="shared" si="479"/>
        <v>1</v>
      </c>
    </row>
    <row r="4979" spans="1:11" x14ac:dyDescent="0.25">
      <c r="A4979" t="s">
        <v>387</v>
      </c>
      <c r="B4979" t="s">
        <v>134</v>
      </c>
      <c r="C4979" t="s">
        <v>66</v>
      </c>
      <c r="D4979" s="6">
        <v>45967</v>
      </c>
      <c r="E4979" t="str">
        <f>VLOOKUP(B4979,'PROCV GERENTES BD'!A:B,2,0)</f>
        <v>RAFAEL PARISE</v>
      </c>
      <c r="F4979" s="4" t="str">
        <f t="shared" si="474"/>
        <v>2025-11</v>
      </c>
      <c r="G4979" s="18">
        <f t="shared" si="475"/>
        <v>45</v>
      </c>
      <c r="H4979" t="str">
        <f t="shared" si="476"/>
        <v>RAFAEL PARISE</v>
      </c>
      <c r="I4979" t="str">
        <f t="shared" si="477"/>
        <v>MAIS DISTRIBUIDORA LTDA</v>
      </c>
      <c r="J4979">
        <f t="shared" si="478"/>
        <v>1</v>
      </c>
      <c r="K4979">
        <f t="shared" si="479"/>
        <v>0</v>
      </c>
    </row>
    <row r="4980" spans="1:11" x14ac:dyDescent="0.25">
      <c r="A4980" t="s">
        <v>361</v>
      </c>
      <c r="B4980" t="s">
        <v>106</v>
      </c>
      <c r="C4980" t="s">
        <v>50</v>
      </c>
      <c r="D4980" s="6">
        <v>45967</v>
      </c>
      <c r="E4980" t="str">
        <f>VLOOKUP(B4980,'PROCV GERENTES BD'!A:B,2,0)</f>
        <v>PRISCILA METZ</v>
      </c>
      <c r="F4980" s="4" t="str">
        <f t="shared" si="474"/>
        <v>2025-11</v>
      </c>
      <c r="G4980" s="18">
        <f t="shared" si="475"/>
        <v>45</v>
      </c>
      <c r="H4980" t="str">
        <f t="shared" si="476"/>
        <v>PRISCILA METZ</v>
      </c>
      <c r="I4980" t="str">
        <f t="shared" si="477"/>
        <v>HERBAMED LABORATORIO NUTRACEUTICO LTDA</v>
      </c>
      <c r="J4980">
        <f t="shared" si="478"/>
        <v>0</v>
      </c>
      <c r="K4980">
        <f t="shared" si="479"/>
        <v>1</v>
      </c>
    </row>
    <row r="4981" spans="1:11" x14ac:dyDescent="0.25">
      <c r="A4981" t="s">
        <v>317</v>
      </c>
      <c r="B4981" t="s">
        <v>280</v>
      </c>
      <c r="C4981" t="s">
        <v>66</v>
      </c>
      <c r="D4981" s="6">
        <v>45967</v>
      </c>
      <c r="E4981" t="str">
        <f>VLOOKUP(B4981,'PROCV GERENTES BD'!A:B,2,0)</f>
        <v>PROSPECTAR</v>
      </c>
      <c r="F4981" s="4" t="str">
        <f t="shared" si="474"/>
        <v>2025-11</v>
      </c>
      <c r="G4981" s="18">
        <f t="shared" si="475"/>
        <v>45</v>
      </c>
      <c r="H4981" t="str">
        <f t="shared" si="476"/>
        <v>PROSPECTAR</v>
      </c>
      <c r="I4981" t="str">
        <f t="shared" si="477"/>
        <v>STA TECHCANA LTDA</v>
      </c>
      <c r="J4981">
        <f t="shared" si="478"/>
        <v>1</v>
      </c>
      <c r="K4981">
        <f t="shared" si="479"/>
        <v>0</v>
      </c>
    </row>
    <row r="4982" spans="1:11" x14ac:dyDescent="0.25">
      <c r="A4982" t="s">
        <v>442</v>
      </c>
      <c r="B4982" t="s">
        <v>193</v>
      </c>
      <c r="C4982" t="s">
        <v>50</v>
      </c>
      <c r="D4982" s="6">
        <v>45967</v>
      </c>
      <c r="E4982" t="str">
        <f>VLOOKUP(B4982,'PROCV GERENTES BD'!A:B,2,0)</f>
        <v>CELIO PIMENTA</v>
      </c>
      <c r="F4982" s="4" t="str">
        <f t="shared" si="474"/>
        <v>2025-11</v>
      </c>
      <c r="G4982" s="18">
        <f t="shared" si="475"/>
        <v>45</v>
      </c>
      <c r="H4982" t="str">
        <f t="shared" si="476"/>
        <v>CELIO PIMENTA</v>
      </c>
      <c r="I4982" t="str">
        <f t="shared" si="477"/>
        <v>CIA TEXTIL LTDA ME</v>
      </c>
      <c r="J4982">
        <f t="shared" si="478"/>
        <v>0</v>
      </c>
      <c r="K4982">
        <f t="shared" si="479"/>
        <v>1</v>
      </c>
    </row>
    <row r="4983" spans="1:11" x14ac:dyDescent="0.25">
      <c r="A4983" t="s">
        <v>708</v>
      </c>
      <c r="B4983" t="s">
        <v>570</v>
      </c>
      <c r="C4983" t="s">
        <v>50</v>
      </c>
      <c r="D4983" s="6">
        <v>45967</v>
      </c>
      <c r="E4983" t="str">
        <f>VLOOKUP(B4983,'PROCV GERENTES BD'!A:B,2,0)</f>
        <v>RAFAEL PARISE</v>
      </c>
      <c r="F4983" s="4" t="str">
        <f t="shared" si="474"/>
        <v>2025-11</v>
      </c>
      <c r="G4983" s="18">
        <f t="shared" si="475"/>
        <v>45</v>
      </c>
      <c r="H4983" t="str">
        <f t="shared" si="476"/>
        <v>RAFAEL PARISE</v>
      </c>
      <c r="I4983" t="str">
        <f t="shared" si="477"/>
        <v>NITROTEX INDUSTRIA E COMERCIO TEXTEIS LTDA ME</v>
      </c>
      <c r="J4983">
        <f t="shared" si="478"/>
        <v>0</v>
      </c>
      <c r="K4983">
        <f t="shared" si="479"/>
        <v>1</v>
      </c>
    </row>
    <row r="4984" spans="1:11" x14ac:dyDescent="0.25">
      <c r="A4984" t="s">
        <v>488</v>
      </c>
      <c r="B4984" t="s">
        <v>247</v>
      </c>
      <c r="C4984" t="s">
        <v>50</v>
      </c>
      <c r="D4984" s="6">
        <v>45967</v>
      </c>
      <c r="E4984" t="str">
        <f>VLOOKUP(B4984,'PROCV GERENTES BD'!A:B,2,0)</f>
        <v>CELIO PIMENTA</v>
      </c>
      <c r="F4984" s="4" t="str">
        <f t="shared" si="474"/>
        <v>2025-11</v>
      </c>
      <c r="G4984" s="18">
        <f t="shared" si="475"/>
        <v>45</v>
      </c>
      <c r="H4984" t="str">
        <f t="shared" si="476"/>
        <v>CELIO PIMENTA</v>
      </c>
      <c r="I4984" t="str">
        <f t="shared" si="477"/>
        <v>AZ HIDRAULICA USINAGEM LTDA EPP</v>
      </c>
      <c r="J4984">
        <f t="shared" si="478"/>
        <v>0</v>
      </c>
      <c r="K4984">
        <f t="shared" si="479"/>
        <v>1</v>
      </c>
    </row>
    <row r="4985" spans="1:11" x14ac:dyDescent="0.25">
      <c r="A4985" t="s">
        <v>704</v>
      </c>
      <c r="B4985" t="s">
        <v>705</v>
      </c>
      <c r="C4985" t="s">
        <v>66</v>
      </c>
      <c r="D4985" s="6">
        <v>45967</v>
      </c>
      <c r="E4985" t="str">
        <f>VLOOKUP(B4985,'PROCV GERENTES BD'!A:B,2,0)</f>
        <v>DAVI</v>
      </c>
      <c r="F4985" s="4" t="str">
        <f t="shared" si="474"/>
        <v>2025-11</v>
      </c>
      <c r="G4985" s="18">
        <f t="shared" si="475"/>
        <v>45</v>
      </c>
      <c r="H4985" t="str">
        <f t="shared" si="476"/>
        <v>DAVI</v>
      </c>
      <c r="I4985" t="str">
        <f t="shared" si="477"/>
        <v>DUOPLASTIC INDUSTRIA DE MOVEIS LTDA ME</v>
      </c>
      <c r="J4985">
        <f t="shared" si="478"/>
        <v>1</v>
      </c>
      <c r="K4985">
        <f t="shared" si="479"/>
        <v>0</v>
      </c>
    </row>
    <row r="4986" spans="1:11" x14ac:dyDescent="0.25">
      <c r="A4986" t="s">
        <v>314</v>
      </c>
      <c r="B4986" t="s">
        <v>246</v>
      </c>
      <c r="C4986" t="s">
        <v>50</v>
      </c>
      <c r="D4986" s="6">
        <v>45967</v>
      </c>
      <c r="E4986" t="str">
        <f>VLOOKUP(B4986,'PROCV GERENTES BD'!A:B,2,0)</f>
        <v xml:space="preserve">ROGERIO </v>
      </c>
      <c r="F4986" s="4" t="str">
        <f t="shared" si="474"/>
        <v>2025-11</v>
      </c>
      <c r="G4986" s="18">
        <f t="shared" si="475"/>
        <v>45</v>
      </c>
      <c r="H4986" t="str">
        <f t="shared" si="476"/>
        <v xml:space="preserve">ROGERIO </v>
      </c>
      <c r="I4986" t="str">
        <f t="shared" si="477"/>
        <v>MUTCD CENTRO DE DISTRIBUICAO DE IND FABRICANTE DE</v>
      </c>
      <c r="J4986">
        <f t="shared" si="478"/>
        <v>0</v>
      </c>
      <c r="K4986">
        <f t="shared" si="479"/>
        <v>1</v>
      </c>
    </row>
    <row r="4987" spans="1:11" x14ac:dyDescent="0.25">
      <c r="A4987" t="s">
        <v>460</v>
      </c>
      <c r="B4987" t="s">
        <v>217</v>
      </c>
      <c r="C4987" t="s">
        <v>50</v>
      </c>
      <c r="D4987" s="6">
        <v>45967</v>
      </c>
      <c r="E4987" t="str">
        <f>VLOOKUP(B4987,'PROCV GERENTES BD'!A:B,2,0)</f>
        <v>CELIO PIMENTA</v>
      </c>
      <c r="F4987" s="4" t="str">
        <f t="shared" si="474"/>
        <v>2025-11</v>
      </c>
      <c r="G4987" s="18">
        <f t="shared" si="475"/>
        <v>45</v>
      </c>
      <c r="H4987" t="str">
        <f t="shared" si="476"/>
        <v>CELIO PIMENTA</v>
      </c>
      <c r="I4987" t="str">
        <f t="shared" si="477"/>
        <v>MINAS CLEAN DISTRIBUIDORA DE PRODUTOS PARA LIMPEZA</v>
      </c>
      <c r="J4987">
        <f t="shared" si="478"/>
        <v>0</v>
      </c>
      <c r="K4987">
        <f t="shared" si="479"/>
        <v>1</v>
      </c>
    </row>
    <row r="4988" spans="1:11" x14ac:dyDescent="0.25">
      <c r="A4988" t="s">
        <v>510</v>
      </c>
      <c r="B4988" t="s">
        <v>273</v>
      </c>
      <c r="C4988" t="s">
        <v>50</v>
      </c>
      <c r="D4988" s="6">
        <v>45967</v>
      </c>
      <c r="E4988" t="str">
        <f>VLOOKUP(B4988,'PROCV GERENTES BD'!A:B,2,0)</f>
        <v>CELIO PIMENTA</v>
      </c>
      <c r="F4988" s="4" t="str">
        <f t="shared" si="474"/>
        <v>2025-11</v>
      </c>
      <c r="G4988" s="18">
        <f t="shared" si="475"/>
        <v>45</v>
      </c>
      <c r="H4988" t="str">
        <f t="shared" si="476"/>
        <v>CELIO PIMENTA</v>
      </c>
      <c r="I4988" t="str">
        <f t="shared" si="477"/>
        <v>PRADO MOREIRA TEXTIL LTDA ME</v>
      </c>
      <c r="J4988">
        <f t="shared" si="478"/>
        <v>0</v>
      </c>
      <c r="K4988">
        <f t="shared" si="479"/>
        <v>1</v>
      </c>
    </row>
    <row r="4989" spans="1:11" x14ac:dyDescent="0.25">
      <c r="A4989" t="s">
        <v>697</v>
      </c>
      <c r="B4989" t="s">
        <v>695</v>
      </c>
      <c r="C4989" t="s">
        <v>66</v>
      </c>
      <c r="D4989" s="6">
        <v>45968</v>
      </c>
      <c r="E4989" t="str">
        <f>VLOOKUP(B4989,'PROCV GERENTES BD'!A:B,2,0)</f>
        <v>PROSPECTAR</v>
      </c>
      <c r="F4989" s="4" t="str">
        <f t="shared" ref="F4989:F5001" si="480">YEAR(D4989)&amp;"-"&amp;TEXT(MONTH(D4989),"00")</f>
        <v>2025-11</v>
      </c>
      <c r="G4989" s="18">
        <f t="shared" ref="G4989:G5001" si="481">WEEKNUM(D4989)</f>
        <v>45</v>
      </c>
      <c r="H4989" t="str">
        <f t="shared" ref="H4989:H5001" si="482">E4989</f>
        <v>PROSPECTAR</v>
      </c>
      <c r="I4989" t="str">
        <f t="shared" ref="I4989:I5001" si="483">B4989</f>
        <v>GLOBAL PAPEIS EM RECUPERACAO JUDICIAL LTDA</v>
      </c>
      <c r="J4989">
        <f t="shared" ref="J4989:J5001" si="484">IF(OR(C4989="EXCLUSAO  ANOT.INADIMPLENCIA",C4989="INCL/EXCL ANOT.INADIMPLENCIA"),1,0)</f>
        <v>1</v>
      </c>
      <c r="K4989">
        <f t="shared" ref="K4989:K5001" si="485">IF(OR(C4989="INCLUSAO  ANOT.INADIMPLENCIA",C4989="INCL/EXCL ANOT.INADIMPLENCIA"),1,0)</f>
        <v>0</v>
      </c>
    </row>
    <row r="4990" spans="1:11" x14ac:dyDescent="0.25">
      <c r="A4990" t="s">
        <v>387</v>
      </c>
      <c r="B4990" t="s">
        <v>134</v>
      </c>
      <c r="C4990" t="s">
        <v>66</v>
      </c>
      <c r="D4990" s="6">
        <v>45968</v>
      </c>
      <c r="E4990" t="str">
        <f>VLOOKUP(B4990,'PROCV GERENTES BD'!A:B,2,0)</f>
        <v>RAFAEL PARISE</v>
      </c>
      <c r="F4990" s="4" t="str">
        <f t="shared" si="480"/>
        <v>2025-11</v>
      </c>
      <c r="G4990" s="18">
        <f t="shared" si="481"/>
        <v>45</v>
      </c>
      <c r="H4990" t="str">
        <f t="shared" si="482"/>
        <v>RAFAEL PARISE</v>
      </c>
      <c r="I4990" t="str">
        <f t="shared" si="483"/>
        <v>MAIS DISTRIBUIDORA LTDA</v>
      </c>
      <c r="J4990">
        <f t="shared" si="484"/>
        <v>1</v>
      </c>
      <c r="K4990">
        <f t="shared" si="485"/>
        <v>0</v>
      </c>
    </row>
    <row r="4991" spans="1:11" x14ac:dyDescent="0.25">
      <c r="A4991" t="s">
        <v>361</v>
      </c>
      <c r="B4991" t="s">
        <v>106</v>
      </c>
      <c r="C4991" t="s">
        <v>50</v>
      </c>
      <c r="D4991" s="6">
        <v>45968</v>
      </c>
      <c r="E4991" t="str">
        <f>VLOOKUP(B4991,'PROCV GERENTES BD'!A:B,2,0)</f>
        <v>PRISCILA METZ</v>
      </c>
      <c r="F4991" s="4" t="str">
        <f t="shared" si="480"/>
        <v>2025-11</v>
      </c>
      <c r="G4991" s="18">
        <f t="shared" si="481"/>
        <v>45</v>
      </c>
      <c r="H4991" t="str">
        <f t="shared" si="482"/>
        <v>PRISCILA METZ</v>
      </c>
      <c r="I4991" t="str">
        <f t="shared" si="483"/>
        <v>HERBAMED LABORATORIO NUTRACEUTICO LTDA</v>
      </c>
      <c r="J4991">
        <f t="shared" si="484"/>
        <v>0</v>
      </c>
      <c r="K4991">
        <f t="shared" si="485"/>
        <v>1</v>
      </c>
    </row>
    <row r="4992" spans="1:11" x14ac:dyDescent="0.25">
      <c r="A4992" t="s">
        <v>331</v>
      </c>
      <c r="B4992" t="s">
        <v>144</v>
      </c>
      <c r="C4992" t="s">
        <v>50</v>
      </c>
      <c r="D4992" s="6">
        <v>45968</v>
      </c>
      <c r="E4992" t="str">
        <f>VLOOKUP(B4992,'PROCV GERENTES BD'!A:B,2,0)</f>
        <v>ADMINISTRAÇÃO</v>
      </c>
      <c r="F4992" s="4" t="str">
        <f t="shared" si="480"/>
        <v>2025-11</v>
      </c>
      <c r="G4992" s="18">
        <f t="shared" si="481"/>
        <v>45</v>
      </c>
      <c r="H4992" t="str">
        <f t="shared" si="482"/>
        <v>ADMINISTRAÇÃO</v>
      </c>
      <c r="I4992" t="str">
        <f t="shared" si="483"/>
        <v>BOM PASTOR PAPEIS LTDA EM RECUPERACAO JUDICIAL</v>
      </c>
      <c r="J4992">
        <f t="shared" si="484"/>
        <v>0</v>
      </c>
      <c r="K4992">
        <f t="shared" si="485"/>
        <v>1</v>
      </c>
    </row>
    <row r="4993" spans="1:11" x14ac:dyDescent="0.25">
      <c r="A4993" t="s">
        <v>702</v>
      </c>
      <c r="B4993" t="s">
        <v>693</v>
      </c>
      <c r="C4993" t="s">
        <v>66</v>
      </c>
      <c r="D4993" s="6">
        <v>45968</v>
      </c>
      <c r="E4993" t="str">
        <f>VLOOKUP(B4993,'PROCV GERENTES BD'!A:B,2,0)</f>
        <v>PROSPECTAR</v>
      </c>
      <c r="F4993" s="4" t="str">
        <f t="shared" si="480"/>
        <v>2025-11</v>
      </c>
      <c r="G4993" s="18">
        <f t="shared" si="481"/>
        <v>45</v>
      </c>
      <c r="H4993" t="str">
        <f t="shared" si="482"/>
        <v>PROSPECTAR</v>
      </c>
      <c r="I4993" t="str">
        <f t="shared" si="483"/>
        <v>SR LIMA PAPEIS FINOS EM RECUPERACAO JUDICIAL LTDA</v>
      </c>
      <c r="J4993">
        <f t="shared" si="484"/>
        <v>1</v>
      </c>
      <c r="K4993">
        <f t="shared" si="485"/>
        <v>0</v>
      </c>
    </row>
    <row r="4994" spans="1:11" x14ac:dyDescent="0.25">
      <c r="A4994" t="s">
        <v>638</v>
      </c>
      <c r="B4994" t="s">
        <v>539</v>
      </c>
      <c r="C4994" t="s">
        <v>66</v>
      </c>
      <c r="D4994" s="6">
        <v>45968</v>
      </c>
      <c r="E4994" t="str">
        <f>VLOOKUP(B4994,'PROCV GERENTES BD'!A:B,2,0)</f>
        <v>JJPH</v>
      </c>
      <c r="F4994" s="4" t="str">
        <f t="shared" si="480"/>
        <v>2025-11</v>
      </c>
      <c r="G4994" s="18">
        <f t="shared" si="481"/>
        <v>45</v>
      </c>
      <c r="H4994" t="str">
        <f t="shared" si="482"/>
        <v>JJPH</v>
      </c>
      <c r="I4994" t="str">
        <f t="shared" si="483"/>
        <v>DIFARMIG LTDA</v>
      </c>
      <c r="J4994">
        <f t="shared" si="484"/>
        <v>1</v>
      </c>
      <c r="K4994">
        <f t="shared" si="485"/>
        <v>0</v>
      </c>
    </row>
    <row r="4995" spans="1:11" x14ac:dyDescent="0.25">
      <c r="A4995" t="s">
        <v>499</v>
      </c>
      <c r="B4995" t="s">
        <v>258</v>
      </c>
      <c r="C4995" t="s">
        <v>50</v>
      </c>
      <c r="D4995" s="6">
        <v>45968</v>
      </c>
      <c r="E4995" t="str">
        <f>VLOOKUP(B4995,'PROCV GERENTES BD'!A:B,2,0)</f>
        <v>PRISCILA METZ</v>
      </c>
      <c r="F4995" s="4" t="str">
        <f t="shared" si="480"/>
        <v>2025-11</v>
      </c>
      <c r="G4995" s="18">
        <f t="shared" si="481"/>
        <v>45</v>
      </c>
      <c r="H4995" t="str">
        <f t="shared" si="482"/>
        <v>PRISCILA METZ</v>
      </c>
      <c r="I4995" t="str">
        <f t="shared" si="483"/>
        <v>PLATINUM INDUSTRIA DE CONFECCOES LTDA</v>
      </c>
      <c r="J4995">
        <f t="shared" si="484"/>
        <v>0</v>
      </c>
      <c r="K4995">
        <f t="shared" si="485"/>
        <v>1</v>
      </c>
    </row>
    <row r="4996" spans="1:11" x14ac:dyDescent="0.25">
      <c r="A4996" t="s">
        <v>630</v>
      </c>
      <c r="B4996" t="s">
        <v>559</v>
      </c>
      <c r="C4996" t="s">
        <v>66</v>
      </c>
      <c r="D4996" s="6">
        <v>45968</v>
      </c>
      <c r="E4996" t="str">
        <f>VLOOKUP(B4996,'PROCV GERENTES BD'!A:B,2,0)</f>
        <v>ALISSON DE SOUZA LIMA</v>
      </c>
      <c r="F4996" s="4" t="str">
        <f t="shared" si="480"/>
        <v>2025-11</v>
      </c>
      <c r="G4996" s="18">
        <f t="shared" si="481"/>
        <v>45</v>
      </c>
      <c r="H4996" t="str">
        <f t="shared" si="482"/>
        <v>ALISSON DE SOUZA LIMA</v>
      </c>
      <c r="I4996" t="str">
        <f t="shared" si="483"/>
        <v>JRG SOLUCOES INDUSTRIAIS LTDA</v>
      </c>
      <c r="J4996">
        <f t="shared" si="484"/>
        <v>1</v>
      </c>
      <c r="K4996">
        <f t="shared" si="485"/>
        <v>0</v>
      </c>
    </row>
    <row r="4997" spans="1:11" x14ac:dyDescent="0.25">
      <c r="A4997" t="s">
        <v>488</v>
      </c>
      <c r="B4997" t="s">
        <v>247</v>
      </c>
      <c r="C4997" t="s">
        <v>50</v>
      </c>
      <c r="D4997" s="6">
        <v>45968</v>
      </c>
      <c r="E4997" t="str">
        <f>VLOOKUP(B4997,'PROCV GERENTES BD'!A:B,2,0)</f>
        <v>CELIO PIMENTA</v>
      </c>
      <c r="F4997" s="4" t="str">
        <f t="shared" si="480"/>
        <v>2025-11</v>
      </c>
      <c r="G4997" s="18">
        <f t="shared" si="481"/>
        <v>45</v>
      </c>
      <c r="H4997" t="str">
        <f t="shared" si="482"/>
        <v>CELIO PIMENTA</v>
      </c>
      <c r="I4997" t="str">
        <f t="shared" si="483"/>
        <v>AZ HIDRAULICA USINAGEM LTDA EPP</v>
      </c>
      <c r="J4997">
        <f t="shared" si="484"/>
        <v>0</v>
      </c>
      <c r="K4997">
        <f t="shared" si="485"/>
        <v>1</v>
      </c>
    </row>
    <row r="4998" spans="1:11" x14ac:dyDescent="0.25">
      <c r="A4998" t="s">
        <v>314</v>
      </c>
      <c r="B4998" t="s">
        <v>246</v>
      </c>
      <c r="C4998" t="s">
        <v>50</v>
      </c>
      <c r="D4998" s="6">
        <v>45968</v>
      </c>
      <c r="E4998" t="str">
        <f>VLOOKUP(B4998,'PROCV GERENTES BD'!A:B,2,0)</f>
        <v xml:space="preserve">ROGERIO </v>
      </c>
      <c r="F4998" s="4" t="str">
        <f t="shared" si="480"/>
        <v>2025-11</v>
      </c>
      <c r="G4998" s="18">
        <f t="shared" si="481"/>
        <v>45</v>
      </c>
      <c r="H4998" t="str">
        <f t="shared" si="482"/>
        <v xml:space="preserve">ROGERIO </v>
      </c>
      <c r="I4998" t="str">
        <f t="shared" si="483"/>
        <v>MUTCD CENTRO DE DISTRIBUICAO DE IND FABRICANTE DE</v>
      </c>
      <c r="J4998">
        <f t="shared" si="484"/>
        <v>0</v>
      </c>
      <c r="K4998">
        <f t="shared" si="485"/>
        <v>1</v>
      </c>
    </row>
    <row r="4999" spans="1:11" x14ac:dyDescent="0.25">
      <c r="A4999" t="s">
        <v>653</v>
      </c>
      <c r="B4999" t="s">
        <v>566</v>
      </c>
      <c r="C4999" t="s">
        <v>66</v>
      </c>
      <c r="D4999" s="6">
        <v>45968</v>
      </c>
      <c r="E4999" t="str">
        <f>VLOOKUP(B4999,'PROCV GERENTES BD'!A:B,2,0)</f>
        <v>DIOGO AZEVEDO</v>
      </c>
      <c r="F4999" s="4" t="str">
        <f t="shared" si="480"/>
        <v>2025-11</v>
      </c>
      <c r="G4999" s="18">
        <f t="shared" si="481"/>
        <v>45</v>
      </c>
      <c r="H4999" t="str">
        <f t="shared" si="482"/>
        <v>DIOGO AZEVEDO</v>
      </c>
      <c r="I4999" t="str">
        <f t="shared" si="483"/>
        <v>MILK LAT LTDA EPP</v>
      </c>
      <c r="J4999">
        <f t="shared" si="484"/>
        <v>1</v>
      </c>
      <c r="K4999">
        <f t="shared" si="485"/>
        <v>0</v>
      </c>
    </row>
    <row r="5000" spans="1:11" x14ac:dyDescent="0.25">
      <c r="A5000" t="s">
        <v>460</v>
      </c>
      <c r="B5000" t="s">
        <v>217</v>
      </c>
      <c r="C5000" t="s">
        <v>50</v>
      </c>
      <c r="D5000" s="6">
        <v>45968</v>
      </c>
      <c r="E5000" t="str">
        <f>VLOOKUP(B5000,'PROCV GERENTES BD'!A:B,2,0)</f>
        <v>CELIO PIMENTA</v>
      </c>
      <c r="F5000" s="4" t="str">
        <f t="shared" si="480"/>
        <v>2025-11</v>
      </c>
      <c r="G5000" s="18">
        <f t="shared" si="481"/>
        <v>45</v>
      </c>
      <c r="H5000" t="str">
        <f t="shared" si="482"/>
        <v>CELIO PIMENTA</v>
      </c>
      <c r="I5000" t="str">
        <f t="shared" si="483"/>
        <v>MINAS CLEAN DISTRIBUIDORA DE PRODUTOS PARA LIMPEZA</v>
      </c>
      <c r="J5000">
        <f t="shared" si="484"/>
        <v>0</v>
      </c>
      <c r="K5000">
        <f t="shared" si="485"/>
        <v>1</v>
      </c>
    </row>
    <row r="5001" spans="1:11" x14ac:dyDescent="0.25">
      <c r="A5001" t="s">
        <v>521</v>
      </c>
      <c r="B5001" t="s">
        <v>286</v>
      </c>
      <c r="C5001" t="s">
        <v>50</v>
      </c>
      <c r="D5001" s="6">
        <v>45968</v>
      </c>
      <c r="E5001" t="str">
        <f>VLOOKUP(B5001,'PROCV GERENTES BD'!A:B,2,0)</f>
        <v>CELIO PIMENTA</v>
      </c>
      <c r="F5001" s="4" t="str">
        <f t="shared" si="480"/>
        <v>2025-11</v>
      </c>
      <c r="G5001" s="18">
        <f t="shared" si="481"/>
        <v>45</v>
      </c>
      <c r="H5001" t="str">
        <f t="shared" si="482"/>
        <v>CELIO PIMENTA</v>
      </c>
      <c r="I5001" t="str">
        <f t="shared" si="483"/>
        <v>LINGERIE E CIA LTDA ME</v>
      </c>
      <c r="J5001">
        <f t="shared" si="484"/>
        <v>0</v>
      </c>
      <c r="K5001">
        <f t="shared" si="485"/>
        <v>1</v>
      </c>
    </row>
    <row r="5002" spans="1:11" x14ac:dyDescent="0.25">
      <c r="A5002" t="s">
        <v>660</v>
      </c>
      <c r="B5002" t="s">
        <v>545</v>
      </c>
      <c r="C5002" t="s">
        <v>53</v>
      </c>
      <c r="D5002" s="6">
        <v>45969</v>
      </c>
      <c r="E5002" t="str">
        <f>VLOOKUP(B5002,'PROCV GERENTES BD'!A:B,2,0)</f>
        <v xml:space="preserve">ROGERIO </v>
      </c>
      <c r="F5002" s="4" t="str">
        <f t="shared" ref="F5002:F5018" si="486">YEAR(D5002)&amp;"-"&amp;TEXT(MONTH(D5002),"00")</f>
        <v>2025-11</v>
      </c>
      <c r="G5002" s="18">
        <f t="shared" ref="G5002:G5018" si="487">WEEKNUM(D5002)</f>
        <v>45</v>
      </c>
      <c r="H5002" t="str">
        <f t="shared" ref="H5002:H5018" si="488">E5002</f>
        <v xml:space="preserve">ROGERIO </v>
      </c>
      <c r="I5002" t="str">
        <f t="shared" ref="I5002:I5018" si="489">B5002</f>
        <v>DISEP ALIMENTOS LTDA ME</v>
      </c>
      <c r="J5002">
        <f t="shared" ref="J5002:J5018" si="490">IF(OR(C5002="EXCLUSAO  ANOT.INADIMPLENCIA",C5002="INCL/EXCL ANOT.INADIMPLENCIA"),1,0)</f>
        <v>1</v>
      </c>
      <c r="K5002">
        <f t="shared" ref="K5002:K5018" si="491">IF(OR(C5002="INCLUSAO  ANOT.INADIMPLENCIA",C5002="INCL/EXCL ANOT.INADIMPLENCIA"),1,0)</f>
        <v>1</v>
      </c>
    </row>
    <row r="5003" spans="1:11" x14ac:dyDescent="0.25">
      <c r="A5003" t="s">
        <v>460</v>
      </c>
      <c r="B5003" t="s">
        <v>217</v>
      </c>
      <c r="C5003" t="s">
        <v>66</v>
      </c>
      <c r="D5003" s="6">
        <v>45969</v>
      </c>
      <c r="E5003" t="str">
        <f>VLOOKUP(B5003,'PROCV GERENTES BD'!A:B,2,0)</f>
        <v>CELIO PIMENTA</v>
      </c>
      <c r="F5003" s="4" t="str">
        <f t="shared" si="486"/>
        <v>2025-11</v>
      </c>
      <c r="G5003" s="18">
        <f t="shared" si="487"/>
        <v>45</v>
      </c>
      <c r="H5003" t="str">
        <f t="shared" si="488"/>
        <v>CELIO PIMENTA</v>
      </c>
      <c r="I5003" t="str">
        <f t="shared" si="489"/>
        <v>MINAS CLEAN DISTRIBUIDORA DE PRODUTOS PARA LIMPEZA</v>
      </c>
      <c r="J5003">
        <f t="shared" si="490"/>
        <v>1</v>
      </c>
      <c r="K5003">
        <f t="shared" si="491"/>
        <v>0</v>
      </c>
    </row>
    <row r="5004" spans="1:11" x14ac:dyDescent="0.25">
      <c r="A5004" t="s">
        <v>508</v>
      </c>
      <c r="B5004" t="s">
        <v>271</v>
      </c>
      <c r="C5004" t="s">
        <v>66</v>
      </c>
      <c r="D5004" s="6">
        <v>45969</v>
      </c>
      <c r="E5004" t="str">
        <f>VLOOKUP(B5004,'PROCV GERENTES BD'!A:B,2,0)</f>
        <v>PRISCILA METZ</v>
      </c>
      <c r="F5004" s="4" t="str">
        <f t="shared" si="486"/>
        <v>2025-11</v>
      </c>
      <c r="G5004" s="18">
        <f t="shared" si="487"/>
        <v>45</v>
      </c>
      <c r="H5004" t="str">
        <f t="shared" si="488"/>
        <v>PRISCILA METZ</v>
      </c>
      <c r="I5004" t="str">
        <f t="shared" si="489"/>
        <v>TUBOLARES VITORIA INDUSTRIA E COMERCIO LTDA ME</v>
      </c>
      <c r="J5004">
        <f t="shared" si="490"/>
        <v>1</v>
      </c>
      <c r="K5004">
        <f t="shared" si="491"/>
        <v>0</v>
      </c>
    </row>
    <row r="5005" spans="1:11" x14ac:dyDescent="0.25">
      <c r="A5005" t="s">
        <v>610</v>
      </c>
      <c r="B5005" t="s">
        <v>611</v>
      </c>
      <c r="C5005" t="s">
        <v>50</v>
      </c>
      <c r="D5005" s="6">
        <v>45969</v>
      </c>
      <c r="E5005" t="str">
        <f>VLOOKUP(B5005,'PROCV GERENTES BD'!A:B,2,0)</f>
        <v>TIAGO NEVES</v>
      </c>
      <c r="F5005" s="4" t="str">
        <f t="shared" si="486"/>
        <v>2025-11</v>
      </c>
      <c r="G5005" s="18">
        <f t="shared" si="487"/>
        <v>45</v>
      </c>
      <c r="H5005" t="str">
        <f t="shared" si="488"/>
        <v>TIAGO NEVES</v>
      </c>
      <c r="I5005" t="str">
        <f t="shared" si="489"/>
        <v>TRATOR GLASS LTDA ME</v>
      </c>
      <c r="J5005">
        <f t="shared" si="490"/>
        <v>0</v>
      </c>
      <c r="K5005">
        <f t="shared" si="491"/>
        <v>1</v>
      </c>
    </row>
    <row r="5006" spans="1:11" x14ac:dyDescent="0.25">
      <c r="A5006" t="s">
        <v>488</v>
      </c>
      <c r="B5006" t="s">
        <v>247</v>
      </c>
      <c r="C5006" t="s">
        <v>50</v>
      </c>
      <c r="D5006" s="6">
        <v>45969</v>
      </c>
      <c r="E5006" t="str">
        <f>VLOOKUP(B5006,'PROCV GERENTES BD'!A:B,2,0)</f>
        <v>CELIO PIMENTA</v>
      </c>
      <c r="F5006" s="4" t="str">
        <f t="shared" si="486"/>
        <v>2025-11</v>
      </c>
      <c r="G5006" s="18">
        <f t="shared" si="487"/>
        <v>45</v>
      </c>
      <c r="H5006" t="str">
        <f t="shared" si="488"/>
        <v>CELIO PIMENTA</v>
      </c>
      <c r="I5006" t="str">
        <f t="shared" si="489"/>
        <v>AZ HIDRAULICA USINAGEM LTDA EPP</v>
      </c>
      <c r="J5006">
        <f t="shared" si="490"/>
        <v>0</v>
      </c>
      <c r="K5006">
        <f t="shared" si="491"/>
        <v>1</v>
      </c>
    </row>
    <row r="5007" spans="1:11" x14ac:dyDescent="0.25">
      <c r="A5007" t="s">
        <v>630</v>
      </c>
      <c r="B5007" t="s">
        <v>559</v>
      </c>
      <c r="C5007" t="s">
        <v>50</v>
      </c>
      <c r="D5007" s="6">
        <v>45969</v>
      </c>
      <c r="E5007" t="str">
        <f>VLOOKUP(B5007,'PROCV GERENTES BD'!A:B,2,0)</f>
        <v>ALISSON DE SOUZA LIMA</v>
      </c>
      <c r="F5007" s="4" t="str">
        <f t="shared" si="486"/>
        <v>2025-11</v>
      </c>
      <c r="G5007" s="18">
        <f t="shared" si="487"/>
        <v>45</v>
      </c>
      <c r="H5007" t="str">
        <f t="shared" si="488"/>
        <v>ALISSON DE SOUZA LIMA</v>
      </c>
      <c r="I5007" t="str">
        <f t="shared" si="489"/>
        <v>JRG SOLUCOES INDUSTRIAIS LTDA</v>
      </c>
      <c r="J5007">
        <f t="shared" si="490"/>
        <v>0</v>
      </c>
      <c r="K5007">
        <f t="shared" si="491"/>
        <v>1</v>
      </c>
    </row>
    <row r="5008" spans="1:11" x14ac:dyDescent="0.25">
      <c r="A5008" t="s">
        <v>505</v>
      </c>
      <c r="B5008" t="s">
        <v>267</v>
      </c>
      <c r="C5008" t="s">
        <v>50</v>
      </c>
      <c r="D5008" s="6">
        <v>45969</v>
      </c>
      <c r="E5008" t="str">
        <f>VLOOKUP(B5008,'PROCV GERENTES BD'!A:B,2,0)</f>
        <v>PRISCILA METZ</v>
      </c>
      <c r="F5008" s="4" t="str">
        <f t="shared" si="486"/>
        <v>2025-11</v>
      </c>
      <c r="G5008" s="18">
        <f t="shared" si="487"/>
        <v>45</v>
      </c>
      <c r="H5008" t="str">
        <f t="shared" si="488"/>
        <v>PRISCILA METZ</v>
      </c>
      <c r="I5008" t="str">
        <f t="shared" si="489"/>
        <v>REAL DISTRIBUIDORA DE PRODUTOS PARA MARMORARIA LTD</v>
      </c>
      <c r="J5008">
        <f t="shared" si="490"/>
        <v>0</v>
      </c>
      <c r="K5008">
        <f t="shared" si="491"/>
        <v>1</v>
      </c>
    </row>
    <row r="5009" spans="1:11" x14ac:dyDescent="0.25">
      <c r="A5009" t="s">
        <v>510</v>
      </c>
      <c r="B5009" t="s">
        <v>273</v>
      </c>
      <c r="C5009" t="s">
        <v>50</v>
      </c>
      <c r="D5009" s="6">
        <v>45969</v>
      </c>
      <c r="E5009" t="str">
        <f>VLOOKUP(B5009,'PROCV GERENTES BD'!A:B,2,0)</f>
        <v>CELIO PIMENTA</v>
      </c>
      <c r="F5009" s="4" t="str">
        <f t="shared" si="486"/>
        <v>2025-11</v>
      </c>
      <c r="G5009" s="18">
        <f t="shared" si="487"/>
        <v>45</v>
      </c>
      <c r="H5009" t="str">
        <f t="shared" si="488"/>
        <v>CELIO PIMENTA</v>
      </c>
      <c r="I5009" t="str">
        <f t="shared" si="489"/>
        <v>PRADO MOREIRA TEXTIL LTDA ME</v>
      </c>
      <c r="J5009">
        <f t="shared" si="490"/>
        <v>0</v>
      </c>
      <c r="K5009">
        <f t="shared" si="491"/>
        <v>1</v>
      </c>
    </row>
    <row r="5010" spans="1:11" x14ac:dyDescent="0.25">
      <c r="A5010" t="s">
        <v>651</v>
      </c>
      <c r="B5010" t="s">
        <v>652</v>
      </c>
      <c r="C5010" t="s">
        <v>66</v>
      </c>
      <c r="D5010" s="6">
        <v>45969</v>
      </c>
      <c r="E5010" t="str">
        <f>VLOOKUP(B5010,'PROCV GERENTES BD'!A:B,2,0)</f>
        <v>PROSPECTAR</v>
      </c>
      <c r="F5010" s="4" t="str">
        <f t="shared" si="486"/>
        <v>2025-11</v>
      </c>
      <c r="G5010" s="18">
        <f t="shared" si="487"/>
        <v>45</v>
      </c>
      <c r="H5010" t="str">
        <f t="shared" si="488"/>
        <v>PROSPECTAR</v>
      </c>
      <c r="I5010" t="str">
        <f t="shared" si="489"/>
        <v>C A M DIAS SOARES LTDA EPP</v>
      </c>
      <c r="J5010">
        <f t="shared" si="490"/>
        <v>1</v>
      </c>
      <c r="K5010">
        <f t="shared" si="491"/>
        <v>0</v>
      </c>
    </row>
    <row r="5011" spans="1:11" x14ac:dyDescent="0.25">
      <c r="A5011" t="s">
        <v>64</v>
      </c>
      <c r="B5011" t="s">
        <v>65</v>
      </c>
      <c r="C5011" t="s">
        <v>50</v>
      </c>
      <c r="D5011" s="6">
        <v>45969</v>
      </c>
      <c r="E5011" t="str">
        <f>VLOOKUP(B5011,'PROCV GERENTES BD'!A:B,2,0)</f>
        <v>ADMINISTRAÇÃO</v>
      </c>
      <c r="F5011" s="4" t="str">
        <f t="shared" si="486"/>
        <v>2025-11</v>
      </c>
      <c r="G5011" s="18">
        <f t="shared" si="487"/>
        <v>45</v>
      </c>
      <c r="H5011" t="str">
        <f t="shared" si="488"/>
        <v>ADMINISTRAÇÃO</v>
      </c>
      <c r="I5011" t="str">
        <f t="shared" si="489"/>
        <v>SOCIAL S/A</v>
      </c>
      <c r="J5011">
        <f t="shared" si="490"/>
        <v>0</v>
      </c>
      <c r="K5011">
        <f t="shared" si="491"/>
        <v>1</v>
      </c>
    </row>
    <row r="5012" spans="1:11" x14ac:dyDescent="0.25">
      <c r="A5012" t="s">
        <v>352</v>
      </c>
      <c r="B5012" t="s">
        <v>96</v>
      </c>
      <c r="C5012" t="s">
        <v>329</v>
      </c>
      <c r="D5012" s="6">
        <v>45969</v>
      </c>
      <c r="E5012" t="str">
        <f>VLOOKUP(B5012,'PROCV GERENTES BD'!A:B,2,0)</f>
        <v>POENATELA</v>
      </c>
      <c r="F5012" s="4" t="str">
        <f t="shared" si="486"/>
        <v>2025-11</v>
      </c>
      <c r="G5012" s="18">
        <f t="shared" si="487"/>
        <v>45</v>
      </c>
      <c r="H5012" t="str">
        <f t="shared" si="488"/>
        <v>POENATELA</v>
      </c>
      <c r="I5012" t="str">
        <f t="shared" si="489"/>
        <v>SUPER HARD TECNOLOGIA EM TRATAMENTO DE SUPERFICIES</v>
      </c>
      <c r="J5012">
        <f t="shared" si="490"/>
        <v>0</v>
      </c>
      <c r="K5012">
        <f t="shared" si="491"/>
        <v>0</v>
      </c>
    </row>
    <row r="5013" spans="1:11" x14ac:dyDescent="0.25">
      <c r="A5013" t="s">
        <v>352</v>
      </c>
      <c r="B5013" t="s">
        <v>96</v>
      </c>
      <c r="C5013" t="s">
        <v>327</v>
      </c>
      <c r="D5013" s="6">
        <v>45969</v>
      </c>
      <c r="E5013" t="str">
        <f>VLOOKUP(B5013,'PROCV GERENTES BD'!A:B,2,0)</f>
        <v>POENATELA</v>
      </c>
      <c r="F5013" s="4" t="str">
        <f t="shared" si="486"/>
        <v>2025-11</v>
      </c>
      <c r="G5013" s="18">
        <f t="shared" si="487"/>
        <v>45</v>
      </c>
      <c r="H5013" t="str">
        <f t="shared" si="488"/>
        <v>POENATELA</v>
      </c>
      <c r="I5013" t="str">
        <f t="shared" si="489"/>
        <v>SUPER HARD TECNOLOGIA EM TRATAMENTO DE SUPERFICIES</v>
      </c>
      <c r="J5013">
        <f t="shared" si="490"/>
        <v>0</v>
      </c>
      <c r="K5013">
        <f t="shared" si="491"/>
        <v>0</v>
      </c>
    </row>
    <row r="5014" spans="1:11" x14ac:dyDescent="0.25">
      <c r="A5014" t="s">
        <v>58</v>
      </c>
      <c r="B5014" t="s">
        <v>59</v>
      </c>
      <c r="C5014" t="s">
        <v>66</v>
      </c>
      <c r="D5014" s="6">
        <v>45969</v>
      </c>
      <c r="E5014" t="str">
        <f>VLOOKUP(B5014,'PROCV GERENTES BD'!A:B,2,0)</f>
        <v>ADMINISTRAÇÃO</v>
      </c>
      <c r="F5014" s="4" t="str">
        <f t="shared" si="486"/>
        <v>2025-11</v>
      </c>
      <c r="G5014" s="18">
        <f t="shared" si="487"/>
        <v>45</v>
      </c>
      <c r="H5014" t="str">
        <f t="shared" si="488"/>
        <v>ADMINISTRAÇÃO</v>
      </c>
      <c r="I5014" t="str">
        <f t="shared" si="489"/>
        <v>BIOTECH LOGISTICA LTDA</v>
      </c>
      <c r="J5014">
        <f t="shared" si="490"/>
        <v>1</v>
      </c>
      <c r="K5014">
        <f t="shared" si="491"/>
        <v>0</v>
      </c>
    </row>
    <row r="5015" spans="1:11" x14ac:dyDescent="0.25">
      <c r="A5015" t="s">
        <v>56</v>
      </c>
      <c r="B5015" t="s">
        <v>57</v>
      </c>
      <c r="C5015" t="s">
        <v>50</v>
      </c>
      <c r="D5015" s="6">
        <v>45969</v>
      </c>
      <c r="E5015" t="str">
        <f>VLOOKUP(B5015,'PROCV GERENTES BD'!A:B,2,0)</f>
        <v xml:space="preserve">ROGERIO </v>
      </c>
      <c r="F5015" s="4" t="str">
        <f t="shared" si="486"/>
        <v>2025-11</v>
      </c>
      <c r="G5015" s="18">
        <f t="shared" si="487"/>
        <v>45</v>
      </c>
      <c r="H5015" t="str">
        <f t="shared" si="488"/>
        <v xml:space="preserve">ROGERIO </v>
      </c>
      <c r="I5015" t="str">
        <f t="shared" si="489"/>
        <v>RODOVIEIRA TRANSPORTE LTDA</v>
      </c>
      <c r="J5015">
        <f t="shared" si="490"/>
        <v>0</v>
      </c>
      <c r="K5015">
        <f t="shared" si="491"/>
        <v>1</v>
      </c>
    </row>
    <row r="5016" spans="1:11" x14ac:dyDescent="0.25">
      <c r="A5016" t="s">
        <v>361</v>
      </c>
      <c r="B5016" t="s">
        <v>106</v>
      </c>
      <c r="C5016" t="s">
        <v>50</v>
      </c>
      <c r="D5016" s="6">
        <v>45969</v>
      </c>
      <c r="E5016" t="str">
        <f>VLOOKUP(B5016,'PROCV GERENTES BD'!A:B,2,0)</f>
        <v>PRISCILA METZ</v>
      </c>
      <c r="F5016" s="4" t="str">
        <f t="shared" si="486"/>
        <v>2025-11</v>
      </c>
      <c r="G5016" s="18">
        <f t="shared" si="487"/>
        <v>45</v>
      </c>
      <c r="H5016" t="str">
        <f t="shared" si="488"/>
        <v>PRISCILA METZ</v>
      </c>
      <c r="I5016" t="str">
        <f t="shared" si="489"/>
        <v>HERBAMED LABORATORIO NUTRACEUTICO LTDA</v>
      </c>
      <c r="J5016">
        <f t="shared" si="490"/>
        <v>0</v>
      </c>
      <c r="K5016">
        <f t="shared" si="491"/>
        <v>1</v>
      </c>
    </row>
    <row r="5017" spans="1:11" x14ac:dyDescent="0.25">
      <c r="A5017" t="s">
        <v>708</v>
      </c>
      <c r="B5017" t="s">
        <v>570</v>
      </c>
      <c r="C5017" t="s">
        <v>66</v>
      </c>
      <c r="D5017" s="6">
        <v>45969</v>
      </c>
      <c r="E5017" t="str">
        <f>VLOOKUP(B5017,'PROCV GERENTES BD'!A:B,2,0)</f>
        <v>RAFAEL PARISE</v>
      </c>
      <c r="F5017" s="4" t="str">
        <f t="shared" si="486"/>
        <v>2025-11</v>
      </c>
      <c r="G5017" s="18">
        <f t="shared" si="487"/>
        <v>45</v>
      </c>
      <c r="H5017" t="str">
        <f t="shared" si="488"/>
        <v>RAFAEL PARISE</v>
      </c>
      <c r="I5017" t="str">
        <f t="shared" si="489"/>
        <v>NITROTEX INDUSTRIA E COMERCIO TEXTEIS LTDA ME</v>
      </c>
      <c r="J5017">
        <f t="shared" si="490"/>
        <v>1</v>
      </c>
      <c r="K5017">
        <f t="shared" si="491"/>
        <v>0</v>
      </c>
    </row>
    <row r="5018" spans="1:11" x14ac:dyDescent="0.25">
      <c r="A5018" t="s">
        <v>687</v>
      </c>
      <c r="B5018" t="s">
        <v>684</v>
      </c>
      <c r="C5018" t="s">
        <v>66</v>
      </c>
      <c r="D5018" s="6">
        <v>45969</v>
      </c>
      <c r="E5018" t="str">
        <f>VLOOKUP(B5018,'PROCV GERENTES BD'!A:B,2,0)</f>
        <v>DALVA</v>
      </c>
      <c r="F5018" s="4" t="str">
        <f t="shared" si="486"/>
        <v>2025-11</v>
      </c>
      <c r="G5018" s="18">
        <f t="shared" si="487"/>
        <v>45</v>
      </c>
      <c r="H5018" t="str">
        <f t="shared" si="488"/>
        <v>DALVA</v>
      </c>
      <c r="I5018" t="str">
        <f t="shared" si="489"/>
        <v>AGUIA DE FOGO PREVENCAO DE INCENDIO LTDA EPP</v>
      </c>
      <c r="J5018">
        <f t="shared" si="490"/>
        <v>1</v>
      </c>
      <c r="K5018">
        <f t="shared" si="491"/>
        <v>0</v>
      </c>
    </row>
    <row r="5019" spans="1:11" x14ac:dyDescent="0.25">
      <c r="A5019" t="s">
        <v>311</v>
      </c>
      <c r="B5019" t="s">
        <v>81</v>
      </c>
      <c r="C5019" t="s">
        <v>50</v>
      </c>
      <c r="D5019" s="6">
        <v>45972</v>
      </c>
      <c r="E5019" t="str">
        <f>VLOOKUP(B5019,'PROCV GERENTES BD'!A:B,2,0)</f>
        <v>CELIO PIMENTA</v>
      </c>
      <c r="F5019" s="4" t="str">
        <f t="shared" ref="F5019:F5047" si="492">YEAR(D5019)&amp;"-"&amp;TEXT(MONTH(D5019),"00")</f>
        <v>2025-11</v>
      </c>
      <c r="G5019" s="18">
        <f t="shared" ref="G5019:G5047" si="493">WEEKNUM(D5019)</f>
        <v>46</v>
      </c>
      <c r="H5019" t="str">
        <f t="shared" ref="H5019:H5047" si="494">E5019</f>
        <v>CELIO PIMENTA</v>
      </c>
      <c r="I5019" t="str">
        <f t="shared" ref="I5019:I5047" si="495">B5019</f>
        <v>MBIOLOG DIAGNOSTICOS LTDA</v>
      </c>
      <c r="J5019">
        <f t="shared" ref="J5019:J5047" si="496">IF(OR(C5019="EXCLUSAO  ANOT.INADIMPLENCIA",C5019="INCL/EXCL ANOT.INADIMPLENCIA"),1,0)</f>
        <v>0</v>
      </c>
      <c r="K5019">
        <f t="shared" ref="K5019:K5047" si="497">IF(OR(C5019="INCLUSAO  ANOT.INADIMPLENCIA",C5019="INCL/EXCL ANOT.INADIMPLENCIA"),1,0)</f>
        <v>1</v>
      </c>
    </row>
    <row r="5020" spans="1:11" x14ac:dyDescent="0.25">
      <c r="A5020" t="s">
        <v>510</v>
      </c>
      <c r="B5020" t="s">
        <v>273</v>
      </c>
      <c r="C5020" t="s">
        <v>50</v>
      </c>
      <c r="D5020" s="6">
        <v>45972</v>
      </c>
      <c r="E5020" t="str">
        <f>VLOOKUP(B5020,'PROCV GERENTES BD'!A:B,2,0)</f>
        <v>CELIO PIMENTA</v>
      </c>
      <c r="F5020" s="4" t="str">
        <f t="shared" si="492"/>
        <v>2025-11</v>
      </c>
      <c r="G5020" s="18">
        <f t="shared" si="493"/>
        <v>46</v>
      </c>
      <c r="H5020" t="str">
        <f t="shared" si="494"/>
        <v>CELIO PIMENTA</v>
      </c>
      <c r="I5020" t="str">
        <f t="shared" si="495"/>
        <v>PRADO MOREIRA TEXTIL LTDA ME</v>
      </c>
      <c r="J5020">
        <f t="shared" si="496"/>
        <v>0</v>
      </c>
      <c r="K5020">
        <f t="shared" si="497"/>
        <v>1</v>
      </c>
    </row>
    <row r="5021" spans="1:11" x14ac:dyDescent="0.25">
      <c r="A5021" t="s">
        <v>460</v>
      </c>
      <c r="B5021" t="s">
        <v>217</v>
      </c>
      <c r="C5021" t="s">
        <v>50</v>
      </c>
      <c r="D5021" s="6">
        <v>45972</v>
      </c>
      <c r="E5021" t="str">
        <f>VLOOKUP(B5021,'PROCV GERENTES BD'!A:B,2,0)</f>
        <v>CELIO PIMENTA</v>
      </c>
      <c r="F5021" s="4" t="str">
        <f t="shared" si="492"/>
        <v>2025-11</v>
      </c>
      <c r="G5021" s="18">
        <f t="shared" si="493"/>
        <v>46</v>
      </c>
      <c r="H5021" t="str">
        <f t="shared" si="494"/>
        <v>CELIO PIMENTA</v>
      </c>
      <c r="I5021" t="str">
        <f t="shared" si="495"/>
        <v>MINAS CLEAN DISTRIBUIDORA DE PRODUTOS PARA LIMPEZA</v>
      </c>
      <c r="J5021">
        <f t="shared" si="496"/>
        <v>0</v>
      </c>
      <c r="K5021">
        <f t="shared" si="497"/>
        <v>1</v>
      </c>
    </row>
    <row r="5022" spans="1:11" x14ac:dyDescent="0.25">
      <c r="A5022" t="s">
        <v>488</v>
      </c>
      <c r="B5022" t="s">
        <v>247</v>
      </c>
      <c r="C5022" t="s">
        <v>50</v>
      </c>
      <c r="D5022" s="6">
        <v>45972</v>
      </c>
      <c r="E5022" t="str">
        <f>VLOOKUP(B5022,'PROCV GERENTES BD'!A:B,2,0)</f>
        <v>CELIO PIMENTA</v>
      </c>
      <c r="F5022" s="4" t="str">
        <f t="shared" si="492"/>
        <v>2025-11</v>
      </c>
      <c r="G5022" s="18">
        <f t="shared" si="493"/>
        <v>46</v>
      </c>
      <c r="H5022" t="str">
        <f t="shared" si="494"/>
        <v>CELIO PIMENTA</v>
      </c>
      <c r="I5022" t="str">
        <f t="shared" si="495"/>
        <v>AZ HIDRAULICA USINAGEM LTDA EPP</v>
      </c>
      <c r="J5022">
        <f t="shared" si="496"/>
        <v>0</v>
      </c>
      <c r="K5022">
        <f t="shared" si="497"/>
        <v>1</v>
      </c>
    </row>
    <row r="5023" spans="1:11" x14ac:dyDescent="0.25">
      <c r="A5023" t="s">
        <v>655</v>
      </c>
      <c r="B5023" t="s">
        <v>548</v>
      </c>
      <c r="C5023" t="s">
        <v>50</v>
      </c>
      <c r="D5023" s="6">
        <v>45972</v>
      </c>
      <c r="E5023" t="str">
        <f>VLOOKUP(B5023,'PROCV GERENTES BD'!A:B,2,0)</f>
        <v xml:space="preserve">ROGERIO </v>
      </c>
      <c r="F5023" s="4" t="str">
        <f t="shared" si="492"/>
        <v>2025-11</v>
      </c>
      <c r="G5023" s="18">
        <f t="shared" si="493"/>
        <v>46</v>
      </c>
      <c r="H5023" t="str">
        <f t="shared" si="494"/>
        <v xml:space="preserve">ROGERIO </v>
      </c>
      <c r="I5023" t="str">
        <f t="shared" si="495"/>
        <v>AGROEP PISCICULTURA LTDA ME</v>
      </c>
      <c r="J5023">
        <f t="shared" si="496"/>
        <v>0</v>
      </c>
      <c r="K5023">
        <f t="shared" si="497"/>
        <v>1</v>
      </c>
    </row>
    <row r="5024" spans="1:11" x14ac:dyDescent="0.25">
      <c r="A5024" t="s">
        <v>661</v>
      </c>
      <c r="B5024" t="s">
        <v>662</v>
      </c>
      <c r="C5024" t="s">
        <v>50</v>
      </c>
      <c r="D5024" s="6">
        <v>45972</v>
      </c>
      <c r="E5024" t="str">
        <f>VLOOKUP(B5024,'PROCV GERENTES BD'!A:B,2,0)</f>
        <v>PRISCILA METZ</v>
      </c>
      <c r="F5024" s="4" t="str">
        <f t="shared" si="492"/>
        <v>2025-11</v>
      </c>
      <c r="G5024" s="18">
        <f t="shared" si="493"/>
        <v>46</v>
      </c>
      <c r="H5024" t="str">
        <f t="shared" si="494"/>
        <v>PRISCILA METZ</v>
      </c>
      <c r="I5024" t="str">
        <f t="shared" si="495"/>
        <v>LIDER DISTRIBUIDORA DE MOVEIS E EQUIPAMENTOS PARA</v>
      </c>
      <c r="J5024">
        <f t="shared" si="496"/>
        <v>0</v>
      </c>
      <c r="K5024">
        <f t="shared" si="497"/>
        <v>1</v>
      </c>
    </row>
    <row r="5025" spans="1:11" x14ac:dyDescent="0.25">
      <c r="A5025" t="s">
        <v>427</v>
      </c>
      <c r="B5025" t="s">
        <v>178</v>
      </c>
      <c r="C5025" t="s">
        <v>50</v>
      </c>
      <c r="D5025" s="6">
        <v>45972</v>
      </c>
      <c r="E5025" t="str">
        <f>VLOOKUP(B5025,'PROCV GERENTES BD'!A:B,2,0)</f>
        <v>ADMINISTRAÇÃO</v>
      </c>
      <c r="F5025" s="4" t="str">
        <f t="shared" si="492"/>
        <v>2025-11</v>
      </c>
      <c r="G5025" s="18">
        <f t="shared" si="493"/>
        <v>46</v>
      </c>
      <c r="H5025" t="str">
        <f t="shared" si="494"/>
        <v>ADMINISTRAÇÃO</v>
      </c>
      <c r="I5025" t="str">
        <f t="shared" si="495"/>
        <v>LIZZENA COSMETICOS LTDA EPP</v>
      </c>
      <c r="J5025">
        <f t="shared" si="496"/>
        <v>0</v>
      </c>
      <c r="K5025">
        <f t="shared" si="497"/>
        <v>1</v>
      </c>
    </row>
    <row r="5026" spans="1:11" x14ac:dyDescent="0.25">
      <c r="A5026" t="s">
        <v>716</v>
      </c>
      <c r="B5026" t="s">
        <v>717</v>
      </c>
      <c r="C5026" t="s">
        <v>50</v>
      </c>
      <c r="D5026" s="6">
        <v>45972</v>
      </c>
      <c r="E5026" t="str">
        <f>VLOOKUP(B5026,'PROCV GERENTES BD'!A:B,2,0)</f>
        <v xml:space="preserve">ROGERIO </v>
      </c>
      <c r="F5026" s="4" t="str">
        <f t="shared" si="492"/>
        <v>2025-11</v>
      </c>
      <c r="G5026" s="18">
        <f t="shared" si="493"/>
        <v>46</v>
      </c>
      <c r="H5026" t="str">
        <f t="shared" si="494"/>
        <v xml:space="preserve">ROGERIO </v>
      </c>
      <c r="I5026" t="str">
        <f t="shared" si="495"/>
        <v>CONFIARE TERCERIZACAO LTDA EPP</v>
      </c>
      <c r="J5026">
        <f t="shared" si="496"/>
        <v>0</v>
      </c>
      <c r="K5026">
        <f t="shared" si="497"/>
        <v>1</v>
      </c>
    </row>
    <row r="5027" spans="1:11" x14ac:dyDescent="0.25">
      <c r="A5027" t="s">
        <v>442</v>
      </c>
      <c r="B5027" t="s">
        <v>193</v>
      </c>
      <c r="C5027" t="s">
        <v>66</v>
      </c>
      <c r="D5027" s="6">
        <v>45972</v>
      </c>
      <c r="E5027" t="str">
        <f>VLOOKUP(B5027,'PROCV GERENTES BD'!A:B,2,0)</f>
        <v>CELIO PIMENTA</v>
      </c>
      <c r="F5027" s="4" t="str">
        <f t="shared" si="492"/>
        <v>2025-11</v>
      </c>
      <c r="G5027" s="18">
        <f t="shared" si="493"/>
        <v>46</v>
      </c>
      <c r="H5027" t="str">
        <f t="shared" si="494"/>
        <v>CELIO PIMENTA</v>
      </c>
      <c r="I5027" t="str">
        <f t="shared" si="495"/>
        <v>CIA TEXTIL LTDA ME</v>
      </c>
      <c r="J5027">
        <f t="shared" si="496"/>
        <v>1</v>
      </c>
      <c r="K5027">
        <f t="shared" si="497"/>
        <v>0</v>
      </c>
    </row>
    <row r="5028" spans="1:11" x14ac:dyDescent="0.25">
      <c r="A5028" t="s">
        <v>614</v>
      </c>
      <c r="B5028" t="s">
        <v>615</v>
      </c>
      <c r="C5028" t="s">
        <v>50</v>
      </c>
      <c r="D5028" s="6">
        <v>45972</v>
      </c>
      <c r="E5028" t="str">
        <f>VLOOKUP(B5028,'PROCV GERENTES BD'!A:B,2,0)</f>
        <v>RAFAEL PARISE</v>
      </c>
      <c r="F5028" s="4" t="str">
        <f t="shared" si="492"/>
        <v>2025-11</v>
      </c>
      <c r="G5028" s="18">
        <f t="shared" si="493"/>
        <v>46</v>
      </c>
      <c r="H5028" t="str">
        <f t="shared" si="494"/>
        <v>RAFAEL PARISE</v>
      </c>
      <c r="I5028" t="str">
        <f t="shared" si="495"/>
        <v>SAGATEC LTDA</v>
      </c>
      <c r="J5028">
        <f t="shared" si="496"/>
        <v>0</v>
      </c>
      <c r="K5028">
        <f t="shared" si="497"/>
        <v>1</v>
      </c>
    </row>
    <row r="5029" spans="1:11" x14ac:dyDescent="0.25">
      <c r="A5029" t="s">
        <v>64</v>
      </c>
      <c r="B5029" t="s">
        <v>65</v>
      </c>
      <c r="C5029" t="s">
        <v>50</v>
      </c>
      <c r="D5029" s="6">
        <v>45972</v>
      </c>
      <c r="E5029" t="str">
        <f>VLOOKUP(B5029,'PROCV GERENTES BD'!A:B,2,0)</f>
        <v>ADMINISTRAÇÃO</v>
      </c>
      <c r="F5029" s="4" t="str">
        <f t="shared" si="492"/>
        <v>2025-11</v>
      </c>
      <c r="G5029" s="18">
        <f t="shared" si="493"/>
        <v>46</v>
      </c>
      <c r="H5029" t="str">
        <f t="shared" si="494"/>
        <v>ADMINISTRAÇÃO</v>
      </c>
      <c r="I5029" t="str">
        <f t="shared" si="495"/>
        <v>SOCIAL S/A</v>
      </c>
      <c r="J5029">
        <f t="shared" si="496"/>
        <v>0</v>
      </c>
      <c r="K5029">
        <f t="shared" si="497"/>
        <v>1</v>
      </c>
    </row>
    <row r="5030" spans="1:11" x14ac:dyDescent="0.25">
      <c r="A5030" t="s">
        <v>62</v>
      </c>
      <c r="B5030" t="s">
        <v>63</v>
      </c>
      <c r="C5030" t="s">
        <v>50</v>
      </c>
      <c r="D5030" s="6">
        <v>45972</v>
      </c>
      <c r="E5030" t="str">
        <f>VLOOKUP(B5030,'PROCV GERENTES BD'!A:B,2,0)</f>
        <v>PROSPECTAR</v>
      </c>
      <c r="F5030" s="4" t="str">
        <f t="shared" si="492"/>
        <v>2025-11</v>
      </c>
      <c r="G5030" s="18">
        <f t="shared" si="493"/>
        <v>46</v>
      </c>
      <c r="H5030" t="str">
        <f t="shared" si="494"/>
        <v>PROSPECTAR</v>
      </c>
      <c r="I5030" t="str">
        <f t="shared" si="495"/>
        <v>MAPP COM IMPORTACAO EXPORTACAO IND PRODUTOS ALIMEN</v>
      </c>
      <c r="J5030">
        <f t="shared" si="496"/>
        <v>0</v>
      </c>
      <c r="K5030">
        <f t="shared" si="497"/>
        <v>1</v>
      </c>
    </row>
    <row r="5031" spans="1:11" x14ac:dyDescent="0.25">
      <c r="A5031" t="s">
        <v>519</v>
      </c>
      <c r="B5031" t="s">
        <v>283</v>
      </c>
      <c r="C5031" t="s">
        <v>50</v>
      </c>
      <c r="D5031" s="6">
        <v>45972</v>
      </c>
      <c r="E5031" t="str">
        <f>VLOOKUP(B5031,'PROCV GERENTES BD'!A:B,2,0)</f>
        <v>DALVA</v>
      </c>
      <c r="F5031" s="4" t="str">
        <f t="shared" si="492"/>
        <v>2025-11</v>
      </c>
      <c r="G5031" s="18">
        <f t="shared" si="493"/>
        <v>46</v>
      </c>
      <c r="H5031" t="str">
        <f t="shared" si="494"/>
        <v>DALVA</v>
      </c>
      <c r="I5031" t="str">
        <f t="shared" si="495"/>
        <v>LTA USINAGEM LTDA EPP</v>
      </c>
      <c r="J5031">
        <f t="shared" si="496"/>
        <v>0</v>
      </c>
      <c r="K5031">
        <f t="shared" si="497"/>
        <v>1</v>
      </c>
    </row>
    <row r="5032" spans="1:11" x14ac:dyDescent="0.25">
      <c r="A5032" t="s">
        <v>687</v>
      </c>
      <c r="B5032" t="s">
        <v>684</v>
      </c>
      <c r="C5032" t="s">
        <v>50</v>
      </c>
      <c r="D5032" s="6">
        <v>45972</v>
      </c>
      <c r="E5032" t="str">
        <f>VLOOKUP(B5032,'PROCV GERENTES BD'!A:B,2,0)</f>
        <v>DALVA</v>
      </c>
      <c r="F5032" s="4" t="str">
        <f t="shared" si="492"/>
        <v>2025-11</v>
      </c>
      <c r="G5032" s="18">
        <f t="shared" si="493"/>
        <v>46</v>
      </c>
      <c r="H5032" t="str">
        <f t="shared" si="494"/>
        <v>DALVA</v>
      </c>
      <c r="I5032" t="str">
        <f t="shared" si="495"/>
        <v>AGUIA DE FOGO PREVENCAO DE INCENDIO LTDA EPP</v>
      </c>
      <c r="J5032">
        <f t="shared" si="496"/>
        <v>0</v>
      </c>
      <c r="K5032">
        <f t="shared" si="497"/>
        <v>1</v>
      </c>
    </row>
    <row r="5033" spans="1:11" x14ac:dyDescent="0.25">
      <c r="A5033" t="s">
        <v>499</v>
      </c>
      <c r="B5033" t="s">
        <v>258</v>
      </c>
      <c r="C5033" t="s">
        <v>53</v>
      </c>
      <c r="D5033" s="6">
        <v>45972</v>
      </c>
      <c r="E5033" t="str">
        <f>VLOOKUP(B5033,'PROCV GERENTES BD'!A:B,2,0)</f>
        <v>PRISCILA METZ</v>
      </c>
      <c r="F5033" s="4" t="str">
        <f t="shared" si="492"/>
        <v>2025-11</v>
      </c>
      <c r="G5033" s="18">
        <f t="shared" si="493"/>
        <v>46</v>
      </c>
      <c r="H5033" t="str">
        <f t="shared" si="494"/>
        <v>PRISCILA METZ</v>
      </c>
      <c r="I5033" t="str">
        <f t="shared" si="495"/>
        <v>PLATINUM INDUSTRIA DE CONFECCOES LTDA</v>
      </c>
      <c r="J5033">
        <f t="shared" si="496"/>
        <v>1</v>
      </c>
      <c r="K5033">
        <f t="shared" si="497"/>
        <v>1</v>
      </c>
    </row>
    <row r="5034" spans="1:11" x14ac:dyDescent="0.25">
      <c r="A5034" t="s">
        <v>722</v>
      </c>
      <c r="B5034" t="s">
        <v>723</v>
      </c>
      <c r="C5034" t="s">
        <v>53</v>
      </c>
      <c r="D5034" s="6">
        <v>45972</v>
      </c>
      <c r="E5034" t="str">
        <f>VLOOKUP(B5034,'PROCV GERENTES BD'!A:B,2,0)</f>
        <v>POENATELA</v>
      </c>
      <c r="F5034" s="4" t="str">
        <f t="shared" si="492"/>
        <v>2025-11</v>
      </c>
      <c r="G5034" s="18">
        <f t="shared" si="493"/>
        <v>46</v>
      </c>
      <c r="H5034" t="str">
        <f t="shared" si="494"/>
        <v>POENATELA</v>
      </c>
      <c r="I5034" t="str">
        <f t="shared" si="495"/>
        <v>LIDER MIX CONCRETOS E AGREGADOS LTDA</v>
      </c>
      <c r="J5034">
        <f t="shared" si="496"/>
        <v>1</v>
      </c>
      <c r="K5034">
        <f t="shared" si="497"/>
        <v>1</v>
      </c>
    </row>
    <row r="5035" spans="1:11" x14ac:dyDescent="0.25">
      <c r="A5035" t="s">
        <v>309</v>
      </c>
      <c r="B5035" t="s">
        <v>291</v>
      </c>
      <c r="C5035" t="s">
        <v>66</v>
      </c>
      <c r="D5035" s="6">
        <v>45972</v>
      </c>
      <c r="E5035" t="str">
        <f>VLOOKUP(B5035,'PROCV GERENTES BD'!A:B,2,0)</f>
        <v>ANTECIPA</v>
      </c>
      <c r="F5035" s="4" t="str">
        <f t="shared" si="492"/>
        <v>2025-11</v>
      </c>
      <c r="G5035" s="18">
        <f t="shared" si="493"/>
        <v>46</v>
      </c>
      <c r="H5035" t="str">
        <f t="shared" si="494"/>
        <v>ANTECIPA</v>
      </c>
      <c r="I5035" t="str">
        <f t="shared" si="495"/>
        <v>CENTRAL DO M R O COMERCIAL IMPORTACOES E SERVICOS</v>
      </c>
      <c r="J5035">
        <f t="shared" si="496"/>
        <v>1</v>
      </c>
      <c r="K5035">
        <f t="shared" si="497"/>
        <v>0</v>
      </c>
    </row>
    <row r="5036" spans="1:11" x14ac:dyDescent="0.25">
      <c r="A5036" t="s">
        <v>58</v>
      </c>
      <c r="B5036" t="s">
        <v>59</v>
      </c>
      <c r="C5036" t="s">
        <v>50</v>
      </c>
      <c r="D5036" s="6">
        <v>45972</v>
      </c>
      <c r="E5036" t="str">
        <f>VLOOKUP(B5036,'PROCV GERENTES BD'!A:B,2,0)</f>
        <v>ADMINISTRAÇÃO</v>
      </c>
      <c r="F5036" s="4" t="str">
        <f t="shared" si="492"/>
        <v>2025-11</v>
      </c>
      <c r="G5036" s="18">
        <f t="shared" si="493"/>
        <v>46</v>
      </c>
      <c r="H5036" t="str">
        <f t="shared" si="494"/>
        <v>ADMINISTRAÇÃO</v>
      </c>
      <c r="I5036" t="str">
        <f t="shared" si="495"/>
        <v>BIOTECH LOGISTICA LTDA</v>
      </c>
      <c r="J5036">
        <f t="shared" si="496"/>
        <v>0</v>
      </c>
      <c r="K5036">
        <f t="shared" si="497"/>
        <v>1</v>
      </c>
    </row>
    <row r="5037" spans="1:11" x14ac:dyDescent="0.25">
      <c r="A5037" t="s">
        <v>56</v>
      </c>
      <c r="B5037" t="s">
        <v>57</v>
      </c>
      <c r="C5037" t="s">
        <v>53</v>
      </c>
      <c r="D5037" s="6">
        <v>45972</v>
      </c>
      <c r="E5037" t="str">
        <f>VLOOKUP(B5037,'PROCV GERENTES BD'!A:B,2,0)</f>
        <v xml:space="preserve">ROGERIO </v>
      </c>
      <c r="F5037" s="4" t="str">
        <f t="shared" si="492"/>
        <v>2025-11</v>
      </c>
      <c r="G5037" s="18">
        <f t="shared" si="493"/>
        <v>46</v>
      </c>
      <c r="H5037" t="str">
        <f t="shared" si="494"/>
        <v xml:space="preserve">ROGERIO </v>
      </c>
      <c r="I5037" t="str">
        <f t="shared" si="495"/>
        <v>RODOVIEIRA TRANSPORTE LTDA</v>
      </c>
      <c r="J5037">
        <f t="shared" si="496"/>
        <v>1</v>
      </c>
      <c r="K5037">
        <f t="shared" si="497"/>
        <v>1</v>
      </c>
    </row>
    <row r="5038" spans="1:11" x14ac:dyDescent="0.25">
      <c r="A5038" t="s">
        <v>361</v>
      </c>
      <c r="B5038" t="s">
        <v>106</v>
      </c>
      <c r="C5038" t="s">
        <v>50</v>
      </c>
      <c r="D5038" s="6">
        <v>45972</v>
      </c>
      <c r="E5038" t="str">
        <f>VLOOKUP(B5038,'PROCV GERENTES BD'!A:B,2,0)</f>
        <v>PRISCILA METZ</v>
      </c>
      <c r="F5038" s="4" t="str">
        <f t="shared" si="492"/>
        <v>2025-11</v>
      </c>
      <c r="G5038" s="18">
        <f t="shared" si="493"/>
        <v>46</v>
      </c>
      <c r="H5038" t="str">
        <f t="shared" si="494"/>
        <v>PRISCILA METZ</v>
      </c>
      <c r="I5038" t="str">
        <f t="shared" si="495"/>
        <v>HERBAMED LABORATORIO NUTRACEUTICO LTDA</v>
      </c>
      <c r="J5038">
        <f t="shared" si="496"/>
        <v>0</v>
      </c>
      <c r="K5038">
        <f t="shared" si="497"/>
        <v>1</v>
      </c>
    </row>
    <row r="5039" spans="1:11" x14ac:dyDescent="0.25">
      <c r="A5039" t="s">
        <v>698</v>
      </c>
      <c r="B5039" t="s">
        <v>699</v>
      </c>
      <c r="C5039" t="s">
        <v>50</v>
      </c>
      <c r="D5039" s="6">
        <v>45972</v>
      </c>
      <c r="E5039" t="str">
        <f>VLOOKUP(B5039,'PROCV GERENTES BD'!A:B,2,0)</f>
        <v>VALERIA</v>
      </c>
      <c r="F5039" s="4" t="str">
        <f t="shared" si="492"/>
        <v>2025-11</v>
      </c>
      <c r="G5039" s="18">
        <f t="shared" si="493"/>
        <v>46</v>
      </c>
      <c r="H5039" t="str">
        <f t="shared" si="494"/>
        <v>VALERIA</v>
      </c>
      <c r="I5039" t="str">
        <f t="shared" si="495"/>
        <v>FRIGORIFICO BRAZFRIG INDUSTRIA E IMPORTACAO LTDA E</v>
      </c>
      <c r="J5039">
        <f t="shared" si="496"/>
        <v>0</v>
      </c>
      <c r="K5039">
        <f t="shared" si="497"/>
        <v>1</v>
      </c>
    </row>
    <row r="5040" spans="1:11" x14ac:dyDescent="0.25">
      <c r="A5040" t="s">
        <v>387</v>
      </c>
      <c r="B5040" t="s">
        <v>134</v>
      </c>
      <c r="C5040" t="s">
        <v>53</v>
      </c>
      <c r="D5040" s="6">
        <v>45972</v>
      </c>
      <c r="E5040" t="str">
        <f>VLOOKUP(B5040,'PROCV GERENTES BD'!A:B,2,0)</f>
        <v>RAFAEL PARISE</v>
      </c>
      <c r="F5040" s="4" t="str">
        <f t="shared" si="492"/>
        <v>2025-11</v>
      </c>
      <c r="G5040" s="18">
        <f t="shared" si="493"/>
        <v>46</v>
      </c>
      <c r="H5040" t="str">
        <f t="shared" si="494"/>
        <v>RAFAEL PARISE</v>
      </c>
      <c r="I5040" t="str">
        <f t="shared" si="495"/>
        <v>MAIS DISTRIBUIDORA LTDA</v>
      </c>
      <c r="J5040">
        <f t="shared" si="496"/>
        <v>1</v>
      </c>
      <c r="K5040">
        <f t="shared" si="497"/>
        <v>1</v>
      </c>
    </row>
    <row r="5041" spans="1:11" x14ac:dyDescent="0.25">
      <c r="A5041" t="s">
        <v>720</v>
      </c>
      <c r="B5041" t="s">
        <v>721</v>
      </c>
      <c r="C5041" t="s">
        <v>66</v>
      </c>
      <c r="D5041" s="6">
        <v>45972</v>
      </c>
      <c r="E5041" t="str">
        <f>VLOOKUP(B5041,'PROCV GERENTES BD'!A:B,2,0)</f>
        <v>POENATELA</v>
      </c>
      <c r="F5041" s="4" t="str">
        <f t="shared" si="492"/>
        <v>2025-11</v>
      </c>
      <c r="G5041" s="18">
        <f t="shared" si="493"/>
        <v>46</v>
      </c>
      <c r="H5041" t="str">
        <f t="shared" si="494"/>
        <v>POENATELA</v>
      </c>
      <c r="I5041" t="str">
        <f t="shared" si="495"/>
        <v>FERA DO ACO INDUSTRIA E COMERCIO LTDA EPP</v>
      </c>
      <c r="J5041">
        <f t="shared" si="496"/>
        <v>1</v>
      </c>
      <c r="K5041">
        <f t="shared" si="497"/>
        <v>0</v>
      </c>
    </row>
    <row r="5042" spans="1:11" x14ac:dyDescent="0.25">
      <c r="A5042" t="s">
        <v>51</v>
      </c>
      <c r="B5042" t="s">
        <v>52</v>
      </c>
      <c r="C5042" t="s">
        <v>50</v>
      </c>
      <c r="D5042" s="6">
        <v>45972</v>
      </c>
      <c r="E5042" t="str">
        <f>VLOOKUP(B5042,'PROCV GERENTES BD'!A:B,2,0)</f>
        <v>RAFAEL PARISE</v>
      </c>
      <c r="F5042" s="4" t="str">
        <f t="shared" si="492"/>
        <v>2025-11</v>
      </c>
      <c r="G5042" s="18">
        <f t="shared" si="493"/>
        <v>46</v>
      </c>
      <c r="H5042" t="str">
        <f t="shared" si="494"/>
        <v>RAFAEL PARISE</v>
      </c>
      <c r="I5042" t="str">
        <f t="shared" si="495"/>
        <v>TDR TRANSPORTES LOGISTICA LTDA</v>
      </c>
      <c r="J5042">
        <f t="shared" si="496"/>
        <v>0</v>
      </c>
      <c r="K5042">
        <f t="shared" si="497"/>
        <v>1</v>
      </c>
    </row>
    <row r="5043" spans="1:11" x14ac:dyDescent="0.25">
      <c r="A5043" t="s">
        <v>660</v>
      </c>
      <c r="B5043" t="s">
        <v>545</v>
      </c>
      <c r="C5043" t="s">
        <v>50</v>
      </c>
      <c r="D5043" s="6">
        <v>45972</v>
      </c>
      <c r="E5043" t="str">
        <f>VLOOKUP(B5043,'PROCV GERENTES BD'!A:B,2,0)</f>
        <v xml:space="preserve">ROGERIO </v>
      </c>
      <c r="F5043" s="4" t="str">
        <f t="shared" si="492"/>
        <v>2025-11</v>
      </c>
      <c r="G5043" s="18">
        <f t="shared" si="493"/>
        <v>46</v>
      </c>
      <c r="H5043" t="str">
        <f t="shared" si="494"/>
        <v xml:space="preserve">ROGERIO </v>
      </c>
      <c r="I5043" t="str">
        <f t="shared" si="495"/>
        <v>DISEP ALIMENTOS LTDA ME</v>
      </c>
      <c r="J5043">
        <f t="shared" si="496"/>
        <v>0</v>
      </c>
      <c r="K5043">
        <f t="shared" si="497"/>
        <v>1</v>
      </c>
    </row>
    <row r="5044" spans="1:11" x14ac:dyDescent="0.25">
      <c r="A5044" t="s">
        <v>415</v>
      </c>
      <c r="B5044" t="s">
        <v>165</v>
      </c>
      <c r="C5044" t="s">
        <v>50</v>
      </c>
      <c r="D5044" s="6">
        <v>45972</v>
      </c>
      <c r="E5044" t="str">
        <f>VLOOKUP(B5044,'PROCV GERENTES BD'!A:B,2,0)</f>
        <v>PROSPECTAR</v>
      </c>
      <c r="F5044" s="4" t="str">
        <f t="shared" si="492"/>
        <v>2025-11</v>
      </c>
      <c r="G5044" s="18">
        <f t="shared" si="493"/>
        <v>46</v>
      </c>
      <c r="H5044" t="str">
        <f t="shared" si="494"/>
        <v>PROSPECTAR</v>
      </c>
      <c r="I5044" t="str">
        <f t="shared" si="495"/>
        <v>STA SERVICOS LTDA</v>
      </c>
      <c r="J5044">
        <f t="shared" si="496"/>
        <v>0</v>
      </c>
      <c r="K5044">
        <f t="shared" si="497"/>
        <v>1</v>
      </c>
    </row>
    <row r="5045" spans="1:11" x14ac:dyDescent="0.25">
      <c r="A5045" t="s">
        <v>724</v>
      </c>
      <c r="B5045" t="s">
        <v>725</v>
      </c>
      <c r="C5045" t="s">
        <v>50</v>
      </c>
      <c r="D5045" s="6">
        <v>45972</v>
      </c>
      <c r="E5045" t="str">
        <f>VLOOKUP(B5045,'PROCV GERENTES BD'!A:B,2,0)</f>
        <v xml:space="preserve">ROGERIO </v>
      </c>
      <c r="F5045" s="4" t="str">
        <f t="shared" si="492"/>
        <v>2025-11</v>
      </c>
      <c r="G5045" s="18">
        <f t="shared" si="493"/>
        <v>46</v>
      </c>
      <c r="H5045" t="str">
        <f t="shared" si="494"/>
        <v xml:space="preserve">ROGERIO </v>
      </c>
      <c r="I5045" t="str">
        <f t="shared" si="495"/>
        <v>CONFIARE ADMINISTRACAO E SERVICOS LTDA ME</v>
      </c>
      <c r="J5045">
        <f t="shared" si="496"/>
        <v>0</v>
      </c>
      <c r="K5045">
        <f t="shared" si="497"/>
        <v>1</v>
      </c>
    </row>
    <row r="5046" spans="1:11" x14ac:dyDescent="0.25">
      <c r="A5046" t="s">
        <v>317</v>
      </c>
      <c r="B5046" t="s">
        <v>280</v>
      </c>
      <c r="C5046" t="s">
        <v>50</v>
      </c>
      <c r="D5046" s="6">
        <v>45972</v>
      </c>
      <c r="E5046" t="str">
        <f>VLOOKUP(B5046,'PROCV GERENTES BD'!A:B,2,0)</f>
        <v>PROSPECTAR</v>
      </c>
      <c r="F5046" s="4" t="str">
        <f t="shared" si="492"/>
        <v>2025-11</v>
      </c>
      <c r="G5046" s="18">
        <f t="shared" si="493"/>
        <v>46</v>
      </c>
      <c r="H5046" t="str">
        <f t="shared" si="494"/>
        <v>PROSPECTAR</v>
      </c>
      <c r="I5046" t="str">
        <f t="shared" si="495"/>
        <v>STA TECHCANA LTDA</v>
      </c>
      <c r="J5046">
        <f t="shared" si="496"/>
        <v>0</v>
      </c>
      <c r="K5046">
        <f t="shared" si="497"/>
        <v>1</v>
      </c>
    </row>
    <row r="5047" spans="1:11" x14ac:dyDescent="0.25">
      <c r="A5047" t="s">
        <v>326</v>
      </c>
      <c r="B5047" t="s">
        <v>122</v>
      </c>
      <c r="C5047" t="s">
        <v>50</v>
      </c>
      <c r="D5047" s="6">
        <v>45972</v>
      </c>
      <c r="E5047" t="str">
        <f>VLOOKUP(B5047,'PROCV GERENTES BD'!A:B,2,0)</f>
        <v xml:space="preserve">ROGERIO </v>
      </c>
      <c r="F5047" s="4" t="str">
        <f t="shared" si="492"/>
        <v>2025-11</v>
      </c>
      <c r="G5047" s="18">
        <f t="shared" si="493"/>
        <v>46</v>
      </c>
      <c r="H5047" t="str">
        <f t="shared" si="494"/>
        <v xml:space="preserve">ROGERIO </v>
      </c>
      <c r="I5047" t="str">
        <f t="shared" si="495"/>
        <v>BIBE PRODUTOS INFANTIS LTDA</v>
      </c>
      <c r="J5047">
        <f t="shared" si="496"/>
        <v>0</v>
      </c>
      <c r="K5047">
        <f t="shared" si="497"/>
        <v>1</v>
      </c>
    </row>
    <row r="5048" spans="1:11" x14ac:dyDescent="0.25">
      <c r="A5048" t="s">
        <v>311</v>
      </c>
      <c r="B5048" t="s">
        <v>81</v>
      </c>
      <c r="C5048" t="s">
        <v>66</v>
      </c>
      <c r="D5048" s="6">
        <v>45973</v>
      </c>
      <c r="E5048" t="str">
        <f>VLOOKUP(B5048,'PROCV GERENTES BD'!A:B,2,0)</f>
        <v>CELIO PIMENTA</v>
      </c>
      <c r="F5048" s="4" t="str">
        <f t="shared" ref="F5048:F5068" si="498">YEAR(D5048)&amp;"-"&amp;TEXT(MONTH(D5048),"00")</f>
        <v>2025-11</v>
      </c>
      <c r="G5048" s="18">
        <f t="shared" ref="G5048:G5068" si="499">WEEKNUM(D5048)</f>
        <v>46</v>
      </c>
      <c r="H5048" t="str">
        <f t="shared" ref="H5048:H5068" si="500">E5048</f>
        <v>CELIO PIMENTA</v>
      </c>
      <c r="I5048" t="str">
        <f t="shared" ref="I5048:I5068" si="501">B5048</f>
        <v>MBIOLOG DIAGNOSTICOS LTDA</v>
      </c>
      <c r="J5048">
        <f t="shared" ref="J5048:J5068" si="502">IF(OR(C5048="EXCLUSAO  ANOT.INADIMPLENCIA",C5048="INCL/EXCL ANOT.INADIMPLENCIA"),1,0)</f>
        <v>1</v>
      </c>
      <c r="K5048">
        <f t="shared" ref="K5048:K5068" si="503">IF(OR(C5048="INCLUSAO  ANOT.INADIMPLENCIA",C5048="INCL/EXCL ANOT.INADIMPLENCIA"),1,0)</f>
        <v>0</v>
      </c>
    </row>
    <row r="5049" spans="1:11" x14ac:dyDescent="0.25">
      <c r="A5049" t="s">
        <v>534</v>
      </c>
      <c r="B5049" t="s">
        <v>303</v>
      </c>
      <c r="C5049" t="s">
        <v>50</v>
      </c>
      <c r="D5049" s="6">
        <v>45973</v>
      </c>
      <c r="E5049" t="str">
        <f>VLOOKUP(B5049,'PROCV GERENTES BD'!A:B,2,0)</f>
        <v xml:space="preserve">MARCUS VINICIUS </v>
      </c>
      <c r="F5049" s="4" t="str">
        <f t="shared" si="498"/>
        <v>2025-11</v>
      </c>
      <c r="G5049" s="18">
        <f t="shared" si="499"/>
        <v>46</v>
      </c>
      <c r="H5049" t="str">
        <f t="shared" si="500"/>
        <v xml:space="preserve">MARCUS VINICIUS </v>
      </c>
      <c r="I5049" t="str">
        <f t="shared" si="501"/>
        <v>GRAFICA JSA LTDA EPP</v>
      </c>
      <c r="J5049">
        <f t="shared" si="502"/>
        <v>0</v>
      </c>
      <c r="K5049">
        <f t="shared" si="503"/>
        <v>1</v>
      </c>
    </row>
    <row r="5050" spans="1:11" x14ac:dyDescent="0.25">
      <c r="A5050" t="s">
        <v>667</v>
      </c>
      <c r="B5050" t="s">
        <v>560</v>
      </c>
      <c r="C5050" t="s">
        <v>50</v>
      </c>
      <c r="D5050" s="6">
        <v>45973</v>
      </c>
      <c r="E5050" t="str">
        <f>VLOOKUP(B5050,'PROCV GERENTES BD'!A:B,2,0)</f>
        <v>ALISSON DE SOUZA LIMA</v>
      </c>
      <c r="F5050" s="4" t="str">
        <f t="shared" si="498"/>
        <v>2025-11</v>
      </c>
      <c r="G5050" s="18">
        <f t="shared" si="499"/>
        <v>46</v>
      </c>
      <c r="H5050" t="str">
        <f t="shared" si="500"/>
        <v>ALISSON DE SOUZA LIMA</v>
      </c>
      <c r="I5050" t="str">
        <f t="shared" si="501"/>
        <v>JRG SOLUCOES EM SERVICOS LTDA ME</v>
      </c>
      <c r="J5050">
        <f t="shared" si="502"/>
        <v>0</v>
      </c>
      <c r="K5050">
        <f t="shared" si="503"/>
        <v>1</v>
      </c>
    </row>
    <row r="5051" spans="1:11" x14ac:dyDescent="0.25">
      <c r="A5051" t="s">
        <v>314</v>
      </c>
      <c r="B5051" t="s">
        <v>246</v>
      </c>
      <c r="C5051" t="s">
        <v>50</v>
      </c>
      <c r="D5051" s="6">
        <v>45973</v>
      </c>
      <c r="E5051" t="str">
        <f>VLOOKUP(B5051,'PROCV GERENTES BD'!A:B,2,0)</f>
        <v xml:space="preserve">ROGERIO </v>
      </c>
      <c r="F5051" s="4" t="str">
        <f t="shared" si="498"/>
        <v>2025-11</v>
      </c>
      <c r="G5051" s="18">
        <f t="shared" si="499"/>
        <v>46</v>
      </c>
      <c r="H5051" t="str">
        <f t="shared" si="500"/>
        <v xml:space="preserve">ROGERIO </v>
      </c>
      <c r="I5051" t="str">
        <f t="shared" si="501"/>
        <v>MUTCD CENTRO DE DISTRIBUICAO DE IND FABRICANTE DE</v>
      </c>
      <c r="J5051">
        <f t="shared" si="502"/>
        <v>0</v>
      </c>
      <c r="K5051">
        <f t="shared" si="503"/>
        <v>1</v>
      </c>
    </row>
    <row r="5052" spans="1:11" x14ac:dyDescent="0.25">
      <c r="A5052" t="s">
        <v>704</v>
      </c>
      <c r="B5052" t="s">
        <v>705</v>
      </c>
      <c r="C5052" t="s">
        <v>50</v>
      </c>
      <c r="D5052" s="6">
        <v>45973</v>
      </c>
      <c r="E5052" t="str">
        <f>VLOOKUP(B5052,'PROCV GERENTES BD'!A:B,2,0)</f>
        <v>DAVI</v>
      </c>
      <c r="F5052" s="4" t="str">
        <f t="shared" si="498"/>
        <v>2025-11</v>
      </c>
      <c r="G5052" s="18">
        <f t="shared" si="499"/>
        <v>46</v>
      </c>
      <c r="H5052" t="str">
        <f t="shared" si="500"/>
        <v>DAVI</v>
      </c>
      <c r="I5052" t="str">
        <f t="shared" si="501"/>
        <v>DUOPLASTIC INDUSTRIA DE MOVEIS LTDA ME</v>
      </c>
      <c r="J5052">
        <f t="shared" si="502"/>
        <v>0</v>
      </c>
      <c r="K5052">
        <f t="shared" si="503"/>
        <v>1</v>
      </c>
    </row>
    <row r="5053" spans="1:11" x14ac:dyDescent="0.25">
      <c r="A5053" t="s">
        <v>488</v>
      </c>
      <c r="B5053" t="s">
        <v>247</v>
      </c>
      <c r="C5053" t="s">
        <v>50</v>
      </c>
      <c r="D5053" s="6">
        <v>45973</v>
      </c>
      <c r="E5053" t="str">
        <f>VLOOKUP(B5053,'PROCV GERENTES BD'!A:B,2,0)</f>
        <v>CELIO PIMENTA</v>
      </c>
      <c r="F5053" s="4" t="str">
        <f t="shared" si="498"/>
        <v>2025-11</v>
      </c>
      <c r="G5053" s="18">
        <f t="shared" si="499"/>
        <v>46</v>
      </c>
      <c r="H5053" t="str">
        <f t="shared" si="500"/>
        <v>CELIO PIMENTA</v>
      </c>
      <c r="I5053" t="str">
        <f t="shared" si="501"/>
        <v>AZ HIDRAULICA USINAGEM LTDA EPP</v>
      </c>
      <c r="J5053">
        <f t="shared" si="502"/>
        <v>0</v>
      </c>
      <c r="K5053">
        <f t="shared" si="503"/>
        <v>1</v>
      </c>
    </row>
    <row r="5054" spans="1:11" x14ac:dyDescent="0.25">
      <c r="A5054" t="s">
        <v>655</v>
      </c>
      <c r="B5054" t="s">
        <v>548</v>
      </c>
      <c r="C5054" t="s">
        <v>50</v>
      </c>
      <c r="D5054" s="6">
        <v>45973</v>
      </c>
      <c r="E5054" t="str">
        <f>VLOOKUP(B5054,'PROCV GERENTES BD'!A:B,2,0)</f>
        <v xml:space="preserve">ROGERIO </v>
      </c>
      <c r="F5054" s="4" t="str">
        <f t="shared" si="498"/>
        <v>2025-11</v>
      </c>
      <c r="G5054" s="18">
        <f t="shared" si="499"/>
        <v>46</v>
      </c>
      <c r="H5054" t="str">
        <f t="shared" si="500"/>
        <v xml:space="preserve">ROGERIO </v>
      </c>
      <c r="I5054" t="str">
        <f t="shared" si="501"/>
        <v>AGROEP PISCICULTURA LTDA ME</v>
      </c>
      <c r="J5054">
        <f t="shared" si="502"/>
        <v>0</v>
      </c>
      <c r="K5054">
        <f t="shared" si="503"/>
        <v>1</v>
      </c>
    </row>
    <row r="5055" spans="1:11" x14ac:dyDescent="0.25">
      <c r="A5055" t="s">
        <v>658</v>
      </c>
      <c r="B5055" t="s">
        <v>659</v>
      </c>
      <c r="C5055" t="s">
        <v>66</v>
      </c>
      <c r="D5055" s="6">
        <v>45973</v>
      </c>
      <c r="E5055" t="str">
        <f>VLOOKUP(B5055,'PROCV GERENTES BD'!A:B,2,0)</f>
        <v>ADMINISTRAÇÃO</v>
      </c>
      <c r="F5055" s="4" t="str">
        <f t="shared" si="498"/>
        <v>2025-11</v>
      </c>
      <c r="G5055" s="18">
        <f t="shared" si="499"/>
        <v>46</v>
      </c>
      <c r="H5055" t="str">
        <f t="shared" si="500"/>
        <v>ADMINISTRAÇÃO</v>
      </c>
      <c r="I5055" t="str">
        <f t="shared" si="501"/>
        <v>LEFORM PLANEJADOS LTDA ME</v>
      </c>
      <c r="J5055">
        <f t="shared" si="502"/>
        <v>1</v>
      </c>
      <c r="K5055">
        <f t="shared" si="503"/>
        <v>0</v>
      </c>
    </row>
    <row r="5056" spans="1:11" x14ac:dyDescent="0.25">
      <c r="A5056" t="s">
        <v>661</v>
      </c>
      <c r="B5056" t="s">
        <v>662</v>
      </c>
      <c r="C5056" t="s">
        <v>66</v>
      </c>
      <c r="D5056" s="6">
        <v>45973</v>
      </c>
      <c r="E5056" t="str">
        <f>VLOOKUP(B5056,'PROCV GERENTES BD'!A:B,2,0)</f>
        <v>PRISCILA METZ</v>
      </c>
      <c r="F5056" s="4" t="str">
        <f t="shared" si="498"/>
        <v>2025-11</v>
      </c>
      <c r="G5056" s="18">
        <f t="shared" si="499"/>
        <v>46</v>
      </c>
      <c r="H5056" t="str">
        <f t="shared" si="500"/>
        <v>PRISCILA METZ</v>
      </c>
      <c r="I5056" t="str">
        <f t="shared" si="501"/>
        <v>LIDER DISTRIBUIDORA DE MOVEIS E EQUIPAMENTOS PARA</v>
      </c>
      <c r="J5056">
        <f t="shared" si="502"/>
        <v>1</v>
      </c>
      <c r="K5056">
        <f t="shared" si="503"/>
        <v>0</v>
      </c>
    </row>
    <row r="5057" spans="1:11" x14ac:dyDescent="0.25">
      <c r="A5057" t="s">
        <v>510</v>
      </c>
      <c r="B5057" t="s">
        <v>273</v>
      </c>
      <c r="C5057" t="s">
        <v>50</v>
      </c>
      <c r="D5057" s="6">
        <v>45973</v>
      </c>
      <c r="E5057" t="str">
        <f>VLOOKUP(B5057,'PROCV GERENTES BD'!A:B,2,0)</f>
        <v>CELIO PIMENTA</v>
      </c>
      <c r="F5057" s="4" t="str">
        <f t="shared" si="498"/>
        <v>2025-11</v>
      </c>
      <c r="G5057" s="18">
        <f t="shared" si="499"/>
        <v>46</v>
      </c>
      <c r="H5057" t="str">
        <f t="shared" si="500"/>
        <v>CELIO PIMENTA</v>
      </c>
      <c r="I5057" t="str">
        <f t="shared" si="501"/>
        <v>PRADO MOREIRA TEXTIL LTDA ME</v>
      </c>
      <c r="J5057">
        <f t="shared" si="502"/>
        <v>0</v>
      </c>
      <c r="K5057">
        <f t="shared" si="503"/>
        <v>1</v>
      </c>
    </row>
    <row r="5058" spans="1:11" x14ac:dyDescent="0.25">
      <c r="A5058" t="s">
        <v>630</v>
      </c>
      <c r="B5058" t="s">
        <v>559</v>
      </c>
      <c r="C5058" t="s">
        <v>50</v>
      </c>
      <c r="D5058" s="6">
        <v>45973</v>
      </c>
      <c r="E5058" t="str">
        <f>VLOOKUP(B5058,'PROCV GERENTES BD'!A:B,2,0)</f>
        <v>ALISSON DE SOUZA LIMA</v>
      </c>
      <c r="F5058" s="4" t="str">
        <f t="shared" si="498"/>
        <v>2025-11</v>
      </c>
      <c r="G5058" s="18">
        <f t="shared" si="499"/>
        <v>46</v>
      </c>
      <c r="H5058" t="str">
        <f t="shared" si="500"/>
        <v>ALISSON DE SOUZA LIMA</v>
      </c>
      <c r="I5058" t="str">
        <f t="shared" si="501"/>
        <v>JRG SOLUCOES INDUSTRIAIS LTDA</v>
      </c>
      <c r="J5058">
        <f t="shared" si="502"/>
        <v>0</v>
      </c>
      <c r="K5058">
        <f t="shared" si="503"/>
        <v>1</v>
      </c>
    </row>
    <row r="5059" spans="1:11" x14ac:dyDescent="0.25">
      <c r="A5059" t="s">
        <v>499</v>
      </c>
      <c r="B5059" t="s">
        <v>258</v>
      </c>
      <c r="C5059" t="s">
        <v>50</v>
      </c>
      <c r="D5059" s="6">
        <v>45973</v>
      </c>
      <c r="E5059" t="str">
        <f>VLOOKUP(B5059,'PROCV GERENTES BD'!A:B,2,0)</f>
        <v>PRISCILA METZ</v>
      </c>
      <c r="F5059" s="4" t="str">
        <f t="shared" si="498"/>
        <v>2025-11</v>
      </c>
      <c r="G5059" s="18">
        <f t="shared" si="499"/>
        <v>46</v>
      </c>
      <c r="H5059" t="str">
        <f t="shared" si="500"/>
        <v>PRISCILA METZ</v>
      </c>
      <c r="I5059" t="str">
        <f t="shared" si="501"/>
        <v>PLATINUM INDUSTRIA DE CONFECCOES LTDA</v>
      </c>
      <c r="J5059">
        <f t="shared" si="502"/>
        <v>0</v>
      </c>
      <c r="K5059">
        <f t="shared" si="503"/>
        <v>1</v>
      </c>
    </row>
    <row r="5060" spans="1:11" x14ac:dyDescent="0.25">
      <c r="A5060" t="s">
        <v>722</v>
      </c>
      <c r="B5060" t="s">
        <v>723</v>
      </c>
      <c r="C5060" t="s">
        <v>50</v>
      </c>
      <c r="D5060" s="6">
        <v>45973</v>
      </c>
      <c r="E5060" t="str">
        <f>VLOOKUP(B5060,'PROCV GERENTES BD'!A:B,2,0)</f>
        <v>POENATELA</v>
      </c>
      <c r="F5060" s="4" t="str">
        <f t="shared" si="498"/>
        <v>2025-11</v>
      </c>
      <c r="G5060" s="18">
        <f t="shared" si="499"/>
        <v>46</v>
      </c>
      <c r="H5060" t="str">
        <f t="shared" si="500"/>
        <v>POENATELA</v>
      </c>
      <c r="I5060" t="str">
        <f t="shared" si="501"/>
        <v>LIDER MIX CONCRETOS E AGREGADOS LTDA</v>
      </c>
      <c r="J5060">
        <f t="shared" si="502"/>
        <v>0</v>
      </c>
      <c r="K5060">
        <f t="shared" si="503"/>
        <v>1</v>
      </c>
    </row>
    <row r="5061" spans="1:11" x14ac:dyDescent="0.25">
      <c r="A5061" t="s">
        <v>56</v>
      </c>
      <c r="B5061" t="s">
        <v>57</v>
      </c>
      <c r="C5061" t="s">
        <v>53</v>
      </c>
      <c r="D5061" s="6">
        <v>45973</v>
      </c>
      <c r="E5061" t="str">
        <f>VLOOKUP(B5061,'PROCV GERENTES BD'!A:B,2,0)</f>
        <v xml:space="preserve">ROGERIO </v>
      </c>
      <c r="F5061" s="4" t="str">
        <f t="shared" si="498"/>
        <v>2025-11</v>
      </c>
      <c r="G5061" s="18">
        <f t="shared" si="499"/>
        <v>46</v>
      </c>
      <c r="H5061" t="str">
        <f t="shared" si="500"/>
        <v xml:space="preserve">ROGERIO </v>
      </c>
      <c r="I5061" t="str">
        <f t="shared" si="501"/>
        <v>RODOVIEIRA TRANSPORTE LTDA</v>
      </c>
      <c r="J5061">
        <f t="shared" si="502"/>
        <v>1</v>
      </c>
      <c r="K5061">
        <f t="shared" si="503"/>
        <v>1</v>
      </c>
    </row>
    <row r="5062" spans="1:11" x14ac:dyDescent="0.25">
      <c r="A5062" t="s">
        <v>361</v>
      </c>
      <c r="B5062" t="s">
        <v>106</v>
      </c>
      <c r="C5062" t="s">
        <v>50</v>
      </c>
      <c r="D5062" s="6">
        <v>45973</v>
      </c>
      <c r="E5062" t="str">
        <f>VLOOKUP(B5062,'PROCV GERENTES BD'!A:B,2,0)</f>
        <v>PRISCILA METZ</v>
      </c>
      <c r="F5062" s="4" t="str">
        <f t="shared" si="498"/>
        <v>2025-11</v>
      </c>
      <c r="G5062" s="18">
        <f t="shared" si="499"/>
        <v>46</v>
      </c>
      <c r="H5062" t="str">
        <f t="shared" si="500"/>
        <v>PRISCILA METZ</v>
      </c>
      <c r="I5062" t="str">
        <f t="shared" si="501"/>
        <v>HERBAMED LABORATORIO NUTRACEUTICO LTDA</v>
      </c>
      <c r="J5062">
        <f t="shared" si="502"/>
        <v>0</v>
      </c>
      <c r="K5062">
        <f t="shared" si="503"/>
        <v>1</v>
      </c>
    </row>
    <row r="5063" spans="1:11" x14ac:dyDescent="0.25">
      <c r="A5063" t="s">
        <v>387</v>
      </c>
      <c r="B5063" t="s">
        <v>134</v>
      </c>
      <c r="C5063" t="s">
        <v>66</v>
      </c>
      <c r="D5063" s="6">
        <v>45973</v>
      </c>
      <c r="E5063" t="str">
        <f>VLOOKUP(B5063,'PROCV GERENTES BD'!A:B,2,0)</f>
        <v>RAFAEL PARISE</v>
      </c>
      <c r="F5063" s="4" t="str">
        <f t="shared" si="498"/>
        <v>2025-11</v>
      </c>
      <c r="G5063" s="18">
        <f t="shared" si="499"/>
        <v>46</v>
      </c>
      <c r="H5063" t="str">
        <f t="shared" si="500"/>
        <v>RAFAEL PARISE</v>
      </c>
      <c r="I5063" t="str">
        <f t="shared" si="501"/>
        <v>MAIS DISTRIBUIDORA LTDA</v>
      </c>
      <c r="J5063">
        <f t="shared" si="502"/>
        <v>1</v>
      </c>
      <c r="K5063">
        <f t="shared" si="503"/>
        <v>0</v>
      </c>
    </row>
    <row r="5064" spans="1:11" x14ac:dyDescent="0.25">
      <c r="A5064" t="s">
        <v>700</v>
      </c>
      <c r="B5064" t="s">
        <v>680</v>
      </c>
      <c r="C5064" t="s">
        <v>50</v>
      </c>
      <c r="D5064" s="6">
        <v>45973</v>
      </c>
      <c r="E5064" t="str">
        <f>VLOOKUP(B5064,'PROCV GERENTES BD'!A:B,2,0)</f>
        <v>POENATELA</v>
      </c>
      <c r="F5064" s="4" t="str">
        <f t="shared" si="498"/>
        <v>2025-11</v>
      </c>
      <c r="G5064" s="18">
        <f t="shared" si="499"/>
        <v>46</v>
      </c>
      <c r="H5064" t="str">
        <f t="shared" si="500"/>
        <v>POENATELA</v>
      </c>
      <c r="I5064" t="str">
        <f t="shared" si="501"/>
        <v>BIORGANICA PRODUTOS ORGANICOS LTDA</v>
      </c>
      <c r="J5064">
        <f t="shared" si="502"/>
        <v>0</v>
      </c>
      <c r="K5064">
        <f t="shared" si="503"/>
        <v>1</v>
      </c>
    </row>
    <row r="5065" spans="1:11" x14ac:dyDescent="0.25">
      <c r="A5065" t="s">
        <v>660</v>
      </c>
      <c r="B5065" t="s">
        <v>545</v>
      </c>
      <c r="C5065" t="s">
        <v>50</v>
      </c>
      <c r="D5065" s="6">
        <v>45973</v>
      </c>
      <c r="E5065" t="str">
        <f>VLOOKUP(B5065,'PROCV GERENTES BD'!A:B,2,0)</f>
        <v xml:space="preserve">ROGERIO </v>
      </c>
      <c r="F5065" s="4" t="str">
        <f t="shared" si="498"/>
        <v>2025-11</v>
      </c>
      <c r="G5065" s="18">
        <f t="shared" si="499"/>
        <v>46</v>
      </c>
      <c r="H5065" t="str">
        <f t="shared" si="500"/>
        <v xml:space="preserve">ROGERIO </v>
      </c>
      <c r="I5065" t="str">
        <f t="shared" si="501"/>
        <v>DISEP ALIMENTOS LTDA ME</v>
      </c>
      <c r="J5065">
        <f t="shared" si="502"/>
        <v>0</v>
      </c>
      <c r="K5065">
        <f t="shared" si="503"/>
        <v>1</v>
      </c>
    </row>
    <row r="5066" spans="1:11" x14ac:dyDescent="0.25">
      <c r="A5066" t="s">
        <v>415</v>
      </c>
      <c r="B5066" t="s">
        <v>165</v>
      </c>
      <c r="C5066" t="s">
        <v>50</v>
      </c>
      <c r="D5066" s="6">
        <v>45973</v>
      </c>
      <c r="E5066" t="str">
        <f>VLOOKUP(B5066,'PROCV GERENTES BD'!A:B,2,0)</f>
        <v>PROSPECTAR</v>
      </c>
      <c r="F5066" s="4" t="str">
        <f t="shared" si="498"/>
        <v>2025-11</v>
      </c>
      <c r="G5066" s="18">
        <f t="shared" si="499"/>
        <v>46</v>
      </c>
      <c r="H5066" t="str">
        <f t="shared" si="500"/>
        <v>PROSPECTAR</v>
      </c>
      <c r="I5066" t="str">
        <f t="shared" si="501"/>
        <v>STA SERVICOS LTDA</v>
      </c>
      <c r="J5066">
        <f t="shared" si="502"/>
        <v>0</v>
      </c>
      <c r="K5066">
        <f t="shared" si="503"/>
        <v>1</v>
      </c>
    </row>
    <row r="5067" spans="1:11" x14ac:dyDescent="0.25">
      <c r="A5067" t="s">
        <v>505</v>
      </c>
      <c r="B5067" t="s">
        <v>267</v>
      </c>
      <c r="C5067" t="s">
        <v>50</v>
      </c>
      <c r="D5067" s="6">
        <v>45973</v>
      </c>
      <c r="E5067" t="str">
        <f>VLOOKUP(B5067,'PROCV GERENTES BD'!A:B,2,0)</f>
        <v>PRISCILA METZ</v>
      </c>
      <c r="F5067" s="4" t="str">
        <f t="shared" si="498"/>
        <v>2025-11</v>
      </c>
      <c r="G5067" s="18">
        <f t="shared" si="499"/>
        <v>46</v>
      </c>
      <c r="H5067" t="str">
        <f t="shared" si="500"/>
        <v>PRISCILA METZ</v>
      </c>
      <c r="I5067" t="str">
        <f t="shared" si="501"/>
        <v>REAL DISTRIBUIDORA DE PRODUTOS PARA MARMORARIA LTD</v>
      </c>
      <c r="J5067">
        <f t="shared" si="502"/>
        <v>0</v>
      </c>
      <c r="K5067">
        <f t="shared" si="503"/>
        <v>1</v>
      </c>
    </row>
    <row r="5068" spans="1:11" x14ac:dyDescent="0.25">
      <c r="A5068" t="s">
        <v>687</v>
      </c>
      <c r="B5068" t="s">
        <v>684</v>
      </c>
      <c r="C5068" t="s">
        <v>50</v>
      </c>
      <c r="D5068" s="6">
        <v>45973</v>
      </c>
      <c r="E5068" t="str">
        <f>VLOOKUP(B5068,'PROCV GERENTES BD'!A:B,2,0)</f>
        <v>DALVA</v>
      </c>
      <c r="F5068" s="4" t="str">
        <f t="shared" si="498"/>
        <v>2025-11</v>
      </c>
      <c r="G5068" s="18">
        <f t="shared" si="499"/>
        <v>46</v>
      </c>
      <c r="H5068" t="str">
        <f t="shared" si="500"/>
        <v>DALVA</v>
      </c>
      <c r="I5068" t="str">
        <f t="shared" si="501"/>
        <v>AGUIA DE FOGO PREVENCAO DE INCENDIO LTDA EPP</v>
      </c>
      <c r="J5068">
        <f t="shared" si="502"/>
        <v>0</v>
      </c>
      <c r="K5068">
        <f t="shared" si="503"/>
        <v>1</v>
      </c>
    </row>
    <row r="5069" spans="1:11" x14ac:dyDescent="0.25">
      <c r="A5069" t="s">
        <v>311</v>
      </c>
      <c r="B5069" t="s">
        <v>81</v>
      </c>
      <c r="C5069" t="s">
        <v>66</v>
      </c>
      <c r="D5069" s="6">
        <v>45974</v>
      </c>
      <c r="E5069" t="str">
        <f>VLOOKUP(B5069,'PROCV GERENTES BD'!A:B,2,0)</f>
        <v>CELIO PIMENTA</v>
      </c>
      <c r="F5069" s="4" t="str">
        <f t="shared" ref="F5069:F5089" si="504">YEAR(D5069)&amp;"-"&amp;TEXT(MONTH(D5069),"00")</f>
        <v>2025-11</v>
      </c>
      <c r="G5069" s="18">
        <f t="shared" ref="G5069:G5089" si="505">WEEKNUM(D5069)</f>
        <v>46</v>
      </c>
      <c r="H5069" t="str">
        <f t="shared" ref="H5069:H5089" si="506">E5069</f>
        <v>CELIO PIMENTA</v>
      </c>
      <c r="I5069" t="str">
        <f t="shared" ref="I5069:I5089" si="507">B5069</f>
        <v>MBIOLOG DIAGNOSTICOS LTDA</v>
      </c>
      <c r="J5069">
        <f t="shared" ref="J5069:J5089" si="508">IF(OR(C5069="EXCLUSAO  ANOT.INADIMPLENCIA",C5069="INCL/EXCL ANOT.INADIMPLENCIA"),1,0)</f>
        <v>1</v>
      </c>
      <c r="K5069">
        <f t="shared" ref="K5069:K5089" si="509">IF(OR(C5069="INCLUSAO  ANOT.INADIMPLENCIA",C5069="INCL/EXCL ANOT.INADIMPLENCIA"),1,0)</f>
        <v>0</v>
      </c>
    </row>
    <row r="5070" spans="1:11" x14ac:dyDescent="0.25">
      <c r="A5070" t="s">
        <v>534</v>
      </c>
      <c r="B5070" t="s">
        <v>303</v>
      </c>
      <c r="C5070" t="s">
        <v>50</v>
      </c>
      <c r="D5070" s="6">
        <v>45974</v>
      </c>
      <c r="E5070" t="str">
        <f>VLOOKUP(B5070,'PROCV GERENTES BD'!A:B,2,0)</f>
        <v xml:space="preserve">MARCUS VINICIUS </v>
      </c>
      <c r="F5070" s="4" t="str">
        <f t="shared" si="504"/>
        <v>2025-11</v>
      </c>
      <c r="G5070" s="18">
        <f t="shared" si="505"/>
        <v>46</v>
      </c>
      <c r="H5070" t="str">
        <f t="shared" si="506"/>
        <v xml:space="preserve">MARCUS VINICIUS </v>
      </c>
      <c r="I5070" t="str">
        <f t="shared" si="507"/>
        <v>GRAFICA JSA LTDA EPP</v>
      </c>
      <c r="J5070">
        <f t="shared" si="508"/>
        <v>0</v>
      </c>
      <c r="K5070">
        <f t="shared" si="509"/>
        <v>1</v>
      </c>
    </row>
    <row r="5071" spans="1:11" x14ac:dyDescent="0.25">
      <c r="A5071" t="s">
        <v>667</v>
      </c>
      <c r="B5071" t="s">
        <v>560</v>
      </c>
      <c r="C5071" t="s">
        <v>50</v>
      </c>
      <c r="D5071" s="6">
        <v>45974</v>
      </c>
      <c r="E5071" t="str">
        <f>VLOOKUP(B5071,'PROCV GERENTES BD'!A:B,2,0)</f>
        <v>ALISSON DE SOUZA LIMA</v>
      </c>
      <c r="F5071" s="4" t="str">
        <f t="shared" si="504"/>
        <v>2025-11</v>
      </c>
      <c r="G5071" s="18">
        <f t="shared" si="505"/>
        <v>46</v>
      </c>
      <c r="H5071" t="str">
        <f t="shared" si="506"/>
        <v>ALISSON DE SOUZA LIMA</v>
      </c>
      <c r="I5071" t="str">
        <f t="shared" si="507"/>
        <v>JRG SOLUCOES EM SERVICOS LTDA ME</v>
      </c>
      <c r="J5071">
        <f t="shared" si="508"/>
        <v>0</v>
      </c>
      <c r="K5071">
        <f t="shared" si="509"/>
        <v>1</v>
      </c>
    </row>
    <row r="5072" spans="1:11" x14ac:dyDescent="0.25">
      <c r="A5072" t="s">
        <v>314</v>
      </c>
      <c r="B5072" t="s">
        <v>246</v>
      </c>
      <c r="C5072" t="s">
        <v>50</v>
      </c>
      <c r="D5072" s="6">
        <v>45974</v>
      </c>
      <c r="E5072" t="str">
        <f>VLOOKUP(B5072,'PROCV GERENTES BD'!A:B,2,0)</f>
        <v xml:space="preserve">ROGERIO </v>
      </c>
      <c r="F5072" s="4" t="str">
        <f t="shared" si="504"/>
        <v>2025-11</v>
      </c>
      <c r="G5072" s="18">
        <f t="shared" si="505"/>
        <v>46</v>
      </c>
      <c r="H5072" t="str">
        <f t="shared" si="506"/>
        <v xml:space="preserve">ROGERIO </v>
      </c>
      <c r="I5072" t="str">
        <f t="shared" si="507"/>
        <v>MUTCD CENTRO DE DISTRIBUICAO DE IND FABRICANTE DE</v>
      </c>
      <c r="J5072">
        <f t="shared" si="508"/>
        <v>0</v>
      </c>
      <c r="K5072">
        <f t="shared" si="509"/>
        <v>1</v>
      </c>
    </row>
    <row r="5073" spans="1:11" x14ac:dyDescent="0.25">
      <c r="A5073" t="s">
        <v>704</v>
      </c>
      <c r="B5073" t="s">
        <v>705</v>
      </c>
      <c r="C5073" t="s">
        <v>50</v>
      </c>
      <c r="D5073" s="6">
        <v>45974</v>
      </c>
      <c r="E5073" t="str">
        <f>VLOOKUP(B5073,'PROCV GERENTES BD'!A:B,2,0)</f>
        <v>DAVI</v>
      </c>
      <c r="F5073" s="4" t="str">
        <f t="shared" si="504"/>
        <v>2025-11</v>
      </c>
      <c r="G5073" s="18">
        <f t="shared" si="505"/>
        <v>46</v>
      </c>
      <c r="H5073" t="str">
        <f t="shared" si="506"/>
        <v>DAVI</v>
      </c>
      <c r="I5073" t="str">
        <f t="shared" si="507"/>
        <v>DUOPLASTIC INDUSTRIA DE MOVEIS LTDA ME</v>
      </c>
      <c r="J5073">
        <f t="shared" si="508"/>
        <v>0</v>
      </c>
      <c r="K5073">
        <f t="shared" si="509"/>
        <v>1</v>
      </c>
    </row>
    <row r="5074" spans="1:11" x14ac:dyDescent="0.25">
      <c r="A5074" t="s">
        <v>488</v>
      </c>
      <c r="B5074" t="s">
        <v>247</v>
      </c>
      <c r="C5074" t="s">
        <v>50</v>
      </c>
      <c r="D5074" s="6">
        <v>45974</v>
      </c>
      <c r="E5074" t="str">
        <f>VLOOKUP(B5074,'PROCV GERENTES BD'!A:B,2,0)</f>
        <v>CELIO PIMENTA</v>
      </c>
      <c r="F5074" s="4" t="str">
        <f t="shared" si="504"/>
        <v>2025-11</v>
      </c>
      <c r="G5074" s="18">
        <f t="shared" si="505"/>
        <v>46</v>
      </c>
      <c r="H5074" t="str">
        <f t="shared" si="506"/>
        <v>CELIO PIMENTA</v>
      </c>
      <c r="I5074" t="str">
        <f t="shared" si="507"/>
        <v>AZ HIDRAULICA USINAGEM LTDA EPP</v>
      </c>
      <c r="J5074">
        <f t="shared" si="508"/>
        <v>0</v>
      </c>
      <c r="K5074">
        <f t="shared" si="509"/>
        <v>1</v>
      </c>
    </row>
    <row r="5075" spans="1:11" x14ac:dyDescent="0.25">
      <c r="A5075" t="s">
        <v>655</v>
      </c>
      <c r="B5075" t="s">
        <v>548</v>
      </c>
      <c r="C5075" t="s">
        <v>50</v>
      </c>
      <c r="D5075" s="6">
        <v>45974</v>
      </c>
      <c r="E5075" t="str">
        <f>VLOOKUP(B5075,'PROCV GERENTES BD'!A:B,2,0)</f>
        <v xml:space="preserve">ROGERIO </v>
      </c>
      <c r="F5075" s="4" t="str">
        <f t="shared" si="504"/>
        <v>2025-11</v>
      </c>
      <c r="G5075" s="18">
        <f t="shared" si="505"/>
        <v>46</v>
      </c>
      <c r="H5075" t="str">
        <f t="shared" si="506"/>
        <v xml:space="preserve">ROGERIO </v>
      </c>
      <c r="I5075" t="str">
        <f t="shared" si="507"/>
        <v>AGROEP PISCICULTURA LTDA ME</v>
      </c>
      <c r="J5075">
        <f t="shared" si="508"/>
        <v>0</v>
      </c>
      <c r="K5075">
        <f t="shared" si="509"/>
        <v>1</v>
      </c>
    </row>
    <row r="5076" spans="1:11" x14ac:dyDescent="0.25">
      <c r="A5076" t="s">
        <v>658</v>
      </c>
      <c r="B5076" t="s">
        <v>659</v>
      </c>
      <c r="C5076" t="s">
        <v>66</v>
      </c>
      <c r="D5076" s="6">
        <v>45974</v>
      </c>
      <c r="E5076" t="str">
        <f>VLOOKUP(B5076,'PROCV GERENTES BD'!A:B,2,0)</f>
        <v>ADMINISTRAÇÃO</v>
      </c>
      <c r="F5076" s="4" t="str">
        <f t="shared" si="504"/>
        <v>2025-11</v>
      </c>
      <c r="G5076" s="18">
        <f t="shared" si="505"/>
        <v>46</v>
      </c>
      <c r="H5076" t="str">
        <f t="shared" si="506"/>
        <v>ADMINISTRAÇÃO</v>
      </c>
      <c r="I5076" t="str">
        <f t="shared" si="507"/>
        <v>LEFORM PLANEJADOS LTDA ME</v>
      </c>
      <c r="J5076">
        <f t="shared" si="508"/>
        <v>1</v>
      </c>
      <c r="K5076">
        <f t="shared" si="509"/>
        <v>0</v>
      </c>
    </row>
    <row r="5077" spans="1:11" x14ac:dyDescent="0.25">
      <c r="A5077" t="s">
        <v>661</v>
      </c>
      <c r="B5077" t="s">
        <v>662</v>
      </c>
      <c r="C5077" t="s">
        <v>66</v>
      </c>
      <c r="D5077" s="6">
        <v>45974</v>
      </c>
      <c r="E5077" t="str">
        <f>VLOOKUP(B5077,'PROCV GERENTES BD'!A:B,2,0)</f>
        <v>PRISCILA METZ</v>
      </c>
      <c r="F5077" s="4" t="str">
        <f t="shared" si="504"/>
        <v>2025-11</v>
      </c>
      <c r="G5077" s="18">
        <f t="shared" si="505"/>
        <v>46</v>
      </c>
      <c r="H5077" t="str">
        <f t="shared" si="506"/>
        <v>PRISCILA METZ</v>
      </c>
      <c r="I5077" t="str">
        <f t="shared" si="507"/>
        <v>LIDER DISTRIBUIDORA DE MOVEIS E EQUIPAMENTOS PARA</v>
      </c>
      <c r="J5077">
        <f t="shared" si="508"/>
        <v>1</v>
      </c>
      <c r="K5077">
        <f t="shared" si="509"/>
        <v>0</v>
      </c>
    </row>
    <row r="5078" spans="1:11" x14ac:dyDescent="0.25">
      <c r="A5078" t="s">
        <v>510</v>
      </c>
      <c r="B5078" t="s">
        <v>273</v>
      </c>
      <c r="C5078" t="s">
        <v>50</v>
      </c>
      <c r="D5078" s="6">
        <v>45974</v>
      </c>
      <c r="E5078" t="str">
        <f>VLOOKUP(B5078,'PROCV GERENTES BD'!A:B,2,0)</f>
        <v>CELIO PIMENTA</v>
      </c>
      <c r="F5078" s="4" t="str">
        <f t="shared" si="504"/>
        <v>2025-11</v>
      </c>
      <c r="G5078" s="18">
        <f t="shared" si="505"/>
        <v>46</v>
      </c>
      <c r="H5078" t="str">
        <f t="shared" si="506"/>
        <v>CELIO PIMENTA</v>
      </c>
      <c r="I5078" t="str">
        <f t="shared" si="507"/>
        <v>PRADO MOREIRA TEXTIL LTDA ME</v>
      </c>
      <c r="J5078">
        <f t="shared" si="508"/>
        <v>0</v>
      </c>
      <c r="K5078">
        <f t="shared" si="509"/>
        <v>1</v>
      </c>
    </row>
    <row r="5079" spans="1:11" x14ac:dyDescent="0.25">
      <c r="A5079" t="s">
        <v>630</v>
      </c>
      <c r="B5079" t="s">
        <v>559</v>
      </c>
      <c r="C5079" t="s">
        <v>50</v>
      </c>
      <c r="D5079" s="6">
        <v>45974</v>
      </c>
      <c r="E5079" t="str">
        <f>VLOOKUP(B5079,'PROCV GERENTES BD'!A:B,2,0)</f>
        <v>ALISSON DE SOUZA LIMA</v>
      </c>
      <c r="F5079" s="4" t="str">
        <f t="shared" si="504"/>
        <v>2025-11</v>
      </c>
      <c r="G5079" s="18">
        <f t="shared" si="505"/>
        <v>46</v>
      </c>
      <c r="H5079" t="str">
        <f t="shared" si="506"/>
        <v>ALISSON DE SOUZA LIMA</v>
      </c>
      <c r="I5079" t="str">
        <f t="shared" si="507"/>
        <v>JRG SOLUCOES INDUSTRIAIS LTDA</v>
      </c>
      <c r="J5079">
        <f t="shared" si="508"/>
        <v>0</v>
      </c>
      <c r="K5079">
        <f t="shared" si="509"/>
        <v>1</v>
      </c>
    </row>
    <row r="5080" spans="1:11" x14ac:dyDescent="0.25">
      <c r="A5080" t="s">
        <v>499</v>
      </c>
      <c r="B5080" t="s">
        <v>258</v>
      </c>
      <c r="C5080" t="s">
        <v>50</v>
      </c>
      <c r="D5080" s="6">
        <v>45974</v>
      </c>
      <c r="E5080" t="str">
        <f>VLOOKUP(B5080,'PROCV GERENTES BD'!A:B,2,0)</f>
        <v>PRISCILA METZ</v>
      </c>
      <c r="F5080" s="4" t="str">
        <f t="shared" si="504"/>
        <v>2025-11</v>
      </c>
      <c r="G5080" s="18">
        <f t="shared" si="505"/>
        <v>46</v>
      </c>
      <c r="H5080" t="str">
        <f t="shared" si="506"/>
        <v>PRISCILA METZ</v>
      </c>
      <c r="I5080" t="str">
        <f t="shared" si="507"/>
        <v>PLATINUM INDUSTRIA DE CONFECCOES LTDA</v>
      </c>
      <c r="J5080">
        <f t="shared" si="508"/>
        <v>0</v>
      </c>
      <c r="K5080">
        <f t="shared" si="509"/>
        <v>1</v>
      </c>
    </row>
    <row r="5081" spans="1:11" x14ac:dyDescent="0.25">
      <c r="A5081" t="s">
        <v>722</v>
      </c>
      <c r="B5081" t="s">
        <v>723</v>
      </c>
      <c r="C5081" t="s">
        <v>50</v>
      </c>
      <c r="D5081" s="6">
        <v>45974</v>
      </c>
      <c r="E5081" t="str">
        <f>VLOOKUP(B5081,'PROCV GERENTES BD'!A:B,2,0)</f>
        <v>POENATELA</v>
      </c>
      <c r="F5081" s="4" t="str">
        <f t="shared" si="504"/>
        <v>2025-11</v>
      </c>
      <c r="G5081" s="18">
        <f t="shared" si="505"/>
        <v>46</v>
      </c>
      <c r="H5081" t="str">
        <f t="shared" si="506"/>
        <v>POENATELA</v>
      </c>
      <c r="I5081" t="str">
        <f t="shared" si="507"/>
        <v>LIDER MIX CONCRETOS E AGREGADOS LTDA</v>
      </c>
      <c r="J5081">
        <f t="shared" si="508"/>
        <v>0</v>
      </c>
      <c r="K5081">
        <f t="shared" si="509"/>
        <v>1</v>
      </c>
    </row>
    <row r="5082" spans="1:11" x14ac:dyDescent="0.25">
      <c r="A5082" t="s">
        <v>56</v>
      </c>
      <c r="B5082" t="s">
        <v>57</v>
      </c>
      <c r="C5082" t="s">
        <v>53</v>
      </c>
      <c r="D5082" s="6">
        <v>45974</v>
      </c>
      <c r="E5082" t="str">
        <f>VLOOKUP(B5082,'PROCV GERENTES BD'!A:B,2,0)</f>
        <v xml:space="preserve">ROGERIO </v>
      </c>
      <c r="F5082" s="4" t="str">
        <f t="shared" si="504"/>
        <v>2025-11</v>
      </c>
      <c r="G5082" s="18">
        <f t="shared" si="505"/>
        <v>46</v>
      </c>
      <c r="H5082" t="str">
        <f t="shared" si="506"/>
        <v xml:space="preserve">ROGERIO </v>
      </c>
      <c r="I5082" t="str">
        <f t="shared" si="507"/>
        <v>RODOVIEIRA TRANSPORTE LTDA</v>
      </c>
      <c r="J5082">
        <f t="shared" si="508"/>
        <v>1</v>
      </c>
      <c r="K5082">
        <f t="shared" si="509"/>
        <v>1</v>
      </c>
    </row>
    <row r="5083" spans="1:11" x14ac:dyDescent="0.25">
      <c r="A5083" t="s">
        <v>361</v>
      </c>
      <c r="B5083" t="s">
        <v>106</v>
      </c>
      <c r="C5083" t="s">
        <v>50</v>
      </c>
      <c r="D5083" s="6">
        <v>45974</v>
      </c>
      <c r="E5083" t="str">
        <f>VLOOKUP(B5083,'PROCV GERENTES BD'!A:B,2,0)</f>
        <v>PRISCILA METZ</v>
      </c>
      <c r="F5083" s="4" t="str">
        <f t="shared" si="504"/>
        <v>2025-11</v>
      </c>
      <c r="G5083" s="18">
        <f t="shared" si="505"/>
        <v>46</v>
      </c>
      <c r="H5083" t="str">
        <f t="shared" si="506"/>
        <v>PRISCILA METZ</v>
      </c>
      <c r="I5083" t="str">
        <f t="shared" si="507"/>
        <v>HERBAMED LABORATORIO NUTRACEUTICO LTDA</v>
      </c>
      <c r="J5083">
        <f t="shared" si="508"/>
        <v>0</v>
      </c>
      <c r="K5083">
        <f t="shared" si="509"/>
        <v>1</v>
      </c>
    </row>
    <row r="5084" spans="1:11" x14ac:dyDescent="0.25">
      <c r="A5084" t="s">
        <v>387</v>
      </c>
      <c r="B5084" t="s">
        <v>134</v>
      </c>
      <c r="C5084" t="s">
        <v>66</v>
      </c>
      <c r="D5084" s="6">
        <v>45974</v>
      </c>
      <c r="E5084" t="str">
        <f>VLOOKUP(B5084,'PROCV GERENTES BD'!A:B,2,0)</f>
        <v>RAFAEL PARISE</v>
      </c>
      <c r="F5084" s="4" t="str">
        <f t="shared" si="504"/>
        <v>2025-11</v>
      </c>
      <c r="G5084" s="18">
        <f t="shared" si="505"/>
        <v>46</v>
      </c>
      <c r="H5084" t="str">
        <f t="shared" si="506"/>
        <v>RAFAEL PARISE</v>
      </c>
      <c r="I5084" t="str">
        <f t="shared" si="507"/>
        <v>MAIS DISTRIBUIDORA LTDA</v>
      </c>
      <c r="J5084">
        <f t="shared" si="508"/>
        <v>1</v>
      </c>
      <c r="K5084">
        <f t="shared" si="509"/>
        <v>0</v>
      </c>
    </row>
    <row r="5085" spans="1:11" x14ac:dyDescent="0.25">
      <c r="A5085" t="s">
        <v>700</v>
      </c>
      <c r="B5085" t="s">
        <v>680</v>
      </c>
      <c r="C5085" t="s">
        <v>50</v>
      </c>
      <c r="D5085" s="6">
        <v>45974</v>
      </c>
      <c r="E5085" t="str">
        <f>VLOOKUP(B5085,'PROCV GERENTES BD'!A:B,2,0)</f>
        <v>POENATELA</v>
      </c>
      <c r="F5085" s="4" t="str">
        <f t="shared" si="504"/>
        <v>2025-11</v>
      </c>
      <c r="G5085" s="18">
        <f t="shared" si="505"/>
        <v>46</v>
      </c>
      <c r="H5085" t="str">
        <f t="shared" si="506"/>
        <v>POENATELA</v>
      </c>
      <c r="I5085" t="str">
        <f t="shared" si="507"/>
        <v>BIORGANICA PRODUTOS ORGANICOS LTDA</v>
      </c>
      <c r="J5085">
        <f t="shared" si="508"/>
        <v>0</v>
      </c>
      <c r="K5085">
        <f t="shared" si="509"/>
        <v>1</v>
      </c>
    </row>
    <row r="5086" spans="1:11" x14ac:dyDescent="0.25">
      <c r="A5086" t="s">
        <v>660</v>
      </c>
      <c r="B5086" t="s">
        <v>545</v>
      </c>
      <c r="C5086" t="s">
        <v>50</v>
      </c>
      <c r="D5086" s="6">
        <v>45974</v>
      </c>
      <c r="E5086" t="str">
        <f>VLOOKUP(B5086,'PROCV GERENTES BD'!A:B,2,0)</f>
        <v xml:space="preserve">ROGERIO </v>
      </c>
      <c r="F5086" s="4" t="str">
        <f t="shared" si="504"/>
        <v>2025-11</v>
      </c>
      <c r="G5086" s="18">
        <f t="shared" si="505"/>
        <v>46</v>
      </c>
      <c r="H5086" t="str">
        <f t="shared" si="506"/>
        <v xml:space="preserve">ROGERIO </v>
      </c>
      <c r="I5086" t="str">
        <f t="shared" si="507"/>
        <v>DISEP ALIMENTOS LTDA ME</v>
      </c>
      <c r="J5086">
        <f t="shared" si="508"/>
        <v>0</v>
      </c>
      <c r="K5086">
        <f t="shared" si="509"/>
        <v>1</v>
      </c>
    </row>
    <row r="5087" spans="1:11" x14ac:dyDescent="0.25">
      <c r="A5087" t="s">
        <v>415</v>
      </c>
      <c r="B5087" t="s">
        <v>165</v>
      </c>
      <c r="C5087" t="s">
        <v>50</v>
      </c>
      <c r="D5087" s="6">
        <v>45974</v>
      </c>
      <c r="E5087" t="str">
        <f>VLOOKUP(B5087,'PROCV GERENTES BD'!A:B,2,0)</f>
        <v>PROSPECTAR</v>
      </c>
      <c r="F5087" s="4" t="str">
        <f t="shared" si="504"/>
        <v>2025-11</v>
      </c>
      <c r="G5087" s="18">
        <f t="shared" si="505"/>
        <v>46</v>
      </c>
      <c r="H5087" t="str">
        <f t="shared" si="506"/>
        <v>PROSPECTAR</v>
      </c>
      <c r="I5087" t="str">
        <f t="shared" si="507"/>
        <v>STA SERVICOS LTDA</v>
      </c>
      <c r="J5087">
        <f t="shared" si="508"/>
        <v>0</v>
      </c>
      <c r="K5087">
        <f t="shared" si="509"/>
        <v>1</v>
      </c>
    </row>
    <row r="5088" spans="1:11" x14ac:dyDescent="0.25">
      <c r="A5088" t="s">
        <v>505</v>
      </c>
      <c r="B5088" t="s">
        <v>267</v>
      </c>
      <c r="C5088" t="s">
        <v>50</v>
      </c>
      <c r="D5088" s="6">
        <v>45974</v>
      </c>
      <c r="E5088" t="str">
        <f>VLOOKUP(B5088,'PROCV GERENTES BD'!A:B,2,0)</f>
        <v>PRISCILA METZ</v>
      </c>
      <c r="F5088" s="4" t="str">
        <f t="shared" si="504"/>
        <v>2025-11</v>
      </c>
      <c r="G5088" s="18">
        <f t="shared" si="505"/>
        <v>46</v>
      </c>
      <c r="H5088" t="str">
        <f t="shared" si="506"/>
        <v>PRISCILA METZ</v>
      </c>
      <c r="I5088" t="str">
        <f t="shared" si="507"/>
        <v>REAL DISTRIBUIDORA DE PRODUTOS PARA MARMORARIA LTD</v>
      </c>
      <c r="J5088">
        <f t="shared" si="508"/>
        <v>0</v>
      </c>
      <c r="K5088">
        <f t="shared" si="509"/>
        <v>1</v>
      </c>
    </row>
    <row r="5089" spans="1:11" x14ac:dyDescent="0.25">
      <c r="A5089" t="s">
        <v>687</v>
      </c>
      <c r="B5089" t="s">
        <v>684</v>
      </c>
      <c r="C5089" t="s">
        <v>50</v>
      </c>
      <c r="D5089" s="6">
        <v>45974</v>
      </c>
      <c r="E5089" t="str">
        <f>VLOOKUP(B5089,'PROCV GERENTES BD'!A:B,2,0)</f>
        <v>DALVA</v>
      </c>
      <c r="F5089" s="4" t="str">
        <f t="shared" si="504"/>
        <v>2025-11</v>
      </c>
      <c r="G5089" s="18">
        <f t="shared" si="505"/>
        <v>46</v>
      </c>
      <c r="H5089" t="str">
        <f t="shared" si="506"/>
        <v>DALVA</v>
      </c>
      <c r="I5089" t="str">
        <f t="shared" si="507"/>
        <v>AGUIA DE FOGO PREVENCAO DE INCENDIO LTDA EPP</v>
      </c>
      <c r="J5089">
        <f t="shared" si="508"/>
        <v>0</v>
      </c>
      <c r="K5089">
        <f t="shared" si="509"/>
        <v>1</v>
      </c>
    </row>
    <row r="5090" spans="1:11" x14ac:dyDescent="0.25">
      <c r="A5090" t="s">
        <v>691</v>
      </c>
      <c r="B5090" t="s">
        <v>682</v>
      </c>
      <c r="C5090" t="s">
        <v>50</v>
      </c>
      <c r="D5090" s="6">
        <v>45976</v>
      </c>
      <c r="E5090" t="str">
        <f>VLOOKUP(B5090,'PROCV GERENTES BD'!A:B,2,0)</f>
        <v>ANDERSON FRAGA</v>
      </c>
      <c r="F5090" s="4" t="str">
        <f t="shared" ref="F5090:F5116" si="510">YEAR(D5090)&amp;"-"&amp;TEXT(MONTH(D5090),"00")</f>
        <v>2025-11</v>
      </c>
      <c r="G5090" s="18">
        <f t="shared" ref="G5090:G5116" si="511">WEEKNUM(D5090)</f>
        <v>46</v>
      </c>
      <c r="H5090" t="str">
        <f t="shared" ref="H5090:H5116" si="512">E5090</f>
        <v>ANDERSON FRAGA</v>
      </c>
      <c r="I5090" t="str">
        <f t="shared" ref="I5090:I5116" si="513">B5090</f>
        <v>COMERCIAL COMAG LTDA</v>
      </c>
      <c r="J5090">
        <f t="shared" ref="J5090:J5116" si="514">IF(OR(C5090="EXCLUSAO  ANOT.INADIMPLENCIA",C5090="INCL/EXCL ANOT.INADIMPLENCIA"),1,0)</f>
        <v>0</v>
      </c>
      <c r="K5090">
        <f t="shared" ref="K5090:K5116" si="515">IF(OR(C5090="INCLUSAO  ANOT.INADIMPLENCIA",C5090="INCL/EXCL ANOT.INADIMPLENCIA"),1,0)</f>
        <v>1</v>
      </c>
    </row>
    <row r="5091" spans="1:11" x14ac:dyDescent="0.25">
      <c r="A5091" t="s">
        <v>314</v>
      </c>
      <c r="B5091" t="s">
        <v>246</v>
      </c>
      <c r="C5091" t="s">
        <v>50</v>
      </c>
      <c r="D5091" s="6">
        <v>45976</v>
      </c>
      <c r="E5091" t="str">
        <f>VLOOKUP(B5091,'PROCV GERENTES BD'!A:B,2,0)</f>
        <v xml:space="preserve">ROGERIO </v>
      </c>
      <c r="F5091" s="4" t="str">
        <f t="shared" si="510"/>
        <v>2025-11</v>
      </c>
      <c r="G5091" s="18">
        <f t="shared" si="511"/>
        <v>46</v>
      </c>
      <c r="H5091" t="str">
        <f t="shared" si="512"/>
        <v xml:space="preserve">ROGERIO </v>
      </c>
      <c r="I5091" t="str">
        <f t="shared" si="513"/>
        <v>MUTCD CENTRO DE DISTRIBUICAO DE IND FABRICANTE DE</v>
      </c>
      <c r="J5091">
        <f t="shared" si="514"/>
        <v>0</v>
      </c>
      <c r="K5091">
        <f t="shared" si="515"/>
        <v>1</v>
      </c>
    </row>
    <row r="5092" spans="1:11" x14ac:dyDescent="0.25">
      <c r="A5092" t="s">
        <v>470</v>
      </c>
      <c r="B5092" t="s">
        <v>227</v>
      </c>
      <c r="C5092" t="s">
        <v>50</v>
      </c>
      <c r="D5092" s="6">
        <v>45976</v>
      </c>
      <c r="E5092" t="str">
        <f>VLOOKUP(B5092,'PROCV GERENTES BD'!A:B,2,0)</f>
        <v>POENATELA</v>
      </c>
      <c r="F5092" s="4" t="str">
        <f t="shared" si="510"/>
        <v>2025-11</v>
      </c>
      <c r="G5092" s="18">
        <f t="shared" si="511"/>
        <v>46</v>
      </c>
      <c r="H5092" t="str">
        <f t="shared" si="512"/>
        <v>POENATELA</v>
      </c>
      <c r="I5092" t="str">
        <f t="shared" si="513"/>
        <v>SH METALIZACOES LTDA EPP</v>
      </c>
      <c r="J5092">
        <f t="shared" si="514"/>
        <v>0</v>
      </c>
      <c r="K5092">
        <f t="shared" si="515"/>
        <v>1</v>
      </c>
    </row>
    <row r="5093" spans="1:11" x14ac:dyDescent="0.25">
      <c r="A5093" t="s">
        <v>488</v>
      </c>
      <c r="B5093" t="s">
        <v>247</v>
      </c>
      <c r="C5093" t="s">
        <v>50</v>
      </c>
      <c r="D5093" s="6">
        <v>45976</v>
      </c>
      <c r="E5093" t="str">
        <f>VLOOKUP(B5093,'PROCV GERENTES BD'!A:B,2,0)</f>
        <v>CELIO PIMENTA</v>
      </c>
      <c r="F5093" s="4" t="str">
        <f t="shared" si="510"/>
        <v>2025-11</v>
      </c>
      <c r="G5093" s="18">
        <f t="shared" si="511"/>
        <v>46</v>
      </c>
      <c r="H5093" t="str">
        <f t="shared" si="512"/>
        <v>CELIO PIMENTA</v>
      </c>
      <c r="I5093" t="str">
        <f t="shared" si="513"/>
        <v>AZ HIDRAULICA USINAGEM LTDA EPP</v>
      </c>
      <c r="J5093">
        <f t="shared" si="514"/>
        <v>0</v>
      </c>
      <c r="K5093">
        <f t="shared" si="515"/>
        <v>1</v>
      </c>
    </row>
    <row r="5094" spans="1:11" x14ac:dyDescent="0.25">
      <c r="A5094" t="s">
        <v>655</v>
      </c>
      <c r="B5094" t="s">
        <v>548</v>
      </c>
      <c r="C5094" t="s">
        <v>50</v>
      </c>
      <c r="D5094" s="6">
        <v>45976</v>
      </c>
      <c r="E5094" t="str">
        <f>VLOOKUP(B5094,'PROCV GERENTES BD'!A:B,2,0)</f>
        <v xml:space="preserve">ROGERIO </v>
      </c>
      <c r="F5094" s="4" t="str">
        <f t="shared" si="510"/>
        <v>2025-11</v>
      </c>
      <c r="G5094" s="18">
        <f t="shared" si="511"/>
        <v>46</v>
      </c>
      <c r="H5094" t="str">
        <f t="shared" si="512"/>
        <v xml:space="preserve">ROGERIO </v>
      </c>
      <c r="I5094" t="str">
        <f t="shared" si="513"/>
        <v>AGROEP PISCICULTURA LTDA ME</v>
      </c>
      <c r="J5094">
        <f t="shared" si="514"/>
        <v>0</v>
      </c>
      <c r="K5094">
        <f t="shared" si="515"/>
        <v>1</v>
      </c>
    </row>
    <row r="5095" spans="1:11" x14ac:dyDescent="0.25">
      <c r="A5095" t="s">
        <v>658</v>
      </c>
      <c r="B5095" t="s">
        <v>659</v>
      </c>
      <c r="C5095" t="s">
        <v>50</v>
      </c>
      <c r="D5095" s="6">
        <v>45976</v>
      </c>
      <c r="E5095" t="str">
        <f>VLOOKUP(B5095,'PROCV GERENTES BD'!A:B,2,0)</f>
        <v>ADMINISTRAÇÃO</v>
      </c>
      <c r="F5095" s="4" t="str">
        <f t="shared" si="510"/>
        <v>2025-11</v>
      </c>
      <c r="G5095" s="18">
        <f t="shared" si="511"/>
        <v>46</v>
      </c>
      <c r="H5095" t="str">
        <f t="shared" si="512"/>
        <v>ADMINISTRAÇÃO</v>
      </c>
      <c r="I5095" t="str">
        <f t="shared" si="513"/>
        <v>LEFORM PLANEJADOS LTDA ME</v>
      </c>
      <c r="J5095">
        <f t="shared" si="514"/>
        <v>0</v>
      </c>
      <c r="K5095">
        <f t="shared" si="515"/>
        <v>1</v>
      </c>
    </row>
    <row r="5096" spans="1:11" x14ac:dyDescent="0.25">
      <c r="A5096" t="s">
        <v>630</v>
      </c>
      <c r="B5096" t="s">
        <v>559</v>
      </c>
      <c r="C5096" t="s">
        <v>50</v>
      </c>
      <c r="D5096" s="6">
        <v>45976</v>
      </c>
      <c r="E5096" t="str">
        <f>VLOOKUP(B5096,'PROCV GERENTES BD'!A:B,2,0)</f>
        <v>ALISSON DE SOUZA LIMA</v>
      </c>
      <c r="F5096" s="4" t="str">
        <f t="shared" si="510"/>
        <v>2025-11</v>
      </c>
      <c r="G5096" s="18">
        <f t="shared" si="511"/>
        <v>46</v>
      </c>
      <c r="H5096" t="str">
        <f t="shared" si="512"/>
        <v>ALISSON DE SOUZA LIMA</v>
      </c>
      <c r="I5096" t="str">
        <f t="shared" si="513"/>
        <v>JRG SOLUCOES INDUSTRIAIS LTDA</v>
      </c>
      <c r="J5096">
        <f t="shared" si="514"/>
        <v>0</v>
      </c>
      <c r="K5096">
        <f t="shared" si="515"/>
        <v>1</v>
      </c>
    </row>
    <row r="5097" spans="1:11" x14ac:dyDescent="0.25">
      <c r="A5097" t="s">
        <v>316</v>
      </c>
      <c r="B5097" t="s">
        <v>302</v>
      </c>
      <c r="C5097" t="s">
        <v>50</v>
      </c>
      <c r="D5097" s="6">
        <v>45976</v>
      </c>
      <c r="E5097" t="str">
        <f>VLOOKUP(B5097,'PROCV GERENTES BD'!A:B,2,0)</f>
        <v>CELIO PIMENTA</v>
      </c>
      <c r="F5097" s="4" t="str">
        <f t="shared" si="510"/>
        <v>2025-11</v>
      </c>
      <c r="G5097" s="18">
        <f t="shared" si="511"/>
        <v>46</v>
      </c>
      <c r="H5097" t="str">
        <f t="shared" si="512"/>
        <v>CELIO PIMENTA</v>
      </c>
      <c r="I5097" t="str">
        <f t="shared" si="513"/>
        <v>LOTUS DESENVOLVIMENTO IMOBILIARIO LTDA</v>
      </c>
      <c r="J5097">
        <f t="shared" si="514"/>
        <v>0</v>
      </c>
      <c r="K5097">
        <f t="shared" si="515"/>
        <v>1</v>
      </c>
    </row>
    <row r="5098" spans="1:11" x14ac:dyDescent="0.25">
      <c r="A5098" t="s">
        <v>64</v>
      </c>
      <c r="B5098" t="s">
        <v>65</v>
      </c>
      <c r="C5098" t="s">
        <v>66</v>
      </c>
      <c r="D5098" s="6">
        <v>45976</v>
      </c>
      <c r="E5098" t="str">
        <f>VLOOKUP(B5098,'PROCV GERENTES BD'!A:B,2,0)</f>
        <v>ADMINISTRAÇÃO</v>
      </c>
      <c r="F5098" s="4" t="str">
        <f t="shared" si="510"/>
        <v>2025-11</v>
      </c>
      <c r="G5098" s="18">
        <f t="shared" si="511"/>
        <v>46</v>
      </c>
      <c r="H5098" t="str">
        <f t="shared" si="512"/>
        <v>ADMINISTRAÇÃO</v>
      </c>
      <c r="I5098" t="str">
        <f t="shared" si="513"/>
        <v>SOCIAL S/A</v>
      </c>
      <c r="J5098">
        <f t="shared" si="514"/>
        <v>1</v>
      </c>
      <c r="K5098">
        <f t="shared" si="515"/>
        <v>0</v>
      </c>
    </row>
    <row r="5099" spans="1:11" x14ac:dyDescent="0.25">
      <c r="A5099" t="s">
        <v>499</v>
      </c>
      <c r="B5099" t="s">
        <v>258</v>
      </c>
      <c r="C5099" t="s">
        <v>53</v>
      </c>
      <c r="D5099" s="6">
        <v>45976</v>
      </c>
      <c r="E5099" t="str">
        <f>VLOOKUP(B5099,'PROCV GERENTES BD'!A:B,2,0)</f>
        <v>PRISCILA METZ</v>
      </c>
      <c r="F5099" s="4" t="str">
        <f t="shared" si="510"/>
        <v>2025-11</v>
      </c>
      <c r="G5099" s="18">
        <f t="shared" si="511"/>
        <v>46</v>
      </c>
      <c r="H5099" t="str">
        <f t="shared" si="512"/>
        <v>PRISCILA METZ</v>
      </c>
      <c r="I5099" t="str">
        <f t="shared" si="513"/>
        <v>PLATINUM INDUSTRIA DE CONFECCOES LTDA</v>
      </c>
      <c r="J5099">
        <f t="shared" si="514"/>
        <v>1</v>
      </c>
      <c r="K5099">
        <f t="shared" si="515"/>
        <v>1</v>
      </c>
    </row>
    <row r="5100" spans="1:11" x14ac:dyDescent="0.25">
      <c r="A5100" t="s">
        <v>317</v>
      </c>
      <c r="B5100" t="s">
        <v>280</v>
      </c>
      <c r="C5100" t="s">
        <v>50</v>
      </c>
      <c r="D5100" s="6">
        <v>45976</v>
      </c>
      <c r="E5100" t="str">
        <f>VLOOKUP(B5100,'PROCV GERENTES BD'!A:B,2,0)</f>
        <v>PROSPECTAR</v>
      </c>
      <c r="F5100" s="4" t="str">
        <f t="shared" si="510"/>
        <v>2025-11</v>
      </c>
      <c r="G5100" s="18">
        <f t="shared" si="511"/>
        <v>46</v>
      </c>
      <c r="H5100" t="str">
        <f t="shared" si="512"/>
        <v>PROSPECTAR</v>
      </c>
      <c r="I5100" t="str">
        <f t="shared" si="513"/>
        <v>STA TECHCANA LTDA</v>
      </c>
      <c r="J5100">
        <f t="shared" si="514"/>
        <v>0</v>
      </c>
      <c r="K5100">
        <f t="shared" si="515"/>
        <v>1</v>
      </c>
    </row>
    <row r="5101" spans="1:11" x14ac:dyDescent="0.25">
      <c r="A5101" t="s">
        <v>355</v>
      </c>
      <c r="B5101" t="s">
        <v>100</v>
      </c>
      <c r="C5101" t="s">
        <v>50</v>
      </c>
      <c r="D5101" s="6">
        <v>45976</v>
      </c>
      <c r="E5101" t="str">
        <f>VLOOKUP(B5101,'PROCV GERENTES BD'!A:B,2,0)</f>
        <v>ADMINISTRAÇÃO</v>
      </c>
      <c r="F5101" s="4" t="str">
        <f t="shared" si="510"/>
        <v>2025-11</v>
      </c>
      <c r="G5101" s="18">
        <f t="shared" si="511"/>
        <v>46</v>
      </c>
      <c r="H5101" t="str">
        <f t="shared" si="512"/>
        <v>ADMINISTRAÇÃO</v>
      </c>
      <c r="I5101" t="str">
        <f t="shared" si="513"/>
        <v>DECISION DESENVOLVIMENTO DE SISTEMAS LTDA</v>
      </c>
      <c r="J5101">
        <f t="shared" si="514"/>
        <v>0</v>
      </c>
      <c r="K5101">
        <f t="shared" si="515"/>
        <v>1</v>
      </c>
    </row>
    <row r="5102" spans="1:11" x14ac:dyDescent="0.25">
      <c r="A5102" t="s">
        <v>457</v>
      </c>
      <c r="B5102" t="s">
        <v>214</v>
      </c>
      <c r="C5102" t="s">
        <v>50</v>
      </c>
      <c r="D5102" s="6">
        <v>45976</v>
      </c>
      <c r="E5102" t="str">
        <f>VLOOKUP(B5102,'PROCV GERENTES BD'!A:B,2,0)</f>
        <v xml:space="preserve">ROGERIO </v>
      </c>
      <c r="F5102" s="4" t="str">
        <f t="shared" si="510"/>
        <v>2025-11</v>
      </c>
      <c r="G5102" s="18">
        <f t="shared" si="511"/>
        <v>46</v>
      </c>
      <c r="H5102" t="str">
        <f t="shared" si="512"/>
        <v xml:space="preserve">ROGERIO </v>
      </c>
      <c r="I5102" t="str">
        <f t="shared" si="513"/>
        <v>METAL STAMP INDUSTRIA E COMERCIO LTDA</v>
      </c>
      <c r="J5102">
        <f t="shared" si="514"/>
        <v>0</v>
      </c>
      <c r="K5102">
        <f t="shared" si="515"/>
        <v>1</v>
      </c>
    </row>
    <row r="5103" spans="1:11" x14ac:dyDescent="0.25">
      <c r="A5103" t="s">
        <v>58</v>
      </c>
      <c r="B5103" t="s">
        <v>59</v>
      </c>
      <c r="C5103" t="s">
        <v>66</v>
      </c>
      <c r="D5103" s="6">
        <v>45976</v>
      </c>
      <c r="E5103" t="str">
        <f>VLOOKUP(B5103,'PROCV GERENTES BD'!A:B,2,0)</f>
        <v>ADMINISTRAÇÃO</v>
      </c>
      <c r="F5103" s="4" t="str">
        <f t="shared" si="510"/>
        <v>2025-11</v>
      </c>
      <c r="G5103" s="18">
        <f t="shared" si="511"/>
        <v>46</v>
      </c>
      <c r="H5103" t="str">
        <f t="shared" si="512"/>
        <v>ADMINISTRAÇÃO</v>
      </c>
      <c r="I5103" t="str">
        <f t="shared" si="513"/>
        <v>BIOTECH LOGISTICA LTDA</v>
      </c>
      <c r="J5103">
        <f t="shared" si="514"/>
        <v>1</v>
      </c>
      <c r="K5103">
        <f t="shared" si="515"/>
        <v>0</v>
      </c>
    </row>
    <row r="5104" spans="1:11" x14ac:dyDescent="0.25">
      <c r="A5104" t="s">
        <v>638</v>
      </c>
      <c r="B5104" t="s">
        <v>539</v>
      </c>
      <c r="C5104" t="s">
        <v>50</v>
      </c>
      <c r="D5104" s="6">
        <v>45976</v>
      </c>
      <c r="E5104" t="str">
        <f>VLOOKUP(B5104,'PROCV GERENTES BD'!A:B,2,0)</f>
        <v>JJPH</v>
      </c>
      <c r="F5104" s="4" t="str">
        <f t="shared" si="510"/>
        <v>2025-11</v>
      </c>
      <c r="G5104" s="18">
        <f t="shared" si="511"/>
        <v>46</v>
      </c>
      <c r="H5104" t="str">
        <f t="shared" si="512"/>
        <v>JJPH</v>
      </c>
      <c r="I5104" t="str">
        <f t="shared" si="513"/>
        <v>DIFARMIG LTDA</v>
      </c>
      <c r="J5104">
        <f t="shared" si="514"/>
        <v>0</v>
      </c>
      <c r="K5104">
        <f t="shared" si="515"/>
        <v>1</v>
      </c>
    </row>
    <row r="5105" spans="1:11" x14ac:dyDescent="0.25">
      <c r="A5105" t="s">
        <v>358</v>
      </c>
      <c r="B5105" t="s">
        <v>104</v>
      </c>
      <c r="C5105" t="s">
        <v>50</v>
      </c>
      <c r="D5105" s="6">
        <v>45976</v>
      </c>
      <c r="E5105" t="str">
        <f>VLOOKUP(B5105,'PROCV GERENTES BD'!A:B,2,0)</f>
        <v>DIOGO AZEVEDO</v>
      </c>
      <c r="F5105" s="4" t="str">
        <f t="shared" si="510"/>
        <v>2025-11</v>
      </c>
      <c r="G5105" s="18">
        <f t="shared" si="511"/>
        <v>46</v>
      </c>
      <c r="H5105" t="str">
        <f t="shared" si="512"/>
        <v>DIOGO AZEVEDO</v>
      </c>
      <c r="I5105" t="str">
        <f t="shared" si="513"/>
        <v>INDUSTRIA E CERVEJARIA ARTESANAL DE MINAS GERAIS L</v>
      </c>
      <c r="J5105">
        <f t="shared" si="514"/>
        <v>0</v>
      </c>
      <c r="K5105">
        <f t="shared" si="515"/>
        <v>1</v>
      </c>
    </row>
    <row r="5106" spans="1:11" x14ac:dyDescent="0.25">
      <c r="A5106" t="s">
        <v>361</v>
      </c>
      <c r="B5106" t="s">
        <v>106</v>
      </c>
      <c r="C5106" t="s">
        <v>50</v>
      </c>
      <c r="D5106" s="6">
        <v>45976</v>
      </c>
      <c r="E5106" t="str">
        <f>VLOOKUP(B5106,'PROCV GERENTES BD'!A:B,2,0)</f>
        <v>PRISCILA METZ</v>
      </c>
      <c r="F5106" s="4" t="str">
        <f t="shared" si="510"/>
        <v>2025-11</v>
      </c>
      <c r="G5106" s="18">
        <f t="shared" si="511"/>
        <v>46</v>
      </c>
      <c r="H5106" t="str">
        <f t="shared" si="512"/>
        <v>PRISCILA METZ</v>
      </c>
      <c r="I5106" t="str">
        <f t="shared" si="513"/>
        <v>HERBAMED LABORATORIO NUTRACEUTICO LTDA</v>
      </c>
      <c r="J5106">
        <f t="shared" si="514"/>
        <v>0</v>
      </c>
      <c r="K5106">
        <f t="shared" si="515"/>
        <v>1</v>
      </c>
    </row>
    <row r="5107" spans="1:11" x14ac:dyDescent="0.25">
      <c r="A5107" t="s">
        <v>644</v>
      </c>
      <c r="B5107" t="s">
        <v>598</v>
      </c>
      <c r="C5107" t="s">
        <v>66</v>
      </c>
      <c r="D5107" s="6">
        <v>45976</v>
      </c>
      <c r="E5107" t="str">
        <f>VLOOKUP(B5107,'PROCV GERENTES BD'!A:B,2,0)</f>
        <v>DALVA</v>
      </c>
      <c r="F5107" s="4" t="str">
        <f t="shared" si="510"/>
        <v>2025-11</v>
      </c>
      <c r="G5107" s="18">
        <f t="shared" si="511"/>
        <v>46</v>
      </c>
      <c r="H5107" t="str">
        <f t="shared" si="512"/>
        <v>DALVA</v>
      </c>
      <c r="I5107" t="str">
        <f t="shared" si="513"/>
        <v>BH BRITADORES LTDA EPP</v>
      </c>
      <c r="J5107">
        <f t="shared" si="514"/>
        <v>1</v>
      </c>
      <c r="K5107">
        <f t="shared" si="515"/>
        <v>0</v>
      </c>
    </row>
    <row r="5108" spans="1:11" x14ac:dyDescent="0.25">
      <c r="A5108" t="s">
        <v>726</v>
      </c>
      <c r="B5108" t="s">
        <v>727</v>
      </c>
      <c r="C5108" t="s">
        <v>50</v>
      </c>
      <c r="D5108" s="6">
        <v>45976</v>
      </c>
      <c r="E5108" t="str">
        <f>VLOOKUP(B5108,'PROCV GERENTES BD'!A:B,2,0)</f>
        <v>POENATELA</v>
      </c>
      <c r="F5108" s="4" t="str">
        <f t="shared" si="510"/>
        <v>2025-11</v>
      </c>
      <c r="G5108" s="18">
        <f t="shared" si="511"/>
        <v>46</v>
      </c>
      <c r="H5108" t="str">
        <f t="shared" si="512"/>
        <v>POENATELA</v>
      </c>
      <c r="I5108" t="str">
        <f t="shared" si="513"/>
        <v>MORAES TRANSPORTES RODOVIARIOS DE CARGAS LTDA</v>
      </c>
      <c r="J5108">
        <f t="shared" si="514"/>
        <v>0</v>
      </c>
      <c r="K5108">
        <f t="shared" si="515"/>
        <v>1</v>
      </c>
    </row>
    <row r="5109" spans="1:11" x14ac:dyDescent="0.25">
      <c r="A5109" t="s">
        <v>698</v>
      </c>
      <c r="B5109" t="s">
        <v>699</v>
      </c>
      <c r="C5109" t="s">
        <v>50</v>
      </c>
      <c r="D5109" s="6">
        <v>45976</v>
      </c>
      <c r="E5109" t="str">
        <f>VLOOKUP(B5109,'PROCV GERENTES BD'!A:B,2,0)</f>
        <v>VALERIA</v>
      </c>
      <c r="F5109" s="4" t="str">
        <f t="shared" si="510"/>
        <v>2025-11</v>
      </c>
      <c r="G5109" s="18">
        <f t="shared" si="511"/>
        <v>46</v>
      </c>
      <c r="H5109" t="str">
        <f t="shared" si="512"/>
        <v>VALERIA</v>
      </c>
      <c r="I5109" t="str">
        <f t="shared" si="513"/>
        <v>FRIGORIFICO BRAZFRIG INDUSTRIA E IMPORTACAO LTDA E</v>
      </c>
      <c r="J5109">
        <f t="shared" si="514"/>
        <v>0</v>
      </c>
      <c r="K5109">
        <f t="shared" si="515"/>
        <v>1</v>
      </c>
    </row>
    <row r="5110" spans="1:11" x14ac:dyDescent="0.25">
      <c r="A5110" t="s">
        <v>387</v>
      </c>
      <c r="B5110" t="s">
        <v>134</v>
      </c>
      <c r="C5110" t="s">
        <v>50</v>
      </c>
      <c r="D5110" s="6">
        <v>45976</v>
      </c>
      <c r="E5110" t="str">
        <f>VLOOKUP(B5110,'PROCV GERENTES BD'!A:B,2,0)</f>
        <v>RAFAEL PARISE</v>
      </c>
      <c r="F5110" s="4" t="str">
        <f t="shared" si="510"/>
        <v>2025-11</v>
      </c>
      <c r="G5110" s="18">
        <f t="shared" si="511"/>
        <v>46</v>
      </c>
      <c r="H5110" t="str">
        <f t="shared" si="512"/>
        <v>RAFAEL PARISE</v>
      </c>
      <c r="I5110" t="str">
        <f t="shared" si="513"/>
        <v>MAIS DISTRIBUIDORA LTDA</v>
      </c>
      <c r="J5110">
        <f t="shared" si="514"/>
        <v>0</v>
      </c>
      <c r="K5110">
        <f t="shared" si="515"/>
        <v>1</v>
      </c>
    </row>
    <row r="5111" spans="1:11" x14ac:dyDescent="0.25">
      <c r="A5111" t="s">
        <v>700</v>
      </c>
      <c r="B5111" t="s">
        <v>680</v>
      </c>
      <c r="C5111" t="s">
        <v>50</v>
      </c>
      <c r="D5111" s="6">
        <v>45976</v>
      </c>
      <c r="E5111" t="str">
        <f>VLOOKUP(B5111,'PROCV GERENTES BD'!A:B,2,0)</f>
        <v>POENATELA</v>
      </c>
      <c r="F5111" s="4" t="str">
        <f t="shared" si="510"/>
        <v>2025-11</v>
      </c>
      <c r="G5111" s="18">
        <f t="shared" si="511"/>
        <v>46</v>
      </c>
      <c r="H5111" t="str">
        <f t="shared" si="512"/>
        <v>POENATELA</v>
      </c>
      <c r="I5111" t="str">
        <f t="shared" si="513"/>
        <v>BIORGANICA PRODUTOS ORGANICOS LTDA</v>
      </c>
      <c r="J5111">
        <f t="shared" si="514"/>
        <v>0</v>
      </c>
      <c r="K5111">
        <f t="shared" si="515"/>
        <v>1</v>
      </c>
    </row>
    <row r="5112" spans="1:11" x14ac:dyDescent="0.25">
      <c r="A5112" t="s">
        <v>660</v>
      </c>
      <c r="B5112" t="s">
        <v>545</v>
      </c>
      <c r="C5112" t="s">
        <v>50</v>
      </c>
      <c r="D5112" s="6">
        <v>45976</v>
      </c>
      <c r="E5112" t="str">
        <f>VLOOKUP(B5112,'PROCV GERENTES BD'!A:B,2,0)</f>
        <v xml:space="preserve">ROGERIO </v>
      </c>
      <c r="F5112" s="4" t="str">
        <f t="shared" si="510"/>
        <v>2025-11</v>
      </c>
      <c r="G5112" s="18">
        <f t="shared" si="511"/>
        <v>46</v>
      </c>
      <c r="H5112" t="str">
        <f t="shared" si="512"/>
        <v xml:space="preserve">ROGERIO </v>
      </c>
      <c r="I5112" t="str">
        <f t="shared" si="513"/>
        <v>DISEP ALIMENTOS LTDA ME</v>
      </c>
      <c r="J5112">
        <f t="shared" si="514"/>
        <v>0</v>
      </c>
      <c r="K5112">
        <f t="shared" si="515"/>
        <v>1</v>
      </c>
    </row>
    <row r="5113" spans="1:11" x14ac:dyDescent="0.25">
      <c r="A5113" t="s">
        <v>482</v>
      </c>
      <c r="B5113" t="s">
        <v>239</v>
      </c>
      <c r="C5113" t="s">
        <v>50</v>
      </c>
      <c r="D5113" s="6">
        <v>45976</v>
      </c>
      <c r="E5113" t="str">
        <f>VLOOKUP(B5113,'PROCV GERENTES BD'!A:B,2,0)</f>
        <v>RAFAEL PARISE</v>
      </c>
      <c r="F5113" s="4" t="str">
        <f t="shared" si="510"/>
        <v>2025-11</v>
      </c>
      <c r="G5113" s="18">
        <f t="shared" si="511"/>
        <v>46</v>
      </c>
      <c r="H5113" t="str">
        <f t="shared" si="512"/>
        <v>RAFAEL PARISE</v>
      </c>
      <c r="I5113" t="str">
        <f t="shared" si="513"/>
        <v>RENOVAR AGRICOLA LTDA</v>
      </c>
      <c r="J5113">
        <f t="shared" si="514"/>
        <v>0</v>
      </c>
      <c r="K5113">
        <f t="shared" si="515"/>
        <v>1</v>
      </c>
    </row>
    <row r="5114" spans="1:11" x14ac:dyDescent="0.25">
      <c r="A5114" t="s">
        <v>415</v>
      </c>
      <c r="B5114" t="s">
        <v>165</v>
      </c>
      <c r="C5114" t="s">
        <v>53</v>
      </c>
      <c r="D5114" s="6">
        <v>45976</v>
      </c>
      <c r="E5114" t="str">
        <f>VLOOKUP(B5114,'PROCV GERENTES BD'!A:B,2,0)</f>
        <v>PROSPECTAR</v>
      </c>
      <c r="F5114" s="4" t="str">
        <f t="shared" si="510"/>
        <v>2025-11</v>
      </c>
      <c r="G5114" s="18">
        <f t="shared" si="511"/>
        <v>46</v>
      </c>
      <c r="H5114" t="str">
        <f t="shared" si="512"/>
        <v>PROSPECTAR</v>
      </c>
      <c r="I5114" t="str">
        <f t="shared" si="513"/>
        <v>STA SERVICOS LTDA</v>
      </c>
      <c r="J5114">
        <f t="shared" si="514"/>
        <v>1</v>
      </c>
      <c r="K5114">
        <f t="shared" si="515"/>
        <v>1</v>
      </c>
    </row>
    <row r="5115" spans="1:11" x14ac:dyDescent="0.25">
      <c r="A5115" t="s">
        <v>56</v>
      </c>
      <c r="B5115" t="s">
        <v>57</v>
      </c>
      <c r="C5115" t="s">
        <v>50</v>
      </c>
      <c r="D5115" s="6">
        <v>45976</v>
      </c>
      <c r="E5115" t="str">
        <f>VLOOKUP(B5115,'PROCV GERENTES BD'!A:B,2,0)</f>
        <v xml:space="preserve">ROGERIO </v>
      </c>
      <c r="F5115" s="4" t="str">
        <f t="shared" si="510"/>
        <v>2025-11</v>
      </c>
      <c r="G5115" s="18">
        <f t="shared" si="511"/>
        <v>46</v>
      </c>
      <c r="H5115" t="str">
        <f t="shared" si="512"/>
        <v xml:space="preserve">ROGERIO </v>
      </c>
      <c r="I5115" t="str">
        <f t="shared" si="513"/>
        <v>RODOVIEIRA TRANSPORTE LTDA</v>
      </c>
      <c r="J5115">
        <f t="shared" si="514"/>
        <v>0</v>
      </c>
      <c r="K5115">
        <f t="shared" si="515"/>
        <v>1</v>
      </c>
    </row>
    <row r="5116" spans="1:11" x14ac:dyDescent="0.25">
      <c r="A5116" t="s">
        <v>728</v>
      </c>
      <c r="B5116" t="s">
        <v>729</v>
      </c>
      <c r="C5116" t="s">
        <v>50</v>
      </c>
      <c r="D5116" s="6">
        <v>45976</v>
      </c>
      <c r="E5116" t="str">
        <f>VLOOKUP(B5116,'PROCV GERENTES BD'!A:B,2,0)</f>
        <v>ADMINISTRAÇÃO</v>
      </c>
      <c r="F5116" s="4" t="str">
        <f t="shared" si="510"/>
        <v>2025-11</v>
      </c>
      <c r="G5116" s="18">
        <f t="shared" si="511"/>
        <v>46</v>
      </c>
      <c r="H5116" t="str">
        <f t="shared" si="512"/>
        <v>ADMINISTRAÇÃO</v>
      </c>
      <c r="I5116" t="str">
        <f t="shared" si="513"/>
        <v>AMERICA MASTER COMERCIO LTDA ME</v>
      </c>
      <c r="J5116">
        <f t="shared" si="514"/>
        <v>0</v>
      </c>
      <c r="K5116">
        <f t="shared" si="515"/>
        <v>1</v>
      </c>
    </row>
    <row r="5117" spans="1:11" x14ac:dyDescent="0.25">
      <c r="A5117" t="s">
        <v>415</v>
      </c>
      <c r="B5117" t="s">
        <v>165</v>
      </c>
      <c r="C5117" t="s">
        <v>53</v>
      </c>
      <c r="D5117" s="6">
        <v>45979</v>
      </c>
      <c r="E5117" t="str">
        <f>VLOOKUP(B5117,'PROCV GERENTES BD'!A:B,2,0)</f>
        <v>PROSPECTAR</v>
      </c>
      <c r="F5117" s="4" t="str">
        <f t="shared" ref="F5117:F5139" si="516">YEAR(D5117)&amp;"-"&amp;TEXT(MONTH(D5117),"00")</f>
        <v>2025-11</v>
      </c>
      <c r="G5117" s="18">
        <f t="shared" ref="G5117:G5139" si="517">WEEKNUM(D5117)</f>
        <v>47</v>
      </c>
      <c r="H5117" t="str">
        <f t="shared" ref="H5117:H5139" si="518">E5117</f>
        <v>PROSPECTAR</v>
      </c>
      <c r="I5117" t="str">
        <f t="shared" ref="I5117:I5139" si="519">B5117</f>
        <v>STA SERVICOS LTDA</v>
      </c>
      <c r="J5117">
        <f t="shared" ref="J5117:J5139" si="520">IF(OR(C5117="EXCLUSAO  ANOT.INADIMPLENCIA",C5117="INCL/EXCL ANOT.INADIMPLENCIA"),1,0)</f>
        <v>1</v>
      </c>
      <c r="K5117">
        <f t="shared" ref="K5117:K5139" si="521">IF(OR(C5117="INCLUSAO  ANOT.INADIMPLENCIA",C5117="INCL/EXCL ANOT.INADIMPLENCIA"),1,0)</f>
        <v>1</v>
      </c>
    </row>
    <row r="5118" spans="1:11" x14ac:dyDescent="0.25">
      <c r="A5118" t="s">
        <v>457</v>
      </c>
      <c r="B5118" t="s">
        <v>214</v>
      </c>
      <c r="C5118" t="s">
        <v>50</v>
      </c>
      <c r="D5118" s="6">
        <v>45979</v>
      </c>
      <c r="E5118" t="str">
        <f>VLOOKUP(B5118,'PROCV GERENTES BD'!A:B,2,0)</f>
        <v xml:space="preserve">ROGERIO </v>
      </c>
      <c r="F5118" s="4" t="str">
        <f t="shared" si="516"/>
        <v>2025-11</v>
      </c>
      <c r="G5118" s="18">
        <f t="shared" si="517"/>
        <v>47</v>
      </c>
      <c r="H5118" t="str">
        <f t="shared" si="518"/>
        <v xml:space="preserve">ROGERIO </v>
      </c>
      <c r="I5118" t="str">
        <f t="shared" si="519"/>
        <v>METAL STAMP INDUSTRIA E COMERCIO LTDA</v>
      </c>
      <c r="J5118">
        <f t="shared" si="520"/>
        <v>0</v>
      </c>
      <c r="K5118">
        <f t="shared" si="521"/>
        <v>1</v>
      </c>
    </row>
    <row r="5119" spans="1:11" x14ac:dyDescent="0.25">
      <c r="A5119" t="s">
        <v>667</v>
      </c>
      <c r="B5119" t="s">
        <v>560</v>
      </c>
      <c r="C5119" t="s">
        <v>50</v>
      </c>
      <c r="D5119" s="6">
        <v>45979</v>
      </c>
      <c r="E5119" t="str">
        <f>VLOOKUP(B5119,'PROCV GERENTES BD'!A:B,2,0)</f>
        <v>ALISSON DE SOUZA LIMA</v>
      </c>
      <c r="F5119" s="4" t="str">
        <f t="shared" si="516"/>
        <v>2025-11</v>
      </c>
      <c r="G5119" s="18">
        <f t="shared" si="517"/>
        <v>47</v>
      </c>
      <c r="H5119" t="str">
        <f t="shared" si="518"/>
        <v>ALISSON DE SOUZA LIMA</v>
      </c>
      <c r="I5119" t="str">
        <f t="shared" si="519"/>
        <v>JRG SOLUCOES EM SERVICOS LTDA ME</v>
      </c>
      <c r="J5119">
        <f t="shared" si="520"/>
        <v>0</v>
      </c>
      <c r="K5119">
        <f t="shared" si="521"/>
        <v>1</v>
      </c>
    </row>
    <row r="5120" spans="1:11" x14ac:dyDescent="0.25">
      <c r="A5120" t="s">
        <v>314</v>
      </c>
      <c r="B5120" t="s">
        <v>246</v>
      </c>
      <c r="C5120" t="s">
        <v>50</v>
      </c>
      <c r="D5120" s="6">
        <v>45979</v>
      </c>
      <c r="E5120" t="str">
        <f>VLOOKUP(B5120,'PROCV GERENTES BD'!A:B,2,0)</f>
        <v xml:space="preserve">ROGERIO </v>
      </c>
      <c r="F5120" s="4" t="str">
        <f t="shared" si="516"/>
        <v>2025-11</v>
      </c>
      <c r="G5120" s="18">
        <f t="shared" si="517"/>
        <v>47</v>
      </c>
      <c r="H5120" t="str">
        <f t="shared" si="518"/>
        <v xml:space="preserve">ROGERIO </v>
      </c>
      <c r="I5120" t="str">
        <f t="shared" si="519"/>
        <v>MUTCD CENTRO DE DISTRIBUICAO DE IND FABRICANTE DE</v>
      </c>
      <c r="J5120">
        <f t="shared" si="520"/>
        <v>0</v>
      </c>
      <c r="K5120">
        <f t="shared" si="521"/>
        <v>1</v>
      </c>
    </row>
    <row r="5121" spans="1:11" x14ac:dyDescent="0.25">
      <c r="A5121" t="s">
        <v>704</v>
      </c>
      <c r="B5121" t="s">
        <v>705</v>
      </c>
      <c r="C5121" t="s">
        <v>66</v>
      </c>
      <c r="D5121" s="6">
        <v>45979</v>
      </c>
      <c r="E5121" t="str">
        <f>VLOOKUP(B5121,'PROCV GERENTES BD'!A:B,2,0)</f>
        <v>DAVI</v>
      </c>
      <c r="F5121" s="4" t="str">
        <f t="shared" si="516"/>
        <v>2025-11</v>
      </c>
      <c r="G5121" s="18">
        <f t="shared" si="517"/>
        <v>47</v>
      </c>
      <c r="H5121" t="str">
        <f t="shared" si="518"/>
        <v>DAVI</v>
      </c>
      <c r="I5121" t="str">
        <f t="shared" si="519"/>
        <v>DUOPLASTIC INDUSTRIA DE MOVEIS LTDA ME</v>
      </c>
      <c r="J5121">
        <f t="shared" si="520"/>
        <v>1</v>
      </c>
      <c r="K5121">
        <f t="shared" si="521"/>
        <v>0</v>
      </c>
    </row>
    <row r="5122" spans="1:11" x14ac:dyDescent="0.25">
      <c r="A5122" t="s">
        <v>488</v>
      </c>
      <c r="B5122" t="s">
        <v>247</v>
      </c>
      <c r="C5122" t="s">
        <v>50</v>
      </c>
      <c r="D5122" s="6">
        <v>45979</v>
      </c>
      <c r="E5122" t="str">
        <f>VLOOKUP(B5122,'PROCV GERENTES BD'!A:B,2,0)</f>
        <v>CELIO PIMENTA</v>
      </c>
      <c r="F5122" s="4" t="str">
        <f t="shared" si="516"/>
        <v>2025-11</v>
      </c>
      <c r="G5122" s="18">
        <f t="shared" si="517"/>
        <v>47</v>
      </c>
      <c r="H5122" t="str">
        <f t="shared" si="518"/>
        <v>CELIO PIMENTA</v>
      </c>
      <c r="I5122" t="str">
        <f t="shared" si="519"/>
        <v>AZ HIDRAULICA USINAGEM LTDA EPP</v>
      </c>
      <c r="J5122">
        <f t="shared" si="520"/>
        <v>0</v>
      </c>
      <c r="K5122">
        <f t="shared" si="521"/>
        <v>1</v>
      </c>
    </row>
    <row r="5123" spans="1:11" x14ac:dyDescent="0.25">
      <c r="A5123" t="s">
        <v>655</v>
      </c>
      <c r="B5123" t="s">
        <v>548</v>
      </c>
      <c r="C5123" t="s">
        <v>53</v>
      </c>
      <c r="D5123" s="6">
        <v>45979</v>
      </c>
      <c r="E5123" t="str">
        <f>VLOOKUP(B5123,'PROCV GERENTES BD'!A:B,2,0)</f>
        <v xml:space="preserve">ROGERIO </v>
      </c>
      <c r="F5123" s="4" t="str">
        <f t="shared" si="516"/>
        <v>2025-11</v>
      </c>
      <c r="G5123" s="18">
        <f t="shared" si="517"/>
        <v>47</v>
      </c>
      <c r="H5123" t="str">
        <f t="shared" si="518"/>
        <v xml:space="preserve">ROGERIO </v>
      </c>
      <c r="I5123" t="str">
        <f t="shared" si="519"/>
        <v>AGROEP PISCICULTURA LTDA ME</v>
      </c>
      <c r="J5123">
        <f t="shared" si="520"/>
        <v>1</v>
      </c>
      <c r="K5123">
        <f t="shared" si="521"/>
        <v>1</v>
      </c>
    </row>
    <row r="5124" spans="1:11" x14ac:dyDescent="0.25">
      <c r="A5124" t="s">
        <v>74</v>
      </c>
      <c r="B5124" t="s">
        <v>75</v>
      </c>
      <c r="C5124" t="s">
        <v>50</v>
      </c>
      <c r="D5124" s="6">
        <v>45979</v>
      </c>
      <c r="E5124" t="str">
        <f>VLOOKUP(B5124,'PROCV GERENTES BD'!A:B,2,0)</f>
        <v>CAIO</v>
      </c>
      <c r="F5124" s="4" t="str">
        <f t="shared" si="516"/>
        <v>2025-11</v>
      </c>
      <c r="G5124" s="18">
        <f t="shared" si="517"/>
        <v>47</v>
      </c>
      <c r="H5124" t="str">
        <f t="shared" si="518"/>
        <v>CAIO</v>
      </c>
      <c r="I5124" t="str">
        <f t="shared" si="519"/>
        <v>TP DISTRIBUIDORA DE PECAS LTDA EPP</v>
      </c>
      <c r="J5124">
        <f t="shared" si="520"/>
        <v>0</v>
      </c>
      <c r="K5124">
        <f t="shared" si="521"/>
        <v>1</v>
      </c>
    </row>
    <row r="5125" spans="1:11" x14ac:dyDescent="0.25">
      <c r="A5125" t="s">
        <v>630</v>
      </c>
      <c r="B5125" t="s">
        <v>559</v>
      </c>
      <c r="C5125" t="s">
        <v>50</v>
      </c>
      <c r="D5125" s="6">
        <v>45979</v>
      </c>
      <c r="E5125" t="str">
        <f>VLOOKUP(B5125,'PROCV GERENTES BD'!A:B,2,0)</f>
        <v>ALISSON DE SOUZA LIMA</v>
      </c>
      <c r="F5125" s="4" t="str">
        <f t="shared" si="516"/>
        <v>2025-11</v>
      </c>
      <c r="G5125" s="18">
        <f t="shared" si="517"/>
        <v>47</v>
      </c>
      <c r="H5125" t="str">
        <f t="shared" si="518"/>
        <v>ALISSON DE SOUZA LIMA</v>
      </c>
      <c r="I5125" t="str">
        <f t="shared" si="519"/>
        <v>JRG SOLUCOES INDUSTRIAIS LTDA</v>
      </c>
      <c r="J5125">
        <f t="shared" si="520"/>
        <v>0</v>
      </c>
      <c r="K5125">
        <f t="shared" si="521"/>
        <v>1</v>
      </c>
    </row>
    <row r="5126" spans="1:11" x14ac:dyDescent="0.25">
      <c r="A5126" t="s">
        <v>713</v>
      </c>
      <c r="B5126" t="s">
        <v>694</v>
      </c>
      <c r="C5126" t="s">
        <v>50</v>
      </c>
      <c r="D5126" s="6">
        <v>45979</v>
      </c>
      <c r="E5126" t="str">
        <f>VLOOKUP(B5126,'PROCV GERENTES BD'!A:B,2,0)</f>
        <v>CAIO</v>
      </c>
      <c r="F5126" s="4" t="str">
        <f t="shared" si="516"/>
        <v>2025-11</v>
      </c>
      <c r="G5126" s="18">
        <f t="shared" si="517"/>
        <v>47</v>
      </c>
      <c r="H5126" t="str">
        <f t="shared" si="518"/>
        <v>CAIO</v>
      </c>
      <c r="I5126" t="str">
        <f t="shared" si="519"/>
        <v>DENTAL FREE MATERIAIS E SOLUCOES ODONTOLOGICAS LTD</v>
      </c>
      <c r="J5126">
        <f t="shared" si="520"/>
        <v>0</v>
      </c>
      <c r="K5126">
        <f t="shared" si="521"/>
        <v>1</v>
      </c>
    </row>
    <row r="5127" spans="1:11" x14ac:dyDescent="0.25">
      <c r="A5127" t="s">
        <v>653</v>
      </c>
      <c r="B5127" t="s">
        <v>566</v>
      </c>
      <c r="C5127" t="s">
        <v>50</v>
      </c>
      <c r="D5127" s="6">
        <v>45979</v>
      </c>
      <c r="E5127" t="str">
        <f>VLOOKUP(B5127,'PROCV GERENTES BD'!A:B,2,0)</f>
        <v>DIOGO AZEVEDO</v>
      </c>
      <c r="F5127" s="4" t="str">
        <f t="shared" si="516"/>
        <v>2025-11</v>
      </c>
      <c r="G5127" s="18">
        <f t="shared" si="517"/>
        <v>47</v>
      </c>
      <c r="H5127" t="str">
        <f t="shared" si="518"/>
        <v>DIOGO AZEVEDO</v>
      </c>
      <c r="I5127" t="str">
        <f t="shared" si="519"/>
        <v>MILK LAT LTDA EPP</v>
      </c>
      <c r="J5127">
        <f t="shared" si="520"/>
        <v>0</v>
      </c>
      <c r="K5127">
        <f t="shared" si="521"/>
        <v>1</v>
      </c>
    </row>
    <row r="5128" spans="1:11" x14ac:dyDescent="0.25">
      <c r="A5128" t="s">
        <v>708</v>
      </c>
      <c r="B5128" t="s">
        <v>570</v>
      </c>
      <c r="C5128" t="s">
        <v>66</v>
      </c>
      <c r="D5128" s="6">
        <v>45979</v>
      </c>
      <c r="E5128" t="str">
        <f>VLOOKUP(B5128,'PROCV GERENTES BD'!A:B,2,0)</f>
        <v>RAFAEL PARISE</v>
      </c>
      <c r="F5128" s="4" t="str">
        <f t="shared" si="516"/>
        <v>2025-11</v>
      </c>
      <c r="G5128" s="18">
        <f t="shared" si="517"/>
        <v>47</v>
      </c>
      <c r="H5128" t="str">
        <f t="shared" si="518"/>
        <v>RAFAEL PARISE</v>
      </c>
      <c r="I5128" t="str">
        <f t="shared" si="519"/>
        <v>NITROTEX INDUSTRIA E COMERCIO TEXTEIS LTDA ME</v>
      </c>
      <c r="J5128">
        <f t="shared" si="520"/>
        <v>1</v>
      </c>
      <c r="K5128">
        <f t="shared" si="521"/>
        <v>0</v>
      </c>
    </row>
    <row r="5129" spans="1:11" x14ac:dyDescent="0.25">
      <c r="A5129" t="s">
        <v>499</v>
      </c>
      <c r="B5129" t="s">
        <v>258</v>
      </c>
      <c r="C5129" t="s">
        <v>53</v>
      </c>
      <c r="D5129" s="6">
        <v>45979</v>
      </c>
      <c r="E5129" t="str">
        <f>VLOOKUP(B5129,'PROCV GERENTES BD'!A:B,2,0)</f>
        <v>PRISCILA METZ</v>
      </c>
      <c r="F5129" s="4" t="str">
        <f t="shared" si="516"/>
        <v>2025-11</v>
      </c>
      <c r="G5129" s="18">
        <f t="shared" si="517"/>
        <v>47</v>
      </c>
      <c r="H5129" t="str">
        <f t="shared" si="518"/>
        <v>PRISCILA METZ</v>
      </c>
      <c r="I5129" t="str">
        <f t="shared" si="519"/>
        <v>PLATINUM INDUSTRIA DE CONFECCOES LTDA</v>
      </c>
      <c r="J5129">
        <f t="shared" si="520"/>
        <v>1</v>
      </c>
      <c r="K5129">
        <f t="shared" si="521"/>
        <v>1</v>
      </c>
    </row>
    <row r="5130" spans="1:11" x14ac:dyDescent="0.25">
      <c r="A5130" t="s">
        <v>317</v>
      </c>
      <c r="B5130" t="s">
        <v>280</v>
      </c>
      <c r="C5130" t="s">
        <v>53</v>
      </c>
      <c r="D5130" s="6">
        <v>45979</v>
      </c>
      <c r="E5130" t="str">
        <f>VLOOKUP(B5130,'PROCV GERENTES BD'!A:B,2,0)</f>
        <v>PROSPECTAR</v>
      </c>
      <c r="F5130" s="4" t="str">
        <f t="shared" si="516"/>
        <v>2025-11</v>
      </c>
      <c r="G5130" s="18">
        <f t="shared" si="517"/>
        <v>47</v>
      </c>
      <c r="H5130" t="str">
        <f t="shared" si="518"/>
        <v>PROSPECTAR</v>
      </c>
      <c r="I5130" t="str">
        <f t="shared" si="519"/>
        <v>STA TECHCANA LTDA</v>
      </c>
      <c r="J5130">
        <f t="shared" si="520"/>
        <v>1</v>
      </c>
      <c r="K5130">
        <f t="shared" si="521"/>
        <v>1</v>
      </c>
    </row>
    <row r="5131" spans="1:11" x14ac:dyDescent="0.25">
      <c r="A5131" t="s">
        <v>722</v>
      </c>
      <c r="B5131" t="s">
        <v>723</v>
      </c>
      <c r="C5131" t="s">
        <v>50</v>
      </c>
      <c r="D5131" s="6">
        <v>45979</v>
      </c>
      <c r="E5131" t="str">
        <f>VLOOKUP(B5131,'PROCV GERENTES BD'!A:B,2,0)</f>
        <v>POENATELA</v>
      </c>
      <c r="F5131" s="4" t="str">
        <f t="shared" si="516"/>
        <v>2025-11</v>
      </c>
      <c r="G5131" s="18">
        <f t="shared" si="517"/>
        <v>47</v>
      </c>
      <c r="H5131" t="str">
        <f t="shared" si="518"/>
        <v>POENATELA</v>
      </c>
      <c r="I5131" t="str">
        <f t="shared" si="519"/>
        <v>LIDER MIX CONCRETOS E AGREGADOS LTDA</v>
      </c>
      <c r="J5131">
        <f t="shared" si="520"/>
        <v>0</v>
      </c>
      <c r="K5131">
        <f t="shared" si="521"/>
        <v>1</v>
      </c>
    </row>
    <row r="5132" spans="1:11" x14ac:dyDescent="0.25">
      <c r="A5132" t="s">
        <v>56</v>
      </c>
      <c r="B5132" t="s">
        <v>57</v>
      </c>
      <c r="C5132" t="s">
        <v>53</v>
      </c>
      <c r="D5132" s="6">
        <v>45979</v>
      </c>
      <c r="E5132" t="str">
        <f>VLOOKUP(B5132,'PROCV GERENTES BD'!A:B,2,0)</f>
        <v xml:space="preserve">ROGERIO </v>
      </c>
      <c r="F5132" s="4" t="str">
        <f t="shared" si="516"/>
        <v>2025-11</v>
      </c>
      <c r="G5132" s="18">
        <f t="shared" si="517"/>
        <v>47</v>
      </c>
      <c r="H5132" t="str">
        <f t="shared" si="518"/>
        <v xml:space="preserve">ROGERIO </v>
      </c>
      <c r="I5132" t="str">
        <f t="shared" si="519"/>
        <v>RODOVIEIRA TRANSPORTE LTDA</v>
      </c>
      <c r="J5132">
        <f t="shared" si="520"/>
        <v>1</v>
      </c>
      <c r="K5132">
        <f t="shared" si="521"/>
        <v>1</v>
      </c>
    </row>
    <row r="5133" spans="1:11" x14ac:dyDescent="0.25">
      <c r="A5133" t="s">
        <v>361</v>
      </c>
      <c r="B5133" t="s">
        <v>106</v>
      </c>
      <c r="C5133" t="s">
        <v>50</v>
      </c>
      <c r="D5133" s="6">
        <v>45979</v>
      </c>
      <c r="E5133" t="str">
        <f>VLOOKUP(B5133,'PROCV GERENTES BD'!A:B,2,0)</f>
        <v>PRISCILA METZ</v>
      </c>
      <c r="F5133" s="4" t="str">
        <f t="shared" si="516"/>
        <v>2025-11</v>
      </c>
      <c r="G5133" s="18">
        <f t="shared" si="517"/>
        <v>47</v>
      </c>
      <c r="H5133" t="str">
        <f t="shared" si="518"/>
        <v>PRISCILA METZ</v>
      </c>
      <c r="I5133" t="str">
        <f t="shared" si="519"/>
        <v>HERBAMED LABORATORIO NUTRACEUTICO LTDA</v>
      </c>
      <c r="J5133">
        <f t="shared" si="520"/>
        <v>0</v>
      </c>
      <c r="K5133">
        <f t="shared" si="521"/>
        <v>1</v>
      </c>
    </row>
    <row r="5134" spans="1:11" x14ac:dyDescent="0.25">
      <c r="A5134" t="s">
        <v>387</v>
      </c>
      <c r="B5134" t="s">
        <v>134</v>
      </c>
      <c r="C5134" t="s">
        <v>50</v>
      </c>
      <c r="D5134" s="6">
        <v>45979</v>
      </c>
      <c r="E5134" t="str">
        <f>VLOOKUP(B5134,'PROCV GERENTES BD'!A:B,2,0)</f>
        <v>RAFAEL PARISE</v>
      </c>
      <c r="F5134" s="4" t="str">
        <f t="shared" si="516"/>
        <v>2025-11</v>
      </c>
      <c r="G5134" s="18">
        <f t="shared" si="517"/>
        <v>47</v>
      </c>
      <c r="H5134" t="str">
        <f t="shared" si="518"/>
        <v>RAFAEL PARISE</v>
      </c>
      <c r="I5134" t="str">
        <f t="shared" si="519"/>
        <v>MAIS DISTRIBUIDORA LTDA</v>
      </c>
      <c r="J5134">
        <f t="shared" si="520"/>
        <v>0</v>
      </c>
      <c r="K5134">
        <f t="shared" si="521"/>
        <v>1</v>
      </c>
    </row>
    <row r="5135" spans="1:11" x14ac:dyDescent="0.25">
      <c r="A5135" t="s">
        <v>700</v>
      </c>
      <c r="B5135" t="s">
        <v>680</v>
      </c>
      <c r="C5135" t="s">
        <v>50</v>
      </c>
      <c r="D5135" s="6">
        <v>45979</v>
      </c>
      <c r="E5135" t="str">
        <f>VLOOKUP(B5135,'PROCV GERENTES BD'!A:B,2,0)</f>
        <v>POENATELA</v>
      </c>
      <c r="F5135" s="4" t="str">
        <f t="shared" si="516"/>
        <v>2025-11</v>
      </c>
      <c r="G5135" s="18">
        <f t="shared" si="517"/>
        <v>47</v>
      </c>
      <c r="H5135" t="str">
        <f t="shared" si="518"/>
        <v>POENATELA</v>
      </c>
      <c r="I5135" t="str">
        <f t="shared" si="519"/>
        <v>BIORGANICA PRODUTOS ORGANICOS LTDA</v>
      </c>
      <c r="J5135">
        <f t="shared" si="520"/>
        <v>0</v>
      </c>
      <c r="K5135">
        <f t="shared" si="521"/>
        <v>1</v>
      </c>
    </row>
    <row r="5136" spans="1:11" x14ac:dyDescent="0.25">
      <c r="A5136" t="s">
        <v>51</v>
      </c>
      <c r="B5136" t="s">
        <v>52</v>
      </c>
      <c r="C5136" t="s">
        <v>50</v>
      </c>
      <c r="D5136" s="6">
        <v>45979</v>
      </c>
      <c r="E5136" t="str">
        <f>VLOOKUP(B5136,'PROCV GERENTES BD'!A:B,2,0)</f>
        <v>RAFAEL PARISE</v>
      </c>
      <c r="F5136" s="4" t="str">
        <f t="shared" si="516"/>
        <v>2025-11</v>
      </c>
      <c r="G5136" s="18">
        <f t="shared" si="517"/>
        <v>47</v>
      </c>
      <c r="H5136" t="str">
        <f t="shared" si="518"/>
        <v>RAFAEL PARISE</v>
      </c>
      <c r="I5136" t="str">
        <f t="shared" si="519"/>
        <v>TDR TRANSPORTES LOGISTICA LTDA</v>
      </c>
      <c r="J5136">
        <f t="shared" si="520"/>
        <v>0</v>
      </c>
      <c r="K5136">
        <f t="shared" si="521"/>
        <v>1</v>
      </c>
    </row>
    <row r="5137" spans="1:11" x14ac:dyDescent="0.25">
      <c r="A5137" t="s">
        <v>660</v>
      </c>
      <c r="B5137" t="s">
        <v>545</v>
      </c>
      <c r="C5137" t="s">
        <v>50</v>
      </c>
      <c r="D5137" s="6">
        <v>45979</v>
      </c>
      <c r="E5137" t="str">
        <f>VLOOKUP(B5137,'PROCV GERENTES BD'!A:B,2,0)</f>
        <v xml:space="preserve">ROGERIO </v>
      </c>
      <c r="F5137" s="4" t="str">
        <f t="shared" si="516"/>
        <v>2025-11</v>
      </c>
      <c r="G5137" s="18">
        <f t="shared" si="517"/>
        <v>47</v>
      </c>
      <c r="H5137" t="str">
        <f t="shared" si="518"/>
        <v xml:space="preserve">ROGERIO </v>
      </c>
      <c r="I5137" t="str">
        <f t="shared" si="519"/>
        <v>DISEP ALIMENTOS LTDA ME</v>
      </c>
      <c r="J5137">
        <f t="shared" si="520"/>
        <v>0</v>
      </c>
      <c r="K5137">
        <f t="shared" si="521"/>
        <v>1</v>
      </c>
    </row>
    <row r="5138" spans="1:11" x14ac:dyDescent="0.25">
      <c r="A5138" t="s">
        <v>64</v>
      </c>
      <c r="B5138" t="s">
        <v>65</v>
      </c>
      <c r="C5138" t="s">
        <v>53</v>
      </c>
      <c r="D5138" s="6">
        <v>45979</v>
      </c>
      <c r="E5138" t="str">
        <f>VLOOKUP(B5138,'PROCV GERENTES BD'!A:B,2,0)</f>
        <v>ADMINISTRAÇÃO</v>
      </c>
      <c r="F5138" s="4" t="str">
        <f t="shared" si="516"/>
        <v>2025-11</v>
      </c>
      <c r="G5138" s="18">
        <f t="shared" si="517"/>
        <v>47</v>
      </c>
      <c r="H5138" t="str">
        <f t="shared" si="518"/>
        <v>ADMINISTRAÇÃO</v>
      </c>
      <c r="I5138" t="str">
        <f t="shared" si="519"/>
        <v>SOCIAL S/A</v>
      </c>
      <c r="J5138">
        <f t="shared" si="520"/>
        <v>1</v>
      </c>
      <c r="K5138">
        <f t="shared" si="521"/>
        <v>1</v>
      </c>
    </row>
    <row r="5139" spans="1:11" x14ac:dyDescent="0.25">
      <c r="A5139" t="s">
        <v>728</v>
      </c>
      <c r="B5139" t="s">
        <v>729</v>
      </c>
      <c r="C5139" t="s">
        <v>50</v>
      </c>
      <c r="D5139" s="6">
        <v>45979</v>
      </c>
      <c r="E5139" t="str">
        <f>VLOOKUP(B5139,'PROCV GERENTES BD'!A:B,2,0)</f>
        <v>ADMINISTRAÇÃO</v>
      </c>
      <c r="F5139" s="4" t="str">
        <f t="shared" si="516"/>
        <v>2025-11</v>
      </c>
      <c r="G5139" s="18">
        <f t="shared" si="517"/>
        <v>47</v>
      </c>
      <c r="H5139" t="str">
        <f t="shared" si="518"/>
        <v>ADMINISTRAÇÃO</v>
      </c>
      <c r="I5139" t="str">
        <f t="shared" si="519"/>
        <v>AMERICA MASTER COMERCIO LTDA ME</v>
      </c>
      <c r="J5139">
        <f t="shared" si="520"/>
        <v>0</v>
      </c>
      <c r="K5139">
        <f t="shared" si="521"/>
        <v>1</v>
      </c>
    </row>
    <row r="5140" spans="1:11" x14ac:dyDescent="0.25">
      <c r="A5140" t="s">
        <v>485</v>
      </c>
      <c r="B5140" t="s">
        <v>242</v>
      </c>
      <c r="C5140" t="s">
        <v>50</v>
      </c>
      <c r="D5140" s="6">
        <v>45980</v>
      </c>
      <c r="E5140" t="str">
        <f>VLOOKUP(B5140,'PROCV GERENTES BD'!A:B,2,0)</f>
        <v>PROSPECTAR</v>
      </c>
      <c r="F5140" s="4" t="str">
        <f t="shared" ref="F5140:F5167" si="522">YEAR(D5140)&amp;"-"&amp;TEXT(MONTH(D5140),"00")</f>
        <v>2025-11</v>
      </c>
      <c r="G5140" s="18">
        <f t="shared" ref="G5140:G5167" si="523">WEEKNUM(D5140)</f>
        <v>47</v>
      </c>
      <c r="H5140" t="str">
        <f t="shared" ref="H5140:H5167" si="524">E5140</f>
        <v>PROSPECTAR</v>
      </c>
      <c r="I5140" t="str">
        <f t="shared" ref="I5140:I5167" si="525">B5140</f>
        <v>GOIARTE SOLUCOES CONSTRUTIVAS EM CONCRETO LTDA</v>
      </c>
      <c r="J5140">
        <f t="shared" ref="J5140:J5167" si="526">IF(OR(C5140="EXCLUSAO  ANOT.INADIMPLENCIA",C5140="INCL/EXCL ANOT.INADIMPLENCIA"),1,0)</f>
        <v>0</v>
      </c>
      <c r="K5140">
        <f t="shared" ref="K5140:K5167" si="527">IF(OR(C5140="INCLUSAO  ANOT.INADIMPLENCIA",C5140="INCL/EXCL ANOT.INADIMPLENCIA"),1,0)</f>
        <v>1</v>
      </c>
    </row>
    <row r="5141" spans="1:11" x14ac:dyDescent="0.25">
      <c r="A5141" t="s">
        <v>534</v>
      </c>
      <c r="B5141" t="s">
        <v>303</v>
      </c>
      <c r="C5141" t="s">
        <v>50</v>
      </c>
      <c r="D5141" s="6">
        <v>45980</v>
      </c>
      <c r="E5141" t="str">
        <f>VLOOKUP(B5141,'PROCV GERENTES BD'!A:B,2,0)</f>
        <v xml:space="preserve">MARCUS VINICIUS </v>
      </c>
      <c r="F5141" s="4" t="str">
        <f t="shared" si="522"/>
        <v>2025-11</v>
      </c>
      <c r="G5141" s="18">
        <f t="shared" si="523"/>
        <v>47</v>
      </c>
      <c r="H5141" t="str">
        <f t="shared" si="524"/>
        <v xml:space="preserve">MARCUS VINICIUS </v>
      </c>
      <c r="I5141" t="str">
        <f t="shared" si="525"/>
        <v>GRAFICA JSA LTDA EPP</v>
      </c>
      <c r="J5141">
        <f t="shared" si="526"/>
        <v>0</v>
      </c>
      <c r="K5141">
        <f t="shared" si="527"/>
        <v>1</v>
      </c>
    </row>
    <row r="5142" spans="1:11" x14ac:dyDescent="0.25">
      <c r="A5142" t="s">
        <v>460</v>
      </c>
      <c r="B5142" t="s">
        <v>217</v>
      </c>
      <c r="C5142" t="s">
        <v>50</v>
      </c>
      <c r="D5142" s="6">
        <v>45980</v>
      </c>
      <c r="E5142" t="str">
        <f>VLOOKUP(B5142,'PROCV GERENTES BD'!A:B,2,0)</f>
        <v>CELIO PIMENTA</v>
      </c>
      <c r="F5142" s="4" t="str">
        <f t="shared" si="522"/>
        <v>2025-11</v>
      </c>
      <c r="G5142" s="18">
        <f t="shared" si="523"/>
        <v>47</v>
      </c>
      <c r="H5142" t="str">
        <f t="shared" si="524"/>
        <v>CELIO PIMENTA</v>
      </c>
      <c r="I5142" t="str">
        <f t="shared" si="525"/>
        <v>MINAS CLEAN DISTRIBUIDORA DE PRODUTOS PARA LIMPEZA</v>
      </c>
      <c r="J5142">
        <f t="shared" si="526"/>
        <v>0</v>
      </c>
      <c r="K5142">
        <f t="shared" si="527"/>
        <v>1</v>
      </c>
    </row>
    <row r="5143" spans="1:11" x14ac:dyDescent="0.25">
      <c r="A5143" t="s">
        <v>457</v>
      </c>
      <c r="B5143" t="s">
        <v>214</v>
      </c>
      <c r="C5143" t="s">
        <v>50</v>
      </c>
      <c r="D5143" s="6">
        <v>45980</v>
      </c>
      <c r="E5143" t="str">
        <f>VLOOKUP(B5143,'PROCV GERENTES BD'!A:B,2,0)</f>
        <v xml:space="preserve">ROGERIO </v>
      </c>
      <c r="F5143" s="4" t="str">
        <f t="shared" si="522"/>
        <v>2025-11</v>
      </c>
      <c r="G5143" s="18">
        <f t="shared" si="523"/>
        <v>47</v>
      </c>
      <c r="H5143" t="str">
        <f t="shared" si="524"/>
        <v xml:space="preserve">ROGERIO </v>
      </c>
      <c r="I5143" t="str">
        <f t="shared" si="525"/>
        <v>METAL STAMP INDUSTRIA E COMERCIO LTDA</v>
      </c>
      <c r="J5143">
        <f t="shared" si="526"/>
        <v>0</v>
      </c>
      <c r="K5143">
        <f t="shared" si="527"/>
        <v>1</v>
      </c>
    </row>
    <row r="5144" spans="1:11" x14ac:dyDescent="0.25">
      <c r="A5144" t="s">
        <v>508</v>
      </c>
      <c r="B5144" t="s">
        <v>271</v>
      </c>
      <c r="C5144" t="s">
        <v>50</v>
      </c>
      <c r="D5144" s="6">
        <v>45980</v>
      </c>
      <c r="E5144" t="str">
        <f>VLOOKUP(B5144,'PROCV GERENTES BD'!A:B,2,0)</f>
        <v>PRISCILA METZ</v>
      </c>
      <c r="F5144" s="4" t="str">
        <f t="shared" si="522"/>
        <v>2025-11</v>
      </c>
      <c r="G5144" s="18">
        <f t="shared" si="523"/>
        <v>47</v>
      </c>
      <c r="H5144" t="str">
        <f t="shared" si="524"/>
        <v>PRISCILA METZ</v>
      </c>
      <c r="I5144" t="str">
        <f t="shared" si="525"/>
        <v>TUBOLARES VITORIA INDUSTRIA E COMERCIO LTDA ME</v>
      </c>
      <c r="J5144">
        <f t="shared" si="526"/>
        <v>0</v>
      </c>
      <c r="K5144">
        <f t="shared" si="527"/>
        <v>1</v>
      </c>
    </row>
    <row r="5145" spans="1:11" x14ac:dyDescent="0.25">
      <c r="A5145" t="s">
        <v>667</v>
      </c>
      <c r="B5145" t="s">
        <v>560</v>
      </c>
      <c r="C5145" t="s">
        <v>50</v>
      </c>
      <c r="D5145" s="6">
        <v>45980</v>
      </c>
      <c r="E5145" t="str">
        <f>VLOOKUP(B5145,'PROCV GERENTES BD'!A:B,2,0)</f>
        <v>ALISSON DE SOUZA LIMA</v>
      </c>
      <c r="F5145" s="4" t="str">
        <f t="shared" si="522"/>
        <v>2025-11</v>
      </c>
      <c r="G5145" s="18">
        <f t="shared" si="523"/>
        <v>47</v>
      </c>
      <c r="H5145" t="str">
        <f t="shared" si="524"/>
        <v>ALISSON DE SOUZA LIMA</v>
      </c>
      <c r="I5145" t="str">
        <f t="shared" si="525"/>
        <v>JRG SOLUCOES EM SERVICOS LTDA ME</v>
      </c>
      <c r="J5145">
        <f t="shared" si="526"/>
        <v>0</v>
      </c>
      <c r="K5145">
        <f t="shared" si="527"/>
        <v>1</v>
      </c>
    </row>
    <row r="5146" spans="1:11" x14ac:dyDescent="0.25">
      <c r="A5146" t="s">
        <v>314</v>
      </c>
      <c r="B5146" t="s">
        <v>246</v>
      </c>
      <c r="C5146" t="s">
        <v>50</v>
      </c>
      <c r="D5146" s="6">
        <v>45980</v>
      </c>
      <c r="E5146" t="str">
        <f>VLOOKUP(B5146,'PROCV GERENTES BD'!A:B,2,0)</f>
        <v xml:space="preserve">ROGERIO </v>
      </c>
      <c r="F5146" s="4" t="str">
        <f t="shared" si="522"/>
        <v>2025-11</v>
      </c>
      <c r="G5146" s="18">
        <f t="shared" si="523"/>
        <v>47</v>
      </c>
      <c r="H5146" t="str">
        <f t="shared" si="524"/>
        <v xml:space="preserve">ROGERIO </v>
      </c>
      <c r="I5146" t="str">
        <f t="shared" si="525"/>
        <v>MUTCD CENTRO DE DISTRIBUICAO DE IND FABRICANTE DE</v>
      </c>
      <c r="J5146">
        <f t="shared" si="526"/>
        <v>0</v>
      </c>
      <c r="K5146">
        <f t="shared" si="527"/>
        <v>1</v>
      </c>
    </row>
    <row r="5147" spans="1:11" x14ac:dyDescent="0.25">
      <c r="A5147" t="s">
        <v>704</v>
      </c>
      <c r="B5147" t="s">
        <v>705</v>
      </c>
      <c r="C5147" t="s">
        <v>50</v>
      </c>
      <c r="D5147" s="6">
        <v>45980</v>
      </c>
      <c r="E5147" t="str">
        <f>VLOOKUP(B5147,'PROCV GERENTES BD'!A:B,2,0)</f>
        <v>DAVI</v>
      </c>
      <c r="F5147" s="4" t="str">
        <f t="shared" si="522"/>
        <v>2025-11</v>
      </c>
      <c r="G5147" s="18">
        <f t="shared" si="523"/>
        <v>47</v>
      </c>
      <c r="H5147" t="str">
        <f t="shared" si="524"/>
        <v>DAVI</v>
      </c>
      <c r="I5147" t="str">
        <f t="shared" si="525"/>
        <v>DUOPLASTIC INDUSTRIA DE MOVEIS LTDA ME</v>
      </c>
      <c r="J5147">
        <f t="shared" si="526"/>
        <v>0</v>
      </c>
      <c r="K5147">
        <f t="shared" si="527"/>
        <v>1</v>
      </c>
    </row>
    <row r="5148" spans="1:11" x14ac:dyDescent="0.25">
      <c r="A5148" t="s">
        <v>488</v>
      </c>
      <c r="B5148" t="s">
        <v>247</v>
      </c>
      <c r="C5148" t="s">
        <v>50</v>
      </c>
      <c r="D5148" s="6">
        <v>45980</v>
      </c>
      <c r="E5148" t="str">
        <f>VLOOKUP(B5148,'PROCV GERENTES BD'!A:B,2,0)</f>
        <v>CELIO PIMENTA</v>
      </c>
      <c r="F5148" s="4" t="str">
        <f t="shared" si="522"/>
        <v>2025-11</v>
      </c>
      <c r="G5148" s="18">
        <f t="shared" si="523"/>
        <v>47</v>
      </c>
      <c r="H5148" t="str">
        <f t="shared" si="524"/>
        <v>CELIO PIMENTA</v>
      </c>
      <c r="I5148" t="str">
        <f t="shared" si="525"/>
        <v>AZ HIDRAULICA USINAGEM LTDA EPP</v>
      </c>
      <c r="J5148">
        <f t="shared" si="526"/>
        <v>0</v>
      </c>
      <c r="K5148">
        <f t="shared" si="527"/>
        <v>1</v>
      </c>
    </row>
    <row r="5149" spans="1:11" x14ac:dyDescent="0.25">
      <c r="A5149" t="s">
        <v>655</v>
      </c>
      <c r="B5149" t="s">
        <v>548</v>
      </c>
      <c r="C5149" t="s">
        <v>53</v>
      </c>
      <c r="D5149" s="6">
        <v>45980</v>
      </c>
      <c r="E5149" t="str">
        <f>VLOOKUP(B5149,'PROCV GERENTES BD'!A:B,2,0)</f>
        <v xml:space="preserve">ROGERIO </v>
      </c>
      <c r="F5149" s="4" t="str">
        <f t="shared" si="522"/>
        <v>2025-11</v>
      </c>
      <c r="G5149" s="18">
        <f t="shared" si="523"/>
        <v>47</v>
      </c>
      <c r="H5149" t="str">
        <f t="shared" si="524"/>
        <v xml:space="preserve">ROGERIO </v>
      </c>
      <c r="I5149" t="str">
        <f t="shared" si="525"/>
        <v>AGROEP PISCICULTURA LTDA ME</v>
      </c>
      <c r="J5149">
        <f t="shared" si="526"/>
        <v>1</v>
      </c>
      <c r="K5149">
        <f t="shared" si="527"/>
        <v>1</v>
      </c>
    </row>
    <row r="5150" spans="1:11" x14ac:dyDescent="0.25">
      <c r="A5150" t="s">
        <v>74</v>
      </c>
      <c r="B5150" t="s">
        <v>75</v>
      </c>
      <c r="C5150" t="s">
        <v>50</v>
      </c>
      <c r="D5150" s="6">
        <v>45980</v>
      </c>
      <c r="E5150" t="str">
        <f>VLOOKUP(B5150,'PROCV GERENTES BD'!A:B,2,0)</f>
        <v>CAIO</v>
      </c>
      <c r="F5150" s="4" t="str">
        <f t="shared" si="522"/>
        <v>2025-11</v>
      </c>
      <c r="G5150" s="18">
        <f t="shared" si="523"/>
        <v>47</v>
      </c>
      <c r="H5150" t="str">
        <f t="shared" si="524"/>
        <v>CAIO</v>
      </c>
      <c r="I5150" t="str">
        <f t="shared" si="525"/>
        <v>TP DISTRIBUIDORA DE PECAS LTDA EPP</v>
      </c>
      <c r="J5150">
        <f t="shared" si="526"/>
        <v>0</v>
      </c>
      <c r="K5150">
        <f t="shared" si="527"/>
        <v>1</v>
      </c>
    </row>
    <row r="5151" spans="1:11" x14ac:dyDescent="0.25">
      <c r="A5151" t="s">
        <v>616</v>
      </c>
      <c r="B5151" t="s">
        <v>617</v>
      </c>
      <c r="C5151" t="s">
        <v>50</v>
      </c>
      <c r="D5151" s="6">
        <v>45980</v>
      </c>
      <c r="E5151" t="str">
        <f>VLOOKUP(B5151,'PROCV GERENTES BD'!A:B,2,0)</f>
        <v>PRISCILA METZ</v>
      </c>
      <c r="F5151" s="4" t="str">
        <f t="shared" si="522"/>
        <v>2025-11</v>
      </c>
      <c r="G5151" s="18">
        <f t="shared" si="523"/>
        <v>47</v>
      </c>
      <c r="H5151" t="str">
        <f t="shared" si="524"/>
        <v>PRISCILA METZ</v>
      </c>
      <c r="I5151" t="str">
        <f t="shared" si="525"/>
        <v>DESTAK DISTRIBUIDORA PRODUTOS EQUIPAMENTOS HOSPITA</v>
      </c>
      <c r="J5151">
        <f t="shared" si="526"/>
        <v>0</v>
      </c>
      <c r="K5151">
        <f t="shared" si="527"/>
        <v>1</v>
      </c>
    </row>
    <row r="5152" spans="1:11" x14ac:dyDescent="0.25">
      <c r="A5152" t="s">
        <v>630</v>
      </c>
      <c r="B5152" t="s">
        <v>559</v>
      </c>
      <c r="C5152" t="s">
        <v>50</v>
      </c>
      <c r="D5152" s="6">
        <v>45980</v>
      </c>
      <c r="E5152" t="str">
        <f>VLOOKUP(B5152,'PROCV GERENTES BD'!A:B,2,0)</f>
        <v>ALISSON DE SOUZA LIMA</v>
      </c>
      <c r="F5152" s="4" t="str">
        <f t="shared" si="522"/>
        <v>2025-11</v>
      </c>
      <c r="G5152" s="18">
        <f t="shared" si="523"/>
        <v>47</v>
      </c>
      <c r="H5152" t="str">
        <f t="shared" si="524"/>
        <v>ALISSON DE SOUZA LIMA</v>
      </c>
      <c r="I5152" t="str">
        <f t="shared" si="525"/>
        <v>JRG SOLUCOES INDUSTRIAIS LTDA</v>
      </c>
      <c r="J5152">
        <f t="shared" si="526"/>
        <v>0</v>
      </c>
      <c r="K5152">
        <f t="shared" si="527"/>
        <v>1</v>
      </c>
    </row>
    <row r="5153" spans="1:11" x14ac:dyDescent="0.25">
      <c r="A5153" t="s">
        <v>713</v>
      </c>
      <c r="B5153" t="s">
        <v>694</v>
      </c>
      <c r="C5153" t="s">
        <v>66</v>
      </c>
      <c r="D5153" s="6">
        <v>45980</v>
      </c>
      <c r="E5153" t="str">
        <f>VLOOKUP(B5153,'PROCV GERENTES BD'!A:B,2,0)</f>
        <v>CAIO</v>
      </c>
      <c r="F5153" s="4" t="str">
        <f t="shared" si="522"/>
        <v>2025-11</v>
      </c>
      <c r="G5153" s="18">
        <f t="shared" si="523"/>
        <v>47</v>
      </c>
      <c r="H5153" t="str">
        <f t="shared" si="524"/>
        <v>CAIO</v>
      </c>
      <c r="I5153" t="str">
        <f t="shared" si="525"/>
        <v>DENTAL FREE MATERIAIS E SOLUCOES ODONTOLOGICAS LTD</v>
      </c>
      <c r="J5153">
        <f t="shared" si="526"/>
        <v>1</v>
      </c>
      <c r="K5153">
        <f t="shared" si="527"/>
        <v>0</v>
      </c>
    </row>
    <row r="5154" spans="1:11" x14ac:dyDescent="0.25">
      <c r="A5154" t="s">
        <v>708</v>
      </c>
      <c r="B5154" t="s">
        <v>570</v>
      </c>
      <c r="C5154" t="s">
        <v>50</v>
      </c>
      <c r="D5154" s="6">
        <v>45980</v>
      </c>
      <c r="E5154" t="str">
        <f>VLOOKUP(B5154,'PROCV GERENTES BD'!A:B,2,0)</f>
        <v>RAFAEL PARISE</v>
      </c>
      <c r="F5154" s="4" t="str">
        <f t="shared" si="522"/>
        <v>2025-11</v>
      </c>
      <c r="G5154" s="18">
        <f t="shared" si="523"/>
        <v>47</v>
      </c>
      <c r="H5154" t="str">
        <f t="shared" si="524"/>
        <v>RAFAEL PARISE</v>
      </c>
      <c r="I5154" t="str">
        <f t="shared" si="525"/>
        <v>NITROTEX INDUSTRIA E COMERCIO TEXTEIS LTDA ME</v>
      </c>
      <c r="J5154">
        <f t="shared" si="526"/>
        <v>0</v>
      </c>
      <c r="K5154">
        <f t="shared" si="527"/>
        <v>1</v>
      </c>
    </row>
    <row r="5155" spans="1:11" x14ac:dyDescent="0.25">
      <c r="A5155" t="s">
        <v>442</v>
      </c>
      <c r="B5155" t="s">
        <v>193</v>
      </c>
      <c r="C5155" t="s">
        <v>50</v>
      </c>
      <c r="D5155" s="6">
        <v>45980</v>
      </c>
      <c r="E5155" t="str">
        <f>VLOOKUP(B5155,'PROCV GERENTES BD'!A:B,2,0)</f>
        <v>CELIO PIMENTA</v>
      </c>
      <c r="F5155" s="4" t="str">
        <f t="shared" si="522"/>
        <v>2025-11</v>
      </c>
      <c r="G5155" s="18">
        <f t="shared" si="523"/>
        <v>47</v>
      </c>
      <c r="H5155" t="str">
        <f t="shared" si="524"/>
        <v>CELIO PIMENTA</v>
      </c>
      <c r="I5155" t="str">
        <f t="shared" si="525"/>
        <v>CIA TEXTIL LTDA ME</v>
      </c>
      <c r="J5155">
        <f t="shared" si="526"/>
        <v>0</v>
      </c>
      <c r="K5155">
        <f t="shared" si="527"/>
        <v>1</v>
      </c>
    </row>
    <row r="5156" spans="1:11" x14ac:dyDescent="0.25">
      <c r="A5156" t="s">
        <v>64</v>
      </c>
      <c r="B5156" t="s">
        <v>65</v>
      </c>
      <c r="C5156" t="s">
        <v>50</v>
      </c>
      <c r="D5156" s="6">
        <v>45980</v>
      </c>
      <c r="E5156" t="str">
        <f>VLOOKUP(B5156,'PROCV GERENTES BD'!A:B,2,0)</f>
        <v>ADMINISTRAÇÃO</v>
      </c>
      <c r="F5156" s="4" t="str">
        <f t="shared" si="522"/>
        <v>2025-11</v>
      </c>
      <c r="G5156" s="18">
        <f t="shared" si="523"/>
        <v>47</v>
      </c>
      <c r="H5156" t="str">
        <f t="shared" si="524"/>
        <v>ADMINISTRAÇÃO</v>
      </c>
      <c r="I5156" t="str">
        <f t="shared" si="525"/>
        <v>SOCIAL S/A</v>
      </c>
      <c r="J5156">
        <f t="shared" si="526"/>
        <v>0</v>
      </c>
      <c r="K5156">
        <f t="shared" si="527"/>
        <v>1</v>
      </c>
    </row>
    <row r="5157" spans="1:11" x14ac:dyDescent="0.25">
      <c r="A5157" t="s">
        <v>499</v>
      </c>
      <c r="B5157" t="s">
        <v>258</v>
      </c>
      <c r="C5157" t="s">
        <v>50</v>
      </c>
      <c r="D5157" s="6">
        <v>45980</v>
      </c>
      <c r="E5157" t="str">
        <f>VLOOKUP(B5157,'PROCV GERENTES BD'!A:B,2,0)</f>
        <v>PRISCILA METZ</v>
      </c>
      <c r="F5157" s="4" t="str">
        <f t="shared" si="522"/>
        <v>2025-11</v>
      </c>
      <c r="G5157" s="18">
        <f t="shared" si="523"/>
        <v>47</v>
      </c>
      <c r="H5157" t="str">
        <f t="shared" si="524"/>
        <v>PRISCILA METZ</v>
      </c>
      <c r="I5157" t="str">
        <f t="shared" si="525"/>
        <v>PLATINUM INDUSTRIA DE CONFECCOES LTDA</v>
      </c>
      <c r="J5157">
        <f t="shared" si="526"/>
        <v>0</v>
      </c>
      <c r="K5157">
        <f t="shared" si="527"/>
        <v>1</v>
      </c>
    </row>
    <row r="5158" spans="1:11" x14ac:dyDescent="0.25">
      <c r="A5158" t="s">
        <v>722</v>
      </c>
      <c r="B5158" t="s">
        <v>723</v>
      </c>
      <c r="C5158" t="s">
        <v>66</v>
      </c>
      <c r="D5158" s="6">
        <v>45980</v>
      </c>
      <c r="E5158" t="str">
        <f>VLOOKUP(B5158,'PROCV GERENTES BD'!A:B,2,0)</f>
        <v>POENATELA</v>
      </c>
      <c r="F5158" s="4" t="str">
        <f t="shared" si="522"/>
        <v>2025-11</v>
      </c>
      <c r="G5158" s="18">
        <f t="shared" si="523"/>
        <v>47</v>
      </c>
      <c r="H5158" t="str">
        <f t="shared" si="524"/>
        <v>POENATELA</v>
      </c>
      <c r="I5158" t="str">
        <f t="shared" si="525"/>
        <v>LIDER MIX CONCRETOS E AGREGADOS LTDA</v>
      </c>
      <c r="J5158">
        <f t="shared" si="526"/>
        <v>1</v>
      </c>
      <c r="K5158">
        <f t="shared" si="527"/>
        <v>0</v>
      </c>
    </row>
    <row r="5159" spans="1:11" x14ac:dyDescent="0.25">
      <c r="A5159" t="s">
        <v>638</v>
      </c>
      <c r="B5159" t="s">
        <v>539</v>
      </c>
      <c r="C5159" t="s">
        <v>50</v>
      </c>
      <c r="D5159" s="6">
        <v>45980</v>
      </c>
      <c r="E5159" t="str">
        <f>VLOOKUP(B5159,'PROCV GERENTES BD'!A:B,2,0)</f>
        <v>JJPH</v>
      </c>
      <c r="F5159" s="4" t="str">
        <f t="shared" si="522"/>
        <v>2025-11</v>
      </c>
      <c r="G5159" s="18">
        <f t="shared" si="523"/>
        <v>47</v>
      </c>
      <c r="H5159" t="str">
        <f t="shared" si="524"/>
        <v>JJPH</v>
      </c>
      <c r="I5159" t="str">
        <f t="shared" si="525"/>
        <v>DIFARMIG LTDA</v>
      </c>
      <c r="J5159">
        <f t="shared" si="526"/>
        <v>0</v>
      </c>
      <c r="K5159">
        <f t="shared" si="527"/>
        <v>1</v>
      </c>
    </row>
    <row r="5160" spans="1:11" x14ac:dyDescent="0.25">
      <c r="A5160" t="s">
        <v>361</v>
      </c>
      <c r="B5160" t="s">
        <v>106</v>
      </c>
      <c r="C5160" t="s">
        <v>50</v>
      </c>
      <c r="D5160" s="6">
        <v>45980</v>
      </c>
      <c r="E5160" t="str">
        <f>VLOOKUP(B5160,'PROCV GERENTES BD'!A:B,2,0)</f>
        <v>PRISCILA METZ</v>
      </c>
      <c r="F5160" s="4" t="str">
        <f t="shared" si="522"/>
        <v>2025-11</v>
      </c>
      <c r="G5160" s="18">
        <f t="shared" si="523"/>
        <v>47</v>
      </c>
      <c r="H5160" t="str">
        <f t="shared" si="524"/>
        <v>PRISCILA METZ</v>
      </c>
      <c r="I5160" t="str">
        <f t="shared" si="525"/>
        <v>HERBAMED LABORATORIO NUTRACEUTICO LTDA</v>
      </c>
      <c r="J5160">
        <f t="shared" si="526"/>
        <v>0</v>
      </c>
      <c r="K5160">
        <f t="shared" si="527"/>
        <v>1</v>
      </c>
    </row>
    <row r="5161" spans="1:11" x14ac:dyDescent="0.25">
      <c r="A5161" t="s">
        <v>387</v>
      </c>
      <c r="B5161" t="s">
        <v>134</v>
      </c>
      <c r="C5161" t="s">
        <v>66</v>
      </c>
      <c r="D5161" s="6">
        <v>45980</v>
      </c>
      <c r="E5161" t="str">
        <f>VLOOKUP(B5161,'PROCV GERENTES BD'!A:B,2,0)</f>
        <v>RAFAEL PARISE</v>
      </c>
      <c r="F5161" s="4" t="str">
        <f t="shared" si="522"/>
        <v>2025-11</v>
      </c>
      <c r="G5161" s="18">
        <f t="shared" si="523"/>
        <v>47</v>
      </c>
      <c r="H5161" t="str">
        <f t="shared" si="524"/>
        <v>RAFAEL PARISE</v>
      </c>
      <c r="I5161" t="str">
        <f t="shared" si="525"/>
        <v>MAIS DISTRIBUIDORA LTDA</v>
      </c>
      <c r="J5161">
        <f t="shared" si="526"/>
        <v>1</v>
      </c>
      <c r="K5161">
        <f t="shared" si="527"/>
        <v>0</v>
      </c>
    </row>
    <row r="5162" spans="1:11" x14ac:dyDescent="0.25">
      <c r="A5162" t="s">
        <v>525</v>
      </c>
      <c r="B5162" t="s">
        <v>292</v>
      </c>
      <c r="C5162" t="s">
        <v>50</v>
      </c>
      <c r="D5162" s="6">
        <v>45980</v>
      </c>
      <c r="E5162" t="str">
        <f>VLOOKUP(B5162,'PROCV GERENTES BD'!A:B,2,0)</f>
        <v>ALISSON DE SOUZA LIMA</v>
      </c>
      <c r="F5162" s="4" t="str">
        <f t="shared" si="522"/>
        <v>2025-11</v>
      </c>
      <c r="G5162" s="18">
        <f t="shared" si="523"/>
        <v>47</v>
      </c>
      <c r="H5162" t="str">
        <f t="shared" si="524"/>
        <v>ALISSON DE SOUZA LIMA</v>
      </c>
      <c r="I5162" t="str">
        <f t="shared" si="525"/>
        <v>GALLE INDUSTRIA E COMERCIO DE TINTAS E VERNIZES LT</v>
      </c>
      <c r="J5162">
        <f t="shared" si="526"/>
        <v>0</v>
      </c>
      <c r="K5162">
        <f t="shared" si="527"/>
        <v>1</v>
      </c>
    </row>
    <row r="5163" spans="1:11" x14ac:dyDescent="0.25">
      <c r="A5163" t="s">
        <v>51</v>
      </c>
      <c r="B5163" t="s">
        <v>52</v>
      </c>
      <c r="C5163" t="s">
        <v>66</v>
      </c>
      <c r="D5163" s="6">
        <v>45980</v>
      </c>
      <c r="E5163" t="str">
        <f>VLOOKUP(B5163,'PROCV GERENTES BD'!A:B,2,0)</f>
        <v>RAFAEL PARISE</v>
      </c>
      <c r="F5163" s="4" t="str">
        <f t="shared" si="522"/>
        <v>2025-11</v>
      </c>
      <c r="G5163" s="18">
        <f t="shared" si="523"/>
        <v>47</v>
      </c>
      <c r="H5163" t="str">
        <f t="shared" si="524"/>
        <v>RAFAEL PARISE</v>
      </c>
      <c r="I5163" t="str">
        <f t="shared" si="525"/>
        <v>TDR TRANSPORTES LOGISTICA LTDA</v>
      </c>
      <c r="J5163">
        <f t="shared" si="526"/>
        <v>1</v>
      </c>
      <c r="K5163">
        <f t="shared" si="527"/>
        <v>0</v>
      </c>
    </row>
    <row r="5164" spans="1:11" x14ac:dyDescent="0.25">
      <c r="A5164" t="s">
        <v>714</v>
      </c>
      <c r="B5164" t="s">
        <v>715</v>
      </c>
      <c r="C5164" t="s">
        <v>66</v>
      </c>
      <c r="D5164" s="6">
        <v>45980</v>
      </c>
      <c r="E5164" t="str">
        <f>VLOOKUP(B5164,'PROCV GERENTES BD'!A:B,2,0)</f>
        <v>POENATELA</v>
      </c>
      <c r="F5164" s="4" t="str">
        <f t="shared" si="522"/>
        <v>2025-11</v>
      </c>
      <c r="G5164" s="18">
        <f t="shared" si="523"/>
        <v>47</v>
      </c>
      <c r="H5164" t="str">
        <f t="shared" si="524"/>
        <v>POENATELA</v>
      </c>
      <c r="I5164" t="str">
        <f t="shared" si="525"/>
        <v>PRP TRANSPORTES SERVICOS E LOCACAO DE MAQUINAS LTD</v>
      </c>
      <c r="J5164">
        <f t="shared" si="526"/>
        <v>1</v>
      </c>
      <c r="K5164">
        <f t="shared" si="527"/>
        <v>0</v>
      </c>
    </row>
    <row r="5165" spans="1:11" x14ac:dyDescent="0.25">
      <c r="A5165" t="s">
        <v>660</v>
      </c>
      <c r="B5165" t="s">
        <v>545</v>
      </c>
      <c r="C5165" t="s">
        <v>53</v>
      </c>
      <c r="D5165" s="6">
        <v>45980</v>
      </c>
      <c r="E5165" t="str">
        <f>VLOOKUP(B5165,'PROCV GERENTES BD'!A:B,2,0)</f>
        <v xml:space="preserve">ROGERIO </v>
      </c>
      <c r="F5165" s="4" t="str">
        <f t="shared" si="522"/>
        <v>2025-11</v>
      </c>
      <c r="G5165" s="18">
        <f t="shared" si="523"/>
        <v>47</v>
      </c>
      <c r="H5165" t="str">
        <f t="shared" si="524"/>
        <v xml:space="preserve">ROGERIO </v>
      </c>
      <c r="I5165" t="str">
        <f t="shared" si="525"/>
        <v>DISEP ALIMENTOS LTDA ME</v>
      </c>
      <c r="J5165">
        <f t="shared" si="526"/>
        <v>1</v>
      </c>
      <c r="K5165">
        <f t="shared" si="527"/>
        <v>1</v>
      </c>
    </row>
    <row r="5166" spans="1:11" x14ac:dyDescent="0.25">
      <c r="A5166" t="s">
        <v>687</v>
      </c>
      <c r="B5166" t="s">
        <v>684</v>
      </c>
      <c r="C5166" t="s">
        <v>50</v>
      </c>
      <c r="D5166" s="6">
        <v>45980</v>
      </c>
      <c r="E5166" t="str">
        <f>VLOOKUP(B5166,'PROCV GERENTES BD'!A:B,2,0)</f>
        <v>DALVA</v>
      </c>
      <c r="F5166" s="4" t="str">
        <f t="shared" si="522"/>
        <v>2025-11</v>
      </c>
      <c r="G5166" s="18">
        <f t="shared" si="523"/>
        <v>47</v>
      </c>
      <c r="H5166" t="str">
        <f t="shared" si="524"/>
        <v>DALVA</v>
      </c>
      <c r="I5166" t="str">
        <f t="shared" si="525"/>
        <v>AGUIA DE FOGO PREVENCAO DE INCENDIO LTDA EPP</v>
      </c>
      <c r="J5166">
        <f t="shared" si="526"/>
        <v>0</v>
      </c>
      <c r="K5166">
        <f t="shared" si="527"/>
        <v>1</v>
      </c>
    </row>
    <row r="5167" spans="1:11" x14ac:dyDescent="0.25">
      <c r="A5167" t="s">
        <v>326</v>
      </c>
      <c r="B5167" t="s">
        <v>122</v>
      </c>
      <c r="C5167" t="s">
        <v>53</v>
      </c>
      <c r="D5167" s="6">
        <v>45980</v>
      </c>
      <c r="E5167" t="str">
        <f>VLOOKUP(B5167,'PROCV GERENTES BD'!A:B,2,0)</f>
        <v xml:space="preserve">ROGERIO </v>
      </c>
      <c r="F5167" s="4" t="str">
        <f t="shared" si="522"/>
        <v>2025-11</v>
      </c>
      <c r="G5167" s="18">
        <f t="shared" si="523"/>
        <v>47</v>
      </c>
      <c r="H5167" t="str">
        <f t="shared" si="524"/>
        <v xml:space="preserve">ROGERIO </v>
      </c>
      <c r="I5167" t="str">
        <f t="shared" si="525"/>
        <v>BIBE PRODUTOS INFANTIS LTDA</v>
      </c>
      <c r="J5167">
        <f t="shared" si="526"/>
        <v>1</v>
      </c>
      <c r="K5167">
        <f t="shared" si="527"/>
        <v>1</v>
      </c>
    </row>
    <row r="5168" spans="1:11" x14ac:dyDescent="0.25">
      <c r="A5168" t="s">
        <v>665</v>
      </c>
      <c r="B5168" t="s">
        <v>666</v>
      </c>
      <c r="C5168" t="s">
        <v>50</v>
      </c>
      <c r="D5168" s="6">
        <v>45981</v>
      </c>
      <c r="E5168" t="str">
        <f>VLOOKUP(B5168,'PROCV GERENTES BD'!A:B,2,0)</f>
        <v>PROSPECTAR</v>
      </c>
      <c r="F5168" s="4" t="str">
        <f t="shared" ref="F5168:F5188" si="528">YEAR(D5168)&amp;"-"&amp;TEXT(MONTH(D5168),"00")</f>
        <v>2025-11</v>
      </c>
      <c r="G5168" s="18">
        <f t="shared" ref="G5168:G5188" si="529">WEEKNUM(D5168)</f>
        <v>47</v>
      </c>
      <c r="H5168" t="str">
        <f t="shared" ref="H5168:H5188" si="530">E5168</f>
        <v>PROSPECTAR</v>
      </c>
      <c r="I5168" t="str">
        <f t="shared" ref="I5168:I5188" si="531">B5168</f>
        <v>CENTROAIDAR INDUSTRIA E COMERCIO DE BEBIDAS LTDA</v>
      </c>
      <c r="J5168">
        <f t="shared" ref="J5168:J5188" si="532">IF(OR(C5168="EXCLUSAO  ANOT.INADIMPLENCIA",C5168="INCL/EXCL ANOT.INADIMPLENCIA"),1,0)</f>
        <v>0</v>
      </c>
      <c r="K5168">
        <f t="shared" ref="K5168:K5188" si="533">IF(OR(C5168="INCLUSAO  ANOT.INADIMPLENCIA",C5168="INCL/EXCL ANOT.INADIMPLENCIA"),1,0)</f>
        <v>1</v>
      </c>
    </row>
    <row r="5169" spans="1:11" x14ac:dyDescent="0.25">
      <c r="A5169" t="s">
        <v>508</v>
      </c>
      <c r="B5169" t="s">
        <v>271</v>
      </c>
      <c r="C5169" t="s">
        <v>50</v>
      </c>
      <c r="D5169" s="6">
        <v>45981</v>
      </c>
      <c r="E5169" t="str">
        <f>VLOOKUP(B5169,'PROCV GERENTES BD'!A:B,2,0)</f>
        <v>PRISCILA METZ</v>
      </c>
      <c r="F5169" s="4" t="str">
        <f t="shared" si="528"/>
        <v>2025-11</v>
      </c>
      <c r="G5169" s="18">
        <f t="shared" si="529"/>
        <v>47</v>
      </c>
      <c r="H5169" t="str">
        <f t="shared" si="530"/>
        <v>PRISCILA METZ</v>
      </c>
      <c r="I5169" t="str">
        <f t="shared" si="531"/>
        <v>TUBOLARES VITORIA INDUSTRIA E COMERCIO LTDA ME</v>
      </c>
      <c r="J5169">
        <f t="shared" si="532"/>
        <v>0</v>
      </c>
      <c r="K5169">
        <f t="shared" si="533"/>
        <v>1</v>
      </c>
    </row>
    <row r="5170" spans="1:11" x14ac:dyDescent="0.25">
      <c r="A5170" t="s">
        <v>667</v>
      </c>
      <c r="B5170" t="s">
        <v>560</v>
      </c>
      <c r="C5170" t="s">
        <v>66</v>
      </c>
      <c r="D5170" s="6">
        <v>45981</v>
      </c>
      <c r="E5170" t="str">
        <f>VLOOKUP(B5170,'PROCV GERENTES BD'!A:B,2,0)</f>
        <v>ALISSON DE SOUZA LIMA</v>
      </c>
      <c r="F5170" s="4" t="str">
        <f t="shared" si="528"/>
        <v>2025-11</v>
      </c>
      <c r="G5170" s="18">
        <f t="shared" si="529"/>
        <v>47</v>
      </c>
      <c r="H5170" t="str">
        <f t="shared" si="530"/>
        <v>ALISSON DE SOUZA LIMA</v>
      </c>
      <c r="I5170" t="str">
        <f t="shared" si="531"/>
        <v>JRG SOLUCOES EM SERVICOS LTDA ME</v>
      </c>
      <c r="J5170">
        <f t="shared" si="532"/>
        <v>1</v>
      </c>
      <c r="K5170">
        <f t="shared" si="533"/>
        <v>0</v>
      </c>
    </row>
    <row r="5171" spans="1:11" x14ac:dyDescent="0.25">
      <c r="A5171" t="s">
        <v>314</v>
      </c>
      <c r="B5171" t="s">
        <v>246</v>
      </c>
      <c r="C5171" t="s">
        <v>50</v>
      </c>
      <c r="D5171" s="6">
        <v>45981</v>
      </c>
      <c r="E5171" t="str">
        <f>VLOOKUP(B5171,'PROCV GERENTES BD'!A:B,2,0)</f>
        <v xml:space="preserve">ROGERIO </v>
      </c>
      <c r="F5171" s="4" t="str">
        <f t="shared" si="528"/>
        <v>2025-11</v>
      </c>
      <c r="G5171" s="18">
        <f t="shared" si="529"/>
        <v>47</v>
      </c>
      <c r="H5171" t="str">
        <f t="shared" si="530"/>
        <v xml:space="preserve">ROGERIO </v>
      </c>
      <c r="I5171" t="str">
        <f t="shared" si="531"/>
        <v>MUTCD CENTRO DE DISTRIBUICAO DE IND FABRICANTE DE</v>
      </c>
      <c r="J5171">
        <f t="shared" si="532"/>
        <v>0</v>
      </c>
      <c r="K5171">
        <f t="shared" si="533"/>
        <v>1</v>
      </c>
    </row>
    <row r="5172" spans="1:11" x14ac:dyDescent="0.25">
      <c r="A5172" t="s">
        <v>704</v>
      </c>
      <c r="B5172" t="s">
        <v>705</v>
      </c>
      <c r="C5172" t="s">
        <v>53</v>
      </c>
      <c r="D5172" s="6">
        <v>45981</v>
      </c>
      <c r="E5172" t="str">
        <f>VLOOKUP(B5172,'PROCV GERENTES BD'!A:B,2,0)</f>
        <v>DAVI</v>
      </c>
      <c r="F5172" s="4" t="str">
        <f t="shared" si="528"/>
        <v>2025-11</v>
      </c>
      <c r="G5172" s="18">
        <f t="shared" si="529"/>
        <v>47</v>
      </c>
      <c r="H5172" t="str">
        <f t="shared" si="530"/>
        <v>DAVI</v>
      </c>
      <c r="I5172" t="str">
        <f t="shared" si="531"/>
        <v>DUOPLASTIC INDUSTRIA DE MOVEIS LTDA ME</v>
      </c>
      <c r="J5172">
        <f t="shared" si="532"/>
        <v>1</v>
      </c>
      <c r="K5172">
        <f t="shared" si="533"/>
        <v>1</v>
      </c>
    </row>
    <row r="5173" spans="1:11" x14ac:dyDescent="0.25">
      <c r="A5173" t="s">
        <v>655</v>
      </c>
      <c r="B5173" t="s">
        <v>548</v>
      </c>
      <c r="C5173" t="s">
        <v>50</v>
      </c>
      <c r="D5173" s="6">
        <v>45981</v>
      </c>
      <c r="E5173" t="str">
        <f>VLOOKUP(B5173,'PROCV GERENTES BD'!A:B,2,0)</f>
        <v xml:space="preserve">ROGERIO </v>
      </c>
      <c r="F5173" s="4" t="str">
        <f t="shared" si="528"/>
        <v>2025-11</v>
      </c>
      <c r="G5173" s="18">
        <f t="shared" si="529"/>
        <v>47</v>
      </c>
      <c r="H5173" t="str">
        <f t="shared" si="530"/>
        <v xml:space="preserve">ROGERIO </v>
      </c>
      <c r="I5173" t="str">
        <f t="shared" si="531"/>
        <v>AGROEP PISCICULTURA LTDA ME</v>
      </c>
      <c r="J5173">
        <f t="shared" si="532"/>
        <v>0</v>
      </c>
      <c r="K5173">
        <f t="shared" si="533"/>
        <v>1</v>
      </c>
    </row>
    <row r="5174" spans="1:11" x14ac:dyDescent="0.25">
      <c r="A5174" t="s">
        <v>630</v>
      </c>
      <c r="B5174" t="s">
        <v>559</v>
      </c>
      <c r="C5174" t="s">
        <v>50</v>
      </c>
      <c r="D5174" s="6">
        <v>45981</v>
      </c>
      <c r="E5174" t="str">
        <f>VLOOKUP(B5174,'PROCV GERENTES BD'!A:B,2,0)</f>
        <v>ALISSON DE SOUZA LIMA</v>
      </c>
      <c r="F5174" s="4" t="str">
        <f t="shared" si="528"/>
        <v>2025-11</v>
      </c>
      <c r="G5174" s="18">
        <f t="shared" si="529"/>
        <v>47</v>
      </c>
      <c r="H5174" t="str">
        <f t="shared" si="530"/>
        <v>ALISSON DE SOUZA LIMA</v>
      </c>
      <c r="I5174" t="str">
        <f t="shared" si="531"/>
        <v>JRG SOLUCOES INDUSTRIAIS LTDA</v>
      </c>
      <c r="J5174">
        <f t="shared" si="532"/>
        <v>0</v>
      </c>
      <c r="K5174">
        <f t="shared" si="533"/>
        <v>1</v>
      </c>
    </row>
    <row r="5175" spans="1:11" x14ac:dyDescent="0.25">
      <c r="A5175" t="s">
        <v>708</v>
      </c>
      <c r="B5175" t="s">
        <v>570</v>
      </c>
      <c r="C5175" t="s">
        <v>50</v>
      </c>
      <c r="D5175" s="6">
        <v>45981</v>
      </c>
      <c r="E5175" t="str">
        <f>VLOOKUP(B5175,'PROCV GERENTES BD'!A:B,2,0)</f>
        <v>RAFAEL PARISE</v>
      </c>
      <c r="F5175" s="4" t="str">
        <f t="shared" si="528"/>
        <v>2025-11</v>
      </c>
      <c r="G5175" s="18">
        <f t="shared" si="529"/>
        <v>47</v>
      </c>
      <c r="H5175" t="str">
        <f t="shared" si="530"/>
        <v>RAFAEL PARISE</v>
      </c>
      <c r="I5175" t="str">
        <f t="shared" si="531"/>
        <v>NITROTEX INDUSTRIA E COMERCIO TEXTEIS LTDA ME</v>
      </c>
      <c r="J5175">
        <f t="shared" si="532"/>
        <v>0</v>
      </c>
      <c r="K5175">
        <f t="shared" si="533"/>
        <v>1</v>
      </c>
    </row>
    <row r="5176" spans="1:11" x14ac:dyDescent="0.25">
      <c r="A5176" t="s">
        <v>614</v>
      </c>
      <c r="B5176" t="s">
        <v>615</v>
      </c>
      <c r="C5176" t="s">
        <v>50</v>
      </c>
      <c r="D5176" s="6">
        <v>45981</v>
      </c>
      <c r="E5176" t="str">
        <f>VLOOKUP(B5176,'PROCV GERENTES BD'!A:B,2,0)</f>
        <v>RAFAEL PARISE</v>
      </c>
      <c r="F5176" s="4" t="str">
        <f t="shared" si="528"/>
        <v>2025-11</v>
      </c>
      <c r="G5176" s="18">
        <f t="shared" si="529"/>
        <v>47</v>
      </c>
      <c r="H5176" t="str">
        <f t="shared" si="530"/>
        <v>RAFAEL PARISE</v>
      </c>
      <c r="I5176" t="str">
        <f t="shared" si="531"/>
        <v>SAGATEC LTDA</v>
      </c>
      <c r="J5176">
        <f t="shared" si="532"/>
        <v>0</v>
      </c>
      <c r="K5176">
        <f t="shared" si="533"/>
        <v>1</v>
      </c>
    </row>
    <row r="5177" spans="1:11" x14ac:dyDescent="0.25">
      <c r="A5177" t="s">
        <v>62</v>
      </c>
      <c r="B5177" t="s">
        <v>63</v>
      </c>
      <c r="C5177" t="s">
        <v>66</v>
      </c>
      <c r="D5177" s="6">
        <v>45981</v>
      </c>
      <c r="E5177" t="str">
        <f>VLOOKUP(B5177,'PROCV GERENTES BD'!A:B,2,0)</f>
        <v>PROSPECTAR</v>
      </c>
      <c r="F5177" s="4" t="str">
        <f t="shared" si="528"/>
        <v>2025-11</v>
      </c>
      <c r="G5177" s="18">
        <f t="shared" si="529"/>
        <v>47</v>
      </c>
      <c r="H5177" t="str">
        <f t="shared" si="530"/>
        <v>PROSPECTAR</v>
      </c>
      <c r="I5177" t="str">
        <f t="shared" si="531"/>
        <v>MAPP COM IMPORTACAO EXPORTACAO IND PRODUTOS ALIMEN</v>
      </c>
      <c r="J5177">
        <f t="shared" si="532"/>
        <v>1</v>
      </c>
      <c r="K5177">
        <f t="shared" si="533"/>
        <v>0</v>
      </c>
    </row>
    <row r="5178" spans="1:11" x14ac:dyDescent="0.25">
      <c r="A5178" t="s">
        <v>460</v>
      </c>
      <c r="B5178" t="s">
        <v>217</v>
      </c>
      <c r="C5178" t="s">
        <v>50</v>
      </c>
      <c r="D5178" s="6">
        <v>45981</v>
      </c>
      <c r="E5178" t="str">
        <f>VLOOKUP(B5178,'PROCV GERENTES BD'!A:B,2,0)</f>
        <v>CELIO PIMENTA</v>
      </c>
      <c r="F5178" s="4" t="str">
        <f t="shared" si="528"/>
        <v>2025-11</v>
      </c>
      <c r="G5178" s="18">
        <f t="shared" si="529"/>
        <v>47</v>
      </c>
      <c r="H5178" t="str">
        <f t="shared" si="530"/>
        <v>CELIO PIMENTA</v>
      </c>
      <c r="I5178" t="str">
        <f t="shared" si="531"/>
        <v>MINAS CLEAN DISTRIBUIDORA DE PRODUTOS PARA LIMPEZA</v>
      </c>
      <c r="J5178">
        <f t="shared" si="532"/>
        <v>0</v>
      </c>
      <c r="K5178">
        <f t="shared" si="533"/>
        <v>1</v>
      </c>
    </row>
    <row r="5179" spans="1:11" x14ac:dyDescent="0.25">
      <c r="A5179" t="s">
        <v>499</v>
      </c>
      <c r="B5179" t="s">
        <v>258</v>
      </c>
      <c r="C5179" t="s">
        <v>66</v>
      </c>
      <c r="D5179" s="6">
        <v>45981</v>
      </c>
      <c r="E5179" t="str">
        <f>VLOOKUP(B5179,'PROCV GERENTES BD'!A:B,2,0)</f>
        <v>PRISCILA METZ</v>
      </c>
      <c r="F5179" s="4" t="str">
        <f t="shared" si="528"/>
        <v>2025-11</v>
      </c>
      <c r="G5179" s="18">
        <f t="shared" si="529"/>
        <v>47</v>
      </c>
      <c r="H5179" t="str">
        <f t="shared" si="530"/>
        <v>PRISCILA METZ</v>
      </c>
      <c r="I5179" t="str">
        <f t="shared" si="531"/>
        <v>PLATINUM INDUSTRIA DE CONFECCOES LTDA</v>
      </c>
      <c r="J5179">
        <f t="shared" si="532"/>
        <v>1</v>
      </c>
      <c r="K5179">
        <f t="shared" si="533"/>
        <v>0</v>
      </c>
    </row>
    <row r="5180" spans="1:11" x14ac:dyDescent="0.25">
      <c r="A5180" t="s">
        <v>331</v>
      </c>
      <c r="B5180" t="s">
        <v>144</v>
      </c>
      <c r="C5180" t="s">
        <v>66</v>
      </c>
      <c r="D5180" s="6">
        <v>45981</v>
      </c>
      <c r="E5180" t="str">
        <f>VLOOKUP(B5180,'PROCV GERENTES BD'!A:B,2,0)</f>
        <v>ADMINISTRAÇÃO</v>
      </c>
      <c r="F5180" s="4" t="str">
        <f t="shared" si="528"/>
        <v>2025-11</v>
      </c>
      <c r="G5180" s="18">
        <f t="shared" si="529"/>
        <v>47</v>
      </c>
      <c r="H5180" t="str">
        <f t="shared" si="530"/>
        <v>ADMINISTRAÇÃO</v>
      </c>
      <c r="I5180" t="str">
        <f t="shared" si="531"/>
        <v>BOM PASTOR PAPEIS LTDA EM RECUPERACAO JUDICIAL</v>
      </c>
      <c r="J5180">
        <f t="shared" si="532"/>
        <v>1</v>
      </c>
      <c r="K5180">
        <f t="shared" si="533"/>
        <v>0</v>
      </c>
    </row>
    <row r="5181" spans="1:11" x14ac:dyDescent="0.25">
      <c r="A5181" t="s">
        <v>361</v>
      </c>
      <c r="B5181" t="s">
        <v>106</v>
      </c>
      <c r="C5181" t="s">
        <v>66</v>
      </c>
      <c r="D5181" s="6">
        <v>45981</v>
      </c>
      <c r="E5181" t="str">
        <f>VLOOKUP(B5181,'PROCV GERENTES BD'!A:B,2,0)</f>
        <v>PRISCILA METZ</v>
      </c>
      <c r="F5181" s="4" t="str">
        <f t="shared" si="528"/>
        <v>2025-11</v>
      </c>
      <c r="G5181" s="18">
        <f t="shared" si="529"/>
        <v>47</v>
      </c>
      <c r="H5181" t="str">
        <f t="shared" si="530"/>
        <v>PRISCILA METZ</v>
      </c>
      <c r="I5181" t="str">
        <f t="shared" si="531"/>
        <v>HERBAMED LABORATORIO NUTRACEUTICO LTDA</v>
      </c>
      <c r="J5181">
        <f t="shared" si="532"/>
        <v>1</v>
      </c>
      <c r="K5181">
        <f t="shared" si="533"/>
        <v>0</v>
      </c>
    </row>
    <row r="5182" spans="1:11" x14ac:dyDescent="0.25">
      <c r="A5182" t="s">
        <v>639</v>
      </c>
      <c r="B5182" t="s">
        <v>564</v>
      </c>
      <c r="C5182" t="s">
        <v>50</v>
      </c>
      <c r="D5182" s="6">
        <v>45981</v>
      </c>
      <c r="E5182" t="str">
        <f>VLOOKUP(B5182,'PROCV GERENTES BD'!A:B,2,0)</f>
        <v>CAIO</v>
      </c>
      <c r="F5182" s="4" t="str">
        <f t="shared" si="528"/>
        <v>2025-11</v>
      </c>
      <c r="G5182" s="18">
        <f t="shared" si="529"/>
        <v>47</v>
      </c>
      <c r="H5182" t="str">
        <f t="shared" si="530"/>
        <v>CAIO</v>
      </c>
      <c r="I5182" t="str">
        <f t="shared" si="531"/>
        <v>FRUTABELLA INDUSTRIA E COMERCIO DE ALIMENTOS LTDA</v>
      </c>
      <c r="J5182">
        <f t="shared" si="532"/>
        <v>0</v>
      </c>
      <c r="K5182">
        <f t="shared" si="533"/>
        <v>1</v>
      </c>
    </row>
    <row r="5183" spans="1:11" x14ac:dyDescent="0.25">
      <c r="A5183" t="s">
        <v>730</v>
      </c>
      <c r="B5183" t="s">
        <v>731</v>
      </c>
      <c r="C5183" t="s">
        <v>50</v>
      </c>
      <c r="D5183" s="6">
        <v>45981</v>
      </c>
      <c r="E5183" t="str">
        <f>VLOOKUP(B5183,'PROCV GERENTES BD'!A:B,2,0)</f>
        <v>VALERIA</v>
      </c>
      <c r="F5183" s="4" t="str">
        <f t="shared" si="528"/>
        <v>2025-11</v>
      </c>
      <c r="G5183" s="18">
        <f t="shared" si="529"/>
        <v>47</v>
      </c>
      <c r="H5183" t="str">
        <f t="shared" si="530"/>
        <v>VALERIA</v>
      </c>
      <c r="I5183" t="str">
        <f t="shared" si="531"/>
        <v>TERROIR DO SAO FRANCISCO COMERCIO E INDUSTRIA DE V</v>
      </c>
      <c r="J5183">
        <f t="shared" si="532"/>
        <v>0</v>
      </c>
      <c r="K5183">
        <f t="shared" si="533"/>
        <v>1</v>
      </c>
    </row>
    <row r="5184" spans="1:11" x14ac:dyDescent="0.25">
      <c r="A5184" t="s">
        <v>528</v>
      </c>
      <c r="B5184" t="s">
        <v>296</v>
      </c>
      <c r="C5184" t="s">
        <v>50</v>
      </c>
      <c r="D5184" s="6">
        <v>45981</v>
      </c>
      <c r="E5184" t="str">
        <f>VLOOKUP(B5184,'PROCV GERENTES BD'!A:B,2,0)</f>
        <v>CAIO</v>
      </c>
      <c r="F5184" s="4" t="str">
        <f t="shared" si="528"/>
        <v>2025-11</v>
      </c>
      <c r="G5184" s="18">
        <f t="shared" si="529"/>
        <v>47</v>
      </c>
      <c r="H5184" t="str">
        <f t="shared" si="530"/>
        <v>CAIO</v>
      </c>
      <c r="I5184" t="str">
        <f t="shared" si="531"/>
        <v>TERRA PECAS GENUINAS LTDA EPP</v>
      </c>
      <c r="J5184">
        <f t="shared" si="532"/>
        <v>0</v>
      </c>
      <c r="K5184">
        <f t="shared" si="533"/>
        <v>1</v>
      </c>
    </row>
    <row r="5185" spans="1:11" x14ac:dyDescent="0.25">
      <c r="A5185" t="s">
        <v>51</v>
      </c>
      <c r="B5185" t="s">
        <v>52</v>
      </c>
      <c r="C5185" t="s">
        <v>66</v>
      </c>
      <c r="D5185" s="6">
        <v>45981</v>
      </c>
      <c r="E5185" t="str">
        <f>VLOOKUP(B5185,'PROCV GERENTES BD'!A:B,2,0)</f>
        <v>RAFAEL PARISE</v>
      </c>
      <c r="F5185" s="4" t="str">
        <f t="shared" si="528"/>
        <v>2025-11</v>
      </c>
      <c r="G5185" s="18">
        <f t="shared" si="529"/>
        <v>47</v>
      </c>
      <c r="H5185" t="str">
        <f t="shared" si="530"/>
        <v>RAFAEL PARISE</v>
      </c>
      <c r="I5185" t="str">
        <f t="shared" si="531"/>
        <v>TDR TRANSPORTES LOGISTICA LTDA</v>
      </c>
      <c r="J5185">
        <f t="shared" si="532"/>
        <v>1</v>
      </c>
      <c r="K5185">
        <f t="shared" si="533"/>
        <v>0</v>
      </c>
    </row>
    <row r="5186" spans="1:11" x14ac:dyDescent="0.25">
      <c r="A5186" t="s">
        <v>306</v>
      </c>
      <c r="B5186" t="s">
        <v>266</v>
      </c>
      <c r="C5186" t="s">
        <v>50</v>
      </c>
      <c r="D5186" s="6">
        <v>45981</v>
      </c>
      <c r="E5186" t="str">
        <f>VLOOKUP(B5186,'PROCV GERENTES BD'!A:B,2,0)</f>
        <v>CAIO</v>
      </c>
      <c r="F5186" s="4" t="str">
        <f t="shared" si="528"/>
        <v>2025-11</v>
      </c>
      <c r="G5186" s="18">
        <f t="shared" si="529"/>
        <v>47</v>
      </c>
      <c r="H5186" t="str">
        <f t="shared" si="530"/>
        <v>CAIO</v>
      </c>
      <c r="I5186" t="str">
        <f t="shared" si="531"/>
        <v>MECALD MECANICA E CALDEIRARIA LTDA EPP</v>
      </c>
      <c r="J5186">
        <f t="shared" si="532"/>
        <v>0</v>
      </c>
      <c r="K5186">
        <f t="shared" si="533"/>
        <v>1</v>
      </c>
    </row>
    <row r="5187" spans="1:11" x14ac:dyDescent="0.25">
      <c r="A5187" t="s">
        <v>476</v>
      </c>
      <c r="B5187" t="s">
        <v>233</v>
      </c>
      <c r="C5187" t="s">
        <v>50</v>
      </c>
      <c r="D5187" s="6">
        <v>45981</v>
      </c>
      <c r="E5187" t="str">
        <f>VLOOKUP(B5187,'PROCV GERENTES BD'!A:B,2,0)</f>
        <v>PRISCILA METZ</v>
      </c>
      <c r="F5187" s="4" t="str">
        <f t="shared" si="528"/>
        <v>2025-11</v>
      </c>
      <c r="G5187" s="18">
        <f t="shared" si="529"/>
        <v>47</v>
      </c>
      <c r="H5187" t="str">
        <f t="shared" si="530"/>
        <v>PRISCILA METZ</v>
      </c>
      <c r="I5187" t="str">
        <f t="shared" si="531"/>
        <v>TERRAPLAST INDUSTRIA E COMERCIO DE EQUIPAMENTOS DE</v>
      </c>
      <c r="J5187">
        <f t="shared" si="532"/>
        <v>0</v>
      </c>
      <c r="K5187">
        <f t="shared" si="533"/>
        <v>1</v>
      </c>
    </row>
    <row r="5188" spans="1:11" x14ac:dyDescent="0.25">
      <c r="A5188" t="s">
        <v>508</v>
      </c>
      <c r="B5188" t="s">
        <v>271</v>
      </c>
      <c r="C5188" t="s">
        <v>71</v>
      </c>
      <c r="D5188" s="6">
        <v>45981</v>
      </c>
      <c r="E5188" t="str">
        <f>VLOOKUP(B5188,'PROCV GERENTES BD'!A:B,2,0)</f>
        <v>PRISCILA METZ</v>
      </c>
      <c r="F5188" s="4" t="str">
        <f t="shared" si="528"/>
        <v>2025-11</v>
      </c>
      <c r="G5188" s="18">
        <f t="shared" si="529"/>
        <v>47</v>
      </c>
      <c r="H5188" t="str">
        <f t="shared" si="530"/>
        <v>PRISCILA METZ</v>
      </c>
      <c r="I5188" t="str">
        <f t="shared" si="531"/>
        <v>TUBOLARES VITORIA INDUSTRIA E COMERCIO LTDA ME</v>
      </c>
      <c r="J5188">
        <f t="shared" si="532"/>
        <v>0</v>
      </c>
      <c r="K5188">
        <f t="shared" si="533"/>
        <v>0</v>
      </c>
    </row>
    <row r="5189" spans="1:11" x14ac:dyDescent="0.25">
      <c r="A5189" t="s">
        <v>304</v>
      </c>
      <c r="B5189" t="s">
        <v>689</v>
      </c>
      <c r="C5189" t="s">
        <v>50</v>
      </c>
      <c r="D5189" s="6">
        <v>45983</v>
      </c>
      <c r="E5189" t="str">
        <f>VLOOKUP(B5189,'PROCV GERENTES BD'!A:B,2,0)</f>
        <v>ADMINISTRAÇÃO</v>
      </c>
      <c r="F5189" s="4" t="str">
        <f t="shared" ref="F5189:F5223" si="534">YEAR(D5189)&amp;"-"&amp;TEXT(MONTH(D5189),"00")</f>
        <v>2025-11</v>
      </c>
      <c r="G5189" s="18">
        <f t="shared" ref="G5189:G5223" si="535">WEEKNUM(D5189)</f>
        <v>47</v>
      </c>
      <c r="H5189" t="str">
        <f t="shared" ref="H5189:H5223" si="536">E5189</f>
        <v>ADMINISTRAÇÃO</v>
      </c>
      <c r="I5189" t="str">
        <f t="shared" ref="I5189:I5223" si="537">B5189</f>
        <v>VIC LOGISTICA LTDA</v>
      </c>
      <c r="J5189">
        <f t="shared" ref="J5189:J5223" si="538">IF(OR(C5189="EXCLUSAO  ANOT.INADIMPLENCIA",C5189="INCL/EXCL ANOT.INADIMPLENCIA"),1,0)</f>
        <v>0</v>
      </c>
      <c r="K5189">
        <f t="shared" ref="K5189:K5223" si="539">IF(OR(C5189="INCLUSAO  ANOT.INADIMPLENCIA",C5189="INCL/EXCL ANOT.INADIMPLENCIA"),1,0)</f>
        <v>1</v>
      </c>
    </row>
    <row r="5190" spans="1:11" x14ac:dyDescent="0.25">
      <c r="A5190" t="s">
        <v>499</v>
      </c>
      <c r="B5190" t="s">
        <v>258</v>
      </c>
      <c r="C5190" t="s">
        <v>50</v>
      </c>
      <c r="D5190" s="6">
        <v>45983</v>
      </c>
      <c r="E5190" t="str">
        <f>VLOOKUP(B5190,'PROCV GERENTES BD'!A:B,2,0)</f>
        <v>PRISCILA METZ</v>
      </c>
      <c r="F5190" s="4" t="str">
        <f t="shared" si="534"/>
        <v>2025-11</v>
      </c>
      <c r="G5190" s="18">
        <f t="shared" si="535"/>
        <v>47</v>
      </c>
      <c r="H5190" t="str">
        <f t="shared" si="536"/>
        <v>PRISCILA METZ</v>
      </c>
      <c r="I5190" t="str">
        <f t="shared" si="537"/>
        <v>PLATINUM INDUSTRIA DE CONFECCOES LTDA</v>
      </c>
      <c r="J5190">
        <f t="shared" si="538"/>
        <v>0</v>
      </c>
      <c r="K5190">
        <f t="shared" si="539"/>
        <v>1</v>
      </c>
    </row>
    <row r="5191" spans="1:11" x14ac:dyDescent="0.25">
      <c r="A5191" t="s">
        <v>442</v>
      </c>
      <c r="B5191" t="s">
        <v>193</v>
      </c>
      <c r="C5191" t="s">
        <v>50</v>
      </c>
      <c r="D5191" s="6">
        <v>45983</v>
      </c>
      <c r="E5191" t="str">
        <f>VLOOKUP(B5191,'PROCV GERENTES BD'!A:B,2,0)</f>
        <v>CELIO PIMENTA</v>
      </c>
      <c r="F5191" s="4" t="str">
        <f t="shared" si="534"/>
        <v>2025-11</v>
      </c>
      <c r="G5191" s="18">
        <f t="shared" si="535"/>
        <v>47</v>
      </c>
      <c r="H5191" t="str">
        <f t="shared" si="536"/>
        <v>CELIO PIMENTA</v>
      </c>
      <c r="I5191" t="str">
        <f t="shared" si="537"/>
        <v>CIA TEXTIL LTDA ME</v>
      </c>
      <c r="J5191">
        <f t="shared" si="538"/>
        <v>0</v>
      </c>
      <c r="K5191">
        <f t="shared" si="539"/>
        <v>1</v>
      </c>
    </row>
    <row r="5192" spans="1:11" x14ac:dyDescent="0.25">
      <c r="A5192" t="s">
        <v>708</v>
      </c>
      <c r="B5192" t="s">
        <v>570</v>
      </c>
      <c r="C5192" t="s">
        <v>50</v>
      </c>
      <c r="D5192" s="6">
        <v>45983</v>
      </c>
      <c r="E5192" t="str">
        <f>VLOOKUP(B5192,'PROCV GERENTES BD'!A:B,2,0)</f>
        <v>RAFAEL PARISE</v>
      </c>
      <c r="F5192" s="4" t="str">
        <f t="shared" si="534"/>
        <v>2025-11</v>
      </c>
      <c r="G5192" s="18">
        <f t="shared" si="535"/>
        <v>47</v>
      </c>
      <c r="H5192" t="str">
        <f t="shared" si="536"/>
        <v>RAFAEL PARISE</v>
      </c>
      <c r="I5192" t="str">
        <f t="shared" si="537"/>
        <v>NITROTEX INDUSTRIA E COMERCIO TEXTEIS LTDA ME</v>
      </c>
      <c r="J5192">
        <f t="shared" si="538"/>
        <v>0</v>
      </c>
      <c r="K5192">
        <f t="shared" si="539"/>
        <v>1</v>
      </c>
    </row>
    <row r="5193" spans="1:11" x14ac:dyDescent="0.25">
      <c r="A5193" t="s">
        <v>713</v>
      </c>
      <c r="B5193" t="s">
        <v>694</v>
      </c>
      <c r="C5193" t="s">
        <v>50</v>
      </c>
      <c r="D5193" s="6">
        <v>45983</v>
      </c>
      <c r="E5193" t="str">
        <f>VLOOKUP(B5193,'PROCV GERENTES BD'!A:B,2,0)</f>
        <v>CAIO</v>
      </c>
      <c r="F5193" s="4" t="str">
        <f t="shared" si="534"/>
        <v>2025-11</v>
      </c>
      <c r="G5193" s="18">
        <f t="shared" si="535"/>
        <v>47</v>
      </c>
      <c r="H5193" t="str">
        <f t="shared" si="536"/>
        <v>CAIO</v>
      </c>
      <c r="I5193" t="str">
        <f t="shared" si="537"/>
        <v>DENTAL FREE MATERIAIS E SOLUCOES ODONTOLOGICAS LTD</v>
      </c>
      <c r="J5193">
        <f t="shared" si="538"/>
        <v>0</v>
      </c>
      <c r="K5193">
        <f t="shared" si="539"/>
        <v>1</v>
      </c>
    </row>
    <row r="5194" spans="1:11" x14ac:dyDescent="0.25">
      <c r="A5194" t="s">
        <v>630</v>
      </c>
      <c r="B5194" t="s">
        <v>559</v>
      </c>
      <c r="C5194" t="s">
        <v>50</v>
      </c>
      <c r="D5194" s="6">
        <v>45983</v>
      </c>
      <c r="E5194" t="str">
        <f>VLOOKUP(B5194,'PROCV GERENTES BD'!A:B,2,0)</f>
        <v>ALISSON DE SOUZA LIMA</v>
      </c>
      <c r="F5194" s="4" t="str">
        <f t="shared" si="534"/>
        <v>2025-11</v>
      </c>
      <c r="G5194" s="18">
        <f t="shared" si="535"/>
        <v>47</v>
      </c>
      <c r="H5194" t="str">
        <f t="shared" si="536"/>
        <v>ALISSON DE SOUZA LIMA</v>
      </c>
      <c r="I5194" t="str">
        <f t="shared" si="537"/>
        <v>JRG SOLUCOES INDUSTRIAIS LTDA</v>
      </c>
      <c r="J5194">
        <f t="shared" si="538"/>
        <v>0</v>
      </c>
      <c r="K5194">
        <f t="shared" si="539"/>
        <v>1</v>
      </c>
    </row>
    <row r="5195" spans="1:11" x14ac:dyDescent="0.25">
      <c r="A5195" t="s">
        <v>74</v>
      </c>
      <c r="B5195" t="s">
        <v>75</v>
      </c>
      <c r="C5195" t="s">
        <v>53</v>
      </c>
      <c r="D5195" s="6">
        <v>45983</v>
      </c>
      <c r="E5195" t="str">
        <f>VLOOKUP(B5195,'PROCV GERENTES BD'!A:B,2,0)</f>
        <v>CAIO</v>
      </c>
      <c r="F5195" s="4" t="str">
        <f t="shared" si="534"/>
        <v>2025-11</v>
      </c>
      <c r="G5195" s="18">
        <f t="shared" si="535"/>
        <v>47</v>
      </c>
      <c r="H5195" t="str">
        <f t="shared" si="536"/>
        <v>CAIO</v>
      </c>
      <c r="I5195" t="str">
        <f t="shared" si="537"/>
        <v>TP DISTRIBUIDORA DE PECAS LTDA EPP</v>
      </c>
      <c r="J5195">
        <f t="shared" si="538"/>
        <v>1</v>
      </c>
      <c r="K5195">
        <f t="shared" si="539"/>
        <v>1</v>
      </c>
    </row>
    <row r="5196" spans="1:11" x14ac:dyDescent="0.25">
      <c r="A5196" t="s">
        <v>317</v>
      </c>
      <c r="B5196" t="s">
        <v>280</v>
      </c>
      <c r="C5196" t="s">
        <v>66</v>
      </c>
      <c r="D5196" s="6">
        <v>45983</v>
      </c>
      <c r="E5196" t="str">
        <f>VLOOKUP(B5196,'PROCV GERENTES BD'!A:B,2,0)</f>
        <v>PROSPECTAR</v>
      </c>
      <c r="F5196" s="4" t="str">
        <f t="shared" si="534"/>
        <v>2025-11</v>
      </c>
      <c r="G5196" s="18">
        <f t="shared" si="535"/>
        <v>47</v>
      </c>
      <c r="H5196" t="str">
        <f t="shared" si="536"/>
        <v>PROSPECTAR</v>
      </c>
      <c r="I5196" t="str">
        <f t="shared" si="537"/>
        <v>STA TECHCANA LTDA</v>
      </c>
      <c r="J5196">
        <f t="shared" si="538"/>
        <v>1</v>
      </c>
      <c r="K5196">
        <f t="shared" si="539"/>
        <v>0</v>
      </c>
    </row>
    <row r="5197" spans="1:11" x14ac:dyDescent="0.25">
      <c r="A5197" t="s">
        <v>661</v>
      </c>
      <c r="B5197" t="s">
        <v>662</v>
      </c>
      <c r="C5197" t="s">
        <v>50</v>
      </c>
      <c r="D5197" s="6">
        <v>45983</v>
      </c>
      <c r="E5197" t="str">
        <f>VLOOKUP(B5197,'PROCV GERENTES BD'!A:B,2,0)</f>
        <v>PRISCILA METZ</v>
      </c>
      <c r="F5197" s="4" t="str">
        <f t="shared" si="534"/>
        <v>2025-11</v>
      </c>
      <c r="G5197" s="18">
        <f t="shared" si="535"/>
        <v>47</v>
      </c>
      <c r="H5197" t="str">
        <f t="shared" si="536"/>
        <v>PRISCILA METZ</v>
      </c>
      <c r="I5197" t="str">
        <f t="shared" si="537"/>
        <v>LIDER DISTRIBUIDORA DE MOVEIS E EQUIPAMENTOS PARA</v>
      </c>
      <c r="J5197">
        <f t="shared" si="538"/>
        <v>0</v>
      </c>
      <c r="K5197">
        <f t="shared" si="539"/>
        <v>1</v>
      </c>
    </row>
    <row r="5198" spans="1:11" x14ac:dyDescent="0.25">
      <c r="A5198" t="s">
        <v>488</v>
      </c>
      <c r="B5198" t="s">
        <v>247</v>
      </c>
      <c r="C5198" t="s">
        <v>50</v>
      </c>
      <c r="D5198" s="6">
        <v>45983</v>
      </c>
      <c r="E5198" t="str">
        <f>VLOOKUP(B5198,'PROCV GERENTES BD'!A:B,2,0)</f>
        <v>CELIO PIMENTA</v>
      </c>
      <c r="F5198" s="4" t="str">
        <f t="shared" si="534"/>
        <v>2025-11</v>
      </c>
      <c r="G5198" s="18">
        <f t="shared" si="535"/>
        <v>47</v>
      </c>
      <c r="H5198" t="str">
        <f t="shared" si="536"/>
        <v>CELIO PIMENTA</v>
      </c>
      <c r="I5198" t="str">
        <f t="shared" si="537"/>
        <v>AZ HIDRAULICA USINAGEM LTDA EPP</v>
      </c>
      <c r="J5198">
        <f t="shared" si="538"/>
        <v>0</v>
      </c>
      <c r="K5198">
        <f t="shared" si="539"/>
        <v>1</v>
      </c>
    </row>
    <row r="5199" spans="1:11" x14ac:dyDescent="0.25">
      <c r="A5199" t="s">
        <v>704</v>
      </c>
      <c r="B5199" t="s">
        <v>705</v>
      </c>
      <c r="C5199" t="s">
        <v>50</v>
      </c>
      <c r="D5199" s="6">
        <v>45983</v>
      </c>
      <c r="E5199" t="str">
        <f>VLOOKUP(B5199,'PROCV GERENTES BD'!A:B,2,0)</f>
        <v>DAVI</v>
      </c>
      <c r="F5199" s="4" t="str">
        <f t="shared" si="534"/>
        <v>2025-11</v>
      </c>
      <c r="G5199" s="18">
        <f t="shared" si="535"/>
        <v>47</v>
      </c>
      <c r="H5199" t="str">
        <f t="shared" si="536"/>
        <v>DAVI</v>
      </c>
      <c r="I5199" t="str">
        <f t="shared" si="537"/>
        <v>DUOPLASTIC INDUSTRIA DE MOVEIS LTDA ME</v>
      </c>
      <c r="J5199">
        <f t="shared" si="538"/>
        <v>0</v>
      </c>
      <c r="K5199">
        <f t="shared" si="539"/>
        <v>1</v>
      </c>
    </row>
    <row r="5200" spans="1:11" x14ac:dyDescent="0.25">
      <c r="A5200" t="s">
        <v>314</v>
      </c>
      <c r="B5200" t="s">
        <v>246</v>
      </c>
      <c r="C5200" t="s">
        <v>50</v>
      </c>
      <c r="D5200" s="6">
        <v>45983</v>
      </c>
      <c r="E5200" t="str">
        <f>VLOOKUP(B5200,'PROCV GERENTES BD'!A:B,2,0)</f>
        <v xml:space="preserve">ROGERIO </v>
      </c>
      <c r="F5200" s="4" t="str">
        <f t="shared" si="534"/>
        <v>2025-11</v>
      </c>
      <c r="G5200" s="18">
        <f t="shared" si="535"/>
        <v>47</v>
      </c>
      <c r="H5200" t="str">
        <f t="shared" si="536"/>
        <v xml:space="preserve">ROGERIO </v>
      </c>
      <c r="I5200" t="str">
        <f t="shared" si="537"/>
        <v>MUTCD CENTRO DE DISTRIBUICAO DE IND FABRICANTE DE</v>
      </c>
      <c r="J5200">
        <f t="shared" si="538"/>
        <v>0</v>
      </c>
      <c r="K5200">
        <f t="shared" si="539"/>
        <v>1</v>
      </c>
    </row>
    <row r="5201" spans="1:11" x14ac:dyDescent="0.25">
      <c r="A5201" t="s">
        <v>667</v>
      </c>
      <c r="B5201" t="s">
        <v>560</v>
      </c>
      <c r="C5201" t="s">
        <v>50</v>
      </c>
      <c r="D5201" s="6">
        <v>45983</v>
      </c>
      <c r="E5201" t="str">
        <f>VLOOKUP(B5201,'PROCV GERENTES BD'!A:B,2,0)</f>
        <v>ALISSON DE SOUZA LIMA</v>
      </c>
      <c r="F5201" s="4" t="str">
        <f t="shared" si="534"/>
        <v>2025-11</v>
      </c>
      <c r="G5201" s="18">
        <f t="shared" si="535"/>
        <v>47</v>
      </c>
      <c r="H5201" t="str">
        <f t="shared" si="536"/>
        <v>ALISSON DE SOUZA LIMA</v>
      </c>
      <c r="I5201" t="str">
        <f t="shared" si="537"/>
        <v>JRG SOLUCOES EM SERVICOS LTDA ME</v>
      </c>
      <c r="J5201">
        <f t="shared" si="538"/>
        <v>0</v>
      </c>
      <c r="K5201">
        <f t="shared" si="539"/>
        <v>1</v>
      </c>
    </row>
    <row r="5202" spans="1:11" x14ac:dyDescent="0.25">
      <c r="A5202" t="s">
        <v>534</v>
      </c>
      <c r="B5202" t="s">
        <v>303</v>
      </c>
      <c r="C5202" t="s">
        <v>50</v>
      </c>
      <c r="D5202" s="6">
        <v>45983</v>
      </c>
      <c r="E5202" t="str">
        <f>VLOOKUP(B5202,'PROCV GERENTES BD'!A:B,2,0)</f>
        <v xml:space="preserve">MARCUS VINICIUS </v>
      </c>
      <c r="F5202" s="4" t="str">
        <f t="shared" si="534"/>
        <v>2025-11</v>
      </c>
      <c r="G5202" s="18">
        <f t="shared" si="535"/>
        <v>47</v>
      </c>
      <c r="H5202" t="str">
        <f t="shared" si="536"/>
        <v xml:space="preserve">MARCUS VINICIUS </v>
      </c>
      <c r="I5202" t="str">
        <f t="shared" si="537"/>
        <v>GRAFICA JSA LTDA EPP</v>
      </c>
      <c r="J5202">
        <f t="shared" si="538"/>
        <v>0</v>
      </c>
      <c r="K5202">
        <f t="shared" si="539"/>
        <v>1</v>
      </c>
    </row>
    <row r="5203" spans="1:11" x14ac:dyDescent="0.25">
      <c r="A5203" t="s">
        <v>510</v>
      </c>
      <c r="B5203" t="s">
        <v>273</v>
      </c>
      <c r="C5203" t="s">
        <v>50</v>
      </c>
      <c r="D5203" s="6">
        <v>45983</v>
      </c>
      <c r="E5203" t="str">
        <f>VLOOKUP(B5203,'PROCV GERENTES BD'!A:B,2,0)</f>
        <v>CELIO PIMENTA</v>
      </c>
      <c r="F5203" s="4" t="str">
        <f t="shared" si="534"/>
        <v>2025-11</v>
      </c>
      <c r="G5203" s="18">
        <f t="shared" si="535"/>
        <v>47</v>
      </c>
      <c r="H5203" t="str">
        <f t="shared" si="536"/>
        <v>CELIO PIMENTA</v>
      </c>
      <c r="I5203" t="str">
        <f t="shared" si="537"/>
        <v>PRADO MOREIRA TEXTIL LTDA ME</v>
      </c>
      <c r="J5203">
        <f t="shared" si="538"/>
        <v>0</v>
      </c>
      <c r="K5203">
        <f t="shared" si="539"/>
        <v>1</v>
      </c>
    </row>
    <row r="5204" spans="1:11" x14ac:dyDescent="0.25">
      <c r="A5204" t="s">
        <v>655</v>
      </c>
      <c r="B5204" t="s">
        <v>548</v>
      </c>
      <c r="C5204" t="s">
        <v>50</v>
      </c>
      <c r="D5204" s="6">
        <v>45983</v>
      </c>
      <c r="E5204" t="str">
        <f>VLOOKUP(B5204,'PROCV GERENTES BD'!A:B,2,0)</f>
        <v xml:space="preserve">ROGERIO </v>
      </c>
      <c r="F5204" s="4" t="str">
        <f t="shared" si="534"/>
        <v>2025-11</v>
      </c>
      <c r="G5204" s="18">
        <f t="shared" si="535"/>
        <v>47</v>
      </c>
      <c r="H5204" t="str">
        <f t="shared" si="536"/>
        <v xml:space="preserve">ROGERIO </v>
      </c>
      <c r="I5204" t="str">
        <f t="shared" si="537"/>
        <v>AGROEP PISCICULTURA LTDA ME</v>
      </c>
      <c r="J5204">
        <f t="shared" si="538"/>
        <v>0</v>
      </c>
      <c r="K5204">
        <f t="shared" si="539"/>
        <v>1</v>
      </c>
    </row>
    <row r="5205" spans="1:11" x14ac:dyDescent="0.25">
      <c r="A5205" t="s">
        <v>687</v>
      </c>
      <c r="B5205" t="s">
        <v>684</v>
      </c>
      <c r="C5205" t="s">
        <v>50</v>
      </c>
      <c r="D5205" s="6">
        <v>45983</v>
      </c>
      <c r="E5205" t="str">
        <f>VLOOKUP(B5205,'PROCV GERENTES BD'!A:B,2,0)</f>
        <v>DALVA</v>
      </c>
      <c r="F5205" s="4" t="str">
        <f t="shared" si="534"/>
        <v>2025-11</v>
      </c>
      <c r="G5205" s="18">
        <f t="shared" si="535"/>
        <v>47</v>
      </c>
      <c r="H5205" t="str">
        <f t="shared" si="536"/>
        <v>DALVA</v>
      </c>
      <c r="I5205" t="str">
        <f t="shared" si="537"/>
        <v>AGUIA DE FOGO PREVENCAO DE INCENDIO LTDA EPP</v>
      </c>
      <c r="J5205">
        <f t="shared" si="538"/>
        <v>0</v>
      </c>
      <c r="K5205">
        <f t="shared" si="539"/>
        <v>1</v>
      </c>
    </row>
    <row r="5206" spans="1:11" x14ac:dyDescent="0.25">
      <c r="A5206" t="s">
        <v>352</v>
      </c>
      <c r="B5206" t="s">
        <v>96</v>
      </c>
      <c r="C5206" t="s">
        <v>50</v>
      </c>
      <c r="D5206" s="6">
        <v>45983</v>
      </c>
      <c r="E5206" t="str">
        <f>VLOOKUP(B5206,'PROCV GERENTES BD'!A:B,2,0)</f>
        <v>POENATELA</v>
      </c>
      <c r="F5206" s="4" t="str">
        <f t="shared" si="534"/>
        <v>2025-11</v>
      </c>
      <c r="G5206" s="18">
        <f t="shared" si="535"/>
        <v>47</v>
      </c>
      <c r="H5206" t="str">
        <f t="shared" si="536"/>
        <v>POENATELA</v>
      </c>
      <c r="I5206" t="str">
        <f t="shared" si="537"/>
        <v>SUPER HARD TECNOLOGIA EM TRATAMENTO DE SUPERFICIES</v>
      </c>
      <c r="J5206">
        <f t="shared" si="538"/>
        <v>0</v>
      </c>
      <c r="K5206">
        <f t="shared" si="539"/>
        <v>1</v>
      </c>
    </row>
    <row r="5207" spans="1:11" x14ac:dyDescent="0.25">
      <c r="A5207" t="s">
        <v>372</v>
      </c>
      <c r="B5207" t="s">
        <v>116</v>
      </c>
      <c r="C5207" t="s">
        <v>50</v>
      </c>
      <c r="D5207" s="6">
        <v>45983</v>
      </c>
      <c r="E5207" t="str">
        <f>VLOOKUP(B5207,'PROCV GERENTES BD'!A:B,2,0)</f>
        <v>ADMINISTRAÇÃO</v>
      </c>
      <c r="F5207" s="4" t="str">
        <f t="shared" si="534"/>
        <v>2025-11</v>
      </c>
      <c r="G5207" s="18">
        <f t="shared" si="535"/>
        <v>47</v>
      </c>
      <c r="H5207" t="str">
        <f t="shared" si="536"/>
        <v>ADMINISTRAÇÃO</v>
      </c>
      <c r="I5207" t="str">
        <f t="shared" si="537"/>
        <v>PREMOLDADOS MATOSINHOS LTDA EPP</v>
      </c>
      <c r="J5207">
        <f t="shared" si="538"/>
        <v>0</v>
      </c>
      <c r="K5207">
        <f t="shared" si="539"/>
        <v>1</v>
      </c>
    </row>
    <row r="5208" spans="1:11" x14ac:dyDescent="0.25">
      <c r="A5208" t="s">
        <v>724</v>
      </c>
      <c r="B5208" t="s">
        <v>725</v>
      </c>
      <c r="C5208" t="s">
        <v>50</v>
      </c>
      <c r="D5208" s="6">
        <v>45983</v>
      </c>
      <c r="E5208" t="str">
        <f>VLOOKUP(B5208,'PROCV GERENTES BD'!A:B,2,0)</f>
        <v xml:space="preserve">ROGERIO </v>
      </c>
      <c r="F5208" s="4" t="str">
        <f t="shared" si="534"/>
        <v>2025-11</v>
      </c>
      <c r="G5208" s="18">
        <f t="shared" si="535"/>
        <v>47</v>
      </c>
      <c r="H5208" t="str">
        <f t="shared" si="536"/>
        <v xml:space="preserve">ROGERIO </v>
      </c>
      <c r="I5208" t="str">
        <f t="shared" si="537"/>
        <v>CONFIARE ADMINISTRACAO E SERVICOS LTDA ME</v>
      </c>
      <c r="J5208">
        <f t="shared" si="538"/>
        <v>0</v>
      </c>
      <c r="K5208">
        <f t="shared" si="539"/>
        <v>1</v>
      </c>
    </row>
    <row r="5209" spans="1:11" x14ac:dyDescent="0.25">
      <c r="A5209" t="s">
        <v>415</v>
      </c>
      <c r="B5209" t="s">
        <v>165</v>
      </c>
      <c r="C5209" t="s">
        <v>50</v>
      </c>
      <c r="D5209" s="6">
        <v>45983</v>
      </c>
      <c r="E5209" t="str">
        <f>VLOOKUP(B5209,'PROCV GERENTES BD'!A:B,2,0)</f>
        <v>PROSPECTAR</v>
      </c>
      <c r="F5209" s="4" t="str">
        <f t="shared" si="534"/>
        <v>2025-11</v>
      </c>
      <c r="G5209" s="18">
        <f t="shared" si="535"/>
        <v>47</v>
      </c>
      <c r="H5209" t="str">
        <f t="shared" si="536"/>
        <v>PROSPECTAR</v>
      </c>
      <c r="I5209" t="str">
        <f t="shared" si="537"/>
        <v>STA SERVICOS LTDA</v>
      </c>
      <c r="J5209">
        <f t="shared" si="538"/>
        <v>0</v>
      </c>
      <c r="K5209">
        <f t="shared" si="539"/>
        <v>1</v>
      </c>
    </row>
    <row r="5210" spans="1:11" x14ac:dyDescent="0.25">
      <c r="A5210" t="s">
        <v>482</v>
      </c>
      <c r="B5210" t="s">
        <v>239</v>
      </c>
      <c r="C5210" t="s">
        <v>66</v>
      </c>
      <c r="D5210" s="6">
        <v>45983</v>
      </c>
      <c r="E5210" t="str">
        <f>VLOOKUP(B5210,'PROCV GERENTES BD'!A:B,2,0)</f>
        <v>RAFAEL PARISE</v>
      </c>
      <c r="F5210" s="4" t="str">
        <f t="shared" si="534"/>
        <v>2025-11</v>
      </c>
      <c r="G5210" s="18">
        <f t="shared" si="535"/>
        <v>47</v>
      </c>
      <c r="H5210" t="str">
        <f t="shared" si="536"/>
        <v>RAFAEL PARISE</v>
      </c>
      <c r="I5210" t="str">
        <f t="shared" si="537"/>
        <v>RENOVAR AGRICOLA LTDA</v>
      </c>
      <c r="J5210">
        <f t="shared" si="538"/>
        <v>1</v>
      </c>
      <c r="K5210">
        <f t="shared" si="539"/>
        <v>0</v>
      </c>
    </row>
    <row r="5211" spans="1:11" x14ac:dyDescent="0.25">
      <c r="A5211" t="s">
        <v>688</v>
      </c>
      <c r="B5211" t="s">
        <v>685</v>
      </c>
      <c r="C5211" t="s">
        <v>66</v>
      </c>
      <c r="D5211" s="6">
        <v>45983</v>
      </c>
      <c r="E5211" t="str">
        <f>VLOOKUP(B5211,'PROCV GERENTES BD'!A:B,2,0)</f>
        <v>PROSPECTAR</v>
      </c>
      <c r="F5211" s="4" t="str">
        <f t="shared" si="534"/>
        <v>2025-11</v>
      </c>
      <c r="G5211" s="18">
        <f t="shared" si="535"/>
        <v>47</v>
      </c>
      <c r="H5211" t="str">
        <f t="shared" si="536"/>
        <v>PROSPECTAR</v>
      </c>
      <c r="I5211" t="str">
        <f t="shared" si="537"/>
        <v>SINERGIKA INDUSTRIA DE ALIMENTOS LTDA</v>
      </c>
      <c r="J5211">
        <f t="shared" si="538"/>
        <v>1</v>
      </c>
      <c r="K5211">
        <f t="shared" si="539"/>
        <v>0</v>
      </c>
    </row>
    <row r="5212" spans="1:11" x14ac:dyDescent="0.25">
      <c r="A5212" t="s">
        <v>660</v>
      </c>
      <c r="B5212" t="s">
        <v>545</v>
      </c>
      <c r="C5212" t="s">
        <v>50</v>
      </c>
      <c r="D5212" s="6">
        <v>45983</v>
      </c>
      <c r="E5212" t="str">
        <f>VLOOKUP(B5212,'PROCV GERENTES BD'!A:B,2,0)</f>
        <v xml:space="preserve">ROGERIO </v>
      </c>
      <c r="F5212" s="4" t="str">
        <f t="shared" si="534"/>
        <v>2025-11</v>
      </c>
      <c r="G5212" s="18">
        <f t="shared" si="535"/>
        <v>47</v>
      </c>
      <c r="H5212" t="str">
        <f t="shared" si="536"/>
        <v xml:space="preserve">ROGERIO </v>
      </c>
      <c r="I5212" t="str">
        <f t="shared" si="537"/>
        <v>DISEP ALIMENTOS LTDA ME</v>
      </c>
      <c r="J5212">
        <f t="shared" si="538"/>
        <v>0</v>
      </c>
      <c r="K5212">
        <f t="shared" si="539"/>
        <v>1</v>
      </c>
    </row>
    <row r="5213" spans="1:11" x14ac:dyDescent="0.25">
      <c r="A5213" t="s">
        <v>714</v>
      </c>
      <c r="B5213" t="s">
        <v>715</v>
      </c>
      <c r="C5213" t="s">
        <v>66</v>
      </c>
      <c r="D5213" s="6">
        <v>45983</v>
      </c>
      <c r="E5213" t="str">
        <f>VLOOKUP(B5213,'PROCV GERENTES BD'!A:B,2,0)</f>
        <v>POENATELA</v>
      </c>
      <c r="F5213" s="4" t="str">
        <f t="shared" si="534"/>
        <v>2025-11</v>
      </c>
      <c r="G5213" s="18">
        <f t="shared" si="535"/>
        <v>47</v>
      </c>
      <c r="H5213" t="str">
        <f t="shared" si="536"/>
        <v>POENATELA</v>
      </c>
      <c r="I5213" t="str">
        <f t="shared" si="537"/>
        <v>PRP TRANSPORTES SERVICOS E LOCACAO DE MAQUINAS LTD</v>
      </c>
      <c r="J5213">
        <f t="shared" si="538"/>
        <v>1</v>
      </c>
      <c r="K5213">
        <f t="shared" si="539"/>
        <v>0</v>
      </c>
    </row>
    <row r="5214" spans="1:11" x14ac:dyDescent="0.25">
      <c r="A5214" t="s">
        <v>722</v>
      </c>
      <c r="B5214" t="s">
        <v>723</v>
      </c>
      <c r="C5214" t="s">
        <v>50</v>
      </c>
      <c r="D5214" s="6">
        <v>45983</v>
      </c>
      <c r="E5214" t="str">
        <f>VLOOKUP(B5214,'PROCV GERENTES BD'!A:B,2,0)</f>
        <v>POENATELA</v>
      </c>
      <c r="F5214" s="4" t="str">
        <f t="shared" si="534"/>
        <v>2025-11</v>
      </c>
      <c r="G5214" s="18">
        <f t="shared" si="535"/>
        <v>47</v>
      </c>
      <c r="H5214" t="str">
        <f t="shared" si="536"/>
        <v>POENATELA</v>
      </c>
      <c r="I5214" t="str">
        <f t="shared" si="537"/>
        <v>LIDER MIX CONCRETOS E AGREGADOS LTDA</v>
      </c>
      <c r="J5214">
        <f t="shared" si="538"/>
        <v>0</v>
      </c>
      <c r="K5214">
        <f t="shared" si="539"/>
        <v>1</v>
      </c>
    </row>
    <row r="5215" spans="1:11" x14ac:dyDescent="0.25">
      <c r="A5215" t="s">
        <v>51</v>
      </c>
      <c r="B5215" t="s">
        <v>52</v>
      </c>
      <c r="C5215" t="s">
        <v>66</v>
      </c>
      <c r="D5215" s="6">
        <v>45983</v>
      </c>
      <c r="E5215" t="str">
        <f>VLOOKUP(B5215,'PROCV GERENTES BD'!A:B,2,0)</f>
        <v>RAFAEL PARISE</v>
      </c>
      <c r="F5215" s="4" t="str">
        <f t="shared" si="534"/>
        <v>2025-11</v>
      </c>
      <c r="G5215" s="18">
        <f t="shared" si="535"/>
        <v>47</v>
      </c>
      <c r="H5215" t="str">
        <f t="shared" si="536"/>
        <v>RAFAEL PARISE</v>
      </c>
      <c r="I5215" t="str">
        <f t="shared" si="537"/>
        <v>TDR TRANSPORTES LOGISTICA LTDA</v>
      </c>
      <c r="J5215">
        <f t="shared" si="538"/>
        <v>1</v>
      </c>
      <c r="K5215">
        <f t="shared" si="539"/>
        <v>0</v>
      </c>
    </row>
    <row r="5216" spans="1:11" x14ac:dyDescent="0.25">
      <c r="A5216" t="s">
        <v>726</v>
      </c>
      <c r="B5216" t="s">
        <v>727</v>
      </c>
      <c r="C5216" t="s">
        <v>50</v>
      </c>
      <c r="D5216" s="6">
        <v>45983</v>
      </c>
      <c r="E5216" t="str">
        <f>VLOOKUP(B5216,'PROCV GERENTES BD'!A:B,2,0)</f>
        <v>POENATELA</v>
      </c>
      <c r="F5216" s="4" t="str">
        <f t="shared" si="534"/>
        <v>2025-11</v>
      </c>
      <c r="G5216" s="18">
        <f t="shared" si="535"/>
        <v>47</v>
      </c>
      <c r="H5216" t="str">
        <f t="shared" si="536"/>
        <v>POENATELA</v>
      </c>
      <c r="I5216" t="str">
        <f t="shared" si="537"/>
        <v>MORAES TRANSPORTES RODOVIARIOS DE CARGAS LTDA</v>
      </c>
      <c r="J5216">
        <f t="shared" si="538"/>
        <v>0</v>
      </c>
      <c r="K5216">
        <f t="shared" si="539"/>
        <v>1</v>
      </c>
    </row>
    <row r="5217" spans="1:11" x14ac:dyDescent="0.25">
      <c r="A5217" t="s">
        <v>434</v>
      </c>
      <c r="B5217" t="s">
        <v>185</v>
      </c>
      <c r="C5217" t="s">
        <v>66</v>
      </c>
      <c r="D5217" s="6">
        <v>45983</v>
      </c>
      <c r="E5217" t="str">
        <f>VLOOKUP(B5217,'PROCV GERENTES BD'!A:B,2,0)</f>
        <v>RAFAEL PARISE</v>
      </c>
      <c r="F5217" s="4" t="str">
        <f t="shared" si="534"/>
        <v>2025-11</v>
      </c>
      <c r="G5217" s="18">
        <f t="shared" si="535"/>
        <v>47</v>
      </c>
      <c r="H5217" t="str">
        <f t="shared" si="536"/>
        <v>RAFAEL PARISE</v>
      </c>
      <c r="I5217" t="str">
        <f t="shared" si="537"/>
        <v>MARCAS COMERCIO LTDA ME</v>
      </c>
      <c r="J5217">
        <f t="shared" si="538"/>
        <v>1</v>
      </c>
      <c r="K5217">
        <f t="shared" si="539"/>
        <v>0</v>
      </c>
    </row>
    <row r="5218" spans="1:11" x14ac:dyDescent="0.25">
      <c r="A5218" t="s">
        <v>361</v>
      </c>
      <c r="B5218" t="s">
        <v>106</v>
      </c>
      <c r="C5218" t="s">
        <v>53</v>
      </c>
      <c r="D5218" s="6">
        <v>45983</v>
      </c>
      <c r="E5218" t="str">
        <f>VLOOKUP(B5218,'PROCV GERENTES BD'!A:B,2,0)</f>
        <v>PRISCILA METZ</v>
      </c>
      <c r="F5218" s="4" t="str">
        <f t="shared" si="534"/>
        <v>2025-11</v>
      </c>
      <c r="G5218" s="18">
        <f t="shared" si="535"/>
        <v>47</v>
      </c>
      <c r="H5218" t="str">
        <f t="shared" si="536"/>
        <v>PRISCILA METZ</v>
      </c>
      <c r="I5218" t="str">
        <f t="shared" si="537"/>
        <v>HERBAMED LABORATORIO NUTRACEUTICO LTDA</v>
      </c>
      <c r="J5218">
        <f t="shared" si="538"/>
        <v>1</v>
      </c>
      <c r="K5218">
        <f t="shared" si="539"/>
        <v>1</v>
      </c>
    </row>
    <row r="5219" spans="1:11" x14ac:dyDescent="0.25">
      <c r="A5219" t="s">
        <v>358</v>
      </c>
      <c r="B5219" t="s">
        <v>104</v>
      </c>
      <c r="C5219" t="s">
        <v>50</v>
      </c>
      <c r="D5219" s="6">
        <v>45983</v>
      </c>
      <c r="E5219" t="str">
        <f>VLOOKUP(B5219,'PROCV GERENTES BD'!A:B,2,0)</f>
        <v>DIOGO AZEVEDO</v>
      </c>
      <c r="F5219" s="4" t="str">
        <f t="shared" si="534"/>
        <v>2025-11</v>
      </c>
      <c r="G5219" s="18">
        <f t="shared" si="535"/>
        <v>47</v>
      </c>
      <c r="H5219" t="str">
        <f t="shared" si="536"/>
        <v>DIOGO AZEVEDO</v>
      </c>
      <c r="I5219" t="str">
        <f t="shared" si="537"/>
        <v>INDUSTRIA E CERVEJARIA ARTESANAL DE MINAS GERAIS L</v>
      </c>
      <c r="J5219">
        <f t="shared" si="538"/>
        <v>0</v>
      </c>
      <c r="K5219">
        <f t="shared" si="539"/>
        <v>1</v>
      </c>
    </row>
    <row r="5220" spans="1:11" x14ac:dyDescent="0.25">
      <c r="A5220" t="s">
        <v>732</v>
      </c>
      <c r="B5220" t="s">
        <v>733</v>
      </c>
      <c r="C5220" t="s">
        <v>50</v>
      </c>
      <c r="D5220" s="6">
        <v>45983</v>
      </c>
      <c r="E5220" t="str">
        <f>VLOOKUP(B5220,'PROCV GERENTES BD'!A:B,2,0)</f>
        <v xml:space="preserve">ROGERIO </v>
      </c>
      <c r="F5220" s="4" t="str">
        <f t="shared" si="534"/>
        <v>2025-11</v>
      </c>
      <c r="G5220" s="18">
        <f t="shared" si="535"/>
        <v>47</v>
      </c>
      <c r="H5220" t="str">
        <f t="shared" si="536"/>
        <v xml:space="preserve">ROGERIO </v>
      </c>
      <c r="I5220" t="str">
        <f t="shared" si="537"/>
        <v>PETRA AGRONEGOCIO LTDA</v>
      </c>
      <c r="J5220">
        <f t="shared" si="538"/>
        <v>0</v>
      </c>
      <c r="K5220">
        <f t="shared" si="539"/>
        <v>1</v>
      </c>
    </row>
    <row r="5221" spans="1:11" x14ac:dyDescent="0.25">
      <c r="A5221" t="s">
        <v>58</v>
      </c>
      <c r="B5221" t="s">
        <v>59</v>
      </c>
      <c r="C5221" t="s">
        <v>50</v>
      </c>
      <c r="D5221" s="6">
        <v>45983</v>
      </c>
      <c r="E5221" t="str">
        <f>VLOOKUP(B5221,'PROCV GERENTES BD'!A:B,2,0)</f>
        <v>ADMINISTRAÇÃO</v>
      </c>
      <c r="F5221" s="4" t="str">
        <f t="shared" si="534"/>
        <v>2025-11</v>
      </c>
      <c r="G5221" s="18">
        <f t="shared" si="535"/>
        <v>47</v>
      </c>
      <c r="H5221" t="str">
        <f t="shared" si="536"/>
        <v>ADMINISTRAÇÃO</v>
      </c>
      <c r="I5221" t="str">
        <f t="shared" si="537"/>
        <v>BIOTECH LOGISTICA LTDA</v>
      </c>
      <c r="J5221">
        <f t="shared" si="538"/>
        <v>0</v>
      </c>
      <c r="K5221">
        <f t="shared" si="539"/>
        <v>1</v>
      </c>
    </row>
    <row r="5222" spans="1:11" x14ac:dyDescent="0.25">
      <c r="A5222" t="s">
        <v>700</v>
      </c>
      <c r="B5222" t="s">
        <v>680</v>
      </c>
      <c r="C5222" t="s">
        <v>50</v>
      </c>
      <c r="D5222" s="6">
        <v>45983</v>
      </c>
      <c r="E5222" t="str">
        <f>VLOOKUP(B5222,'PROCV GERENTES BD'!A:B,2,0)</f>
        <v>POENATELA</v>
      </c>
      <c r="F5222" s="4" t="str">
        <f t="shared" si="534"/>
        <v>2025-11</v>
      </c>
      <c r="G5222" s="18">
        <f t="shared" si="535"/>
        <v>47</v>
      </c>
      <c r="H5222" t="str">
        <f t="shared" si="536"/>
        <v>POENATELA</v>
      </c>
      <c r="I5222" t="str">
        <f t="shared" si="537"/>
        <v>BIORGANICA PRODUTOS ORGANICOS LTDA</v>
      </c>
      <c r="J5222">
        <f t="shared" si="538"/>
        <v>0</v>
      </c>
      <c r="K5222">
        <f t="shared" si="539"/>
        <v>1</v>
      </c>
    </row>
    <row r="5223" spans="1:11" x14ac:dyDescent="0.25">
      <c r="A5223" t="s">
        <v>511</v>
      </c>
      <c r="B5223" t="s">
        <v>274</v>
      </c>
      <c r="C5223" t="s">
        <v>53</v>
      </c>
      <c r="D5223" s="6">
        <v>45983</v>
      </c>
      <c r="E5223" t="str">
        <f>VLOOKUP(B5223,'PROCV GERENTES BD'!A:B,2,0)</f>
        <v>RAFAEL PARISE</v>
      </c>
      <c r="F5223" s="4" t="str">
        <f t="shared" si="534"/>
        <v>2025-11</v>
      </c>
      <c r="G5223" s="18">
        <f t="shared" si="535"/>
        <v>47</v>
      </c>
      <c r="H5223" t="str">
        <f t="shared" si="536"/>
        <v>RAFAEL PARISE</v>
      </c>
      <c r="I5223" t="str">
        <f t="shared" si="537"/>
        <v>ARTE FINAL INDUSTRIA E COMERCIO DE COURO LTDA</v>
      </c>
      <c r="J5223">
        <f t="shared" si="538"/>
        <v>1</v>
      </c>
      <c r="K5223">
        <f t="shared" si="539"/>
        <v>1</v>
      </c>
    </row>
    <row r="5224" spans="1:11" x14ac:dyDescent="0.25">
      <c r="A5224" t="s">
        <v>697</v>
      </c>
      <c r="B5224" t="s">
        <v>695</v>
      </c>
      <c r="C5224" t="s">
        <v>66</v>
      </c>
      <c r="D5224" s="6">
        <v>45986</v>
      </c>
      <c r="E5224" t="str">
        <f>VLOOKUP(B5224,'PROCV GERENTES BD'!A:B,2,0)</f>
        <v>PROSPECTAR</v>
      </c>
      <c r="F5224" s="4" t="str">
        <f t="shared" ref="F5224:F5258" si="540">YEAR(D5224)&amp;"-"&amp;TEXT(MONTH(D5224),"00")</f>
        <v>2025-11</v>
      </c>
      <c r="G5224" s="18">
        <f t="shared" ref="G5224:G5258" si="541">WEEKNUM(D5224)</f>
        <v>48</v>
      </c>
      <c r="H5224" t="str">
        <f t="shared" ref="H5224:H5258" si="542">E5224</f>
        <v>PROSPECTAR</v>
      </c>
      <c r="I5224" t="str">
        <f t="shared" ref="I5224:I5258" si="543">B5224</f>
        <v>GLOBAL PAPEIS EM RECUPERACAO JUDICIAL LTDA</v>
      </c>
      <c r="J5224">
        <f t="shared" ref="J5224:J5258" si="544">IF(OR(C5224="EXCLUSAO  ANOT.INADIMPLENCIA",C5224="INCL/EXCL ANOT.INADIMPLENCIA"),1,0)</f>
        <v>1</v>
      </c>
      <c r="K5224">
        <f t="shared" ref="K5224:K5258" si="545">IF(OR(C5224="INCLUSAO  ANOT.INADIMPLENCIA",C5224="INCL/EXCL ANOT.INADIMPLENCIA"),1,0)</f>
        <v>0</v>
      </c>
    </row>
    <row r="5225" spans="1:11" x14ac:dyDescent="0.25">
      <c r="A5225" t="s">
        <v>716</v>
      </c>
      <c r="B5225" t="s">
        <v>717</v>
      </c>
      <c r="C5225" t="s">
        <v>50</v>
      </c>
      <c r="D5225" s="6">
        <v>45986</v>
      </c>
      <c r="E5225" t="str">
        <f>VLOOKUP(B5225,'PROCV GERENTES BD'!A:B,2,0)</f>
        <v xml:space="preserve">ROGERIO </v>
      </c>
      <c r="F5225" s="4" t="str">
        <f t="shared" si="540"/>
        <v>2025-11</v>
      </c>
      <c r="G5225" s="18">
        <f t="shared" si="541"/>
        <v>48</v>
      </c>
      <c r="H5225" t="str">
        <f t="shared" si="542"/>
        <v xml:space="preserve">ROGERIO </v>
      </c>
      <c r="I5225" t="str">
        <f t="shared" si="543"/>
        <v>CONFIARE TERCERIZACAO LTDA EPP</v>
      </c>
      <c r="J5225">
        <f t="shared" si="544"/>
        <v>0</v>
      </c>
      <c r="K5225">
        <f t="shared" si="545"/>
        <v>1</v>
      </c>
    </row>
    <row r="5226" spans="1:11" x14ac:dyDescent="0.25">
      <c r="A5226" t="s">
        <v>505</v>
      </c>
      <c r="B5226" t="s">
        <v>267</v>
      </c>
      <c r="C5226" t="s">
        <v>50</v>
      </c>
      <c r="D5226" s="6">
        <v>45986</v>
      </c>
      <c r="E5226" t="str">
        <f>VLOOKUP(B5226,'PROCV GERENTES BD'!A:B,2,0)</f>
        <v>PRISCILA METZ</v>
      </c>
      <c r="F5226" s="4" t="str">
        <f t="shared" si="540"/>
        <v>2025-11</v>
      </c>
      <c r="G5226" s="18">
        <f t="shared" si="541"/>
        <v>48</v>
      </c>
      <c r="H5226" t="str">
        <f t="shared" si="542"/>
        <v>PRISCILA METZ</v>
      </c>
      <c r="I5226" t="str">
        <f t="shared" si="543"/>
        <v>REAL DISTRIBUIDORA DE PRODUTOS PARA MARMORARIA LTD</v>
      </c>
      <c r="J5226">
        <f t="shared" si="544"/>
        <v>0</v>
      </c>
      <c r="K5226">
        <f t="shared" si="545"/>
        <v>1</v>
      </c>
    </row>
    <row r="5227" spans="1:11" x14ac:dyDescent="0.25">
      <c r="A5227" t="s">
        <v>630</v>
      </c>
      <c r="B5227" t="s">
        <v>559</v>
      </c>
      <c r="C5227" t="s">
        <v>50</v>
      </c>
      <c r="D5227" s="6">
        <v>45986</v>
      </c>
      <c r="E5227" t="str">
        <f>VLOOKUP(B5227,'PROCV GERENTES BD'!A:B,2,0)</f>
        <v>ALISSON DE SOUZA LIMA</v>
      </c>
      <c r="F5227" s="4" t="str">
        <f t="shared" si="540"/>
        <v>2025-11</v>
      </c>
      <c r="G5227" s="18">
        <f t="shared" si="541"/>
        <v>48</v>
      </c>
      <c r="H5227" t="str">
        <f t="shared" si="542"/>
        <v>ALISSON DE SOUZA LIMA</v>
      </c>
      <c r="I5227" t="str">
        <f t="shared" si="543"/>
        <v>JRG SOLUCOES INDUSTRIAIS LTDA</v>
      </c>
      <c r="J5227">
        <f t="shared" si="544"/>
        <v>0</v>
      </c>
      <c r="K5227">
        <f t="shared" si="545"/>
        <v>1</v>
      </c>
    </row>
    <row r="5228" spans="1:11" x14ac:dyDescent="0.25">
      <c r="A5228" t="s">
        <v>74</v>
      </c>
      <c r="B5228" t="s">
        <v>75</v>
      </c>
      <c r="C5228" t="s">
        <v>66</v>
      </c>
      <c r="D5228" s="6">
        <v>45986</v>
      </c>
      <c r="E5228" t="str">
        <f>VLOOKUP(B5228,'PROCV GERENTES BD'!A:B,2,0)</f>
        <v>CAIO</v>
      </c>
      <c r="F5228" s="4" t="str">
        <f t="shared" si="540"/>
        <v>2025-11</v>
      </c>
      <c r="G5228" s="18">
        <f t="shared" si="541"/>
        <v>48</v>
      </c>
      <c r="H5228" t="str">
        <f t="shared" si="542"/>
        <v>CAIO</v>
      </c>
      <c r="I5228" t="str">
        <f t="shared" si="543"/>
        <v>TP DISTRIBUIDORA DE PECAS LTDA EPP</v>
      </c>
      <c r="J5228">
        <f t="shared" si="544"/>
        <v>1</v>
      </c>
      <c r="K5228">
        <f t="shared" si="545"/>
        <v>0</v>
      </c>
    </row>
    <row r="5229" spans="1:11" x14ac:dyDescent="0.25">
      <c r="A5229" t="s">
        <v>370</v>
      </c>
      <c r="B5229" t="s">
        <v>114</v>
      </c>
      <c r="C5229" t="s">
        <v>50</v>
      </c>
      <c r="D5229" s="6">
        <v>45986</v>
      </c>
      <c r="E5229" t="str">
        <f>VLOOKUP(B5229,'PROCV GERENTES BD'!A:B,2,0)</f>
        <v>POENATELA</v>
      </c>
      <c r="F5229" s="4" t="str">
        <f t="shared" si="540"/>
        <v>2025-11</v>
      </c>
      <c r="G5229" s="18">
        <f t="shared" si="541"/>
        <v>48</v>
      </c>
      <c r="H5229" t="str">
        <f t="shared" si="542"/>
        <v>POENATELA</v>
      </c>
      <c r="I5229" t="str">
        <f t="shared" si="543"/>
        <v>COOPERATIVA TRANSP AUTON CARGAS PASSAG SERVICOS LO</v>
      </c>
      <c r="J5229">
        <f t="shared" si="544"/>
        <v>0</v>
      </c>
      <c r="K5229">
        <f t="shared" si="545"/>
        <v>1</v>
      </c>
    </row>
    <row r="5230" spans="1:11" x14ac:dyDescent="0.25">
      <c r="A5230" t="s">
        <v>661</v>
      </c>
      <c r="B5230" t="s">
        <v>662</v>
      </c>
      <c r="C5230" t="s">
        <v>50</v>
      </c>
      <c r="D5230" s="6">
        <v>45986</v>
      </c>
      <c r="E5230" t="str">
        <f>VLOOKUP(B5230,'PROCV GERENTES BD'!A:B,2,0)</f>
        <v>PRISCILA METZ</v>
      </c>
      <c r="F5230" s="4" t="str">
        <f t="shared" si="540"/>
        <v>2025-11</v>
      </c>
      <c r="G5230" s="18">
        <f t="shared" si="541"/>
        <v>48</v>
      </c>
      <c r="H5230" t="str">
        <f t="shared" si="542"/>
        <v>PRISCILA METZ</v>
      </c>
      <c r="I5230" t="str">
        <f t="shared" si="543"/>
        <v>LIDER DISTRIBUIDORA DE MOVEIS E EQUIPAMENTOS PARA</v>
      </c>
      <c r="J5230">
        <f t="shared" si="544"/>
        <v>0</v>
      </c>
      <c r="K5230">
        <f t="shared" si="545"/>
        <v>1</v>
      </c>
    </row>
    <row r="5231" spans="1:11" x14ac:dyDescent="0.25">
      <c r="A5231" t="s">
        <v>708</v>
      </c>
      <c r="B5231" t="s">
        <v>570</v>
      </c>
      <c r="C5231" t="s">
        <v>50</v>
      </c>
      <c r="D5231" s="6">
        <v>45986</v>
      </c>
      <c r="E5231" t="str">
        <f>VLOOKUP(B5231,'PROCV GERENTES BD'!A:B,2,0)</f>
        <v>RAFAEL PARISE</v>
      </c>
      <c r="F5231" s="4" t="str">
        <f t="shared" si="540"/>
        <v>2025-11</v>
      </c>
      <c r="G5231" s="18">
        <f t="shared" si="541"/>
        <v>48</v>
      </c>
      <c r="H5231" t="str">
        <f t="shared" si="542"/>
        <v>RAFAEL PARISE</v>
      </c>
      <c r="I5231" t="str">
        <f t="shared" si="543"/>
        <v>NITROTEX INDUSTRIA E COMERCIO TEXTEIS LTDA ME</v>
      </c>
      <c r="J5231">
        <f t="shared" si="544"/>
        <v>0</v>
      </c>
      <c r="K5231">
        <f t="shared" si="545"/>
        <v>1</v>
      </c>
    </row>
    <row r="5232" spans="1:11" x14ac:dyDescent="0.25">
      <c r="A5232" t="s">
        <v>655</v>
      </c>
      <c r="B5232" t="s">
        <v>548</v>
      </c>
      <c r="C5232" t="s">
        <v>50</v>
      </c>
      <c r="D5232" s="6">
        <v>45986</v>
      </c>
      <c r="E5232" t="str">
        <f>VLOOKUP(B5232,'PROCV GERENTES BD'!A:B,2,0)</f>
        <v xml:space="preserve">ROGERIO </v>
      </c>
      <c r="F5232" s="4" t="str">
        <f t="shared" si="540"/>
        <v>2025-11</v>
      </c>
      <c r="G5232" s="18">
        <f t="shared" si="541"/>
        <v>48</v>
      </c>
      <c r="H5232" t="str">
        <f t="shared" si="542"/>
        <v xml:space="preserve">ROGERIO </v>
      </c>
      <c r="I5232" t="str">
        <f t="shared" si="543"/>
        <v>AGROEP PISCICULTURA LTDA ME</v>
      </c>
      <c r="J5232">
        <f t="shared" si="544"/>
        <v>0</v>
      </c>
      <c r="K5232">
        <f t="shared" si="545"/>
        <v>1</v>
      </c>
    </row>
    <row r="5233" spans="1:11" x14ac:dyDescent="0.25">
      <c r="A5233" t="s">
        <v>488</v>
      </c>
      <c r="B5233" t="s">
        <v>247</v>
      </c>
      <c r="C5233" t="s">
        <v>50</v>
      </c>
      <c r="D5233" s="6">
        <v>45986</v>
      </c>
      <c r="E5233" t="str">
        <f>VLOOKUP(B5233,'PROCV GERENTES BD'!A:B,2,0)</f>
        <v>CELIO PIMENTA</v>
      </c>
      <c r="F5233" s="4" t="str">
        <f t="shared" si="540"/>
        <v>2025-11</v>
      </c>
      <c r="G5233" s="18">
        <f t="shared" si="541"/>
        <v>48</v>
      </c>
      <c r="H5233" t="str">
        <f t="shared" si="542"/>
        <v>CELIO PIMENTA</v>
      </c>
      <c r="I5233" t="str">
        <f t="shared" si="543"/>
        <v>AZ HIDRAULICA USINAGEM LTDA EPP</v>
      </c>
      <c r="J5233">
        <f t="shared" si="544"/>
        <v>0</v>
      </c>
      <c r="K5233">
        <f t="shared" si="545"/>
        <v>1</v>
      </c>
    </row>
    <row r="5234" spans="1:11" x14ac:dyDescent="0.25">
      <c r="A5234" t="s">
        <v>314</v>
      </c>
      <c r="B5234" t="s">
        <v>246</v>
      </c>
      <c r="C5234" t="s">
        <v>50</v>
      </c>
      <c r="D5234" s="6">
        <v>45986</v>
      </c>
      <c r="E5234" t="str">
        <f>VLOOKUP(B5234,'PROCV GERENTES BD'!A:B,2,0)</f>
        <v xml:space="preserve">ROGERIO </v>
      </c>
      <c r="F5234" s="4" t="str">
        <f t="shared" si="540"/>
        <v>2025-11</v>
      </c>
      <c r="G5234" s="18">
        <f t="shared" si="541"/>
        <v>48</v>
      </c>
      <c r="H5234" t="str">
        <f t="shared" si="542"/>
        <v xml:space="preserve">ROGERIO </v>
      </c>
      <c r="I5234" t="str">
        <f t="shared" si="543"/>
        <v>MUTCD CENTRO DE DISTRIBUICAO DE IND FABRICANTE DE</v>
      </c>
      <c r="J5234">
        <f t="shared" si="544"/>
        <v>0</v>
      </c>
      <c r="K5234">
        <f t="shared" si="545"/>
        <v>1</v>
      </c>
    </row>
    <row r="5235" spans="1:11" x14ac:dyDescent="0.25">
      <c r="A5235" t="s">
        <v>667</v>
      </c>
      <c r="B5235" t="s">
        <v>560</v>
      </c>
      <c r="C5235" t="s">
        <v>53</v>
      </c>
      <c r="D5235" s="6">
        <v>45986</v>
      </c>
      <c r="E5235" t="str">
        <f>VLOOKUP(B5235,'PROCV GERENTES BD'!A:B,2,0)</f>
        <v>ALISSON DE SOUZA LIMA</v>
      </c>
      <c r="F5235" s="4" t="str">
        <f t="shared" si="540"/>
        <v>2025-11</v>
      </c>
      <c r="G5235" s="18">
        <f t="shared" si="541"/>
        <v>48</v>
      </c>
      <c r="H5235" t="str">
        <f t="shared" si="542"/>
        <v>ALISSON DE SOUZA LIMA</v>
      </c>
      <c r="I5235" t="str">
        <f t="shared" si="543"/>
        <v>JRG SOLUCOES EM SERVICOS LTDA ME</v>
      </c>
      <c r="J5235">
        <f t="shared" si="544"/>
        <v>1</v>
      </c>
      <c r="K5235">
        <f t="shared" si="545"/>
        <v>1</v>
      </c>
    </row>
    <row r="5236" spans="1:11" x14ac:dyDescent="0.25">
      <c r="A5236" t="s">
        <v>508</v>
      </c>
      <c r="B5236" t="s">
        <v>271</v>
      </c>
      <c r="C5236" t="s">
        <v>50</v>
      </c>
      <c r="D5236" s="6">
        <v>45986</v>
      </c>
      <c r="E5236" t="str">
        <f>VLOOKUP(B5236,'PROCV GERENTES BD'!A:B,2,0)</f>
        <v>PRISCILA METZ</v>
      </c>
      <c r="F5236" s="4" t="str">
        <f t="shared" si="540"/>
        <v>2025-11</v>
      </c>
      <c r="G5236" s="18">
        <f t="shared" si="541"/>
        <v>48</v>
      </c>
      <c r="H5236" t="str">
        <f t="shared" si="542"/>
        <v>PRISCILA METZ</v>
      </c>
      <c r="I5236" t="str">
        <f t="shared" si="543"/>
        <v>TUBOLARES VITORIA INDUSTRIA E COMERCIO LTDA ME</v>
      </c>
      <c r="J5236">
        <f t="shared" si="544"/>
        <v>0</v>
      </c>
      <c r="K5236">
        <f t="shared" si="545"/>
        <v>1</v>
      </c>
    </row>
    <row r="5237" spans="1:11" x14ac:dyDescent="0.25">
      <c r="A5237" t="s">
        <v>653</v>
      </c>
      <c r="B5237" t="s">
        <v>566</v>
      </c>
      <c r="C5237" t="s">
        <v>53</v>
      </c>
      <c r="D5237" s="6">
        <v>45986</v>
      </c>
      <c r="E5237" t="str">
        <f>VLOOKUP(B5237,'PROCV GERENTES BD'!A:B,2,0)</f>
        <v>DIOGO AZEVEDO</v>
      </c>
      <c r="F5237" s="4" t="str">
        <f t="shared" si="540"/>
        <v>2025-11</v>
      </c>
      <c r="G5237" s="18">
        <f t="shared" si="541"/>
        <v>48</v>
      </c>
      <c r="H5237" t="str">
        <f t="shared" si="542"/>
        <v>DIOGO AZEVEDO</v>
      </c>
      <c r="I5237" t="str">
        <f t="shared" si="543"/>
        <v>MILK LAT LTDA EPP</v>
      </c>
      <c r="J5237">
        <f t="shared" si="544"/>
        <v>1</v>
      </c>
      <c r="K5237">
        <f t="shared" si="545"/>
        <v>1</v>
      </c>
    </row>
    <row r="5238" spans="1:11" x14ac:dyDescent="0.25">
      <c r="A5238" t="s">
        <v>460</v>
      </c>
      <c r="B5238" t="s">
        <v>217</v>
      </c>
      <c r="C5238" t="s">
        <v>50</v>
      </c>
      <c r="D5238" s="6">
        <v>45986</v>
      </c>
      <c r="E5238" t="str">
        <f>VLOOKUP(B5238,'PROCV GERENTES BD'!A:B,2,0)</f>
        <v>CELIO PIMENTA</v>
      </c>
      <c r="F5238" s="4" t="str">
        <f t="shared" si="540"/>
        <v>2025-11</v>
      </c>
      <c r="G5238" s="18">
        <f t="shared" si="541"/>
        <v>48</v>
      </c>
      <c r="H5238" t="str">
        <f t="shared" si="542"/>
        <v>CELIO PIMENTA</v>
      </c>
      <c r="I5238" t="str">
        <f t="shared" si="543"/>
        <v>MINAS CLEAN DISTRIBUIDORA DE PRODUTOS PARA LIMPEZA</v>
      </c>
      <c r="J5238">
        <f t="shared" si="544"/>
        <v>0</v>
      </c>
      <c r="K5238">
        <f t="shared" si="545"/>
        <v>1</v>
      </c>
    </row>
    <row r="5239" spans="1:11" x14ac:dyDescent="0.25">
      <c r="A5239" t="s">
        <v>478</v>
      </c>
      <c r="B5239" t="s">
        <v>235</v>
      </c>
      <c r="C5239" t="s">
        <v>50</v>
      </c>
      <c r="D5239" s="6">
        <v>45986</v>
      </c>
      <c r="E5239" t="str">
        <f>VLOOKUP(B5239,'PROCV GERENTES BD'!A:B,2,0)</f>
        <v>PROSPECTAR</v>
      </c>
      <c r="F5239" s="4" t="str">
        <f t="shared" si="540"/>
        <v>2025-11</v>
      </c>
      <c r="G5239" s="18">
        <f t="shared" si="541"/>
        <v>48</v>
      </c>
      <c r="H5239" t="str">
        <f t="shared" si="542"/>
        <v>PROSPECTAR</v>
      </c>
      <c r="I5239" t="str">
        <f t="shared" si="543"/>
        <v>NUTRIENS FERTIL LTDA ME</v>
      </c>
      <c r="J5239">
        <f t="shared" si="544"/>
        <v>0</v>
      </c>
      <c r="K5239">
        <f t="shared" si="545"/>
        <v>1</v>
      </c>
    </row>
    <row r="5240" spans="1:11" x14ac:dyDescent="0.25">
      <c r="A5240" t="s">
        <v>510</v>
      </c>
      <c r="B5240" t="s">
        <v>273</v>
      </c>
      <c r="C5240" t="s">
        <v>50</v>
      </c>
      <c r="D5240" s="6">
        <v>45986</v>
      </c>
      <c r="E5240" t="str">
        <f>VLOOKUP(B5240,'PROCV GERENTES BD'!A:B,2,0)</f>
        <v>CELIO PIMENTA</v>
      </c>
      <c r="F5240" s="4" t="str">
        <f t="shared" si="540"/>
        <v>2025-11</v>
      </c>
      <c r="G5240" s="18">
        <f t="shared" si="541"/>
        <v>48</v>
      </c>
      <c r="H5240" t="str">
        <f t="shared" si="542"/>
        <v>CELIO PIMENTA</v>
      </c>
      <c r="I5240" t="str">
        <f t="shared" si="543"/>
        <v>PRADO MOREIRA TEXTIL LTDA ME</v>
      </c>
      <c r="J5240">
        <f t="shared" si="544"/>
        <v>0</v>
      </c>
      <c r="K5240">
        <f t="shared" si="545"/>
        <v>1</v>
      </c>
    </row>
    <row r="5241" spans="1:11" x14ac:dyDescent="0.25">
      <c r="A5241" t="s">
        <v>442</v>
      </c>
      <c r="B5241" t="s">
        <v>193</v>
      </c>
      <c r="C5241" t="s">
        <v>50</v>
      </c>
      <c r="D5241" s="6">
        <v>45986</v>
      </c>
      <c r="E5241" t="str">
        <f>VLOOKUP(B5241,'PROCV GERENTES BD'!A:B,2,0)</f>
        <v>CELIO PIMENTA</v>
      </c>
      <c r="F5241" s="4" t="str">
        <f t="shared" si="540"/>
        <v>2025-11</v>
      </c>
      <c r="G5241" s="18">
        <f t="shared" si="541"/>
        <v>48</v>
      </c>
      <c r="H5241" t="str">
        <f t="shared" si="542"/>
        <v>CELIO PIMENTA</v>
      </c>
      <c r="I5241" t="str">
        <f t="shared" si="543"/>
        <v>CIA TEXTIL LTDA ME</v>
      </c>
      <c r="J5241">
        <f t="shared" si="544"/>
        <v>0</v>
      </c>
      <c r="K5241">
        <f t="shared" si="545"/>
        <v>1</v>
      </c>
    </row>
    <row r="5242" spans="1:11" x14ac:dyDescent="0.25">
      <c r="A5242" t="s">
        <v>499</v>
      </c>
      <c r="B5242" t="s">
        <v>258</v>
      </c>
      <c r="C5242" t="s">
        <v>50</v>
      </c>
      <c r="D5242" s="6">
        <v>45986</v>
      </c>
      <c r="E5242" t="str">
        <f>VLOOKUP(B5242,'PROCV GERENTES BD'!A:B,2,0)</f>
        <v>PRISCILA METZ</v>
      </c>
      <c r="F5242" s="4" t="str">
        <f t="shared" si="540"/>
        <v>2025-11</v>
      </c>
      <c r="G5242" s="18">
        <f t="shared" si="541"/>
        <v>48</v>
      </c>
      <c r="H5242" t="str">
        <f t="shared" si="542"/>
        <v>PRISCILA METZ</v>
      </c>
      <c r="I5242" t="str">
        <f t="shared" si="543"/>
        <v>PLATINUM INDUSTRIA DE CONFECCOES LTDA</v>
      </c>
      <c r="J5242">
        <f t="shared" si="544"/>
        <v>0</v>
      </c>
      <c r="K5242">
        <f t="shared" si="545"/>
        <v>1</v>
      </c>
    </row>
    <row r="5243" spans="1:11" x14ac:dyDescent="0.25">
      <c r="A5243" t="s">
        <v>311</v>
      </c>
      <c r="B5243" t="s">
        <v>81</v>
      </c>
      <c r="C5243" t="s">
        <v>50</v>
      </c>
      <c r="D5243" s="6">
        <v>45986</v>
      </c>
      <c r="E5243" t="str">
        <f>VLOOKUP(B5243,'PROCV GERENTES BD'!A:B,2,0)</f>
        <v>CELIO PIMENTA</v>
      </c>
      <c r="F5243" s="4" t="str">
        <f t="shared" si="540"/>
        <v>2025-11</v>
      </c>
      <c r="G5243" s="18">
        <f t="shared" si="541"/>
        <v>48</v>
      </c>
      <c r="H5243" t="str">
        <f t="shared" si="542"/>
        <v>CELIO PIMENTA</v>
      </c>
      <c r="I5243" t="str">
        <f t="shared" si="543"/>
        <v>MBIOLOG DIAGNOSTICOS LTDA</v>
      </c>
      <c r="J5243">
        <f t="shared" si="544"/>
        <v>0</v>
      </c>
      <c r="K5243">
        <f t="shared" si="545"/>
        <v>1</v>
      </c>
    </row>
    <row r="5244" spans="1:11" x14ac:dyDescent="0.25">
      <c r="A5244" t="s">
        <v>306</v>
      </c>
      <c r="B5244" t="s">
        <v>266</v>
      </c>
      <c r="C5244" t="s">
        <v>66</v>
      </c>
      <c r="D5244" s="6">
        <v>45986</v>
      </c>
      <c r="E5244" t="str">
        <f>VLOOKUP(B5244,'PROCV GERENTES BD'!A:B,2,0)</f>
        <v>CAIO</v>
      </c>
      <c r="F5244" s="4" t="str">
        <f t="shared" si="540"/>
        <v>2025-11</v>
      </c>
      <c r="G5244" s="18">
        <f t="shared" si="541"/>
        <v>48</v>
      </c>
      <c r="H5244" t="str">
        <f t="shared" si="542"/>
        <v>CAIO</v>
      </c>
      <c r="I5244" t="str">
        <f t="shared" si="543"/>
        <v>MECALD MECANICA E CALDEIRARIA LTDA EPP</v>
      </c>
      <c r="J5244">
        <f t="shared" si="544"/>
        <v>1</v>
      </c>
      <c r="K5244">
        <f t="shared" si="545"/>
        <v>0</v>
      </c>
    </row>
    <row r="5245" spans="1:11" x14ac:dyDescent="0.25">
      <c r="A5245" t="s">
        <v>660</v>
      </c>
      <c r="B5245" t="s">
        <v>545</v>
      </c>
      <c r="C5245" t="s">
        <v>50</v>
      </c>
      <c r="D5245" s="6">
        <v>45986</v>
      </c>
      <c r="E5245" t="str">
        <f>VLOOKUP(B5245,'PROCV GERENTES BD'!A:B,2,0)</f>
        <v xml:space="preserve">ROGERIO </v>
      </c>
      <c r="F5245" s="4" t="str">
        <f t="shared" si="540"/>
        <v>2025-11</v>
      </c>
      <c r="G5245" s="18">
        <f t="shared" si="541"/>
        <v>48</v>
      </c>
      <c r="H5245" t="str">
        <f t="shared" si="542"/>
        <v xml:space="preserve">ROGERIO </v>
      </c>
      <c r="I5245" t="str">
        <f t="shared" si="543"/>
        <v>DISEP ALIMENTOS LTDA ME</v>
      </c>
      <c r="J5245">
        <f t="shared" si="544"/>
        <v>0</v>
      </c>
      <c r="K5245">
        <f t="shared" si="545"/>
        <v>1</v>
      </c>
    </row>
    <row r="5246" spans="1:11" x14ac:dyDescent="0.25">
      <c r="A5246" t="s">
        <v>700</v>
      </c>
      <c r="B5246" t="s">
        <v>680</v>
      </c>
      <c r="C5246" t="s">
        <v>50</v>
      </c>
      <c r="D5246" s="6">
        <v>45986</v>
      </c>
      <c r="E5246" t="str">
        <f>VLOOKUP(B5246,'PROCV GERENTES BD'!A:B,2,0)</f>
        <v>POENATELA</v>
      </c>
      <c r="F5246" s="4" t="str">
        <f t="shared" si="540"/>
        <v>2025-11</v>
      </c>
      <c r="G5246" s="18">
        <f t="shared" si="541"/>
        <v>48</v>
      </c>
      <c r="H5246" t="str">
        <f t="shared" si="542"/>
        <v>POENATELA</v>
      </c>
      <c r="I5246" t="str">
        <f t="shared" si="543"/>
        <v>BIORGANICA PRODUTOS ORGANICOS LTDA</v>
      </c>
      <c r="J5246">
        <f t="shared" si="544"/>
        <v>0</v>
      </c>
      <c r="K5246">
        <f t="shared" si="545"/>
        <v>1</v>
      </c>
    </row>
    <row r="5247" spans="1:11" x14ac:dyDescent="0.25">
      <c r="A5247" t="s">
        <v>387</v>
      </c>
      <c r="B5247" t="s">
        <v>134</v>
      </c>
      <c r="C5247" t="s">
        <v>50</v>
      </c>
      <c r="D5247" s="6">
        <v>45986</v>
      </c>
      <c r="E5247" t="str">
        <f>VLOOKUP(B5247,'PROCV GERENTES BD'!A:B,2,0)</f>
        <v>RAFAEL PARISE</v>
      </c>
      <c r="F5247" s="4" t="str">
        <f t="shared" si="540"/>
        <v>2025-11</v>
      </c>
      <c r="G5247" s="18">
        <f t="shared" si="541"/>
        <v>48</v>
      </c>
      <c r="H5247" t="str">
        <f t="shared" si="542"/>
        <v>RAFAEL PARISE</v>
      </c>
      <c r="I5247" t="str">
        <f t="shared" si="543"/>
        <v>MAIS DISTRIBUIDORA LTDA</v>
      </c>
      <c r="J5247">
        <f t="shared" si="544"/>
        <v>0</v>
      </c>
      <c r="K5247">
        <f t="shared" si="545"/>
        <v>1</v>
      </c>
    </row>
    <row r="5248" spans="1:11" x14ac:dyDescent="0.25">
      <c r="A5248" t="s">
        <v>322</v>
      </c>
      <c r="B5248" t="s">
        <v>294</v>
      </c>
      <c r="C5248" t="s">
        <v>50</v>
      </c>
      <c r="D5248" s="6">
        <v>45986</v>
      </c>
      <c r="E5248" t="str">
        <f>VLOOKUP(B5248,'PROCV GERENTES BD'!A:B,2,0)</f>
        <v>CAIO</v>
      </c>
      <c r="F5248" s="4" t="str">
        <f t="shared" si="540"/>
        <v>2025-11</v>
      </c>
      <c r="G5248" s="18">
        <f t="shared" si="541"/>
        <v>48</v>
      </c>
      <c r="H5248" t="str">
        <f t="shared" si="542"/>
        <v>CAIO</v>
      </c>
      <c r="I5248" t="str">
        <f t="shared" si="543"/>
        <v>LAF COMERCIAL LTDA ME</v>
      </c>
      <c r="J5248">
        <f t="shared" si="544"/>
        <v>0</v>
      </c>
      <c r="K5248">
        <f t="shared" si="545"/>
        <v>1</v>
      </c>
    </row>
    <row r="5249" spans="1:11" x14ac:dyDescent="0.25">
      <c r="A5249" t="s">
        <v>64</v>
      </c>
      <c r="B5249" t="s">
        <v>65</v>
      </c>
      <c r="C5249" t="s">
        <v>50</v>
      </c>
      <c r="D5249" s="6">
        <v>45986</v>
      </c>
      <c r="E5249" t="str">
        <f>VLOOKUP(B5249,'PROCV GERENTES BD'!A:B,2,0)</f>
        <v>ADMINISTRAÇÃO</v>
      </c>
      <c r="F5249" s="4" t="str">
        <f t="shared" si="540"/>
        <v>2025-11</v>
      </c>
      <c r="G5249" s="18">
        <f t="shared" si="541"/>
        <v>48</v>
      </c>
      <c r="H5249" t="str">
        <f t="shared" si="542"/>
        <v>ADMINISTRAÇÃO</v>
      </c>
      <c r="I5249" t="str">
        <f t="shared" si="543"/>
        <v>SOCIAL S/A</v>
      </c>
      <c r="J5249">
        <f t="shared" si="544"/>
        <v>0</v>
      </c>
      <c r="K5249">
        <f t="shared" si="545"/>
        <v>1</v>
      </c>
    </row>
    <row r="5250" spans="1:11" x14ac:dyDescent="0.25">
      <c r="A5250" t="s">
        <v>698</v>
      </c>
      <c r="B5250" t="s">
        <v>699</v>
      </c>
      <c r="C5250" t="s">
        <v>50</v>
      </c>
      <c r="D5250" s="6">
        <v>45986</v>
      </c>
      <c r="E5250" t="str">
        <f>VLOOKUP(B5250,'PROCV GERENTES BD'!A:B,2,0)</f>
        <v>VALERIA</v>
      </c>
      <c r="F5250" s="4" t="str">
        <f t="shared" si="540"/>
        <v>2025-11</v>
      </c>
      <c r="G5250" s="18">
        <f t="shared" si="541"/>
        <v>48</v>
      </c>
      <c r="H5250" t="str">
        <f t="shared" si="542"/>
        <v>VALERIA</v>
      </c>
      <c r="I5250" t="str">
        <f t="shared" si="543"/>
        <v>FRIGORIFICO BRAZFRIG INDUSTRIA E IMPORTACAO LTDA E</v>
      </c>
      <c r="J5250">
        <f t="shared" si="544"/>
        <v>0</v>
      </c>
      <c r="K5250">
        <f t="shared" si="545"/>
        <v>1</v>
      </c>
    </row>
    <row r="5251" spans="1:11" x14ac:dyDescent="0.25">
      <c r="A5251" t="s">
        <v>331</v>
      </c>
      <c r="B5251" t="s">
        <v>144</v>
      </c>
      <c r="C5251" t="s">
        <v>53</v>
      </c>
      <c r="D5251" s="6">
        <v>45986</v>
      </c>
      <c r="E5251" t="str">
        <f>VLOOKUP(B5251,'PROCV GERENTES BD'!A:B,2,0)</f>
        <v>ADMINISTRAÇÃO</v>
      </c>
      <c r="F5251" s="4" t="str">
        <f t="shared" si="540"/>
        <v>2025-11</v>
      </c>
      <c r="G5251" s="18">
        <f t="shared" si="541"/>
        <v>48</v>
      </c>
      <c r="H5251" t="str">
        <f t="shared" si="542"/>
        <v>ADMINISTRAÇÃO</v>
      </c>
      <c r="I5251" t="str">
        <f t="shared" si="543"/>
        <v>BOM PASTOR PAPEIS LTDA EM RECUPERACAO JUDICIAL</v>
      </c>
      <c r="J5251">
        <f t="shared" si="544"/>
        <v>1</v>
      </c>
      <c r="K5251">
        <f t="shared" si="545"/>
        <v>1</v>
      </c>
    </row>
    <row r="5252" spans="1:11" x14ac:dyDescent="0.25">
      <c r="A5252" t="s">
        <v>58</v>
      </c>
      <c r="B5252" t="s">
        <v>59</v>
      </c>
      <c r="C5252" t="s">
        <v>53</v>
      </c>
      <c r="D5252" s="6">
        <v>45986</v>
      </c>
      <c r="E5252" t="str">
        <f>VLOOKUP(B5252,'PROCV GERENTES BD'!A:B,2,0)</f>
        <v>ADMINISTRAÇÃO</v>
      </c>
      <c r="F5252" s="4" t="str">
        <f t="shared" si="540"/>
        <v>2025-11</v>
      </c>
      <c r="G5252" s="18">
        <f t="shared" si="541"/>
        <v>48</v>
      </c>
      <c r="H5252" t="str">
        <f t="shared" si="542"/>
        <v>ADMINISTRAÇÃO</v>
      </c>
      <c r="I5252" t="str">
        <f t="shared" si="543"/>
        <v>BIOTECH LOGISTICA LTDA</v>
      </c>
      <c r="J5252">
        <f t="shared" si="544"/>
        <v>1</v>
      </c>
      <c r="K5252">
        <f t="shared" si="545"/>
        <v>1</v>
      </c>
    </row>
    <row r="5253" spans="1:11" x14ac:dyDescent="0.25">
      <c r="A5253" t="s">
        <v>372</v>
      </c>
      <c r="B5253" t="s">
        <v>116</v>
      </c>
      <c r="C5253" t="s">
        <v>50</v>
      </c>
      <c r="D5253" s="6">
        <v>45986</v>
      </c>
      <c r="E5253" t="str">
        <f>VLOOKUP(B5253,'PROCV GERENTES BD'!A:B,2,0)</f>
        <v>ADMINISTRAÇÃO</v>
      </c>
      <c r="F5253" s="4" t="str">
        <f t="shared" si="540"/>
        <v>2025-11</v>
      </c>
      <c r="G5253" s="18">
        <f t="shared" si="541"/>
        <v>48</v>
      </c>
      <c r="H5253" t="str">
        <f t="shared" si="542"/>
        <v>ADMINISTRAÇÃO</v>
      </c>
      <c r="I5253" t="str">
        <f t="shared" si="543"/>
        <v>PREMOLDADOS MATOSINHOS LTDA EPP</v>
      </c>
      <c r="J5253">
        <f t="shared" si="544"/>
        <v>0</v>
      </c>
      <c r="K5253">
        <f t="shared" si="545"/>
        <v>1</v>
      </c>
    </row>
    <row r="5254" spans="1:11" x14ac:dyDescent="0.25">
      <c r="A5254" t="s">
        <v>355</v>
      </c>
      <c r="B5254" t="s">
        <v>100</v>
      </c>
      <c r="C5254" t="s">
        <v>66</v>
      </c>
      <c r="D5254" s="6">
        <v>45986</v>
      </c>
      <c r="E5254" t="str">
        <f>VLOOKUP(B5254,'PROCV GERENTES BD'!A:B,2,0)</f>
        <v>ADMINISTRAÇÃO</v>
      </c>
      <c r="F5254" s="4" t="str">
        <f t="shared" si="540"/>
        <v>2025-11</v>
      </c>
      <c r="G5254" s="18">
        <f t="shared" si="541"/>
        <v>48</v>
      </c>
      <c r="H5254" t="str">
        <f t="shared" si="542"/>
        <v>ADMINISTRAÇÃO</v>
      </c>
      <c r="I5254" t="str">
        <f t="shared" si="543"/>
        <v>DECISION DESENVOLVIMENTO DE SISTEMAS LTDA</v>
      </c>
      <c r="J5254">
        <f t="shared" si="544"/>
        <v>1</v>
      </c>
      <c r="K5254">
        <f t="shared" si="545"/>
        <v>0</v>
      </c>
    </row>
    <row r="5255" spans="1:11" x14ac:dyDescent="0.25">
      <c r="A5255" t="s">
        <v>722</v>
      </c>
      <c r="B5255" t="s">
        <v>723</v>
      </c>
      <c r="C5255" t="s">
        <v>53</v>
      </c>
      <c r="D5255" s="6">
        <v>45986</v>
      </c>
      <c r="E5255" t="str">
        <f>VLOOKUP(B5255,'PROCV GERENTES BD'!A:B,2,0)</f>
        <v>POENATELA</v>
      </c>
      <c r="F5255" s="4" t="str">
        <f t="shared" si="540"/>
        <v>2025-11</v>
      </c>
      <c r="G5255" s="18">
        <f t="shared" si="541"/>
        <v>48</v>
      </c>
      <c r="H5255" t="str">
        <f t="shared" si="542"/>
        <v>POENATELA</v>
      </c>
      <c r="I5255" t="str">
        <f t="shared" si="543"/>
        <v>LIDER MIX CONCRETOS E AGREGADOS LTDA</v>
      </c>
      <c r="J5255">
        <f t="shared" si="544"/>
        <v>1</v>
      </c>
      <c r="K5255">
        <f t="shared" si="545"/>
        <v>1</v>
      </c>
    </row>
    <row r="5256" spans="1:11" x14ac:dyDescent="0.25">
      <c r="A5256" t="s">
        <v>352</v>
      </c>
      <c r="B5256" t="s">
        <v>96</v>
      </c>
      <c r="C5256" t="s">
        <v>66</v>
      </c>
      <c r="D5256" s="6">
        <v>45986</v>
      </c>
      <c r="E5256" t="str">
        <f>VLOOKUP(B5256,'PROCV GERENTES BD'!A:B,2,0)</f>
        <v>POENATELA</v>
      </c>
      <c r="F5256" s="4" t="str">
        <f t="shared" si="540"/>
        <v>2025-11</v>
      </c>
      <c r="G5256" s="18">
        <f t="shared" si="541"/>
        <v>48</v>
      </c>
      <c r="H5256" t="str">
        <f t="shared" si="542"/>
        <v>POENATELA</v>
      </c>
      <c r="I5256" t="str">
        <f t="shared" si="543"/>
        <v>SUPER HARD TECNOLOGIA EM TRATAMENTO DE SUPERFICIES</v>
      </c>
      <c r="J5256">
        <f t="shared" si="544"/>
        <v>1</v>
      </c>
      <c r="K5256">
        <f t="shared" si="545"/>
        <v>0</v>
      </c>
    </row>
    <row r="5257" spans="1:11" x14ac:dyDescent="0.25">
      <c r="A5257" t="s">
        <v>361</v>
      </c>
      <c r="B5257" t="s">
        <v>106</v>
      </c>
      <c r="C5257" t="s">
        <v>50</v>
      </c>
      <c r="D5257" s="6">
        <v>45986</v>
      </c>
      <c r="E5257" t="str">
        <f>VLOOKUP(B5257,'PROCV GERENTES BD'!A:B,2,0)</f>
        <v>PRISCILA METZ</v>
      </c>
      <c r="F5257" s="4" t="str">
        <f t="shared" si="540"/>
        <v>2025-11</v>
      </c>
      <c r="G5257" s="18">
        <f t="shared" si="541"/>
        <v>48</v>
      </c>
      <c r="H5257" t="str">
        <f t="shared" si="542"/>
        <v>PRISCILA METZ</v>
      </c>
      <c r="I5257" t="str">
        <f t="shared" si="543"/>
        <v>HERBAMED LABORATORIO NUTRACEUTICO LTDA</v>
      </c>
      <c r="J5257">
        <f t="shared" si="544"/>
        <v>0</v>
      </c>
      <c r="K5257">
        <f t="shared" si="545"/>
        <v>1</v>
      </c>
    </row>
    <row r="5258" spans="1:11" x14ac:dyDescent="0.25">
      <c r="A5258" t="s">
        <v>687</v>
      </c>
      <c r="B5258" t="s">
        <v>684</v>
      </c>
      <c r="C5258" t="s">
        <v>50</v>
      </c>
      <c r="D5258" s="6">
        <v>45986</v>
      </c>
      <c r="E5258" t="str">
        <f>VLOOKUP(B5258,'PROCV GERENTES BD'!A:B,2,0)</f>
        <v>DALVA</v>
      </c>
      <c r="F5258" s="4" t="str">
        <f t="shared" si="540"/>
        <v>2025-11</v>
      </c>
      <c r="G5258" s="18">
        <f t="shared" si="541"/>
        <v>48</v>
      </c>
      <c r="H5258" t="str">
        <f t="shared" si="542"/>
        <v>DALVA</v>
      </c>
      <c r="I5258" t="str">
        <f t="shared" si="543"/>
        <v>AGUIA DE FOGO PREVENCAO DE INCENDIO LTDA EPP</v>
      </c>
      <c r="J5258">
        <f t="shared" si="544"/>
        <v>0</v>
      </c>
      <c r="K5258">
        <f t="shared" si="545"/>
        <v>1</v>
      </c>
    </row>
    <row r="5259" spans="1:11" x14ac:dyDescent="0.25">
      <c r="A5259" t="s">
        <v>304</v>
      </c>
      <c r="B5259" t="s">
        <v>689</v>
      </c>
      <c r="C5259" t="s">
        <v>50</v>
      </c>
      <c r="D5259" s="6">
        <v>45987</v>
      </c>
      <c r="E5259" t="str">
        <f>VLOOKUP(B5259,'PROCV GERENTES BD'!A:B,2,0)</f>
        <v>ADMINISTRAÇÃO</v>
      </c>
      <c r="F5259" s="4" t="str">
        <f t="shared" ref="F5259:F5282" si="546">YEAR(D5259)&amp;"-"&amp;TEXT(MONTH(D5259),"00")</f>
        <v>2025-11</v>
      </c>
      <c r="G5259" s="18">
        <f t="shared" ref="G5259:G5282" si="547">WEEKNUM(D5259)</f>
        <v>48</v>
      </c>
      <c r="H5259" t="str">
        <f t="shared" ref="H5259:H5282" si="548">E5259</f>
        <v>ADMINISTRAÇÃO</v>
      </c>
      <c r="I5259" t="str">
        <f t="shared" ref="I5259:I5282" si="549">B5259</f>
        <v>VIC LOGISTICA LTDA</v>
      </c>
      <c r="J5259">
        <f t="shared" ref="J5259:J5282" si="550">IF(OR(C5259="EXCLUSAO  ANOT.INADIMPLENCIA",C5259="INCL/EXCL ANOT.INADIMPLENCIA"),1,0)</f>
        <v>0</v>
      </c>
      <c r="K5259">
        <f t="shared" ref="K5259:K5282" si="551">IF(OR(C5259="INCLUSAO  ANOT.INADIMPLENCIA",C5259="INCL/EXCL ANOT.INADIMPLENCIA"),1,0)</f>
        <v>1</v>
      </c>
    </row>
    <row r="5260" spans="1:11" x14ac:dyDescent="0.25">
      <c r="A5260" t="s">
        <v>457</v>
      </c>
      <c r="B5260" t="s">
        <v>214</v>
      </c>
      <c r="C5260" t="s">
        <v>50</v>
      </c>
      <c r="D5260" s="6">
        <v>45987</v>
      </c>
      <c r="E5260" t="str">
        <f>VLOOKUP(B5260,'PROCV GERENTES BD'!A:B,2,0)</f>
        <v xml:space="preserve">ROGERIO </v>
      </c>
      <c r="F5260" s="4" t="str">
        <f t="shared" si="546"/>
        <v>2025-11</v>
      </c>
      <c r="G5260" s="18">
        <f t="shared" si="547"/>
        <v>48</v>
      </c>
      <c r="H5260" t="str">
        <f t="shared" si="548"/>
        <v xml:space="preserve">ROGERIO </v>
      </c>
      <c r="I5260" t="str">
        <f t="shared" si="549"/>
        <v>METAL STAMP INDUSTRIA E COMERCIO LTDA</v>
      </c>
      <c r="J5260">
        <f t="shared" si="550"/>
        <v>0</v>
      </c>
      <c r="K5260">
        <f t="shared" si="551"/>
        <v>1</v>
      </c>
    </row>
    <row r="5261" spans="1:11" x14ac:dyDescent="0.25">
      <c r="A5261" t="s">
        <v>704</v>
      </c>
      <c r="B5261" t="s">
        <v>705</v>
      </c>
      <c r="C5261" t="s">
        <v>50</v>
      </c>
      <c r="D5261" s="6">
        <v>45987</v>
      </c>
      <c r="E5261" t="str">
        <f>VLOOKUP(B5261,'PROCV GERENTES BD'!A:B,2,0)</f>
        <v>DAVI</v>
      </c>
      <c r="F5261" s="4" t="str">
        <f t="shared" si="546"/>
        <v>2025-11</v>
      </c>
      <c r="G5261" s="18">
        <f t="shared" si="547"/>
        <v>48</v>
      </c>
      <c r="H5261" t="str">
        <f t="shared" si="548"/>
        <v>DAVI</v>
      </c>
      <c r="I5261" t="str">
        <f t="shared" si="549"/>
        <v>DUOPLASTIC INDUSTRIA DE MOVEIS LTDA ME</v>
      </c>
      <c r="J5261">
        <f t="shared" si="550"/>
        <v>0</v>
      </c>
      <c r="K5261">
        <f t="shared" si="551"/>
        <v>1</v>
      </c>
    </row>
    <row r="5262" spans="1:11" x14ac:dyDescent="0.25">
      <c r="A5262" t="s">
        <v>488</v>
      </c>
      <c r="B5262" t="s">
        <v>247</v>
      </c>
      <c r="C5262" t="s">
        <v>50</v>
      </c>
      <c r="D5262" s="6">
        <v>45987</v>
      </c>
      <c r="E5262" t="str">
        <f>VLOOKUP(B5262,'PROCV GERENTES BD'!A:B,2,0)</f>
        <v>CELIO PIMENTA</v>
      </c>
      <c r="F5262" s="4" t="str">
        <f t="shared" si="546"/>
        <v>2025-11</v>
      </c>
      <c r="G5262" s="18">
        <f t="shared" si="547"/>
        <v>48</v>
      </c>
      <c r="H5262" t="str">
        <f t="shared" si="548"/>
        <v>CELIO PIMENTA</v>
      </c>
      <c r="I5262" t="str">
        <f t="shared" si="549"/>
        <v>AZ HIDRAULICA USINAGEM LTDA EPP</v>
      </c>
      <c r="J5262">
        <f t="shared" si="550"/>
        <v>0</v>
      </c>
      <c r="K5262">
        <f t="shared" si="551"/>
        <v>1</v>
      </c>
    </row>
    <row r="5263" spans="1:11" x14ac:dyDescent="0.25">
      <c r="A5263" t="s">
        <v>655</v>
      </c>
      <c r="B5263" t="s">
        <v>548</v>
      </c>
      <c r="C5263" t="s">
        <v>50</v>
      </c>
      <c r="D5263" s="6">
        <v>45987</v>
      </c>
      <c r="E5263" t="str">
        <f>VLOOKUP(B5263,'PROCV GERENTES BD'!A:B,2,0)</f>
        <v xml:space="preserve">ROGERIO </v>
      </c>
      <c r="F5263" s="4" t="str">
        <f t="shared" si="546"/>
        <v>2025-11</v>
      </c>
      <c r="G5263" s="18">
        <f t="shared" si="547"/>
        <v>48</v>
      </c>
      <c r="H5263" t="str">
        <f t="shared" si="548"/>
        <v xml:space="preserve">ROGERIO </v>
      </c>
      <c r="I5263" t="str">
        <f t="shared" si="549"/>
        <v>AGROEP PISCICULTURA LTDA ME</v>
      </c>
      <c r="J5263">
        <f t="shared" si="550"/>
        <v>0</v>
      </c>
      <c r="K5263">
        <f t="shared" si="551"/>
        <v>1</v>
      </c>
    </row>
    <row r="5264" spans="1:11" x14ac:dyDescent="0.25">
      <c r="A5264" t="s">
        <v>734</v>
      </c>
      <c r="B5264" t="s">
        <v>735</v>
      </c>
      <c r="C5264" t="s">
        <v>50</v>
      </c>
      <c r="D5264" s="6">
        <v>45987</v>
      </c>
      <c r="E5264" t="str">
        <f>VLOOKUP(B5264,'PROCV GERENTES BD'!A:B,2,0)</f>
        <v>POENATELA</v>
      </c>
      <c r="F5264" s="4" t="str">
        <f t="shared" si="546"/>
        <v>2025-11</v>
      </c>
      <c r="G5264" s="18">
        <f t="shared" si="547"/>
        <v>48</v>
      </c>
      <c r="H5264" t="str">
        <f t="shared" si="548"/>
        <v>POENATELA</v>
      </c>
      <c r="I5264" t="str">
        <f t="shared" si="549"/>
        <v>INFINITY COMERCIO ATACADISTA DE EQUIPAMENTOS LTDA</v>
      </c>
      <c r="J5264">
        <f t="shared" si="550"/>
        <v>0</v>
      </c>
      <c r="K5264">
        <f t="shared" si="551"/>
        <v>1</v>
      </c>
    </row>
    <row r="5265" spans="1:11" x14ac:dyDescent="0.25">
      <c r="A5265" t="s">
        <v>613</v>
      </c>
      <c r="B5265" t="s">
        <v>565</v>
      </c>
      <c r="C5265" t="s">
        <v>50</v>
      </c>
      <c r="D5265" s="6">
        <v>45987</v>
      </c>
      <c r="E5265" t="str">
        <f>VLOOKUP(B5265,'PROCV GERENTES BD'!A:B,2,0)</f>
        <v>DALVA</v>
      </c>
      <c r="F5265" s="4" t="str">
        <f t="shared" si="546"/>
        <v>2025-11</v>
      </c>
      <c r="G5265" s="18">
        <f t="shared" si="547"/>
        <v>48</v>
      </c>
      <c r="H5265" t="str">
        <f t="shared" si="548"/>
        <v>DALVA</v>
      </c>
      <c r="I5265" t="str">
        <f t="shared" si="549"/>
        <v>SENSORVIX INTELIGENCIA EM AUTOMACAO LTDA ME</v>
      </c>
      <c r="J5265">
        <f t="shared" si="550"/>
        <v>0</v>
      </c>
      <c r="K5265">
        <f t="shared" si="551"/>
        <v>1</v>
      </c>
    </row>
    <row r="5266" spans="1:11" x14ac:dyDescent="0.25">
      <c r="A5266" t="s">
        <v>630</v>
      </c>
      <c r="B5266" t="s">
        <v>559</v>
      </c>
      <c r="C5266" t="s">
        <v>50</v>
      </c>
      <c r="D5266" s="6">
        <v>45987</v>
      </c>
      <c r="E5266" t="str">
        <f>VLOOKUP(B5266,'PROCV GERENTES BD'!A:B,2,0)</f>
        <v>ALISSON DE SOUZA LIMA</v>
      </c>
      <c r="F5266" s="4" t="str">
        <f t="shared" si="546"/>
        <v>2025-11</v>
      </c>
      <c r="G5266" s="18">
        <f t="shared" si="547"/>
        <v>48</v>
      </c>
      <c r="H5266" t="str">
        <f t="shared" si="548"/>
        <v>ALISSON DE SOUZA LIMA</v>
      </c>
      <c r="I5266" t="str">
        <f t="shared" si="549"/>
        <v>JRG SOLUCOES INDUSTRIAIS LTDA</v>
      </c>
      <c r="J5266">
        <f t="shared" si="550"/>
        <v>0</v>
      </c>
      <c r="K5266">
        <f t="shared" si="551"/>
        <v>1</v>
      </c>
    </row>
    <row r="5267" spans="1:11" x14ac:dyDescent="0.25">
      <c r="A5267" t="s">
        <v>716</v>
      </c>
      <c r="B5267" t="s">
        <v>717</v>
      </c>
      <c r="C5267" t="s">
        <v>66</v>
      </c>
      <c r="D5267" s="6">
        <v>45987</v>
      </c>
      <c r="E5267" t="str">
        <f>VLOOKUP(B5267,'PROCV GERENTES BD'!A:B,2,0)</f>
        <v xml:space="preserve">ROGERIO </v>
      </c>
      <c r="F5267" s="4" t="str">
        <f t="shared" si="546"/>
        <v>2025-11</v>
      </c>
      <c r="G5267" s="18">
        <f t="shared" si="547"/>
        <v>48</v>
      </c>
      <c r="H5267" t="str">
        <f t="shared" si="548"/>
        <v xml:space="preserve">ROGERIO </v>
      </c>
      <c r="I5267" t="str">
        <f t="shared" si="549"/>
        <v>CONFIARE TERCERIZACAO LTDA EPP</v>
      </c>
      <c r="J5267">
        <f t="shared" si="550"/>
        <v>1</v>
      </c>
      <c r="K5267">
        <f t="shared" si="551"/>
        <v>0</v>
      </c>
    </row>
    <row r="5268" spans="1:11" x14ac:dyDescent="0.25">
      <c r="A5268" t="s">
        <v>708</v>
      </c>
      <c r="B5268" t="s">
        <v>570</v>
      </c>
      <c r="C5268" t="s">
        <v>50</v>
      </c>
      <c r="D5268" s="6">
        <v>45987</v>
      </c>
      <c r="E5268" t="str">
        <f>VLOOKUP(B5268,'PROCV GERENTES BD'!A:B,2,0)</f>
        <v>RAFAEL PARISE</v>
      </c>
      <c r="F5268" s="4" t="str">
        <f t="shared" si="546"/>
        <v>2025-11</v>
      </c>
      <c r="G5268" s="18">
        <f t="shared" si="547"/>
        <v>48</v>
      </c>
      <c r="H5268" t="str">
        <f t="shared" si="548"/>
        <v>RAFAEL PARISE</v>
      </c>
      <c r="I5268" t="str">
        <f t="shared" si="549"/>
        <v>NITROTEX INDUSTRIA E COMERCIO TEXTEIS LTDA ME</v>
      </c>
      <c r="J5268">
        <f t="shared" si="550"/>
        <v>0</v>
      </c>
      <c r="K5268">
        <f t="shared" si="551"/>
        <v>1</v>
      </c>
    </row>
    <row r="5269" spans="1:11" x14ac:dyDescent="0.25">
      <c r="A5269" t="s">
        <v>442</v>
      </c>
      <c r="B5269" t="s">
        <v>193</v>
      </c>
      <c r="C5269" t="s">
        <v>53</v>
      </c>
      <c r="D5269" s="6">
        <v>45987</v>
      </c>
      <c r="E5269" t="str">
        <f>VLOOKUP(B5269,'PROCV GERENTES BD'!A:B,2,0)</f>
        <v>CELIO PIMENTA</v>
      </c>
      <c r="F5269" s="4" t="str">
        <f t="shared" si="546"/>
        <v>2025-11</v>
      </c>
      <c r="G5269" s="18">
        <f t="shared" si="547"/>
        <v>48</v>
      </c>
      <c r="H5269" t="str">
        <f t="shared" si="548"/>
        <v>CELIO PIMENTA</v>
      </c>
      <c r="I5269" t="str">
        <f t="shared" si="549"/>
        <v>CIA TEXTIL LTDA ME</v>
      </c>
      <c r="J5269">
        <f t="shared" si="550"/>
        <v>1</v>
      </c>
      <c r="K5269">
        <f t="shared" si="551"/>
        <v>1</v>
      </c>
    </row>
    <row r="5270" spans="1:11" x14ac:dyDescent="0.25">
      <c r="A5270" t="s">
        <v>64</v>
      </c>
      <c r="B5270" t="s">
        <v>65</v>
      </c>
      <c r="C5270" t="s">
        <v>50</v>
      </c>
      <c r="D5270" s="6">
        <v>45987</v>
      </c>
      <c r="E5270" t="str">
        <f>VLOOKUP(B5270,'PROCV GERENTES BD'!A:B,2,0)</f>
        <v>ADMINISTRAÇÃO</v>
      </c>
      <c r="F5270" s="4" t="str">
        <f t="shared" si="546"/>
        <v>2025-11</v>
      </c>
      <c r="G5270" s="18">
        <f t="shared" si="547"/>
        <v>48</v>
      </c>
      <c r="H5270" t="str">
        <f t="shared" si="548"/>
        <v>ADMINISTRAÇÃO</v>
      </c>
      <c r="I5270" t="str">
        <f t="shared" si="549"/>
        <v>SOCIAL S/A</v>
      </c>
      <c r="J5270">
        <f t="shared" si="550"/>
        <v>0</v>
      </c>
      <c r="K5270">
        <f t="shared" si="551"/>
        <v>1</v>
      </c>
    </row>
    <row r="5271" spans="1:11" x14ac:dyDescent="0.25">
      <c r="A5271" t="s">
        <v>62</v>
      </c>
      <c r="B5271" t="s">
        <v>63</v>
      </c>
      <c r="C5271" t="s">
        <v>50</v>
      </c>
      <c r="D5271" s="6">
        <v>45987</v>
      </c>
      <c r="E5271" t="str">
        <f>VLOOKUP(B5271,'PROCV GERENTES BD'!A:B,2,0)</f>
        <v>PROSPECTAR</v>
      </c>
      <c r="F5271" s="4" t="str">
        <f t="shared" si="546"/>
        <v>2025-11</v>
      </c>
      <c r="G5271" s="18">
        <f t="shared" si="547"/>
        <v>48</v>
      </c>
      <c r="H5271" t="str">
        <f t="shared" si="548"/>
        <v>PROSPECTAR</v>
      </c>
      <c r="I5271" t="str">
        <f t="shared" si="549"/>
        <v>MAPP COM IMPORTACAO EXPORTACAO IND PRODUTOS ALIMEN</v>
      </c>
      <c r="J5271">
        <f t="shared" si="550"/>
        <v>0</v>
      </c>
      <c r="K5271">
        <f t="shared" si="551"/>
        <v>1</v>
      </c>
    </row>
    <row r="5272" spans="1:11" x14ac:dyDescent="0.25">
      <c r="A5272" t="s">
        <v>499</v>
      </c>
      <c r="B5272" t="s">
        <v>258</v>
      </c>
      <c r="C5272" t="s">
        <v>53</v>
      </c>
      <c r="D5272" s="6">
        <v>45987</v>
      </c>
      <c r="E5272" t="str">
        <f>VLOOKUP(B5272,'PROCV GERENTES BD'!A:B,2,0)</f>
        <v>PRISCILA METZ</v>
      </c>
      <c r="F5272" s="4" t="str">
        <f t="shared" si="546"/>
        <v>2025-11</v>
      </c>
      <c r="G5272" s="18">
        <f t="shared" si="547"/>
        <v>48</v>
      </c>
      <c r="H5272" t="str">
        <f t="shared" si="548"/>
        <v>PRISCILA METZ</v>
      </c>
      <c r="I5272" t="str">
        <f t="shared" si="549"/>
        <v>PLATINUM INDUSTRIA DE CONFECCOES LTDA</v>
      </c>
      <c r="J5272">
        <f t="shared" si="550"/>
        <v>1</v>
      </c>
      <c r="K5272">
        <f t="shared" si="551"/>
        <v>1</v>
      </c>
    </row>
    <row r="5273" spans="1:11" x14ac:dyDescent="0.25">
      <c r="A5273" t="s">
        <v>722</v>
      </c>
      <c r="B5273" t="s">
        <v>723</v>
      </c>
      <c r="C5273" t="s">
        <v>66</v>
      </c>
      <c r="D5273" s="6">
        <v>45987</v>
      </c>
      <c r="E5273" t="str">
        <f>VLOOKUP(B5273,'PROCV GERENTES BD'!A:B,2,0)</f>
        <v>POENATELA</v>
      </c>
      <c r="F5273" s="4" t="str">
        <f t="shared" si="546"/>
        <v>2025-11</v>
      </c>
      <c r="G5273" s="18">
        <f t="shared" si="547"/>
        <v>48</v>
      </c>
      <c r="H5273" t="str">
        <f t="shared" si="548"/>
        <v>POENATELA</v>
      </c>
      <c r="I5273" t="str">
        <f t="shared" si="549"/>
        <v>LIDER MIX CONCRETOS E AGREGADOS LTDA</v>
      </c>
      <c r="J5273">
        <f t="shared" si="550"/>
        <v>1</v>
      </c>
      <c r="K5273">
        <f t="shared" si="551"/>
        <v>0</v>
      </c>
    </row>
    <row r="5274" spans="1:11" x14ac:dyDescent="0.25">
      <c r="A5274" t="s">
        <v>372</v>
      </c>
      <c r="B5274" t="s">
        <v>116</v>
      </c>
      <c r="C5274" t="s">
        <v>50</v>
      </c>
      <c r="D5274" s="6">
        <v>45987</v>
      </c>
      <c r="E5274" t="str">
        <f>VLOOKUP(B5274,'PROCV GERENTES BD'!A:B,2,0)</f>
        <v>ADMINISTRAÇÃO</v>
      </c>
      <c r="F5274" s="4" t="str">
        <f t="shared" si="546"/>
        <v>2025-11</v>
      </c>
      <c r="G5274" s="18">
        <f t="shared" si="547"/>
        <v>48</v>
      </c>
      <c r="H5274" t="str">
        <f t="shared" si="548"/>
        <v>ADMINISTRAÇÃO</v>
      </c>
      <c r="I5274" t="str">
        <f t="shared" si="549"/>
        <v>PREMOLDADOS MATOSINHOS LTDA EPP</v>
      </c>
      <c r="J5274">
        <f t="shared" si="550"/>
        <v>0</v>
      </c>
      <c r="K5274">
        <f t="shared" si="551"/>
        <v>1</v>
      </c>
    </row>
    <row r="5275" spans="1:11" x14ac:dyDescent="0.25">
      <c r="A5275" t="s">
        <v>58</v>
      </c>
      <c r="B5275" t="s">
        <v>59</v>
      </c>
      <c r="C5275" t="s">
        <v>66</v>
      </c>
      <c r="D5275" s="6">
        <v>45987</v>
      </c>
      <c r="E5275" t="str">
        <f>VLOOKUP(B5275,'PROCV GERENTES BD'!A:B,2,0)</f>
        <v>ADMINISTRAÇÃO</v>
      </c>
      <c r="F5275" s="4" t="str">
        <f t="shared" si="546"/>
        <v>2025-11</v>
      </c>
      <c r="G5275" s="18">
        <f t="shared" si="547"/>
        <v>48</v>
      </c>
      <c r="H5275" t="str">
        <f t="shared" si="548"/>
        <v>ADMINISTRAÇÃO</v>
      </c>
      <c r="I5275" t="str">
        <f t="shared" si="549"/>
        <v>BIOTECH LOGISTICA LTDA</v>
      </c>
      <c r="J5275">
        <f t="shared" si="550"/>
        <v>1</v>
      </c>
      <c r="K5275">
        <f t="shared" si="551"/>
        <v>0</v>
      </c>
    </row>
    <row r="5276" spans="1:11" x14ac:dyDescent="0.25">
      <c r="A5276" t="s">
        <v>331</v>
      </c>
      <c r="B5276" t="s">
        <v>144</v>
      </c>
      <c r="C5276" t="s">
        <v>50</v>
      </c>
      <c r="D5276" s="6">
        <v>45987</v>
      </c>
      <c r="E5276" t="str">
        <f>VLOOKUP(B5276,'PROCV GERENTES BD'!A:B,2,0)</f>
        <v>ADMINISTRAÇÃO</v>
      </c>
      <c r="F5276" s="4" t="str">
        <f t="shared" si="546"/>
        <v>2025-11</v>
      </c>
      <c r="G5276" s="18">
        <f t="shared" si="547"/>
        <v>48</v>
      </c>
      <c r="H5276" t="str">
        <f t="shared" si="548"/>
        <v>ADMINISTRAÇÃO</v>
      </c>
      <c r="I5276" t="str">
        <f t="shared" si="549"/>
        <v>BOM PASTOR PAPEIS LTDA EM RECUPERACAO JUDICIAL</v>
      </c>
      <c r="J5276">
        <f t="shared" si="550"/>
        <v>0</v>
      </c>
      <c r="K5276">
        <f t="shared" si="551"/>
        <v>1</v>
      </c>
    </row>
    <row r="5277" spans="1:11" x14ac:dyDescent="0.25">
      <c r="A5277" t="s">
        <v>361</v>
      </c>
      <c r="B5277" t="s">
        <v>106</v>
      </c>
      <c r="C5277" t="s">
        <v>50</v>
      </c>
      <c r="D5277" s="6">
        <v>45987</v>
      </c>
      <c r="E5277" t="str">
        <f>VLOOKUP(B5277,'PROCV GERENTES BD'!A:B,2,0)</f>
        <v>PRISCILA METZ</v>
      </c>
      <c r="F5277" s="4" t="str">
        <f t="shared" si="546"/>
        <v>2025-11</v>
      </c>
      <c r="G5277" s="18">
        <f t="shared" si="547"/>
        <v>48</v>
      </c>
      <c r="H5277" t="str">
        <f t="shared" si="548"/>
        <v>PRISCILA METZ</v>
      </c>
      <c r="I5277" t="str">
        <f t="shared" si="549"/>
        <v>HERBAMED LABORATORIO NUTRACEUTICO LTDA</v>
      </c>
      <c r="J5277">
        <f t="shared" si="550"/>
        <v>0</v>
      </c>
      <c r="K5277">
        <f t="shared" si="551"/>
        <v>1</v>
      </c>
    </row>
    <row r="5278" spans="1:11" x14ac:dyDescent="0.25">
      <c r="A5278" t="s">
        <v>663</v>
      </c>
      <c r="B5278" t="s">
        <v>664</v>
      </c>
      <c r="C5278" t="s">
        <v>66</v>
      </c>
      <c r="D5278" s="6">
        <v>45987</v>
      </c>
      <c r="E5278" t="str">
        <f>VLOOKUP(B5278,'PROCV GERENTES BD'!A:B,2,0)</f>
        <v>ADMINISTRAÇÃO</v>
      </c>
      <c r="F5278" s="4" t="str">
        <f t="shared" si="546"/>
        <v>2025-11</v>
      </c>
      <c r="G5278" s="18">
        <f t="shared" si="547"/>
        <v>48</v>
      </c>
      <c r="H5278" t="str">
        <f t="shared" si="548"/>
        <v>ADMINISTRAÇÃO</v>
      </c>
      <c r="I5278" t="str">
        <f t="shared" si="549"/>
        <v>PRIVILEGIO CONFECCOES LTDA ME</v>
      </c>
      <c r="J5278">
        <f t="shared" si="550"/>
        <v>1</v>
      </c>
      <c r="K5278">
        <f t="shared" si="551"/>
        <v>0</v>
      </c>
    </row>
    <row r="5279" spans="1:11" x14ac:dyDescent="0.25">
      <c r="A5279" t="s">
        <v>700</v>
      </c>
      <c r="B5279" t="s">
        <v>680</v>
      </c>
      <c r="C5279" t="s">
        <v>50</v>
      </c>
      <c r="D5279" s="6">
        <v>45987</v>
      </c>
      <c r="E5279" t="str">
        <f>VLOOKUP(B5279,'PROCV GERENTES BD'!A:B,2,0)</f>
        <v>POENATELA</v>
      </c>
      <c r="F5279" s="4" t="str">
        <f t="shared" si="546"/>
        <v>2025-11</v>
      </c>
      <c r="G5279" s="18">
        <f t="shared" si="547"/>
        <v>48</v>
      </c>
      <c r="H5279" t="str">
        <f t="shared" si="548"/>
        <v>POENATELA</v>
      </c>
      <c r="I5279" t="str">
        <f t="shared" si="549"/>
        <v>BIORGANICA PRODUTOS ORGANICOS LTDA</v>
      </c>
      <c r="J5279">
        <f t="shared" si="550"/>
        <v>0</v>
      </c>
      <c r="K5279">
        <f t="shared" si="551"/>
        <v>1</v>
      </c>
    </row>
    <row r="5280" spans="1:11" x14ac:dyDescent="0.25">
      <c r="A5280" t="s">
        <v>660</v>
      </c>
      <c r="B5280" t="s">
        <v>545</v>
      </c>
      <c r="C5280" t="s">
        <v>50</v>
      </c>
      <c r="D5280" s="6">
        <v>45987</v>
      </c>
      <c r="E5280" t="str">
        <f>VLOOKUP(B5280,'PROCV GERENTES BD'!A:B,2,0)</f>
        <v xml:space="preserve">ROGERIO </v>
      </c>
      <c r="F5280" s="4" t="str">
        <f t="shared" si="546"/>
        <v>2025-11</v>
      </c>
      <c r="G5280" s="18">
        <f t="shared" si="547"/>
        <v>48</v>
      </c>
      <c r="H5280" t="str">
        <f t="shared" si="548"/>
        <v xml:space="preserve">ROGERIO </v>
      </c>
      <c r="I5280" t="str">
        <f t="shared" si="549"/>
        <v>DISEP ALIMENTOS LTDA ME</v>
      </c>
      <c r="J5280">
        <f t="shared" si="550"/>
        <v>0</v>
      </c>
      <c r="K5280">
        <f t="shared" si="551"/>
        <v>1</v>
      </c>
    </row>
    <row r="5281" spans="1:11" x14ac:dyDescent="0.25">
      <c r="A5281" t="s">
        <v>460</v>
      </c>
      <c r="B5281" t="s">
        <v>217</v>
      </c>
      <c r="C5281" t="s">
        <v>50</v>
      </c>
      <c r="D5281" s="6">
        <v>45987</v>
      </c>
      <c r="E5281" t="str">
        <f>VLOOKUP(B5281,'PROCV GERENTES BD'!A:B,2,0)</f>
        <v>CELIO PIMENTA</v>
      </c>
      <c r="F5281" s="4" t="str">
        <f t="shared" si="546"/>
        <v>2025-11</v>
      </c>
      <c r="G5281" s="18">
        <f t="shared" si="547"/>
        <v>48</v>
      </c>
      <c r="H5281" t="str">
        <f t="shared" si="548"/>
        <v>CELIO PIMENTA</v>
      </c>
      <c r="I5281" t="str">
        <f t="shared" si="549"/>
        <v>MINAS CLEAN DISTRIBUIDORA DE PRODUTOS PARA LIMPEZA</v>
      </c>
      <c r="J5281">
        <f t="shared" si="550"/>
        <v>0</v>
      </c>
      <c r="K5281">
        <f t="shared" si="551"/>
        <v>1</v>
      </c>
    </row>
    <row r="5282" spans="1:11" x14ac:dyDescent="0.25">
      <c r="A5282" t="s">
        <v>534</v>
      </c>
      <c r="B5282" t="s">
        <v>303</v>
      </c>
      <c r="C5282" t="s">
        <v>50</v>
      </c>
      <c r="D5282" s="6">
        <v>45987</v>
      </c>
      <c r="E5282" t="str">
        <f>VLOOKUP(B5282,'PROCV GERENTES BD'!A:B,2,0)</f>
        <v xml:space="preserve">MARCUS VINICIUS </v>
      </c>
      <c r="F5282" s="4" t="str">
        <f t="shared" si="546"/>
        <v>2025-11</v>
      </c>
      <c r="G5282" s="18">
        <f t="shared" si="547"/>
        <v>48</v>
      </c>
      <c r="H5282" t="str">
        <f t="shared" si="548"/>
        <v xml:space="preserve">MARCUS VINICIUS </v>
      </c>
      <c r="I5282" t="str">
        <f t="shared" si="549"/>
        <v>GRAFICA JSA LTDA EPP</v>
      </c>
      <c r="J5282">
        <f t="shared" si="550"/>
        <v>0</v>
      </c>
      <c r="K5282">
        <f t="shared" si="551"/>
        <v>1</v>
      </c>
    </row>
    <row r="5283" spans="1:11" x14ac:dyDescent="0.25">
      <c r="A5283" t="s">
        <v>485</v>
      </c>
      <c r="B5283" t="s">
        <v>242</v>
      </c>
      <c r="C5283" t="s">
        <v>50</v>
      </c>
      <c r="D5283" s="6">
        <v>45988</v>
      </c>
      <c r="E5283" t="str">
        <f>VLOOKUP(B5283,'PROCV GERENTES BD'!A:B,2,0)</f>
        <v>PROSPECTAR</v>
      </c>
      <c r="F5283" s="4" t="str">
        <f t="shared" ref="F5283:F5297" si="552">YEAR(D5283)&amp;"-"&amp;TEXT(MONTH(D5283),"00")</f>
        <v>2025-11</v>
      </c>
      <c r="G5283" s="18">
        <f t="shared" ref="G5283:G5297" si="553">WEEKNUM(D5283)</f>
        <v>48</v>
      </c>
      <c r="H5283" t="str">
        <f t="shared" ref="H5283:H5297" si="554">E5283</f>
        <v>PROSPECTAR</v>
      </c>
      <c r="I5283" t="str">
        <f t="shared" ref="I5283:I5297" si="555">B5283</f>
        <v>GOIARTE SOLUCOES CONSTRUTIVAS EM CONCRETO LTDA</v>
      </c>
      <c r="J5283">
        <f t="shared" ref="J5283:J5297" si="556">IF(OR(C5283="EXCLUSAO  ANOT.INADIMPLENCIA",C5283="INCL/EXCL ANOT.INADIMPLENCIA"),1,0)</f>
        <v>0</v>
      </c>
      <c r="K5283">
        <f t="shared" ref="K5283:K5297" si="557">IF(OR(C5283="INCLUSAO  ANOT.INADIMPLENCIA",C5283="INCL/EXCL ANOT.INADIMPLENCIA"),1,0)</f>
        <v>1</v>
      </c>
    </row>
    <row r="5284" spans="1:11" x14ac:dyDescent="0.25">
      <c r="A5284" t="s">
        <v>660</v>
      </c>
      <c r="B5284" t="s">
        <v>545</v>
      </c>
      <c r="C5284" t="s">
        <v>50</v>
      </c>
      <c r="D5284" s="6">
        <v>45988</v>
      </c>
      <c r="E5284" t="str">
        <f>VLOOKUP(B5284,'PROCV GERENTES BD'!A:B,2,0)</f>
        <v xml:space="preserve">ROGERIO </v>
      </c>
      <c r="F5284" s="4" t="str">
        <f t="shared" si="552"/>
        <v>2025-11</v>
      </c>
      <c r="G5284" s="18">
        <f t="shared" si="553"/>
        <v>48</v>
      </c>
      <c r="H5284" t="str">
        <f t="shared" si="554"/>
        <v xml:space="preserve">ROGERIO </v>
      </c>
      <c r="I5284" t="str">
        <f t="shared" si="555"/>
        <v>DISEP ALIMENTOS LTDA ME</v>
      </c>
      <c r="J5284">
        <f t="shared" si="556"/>
        <v>0</v>
      </c>
      <c r="K5284">
        <f t="shared" si="557"/>
        <v>1</v>
      </c>
    </row>
    <row r="5285" spans="1:11" x14ac:dyDescent="0.25">
      <c r="A5285" t="s">
        <v>528</v>
      </c>
      <c r="B5285" t="s">
        <v>296</v>
      </c>
      <c r="C5285" t="s">
        <v>66</v>
      </c>
      <c r="D5285" s="6">
        <v>45988</v>
      </c>
      <c r="E5285" t="str">
        <f>VLOOKUP(B5285,'PROCV GERENTES BD'!A:B,2,0)</f>
        <v>CAIO</v>
      </c>
      <c r="F5285" s="4" t="str">
        <f t="shared" si="552"/>
        <v>2025-11</v>
      </c>
      <c r="G5285" s="18">
        <f t="shared" si="553"/>
        <v>48</v>
      </c>
      <c r="H5285" t="str">
        <f t="shared" si="554"/>
        <v>CAIO</v>
      </c>
      <c r="I5285" t="str">
        <f t="shared" si="555"/>
        <v>TERRA PECAS GENUINAS LTDA EPP</v>
      </c>
      <c r="J5285">
        <f t="shared" si="556"/>
        <v>1</v>
      </c>
      <c r="K5285">
        <f t="shared" si="557"/>
        <v>0</v>
      </c>
    </row>
    <row r="5286" spans="1:11" x14ac:dyDescent="0.25">
      <c r="A5286" t="s">
        <v>387</v>
      </c>
      <c r="B5286" t="s">
        <v>134</v>
      </c>
      <c r="C5286" t="s">
        <v>66</v>
      </c>
      <c r="D5286" s="6">
        <v>45988</v>
      </c>
      <c r="E5286" t="str">
        <f>VLOOKUP(B5286,'PROCV GERENTES BD'!A:B,2,0)</f>
        <v>RAFAEL PARISE</v>
      </c>
      <c r="F5286" s="4" t="str">
        <f t="shared" si="552"/>
        <v>2025-11</v>
      </c>
      <c r="G5286" s="18">
        <f t="shared" si="553"/>
        <v>48</v>
      </c>
      <c r="H5286" t="str">
        <f t="shared" si="554"/>
        <v>RAFAEL PARISE</v>
      </c>
      <c r="I5286" t="str">
        <f t="shared" si="555"/>
        <v>MAIS DISTRIBUIDORA LTDA</v>
      </c>
      <c r="J5286">
        <f t="shared" si="556"/>
        <v>1</v>
      </c>
      <c r="K5286">
        <f t="shared" si="557"/>
        <v>0</v>
      </c>
    </row>
    <row r="5287" spans="1:11" x14ac:dyDescent="0.25">
      <c r="A5287" t="s">
        <v>361</v>
      </c>
      <c r="B5287" t="s">
        <v>106</v>
      </c>
      <c r="C5287" t="s">
        <v>53</v>
      </c>
      <c r="D5287" s="6">
        <v>45988</v>
      </c>
      <c r="E5287" t="str">
        <f>VLOOKUP(B5287,'PROCV GERENTES BD'!A:B,2,0)</f>
        <v>PRISCILA METZ</v>
      </c>
      <c r="F5287" s="4" t="str">
        <f t="shared" si="552"/>
        <v>2025-11</v>
      </c>
      <c r="G5287" s="18">
        <f t="shared" si="553"/>
        <v>48</v>
      </c>
      <c r="H5287" t="str">
        <f t="shared" si="554"/>
        <v>PRISCILA METZ</v>
      </c>
      <c r="I5287" t="str">
        <f t="shared" si="555"/>
        <v>HERBAMED LABORATORIO NUTRACEUTICO LTDA</v>
      </c>
      <c r="J5287">
        <f t="shared" si="556"/>
        <v>1</v>
      </c>
      <c r="K5287">
        <f t="shared" si="557"/>
        <v>1</v>
      </c>
    </row>
    <row r="5288" spans="1:11" x14ac:dyDescent="0.25">
      <c r="A5288" t="s">
        <v>722</v>
      </c>
      <c r="B5288" t="s">
        <v>723</v>
      </c>
      <c r="C5288" t="s">
        <v>50</v>
      </c>
      <c r="D5288" s="6">
        <v>45988</v>
      </c>
      <c r="E5288" t="str">
        <f>VLOOKUP(B5288,'PROCV GERENTES BD'!A:B,2,0)</f>
        <v>POENATELA</v>
      </c>
      <c r="F5288" s="4" t="str">
        <f t="shared" si="552"/>
        <v>2025-11</v>
      </c>
      <c r="G5288" s="18">
        <f t="shared" si="553"/>
        <v>48</v>
      </c>
      <c r="H5288" t="str">
        <f t="shared" si="554"/>
        <v>POENATELA</v>
      </c>
      <c r="I5288" t="str">
        <f t="shared" si="555"/>
        <v>LIDER MIX CONCRETOS E AGREGADOS LTDA</v>
      </c>
      <c r="J5288">
        <f t="shared" si="556"/>
        <v>0</v>
      </c>
      <c r="K5288">
        <f t="shared" si="557"/>
        <v>1</v>
      </c>
    </row>
    <row r="5289" spans="1:11" x14ac:dyDescent="0.25">
      <c r="A5289" t="s">
        <v>499</v>
      </c>
      <c r="B5289" t="s">
        <v>258</v>
      </c>
      <c r="C5289" t="s">
        <v>50</v>
      </c>
      <c r="D5289" s="6">
        <v>45988</v>
      </c>
      <c r="E5289" t="str">
        <f>VLOOKUP(B5289,'PROCV GERENTES BD'!A:B,2,0)</f>
        <v>PRISCILA METZ</v>
      </c>
      <c r="F5289" s="4" t="str">
        <f t="shared" si="552"/>
        <v>2025-11</v>
      </c>
      <c r="G5289" s="18">
        <f t="shared" si="553"/>
        <v>48</v>
      </c>
      <c r="H5289" t="str">
        <f t="shared" si="554"/>
        <v>PRISCILA METZ</v>
      </c>
      <c r="I5289" t="str">
        <f t="shared" si="555"/>
        <v>PLATINUM INDUSTRIA DE CONFECCOES LTDA</v>
      </c>
      <c r="J5289">
        <f t="shared" si="556"/>
        <v>0</v>
      </c>
      <c r="K5289">
        <f t="shared" si="557"/>
        <v>1</v>
      </c>
    </row>
    <row r="5290" spans="1:11" x14ac:dyDescent="0.25">
      <c r="A5290" t="s">
        <v>519</v>
      </c>
      <c r="B5290" t="s">
        <v>283</v>
      </c>
      <c r="C5290" t="s">
        <v>66</v>
      </c>
      <c r="D5290" s="6">
        <v>45988</v>
      </c>
      <c r="E5290" t="str">
        <f>VLOOKUP(B5290,'PROCV GERENTES BD'!A:B,2,0)</f>
        <v>DALVA</v>
      </c>
      <c r="F5290" s="4" t="str">
        <f t="shared" si="552"/>
        <v>2025-11</v>
      </c>
      <c r="G5290" s="18">
        <f t="shared" si="553"/>
        <v>48</v>
      </c>
      <c r="H5290" t="str">
        <f t="shared" si="554"/>
        <v>DALVA</v>
      </c>
      <c r="I5290" t="str">
        <f t="shared" si="555"/>
        <v>LTA USINAGEM LTDA EPP</v>
      </c>
      <c r="J5290">
        <f t="shared" si="556"/>
        <v>1</v>
      </c>
      <c r="K5290">
        <f t="shared" si="557"/>
        <v>0</v>
      </c>
    </row>
    <row r="5291" spans="1:11" x14ac:dyDescent="0.25">
      <c r="A5291" t="s">
        <v>64</v>
      </c>
      <c r="B5291" t="s">
        <v>65</v>
      </c>
      <c r="C5291" t="s">
        <v>66</v>
      </c>
      <c r="D5291" s="6">
        <v>45988</v>
      </c>
      <c r="E5291" t="str">
        <f>VLOOKUP(B5291,'PROCV GERENTES BD'!A:B,2,0)</f>
        <v>ADMINISTRAÇÃO</v>
      </c>
      <c r="F5291" s="4" t="str">
        <f t="shared" si="552"/>
        <v>2025-11</v>
      </c>
      <c r="G5291" s="18">
        <f t="shared" si="553"/>
        <v>48</v>
      </c>
      <c r="H5291" t="str">
        <f t="shared" si="554"/>
        <v>ADMINISTRAÇÃO</v>
      </c>
      <c r="I5291" t="str">
        <f t="shared" si="555"/>
        <v>SOCIAL S/A</v>
      </c>
      <c r="J5291">
        <f t="shared" si="556"/>
        <v>1</v>
      </c>
      <c r="K5291">
        <f t="shared" si="557"/>
        <v>0</v>
      </c>
    </row>
    <row r="5292" spans="1:11" x14ac:dyDescent="0.25">
      <c r="A5292" t="s">
        <v>427</v>
      </c>
      <c r="B5292" t="s">
        <v>178</v>
      </c>
      <c r="C5292" t="s">
        <v>50</v>
      </c>
      <c r="D5292" s="6">
        <v>45988</v>
      </c>
      <c r="E5292" t="str">
        <f>VLOOKUP(B5292,'PROCV GERENTES BD'!A:B,2,0)</f>
        <v>ADMINISTRAÇÃO</v>
      </c>
      <c r="F5292" s="4" t="str">
        <f t="shared" si="552"/>
        <v>2025-11</v>
      </c>
      <c r="G5292" s="18">
        <f t="shared" si="553"/>
        <v>48</v>
      </c>
      <c r="H5292" t="str">
        <f t="shared" si="554"/>
        <v>ADMINISTRAÇÃO</v>
      </c>
      <c r="I5292" t="str">
        <f t="shared" si="555"/>
        <v>LIZZENA COSMETICOS LTDA EPP</v>
      </c>
      <c r="J5292">
        <f t="shared" si="556"/>
        <v>0</v>
      </c>
      <c r="K5292">
        <f t="shared" si="557"/>
        <v>1</v>
      </c>
    </row>
    <row r="5293" spans="1:11" x14ac:dyDescent="0.25">
      <c r="A5293" t="s">
        <v>630</v>
      </c>
      <c r="B5293" t="s">
        <v>559</v>
      </c>
      <c r="C5293" t="s">
        <v>50</v>
      </c>
      <c r="D5293" s="6">
        <v>45988</v>
      </c>
      <c r="E5293" t="str">
        <f>VLOOKUP(B5293,'PROCV GERENTES BD'!A:B,2,0)</f>
        <v>ALISSON DE SOUZA LIMA</v>
      </c>
      <c r="F5293" s="4" t="str">
        <f t="shared" si="552"/>
        <v>2025-11</v>
      </c>
      <c r="G5293" s="18">
        <f t="shared" si="553"/>
        <v>48</v>
      </c>
      <c r="H5293" t="str">
        <f t="shared" si="554"/>
        <v>ALISSON DE SOUZA LIMA</v>
      </c>
      <c r="I5293" t="str">
        <f t="shared" si="555"/>
        <v>JRG SOLUCOES INDUSTRIAIS LTDA</v>
      </c>
      <c r="J5293">
        <f t="shared" si="556"/>
        <v>0</v>
      </c>
      <c r="K5293">
        <f t="shared" si="557"/>
        <v>1</v>
      </c>
    </row>
    <row r="5294" spans="1:11" x14ac:dyDescent="0.25">
      <c r="A5294" t="s">
        <v>457</v>
      </c>
      <c r="B5294" t="s">
        <v>214</v>
      </c>
      <c r="C5294" t="s">
        <v>50</v>
      </c>
      <c r="D5294" s="6">
        <v>45988</v>
      </c>
      <c r="E5294" t="str">
        <f>VLOOKUP(B5294,'PROCV GERENTES BD'!A:B,2,0)</f>
        <v xml:space="preserve">ROGERIO </v>
      </c>
      <c r="F5294" s="4" t="str">
        <f t="shared" si="552"/>
        <v>2025-11</v>
      </c>
      <c r="G5294" s="18">
        <f t="shared" si="553"/>
        <v>48</v>
      </c>
      <c r="H5294" t="str">
        <f t="shared" si="554"/>
        <v xml:space="preserve">ROGERIO </v>
      </c>
      <c r="I5294" t="str">
        <f t="shared" si="555"/>
        <v>METAL STAMP INDUSTRIA E COMERCIO LTDA</v>
      </c>
      <c r="J5294">
        <f t="shared" si="556"/>
        <v>0</v>
      </c>
      <c r="K5294">
        <f t="shared" si="557"/>
        <v>1</v>
      </c>
    </row>
    <row r="5295" spans="1:11" x14ac:dyDescent="0.25">
      <c r="A5295" t="s">
        <v>460</v>
      </c>
      <c r="B5295" t="s">
        <v>217</v>
      </c>
      <c r="C5295" t="s">
        <v>50</v>
      </c>
      <c r="D5295" s="6">
        <v>45988</v>
      </c>
      <c r="E5295" t="str">
        <f>VLOOKUP(B5295,'PROCV GERENTES BD'!A:B,2,0)</f>
        <v>CELIO PIMENTA</v>
      </c>
      <c r="F5295" s="4" t="str">
        <f t="shared" si="552"/>
        <v>2025-11</v>
      </c>
      <c r="G5295" s="18">
        <f t="shared" si="553"/>
        <v>48</v>
      </c>
      <c r="H5295" t="str">
        <f t="shared" si="554"/>
        <v>CELIO PIMENTA</v>
      </c>
      <c r="I5295" t="str">
        <f t="shared" si="555"/>
        <v>MINAS CLEAN DISTRIBUIDORA DE PRODUTOS PARA LIMPEZA</v>
      </c>
      <c r="J5295">
        <f t="shared" si="556"/>
        <v>0</v>
      </c>
      <c r="K5295">
        <f t="shared" si="557"/>
        <v>1</v>
      </c>
    </row>
    <row r="5296" spans="1:11" x14ac:dyDescent="0.25">
      <c r="A5296" t="s">
        <v>510</v>
      </c>
      <c r="B5296" t="s">
        <v>273</v>
      </c>
      <c r="C5296" t="s">
        <v>66</v>
      </c>
      <c r="D5296" s="6">
        <v>45988</v>
      </c>
      <c r="E5296" t="str">
        <f>VLOOKUP(B5296,'PROCV GERENTES BD'!A:B,2,0)</f>
        <v>CELIO PIMENTA</v>
      </c>
      <c r="F5296" s="4" t="str">
        <f t="shared" si="552"/>
        <v>2025-11</v>
      </c>
      <c r="G5296" s="18">
        <f t="shared" si="553"/>
        <v>48</v>
      </c>
      <c r="H5296" t="str">
        <f t="shared" si="554"/>
        <v>CELIO PIMENTA</v>
      </c>
      <c r="I5296" t="str">
        <f t="shared" si="555"/>
        <v>PRADO MOREIRA TEXTIL LTDA ME</v>
      </c>
      <c r="J5296">
        <f t="shared" si="556"/>
        <v>1</v>
      </c>
      <c r="K5296">
        <f t="shared" si="557"/>
        <v>0</v>
      </c>
    </row>
    <row r="5297" spans="1:11" x14ac:dyDescent="0.25">
      <c r="A5297" t="s">
        <v>736</v>
      </c>
      <c r="B5297" t="s">
        <v>737</v>
      </c>
      <c r="C5297" t="s">
        <v>50</v>
      </c>
      <c r="D5297" s="6">
        <v>45988</v>
      </c>
      <c r="E5297" t="str">
        <f>VLOOKUP(B5297,'PROCV GERENTES BD'!A:B,2,0)</f>
        <v>SACADO</v>
      </c>
      <c r="F5297" s="4" t="str">
        <f t="shared" si="552"/>
        <v>2025-11</v>
      </c>
      <c r="G5297" s="18">
        <f t="shared" si="553"/>
        <v>48</v>
      </c>
      <c r="H5297" t="str">
        <f t="shared" si="554"/>
        <v>SACADO</v>
      </c>
      <c r="I5297" t="str">
        <f t="shared" si="555"/>
        <v>ELETRICA DANUBIO INDUSTRIA E COMERCIO DE MATERIAIS</v>
      </c>
      <c r="J5297">
        <f t="shared" si="556"/>
        <v>0</v>
      </c>
      <c r="K5297">
        <f t="shared" si="557"/>
        <v>1</v>
      </c>
    </row>
    <row r="5298" spans="1:11" x14ac:dyDescent="0.25">
      <c r="A5298" t="s">
        <v>311</v>
      </c>
      <c r="B5298" t="s">
        <v>81</v>
      </c>
      <c r="C5298" t="s">
        <v>66</v>
      </c>
      <c r="D5298" s="6">
        <v>45989</v>
      </c>
      <c r="E5298" t="str">
        <f>VLOOKUP(B5298,'PROCV GERENTES BD'!A:B,2,0)</f>
        <v>CELIO PIMENTA</v>
      </c>
      <c r="F5298" s="4" t="str">
        <f t="shared" ref="F5298:F5310" si="558">YEAR(D5298)&amp;"-"&amp;TEXT(MONTH(D5298),"00")</f>
        <v>2025-11</v>
      </c>
      <c r="G5298" s="18">
        <f t="shared" ref="G5298:G5310" si="559">WEEKNUM(D5298)</f>
        <v>48</v>
      </c>
      <c r="H5298" t="str">
        <f t="shared" ref="H5298:H5310" si="560">E5298</f>
        <v>CELIO PIMENTA</v>
      </c>
      <c r="I5298" t="str">
        <f t="shared" ref="I5298:I5310" si="561">B5298</f>
        <v>MBIOLOG DIAGNOSTICOS LTDA</v>
      </c>
      <c r="J5298">
        <f t="shared" ref="J5298:J5310" si="562">IF(OR(C5298="EXCLUSAO  ANOT.INADIMPLENCIA",C5298="INCL/EXCL ANOT.INADIMPLENCIA"),1,0)</f>
        <v>1</v>
      </c>
      <c r="K5298">
        <f t="shared" ref="K5298:K5310" si="563">IF(OR(C5298="INCLUSAO  ANOT.INADIMPLENCIA",C5298="INCL/EXCL ANOT.INADIMPLENCIA"),1,0)</f>
        <v>0</v>
      </c>
    </row>
    <row r="5299" spans="1:11" x14ac:dyDescent="0.25">
      <c r="A5299" t="s">
        <v>700</v>
      </c>
      <c r="B5299" t="s">
        <v>680</v>
      </c>
      <c r="C5299" t="s">
        <v>50</v>
      </c>
      <c r="D5299" s="6">
        <v>45989</v>
      </c>
      <c r="E5299" t="str">
        <f>VLOOKUP(B5299,'PROCV GERENTES BD'!A:B,2,0)</f>
        <v>POENATELA</v>
      </c>
      <c r="F5299" s="4" t="str">
        <f t="shared" si="558"/>
        <v>2025-11</v>
      </c>
      <c r="G5299" s="18">
        <f t="shared" si="559"/>
        <v>48</v>
      </c>
      <c r="H5299" t="str">
        <f t="shared" si="560"/>
        <v>POENATELA</v>
      </c>
      <c r="I5299" t="str">
        <f t="shared" si="561"/>
        <v>BIORGANICA PRODUTOS ORGANICOS LTDA</v>
      </c>
      <c r="J5299">
        <f t="shared" si="562"/>
        <v>0</v>
      </c>
      <c r="K5299">
        <f t="shared" si="563"/>
        <v>1</v>
      </c>
    </row>
    <row r="5300" spans="1:11" x14ac:dyDescent="0.25">
      <c r="A5300" t="s">
        <v>698</v>
      </c>
      <c r="B5300" t="s">
        <v>699</v>
      </c>
      <c r="C5300" t="s">
        <v>50</v>
      </c>
      <c r="D5300" s="6">
        <v>45989</v>
      </c>
      <c r="E5300" t="str">
        <f>VLOOKUP(B5300,'PROCV GERENTES BD'!A:B,2,0)</f>
        <v>VALERIA</v>
      </c>
      <c r="F5300" s="4" t="str">
        <f t="shared" si="558"/>
        <v>2025-11</v>
      </c>
      <c r="G5300" s="18">
        <f t="shared" si="559"/>
        <v>48</v>
      </c>
      <c r="H5300" t="str">
        <f t="shared" si="560"/>
        <v>VALERIA</v>
      </c>
      <c r="I5300" t="str">
        <f t="shared" si="561"/>
        <v>FRIGORIFICO BRAZFRIG INDUSTRIA E IMPORTACAO LTDA E</v>
      </c>
      <c r="J5300">
        <f t="shared" si="562"/>
        <v>0</v>
      </c>
      <c r="K5300">
        <f t="shared" si="563"/>
        <v>1</v>
      </c>
    </row>
    <row r="5301" spans="1:11" x14ac:dyDescent="0.25">
      <c r="A5301" t="s">
        <v>361</v>
      </c>
      <c r="B5301" t="s">
        <v>106</v>
      </c>
      <c r="C5301" t="s">
        <v>50</v>
      </c>
      <c r="D5301" s="6">
        <v>45989</v>
      </c>
      <c r="E5301" t="str">
        <f>VLOOKUP(B5301,'PROCV GERENTES BD'!A:B,2,0)</f>
        <v>PRISCILA METZ</v>
      </c>
      <c r="F5301" s="4" t="str">
        <f t="shared" si="558"/>
        <v>2025-11</v>
      </c>
      <c r="G5301" s="18">
        <f t="shared" si="559"/>
        <v>48</v>
      </c>
      <c r="H5301" t="str">
        <f t="shared" si="560"/>
        <v>PRISCILA METZ</v>
      </c>
      <c r="I5301" t="str">
        <f t="shared" si="561"/>
        <v>HERBAMED LABORATORIO NUTRACEUTICO LTDA</v>
      </c>
      <c r="J5301">
        <f t="shared" si="562"/>
        <v>0</v>
      </c>
      <c r="K5301">
        <f t="shared" si="563"/>
        <v>1</v>
      </c>
    </row>
    <row r="5302" spans="1:11" x14ac:dyDescent="0.25">
      <c r="A5302" t="s">
        <v>331</v>
      </c>
      <c r="B5302" t="s">
        <v>144</v>
      </c>
      <c r="C5302" t="s">
        <v>50</v>
      </c>
      <c r="D5302" s="6">
        <v>45989</v>
      </c>
      <c r="E5302" t="str">
        <f>VLOOKUP(B5302,'PROCV GERENTES BD'!A:B,2,0)</f>
        <v>ADMINISTRAÇÃO</v>
      </c>
      <c r="F5302" s="4" t="str">
        <f t="shared" si="558"/>
        <v>2025-11</v>
      </c>
      <c r="G5302" s="18">
        <f t="shared" si="559"/>
        <v>48</v>
      </c>
      <c r="H5302" t="str">
        <f t="shared" si="560"/>
        <v>ADMINISTRAÇÃO</v>
      </c>
      <c r="I5302" t="str">
        <f t="shared" si="561"/>
        <v>BOM PASTOR PAPEIS LTDA EM RECUPERACAO JUDICIAL</v>
      </c>
      <c r="J5302">
        <f t="shared" si="562"/>
        <v>0</v>
      </c>
      <c r="K5302">
        <f t="shared" si="563"/>
        <v>1</v>
      </c>
    </row>
    <row r="5303" spans="1:11" x14ac:dyDescent="0.25">
      <c r="A5303" t="s">
        <v>58</v>
      </c>
      <c r="B5303" t="s">
        <v>59</v>
      </c>
      <c r="C5303" t="s">
        <v>50</v>
      </c>
      <c r="D5303" s="6">
        <v>45989</v>
      </c>
      <c r="E5303" t="str">
        <f>VLOOKUP(B5303,'PROCV GERENTES BD'!A:B,2,0)</f>
        <v>ADMINISTRAÇÃO</v>
      </c>
      <c r="F5303" s="4" t="str">
        <f t="shared" si="558"/>
        <v>2025-11</v>
      </c>
      <c r="G5303" s="18">
        <f t="shared" si="559"/>
        <v>48</v>
      </c>
      <c r="H5303" t="str">
        <f t="shared" si="560"/>
        <v>ADMINISTRAÇÃO</v>
      </c>
      <c r="I5303" t="str">
        <f t="shared" si="561"/>
        <v>BIOTECH LOGISTICA LTDA</v>
      </c>
      <c r="J5303">
        <f t="shared" si="562"/>
        <v>0</v>
      </c>
      <c r="K5303">
        <f t="shared" si="563"/>
        <v>1</v>
      </c>
    </row>
    <row r="5304" spans="1:11" x14ac:dyDescent="0.25">
      <c r="A5304" t="s">
        <v>64</v>
      </c>
      <c r="B5304" t="s">
        <v>65</v>
      </c>
      <c r="C5304" t="s">
        <v>50</v>
      </c>
      <c r="D5304" s="6">
        <v>45989</v>
      </c>
      <c r="E5304" t="str">
        <f>VLOOKUP(B5304,'PROCV GERENTES BD'!A:B,2,0)</f>
        <v>ADMINISTRAÇÃO</v>
      </c>
      <c r="F5304" s="4" t="str">
        <f t="shared" si="558"/>
        <v>2025-11</v>
      </c>
      <c r="G5304" s="18">
        <f t="shared" si="559"/>
        <v>48</v>
      </c>
      <c r="H5304" t="str">
        <f t="shared" si="560"/>
        <v>ADMINISTRAÇÃO</v>
      </c>
      <c r="I5304" t="str">
        <f t="shared" si="561"/>
        <v>SOCIAL S/A</v>
      </c>
      <c r="J5304">
        <f t="shared" si="562"/>
        <v>0</v>
      </c>
      <c r="K5304">
        <f t="shared" si="563"/>
        <v>1</v>
      </c>
    </row>
    <row r="5305" spans="1:11" x14ac:dyDescent="0.25">
      <c r="A5305" t="s">
        <v>614</v>
      </c>
      <c r="B5305" t="s">
        <v>615</v>
      </c>
      <c r="C5305" t="s">
        <v>66</v>
      </c>
      <c r="D5305" s="6">
        <v>45989</v>
      </c>
      <c r="E5305" t="str">
        <f>VLOOKUP(B5305,'PROCV GERENTES BD'!A:B,2,0)</f>
        <v>RAFAEL PARISE</v>
      </c>
      <c r="F5305" s="4" t="str">
        <f t="shared" si="558"/>
        <v>2025-11</v>
      </c>
      <c r="G5305" s="18">
        <f t="shared" si="559"/>
        <v>48</v>
      </c>
      <c r="H5305" t="str">
        <f t="shared" si="560"/>
        <v>RAFAEL PARISE</v>
      </c>
      <c r="I5305" t="str">
        <f t="shared" si="561"/>
        <v>SAGATEC LTDA</v>
      </c>
      <c r="J5305">
        <f t="shared" si="562"/>
        <v>1</v>
      </c>
      <c r="K5305">
        <f t="shared" si="563"/>
        <v>0</v>
      </c>
    </row>
    <row r="5306" spans="1:11" x14ac:dyDescent="0.25">
      <c r="A5306" t="s">
        <v>448</v>
      </c>
      <c r="B5306" t="s">
        <v>201</v>
      </c>
      <c r="C5306" t="s">
        <v>50</v>
      </c>
      <c r="D5306" s="6">
        <v>45989</v>
      </c>
      <c r="E5306" t="str">
        <f>VLOOKUP(B5306,'PROCV GERENTES BD'!A:B,2,0)</f>
        <v>PRISCILA METZ</v>
      </c>
      <c r="F5306" s="4" t="str">
        <f t="shared" si="558"/>
        <v>2025-11</v>
      </c>
      <c r="G5306" s="18">
        <f t="shared" si="559"/>
        <v>48</v>
      </c>
      <c r="H5306" t="str">
        <f t="shared" si="560"/>
        <v>PRISCILA METZ</v>
      </c>
      <c r="I5306" t="str">
        <f t="shared" si="561"/>
        <v>M TRATORES LTDA EPP</v>
      </c>
      <c r="J5306">
        <f t="shared" si="562"/>
        <v>0</v>
      </c>
      <c r="K5306">
        <f t="shared" si="563"/>
        <v>1</v>
      </c>
    </row>
    <row r="5307" spans="1:11" x14ac:dyDescent="0.25">
      <c r="A5307" t="s">
        <v>708</v>
      </c>
      <c r="B5307" t="s">
        <v>570</v>
      </c>
      <c r="C5307" t="s">
        <v>50</v>
      </c>
      <c r="D5307" s="6">
        <v>45989</v>
      </c>
      <c r="E5307" t="str">
        <f>VLOOKUP(B5307,'PROCV GERENTES BD'!A:B,2,0)</f>
        <v>RAFAEL PARISE</v>
      </c>
      <c r="F5307" s="4" t="str">
        <f t="shared" si="558"/>
        <v>2025-11</v>
      </c>
      <c r="G5307" s="18">
        <f t="shared" si="559"/>
        <v>48</v>
      </c>
      <c r="H5307" t="str">
        <f t="shared" si="560"/>
        <v>RAFAEL PARISE</v>
      </c>
      <c r="I5307" t="str">
        <f t="shared" si="561"/>
        <v>NITROTEX INDUSTRIA E COMERCIO TEXTEIS LTDA ME</v>
      </c>
      <c r="J5307">
        <f t="shared" si="562"/>
        <v>0</v>
      </c>
      <c r="K5307">
        <f t="shared" si="563"/>
        <v>1</v>
      </c>
    </row>
    <row r="5308" spans="1:11" x14ac:dyDescent="0.25">
      <c r="A5308" t="s">
        <v>370</v>
      </c>
      <c r="B5308" t="s">
        <v>114</v>
      </c>
      <c r="C5308" t="s">
        <v>66</v>
      </c>
      <c r="D5308" s="6">
        <v>45989</v>
      </c>
      <c r="E5308" t="str">
        <f>VLOOKUP(B5308,'PROCV GERENTES BD'!A:B,2,0)</f>
        <v>POENATELA</v>
      </c>
      <c r="F5308" s="4" t="str">
        <f t="shared" si="558"/>
        <v>2025-11</v>
      </c>
      <c r="G5308" s="18">
        <f t="shared" si="559"/>
        <v>48</v>
      </c>
      <c r="H5308" t="str">
        <f t="shared" si="560"/>
        <v>POENATELA</v>
      </c>
      <c r="I5308" t="str">
        <f t="shared" si="561"/>
        <v>COOPERATIVA TRANSP AUTON CARGAS PASSAG SERVICOS LO</v>
      </c>
      <c r="J5308">
        <f t="shared" si="562"/>
        <v>1</v>
      </c>
      <c r="K5308">
        <f t="shared" si="563"/>
        <v>0</v>
      </c>
    </row>
    <row r="5309" spans="1:11" x14ac:dyDescent="0.25">
      <c r="A5309" t="s">
        <v>492</v>
      </c>
      <c r="B5309" t="s">
        <v>251</v>
      </c>
      <c r="C5309" t="s">
        <v>50</v>
      </c>
      <c r="D5309" s="6">
        <v>45989</v>
      </c>
      <c r="E5309" t="str">
        <f>VLOOKUP(B5309,'PROCV GERENTES BD'!A:B,2,0)</f>
        <v>PROSPECTAR</v>
      </c>
      <c r="F5309" s="4" t="str">
        <f t="shared" si="558"/>
        <v>2025-11</v>
      </c>
      <c r="G5309" s="18">
        <f t="shared" si="559"/>
        <v>48</v>
      </c>
      <c r="H5309" t="str">
        <f t="shared" si="560"/>
        <v>PROSPECTAR</v>
      </c>
      <c r="I5309" t="str">
        <f t="shared" si="561"/>
        <v>JANE FIGUEIRA CONFECCOES LTDA ME</v>
      </c>
      <c r="J5309">
        <f t="shared" si="562"/>
        <v>0</v>
      </c>
      <c r="K5309">
        <f t="shared" si="563"/>
        <v>1</v>
      </c>
    </row>
    <row r="5310" spans="1:11" x14ac:dyDescent="0.25">
      <c r="A5310" t="s">
        <v>687</v>
      </c>
      <c r="B5310" t="s">
        <v>684</v>
      </c>
      <c r="C5310" t="s">
        <v>50</v>
      </c>
      <c r="D5310" s="6">
        <v>45989</v>
      </c>
      <c r="E5310" t="str">
        <f>VLOOKUP(B5310,'PROCV GERENTES BD'!A:B,2,0)</f>
        <v>DALVA</v>
      </c>
      <c r="F5310" s="4" t="str">
        <f t="shared" si="558"/>
        <v>2025-11</v>
      </c>
      <c r="G5310" s="18">
        <f t="shared" si="559"/>
        <v>48</v>
      </c>
      <c r="H5310" t="str">
        <f t="shared" si="560"/>
        <v>DALVA</v>
      </c>
      <c r="I5310" t="str">
        <f t="shared" si="561"/>
        <v>AGUIA DE FOGO PREVENCAO DE INCENDIO LTDA EPP</v>
      </c>
      <c r="J5310">
        <f t="shared" si="562"/>
        <v>0</v>
      </c>
      <c r="K5310">
        <f t="shared" si="563"/>
        <v>1</v>
      </c>
    </row>
    <row r="5311" spans="1:11" x14ac:dyDescent="0.25">
      <c r="A5311" t="s">
        <v>304</v>
      </c>
      <c r="B5311" t="s">
        <v>689</v>
      </c>
      <c r="C5311" t="s">
        <v>66</v>
      </c>
      <c r="D5311" s="6">
        <v>45990</v>
      </c>
      <c r="E5311" t="str">
        <f>VLOOKUP(B5311,'PROCV GERENTES BD'!A:B,2,0)</f>
        <v>ADMINISTRAÇÃO</v>
      </c>
      <c r="F5311" s="4" t="str">
        <f t="shared" ref="F5311:F5335" si="564">YEAR(D5311)&amp;"-"&amp;TEXT(MONTH(D5311),"00")</f>
        <v>2025-11</v>
      </c>
      <c r="G5311" s="18">
        <f t="shared" ref="G5311:G5335" si="565">WEEKNUM(D5311)</f>
        <v>48</v>
      </c>
      <c r="H5311" t="str">
        <f t="shared" ref="H5311:H5335" si="566">E5311</f>
        <v>ADMINISTRAÇÃO</v>
      </c>
      <c r="I5311" t="str">
        <f t="shared" ref="I5311:I5335" si="567">B5311</f>
        <v>VIC LOGISTICA LTDA</v>
      </c>
      <c r="J5311">
        <f t="shared" ref="J5311:J5335" si="568">IF(OR(C5311="EXCLUSAO  ANOT.INADIMPLENCIA",C5311="INCL/EXCL ANOT.INADIMPLENCIA"),1,0)</f>
        <v>1</v>
      </c>
      <c r="K5311">
        <f t="shared" ref="K5311:K5335" si="569">IF(OR(C5311="INCLUSAO  ANOT.INADIMPLENCIA",C5311="INCL/EXCL ANOT.INADIMPLENCIA"),1,0)</f>
        <v>0</v>
      </c>
    </row>
    <row r="5312" spans="1:11" x14ac:dyDescent="0.25">
      <c r="A5312" t="s">
        <v>653</v>
      </c>
      <c r="B5312" t="s">
        <v>566</v>
      </c>
      <c r="C5312" t="s">
        <v>50</v>
      </c>
      <c r="D5312" s="6">
        <v>45990</v>
      </c>
      <c r="E5312" t="str">
        <f>VLOOKUP(B5312,'PROCV GERENTES BD'!A:B,2,0)</f>
        <v>DIOGO AZEVEDO</v>
      </c>
      <c r="F5312" s="4" t="str">
        <f t="shared" si="564"/>
        <v>2025-11</v>
      </c>
      <c r="G5312" s="18">
        <f t="shared" si="565"/>
        <v>48</v>
      </c>
      <c r="H5312" t="str">
        <f t="shared" si="566"/>
        <v>DIOGO AZEVEDO</v>
      </c>
      <c r="I5312" t="str">
        <f t="shared" si="567"/>
        <v>MILK LAT LTDA EPP</v>
      </c>
      <c r="J5312">
        <f t="shared" si="568"/>
        <v>0</v>
      </c>
      <c r="K5312">
        <f t="shared" si="569"/>
        <v>1</v>
      </c>
    </row>
    <row r="5313" spans="1:11" x14ac:dyDescent="0.25">
      <c r="A5313" t="s">
        <v>457</v>
      </c>
      <c r="B5313" t="s">
        <v>214</v>
      </c>
      <c r="C5313" t="s">
        <v>50</v>
      </c>
      <c r="D5313" s="6">
        <v>45990</v>
      </c>
      <c r="E5313" t="str">
        <f>VLOOKUP(B5313,'PROCV GERENTES BD'!A:B,2,0)</f>
        <v xml:space="preserve">ROGERIO </v>
      </c>
      <c r="F5313" s="4" t="str">
        <f t="shared" si="564"/>
        <v>2025-11</v>
      </c>
      <c r="G5313" s="18">
        <f t="shared" si="565"/>
        <v>48</v>
      </c>
      <c r="H5313" t="str">
        <f t="shared" si="566"/>
        <v xml:space="preserve">ROGERIO </v>
      </c>
      <c r="I5313" t="str">
        <f t="shared" si="567"/>
        <v>METAL STAMP INDUSTRIA E COMERCIO LTDA</v>
      </c>
      <c r="J5313">
        <f t="shared" si="568"/>
        <v>0</v>
      </c>
      <c r="K5313">
        <f t="shared" si="569"/>
        <v>1</v>
      </c>
    </row>
    <row r="5314" spans="1:11" x14ac:dyDescent="0.25">
      <c r="A5314" t="s">
        <v>667</v>
      </c>
      <c r="B5314" t="s">
        <v>560</v>
      </c>
      <c r="C5314" t="s">
        <v>53</v>
      </c>
      <c r="D5314" s="6">
        <v>45990</v>
      </c>
      <c r="E5314" t="str">
        <f>VLOOKUP(B5314,'PROCV GERENTES BD'!A:B,2,0)</f>
        <v>ALISSON DE SOUZA LIMA</v>
      </c>
      <c r="F5314" s="4" t="str">
        <f t="shared" si="564"/>
        <v>2025-11</v>
      </c>
      <c r="G5314" s="18">
        <f t="shared" si="565"/>
        <v>48</v>
      </c>
      <c r="H5314" t="str">
        <f t="shared" si="566"/>
        <v>ALISSON DE SOUZA LIMA</v>
      </c>
      <c r="I5314" t="str">
        <f t="shared" si="567"/>
        <v>JRG SOLUCOES EM SERVICOS LTDA ME</v>
      </c>
      <c r="J5314">
        <f t="shared" si="568"/>
        <v>1</v>
      </c>
      <c r="K5314">
        <f t="shared" si="569"/>
        <v>1</v>
      </c>
    </row>
    <row r="5315" spans="1:11" x14ac:dyDescent="0.25">
      <c r="A5315" t="s">
        <v>314</v>
      </c>
      <c r="B5315" t="s">
        <v>246</v>
      </c>
      <c r="C5315" t="s">
        <v>50</v>
      </c>
      <c r="D5315" s="6">
        <v>45990</v>
      </c>
      <c r="E5315" t="str">
        <f>VLOOKUP(B5315,'PROCV GERENTES BD'!A:B,2,0)</f>
        <v xml:space="preserve">ROGERIO </v>
      </c>
      <c r="F5315" s="4" t="str">
        <f t="shared" si="564"/>
        <v>2025-11</v>
      </c>
      <c r="G5315" s="18">
        <f t="shared" si="565"/>
        <v>48</v>
      </c>
      <c r="H5315" t="str">
        <f t="shared" si="566"/>
        <v xml:space="preserve">ROGERIO </v>
      </c>
      <c r="I5315" t="str">
        <f t="shared" si="567"/>
        <v>MUTCD CENTRO DE DISTRIBUICAO DE IND FABRICANTE DE</v>
      </c>
      <c r="J5315">
        <f t="shared" si="568"/>
        <v>0</v>
      </c>
      <c r="K5315">
        <f t="shared" si="569"/>
        <v>1</v>
      </c>
    </row>
    <row r="5316" spans="1:11" x14ac:dyDescent="0.25">
      <c r="A5316" t="s">
        <v>488</v>
      </c>
      <c r="B5316" t="s">
        <v>247</v>
      </c>
      <c r="C5316" t="s">
        <v>50</v>
      </c>
      <c r="D5316" s="6">
        <v>45990</v>
      </c>
      <c r="E5316" t="str">
        <f>VLOOKUP(B5316,'PROCV GERENTES BD'!A:B,2,0)</f>
        <v>CELIO PIMENTA</v>
      </c>
      <c r="F5316" s="4" t="str">
        <f t="shared" si="564"/>
        <v>2025-11</v>
      </c>
      <c r="G5316" s="18">
        <f t="shared" si="565"/>
        <v>48</v>
      </c>
      <c r="H5316" t="str">
        <f t="shared" si="566"/>
        <v>CELIO PIMENTA</v>
      </c>
      <c r="I5316" t="str">
        <f t="shared" si="567"/>
        <v>AZ HIDRAULICA USINAGEM LTDA EPP</v>
      </c>
      <c r="J5316">
        <f t="shared" si="568"/>
        <v>0</v>
      </c>
      <c r="K5316">
        <f t="shared" si="569"/>
        <v>1</v>
      </c>
    </row>
    <row r="5317" spans="1:11" x14ac:dyDescent="0.25">
      <c r="A5317" t="s">
        <v>655</v>
      </c>
      <c r="B5317" t="s">
        <v>548</v>
      </c>
      <c r="C5317" t="s">
        <v>53</v>
      </c>
      <c r="D5317" s="6">
        <v>45990</v>
      </c>
      <c r="E5317" t="str">
        <f>VLOOKUP(B5317,'PROCV GERENTES BD'!A:B,2,0)</f>
        <v xml:space="preserve">ROGERIO </v>
      </c>
      <c r="F5317" s="4" t="str">
        <f t="shared" si="564"/>
        <v>2025-11</v>
      </c>
      <c r="G5317" s="18">
        <f t="shared" si="565"/>
        <v>48</v>
      </c>
      <c r="H5317" t="str">
        <f t="shared" si="566"/>
        <v xml:space="preserve">ROGERIO </v>
      </c>
      <c r="I5317" t="str">
        <f t="shared" si="567"/>
        <v>AGROEP PISCICULTURA LTDA ME</v>
      </c>
      <c r="J5317">
        <f t="shared" si="568"/>
        <v>1</v>
      </c>
      <c r="K5317">
        <f t="shared" si="569"/>
        <v>1</v>
      </c>
    </row>
    <row r="5318" spans="1:11" x14ac:dyDescent="0.25">
      <c r="A5318" t="s">
        <v>658</v>
      </c>
      <c r="B5318" t="s">
        <v>659</v>
      </c>
      <c r="C5318" t="s">
        <v>50</v>
      </c>
      <c r="D5318" s="6">
        <v>45990</v>
      </c>
      <c r="E5318" t="str">
        <f>VLOOKUP(B5318,'PROCV GERENTES BD'!A:B,2,0)</f>
        <v>ADMINISTRAÇÃO</v>
      </c>
      <c r="F5318" s="4" t="str">
        <f t="shared" si="564"/>
        <v>2025-11</v>
      </c>
      <c r="G5318" s="18">
        <f t="shared" si="565"/>
        <v>48</v>
      </c>
      <c r="H5318" t="str">
        <f t="shared" si="566"/>
        <v>ADMINISTRAÇÃO</v>
      </c>
      <c r="I5318" t="str">
        <f t="shared" si="567"/>
        <v>LEFORM PLANEJADOS LTDA ME</v>
      </c>
      <c r="J5318">
        <f t="shared" si="568"/>
        <v>0</v>
      </c>
      <c r="K5318">
        <f t="shared" si="569"/>
        <v>1</v>
      </c>
    </row>
    <row r="5319" spans="1:11" x14ac:dyDescent="0.25">
      <c r="A5319" t="s">
        <v>630</v>
      </c>
      <c r="B5319" t="s">
        <v>559</v>
      </c>
      <c r="C5319" t="s">
        <v>50</v>
      </c>
      <c r="D5319" s="6">
        <v>45990</v>
      </c>
      <c r="E5319" t="str">
        <f>VLOOKUP(B5319,'PROCV GERENTES BD'!A:B,2,0)</f>
        <v>ALISSON DE SOUZA LIMA</v>
      </c>
      <c r="F5319" s="4" t="str">
        <f t="shared" si="564"/>
        <v>2025-11</v>
      </c>
      <c r="G5319" s="18">
        <f t="shared" si="565"/>
        <v>48</v>
      </c>
      <c r="H5319" t="str">
        <f t="shared" si="566"/>
        <v>ALISSON DE SOUZA LIMA</v>
      </c>
      <c r="I5319" t="str">
        <f t="shared" si="567"/>
        <v>JRG SOLUCOES INDUSTRIAIS LTDA</v>
      </c>
      <c r="J5319">
        <f t="shared" si="568"/>
        <v>0</v>
      </c>
      <c r="K5319">
        <f t="shared" si="569"/>
        <v>1</v>
      </c>
    </row>
    <row r="5320" spans="1:11" x14ac:dyDescent="0.25">
      <c r="A5320" t="s">
        <v>713</v>
      </c>
      <c r="B5320" t="s">
        <v>694</v>
      </c>
      <c r="C5320" t="s">
        <v>66</v>
      </c>
      <c r="D5320" s="6">
        <v>45990</v>
      </c>
      <c r="E5320" t="str">
        <f>VLOOKUP(B5320,'PROCV GERENTES BD'!A:B,2,0)</f>
        <v>CAIO</v>
      </c>
      <c r="F5320" s="4" t="str">
        <f t="shared" si="564"/>
        <v>2025-11</v>
      </c>
      <c r="G5320" s="18">
        <f t="shared" si="565"/>
        <v>48</v>
      </c>
      <c r="H5320" t="str">
        <f t="shared" si="566"/>
        <v>CAIO</v>
      </c>
      <c r="I5320" t="str">
        <f t="shared" si="567"/>
        <v>DENTAL FREE MATERIAIS E SOLUCOES ODONTOLOGICAS LTD</v>
      </c>
      <c r="J5320">
        <f t="shared" si="568"/>
        <v>1</v>
      </c>
      <c r="K5320">
        <f t="shared" si="569"/>
        <v>0</v>
      </c>
    </row>
    <row r="5321" spans="1:11" x14ac:dyDescent="0.25">
      <c r="A5321" t="s">
        <v>708</v>
      </c>
      <c r="B5321" t="s">
        <v>570</v>
      </c>
      <c r="C5321" t="s">
        <v>50</v>
      </c>
      <c r="D5321" s="6">
        <v>45990</v>
      </c>
      <c r="E5321" t="str">
        <f>VLOOKUP(B5321,'PROCV GERENTES BD'!A:B,2,0)</f>
        <v>RAFAEL PARISE</v>
      </c>
      <c r="F5321" s="4" t="str">
        <f t="shared" si="564"/>
        <v>2025-11</v>
      </c>
      <c r="G5321" s="18">
        <f t="shared" si="565"/>
        <v>48</v>
      </c>
      <c r="H5321" t="str">
        <f t="shared" si="566"/>
        <v>RAFAEL PARISE</v>
      </c>
      <c r="I5321" t="str">
        <f t="shared" si="567"/>
        <v>NITROTEX INDUSTRIA E COMERCIO TEXTEIS LTDA ME</v>
      </c>
      <c r="J5321">
        <f t="shared" si="568"/>
        <v>0</v>
      </c>
      <c r="K5321">
        <f t="shared" si="569"/>
        <v>1</v>
      </c>
    </row>
    <row r="5322" spans="1:11" x14ac:dyDescent="0.25">
      <c r="A5322" t="s">
        <v>510</v>
      </c>
      <c r="B5322" t="s">
        <v>273</v>
      </c>
      <c r="C5322" t="s">
        <v>50</v>
      </c>
      <c r="D5322" s="6">
        <v>45990</v>
      </c>
      <c r="E5322" t="str">
        <f>VLOOKUP(B5322,'PROCV GERENTES BD'!A:B,2,0)</f>
        <v>CELIO PIMENTA</v>
      </c>
      <c r="F5322" s="4" t="str">
        <f t="shared" si="564"/>
        <v>2025-11</v>
      </c>
      <c r="G5322" s="18">
        <f t="shared" si="565"/>
        <v>48</v>
      </c>
      <c r="H5322" t="str">
        <f t="shared" si="566"/>
        <v>CELIO PIMENTA</v>
      </c>
      <c r="I5322" t="str">
        <f t="shared" si="567"/>
        <v>PRADO MOREIRA TEXTIL LTDA ME</v>
      </c>
      <c r="J5322">
        <f t="shared" si="568"/>
        <v>0</v>
      </c>
      <c r="K5322">
        <f t="shared" si="569"/>
        <v>1</v>
      </c>
    </row>
    <row r="5323" spans="1:11" x14ac:dyDescent="0.25">
      <c r="A5323" t="s">
        <v>455</v>
      </c>
      <c r="B5323" t="s">
        <v>212</v>
      </c>
      <c r="C5323" t="s">
        <v>50</v>
      </c>
      <c r="D5323" s="6">
        <v>45990</v>
      </c>
      <c r="E5323" t="str">
        <f>VLOOKUP(B5323,'PROCV GERENTES BD'!A:B,2,0)</f>
        <v>ADMINISTRAÇÃO</v>
      </c>
      <c r="F5323" s="4" t="str">
        <f t="shared" si="564"/>
        <v>2025-11</v>
      </c>
      <c r="G5323" s="18">
        <f t="shared" si="565"/>
        <v>48</v>
      </c>
      <c r="H5323" t="str">
        <f t="shared" si="566"/>
        <v>ADMINISTRAÇÃO</v>
      </c>
      <c r="I5323" t="str">
        <f t="shared" si="567"/>
        <v>MAIS LAR ENGENHARIA LTDA</v>
      </c>
      <c r="J5323">
        <f t="shared" si="568"/>
        <v>0</v>
      </c>
      <c r="K5323">
        <f t="shared" si="569"/>
        <v>1</v>
      </c>
    </row>
    <row r="5324" spans="1:11" x14ac:dyDescent="0.25">
      <c r="A5324" t="s">
        <v>64</v>
      </c>
      <c r="B5324" t="s">
        <v>65</v>
      </c>
      <c r="C5324" t="s">
        <v>50</v>
      </c>
      <c r="D5324" s="6">
        <v>45990</v>
      </c>
      <c r="E5324" t="str">
        <f>VLOOKUP(B5324,'PROCV GERENTES BD'!A:B,2,0)</f>
        <v>ADMINISTRAÇÃO</v>
      </c>
      <c r="F5324" s="4" t="str">
        <f t="shared" si="564"/>
        <v>2025-11</v>
      </c>
      <c r="G5324" s="18">
        <f t="shared" si="565"/>
        <v>48</v>
      </c>
      <c r="H5324" t="str">
        <f t="shared" si="566"/>
        <v>ADMINISTRAÇÃO</v>
      </c>
      <c r="I5324" t="str">
        <f t="shared" si="567"/>
        <v>SOCIAL S/A</v>
      </c>
      <c r="J5324">
        <f t="shared" si="568"/>
        <v>0</v>
      </c>
      <c r="K5324">
        <f t="shared" si="569"/>
        <v>1</v>
      </c>
    </row>
    <row r="5325" spans="1:11" x14ac:dyDescent="0.25">
      <c r="A5325" t="s">
        <v>499</v>
      </c>
      <c r="B5325" t="s">
        <v>258</v>
      </c>
      <c r="C5325" t="s">
        <v>50</v>
      </c>
      <c r="D5325" s="6">
        <v>45990</v>
      </c>
      <c r="E5325" t="str">
        <f>VLOOKUP(B5325,'PROCV GERENTES BD'!A:B,2,0)</f>
        <v>PRISCILA METZ</v>
      </c>
      <c r="F5325" s="4" t="str">
        <f t="shared" si="564"/>
        <v>2025-11</v>
      </c>
      <c r="G5325" s="18">
        <f t="shared" si="565"/>
        <v>48</v>
      </c>
      <c r="H5325" t="str">
        <f t="shared" si="566"/>
        <v>PRISCILA METZ</v>
      </c>
      <c r="I5325" t="str">
        <f t="shared" si="567"/>
        <v>PLATINUM INDUSTRIA DE CONFECCOES LTDA</v>
      </c>
      <c r="J5325">
        <f t="shared" si="568"/>
        <v>0</v>
      </c>
      <c r="K5325">
        <f t="shared" si="569"/>
        <v>1</v>
      </c>
    </row>
    <row r="5326" spans="1:11" x14ac:dyDescent="0.25">
      <c r="A5326" t="s">
        <v>317</v>
      </c>
      <c r="B5326" t="s">
        <v>280</v>
      </c>
      <c r="C5326" t="s">
        <v>66</v>
      </c>
      <c r="D5326" s="6">
        <v>45990</v>
      </c>
      <c r="E5326" t="str">
        <f>VLOOKUP(B5326,'PROCV GERENTES BD'!A:B,2,0)</f>
        <v>PROSPECTAR</v>
      </c>
      <c r="F5326" s="4" t="str">
        <f t="shared" si="564"/>
        <v>2025-11</v>
      </c>
      <c r="G5326" s="18">
        <f t="shared" si="565"/>
        <v>48</v>
      </c>
      <c r="H5326" t="str">
        <f t="shared" si="566"/>
        <v>PROSPECTAR</v>
      </c>
      <c r="I5326" t="str">
        <f t="shared" si="567"/>
        <v>STA TECHCANA LTDA</v>
      </c>
      <c r="J5326">
        <f t="shared" si="568"/>
        <v>1</v>
      </c>
      <c r="K5326">
        <f t="shared" si="569"/>
        <v>0</v>
      </c>
    </row>
    <row r="5327" spans="1:11" x14ac:dyDescent="0.25">
      <c r="A5327" t="s">
        <v>722</v>
      </c>
      <c r="B5327" t="s">
        <v>723</v>
      </c>
      <c r="C5327" t="s">
        <v>53</v>
      </c>
      <c r="D5327" s="6">
        <v>45990</v>
      </c>
      <c r="E5327" t="str">
        <f>VLOOKUP(B5327,'PROCV GERENTES BD'!A:B,2,0)</f>
        <v>POENATELA</v>
      </c>
      <c r="F5327" s="4" t="str">
        <f t="shared" si="564"/>
        <v>2025-11</v>
      </c>
      <c r="G5327" s="18">
        <f t="shared" si="565"/>
        <v>48</v>
      </c>
      <c r="H5327" t="str">
        <f t="shared" si="566"/>
        <v>POENATELA</v>
      </c>
      <c r="I5327" t="str">
        <f t="shared" si="567"/>
        <v>LIDER MIX CONCRETOS E AGREGADOS LTDA</v>
      </c>
      <c r="J5327">
        <f t="shared" si="568"/>
        <v>1</v>
      </c>
      <c r="K5327">
        <f t="shared" si="569"/>
        <v>1</v>
      </c>
    </row>
    <row r="5328" spans="1:11" x14ac:dyDescent="0.25">
      <c r="A5328" t="s">
        <v>372</v>
      </c>
      <c r="B5328" t="s">
        <v>116</v>
      </c>
      <c r="C5328" t="s">
        <v>50</v>
      </c>
      <c r="D5328" s="6">
        <v>45990</v>
      </c>
      <c r="E5328" t="str">
        <f>VLOOKUP(B5328,'PROCV GERENTES BD'!A:B,2,0)</f>
        <v>ADMINISTRAÇÃO</v>
      </c>
      <c r="F5328" s="4" t="str">
        <f t="shared" si="564"/>
        <v>2025-11</v>
      </c>
      <c r="G5328" s="18">
        <f t="shared" si="565"/>
        <v>48</v>
      </c>
      <c r="H5328" t="str">
        <f t="shared" si="566"/>
        <v>ADMINISTRAÇÃO</v>
      </c>
      <c r="I5328" t="str">
        <f t="shared" si="567"/>
        <v>PREMOLDADOS MATOSINHOS LTDA EPP</v>
      </c>
      <c r="J5328">
        <f t="shared" si="568"/>
        <v>0</v>
      </c>
      <c r="K5328">
        <f t="shared" si="569"/>
        <v>1</v>
      </c>
    </row>
    <row r="5329" spans="1:11" x14ac:dyDescent="0.25">
      <c r="A5329" t="s">
        <v>358</v>
      </c>
      <c r="B5329" t="s">
        <v>104</v>
      </c>
      <c r="C5329" t="s">
        <v>50</v>
      </c>
      <c r="D5329" s="6">
        <v>45990</v>
      </c>
      <c r="E5329" t="str">
        <f>VLOOKUP(B5329,'PROCV GERENTES BD'!A:B,2,0)</f>
        <v>DIOGO AZEVEDO</v>
      </c>
      <c r="F5329" s="4" t="str">
        <f t="shared" si="564"/>
        <v>2025-11</v>
      </c>
      <c r="G5329" s="18">
        <f t="shared" si="565"/>
        <v>48</v>
      </c>
      <c r="H5329" t="str">
        <f t="shared" si="566"/>
        <v>DIOGO AZEVEDO</v>
      </c>
      <c r="I5329" t="str">
        <f t="shared" si="567"/>
        <v>INDUSTRIA E CERVEJARIA ARTESANAL DE MINAS GERAIS L</v>
      </c>
      <c r="J5329">
        <f t="shared" si="568"/>
        <v>0</v>
      </c>
      <c r="K5329">
        <f t="shared" si="569"/>
        <v>1</v>
      </c>
    </row>
    <row r="5330" spans="1:11" x14ac:dyDescent="0.25">
      <c r="A5330" t="s">
        <v>361</v>
      </c>
      <c r="B5330" t="s">
        <v>106</v>
      </c>
      <c r="C5330" t="s">
        <v>50</v>
      </c>
      <c r="D5330" s="6">
        <v>45990</v>
      </c>
      <c r="E5330" t="str">
        <f>VLOOKUP(B5330,'PROCV GERENTES BD'!A:B,2,0)</f>
        <v>PRISCILA METZ</v>
      </c>
      <c r="F5330" s="4" t="str">
        <f t="shared" si="564"/>
        <v>2025-11</v>
      </c>
      <c r="G5330" s="18">
        <f t="shared" si="565"/>
        <v>48</v>
      </c>
      <c r="H5330" t="str">
        <f t="shared" si="566"/>
        <v>PRISCILA METZ</v>
      </c>
      <c r="I5330" t="str">
        <f t="shared" si="567"/>
        <v>HERBAMED LABORATORIO NUTRACEUTICO LTDA</v>
      </c>
      <c r="J5330">
        <f t="shared" si="568"/>
        <v>0</v>
      </c>
      <c r="K5330">
        <f t="shared" si="569"/>
        <v>1</v>
      </c>
    </row>
    <row r="5331" spans="1:11" x14ac:dyDescent="0.25">
      <c r="A5331" t="s">
        <v>700</v>
      </c>
      <c r="B5331" t="s">
        <v>680</v>
      </c>
      <c r="C5331" t="s">
        <v>50</v>
      </c>
      <c r="D5331" s="6">
        <v>45990</v>
      </c>
      <c r="E5331" t="str">
        <f>VLOOKUP(B5331,'PROCV GERENTES BD'!A:B,2,0)</f>
        <v>POENATELA</v>
      </c>
      <c r="F5331" s="4" t="str">
        <f t="shared" si="564"/>
        <v>2025-11</v>
      </c>
      <c r="G5331" s="18">
        <f t="shared" si="565"/>
        <v>48</v>
      </c>
      <c r="H5331" t="str">
        <f t="shared" si="566"/>
        <v>POENATELA</v>
      </c>
      <c r="I5331" t="str">
        <f t="shared" si="567"/>
        <v>BIORGANICA PRODUTOS ORGANICOS LTDA</v>
      </c>
      <c r="J5331">
        <f t="shared" si="568"/>
        <v>0</v>
      </c>
      <c r="K5331">
        <f t="shared" si="569"/>
        <v>1</v>
      </c>
    </row>
    <row r="5332" spans="1:11" x14ac:dyDescent="0.25">
      <c r="A5332" t="s">
        <v>51</v>
      </c>
      <c r="B5332" t="s">
        <v>52</v>
      </c>
      <c r="C5332" t="s">
        <v>50</v>
      </c>
      <c r="D5332" s="6">
        <v>45990</v>
      </c>
      <c r="E5332" t="str">
        <f>VLOOKUP(B5332,'PROCV GERENTES BD'!A:B,2,0)</f>
        <v>RAFAEL PARISE</v>
      </c>
      <c r="F5332" s="4" t="str">
        <f t="shared" si="564"/>
        <v>2025-11</v>
      </c>
      <c r="G5332" s="18">
        <f t="shared" si="565"/>
        <v>48</v>
      </c>
      <c r="H5332" t="str">
        <f t="shared" si="566"/>
        <v>RAFAEL PARISE</v>
      </c>
      <c r="I5332" t="str">
        <f t="shared" si="567"/>
        <v>TDR TRANSPORTES LOGISTICA LTDA</v>
      </c>
      <c r="J5332">
        <f t="shared" si="568"/>
        <v>0</v>
      </c>
      <c r="K5332">
        <f t="shared" si="569"/>
        <v>1</v>
      </c>
    </row>
    <row r="5333" spans="1:11" x14ac:dyDescent="0.25">
      <c r="A5333" t="s">
        <v>660</v>
      </c>
      <c r="B5333" t="s">
        <v>545</v>
      </c>
      <c r="C5333" t="s">
        <v>53</v>
      </c>
      <c r="D5333" s="6">
        <v>45990</v>
      </c>
      <c r="E5333" t="str">
        <f>VLOOKUP(B5333,'PROCV GERENTES BD'!A:B,2,0)</f>
        <v xml:space="preserve">ROGERIO </v>
      </c>
      <c r="F5333" s="4" t="str">
        <f t="shared" si="564"/>
        <v>2025-11</v>
      </c>
      <c r="G5333" s="18">
        <f t="shared" si="565"/>
        <v>48</v>
      </c>
      <c r="H5333" t="str">
        <f t="shared" si="566"/>
        <v xml:space="preserve">ROGERIO </v>
      </c>
      <c r="I5333" t="str">
        <f t="shared" si="567"/>
        <v>DISEP ALIMENTOS LTDA ME</v>
      </c>
      <c r="J5333">
        <f t="shared" si="568"/>
        <v>1</v>
      </c>
      <c r="K5333">
        <f t="shared" si="569"/>
        <v>1</v>
      </c>
    </row>
    <row r="5334" spans="1:11" x14ac:dyDescent="0.25">
      <c r="A5334" t="s">
        <v>448</v>
      </c>
      <c r="B5334" t="s">
        <v>201</v>
      </c>
      <c r="C5334" t="s">
        <v>66</v>
      </c>
      <c r="D5334" s="6">
        <v>45990</v>
      </c>
      <c r="E5334" t="str">
        <f>VLOOKUP(B5334,'PROCV GERENTES BD'!A:B,2,0)</f>
        <v>PRISCILA METZ</v>
      </c>
      <c r="F5334" s="4" t="str">
        <f t="shared" si="564"/>
        <v>2025-11</v>
      </c>
      <c r="G5334" s="18">
        <f t="shared" si="565"/>
        <v>48</v>
      </c>
      <c r="H5334" t="str">
        <f t="shared" si="566"/>
        <v>PRISCILA METZ</v>
      </c>
      <c r="I5334" t="str">
        <f t="shared" si="567"/>
        <v>M TRATORES LTDA EPP</v>
      </c>
      <c r="J5334">
        <f t="shared" si="568"/>
        <v>1</v>
      </c>
      <c r="K5334">
        <f t="shared" si="569"/>
        <v>0</v>
      </c>
    </row>
    <row r="5335" spans="1:11" x14ac:dyDescent="0.25">
      <c r="A5335" t="s">
        <v>687</v>
      </c>
      <c r="B5335" t="s">
        <v>684</v>
      </c>
      <c r="C5335" t="s">
        <v>50</v>
      </c>
      <c r="D5335" s="6">
        <v>45990</v>
      </c>
      <c r="E5335" t="str">
        <f>VLOOKUP(B5335,'PROCV GERENTES BD'!A:B,2,0)</f>
        <v>DALVA</v>
      </c>
      <c r="F5335" s="4" t="str">
        <f t="shared" si="564"/>
        <v>2025-11</v>
      </c>
      <c r="G5335" s="18">
        <f t="shared" si="565"/>
        <v>48</v>
      </c>
      <c r="H5335" t="str">
        <f t="shared" si="566"/>
        <v>DALVA</v>
      </c>
      <c r="I5335" t="str">
        <f t="shared" si="567"/>
        <v>AGUIA DE FOGO PREVENCAO DE INCENDIO LTDA EPP</v>
      </c>
      <c r="J5335">
        <f t="shared" si="568"/>
        <v>0</v>
      </c>
      <c r="K5335">
        <f t="shared" si="569"/>
        <v>1</v>
      </c>
    </row>
    <row r="5336" spans="1:11" x14ac:dyDescent="0.25">
      <c r="A5336" t="s">
        <v>311</v>
      </c>
      <c r="B5336" t="s">
        <v>81</v>
      </c>
      <c r="C5336" t="s">
        <v>50</v>
      </c>
      <c r="D5336" s="6">
        <v>45993</v>
      </c>
      <c r="E5336" t="str">
        <f>VLOOKUP(B5336,'PROCV GERENTES BD'!A:B,2,0)</f>
        <v>CELIO PIMENTA</v>
      </c>
      <c r="F5336" s="4" t="str">
        <f t="shared" ref="F5336:F5370" si="570">YEAR(D5336)&amp;"-"&amp;TEXT(MONTH(D5336),"00")</f>
        <v>2025-12</v>
      </c>
      <c r="G5336" s="18">
        <f t="shared" ref="G5336:G5370" si="571">WEEKNUM(D5336)</f>
        <v>49</v>
      </c>
      <c r="H5336" t="str">
        <f t="shared" ref="H5336:H5370" si="572">E5336</f>
        <v>CELIO PIMENTA</v>
      </c>
      <c r="I5336" t="str">
        <f t="shared" ref="I5336:I5370" si="573">B5336</f>
        <v>MBIOLOG DIAGNOSTICOS LTDA</v>
      </c>
      <c r="J5336">
        <f t="shared" ref="J5336:J5370" si="574">IF(OR(C5336="EXCLUSAO  ANOT.INADIMPLENCIA",C5336="INCL/EXCL ANOT.INADIMPLENCIA"),1,0)</f>
        <v>0</v>
      </c>
      <c r="K5336">
        <f t="shared" ref="K5336:K5370" si="575">IF(OR(C5336="INCLUSAO  ANOT.INADIMPLENCIA",C5336="INCL/EXCL ANOT.INADIMPLENCIA"),1,0)</f>
        <v>1</v>
      </c>
    </row>
    <row r="5337" spans="1:11" x14ac:dyDescent="0.25">
      <c r="A5337" t="s">
        <v>455</v>
      </c>
      <c r="B5337" t="s">
        <v>212</v>
      </c>
      <c r="C5337" t="s">
        <v>50</v>
      </c>
      <c r="D5337" s="6">
        <v>45993</v>
      </c>
      <c r="E5337" t="str">
        <f>VLOOKUP(B5337,'PROCV GERENTES BD'!A:B,2,0)</f>
        <v>ADMINISTRAÇÃO</v>
      </c>
      <c r="F5337" s="4" t="str">
        <f t="shared" si="570"/>
        <v>2025-12</v>
      </c>
      <c r="G5337" s="18">
        <f t="shared" si="571"/>
        <v>49</v>
      </c>
      <c r="H5337" t="str">
        <f t="shared" si="572"/>
        <v>ADMINISTRAÇÃO</v>
      </c>
      <c r="I5337" t="str">
        <f t="shared" si="573"/>
        <v>MAIS LAR ENGENHARIA LTDA</v>
      </c>
      <c r="J5337">
        <f t="shared" si="574"/>
        <v>0</v>
      </c>
      <c r="K5337">
        <f t="shared" si="575"/>
        <v>1</v>
      </c>
    </row>
    <row r="5338" spans="1:11" x14ac:dyDescent="0.25">
      <c r="A5338" t="s">
        <v>708</v>
      </c>
      <c r="B5338" t="s">
        <v>570</v>
      </c>
      <c r="C5338" t="s">
        <v>50</v>
      </c>
      <c r="D5338" s="6">
        <v>45993</v>
      </c>
      <c r="E5338" t="str">
        <f>VLOOKUP(B5338,'PROCV GERENTES BD'!A:B,2,0)</f>
        <v>RAFAEL PARISE</v>
      </c>
      <c r="F5338" s="4" t="str">
        <f t="shared" si="570"/>
        <v>2025-12</v>
      </c>
      <c r="G5338" s="18">
        <f t="shared" si="571"/>
        <v>49</v>
      </c>
      <c r="H5338" t="str">
        <f t="shared" si="572"/>
        <v>RAFAEL PARISE</v>
      </c>
      <c r="I5338" t="str">
        <f t="shared" si="573"/>
        <v>NITROTEX INDUSTRIA E COMERCIO TEXTEIS LTDA ME</v>
      </c>
      <c r="J5338">
        <f t="shared" si="574"/>
        <v>0</v>
      </c>
      <c r="K5338">
        <f t="shared" si="575"/>
        <v>1</v>
      </c>
    </row>
    <row r="5339" spans="1:11" x14ac:dyDescent="0.25">
      <c r="A5339" t="s">
        <v>630</v>
      </c>
      <c r="B5339" t="s">
        <v>559</v>
      </c>
      <c r="C5339" t="s">
        <v>53</v>
      </c>
      <c r="D5339" s="6">
        <v>45993</v>
      </c>
      <c r="E5339" t="str">
        <f>VLOOKUP(B5339,'PROCV GERENTES BD'!A:B,2,0)</f>
        <v>ALISSON DE SOUZA LIMA</v>
      </c>
      <c r="F5339" s="4" t="str">
        <f t="shared" si="570"/>
        <v>2025-12</v>
      </c>
      <c r="G5339" s="18">
        <f t="shared" si="571"/>
        <v>49</v>
      </c>
      <c r="H5339" t="str">
        <f t="shared" si="572"/>
        <v>ALISSON DE SOUZA LIMA</v>
      </c>
      <c r="I5339" t="str">
        <f t="shared" si="573"/>
        <v>JRG SOLUCOES INDUSTRIAIS LTDA</v>
      </c>
      <c r="J5339">
        <f t="shared" si="574"/>
        <v>1</v>
      </c>
      <c r="K5339">
        <f t="shared" si="575"/>
        <v>1</v>
      </c>
    </row>
    <row r="5340" spans="1:11" x14ac:dyDescent="0.25">
      <c r="A5340" t="s">
        <v>450</v>
      </c>
      <c r="B5340" t="s">
        <v>207</v>
      </c>
      <c r="C5340" t="s">
        <v>53</v>
      </c>
      <c r="D5340" s="6">
        <v>45993</v>
      </c>
      <c r="E5340" t="str">
        <f>VLOOKUP(B5340,'PROCV GERENTES BD'!A:B,2,0)</f>
        <v>CELIO PIMENTA</v>
      </c>
      <c r="F5340" s="4" t="str">
        <f t="shared" si="570"/>
        <v>2025-12</v>
      </c>
      <c r="G5340" s="18">
        <f t="shared" si="571"/>
        <v>49</v>
      </c>
      <c r="H5340" t="str">
        <f t="shared" si="572"/>
        <v>CELIO PIMENTA</v>
      </c>
      <c r="I5340" t="str">
        <f t="shared" si="573"/>
        <v>LIDER COMERCIO DE UNIFORMES E EPI S LTDA ME</v>
      </c>
      <c r="J5340">
        <f t="shared" si="574"/>
        <v>1</v>
      </c>
      <c r="K5340">
        <f t="shared" si="575"/>
        <v>1</v>
      </c>
    </row>
    <row r="5341" spans="1:11" x14ac:dyDescent="0.25">
      <c r="A5341" t="s">
        <v>734</v>
      </c>
      <c r="B5341" t="s">
        <v>735</v>
      </c>
      <c r="C5341" t="s">
        <v>66</v>
      </c>
      <c r="D5341" s="6">
        <v>45993</v>
      </c>
      <c r="E5341" t="str">
        <f>VLOOKUP(B5341,'PROCV GERENTES BD'!A:B,2,0)</f>
        <v>POENATELA</v>
      </c>
      <c r="F5341" s="4" t="str">
        <f t="shared" si="570"/>
        <v>2025-12</v>
      </c>
      <c r="G5341" s="18">
        <f t="shared" si="571"/>
        <v>49</v>
      </c>
      <c r="H5341" t="str">
        <f t="shared" si="572"/>
        <v>POENATELA</v>
      </c>
      <c r="I5341" t="str">
        <f t="shared" si="573"/>
        <v>INFINITY COMERCIO ATACADISTA DE EQUIPAMENTOS LTDA</v>
      </c>
      <c r="J5341">
        <f t="shared" si="574"/>
        <v>1</v>
      </c>
      <c r="K5341">
        <f t="shared" si="575"/>
        <v>0</v>
      </c>
    </row>
    <row r="5342" spans="1:11" x14ac:dyDescent="0.25">
      <c r="A5342" t="s">
        <v>655</v>
      </c>
      <c r="B5342" t="s">
        <v>548</v>
      </c>
      <c r="C5342" t="s">
        <v>50</v>
      </c>
      <c r="D5342" s="6">
        <v>45993</v>
      </c>
      <c r="E5342" t="str">
        <f>VLOOKUP(B5342,'PROCV GERENTES BD'!A:B,2,0)</f>
        <v xml:space="preserve">ROGERIO </v>
      </c>
      <c r="F5342" s="4" t="str">
        <f t="shared" si="570"/>
        <v>2025-12</v>
      </c>
      <c r="G5342" s="18">
        <f t="shared" si="571"/>
        <v>49</v>
      </c>
      <c r="H5342" t="str">
        <f t="shared" si="572"/>
        <v xml:space="preserve">ROGERIO </v>
      </c>
      <c r="I5342" t="str">
        <f t="shared" si="573"/>
        <v>AGROEP PISCICULTURA LTDA ME</v>
      </c>
      <c r="J5342">
        <f t="shared" si="574"/>
        <v>0</v>
      </c>
      <c r="K5342">
        <f t="shared" si="575"/>
        <v>1</v>
      </c>
    </row>
    <row r="5343" spans="1:11" x14ac:dyDescent="0.25">
      <c r="A5343" t="s">
        <v>64</v>
      </c>
      <c r="B5343" t="s">
        <v>65</v>
      </c>
      <c r="C5343" t="s">
        <v>50</v>
      </c>
      <c r="D5343" s="6">
        <v>45993</v>
      </c>
      <c r="E5343" t="str">
        <f>VLOOKUP(B5343,'PROCV GERENTES BD'!A:B,2,0)</f>
        <v>ADMINISTRAÇÃO</v>
      </c>
      <c r="F5343" s="4" t="str">
        <f t="shared" si="570"/>
        <v>2025-12</v>
      </c>
      <c r="G5343" s="18">
        <f t="shared" si="571"/>
        <v>49</v>
      </c>
      <c r="H5343" t="str">
        <f t="shared" si="572"/>
        <v>ADMINISTRAÇÃO</v>
      </c>
      <c r="I5343" t="str">
        <f t="shared" si="573"/>
        <v>SOCIAL S/A</v>
      </c>
      <c r="J5343">
        <f t="shared" si="574"/>
        <v>0</v>
      </c>
      <c r="K5343">
        <f t="shared" si="575"/>
        <v>1</v>
      </c>
    </row>
    <row r="5344" spans="1:11" x14ac:dyDescent="0.25">
      <c r="A5344" t="s">
        <v>645</v>
      </c>
      <c r="B5344" t="s">
        <v>646</v>
      </c>
      <c r="C5344" t="s">
        <v>50</v>
      </c>
      <c r="D5344" s="6">
        <v>45993</v>
      </c>
      <c r="E5344" t="str">
        <f>VLOOKUP(B5344,'PROCV GERENTES BD'!A:B,2,0)</f>
        <v>RAFAEL PARISE</v>
      </c>
      <c r="F5344" s="4" t="str">
        <f t="shared" si="570"/>
        <v>2025-12</v>
      </c>
      <c r="G5344" s="18">
        <f t="shared" si="571"/>
        <v>49</v>
      </c>
      <c r="H5344" t="str">
        <f t="shared" si="572"/>
        <v>RAFAEL PARISE</v>
      </c>
      <c r="I5344" t="str">
        <f t="shared" si="573"/>
        <v>SIGGA LOGISTICA LTDA</v>
      </c>
      <c r="J5344">
        <f t="shared" si="574"/>
        <v>0</v>
      </c>
      <c r="K5344">
        <f t="shared" si="575"/>
        <v>1</v>
      </c>
    </row>
    <row r="5345" spans="1:11" x14ac:dyDescent="0.25">
      <c r="A5345" t="s">
        <v>498</v>
      </c>
      <c r="B5345" t="s">
        <v>256</v>
      </c>
      <c r="C5345" t="s">
        <v>50</v>
      </c>
      <c r="D5345" s="6">
        <v>45993</v>
      </c>
      <c r="E5345" t="str">
        <f>VLOOKUP(B5345,'PROCV GERENTES BD'!A:B,2,0)</f>
        <v>CELIO PIMENTA</v>
      </c>
      <c r="F5345" s="4" t="str">
        <f t="shared" si="570"/>
        <v>2025-12</v>
      </c>
      <c r="G5345" s="18">
        <f t="shared" si="571"/>
        <v>49</v>
      </c>
      <c r="H5345" t="str">
        <f t="shared" si="572"/>
        <v>CELIO PIMENTA</v>
      </c>
      <c r="I5345" t="str">
        <f t="shared" si="573"/>
        <v>SEU TRATOR LTDA EPP</v>
      </c>
      <c r="J5345">
        <f t="shared" si="574"/>
        <v>0</v>
      </c>
      <c r="K5345">
        <f t="shared" si="575"/>
        <v>1</v>
      </c>
    </row>
    <row r="5346" spans="1:11" x14ac:dyDescent="0.25">
      <c r="A5346" t="s">
        <v>508</v>
      </c>
      <c r="B5346" t="s">
        <v>271</v>
      </c>
      <c r="C5346" t="s">
        <v>53</v>
      </c>
      <c r="D5346" s="6">
        <v>45993</v>
      </c>
      <c r="E5346" t="str">
        <f>VLOOKUP(B5346,'PROCV GERENTES BD'!A:B,2,0)</f>
        <v>PRISCILA METZ</v>
      </c>
      <c r="F5346" s="4" t="str">
        <f t="shared" si="570"/>
        <v>2025-12</v>
      </c>
      <c r="G5346" s="18">
        <f t="shared" si="571"/>
        <v>49</v>
      </c>
      <c r="H5346" t="str">
        <f t="shared" si="572"/>
        <v>PRISCILA METZ</v>
      </c>
      <c r="I5346" t="str">
        <f t="shared" si="573"/>
        <v>TUBOLARES VITORIA INDUSTRIA E COMERCIO LTDA ME</v>
      </c>
      <c r="J5346">
        <f t="shared" si="574"/>
        <v>1</v>
      </c>
      <c r="K5346">
        <f t="shared" si="575"/>
        <v>1</v>
      </c>
    </row>
    <row r="5347" spans="1:11" x14ac:dyDescent="0.25">
      <c r="A5347" t="s">
        <v>457</v>
      </c>
      <c r="B5347" t="s">
        <v>214</v>
      </c>
      <c r="C5347" t="s">
        <v>50</v>
      </c>
      <c r="D5347" s="6">
        <v>45993</v>
      </c>
      <c r="E5347" t="str">
        <f>VLOOKUP(B5347,'PROCV GERENTES BD'!A:B,2,0)</f>
        <v xml:space="preserve">ROGERIO </v>
      </c>
      <c r="F5347" s="4" t="str">
        <f t="shared" si="570"/>
        <v>2025-12</v>
      </c>
      <c r="G5347" s="18">
        <f t="shared" si="571"/>
        <v>49</v>
      </c>
      <c r="H5347" t="str">
        <f t="shared" si="572"/>
        <v xml:space="preserve">ROGERIO </v>
      </c>
      <c r="I5347" t="str">
        <f t="shared" si="573"/>
        <v>METAL STAMP INDUSTRIA E COMERCIO LTDA</v>
      </c>
      <c r="J5347">
        <f t="shared" si="574"/>
        <v>0</v>
      </c>
      <c r="K5347">
        <f t="shared" si="575"/>
        <v>1</v>
      </c>
    </row>
    <row r="5348" spans="1:11" x14ac:dyDescent="0.25">
      <c r="A5348" t="s">
        <v>653</v>
      </c>
      <c r="B5348" t="s">
        <v>566</v>
      </c>
      <c r="C5348" t="s">
        <v>50</v>
      </c>
      <c r="D5348" s="6">
        <v>45993</v>
      </c>
      <c r="E5348" t="str">
        <f>VLOOKUP(B5348,'PROCV GERENTES BD'!A:B,2,0)</f>
        <v>DIOGO AZEVEDO</v>
      </c>
      <c r="F5348" s="4" t="str">
        <f t="shared" si="570"/>
        <v>2025-12</v>
      </c>
      <c r="G5348" s="18">
        <f t="shared" si="571"/>
        <v>49</v>
      </c>
      <c r="H5348" t="str">
        <f t="shared" si="572"/>
        <v>DIOGO AZEVEDO</v>
      </c>
      <c r="I5348" t="str">
        <f t="shared" si="573"/>
        <v>MILK LAT LTDA EPP</v>
      </c>
      <c r="J5348">
        <f t="shared" si="574"/>
        <v>0</v>
      </c>
      <c r="K5348">
        <f t="shared" si="575"/>
        <v>1</v>
      </c>
    </row>
    <row r="5349" spans="1:11" x14ac:dyDescent="0.25">
      <c r="A5349" t="s">
        <v>460</v>
      </c>
      <c r="B5349" t="s">
        <v>217</v>
      </c>
      <c r="C5349" t="s">
        <v>50</v>
      </c>
      <c r="D5349" s="6">
        <v>45993</v>
      </c>
      <c r="E5349" t="str">
        <f>VLOOKUP(B5349,'PROCV GERENTES BD'!A:B,2,0)</f>
        <v>CELIO PIMENTA</v>
      </c>
      <c r="F5349" s="4" t="str">
        <f t="shared" si="570"/>
        <v>2025-12</v>
      </c>
      <c r="G5349" s="18">
        <f t="shared" si="571"/>
        <v>49</v>
      </c>
      <c r="H5349" t="str">
        <f t="shared" si="572"/>
        <v>CELIO PIMENTA</v>
      </c>
      <c r="I5349" t="str">
        <f t="shared" si="573"/>
        <v>MINAS CLEAN DISTRIBUIDORA DE PRODUTOS PARA LIMPEZA</v>
      </c>
      <c r="J5349">
        <f t="shared" si="574"/>
        <v>0</v>
      </c>
      <c r="K5349">
        <f t="shared" si="575"/>
        <v>1</v>
      </c>
    </row>
    <row r="5350" spans="1:11" x14ac:dyDescent="0.25">
      <c r="A5350" t="s">
        <v>487</v>
      </c>
      <c r="B5350" t="s">
        <v>244</v>
      </c>
      <c r="C5350" t="s">
        <v>50</v>
      </c>
      <c r="D5350" s="6">
        <v>45993</v>
      </c>
      <c r="E5350" t="str">
        <f>VLOOKUP(B5350,'PROCV GERENTES BD'!A:B,2,0)</f>
        <v xml:space="preserve">ROGERIO </v>
      </c>
      <c r="F5350" s="4" t="str">
        <f t="shared" si="570"/>
        <v>2025-12</v>
      </c>
      <c r="G5350" s="18">
        <f t="shared" si="571"/>
        <v>49</v>
      </c>
      <c r="H5350" t="str">
        <f t="shared" si="572"/>
        <v xml:space="preserve">ROGERIO </v>
      </c>
      <c r="I5350" t="str">
        <f t="shared" si="573"/>
        <v>MUNDO AGRO COMERCIO E DISTRIBUICAO DE CALCADOS LTD</v>
      </c>
      <c r="J5350">
        <f t="shared" si="574"/>
        <v>0</v>
      </c>
      <c r="K5350">
        <f t="shared" si="575"/>
        <v>1</v>
      </c>
    </row>
    <row r="5351" spans="1:11" x14ac:dyDescent="0.25">
      <c r="A5351" t="s">
        <v>667</v>
      </c>
      <c r="B5351" t="s">
        <v>560</v>
      </c>
      <c r="C5351" t="s">
        <v>66</v>
      </c>
      <c r="D5351" s="6">
        <v>45993</v>
      </c>
      <c r="E5351" t="str">
        <f>VLOOKUP(B5351,'PROCV GERENTES BD'!A:B,2,0)</f>
        <v>ALISSON DE SOUZA LIMA</v>
      </c>
      <c r="F5351" s="4" t="str">
        <f t="shared" si="570"/>
        <v>2025-12</v>
      </c>
      <c r="G5351" s="18">
        <f t="shared" si="571"/>
        <v>49</v>
      </c>
      <c r="H5351" t="str">
        <f t="shared" si="572"/>
        <v>ALISSON DE SOUZA LIMA</v>
      </c>
      <c r="I5351" t="str">
        <f t="shared" si="573"/>
        <v>JRG SOLUCOES EM SERVICOS LTDA ME</v>
      </c>
      <c r="J5351">
        <f t="shared" si="574"/>
        <v>1</v>
      </c>
      <c r="K5351">
        <f t="shared" si="575"/>
        <v>0</v>
      </c>
    </row>
    <row r="5352" spans="1:11" x14ac:dyDescent="0.25">
      <c r="A5352" t="s">
        <v>492</v>
      </c>
      <c r="B5352" t="s">
        <v>251</v>
      </c>
      <c r="C5352" t="s">
        <v>50</v>
      </c>
      <c r="D5352" s="6">
        <v>45993</v>
      </c>
      <c r="E5352" t="str">
        <f>VLOOKUP(B5352,'PROCV GERENTES BD'!A:B,2,0)</f>
        <v>PROSPECTAR</v>
      </c>
      <c r="F5352" s="4" t="str">
        <f t="shared" si="570"/>
        <v>2025-12</v>
      </c>
      <c r="G5352" s="18">
        <f t="shared" si="571"/>
        <v>49</v>
      </c>
      <c r="H5352" t="str">
        <f t="shared" si="572"/>
        <v>PROSPECTAR</v>
      </c>
      <c r="I5352" t="str">
        <f t="shared" si="573"/>
        <v>JANE FIGUEIRA CONFECCOES LTDA ME</v>
      </c>
      <c r="J5352">
        <f t="shared" si="574"/>
        <v>0</v>
      </c>
      <c r="K5352">
        <f t="shared" si="575"/>
        <v>1</v>
      </c>
    </row>
    <row r="5353" spans="1:11" x14ac:dyDescent="0.25">
      <c r="A5353" t="s">
        <v>62</v>
      </c>
      <c r="B5353" t="s">
        <v>63</v>
      </c>
      <c r="C5353" t="s">
        <v>53</v>
      </c>
      <c r="D5353" s="6">
        <v>45993</v>
      </c>
      <c r="E5353" t="str">
        <f>VLOOKUP(B5353,'PROCV GERENTES BD'!A:B,2,0)</f>
        <v>PROSPECTAR</v>
      </c>
      <c r="F5353" s="4" t="str">
        <f t="shared" si="570"/>
        <v>2025-12</v>
      </c>
      <c r="G5353" s="18">
        <f t="shared" si="571"/>
        <v>49</v>
      </c>
      <c r="H5353" t="str">
        <f t="shared" si="572"/>
        <v>PROSPECTAR</v>
      </c>
      <c r="I5353" t="str">
        <f t="shared" si="573"/>
        <v>MAPP COM IMPORTACAO EXPORTACAO IND PRODUTOS ALIMEN</v>
      </c>
      <c r="J5353">
        <f t="shared" si="574"/>
        <v>1</v>
      </c>
      <c r="K5353">
        <f t="shared" si="575"/>
        <v>1</v>
      </c>
    </row>
    <row r="5354" spans="1:11" x14ac:dyDescent="0.25">
      <c r="A5354" t="s">
        <v>632</v>
      </c>
      <c r="B5354" t="s">
        <v>709</v>
      </c>
      <c r="C5354" t="s">
        <v>66</v>
      </c>
      <c r="D5354" s="6">
        <v>45993</v>
      </c>
      <c r="E5354" t="str">
        <f>VLOOKUP(B5354,'PROCV GERENTES BD'!A:B,2,0)</f>
        <v>TIAGO NEVES</v>
      </c>
      <c r="F5354" s="4" t="str">
        <f t="shared" si="570"/>
        <v>2025-12</v>
      </c>
      <c r="G5354" s="18">
        <f t="shared" si="571"/>
        <v>49</v>
      </c>
      <c r="H5354" t="str">
        <f t="shared" si="572"/>
        <v>TIAGO NEVES</v>
      </c>
      <c r="I5354" t="str">
        <f t="shared" si="573"/>
        <v>AUTO VIDROS MG LTDA</v>
      </c>
      <c r="J5354">
        <f t="shared" si="574"/>
        <v>1</v>
      </c>
      <c r="K5354">
        <f t="shared" si="575"/>
        <v>0</v>
      </c>
    </row>
    <row r="5355" spans="1:11" x14ac:dyDescent="0.25">
      <c r="A5355" t="s">
        <v>415</v>
      </c>
      <c r="B5355" t="s">
        <v>165</v>
      </c>
      <c r="C5355" t="s">
        <v>50</v>
      </c>
      <c r="D5355" s="6">
        <v>45993</v>
      </c>
      <c r="E5355" t="str">
        <f>VLOOKUP(B5355,'PROCV GERENTES BD'!A:B,2,0)</f>
        <v>PROSPECTAR</v>
      </c>
      <c r="F5355" s="4" t="str">
        <f t="shared" si="570"/>
        <v>2025-12</v>
      </c>
      <c r="G5355" s="18">
        <f t="shared" si="571"/>
        <v>49</v>
      </c>
      <c r="H5355" t="str">
        <f t="shared" si="572"/>
        <v>PROSPECTAR</v>
      </c>
      <c r="I5355" t="str">
        <f t="shared" si="573"/>
        <v>STA SERVICOS LTDA</v>
      </c>
      <c r="J5355">
        <f t="shared" si="574"/>
        <v>0</v>
      </c>
      <c r="K5355">
        <f t="shared" si="575"/>
        <v>1</v>
      </c>
    </row>
    <row r="5356" spans="1:11" x14ac:dyDescent="0.25">
      <c r="A5356" t="s">
        <v>660</v>
      </c>
      <c r="B5356" t="s">
        <v>545</v>
      </c>
      <c r="C5356" t="s">
        <v>50</v>
      </c>
      <c r="D5356" s="6">
        <v>45993</v>
      </c>
      <c r="E5356" t="str">
        <f>VLOOKUP(B5356,'PROCV GERENTES BD'!A:B,2,0)</f>
        <v xml:space="preserve">ROGERIO </v>
      </c>
      <c r="F5356" s="4" t="str">
        <f t="shared" si="570"/>
        <v>2025-12</v>
      </c>
      <c r="G5356" s="18">
        <f t="shared" si="571"/>
        <v>49</v>
      </c>
      <c r="H5356" t="str">
        <f t="shared" si="572"/>
        <v xml:space="preserve">ROGERIO </v>
      </c>
      <c r="I5356" t="str">
        <f t="shared" si="573"/>
        <v>DISEP ALIMENTOS LTDA ME</v>
      </c>
      <c r="J5356">
        <f t="shared" si="574"/>
        <v>0</v>
      </c>
      <c r="K5356">
        <f t="shared" si="575"/>
        <v>1</v>
      </c>
    </row>
    <row r="5357" spans="1:11" x14ac:dyDescent="0.25">
      <c r="A5357" t="s">
        <v>51</v>
      </c>
      <c r="B5357" t="s">
        <v>52</v>
      </c>
      <c r="C5357" t="s">
        <v>50</v>
      </c>
      <c r="D5357" s="6">
        <v>45993</v>
      </c>
      <c r="E5357" t="str">
        <f>VLOOKUP(B5357,'PROCV GERENTES BD'!A:B,2,0)</f>
        <v>RAFAEL PARISE</v>
      </c>
      <c r="F5357" s="4" t="str">
        <f t="shared" si="570"/>
        <v>2025-12</v>
      </c>
      <c r="G5357" s="18">
        <f t="shared" si="571"/>
        <v>49</v>
      </c>
      <c r="H5357" t="str">
        <f t="shared" si="572"/>
        <v>RAFAEL PARISE</v>
      </c>
      <c r="I5357" t="str">
        <f t="shared" si="573"/>
        <v>TDR TRANSPORTES LOGISTICA LTDA</v>
      </c>
      <c r="J5357">
        <f t="shared" si="574"/>
        <v>0</v>
      </c>
      <c r="K5357">
        <f t="shared" si="575"/>
        <v>1</v>
      </c>
    </row>
    <row r="5358" spans="1:11" x14ac:dyDescent="0.25">
      <c r="A5358" t="s">
        <v>700</v>
      </c>
      <c r="B5358" t="s">
        <v>680</v>
      </c>
      <c r="C5358" t="s">
        <v>50</v>
      </c>
      <c r="D5358" s="6">
        <v>45993</v>
      </c>
      <c r="E5358" t="str">
        <f>VLOOKUP(B5358,'PROCV GERENTES BD'!A:B,2,0)</f>
        <v>POENATELA</v>
      </c>
      <c r="F5358" s="4" t="str">
        <f t="shared" si="570"/>
        <v>2025-12</v>
      </c>
      <c r="G5358" s="18">
        <f t="shared" si="571"/>
        <v>49</v>
      </c>
      <c r="H5358" t="str">
        <f t="shared" si="572"/>
        <v>POENATELA</v>
      </c>
      <c r="I5358" t="str">
        <f t="shared" si="573"/>
        <v>BIORGANICA PRODUTOS ORGANICOS LTDA</v>
      </c>
      <c r="J5358">
        <f t="shared" si="574"/>
        <v>0</v>
      </c>
      <c r="K5358">
        <f t="shared" si="575"/>
        <v>1</v>
      </c>
    </row>
    <row r="5359" spans="1:11" x14ac:dyDescent="0.25">
      <c r="A5359" t="s">
        <v>361</v>
      </c>
      <c r="B5359" t="s">
        <v>106</v>
      </c>
      <c r="C5359" t="s">
        <v>53</v>
      </c>
      <c r="D5359" s="6">
        <v>45993</v>
      </c>
      <c r="E5359" t="str">
        <f>VLOOKUP(B5359,'PROCV GERENTES BD'!A:B,2,0)</f>
        <v>PRISCILA METZ</v>
      </c>
      <c r="F5359" s="4" t="str">
        <f t="shared" si="570"/>
        <v>2025-12</v>
      </c>
      <c r="G5359" s="18">
        <f t="shared" si="571"/>
        <v>49</v>
      </c>
      <c r="H5359" t="str">
        <f t="shared" si="572"/>
        <v>PRISCILA METZ</v>
      </c>
      <c r="I5359" t="str">
        <f t="shared" si="573"/>
        <v>HERBAMED LABORATORIO NUTRACEUTICO LTDA</v>
      </c>
      <c r="J5359">
        <f t="shared" si="574"/>
        <v>1</v>
      </c>
      <c r="K5359">
        <f t="shared" si="575"/>
        <v>1</v>
      </c>
    </row>
    <row r="5360" spans="1:11" x14ac:dyDescent="0.25">
      <c r="A5360" t="s">
        <v>642</v>
      </c>
      <c r="B5360" t="s">
        <v>643</v>
      </c>
      <c r="C5360" t="s">
        <v>50</v>
      </c>
      <c r="D5360" s="6">
        <v>45993</v>
      </c>
      <c r="E5360" t="str">
        <f>VLOOKUP(B5360,'PROCV GERENTES BD'!A:B,2,0)</f>
        <v>DALVA</v>
      </c>
      <c r="F5360" s="4" t="str">
        <f t="shared" si="570"/>
        <v>2025-12</v>
      </c>
      <c r="G5360" s="18">
        <f t="shared" si="571"/>
        <v>49</v>
      </c>
      <c r="H5360" t="str">
        <f t="shared" si="572"/>
        <v>DALVA</v>
      </c>
      <c r="I5360" t="str">
        <f t="shared" si="573"/>
        <v>MINAS MIX INDUSTRIA E COMERCIO DE PRODUTOS ALIMENT</v>
      </c>
      <c r="J5360">
        <f t="shared" si="574"/>
        <v>0</v>
      </c>
      <c r="K5360">
        <f t="shared" si="575"/>
        <v>1</v>
      </c>
    </row>
    <row r="5361" spans="1:11" x14ac:dyDescent="0.25">
      <c r="A5361" t="s">
        <v>499</v>
      </c>
      <c r="B5361" t="s">
        <v>258</v>
      </c>
      <c r="C5361" t="s">
        <v>50</v>
      </c>
      <c r="D5361" s="6">
        <v>45993</v>
      </c>
      <c r="E5361" t="str">
        <f>VLOOKUP(B5361,'PROCV GERENTES BD'!A:B,2,0)</f>
        <v>PRISCILA METZ</v>
      </c>
      <c r="F5361" s="4" t="str">
        <f t="shared" si="570"/>
        <v>2025-12</v>
      </c>
      <c r="G5361" s="18">
        <f t="shared" si="571"/>
        <v>49</v>
      </c>
      <c r="H5361" t="str">
        <f t="shared" si="572"/>
        <v>PRISCILA METZ</v>
      </c>
      <c r="I5361" t="str">
        <f t="shared" si="573"/>
        <v>PLATINUM INDUSTRIA DE CONFECCOES LTDA</v>
      </c>
      <c r="J5361">
        <f t="shared" si="574"/>
        <v>0</v>
      </c>
      <c r="K5361">
        <f t="shared" si="575"/>
        <v>1</v>
      </c>
    </row>
    <row r="5362" spans="1:11" x14ac:dyDescent="0.25">
      <c r="A5362" t="s">
        <v>331</v>
      </c>
      <c r="B5362" t="s">
        <v>144</v>
      </c>
      <c r="C5362" t="s">
        <v>50</v>
      </c>
      <c r="D5362" s="6">
        <v>45993</v>
      </c>
      <c r="E5362" t="str">
        <f>VLOOKUP(B5362,'PROCV GERENTES BD'!A:B,2,0)</f>
        <v>ADMINISTRAÇÃO</v>
      </c>
      <c r="F5362" s="4" t="str">
        <f t="shared" si="570"/>
        <v>2025-12</v>
      </c>
      <c r="G5362" s="18">
        <f t="shared" si="571"/>
        <v>49</v>
      </c>
      <c r="H5362" t="str">
        <f t="shared" si="572"/>
        <v>ADMINISTRAÇÃO</v>
      </c>
      <c r="I5362" t="str">
        <f t="shared" si="573"/>
        <v>BOM PASTOR PAPEIS LTDA EM RECUPERACAO JUDICIAL</v>
      </c>
      <c r="J5362">
        <f t="shared" si="574"/>
        <v>0</v>
      </c>
      <c r="K5362">
        <f t="shared" si="575"/>
        <v>1</v>
      </c>
    </row>
    <row r="5363" spans="1:11" x14ac:dyDescent="0.25">
      <c r="A5363" t="s">
        <v>320</v>
      </c>
      <c r="B5363" t="s">
        <v>205</v>
      </c>
      <c r="C5363" t="s">
        <v>66</v>
      </c>
      <c r="D5363" s="6">
        <v>45993</v>
      </c>
      <c r="E5363" t="str">
        <f>VLOOKUP(B5363,'PROCV GERENTES BD'!A:B,2,0)</f>
        <v xml:space="preserve">MARCUS VINICIUS </v>
      </c>
      <c r="F5363" s="4" t="str">
        <f t="shared" si="570"/>
        <v>2025-12</v>
      </c>
      <c r="G5363" s="18">
        <f t="shared" si="571"/>
        <v>49</v>
      </c>
      <c r="H5363" t="str">
        <f t="shared" si="572"/>
        <v xml:space="preserve">MARCUS VINICIUS </v>
      </c>
      <c r="I5363" t="str">
        <f t="shared" si="573"/>
        <v>COMERCIAL GODINHO FERREIRA LTDA</v>
      </c>
      <c r="J5363">
        <f t="shared" si="574"/>
        <v>1</v>
      </c>
      <c r="K5363">
        <f t="shared" si="575"/>
        <v>0</v>
      </c>
    </row>
    <row r="5364" spans="1:11" x14ac:dyDescent="0.25">
      <c r="A5364" t="s">
        <v>58</v>
      </c>
      <c r="B5364" t="s">
        <v>59</v>
      </c>
      <c r="C5364" t="s">
        <v>53</v>
      </c>
      <c r="D5364" s="6">
        <v>45993</v>
      </c>
      <c r="E5364" t="str">
        <f>VLOOKUP(B5364,'PROCV GERENTES BD'!A:B,2,0)</f>
        <v>ADMINISTRAÇÃO</v>
      </c>
      <c r="F5364" s="4" t="str">
        <f t="shared" si="570"/>
        <v>2025-12</v>
      </c>
      <c r="G5364" s="18">
        <f t="shared" si="571"/>
        <v>49</v>
      </c>
      <c r="H5364" t="str">
        <f t="shared" si="572"/>
        <v>ADMINISTRAÇÃO</v>
      </c>
      <c r="I5364" t="str">
        <f t="shared" si="573"/>
        <v>BIOTECH LOGISTICA LTDA</v>
      </c>
      <c r="J5364">
        <f t="shared" si="574"/>
        <v>1</v>
      </c>
      <c r="K5364">
        <f t="shared" si="575"/>
        <v>1</v>
      </c>
    </row>
    <row r="5365" spans="1:11" x14ac:dyDescent="0.25">
      <c r="A5365" t="s">
        <v>309</v>
      </c>
      <c r="B5365" t="s">
        <v>291</v>
      </c>
      <c r="C5365" t="s">
        <v>50</v>
      </c>
      <c r="D5365" s="6">
        <v>45993</v>
      </c>
      <c r="E5365" t="str">
        <f>VLOOKUP(B5365,'PROCV GERENTES BD'!A:B,2,0)</f>
        <v>ANTECIPA</v>
      </c>
      <c r="F5365" s="4" t="str">
        <f t="shared" si="570"/>
        <v>2025-12</v>
      </c>
      <c r="G5365" s="18">
        <f t="shared" si="571"/>
        <v>49</v>
      </c>
      <c r="H5365" t="str">
        <f t="shared" si="572"/>
        <v>ANTECIPA</v>
      </c>
      <c r="I5365" t="str">
        <f t="shared" si="573"/>
        <v>CENTRAL DO M R O COMERCIAL IMPORTACOES E SERVICOS</v>
      </c>
      <c r="J5365">
        <f t="shared" si="574"/>
        <v>0</v>
      </c>
      <c r="K5365">
        <f t="shared" si="575"/>
        <v>1</v>
      </c>
    </row>
    <row r="5366" spans="1:11" x14ac:dyDescent="0.25">
      <c r="A5366" t="s">
        <v>352</v>
      </c>
      <c r="B5366" t="s">
        <v>96</v>
      </c>
      <c r="C5366" t="s">
        <v>66</v>
      </c>
      <c r="D5366" s="6">
        <v>45993</v>
      </c>
      <c r="E5366" t="str">
        <f>VLOOKUP(B5366,'PROCV GERENTES BD'!A:B,2,0)</f>
        <v>POENATELA</v>
      </c>
      <c r="F5366" s="4" t="str">
        <f t="shared" si="570"/>
        <v>2025-12</v>
      </c>
      <c r="G5366" s="18">
        <f t="shared" si="571"/>
        <v>49</v>
      </c>
      <c r="H5366" t="str">
        <f t="shared" si="572"/>
        <v>POENATELA</v>
      </c>
      <c r="I5366" t="str">
        <f t="shared" si="573"/>
        <v>SUPER HARD TECNOLOGIA EM TRATAMENTO DE SUPERFICIES</v>
      </c>
      <c r="J5366">
        <f t="shared" si="574"/>
        <v>1</v>
      </c>
      <c r="K5366">
        <f t="shared" si="575"/>
        <v>0</v>
      </c>
    </row>
    <row r="5367" spans="1:11" x14ac:dyDescent="0.25">
      <c r="A5367" t="s">
        <v>718</v>
      </c>
      <c r="B5367" t="s">
        <v>719</v>
      </c>
      <c r="C5367" t="s">
        <v>53</v>
      </c>
      <c r="D5367" s="6">
        <v>45993</v>
      </c>
      <c r="E5367" t="str">
        <f>VLOOKUP(B5367,'PROCV GERENTES BD'!A:B,2,0)</f>
        <v>CAIO</v>
      </c>
      <c r="F5367" s="4" t="str">
        <f t="shared" si="570"/>
        <v>2025-12</v>
      </c>
      <c r="G5367" s="18">
        <f t="shared" si="571"/>
        <v>49</v>
      </c>
      <c r="H5367" t="str">
        <f t="shared" si="572"/>
        <v>CAIO</v>
      </c>
      <c r="I5367" t="str">
        <f t="shared" si="573"/>
        <v>GEOTHRA GEOLOGIA GEOTECNIA LTDA EPP</v>
      </c>
      <c r="J5367">
        <f t="shared" si="574"/>
        <v>1</v>
      </c>
      <c r="K5367">
        <f t="shared" si="575"/>
        <v>1</v>
      </c>
    </row>
    <row r="5368" spans="1:11" x14ac:dyDescent="0.25">
      <c r="A5368" t="s">
        <v>317</v>
      </c>
      <c r="B5368" t="s">
        <v>280</v>
      </c>
      <c r="C5368" t="s">
        <v>50</v>
      </c>
      <c r="D5368" s="6">
        <v>45993</v>
      </c>
      <c r="E5368" t="str">
        <f>VLOOKUP(B5368,'PROCV GERENTES BD'!A:B,2,0)</f>
        <v>PROSPECTAR</v>
      </c>
      <c r="F5368" s="4" t="str">
        <f t="shared" si="570"/>
        <v>2025-12</v>
      </c>
      <c r="G5368" s="18">
        <f t="shared" si="571"/>
        <v>49</v>
      </c>
      <c r="H5368" t="str">
        <f t="shared" si="572"/>
        <v>PROSPECTAR</v>
      </c>
      <c r="I5368" t="str">
        <f t="shared" si="573"/>
        <v>STA TECHCANA LTDA</v>
      </c>
      <c r="J5368">
        <f t="shared" si="574"/>
        <v>0</v>
      </c>
      <c r="K5368">
        <f t="shared" si="575"/>
        <v>1</v>
      </c>
    </row>
    <row r="5369" spans="1:11" x14ac:dyDescent="0.25">
      <c r="A5369" t="s">
        <v>732</v>
      </c>
      <c r="B5369" t="s">
        <v>733</v>
      </c>
      <c r="C5369" t="s">
        <v>50</v>
      </c>
      <c r="D5369" s="6">
        <v>45993</v>
      </c>
      <c r="E5369" t="str">
        <f>VLOOKUP(B5369,'PROCV GERENTES BD'!A:B,2,0)</f>
        <v xml:space="preserve">ROGERIO </v>
      </c>
      <c r="F5369" s="4" t="str">
        <f t="shared" si="570"/>
        <v>2025-12</v>
      </c>
      <c r="G5369" s="18">
        <f t="shared" si="571"/>
        <v>49</v>
      </c>
      <c r="H5369" t="str">
        <f t="shared" si="572"/>
        <v xml:space="preserve">ROGERIO </v>
      </c>
      <c r="I5369" t="str">
        <f t="shared" si="573"/>
        <v>PETRA AGRONEGOCIO LTDA</v>
      </c>
      <c r="J5369">
        <f t="shared" si="574"/>
        <v>0</v>
      </c>
      <c r="K5369">
        <f t="shared" si="575"/>
        <v>1</v>
      </c>
    </row>
    <row r="5370" spans="1:11" x14ac:dyDescent="0.25">
      <c r="A5370" t="s">
        <v>326</v>
      </c>
      <c r="B5370" t="s">
        <v>122</v>
      </c>
      <c r="C5370" t="s">
        <v>66</v>
      </c>
      <c r="D5370" s="6">
        <v>45993</v>
      </c>
      <c r="E5370" t="str">
        <f>VLOOKUP(B5370,'PROCV GERENTES BD'!A:B,2,0)</f>
        <v xml:space="preserve">ROGERIO </v>
      </c>
      <c r="F5370" s="4" t="str">
        <f t="shared" si="570"/>
        <v>2025-12</v>
      </c>
      <c r="G5370" s="18">
        <f t="shared" si="571"/>
        <v>49</v>
      </c>
      <c r="H5370" t="str">
        <f t="shared" si="572"/>
        <v xml:space="preserve">ROGERIO </v>
      </c>
      <c r="I5370" t="str">
        <f t="shared" si="573"/>
        <v>BIBE PRODUTOS INFANTIS LTDA</v>
      </c>
      <c r="J5370">
        <f t="shared" si="574"/>
        <v>1</v>
      </c>
      <c r="K5370">
        <f t="shared" si="575"/>
        <v>0</v>
      </c>
    </row>
    <row r="5371" spans="1:11" x14ac:dyDescent="0.25">
      <c r="A5371" t="s">
        <v>415</v>
      </c>
      <c r="B5371" t="s">
        <v>165</v>
      </c>
      <c r="C5371" t="s">
        <v>66</v>
      </c>
      <c r="D5371" s="6">
        <v>45995</v>
      </c>
      <c r="E5371" t="str">
        <f>VLOOKUP(B5371,'PROCV GERENTES BD'!A:B,2,0)</f>
        <v>PROSPECTAR</v>
      </c>
      <c r="F5371" s="4" t="str">
        <f t="shared" ref="F5371:F5382" si="576">YEAR(D5371)&amp;"-"&amp;TEXT(MONTH(D5371),"00")</f>
        <v>2025-12</v>
      </c>
      <c r="G5371" s="18">
        <f t="shared" ref="G5371:G5382" si="577">WEEKNUM(D5371)</f>
        <v>49</v>
      </c>
      <c r="H5371" t="str">
        <f t="shared" ref="H5371:H5382" si="578">E5371</f>
        <v>PROSPECTAR</v>
      </c>
      <c r="I5371" t="str">
        <f t="shared" ref="I5371:I5382" si="579">B5371</f>
        <v>STA SERVICOS LTDA</v>
      </c>
      <c r="J5371">
        <f t="shared" ref="J5371:J5382" si="580">IF(OR(C5371="EXCLUSAO  ANOT.INADIMPLENCIA",C5371="INCL/EXCL ANOT.INADIMPLENCIA"),1,0)</f>
        <v>1</v>
      </c>
      <c r="K5371">
        <f t="shared" ref="K5371:K5382" si="581">IF(OR(C5371="INCLUSAO  ANOT.INADIMPLENCIA",C5371="INCL/EXCL ANOT.INADIMPLENCIA"),1,0)</f>
        <v>0</v>
      </c>
    </row>
    <row r="5372" spans="1:11" x14ac:dyDescent="0.25">
      <c r="A5372" t="s">
        <v>660</v>
      </c>
      <c r="B5372" t="s">
        <v>545</v>
      </c>
      <c r="C5372" t="s">
        <v>50</v>
      </c>
      <c r="D5372" s="6">
        <v>45995</v>
      </c>
      <c r="E5372" t="str">
        <f>VLOOKUP(B5372,'PROCV GERENTES BD'!A:B,2,0)</f>
        <v xml:space="preserve">ROGERIO </v>
      </c>
      <c r="F5372" s="4" t="str">
        <f t="shared" si="576"/>
        <v>2025-12</v>
      </c>
      <c r="G5372" s="18">
        <f t="shared" si="577"/>
        <v>49</v>
      </c>
      <c r="H5372" t="str">
        <f t="shared" si="578"/>
        <v xml:space="preserve">ROGERIO </v>
      </c>
      <c r="I5372" t="str">
        <f t="shared" si="579"/>
        <v>DISEP ALIMENTOS LTDA ME</v>
      </c>
      <c r="J5372">
        <f t="shared" si="580"/>
        <v>0</v>
      </c>
      <c r="K5372">
        <f t="shared" si="581"/>
        <v>1</v>
      </c>
    </row>
    <row r="5373" spans="1:11" x14ac:dyDescent="0.25">
      <c r="A5373" t="s">
        <v>361</v>
      </c>
      <c r="B5373" t="s">
        <v>106</v>
      </c>
      <c r="C5373" t="s">
        <v>53</v>
      </c>
      <c r="D5373" s="6">
        <v>45995</v>
      </c>
      <c r="E5373" t="str">
        <f>VLOOKUP(B5373,'PROCV GERENTES BD'!A:B,2,0)</f>
        <v>PRISCILA METZ</v>
      </c>
      <c r="F5373" s="4" t="str">
        <f t="shared" si="576"/>
        <v>2025-12</v>
      </c>
      <c r="G5373" s="18">
        <f t="shared" si="577"/>
        <v>49</v>
      </c>
      <c r="H5373" t="str">
        <f t="shared" si="578"/>
        <v>PRISCILA METZ</v>
      </c>
      <c r="I5373" t="str">
        <f t="shared" si="579"/>
        <v>HERBAMED LABORATORIO NUTRACEUTICO LTDA</v>
      </c>
      <c r="J5373">
        <f t="shared" si="580"/>
        <v>1</v>
      </c>
      <c r="K5373">
        <f t="shared" si="581"/>
        <v>1</v>
      </c>
    </row>
    <row r="5374" spans="1:11" x14ac:dyDescent="0.25">
      <c r="A5374" t="s">
        <v>320</v>
      </c>
      <c r="B5374" t="s">
        <v>205</v>
      </c>
      <c r="C5374" t="s">
        <v>50</v>
      </c>
      <c r="D5374" s="6">
        <v>45995</v>
      </c>
      <c r="E5374" t="str">
        <f>VLOOKUP(B5374,'PROCV GERENTES BD'!A:B,2,0)</f>
        <v xml:space="preserve">MARCUS VINICIUS </v>
      </c>
      <c r="F5374" s="4" t="str">
        <f t="shared" si="576"/>
        <v>2025-12</v>
      </c>
      <c r="G5374" s="18">
        <f t="shared" si="577"/>
        <v>49</v>
      </c>
      <c r="H5374" t="str">
        <f t="shared" si="578"/>
        <v xml:space="preserve">MARCUS VINICIUS </v>
      </c>
      <c r="I5374" t="str">
        <f t="shared" si="579"/>
        <v>COMERCIAL GODINHO FERREIRA LTDA</v>
      </c>
      <c r="J5374">
        <f t="shared" si="580"/>
        <v>0</v>
      </c>
      <c r="K5374">
        <f t="shared" si="581"/>
        <v>1</v>
      </c>
    </row>
    <row r="5375" spans="1:11" x14ac:dyDescent="0.25">
      <c r="A5375" t="s">
        <v>58</v>
      </c>
      <c r="B5375" t="s">
        <v>59</v>
      </c>
      <c r="C5375" t="s">
        <v>66</v>
      </c>
      <c r="D5375" s="6">
        <v>45995</v>
      </c>
      <c r="E5375" t="str">
        <f>VLOOKUP(B5375,'PROCV GERENTES BD'!A:B,2,0)</f>
        <v>ADMINISTRAÇÃO</v>
      </c>
      <c r="F5375" s="4" t="str">
        <f t="shared" si="576"/>
        <v>2025-12</v>
      </c>
      <c r="G5375" s="18">
        <f t="shared" si="577"/>
        <v>49</v>
      </c>
      <c r="H5375" t="str">
        <f t="shared" si="578"/>
        <v>ADMINISTRAÇÃO</v>
      </c>
      <c r="I5375" t="str">
        <f t="shared" si="579"/>
        <v>BIOTECH LOGISTICA LTDA</v>
      </c>
      <c r="J5375">
        <f t="shared" si="580"/>
        <v>1</v>
      </c>
      <c r="K5375">
        <f t="shared" si="581"/>
        <v>0</v>
      </c>
    </row>
    <row r="5376" spans="1:11" x14ac:dyDescent="0.25">
      <c r="A5376" t="s">
        <v>722</v>
      </c>
      <c r="B5376" t="s">
        <v>723</v>
      </c>
      <c r="C5376" t="s">
        <v>66</v>
      </c>
      <c r="D5376" s="6">
        <v>45995</v>
      </c>
      <c r="E5376" t="str">
        <f>VLOOKUP(B5376,'PROCV GERENTES BD'!A:B,2,0)</f>
        <v>POENATELA</v>
      </c>
      <c r="F5376" s="4" t="str">
        <f t="shared" si="576"/>
        <v>2025-12</v>
      </c>
      <c r="G5376" s="18">
        <f t="shared" si="577"/>
        <v>49</v>
      </c>
      <c r="H5376" t="str">
        <f t="shared" si="578"/>
        <v>POENATELA</v>
      </c>
      <c r="I5376" t="str">
        <f t="shared" si="579"/>
        <v>LIDER MIX CONCRETOS E AGREGADOS LTDA</v>
      </c>
      <c r="J5376">
        <f t="shared" si="580"/>
        <v>1</v>
      </c>
      <c r="K5376">
        <f t="shared" si="581"/>
        <v>0</v>
      </c>
    </row>
    <row r="5377" spans="1:11" x14ac:dyDescent="0.25">
      <c r="A5377" t="s">
        <v>64</v>
      </c>
      <c r="B5377" t="s">
        <v>65</v>
      </c>
      <c r="C5377" t="s">
        <v>53</v>
      </c>
      <c r="D5377" s="6">
        <v>45995</v>
      </c>
      <c r="E5377" t="str">
        <f>VLOOKUP(B5377,'PROCV GERENTES BD'!A:B,2,0)</f>
        <v>ADMINISTRAÇÃO</v>
      </c>
      <c r="F5377" s="4" t="str">
        <f t="shared" si="576"/>
        <v>2025-12</v>
      </c>
      <c r="G5377" s="18">
        <f t="shared" si="577"/>
        <v>49</v>
      </c>
      <c r="H5377" t="str">
        <f t="shared" si="578"/>
        <v>ADMINISTRAÇÃO</v>
      </c>
      <c r="I5377" t="str">
        <f t="shared" si="579"/>
        <v>SOCIAL S/A</v>
      </c>
      <c r="J5377">
        <f t="shared" si="580"/>
        <v>1</v>
      </c>
      <c r="K5377">
        <f t="shared" si="581"/>
        <v>1</v>
      </c>
    </row>
    <row r="5378" spans="1:11" x14ac:dyDescent="0.25">
      <c r="A5378" t="s">
        <v>708</v>
      </c>
      <c r="B5378" t="s">
        <v>570</v>
      </c>
      <c r="C5378" t="s">
        <v>50</v>
      </c>
      <c r="D5378" s="6">
        <v>45995</v>
      </c>
      <c r="E5378" t="str">
        <f>VLOOKUP(B5378,'PROCV GERENTES BD'!A:B,2,0)</f>
        <v>RAFAEL PARISE</v>
      </c>
      <c r="F5378" s="4" t="str">
        <f t="shared" si="576"/>
        <v>2025-12</v>
      </c>
      <c r="G5378" s="18">
        <f t="shared" si="577"/>
        <v>49</v>
      </c>
      <c r="H5378" t="str">
        <f t="shared" si="578"/>
        <v>RAFAEL PARISE</v>
      </c>
      <c r="I5378" t="str">
        <f t="shared" si="579"/>
        <v>NITROTEX INDUSTRIA E COMERCIO TEXTEIS LTDA ME</v>
      </c>
      <c r="J5378">
        <f t="shared" si="580"/>
        <v>0</v>
      </c>
      <c r="K5378">
        <f t="shared" si="581"/>
        <v>1</v>
      </c>
    </row>
    <row r="5379" spans="1:11" x14ac:dyDescent="0.25">
      <c r="A5379" t="s">
        <v>713</v>
      </c>
      <c r="B5379" t="s">
        <v>694</v>
      </c>
      <c r="C5379" t="s">
        <v>66</v>
      </c>
      <c r="D5379" s="6">
        <v>45995</v>
      </c>
      <c r="E5379" t="str">
        <f>VLOOKUP(B5379,'PROCV GERENTES BD'!A:B,2,0)</f>
        <v>CAIO</v>
      </c>
      <c r="F5379" s="4" t="str">
        <f t="shared" si="576"/>
        <v>2025-12</v>
      </c>
      <c r="G5379" s="18">
        <f t="shared" si="577"/>
        <v>49</v>
      </c>
      <c r="H5379" t="str">
        <f t="shared" si="578"/>
        <v>CAIO</v>
      </c>
      <c r="I5379" t="str">
        <f t="shared" si="579"/>
        <v>DENTAL FREE MATERIAIS E SOLUCOES ODONTOLOGICAS LTD</v>
      </c>
      <c r="J5379">
        <f t="shared" si="580"/>
        <v>1</v>
      </c>
      <c r="K5379">
        <f t="shared" si="581"/>
        <v>0</v>
      </c>
    </row>
    <row r="5380" spans="1:11" x14ac:dyDescent="0.25">
      <c r="A5380" t="s">
        <v>630</v>
      </c>
      <c r="B5380" t="s">
        <v>559</v>
      </c>
      <c r="C5380" t="s">
        <v>53</v>
      </c>
      <c r="D5380" s="6">
        <v>45995</v>
      </c>
      <c r="E5380" t="str">
        <f>VLOOKUP(B5380,'PROCV GERENTES BD'!A:B,2,0)</f>
        <v>ALISSON DE SOUZA LIMA</v>
      </c>
      <c r="F5380" s="4" t="str">
        <f t="shared" si="576"/>
        <v>2025-12</v>
      </c>
      <c r="G5380" s="18">
        <f t="shared" si="577"/>
        <v>49</v>
      </c>
      <c r="H5380" t="str">
        <f t="shared" si="578"/>
        <v>ALISSON DE SOUZA LIMA</v>
      </c>
      <c r="I5380" t="str">
        <f t="shared" si="579"/>
        <v>JRG SOLUCOES INDUSTRIAIS LTDA</v>
      </c>
      <c r="J5380">
        <f t="shared" si="580"/>
        <v>1</v>
      </c>
      <c r="K5380">
        <f t="shared" si="581"/>
        <v>1</v>
      </c>
    </row>
    <row r="5381" spans="1:11" x14ac:dyDescent="0.25">
      <c r="A5381" t="s">
        <v>655</v>
      </c>
      <c r="B5381" t="s">
        <v>548</v>
      </c>
      <c r="C5381" t="s">
        <v>50</v>
      </c>
      <c r="D5381" s="6">
        <v>45995</v>
      </c>
      <c r="E5381" t="str">
        <f>VLOOKUP(B5381,'PROCV GERENTES BD'!A:B,2,0)</f>
        <v xml:space="preserve">ROGERIO </v>
      </c>
      <c r="F5381" s="4" t="str">
        <f t="shared" si="576"/>
        <v>2025-12</v>
      </c>
      <c r="G5381" s="18">
        <f t="shared" si="577"/>
        <v>49</v>
      </c>
      <c r="H5381" t="str">
        <f t="shared" si="578"/>
        <v xml:space="preserve">ROGERIO </v>
      </c>
      <c r="I5381" t="str">
        <f t="shared" si="579"/>
        <v>AGROEP PISCICULTURA LTDA ME</v>
      </c>
      <c r="J5381">
        <f t="shared" si="580"/>
        <v>0</v>
      </c>
      <c r="K5381">
        <f t="shared" si="581"/>
        <v>1</v>
      </c>
    </row>
    <row r="5382" spans="1:11" x14ac:dyDescent="0.25">
      <c r="A5382" t="s">
        <v>314</v>
      </c>
      <c r="B5382" t="s">
        <v>246</v>
      </c>
      <c r="C5382" t="s">
        <v>50</v>
      </c>
      <c r="D5382" s="6">
        <v>45995</v>
      </c>
      <c r="E5382" t="str">
        <f>VLOOKUP(B5382,'PROCV GERENTES BD'!A:B,2,0)</f>
        <v xml:space="preserve">ROGERIO </v>
      </c>
      <c r="F5382" s="4" t="str">
        <f t="shared" si="576"/>
        <v>2025-12</v>
      </c>
      <c r="G5382" s="18">
        <f t="shared" si="577"/>
        <v>49</v>
      </c>
      <c r="H5382" t="str">
        <f t="shared" si="578"/>
        <v xml:space="preserve">ROGERIO </v>
      </c>
      <c r="I5382" t="str">
        <f t="shared" si="579"/>
        <v>MUTCD CENTRO DE DISTRIBUICAO DE IND FABRICANTE DE</v>
      </c>
      <c r="J5382">
        <f t="shared" si="580"/>
        <v>0</v>
      </c>
      <c r="K5382">
        <f t="shared" si="581"/>
        <v>1</v>
      </c>
    </row>
    <row r="5383" spans="1:11" x14ac:dyDescent="0.25">
      <c r="A5383" t="s">
        <v>311</v>
      </c>
      <c r="B5383" t="s">
        <v>81</v>
      </c>
      <c r="C5383" t="s">
        <v>50</v>
      </c>
      <c r="D5383" s="6">
        <v>45997</v>
      </c>
      <c r="E5383" t="str">
        <f>VLOOKUP(B5383,'PROCV GERENTES BD'!A:B,2,0)</f>
        <v>CELIO PIMENTA</v>
      </c>
      <c r="F5383" s="4" t="str">
        <f t="shared" ref="F5383:F5414" si="582">YEAR(D5383)&amp;"-"&amp;TEXT(MONTH(D5383),"00")</f>
        <v>2025-12</v>
      </c>
      <c r="G5383" s="18">
        <f t="shared" ref="G5383:G5414" si="583">WEEKNUM(D5383)</f>
        <v>49</v>
      </c>
      <c r="H5383" t="str">
        <f t="shared" ref="H5383:H5414" si="584">E5383</f>
        <v>CELIO PIMENTA</v>
      </c>
      <c r="I5383" t="str">
        <f t="shared" ref="I5383:I5414" si="585">B5383</f>
        <v>MBIOLOG DIAGNOSTICOS LTDA</v>
      </c>
      <c r="J5383">
        <f t="shared" ref="J5383:J5414" si="586">IF(OR(C5383="EXCLUSAO  ANOT.INADIMPLENCIA",C5383="INCL/EXCL ANOT.INADIMPLENCIA"),1,0)</f>
        <v>0</v>
      </c>
      <c r="K5383">
        <f t="shared" ref="K5383:K5414" si="587">IF(OR(C5383="INCLUSAO  ANOT.INADIMPLENCIA",C5383="INCL/EXCL ANOT.INADIMPLENCIA"),1,0)</f>
        <v>1</v>
      </c>
    </row>
    <row r="5384" spans="1:11" x14ac:dyDescent="0.25">
      <c r="A5384" t="s">
        <v>487</v>
      </c>
      <c r="B5384" t="s">
        <v>244</v>
      </c>
      <c r="C5384" t="s">
        <v>50</v>
      </c>
      <c r="D5384" s="6">
        <v>45997</v>
      </c>
      <c r="E5384" t="str">
        <f>VLOOKUP(B5384,'PROCV GERENTES BD'!A:B,2,0)</f>
        <v xml:space="preserve">ROGERIO </v>
      </c>
      <c r="F5384" s="4" t="str">
        <f t="shared" si="582"/>
        <v>2025-12</v>
      </c>
      <c r="G5384" s="18">
        <f t="shared" si="583"/>
        <v>49</v>
      </c>
      <c r="H5384" t="str">
        <f t="shared" si="584"/>
        <v xml:space="preserve">ROGERIO </v>
      </c>
      <c r="I5384" t="str">
        <f t="shared" si="585"/>
        <v>MUNDO AGRO COMERCIO E DISTRIBUICAO DE CALCADOS LTD</v>
      </c>
      <c r="J5384">
        <f t="shared" si="586"/>
        <v>0</v>
      </c>
      <c r="K5384">
        <f t="shared" si="587"/>
        <v>1</v>
      </c>
    </row>
    <row r="5385" spans="1:11" x14ac:dyDescent="0.25">
      <c r="A5385" t="s">
        <v>460</v>
      </c>
      <c r="B5385" t="s">
        <v>217</v>
      </c>
      <c r="C5385" t="s">
        <v>50</v>
      </c>
      <c r="D5385" s="6">
        <v>45997</v>
      </c>
      <c r="E5385" t="str">
        <f>VLOOKUP(B5385,'PROCV GERENTES BD'!A:B,2,0)</f>
        <v>CELIO PIMENTA</v>
      </c>
      <c r="F5385" s="4" t="str">
        <f t="shared" si="582"/>
        <v>2025-12</v>
      </c>
      <c r="G5385" s="18">
        <f t="shared" si="583"/>
        <v>49</v>
      </c>
      <c r="H5385" t="str">
        <f t="shared" si="584"/>
        <v>CELIO PIMENTA</v>
      </c>
      <c r="I5385" t="str">
        <f t="shared" si="585"/>
        <v>MINAS CLEAN DISTRIBUIDORA DE PRODUTOS PARA LIMPEZA</v>
      </c>
      <c r="J5385">
        <f t="shared" si="586"/>
        <v>0</v>
      </c>
      <c r="K5385">
        <f t="shared" si="587"/>
        <v>1</v>
      </c>
    </row>
    <row r="5386" spans="1:11" x14ac:dyDescent="0.25">
      <c r="A5386" t="s">
        <v>653</v>
      </c>
      <c r="B5386" t="s">
        <v>566</v>
      </c>
      <c r="C5386" t="s">
        <v>50</v>
      </c>
      <c r="D5386" s="6">
        <v>45997</v>
      </c>
      <c r="E5386" t="str">
        <f>VLOOKUP(B5386,'PROCV GERENTES BD'!A:B,2,0)</f>
        <v>DIOGO AZEVEDO</v>
      </c>
      <c r="F5386" s="4" t="str">
        <f t="shared" si="582"/>
        <v>2025-12</v>
      </c>
      <c r="G5386" s="18">
        <f t="shared" si="583"/>
        <v>49</v>
      </c>
      <c r="H5386" t="str">
        <f t="shared" si="584"/>
        <v>DIOGO AZEVEDO</v>
      </c>
      <c r="I5386" t="str">
        <f t="shared" si="585"/>
        <v>MILK LAT LTDA EPP</v>
      </c>
      <c r="J5386">
        <f t="shared" si="586"/>
        <v>0</v>
      </c>
      <c r="K5386">
        <f t="shared" si="587"/>
        <v>1</v>
      </c>
    </row>
    <row r="5387" spans="1:11" x14ac:dyDescent="0.25">
      <c r="A5387" t="s">
        <v>457</v>
      </c>
      <c r="B5387" t="s">
        <v>214</v>
      </c>
      <c r="C5387" t="s">
        <v>50</v>
      </c>
      <c r="D5387" s="6">
        <v>45997</v>
      </c>
      <c r="E5387" t="str">
        <f>VLOOKUP(B5387,'PROCV GERENTES BD'!A:B,2,0)</f>
        <v xml:space="preserve">ROGERIO </v>
      </c>
      <c r="F5387" s="4" t="str">
        <f t="shared" si="582"/>
        <v>2025-12</v>
      </c>
      <c r="G5387" s="18">
        <f t="shared" si="583"/>
        <v>49</v>
      </c>
      <c r="H5387" t="str">
        <f t="shared" si="584"/>
        <v xml:space="preserve">ROGERIO </v>
      </c>
      <c r="I5387" t="str">
        <f t="shared" si="585"/>
        <v>METAL STAMP INDUSTRIA E COMERCIO LTDA</v>
      </c>
      <c r="J5387">
        <f t="shared" si="586"/>
        <v>0</v>
      </c>
      <c r="K5387">
        <f t="shared" si="587"/>
        <v>1</v>
      </c>
    </row>
    <row r="5388" spans="1:11" x14ac:dyDescent="0.25">
      <c r="A5388" t="s">
        <v>508</v>
      </c>
      <c r="B5388" t="s">
        <v>271</v>
      </c>
      <c r="C5388" t="s">
        <v>50</v>
      </c>
      <c r="D5388" s="6">
        <v>45997</v>
      </c>
      <c r="E5388" t="str">
        <f>VLOOKUP(B5388,'PROCV GERENTES BD'!A:B,2,0)</f>
        <v>PRISCILA METZ</v>
      </c>
      <c r="F5388" s="4" t="str">
        <f t="shared" si="582"/>
        <v>2025-12</v>
      </c>
      <c r="G5388" s="18">
        <f t="shared" si="583"/>
        <v>49</v>
      </c>
      <c r="H5388" t="str">
        <f t="shared" si="584"/>
        <v>PRISCILA METZ</v>
      </c>
      <c r="I5388" t="str">
        <f t="shared" si="585"/>
        <v>TUBOLARES VITORIA INDUSTRIA E COMERCIO LTDA ME</v>
      </c>
      <c r="J5388">
        <f t="shared" si="586"/>
        <v>0</v>
      </c>
      <c r="K5388">
        <f t="shared" si="587"/>
        <v>1</v>
      </c>
    </row>
    <row r="5389" spans="1:11" x14ac:dyDescent="0.25">
      <c r="A5389" t="s">
        <v>667</v>
      </c>
      <c r="B5389" t="s">
        <v>560</v>
      </c>
      <c r="C5389" t="s">
        <v>50</v>
      </c>
      <c r="D5389" s="6">
        <v>45997</v>
      </c>
      <c r="E5389" t="str">
        <f>VLOOKUP(B5389,'PROCV GERENTES BD'!A:B,2,0)</f>
        <v>ALISSON DE SOUZA LIMA</v>
      </c>
      <c r="F5389" s="4" t="str">
        <f t="shared" si="582"/>
        <v>2025-12</v>
      </c>
      <c r="G5389" s="18">
        <f t="shared" si="583"/>
        <v>49</v>
      </c>
      <c r="H5389" t="str">
        <f t="shared" si="584"/>
        <v>ALISSON DE SOUZA LIMA</v>
      </c>
      <c r="I5389" t="str">
        <f t="shared" si="585"/>
        <v>JRG SOLUCOES EM SERVICOS LTDA ME</v>
      </c>
      <c r="J5389">
        <f t="shared" si="586"/>
        <v>0</v>
      </c>
      <c r="K5389">
        <f t="shared" si="587"/>
        <v>1</v>
      </c>
    </row>
    <row r="5390" spans="1:11" x14ac:dyDescent="0.25">
      <c r="A5390" t="s">
        <v>645</v>
      </c>
      <c r="B5390" t="s">
        <v>646</v>
      </c>
      <c r="C5390" t="s">
        <v>50</v>
      </c>
      <c r="D5390" s="6">
        <v>45997</v>
      </c>
      <c r="E5390" t="str">
        <f>VLOOKUP(B5390,'PROCV GERENTES BD'!A:B,2,0)</f>
        <v>RAFAEL PARISE</v>
      </c>
      <c r="F5390" s="4" t="str">
        <f t="shared" si="582"/>
        <v>2025-12</v>
      </c>
      <c r="G5390" s="18">
        <f t="shared" si="583"/>
        <v>49</v>
      </c>
      <c r="H5390" t="str">
        <f t="shared" si="584"/>
        <v>RAFAEL PARISE</v>
      </c>
      <c r="I5390" t="str">
        <f t="shared" si="585"/>
        <v>SIGGA LOGISTICA LTDA</v>
      </c>
      <c r="J5390">
        <f t="shared" si="586"/>
        <v>0</v>
      </c>
      <c r="K5390">
        <f t="shared" si="587"/>
        <v>1</v>
      </c>
    </row>
    <row r="5391" spans="1:11" x14ac:dyDescent="0.25">
      <c r="A5391" t="s">
        <v>655</v>
      </c>
      <c r="B5391" t="s">
        <v>548</v>
      </c>
      <c r="C5391" t="s">
        <v>50</v>
      </c>
      <c r="D5391" s="6">
        <v>45997</v>
      </c>
      <c r="E5391" t="str">
        <f>VLOOKUP(B5391,'PROCV GERENTES BD'!A:B,2,0)</f>
        <v xml:space="preserve">ROGERIO </v>
      </c>
      <c r="F5391" s="4" t="str">
        <f t="shared" si="582"/>
        <v>2025-12</v>
      </c>
      <c r="G5391" s="18">
        <f t="shared" si="583"/>
        <v>49</v>
      </c>
      <c r="H5391" t="str">
        <f t="shared" si="584"/>
        <v xml:space="preserve">ROGERIO </v>
      </c>
      <c r="I5391" t="str">
        <f t="shared" si="585"/>
        <v>AGROEP PISCICULTURA LTDA ME</v>
      </c>
      <c r="J5391">
        <f t="shared" si="586"/>
        <v>0</v>
      </c>
      <c r="K5391">
        <f t="shared" si="587"/>
        <v>1</v>
      </c>
    </row>
    <row r="5392" spans="1:11" x14ac:dyDescent="0.25">
      <c r="A5392" t="s">
        <v>658</v>
      </c>
      <c r="B5392" t="s">
        <v>659</v>
      </c>
      <c r="C5392" t="s">
        <v>50</v>
      </c>
      <c r="D5392" s="6">
        <v>45997</v>
      </c>
      <c r="E5392" t="str">
        <f>VLOOKUP(B5392,'PROCV GERENTES BD'!A:B,2,0)</f>
        <v>ADMINISTRAÇÃO</v>
      </c>
      <c r="F5392" s="4" t="str">
        <f t="shared" si="582"/>
        <v>2025-12</v>
      </c>
      <c r="G5392" s="18">
        <f t="shared" si="583"/>
        <v>49</v>
      </c>
      <c r="H5392" t="str">
        <f t="shared" si="584"/>
        <v>ADMINISTRAÇÃO</v>
      </c>
      <c r="I5392" t="str">
        <f t="shared" si="585"/>
        <v>LEFORM PLANEJADOS LTDA ME</v>
      </c>
      <c r="J5392">
        <f t="shared" si="586"/>
        <v>0</v>
      </c>
      <c r="K5392">
        <f t="shared" si="587"/>
        <v>1</v>
      </c>
    </row>
    <row r="5393" spans="1:11" x14ac:dyDescent="0.25">
      <c r="A5393" t="s">
        <v>630</v>
      </c>
      <c r="B5393" t="s">
        <v>559</v>
      </c>
      <c r="C5393" t="s">
        <v>50</v>
      </c>
      <c r="D5393" s="6">
        <v>45997</v>
      </c>
      <c r="E5393" t="str">
        <f>VLOOKUP(B5393,'PROCV GERENTES BD'!A:B,2,0)</f>
        <v>ALISSON DE SOUZA LIMA</v>
      </c>
      <c r="F5393" s="4" t="str">
        <f t="shared" si="582"/>
        <v>2025-12</v>
      </c>
      <c r="G5393" s="18">
        <f t="shared" si="583"/>
        <v>49</v>
      </c>
      <c r="H5393" t="str">
        <f t="shared" si="584"/>
        <v>ALISSON DE SOUZA LIMA</v>
      </c>
      <c r="I5393" t="str">
        <f t="shared" si="585"/>
        <v>JRG SOLUCOES INDUSTRIAIS LTDA</v>
      </c>
      <c r="J5393">
        <f t="shared" si="586"/>
        <v>0</v>
      </c>
      <c r="K5393">
        <f t="shared" si="587"/>
        <v>1</v>
      </c>
    </row>
    <row r="5394" spans="1:11" x14ac:dyDescent="0.25">
      <c r="A5394" t="s">
        <v>635</v>
      </c>
      <c r="B5394" t="s">
        <v>636</v>
      </c>
      <c r="C5394" t="s">
        <v>66</v>
      </c>
      <c r="D5394" s="6">
        <v>45997</v>
      </c>
      <c r="E5394" t="str">
        <f>VLOOKUP(B5394,'PROCV GERENTES BD'!A:B,2,0)</f>
        <v>TIAGO NEVES</v>
      </c>
      <c r="F5394" s="4" t="str">
        <f t="shared" si="582"/>
        <v>2025-12</v>
      </c>
      <c r="G5394" s="18">
        <f t="shared" si="583"/>
        <v>49</v>
      </c>
      <c r="H5394" t="str">
        <f t="shared" si="584"/>
        <v>TIAGO NEVES</v>
      </c>
      <c r="I5394" t="str">
        <f t="shared" si="585"/>
        <v>MG GLASS VIDROS PARA TRATORES E CAMINHOES LTDA ME</v>
      </c>
      <c r="J5394">
        <f t="shared" si="586"/>
        <v>1</v>
      </c>
      <c r="K5394">
        <f t="shared" si="587"/>
        <v>0</v>
      </c>
    </row>
    <row r="5395" spans="1:11" x14ac:dyDescent="0.25">
      <c r="A5395" t="s">
        <v>505</v>
      </c>
      <c r="B5395" t="s">
        <v>267</v>
      </c>
      <c r="C5395" t="s">
        <v>66</v>
      </c>
      <c r="D5395" s="6">
        <v>45997</v>
      </c>
      <c r="E5395" t="str">
        <f>VLOOKUP(B5395,'PROCV GERENTES BD'!A:B,2,0)</f>
        <v>PRISCILA METZ</v>
      </c>
      <c r="F5395" s="4" t="str">
        <f t="shared" si="582"/>
        <v>2025-12</v>
      </c>
      <c r="G5395" s="18">
        <f t="shared" si="583"/>
        <v>49</v>
      </c>
      <c r="H5395" t="str">
        <f t="shared" si="584"/>
        <v>PRISCILA METZ</v>
      </c>
      <c r="I5395" t="str">
        <f t="shared" si="585"/>
        <v>REAL DISTRIBUIDORA DE PRODUTOS PARA MARMORARIA LTD</v>
      </c>
      <c r="J5395">
        <f t="shared" si="586"/>
        <v>1</v>
      </c>
      <c r="K5395">
        <f t="shared" si="587"/>
        <v>0</v>
      </c>
    </row>
    <row r="5396" spans="1:11" x14ac:dyDescent="0.25">
      <c r="A5396" t="s">
        <v>314</v>
      </c>
      <c r="B5396" t="s">
        <v>246</v>
      </c>
      <c r="C5396" t="s">
        <v>50</v>
      </c>
      <c r="D5396" s="6">
        <v>45997</v>
      </c>
      <c r="E5396" t="str">
        <f>VLOOKUP(B5396,'PROCV GERENTES BD'!A:B,2,0)</f>
        <v xml:space="preserve">ROGERIO </v>
      </c>
      <c r="F5396" s="4" t="str">
        <f t="shared" si="582"/>
        <v>2025-12</v>
      </c>
      <c r="G5396" s="18">
        <f t="shared" si="583"/>
        <v>49</v>
      </c>
      <c r="H5396" t="str">
        <f t="shared" si="584"/>
        <v xml:space="preserve">ROGERIO </v>
      </c>
      <c r="I5396" t="str">
        <f t="shared" si="585"/>
        <v>MUTCD CENTRO DE DISTRIBUICAO DE IND FABRICANTE DE</v>
      </c>
      <c r="J5396">
        <f t="shared" si="586"/>
        <v>0</v>
      </c>
      <c r="K5396">
        <f t="shared" si="587"/>
        <v>1</v>
      </c>
    </row>
    <row r="5397" spans="1:11" x14ac:dyDescent="0.25">
      <c r="A5397" t="s">
        <v>708</v>
      </c>
      <c r="B5397" t="s">
        <v>570</v>
      </c>
      <c r="C5397" t="s">
        <v>50</v>
      </c>
      <c r="D5397" s="6">
        <v>45997</v>
      </c>
      <c r="E5397" t="str">
        <f>VLOOKUP(B5397,'PROCV GERENTES BD'!A:B,2,0)</f>
        <v>RAFAEL PARISE</v>
      </c>
      <c r="F5397" s="4" t="str">
        <f t="shared" si="582"/>
        <v>2025-12</v>
      </c>
      <c r="G5397" s="18">
        <f t="shared" si="583"/>
        <v>49</v>
      </c>
      <c r="H5397" t="str">
        <f t="shared" si="584"/>
        <v>RAFAEL PARISE</v>
      </c>
      <c r="I5397" t="str">
        <f t="shared" si="585"/>
        <v>NITROTEX INDUSTRIA E COMERCIO TEXTEIS LTDA ME</v>
      </c>
      <c r="J5397">
        <f t="shared" si="586"/>
        <v>0</v>
      </c>
      <c r="K5397">
        <f t="shared" si="587"/>
        <v>1</v>
      </c>
    </row>
    <row r="5398" spans="1:11" x14ac:dyDescent="0.25">
      <c r="A5398" t="s">
        <v>701</v>
      </c>
      <c r="B5398" t="s">
        <v>696</v>
      </c>
      <c r="C5398" t="s">
        <v>50</v>
      </c>
      <c r="D5398" s="6">
        <v>45997</v>
      </c>
      <c r="E5398" t="str">
        <f>VLOOKUP(B5398,'PROCV GERENTES BD'!A:B,2,0)</f>
        <v xml:space="preserve">ROGERIO </v>
      </c>
      <c r="F5398" s="4" t="str">
        <f t="shared" si="582"/>
        <v>2025-12</v>
      </c>
      <c r="G5398" s="18">
        <f t="shared" si="583"/>
        <v>49</v>
      </c>
      <c r="H5398" t="str">
        <f t="shared" si="584"/>
        <v xml:space="preserve">ROGERIO </v>
      </c>
      <c r="I5398" t="str">
        <f t="shared" si="585"/>
        <v>CONFIARE ADMINISTRADORA LTDA EPP</v>
      </c>
      <c r="J5398">
        <f t="shared" si="586"/>
        <v>0</v>
      </c>
      <c r="K5398">
        <f t="shared" si="587"/>
        <v>1</v>
      </c>
    </row>
    <row r="5399" spans="1:11" x14ac:dyDescent="0.25">
      <c r="A5399" t="s">
        <v>660</v>
      </c>
      <c r="B5399" t="s">
        <v>545</v>
      </c>
      <c r="C5399" t="s">
        <v>50</v>
      </c>
      <c r="D5399" s="6">
        <v>45997</v>
      </c>
      <c r="E5399" t="str">
        <f>VLOOKUP(B5399,'PROCV GERENTES BD'!A:B,2,0)</f>
        <v xml:space="preserve">ROGERIO </v>
      </c>
      <c r="F5399" s="4" t="str">
        <f t="shared" si="582"/>
        <v>2025-12</v>
      </c>
      <c r="G5399" s="18">
        <f t="shared" si="583"/>
        <v>49</v>
      </c>
      <c r="H5399" t="str">
        <f t="shared" si="584"/>
        <v xml:space="preserve">ROGERIO </v>
      </c>
      <c r="I5399" t="str">
        <f t="shared" si="585"/>
        <v>DISEP ALIMENTOS LTDA ME</v>
      </c>
      <c r="J5399">
        <f t="shared" si="586"/>
        <v>0</v>
      </c>
      <c r="K5399">
        <f t="shared" si="587"/>
        <v>1</v>
      </c>
    </row>
    <row r="5400" spans="1:11" x14ac:dyDescent="0.25">
      <c r="A5400" t="s">
        <v>714</v>
      </c>
      <c r="B5400" t="s">
        <v>715</v>
      </c>
      <c r="C5400" t="s">
        <v>50</v>
      </c>
      <c r="D5400" s="6">
        <v>45997</v>
      </c>
      <c r="E5400" t="str">
        <f>VLOOKUP(B5400,'PROCV GERENTES BD'!A:B,2,0)</f>
        <v>POENATELA</v>
      </c>
      <c r="F5400" s="4" t="str">
        <f t="shared" si="582"/>
        <v>2025-12</v>
      </c>
      <c r="G5400" s="18">
        <f t="shared" si="583"/>
        <v>49</v>
      </c>
      <c r="H5400" t="str">
        <f t="shared" si="584"/>
        <v>POENATELA</v>
      </c>
      <c r="I5400" t="str">
        <f t="shared" si="585"/>
        <v>PRP TRANSPORTES SERVICOS E LOCACAO DE MAQUINAS LTD</v>
      </c>
      <c r="J5400">
        <f t="shared" si="586"/>
        <v>0</v>
      </c>
      <c r="K5400">
        <f t="shared" si="587"/>
        <v>1</v>
      </c>
    </row>
    <row r="5401" spans="1:11" x14ac:dyDescent="0.25">
      <c r="A5401" t="s">
        <v>700</v>
      </c>
      <c r="B5401" t="s">
        <v>680</v>
      </c>
      <c r="C5401" t="s">
        <v>50</v>
      </c>
      <c r="D5401" s="6">
        <v>45997</v>
      </c>
      <c r="E5401" t="str">
        <f>VLOOKUP(B5401,'PROCV GERENTES BD'!A:B,2,0)</f>
        <v>POENATELA</v>
      </c>
      <c r="F5401" s="4" t="str">
        <f t="shared" si="582"/>
        <v>2025-12</v>
      </c>
      <c r="G5401" s="18">
        <f t="shared" si="583"/>
        <v>49</v>
      </c>
      <c r="H5401" t="str">
        <f t="shared" si="584"/>
        <v>POENATELA</v>
      </c>
      <c r="I5401" t="str">
        <f t="shared" si="585"/>
        <v>BIORGANICA PRODUTOS ORGANICOS LTDA</v>
      </c>
      <c r="J5401">
        <f t="shared" si="586"/>
        <v>0</v>
      </c>
      <c r="K5401">
        <f t="shared" si="587"/>
        <v>1</v>
      </c>
    </row>
    <row r="5402" spans="1:11" x14ac:dyDescent="0.25">
      <c r="A5402" t="s">
        <v>361</v>
      </c>
      <c r="B5402" t="s">
        <v>106</v>
      </c>
      <c r="C5402" t="s">
        <v>50</v>
      </c>
      <c r="D5402" s="6">
        <v>45997</v>
      </c>
      <c r="E5402" t="str">
        <f>VLOOKUP(B5402,'PROCV GERENTES BD'!A:B,2,0)</f>
        <v>PRISCILA METZ</v>
      </c>
      <c r="F5402" s="4" t="str">
        <f t="shared" si="582"/>
        <v>2025-12</v>
      </c>
      <c r="G5402" s="18">
        <f t="shared" si="583"/>
        <v>49</v>
      </c>
      <c r="H5402" t="str">
        <f t="shared" si="584"/>
        <v>PRISCILA METZ</v>
      </c>
      <c r="I5402" t="str">
        <f t="shared" si="585"/>
        <v>HERBAMED LABORATORIO NUTRACEUTICO LTDA</v>
      </c>
      <c r="J5402">
        <f t="shared" si="586"/>
        <v>0</v>
      </c>
      <c r="K5402">
        <f t="shared" si="587"/>
        <v>1</v>
      </c>
    </row>
    <row r="5403" spans="1:11" x14ac:dyDescent="0.25">
      <c r="A5403" t="s">
        <v>331</v>
      </c>
      <c r="B5403" t="s">
        <v>144</v>
      </c>
      <c r="C5403" t="s">
        <v>50</v>
      </c>
      <c r="D5403" s="6">
        <v>45997</v>
      </c>
      <c r="E5403" t="str">
        <f>VLOOKUP(B5403,'PROCV GERENTES BD'!A:B,2,0)</f>
        <v>ADMINISTRAÇÃO</v>
      </c>
      <c r="F5403" s="4" t="str">
        <f t="shared" si="582"/>
        <v>2025-12</v>
      </c>
      <c r="G5403" s="18">
        <f t="shared" si="583"/>
        <v>49</v>
      </c>
      <c r="H5403" t="str">
        <f t="shared" si="584"/>
        <v>ADMINISTRAÇÃO</v>
      </c>
      <c r="I5403" t="str">
        <f t="shared" si="585"/>
        <v>BOM PASTOR PAPEIS LTDA EM RECUPERACAO JUDICIAL</v>
      </c>
      <c r="J5403">
        <f t="shared" si="586"/>
        <v>0</v>
      </c>
      <c r="K5403">
        <f t="shared" si="587"/>
        <v>1</v>
      </c>
    </row>
    <row r="5404" spans="1:11" x14ac:dyDescent="0.25">
      <c r="A5404" t="s">
        <v>698</v>
      </c>
      <c r="B5404" t="s">
        <v>699</v>
      </c>
      <c r="C5404" t="s">
        <v>50</v>
      </c>
      <c r="D5404" s="6">
        <v>45997</v>
      </c>
      <c r="E5404" t="str">
        <f>VLOOKUP(B5404,'PROCV GERENTES BD'!A:B,2,0)</f>
        <v>VALERIA</v>
      </c>
      <c r="F5404" s="4" t="str">
        <f t="shared" si="582"/>
        <v>2025-12</v>
      </c>
      <c r="G5404" s="18">
        <f t="shared" si="583"/>
        <v>49</v>
      </c>
      <c r="H5404" t="str">
        <f t="shared" si="584"/>
        <v>VALERIA</v>
      </c>
      <c r="I5404" t="str">
        <f t="shared" si="585"/>
        <v>FRIGORIFICO BRAZFRIG INDUSTRIA E IMPORTACAO LTDA E</v>
      </c>
      <c r="J5404">
        <f t="shared" si="586"/>
        <v>0</v>
      </c>
      <c r="K5404">
        <f t="shared" si="587"/>
        <v>1</v>
      </c>
    </row>
    <row r="5405" spans="1:11" x14ac:dyDescent="0.25">
      <c r="A5405" t="s">
        <v>722</v>
      </c>
      <c r="B5405" t="s">
        <v>723</v>
      </c>
      <c r="C5405" t="s">
        <v>50</v>
      </c>
      <c r="D5405" s="6">
        <v>45997</v>
      </c>
      <c r="E5405" t="str">
        <f>VLOOKUP(B5405,'PROCV GERENTES BD'!A:B,2,0)</f>
        <v>POENATELA</v>
      </c>
      <c r="F5405" s="4" t="str">
        <f t="shared" si="582"/>
        <v>2025-12</v>
      </c>
      <c r="G5405" s="18">
        <f t="shared" si="583"/>
        <v>49</v>
      </c>
      <c r="H5405" t="str">
        <f t="shared" si="584"/>
        <v>POENATELA</v>
      </c>
      <c r="I5405" t="str">
        <f t="shared" si="585"/>
        <v>LIDER MIX CONCRETOS E AGREGADOS LTDA</v>
      </c>
      <c r="J5405">
        <f t="shared" si="586"/>
        <v>0</v>
      </c>
      <c r="K5405">
        <f t="shared" si="587"/>
        <v>1</v>
      </c>
    </row>
    <row r="5406" spans="1:11" x14ac:dyDescent="0.25">
      <c r="A5406" t="s">
        <v>718</v>
      </c>
      <c r="B5406" t="s">
        <v>719</v>
      </c>
      <c r="C5406" t="s">
        <v>66</v>
      </c>
      <c r="D5406" s="6">
        <v>45997</v>
      </c>
      <c r="E5406" t="str">
        <f>VLOOKUP(B5406,'PROCV GERENTES BD'!A:B,2,0)</f>
        <v>CAIO</v>
      </c>
      <c r="F5406" s="4" t="str">
        <f t="shared" si="582"/>
        <v>2025-12</v>
      </c>
      <c r="G5406" s="18">
        <f t="shared" si="583"/>
        <v>49</v>
      </c>
      <c r="H5406" t="str">
        <f t="shared" si="584"/>
        <v>CAIO</v>
      </c>
      <c r="I5406" t="str">
        <f t="shared" si="585"/>
        <v>GEOTHRA GEOLOGIA GEOTECNIA LTDA EPP</v>
      </c>
      <c r="J5406">
        <f t="shared" si="586"/>
        <v>1</v>
      </c>
      <c r="K5406">
        <f t="shared" si="587"/>
        <v>0</v>
      </c>
    </row>
    <row r="5407" spans="1:11" x14ac:dyDescent="0.25">
      <c r="A5407" t="s">
        <v>499</v>
      </c>
      <c r="B5407" t="s">
        <v>258</v>
      </c>
      <c r="C5407" t="s">
        <v>50</v>
      </c>
      <c r="D5407" s="6">
        <v>45997</v>
      </c>
      <c r="E5407" t="str">
        <f>VLOOKUP(B5407,'PROCV GERENTES BD'!A:B,2,0)</f>
        <v>PRISCILA METZ</v>
      </c>
      <c r="F5407" s="4" t="str">
        <f t="shared" si="582"/>
        <v>2025-12</v>
      </c>
      <c r="G5407" s="18">
        <f t="shared" si="583"/>
        <v>49</v>
      </c>
      <c r="H5407" t="str">
        <f t="shared" si="584"/>
        <v>PRISCILA METZ</v>
      </c>
      <c r="I5407" t="str">
        <f t="shared" si="585"/>
        <v>PLATINUM INDUSTRIA DE CONFECCOES LTDA</v>
      </c>
      <c r="J5407">
        <f t="shared" si="586"/>
        <v>0</v>
      </c>
      <c r="K5407">
        <f t="shared" si="587"/>
        <v>1</v>
      </c>
    </row>
    <row r="5408" spans="1:11" x14ac:dyDescent="0.25">
      <c r="A5408" t="s">
        <v>614</v>
      </c>
      <c r="B5408" t="s">
        <v>615</v>
      </c>
      <c r="C5408" t="s">
        <v>66</v>
      </c>
      <c r="D5408" s="6">
        <v>45997</v>
      </c>
      <c r="E5408" t="str">
        <f>VLOOKUP(B5408,'PROCV GERENTES BD'!A:B,2,0)</f>
        <v>RAFAEL PARISE</v>
      </c>
      <c r="F5408" s="4" t="str">
        <f t="shared" si="582"/>
        <v>2025-12</v>
      </c>
      <c r="G5408" s="18">
        <f t="shared" si="583"/>
        <v>49</v>
      </c>
      <c r="H5408" t="str">
        <f t="shared" si="584"/>
        <v>RAFAEL PARISE</v>
      </c>
      <c r="I5408" t="str">
        <f t="shared" si="585"/>
        <v>SAGATEC LTDA</v>
      </c>
      <c r="J5408">
        <f t="shared" si="586"/>
        <v>1</v>
      </c>
      <c r="K5408">
        <f t="shared" si="587"/>
        <v>0</v>
      </c>
    </row>
    <row r="5409" spans="1:11" x14ac:dyDescent="0.25">
      <c r="A5409" t="s">
        <v>455</v>
      </c>
      <c r="B5409" t="s">
        <v>212</v>
      </c>
      <c r="C5409" t="s">
        <v>50</v>
      </c>
      <c r="D5409" s="6">
        <v>45997</v>
      </c>
      <c r="E5409" t="str">
        <f>VLOOKUP(B5409,'PROCV GERENTES BD'!A:B,2,0)</f>
        <v>ADMINISTRAÇÃO</v>
      </c>
      <c r="F5409" s="4" t="str">
        <f t="shared" si="582"/>
        <v>2025-12</v>
      </c>
      <c r="G5409" s="18">
        <f t="shared" si="583"/>
        <v>49</v>
      </c>
      <c r="H5409" t="str">
        <f t="shared" si="584"/>
        <v>ADMINISTRAÇÃO</v>
      </c>
      <c r="I5409" t="str">
        <f t="shared" si="585"/>
        <v>MAIS LAR ENGENHARIA LTDA</v>
      </c>
      <c r="J5409">
        <f t="shared" si="586"/>
        <v>0</v>
      </c>
      <c r="K5409">
        <f t="shared" si="587"/>
        <v>1</v>
      </c>
    </row>
    <row r="5410" spans="1:11" x14ac:dyDescent="0.25">
      <c r="A5410" t="s">
        <v>370</v>
      </c>
      <c r="B5410" t="s">
        <v>114</v>
      </c>
      <c r="C5410" t="s">
        <v>66</v>
      </c>
      <c r="D5410" s="6">
        <v>46000</v>
      </c>
      <c r="E5410" t="str">
        <f>VLOOKUP(B5410,'PROCV GERENTES BD'!A:B,2,0)</f>
        <v>POENATELA</v>
      </c>
      <c r="F5410" s="4" t="str">
        <f t="shared" si="582"/>
        <v>2025-12</v>
      </c>
      <c r="G5410" s="18">
        <f t="shared" si="583"/>
        <v>50</v>
      </c>
      <c r="H5410" t="str">
        <f t="shared" si="584"/>
        <v>POENATELA</v>
      </c>
      <c r="I5410" t="str">
        <f t="shared" si="585"/>
        <v>COOPERATIVA TRANSP AUTON CARGAS PASSAG SERVICOS LO</v>
      </c>
      <c r="J5410">
        <f t="shared" si="586"/>
        <v>1</v>
      </c>
      <c r="K5410">
        <f t="shared" si="587"/>
        <v>0</v>
      </c>
    </row>
    <row r="5411" spans="1:11" x14ac:dyDescent="0.25">
      <c r="A5411" t="s">
        <v>505</v>
      </c>
      <c r="B5411" t="s">
        <v>267</v>
      </c>
      <c r="C5411" t="s">
        <v>53</v>
      </c>
      <c r="D5411" s="6">
        <v>46000</v>
      </c>
      <c r="E5411" t="str">
        <f>VLOOKUP(B5411,'PROCV GERENTES BD'!A:B,2,0)</f>
        <v>PRISCILA METZ</v>
      </c>
      <c r="F5411" s="4" t="str">
        <f t="shared" si="582"/>
        <v>2025-12</v>
      </c>
      <c r="G5411" s="18">
        <f t="shared" si="583"/>
        <v>50</v>
      </c>
      <c r="H5411" t="str">
        <f t="shared" si="584"/>
        <v>PRISCILA METZ</v>
      </c>
      <c r="I5411" t="str">
        <f t="shared" si="585"/>
        <v>REAL DISTRIBUIDORA DE PRODUTOS PARA MARMORARIA LTD</v>
      </c>
      <c r="J5411">
        <f t="shared" si="586"/>
        <v>1</v>
      </c>
      <c r="K5411">
        <f t="shared" si="587"/>
        <v>1</v>
      </c>
    </row>
    <row r="5412" spans="1:11" x14ac:dyDescent="0.25">
      <c r="A5412" t="s">
        <v>635</v>
      </c>
      <c r="B5412" t="s">
        <v>636</v>
      </c>
      <c r="C5412" t="s">
        <v>66</v>
      </c>
      <c r="D5412" s="6">
        <v>46000</v>
      </c>
      <c r="E5412" t="str">
        <f>VLOOKUP(B5412,'PROCV GERENTES BD'!A:B,2,0)</f>
        <v>TIAGO NEVES</v>
      </c>
      <c r="F5412" s="4" t="str">
        <f t="shared" si="582"/>
        <v>2025-12</v>
      </c>
      <c r="G5412" s="18">
        <f t="shared" si="583"/>
        <v>50</v>
      </c>
      <c r="H5412" t="str">
        <f t="shared" si="584"/>
        <v>TIAGO NEVES</v>
      </c>
      <c r="I5412" t="str">
        <f t="shared" si="585"/>
        <v>MG GLASS VIDROS PARA TRATORES E CAMINHOES LTDA ME</v>
      </c>
      <c r="J5412">
        <f t="shared" si="586"/>
        <v>1</v>
      </c>
      <c r="K5412">
        <f t="shared" si="587"/>
        <v>0</v>
      </c>
    </row>
    <row r="5413" spans="1:11" x14ac:dyDescent="0.25">
      <c r="A5413" t="s">
        <v>630</v>
      </c>
      <c r="B5413" t="s">
        <v>559</v>
      </c>
      <c r="C5413" t="s">
        <v>50</v>
      </c>
      <c r="D5413" s="6">
        <v>46000</v>
      </c>
      <c r="E5413" t="str">
        <f>VLOOKUP(B5413,'PROCV GERENTES BD'!A:B,2,0)</f>
        <v>ALISSON DE SOUZA LIMA</v>
      </c>
      <c r="F5413" s="4" t="str">
        <f t="shared" si="582"/>
        <v>2025-12</v>
      </c>
      <c r="G5413" s="18">
        <f t="shared" si="583"/>
        <v>50</v>
      </c>
      <c r="H5413" t="str">
        <f t="shared" si="584"/>
        <v>ALISSON DE SOUZA LIMA</v>
      </c>
      <c r="I5413" t="str">
        <f t="shared" si="585"/>
        <v>JRG SOLUCOES INDUSTRIAIS LTDA</v>
      </c>
      <c r="J5413">
        <f t="shared" si="586"/>
        <v>0</v>
      </c>
      <c r="K5413">
        <f t="shared" si="587"/>
        <v>1</v>
      </c>
    </row>
    <row r="5414" spans="1:11" x14ac:dyDescent="0.25">
      <c r="A5414" t="s">
        <v>708</v>
      </c>
      <c r="B5414" t="s">
        <v>570</v>
      </c>
      <c r="C5414" t="s">
        <v>50</v>
      </c>
      <c r="D5414" s="6">
        <v>46000</v>
      </c>
      <c r="E5414" t="str">
        <f>VLOOKUP(B5414,'PROCV GERENTES BD'!A:B,2,0)</f>
        <v>RAFAEL PARISE</v>
      </c>
      <c r="F5414" s="4" t="str">
        <f t="shared" si="582"/>
        <v>2025-12</v>
      </c>
      <c r="G5414" s="18">
        <f t="shared" si="583"/>
        <v>50</v>
      </c>
      <c r="H5414" t="str">
        <f t="shared" si="584"/>
        <v>RAFAEL PARISE</v>
      </c>
      <c r="I5414" t="str">
        <f t="shared" si="585"/>
        <v>NITROTEX INDUSTRIA E COMERCIO TEXTEIS LTDA ME</v>
      </c>
      <c r="J5414">
        <f t="shared" si="586"/>
        <v>0</v>
      </c>
      <c r="K5414">
        <f t="shared" si="587"/>
        <v>1</v>
      </c>
    </row>
    <row r="5415" spans="1:11" x14ac:dyDescent="0.25">
      <c r="A5415" t="s">
        <v>661</v>
      </c>
      <c r="B5415" t="s">
        <v>662</v>
      </c>
      <c r="C5415" t="s">
        <v>50</v>
      </c>
      <c r="D5415" s="6">
        <v>46000</v>
      </c>
      <c r="E5415" t="str">
        <f>VLOOKUP(B5415,'PROCV GERENTES BD'!A:B,2,0)</f>
        <v>PRISCILA METZ</v>
      </c>
      <c r="F5415" s="4" t="str">
        <f t="shared" ref="F5415:F5442" si="588">YEAR(D5415)&amp;"-"&amp;TEXT(MONTH(D5415),"00")</f>
        <v>2025-12</v>
      </c>
      <c r="G5415" s="18">
        <f t="shared" ref="G5415:G5442" si="589">WEEKNUM(D5415)</f>
        <v>50</v>
      </c>
      <c r="H5415" t="str">
        <f t="shared" ref="H5415:H5442" si="590">E5415</f>
        <v>PRISCILA METZ</v>
      </c>
      <c r="I5415" t="str">
        <f t="shared" ref="I5415:I5442" si="591">B5415</f>
        <v>LIDER DISTRIBUIDORA DE MOVEIS E EQUIPAMENTOS PARA</v>
      </c>
      <c r="J5415">
        <f t="shared" ref="J5415:J5442" si="592">IF(OR(C5415="EXCLUSAO  ANOT.INADIMPLENCIA",C5415="INCL/EXCL ANOT.INADIMPLENCIA"),1,0)</f>
        <v>0</v>
      </c>
      <c r="K5415">
        <f t="shared" ref="K5415:K5442" si="593">IF(OR(C5415="INCLUSAO  ANOT.INADIMPLENCIA",C5415="INCL/EXCL ANOT.INADIMPLENCIA"),1,0)</f>
        <v>1</v>
      </c>
    </row>
    <row r="5416" spans="1:11" x14ac:dyDescent="0.25">
      <c r="A5416" t="s">
        <v>534</v>
      </c>
      <c r="B5416" t="s">
        <v>303</v>
      </c>
      <c r="C5416" t="s">
        <v>50</v>
      </c>
      <c r="D5416" s="6">
        <v>46000</v>
      </c>
      <c r="E5416" t="str">
        <f>VLOOKUP(B5416,'PROCV GERENTES BD'!A:B,2,0)</f>
        <v xml:space="preserve">MARCUS VINICIUS </v>
      </c>
      <c r="F5416" s="4" t="str">
        <f t="shared" si="588"/>
        <v>2025-12</v>
      </c>
      <c r="G5416" s="18">
        <f t="shared" si="589"/>
        <v>50</v>
      </c>
      <c r="H5416" t="str">
        <f t="shared" si="590"/>
        <v xml:space="preserve">MARCUS VINICIUS </v>
      </c>
      <c r="I5416" t="str">
        <f t="shared" si="591"/>
        <v>GRAFICA JSA LTDA EPP</v>
      </c>
      <c r="J5416">
        <f t="shared" si="592"/>
        <v>0</v>
      </c>
      <c r="K5416">
        <f t="shared" si="593"/>
        <v>1</v>
      </c>
    </row>
    <row r="5417" spans="1:11" x14ac:dyDescent="0.25">
      <c r="A5417" t="s">
        <v>655</v>
      </c>
      <c r="B5417" t="s">
        <v>548</v>
      </c>
      <c r="C5417" t="s">
        <v>53</v>
      </c>
      <c r="D5417" s="6">
        <v>46000</v>
      </c>
      <c r="E5417" t="str">
        <f>VLOOKUP(B5417,'PROCV GERENTES BD'!A:B,2,0)</f>
        <v xml:space="preserve">ROGERIO </v>
      </c>
      <c r="F5417" s="4" t="str">
        <f t="shared" si="588"/>
        <v>2025-12</v>
      </c>
      <c r="G5417" s="18">
        <f t="shared" si="589"/>
        <v>50</v>
      </c>
      <c r="H5417" t="str">
        <f t="shared" si="590"/>
        <v xml:space="preserve">ROGERIO </v>
      </c>
      <c r="I5417" t="str">
        <f t="shared" si="591"/>
        <v>AGROEP PISCICULTURA LTDA ME</v>
      </c>
      <c r="J5417">
        <f t="shared" si="592"/>
        <v>1</v>
      </c>
      <c r="K5417">
        <f t="shared" si="593"/>
        <v>1</v>
      </c>
    </row>
    <row r="5418" spans="1:11" x14ac:dyDescent="0.25">
      <c r="A5418" t="s">
        <v>444</v>
      </c>
      <c r="B5418" t="s">
        <v>195</v>
      </c>
      <c r="C5418" t="s">
        <v>50</v>
      </c>
      <c r="D5418" s="6">
        <v>46000</v>
      </c>
      <c r="E5418" t="str">
        <f>VLOOKUP(B5418,'PROCV GERENTES BD'!A:B,2,0)</f>
        <v>RAFAEL PARISE</v>
      </c>
      <c r="F5418" s="4" t="str">
        <f t="shared" si="588"/>
        <v>2025-12</v>
      </c>
      <c r="G5418" s="18">
        <f t="shared" si="589"/>
        <v>50</v>
      </c>
      <c r="H5418" t="str">
        <f t="shared" si="590"/>
        <v>RAFAEL PARISE</v>
      </c>
      <c r="I5418" t="str">
        <f t="shared" si="591"/>
        <v>GEDIBOR RUBBER POLYURETHANE LTDA EPP</v>
      </c>
      <c r="J5418">
        <f t="shared" si="592"/>
        <v>0</v>
      </c>
      <c r="K5418">
        <f t="shared" si="593"/>
        <v>1</v>
      </c>
    </row>
    <row r="5419" spans="1:11" x14ac:dyDescent="0.25">
      <c r="A5419" t="s">
        <v>508</v>
      </c>
      <c r="B5419" t="s">
        <v>271</v>
      </c>
      <c r="C5419" t="s">
        <v>50</v>
      </c>
      <c r="D5419" s="6">
        <v>46000</v>
      </c>
      <c r="E5419" t="str">
        <f>VLOOKUP(B5419,'PROCV GERENTES BD'!A:B,2,0)</f>
        <v>PRISCILA METZ</v>
      </c>
      <c r="F5419" s="4" t="str">
        <f t="shared" si="588"/>
        <v>2025-12</v>
      </c>
      <c r="G5419" s="18">
        <f t="shared" si="589"/>
        <v>50</v>
      </c>
      <c r="H5419" t="str">
        <f t="shared" si="590"/>
        <v>PRISCILA METZ</v>
      </c>
      <c r="I5419" t="str">
        <f t="shared" si="591"/>
        <v>TUBOLARES VITORIA INDUSTRIA E COMERCIO LTDA ME</v>
      </c>
      <c r="J5419">
        <f t="shared" si="592"/>
        <v>0</v>
      </c>
      <c r="K5419">
        <f t="shared" si="593"/>
        <v>1</v>
      </c>
    </row>
    <row r="5420" spans="1:11" x14ac:dyDescent="0.25">
      <c r="A5420" t="s">
        <v>653</v>
      </c>
      <c r="B5420" t="s">
        <v>566</v>
      </c>
      <c r="C5420" t="s">
        <v>50</v>
      </c>
      <c r="D5420" s="6">
        <v>46000</v>
      </c>
      <c r="E5420" t="str">
        <f>VLOOKUP(B5420,'PROCV GERENTES BD'!A:B,2,0)</f>
        <v>DIOGO AZEVEDO</v>
      </c>
      <c r="F5420" s="4" t="str">
        <f t="shared" si="588"/>
        <v>2025-12</v>
      </c>
      <c r="G5420" s="18">
        <f t="shared" si="589"/>
        <v>50</v>
      </c>
      <c r="H5420" t="str">
        <f t="shared" si="590"/>
        <v>DIOGO AZEVEDO</v>
      </c>
      <c r="I5420" t="str">
        <f t="shared" si="591"/>
        <v>MILK LAT LTDA EPP</v>
      </c>
      <c r="J5420">
        <f t="shared" si="592"/>
        <v>0</v>
      </c>
      <c r="K5420">
        <f t="shared" si="593"/>
        <v>1</v>
      </c>
    </row>
    <row r="5421" spans="1:11" x14ac:dyDescent="0.25">
      <c r="A5421" t="s">
        <v>487</v>
      </c>
      <c r="B5421" t="s">
        <v>244</v>
      </c>
      <c r="C5421" t="s">
        <v>50</v>
      </c>
      <c r="D5421" s="6">
        <v>46000</v>
      </c>
      <c r="E5421" t="str">
        <f>VLOOKUP(B5421,'PROCV GERENTES BD'!A:B,2,0)</f>
        <v xml:space="preserve">ROGERIO </v>
      </c>
      <c r="F5421" s="4" t="str">
        <f t="shared" si="588"/>
        <v>2025-12</v>
      </c>
      <c r="G5421" s="18">
        <f t="shared" si="589"/>
        <v>50</v>
      </c>
      <c r="H5421" t="str">
        <f t="shared" si="590"/>
        <v xml:space="preserve">ROGERIO </v>
      </c>
      <c r="I5421" t="str">
        <f t="shared" si="591"/>
        <v>MUNDO AGRO COMERCIO E DISTRIBUICAO DE CALCADOS LTD</v>
      </c>
      <c r="J5421">
        <f t="shared" si="592"/>
        <v>0</v>
      </c>
      <c r="K5421">
        <f t="shared" si="593"/>
        <v>1</v>
      </c>
    </row>
    <row r="5422" spans="1:11" x14ac:dyDescent="0.25">
      <c r="A5422" t="s">
        <v>455</v>
      </c>
      <c r="B5422" t="s">
        <v>212</v>
      </c>
      <c r="C5422" t="s">
        <v>50</v>
      </c>
      <c r="D5422" s="6">
        <v>46000</v>
      </c>
      <c r="E5422" t="str">
        <f>VLOOKUP(B5422,'PROCV GERENTES BD'!A:B,2,0)</f>
        <v>ADMINISTRAÇÃO</v>
      </c>
      <c r="F5422" s="4" t="str">
        <f t="shared" si="588"/>
        <v>2025-12</v>
      </c>
      <c r="G5422" s="18">
        <f t="shared" si="589"/>
        <v>50</v>
      </c>
      <c r="H5422" t="str">
        <f t="shared" si="590"/>
        <v>ADMINISTRAÇÃO</v>
      </c>
      <c r="I5422" t="str">
        <f t="shared" si="591"/>
        <v>MAIS LAR ENGENHARIA LTDA</v>
      </c>
      <c r="J5422">
        <f t="shared" si="592"/>
        <v>0</v>
      </c>
      <c r="K5422">
        <f t="shared" si="593"/>
        <v>1</v>
      </c>
    </row>
    <row r="5423" spans="1:11" x14ac:dyDescent="0.25">
      <c r="A5423" t="s">
        <v>404</v>
      </c>
      <c r="B5423" t="s">
        <v>154</v>
      </c>
      <c r="C5423" t="s">
        <v>50</v>
      </c>
      <c r="D5423" s="6">
        <v>46000</v>
      </c>
      <c r="E5423" t="str">
        <f>VLOOKUP(B5423,'PROCV GERENTES BD'!A:B,2,0)</f>
        <v>ADMINISTRAÇÃO</v>
      </c>
      <c r="F5423" s="4" t="str">
        <f t="shared" si="588"/>
        <v>2025-12</v>
      </c>
      <c r="G5423" s="18">
        <f t="shared" si="589"/>
        <v>50</v>
      </c>
      <c r="H5423" t="str">
        <f t="shared" si="590"/>
        <v>ADMINISTRAÇÃO</v>
      </c>
      <c r="I5423" t="str">
        <f t="shared" si="591"/>
        <v>PRIVILEGIO CONFECCOES CAMA MESA E BANHO LTDA EPP</v>
      </c>
      <c r="J5423">
        <f t="shared" si="592"/>
        <v>0</v>
      </c>
      <c r="K5423">
        <f t="shared" si="593"/>
        <v>1</v>
      </c>
    </row>
    <row r="5424" spans="1:11" x14ac:dyDescent="0.25">
      <c r="A5424" t="s">
        <v>64</v>
      </c>
      <c r="B5424" t="s">
        <v>65</v>
      </c>
      <c r="C5424" t="s">
        <v>50</v>
      </c>
      <c r="D5424" s="6">
        <v>46000</v>
      </c>
      <c r="E5424" t="str">
        <f>VLOOKUP(B5424,'PROCV GERENTES BD'!A:B,2,0)</f>
        <v>ADMINISTRAÇÃO</v>
      </c>
      <c r="F5424" s="4" t="str">
        <f t="shared" si="588"/>
        <v>2025-12</v>
      </c>
      <c r="G5424" s="18">
        <f t="shared" si="589"/>
        <v>50</v>
      </c>
      <c r="H5424" t="str">
        <f t="shared" si="590"/>
        <v>ADMINISTRAÇÃO</v>
      </c>
      <c r="I5424" t="str">
        <f t="shared" si="591"/>
        <v>SOCIAL S/A</v>
      </c>
      <c r="J5424">
        <f t="shared" si="592"/>
        <v>0</v>
      </c>
      <c r="K5424">
        <f t="shared" si="593"/>
        <v>1</v>
      </c>
    </row>
    <row r="5425" spans="1:11" x14ac:dyDescent="0.25">
      <c r="A5425" t="s">
        <v>660</v>
      </c>
      <c r="B5425" t="s">
        <v>545</v>
      </c>
      <c r="C5425" t="s">
        <v>50</v>
      </c>
      <c r="D5425" s="6">
        <v>46000</v>
      </c>
      <c r="E5425" t="str">
        <f>VLOOKUP(B5425,'PROCV GERENTES BD'!A:B,2,0)</f>
        <v xml:space="preserve">ROGERIO </v>
      </c>
      <c r="F5425" s="4" t="str">
        <f t="shared" si="588"/>
        <v>2025-12</v>
      </c>
      <c r="G5425" s="18">
        <f t="shared" si="589"/>
        <v>50</v>
      </c>
      <c r="H5425" t="str">
        <f t="shared" si="590"/>
        <v xml:space="preserve">ROGERIO </v>
      </c>
      <c r="I5425" t="str">
        <f t="shared" si="591"/>
        <v>DISEP ALIMENTOS LTDA ME</v>
      </c>
      <c r="J5425">
        <f t="shared" si="592"/>
        <v>0</v>
      </c>
      <c r="K5425">
        <f t="shared" si="593"/>
        <v>1</v>
      </c>
    </row>
    <row r="5426" spans="1:11" x14ac:dyDescent="0.25">
      <c r="A5426" t="s">
        <v>317</v>
      </c>
      <c r="B5426" t="s">
        <v>280</v>
      </c>
      <c r="C5426" t="s">
        <v>50</v>
      </c>
      <c r="D5426" s="6">
        <v>46000</v>
      </c>
      <c r="E5426" t="str">
        <f>VLOOKUP(B5426,'PROCV GERENTES BD'!A:B,2,0)</f>
        <v>PROSPECTAR</v>
      </c>
      <c r="F5426" s="4" t="str">
        <f t="shared" si="588"/>
        <v>2025-12</v>
      </c>
      <c r="G5426" s="18">
        <f t="shared" si="589"/>
        <v>50</v>
      </c>
      <c r="H5426" t="str">
        <f t="shared" si="590"/>
        <v>PROSPECTAR</v>
      </c>
      <c r="I5426" t="str">
        <f t="shared" si="591"/>
        <v>STA TECHCANA LTDA</v>
      </c>
      <c r="J5426">
        <f t="shared" si="592"/>
        <v>0</v>
      </c>
      <c r="K5426">
        <f t="shared" si="593"/>
        <v>1</v>
      </c>
    </row>
    <row r="5427" spans="1:11" x14ac:dyDescent="0.25">
      <c r="A5427" t="s">
        <v>311</v>
      </c>
      <c r="B5427" t="s">
        <v>81</v>
      </c>
      <c r="C5427" t="s">
        <v>50</v>
      </c>
      <c r="D5427" s="6">
        <v>46000</v>
      </c>
      <c r="E5427" t="str">
        <f>VLOOKUP(B5427,'PROCV GERENTES BD'!A:B,2,0)</f>
        <v>CELIO PIMENTA</v>
      </c>
      <c r="F5427" s="4" t="str">
        <f t="shared" si="588"/>
        <v>2025-12</v>
      </c>
      <c r="G5427" s="18">
        <f t="shared" si="589"/>
        <v>50</v>
      </c>
      <c r="H5427" t="str">
        <f t="shared" si="590"/>
        <v>CELIO PIMENTA</v>
      </c>
      <c r="I5427" t="str">
        <f t="shared" si="591"/>
        <v>MBIOLOG DIAGNOSTICOS LTDA</v>
      </c>
      <c r="J5427">
        <f t="shared" si="592"/>
        <v>0</v>
      </c>
      <c r="K5427">
        <f t="shared" si="593"/>
        <v>1</v>
      </c>
    </row>
    <row r="5428" spans="1:11" x14ac:dyDescent="0.25">
      <c r="A5428" t="s">
        <v>738</v>
      </c>
      <c r="B5428" t="s">
        <v>536</v>
      </c>
      <c r="C5428" t="s">
        <v>66</v>
      </c>
      <c r="D5428" s="6">
        <v>46000</v>
      </c>
      <c r="E5428" t="str">
        <f>VLOOKUP(B5428,'PROCV GERENTES BD'!A:B,2,0)</f>
        <v>ALISSON DE SOUZA LIMA</v>
      </c>
      <c r="F5428" s="4" t="str">
        <f t="shared" si="588"/>
        <v>2025-12</v>
      </c>
      <c r="G5428" s="18">
        <f t="shared" si="589"/>
        <v>50</v>
      </c>
      <c r="H5428" t="str">
        <f t="shared" si="590"/>
        <v>ALISSON DE SOUZA LIMA</v>
      </c>
      <c r="I5428" t="str">
        <f t="shared" si="591"/>
        <v>MENEGAZZO COMERCIO ATACADISTA DE TINTAS LTDA ME</v>
      </c>
      <c r="J5428">
        <f t="shared" si="592"/>
        <v>1</v>
      </c>
      <c r="K5428">
        <f t="shared" si="593"/>
        <v>0</v>
      </c>
    </row>
    <row r="5429" spans="1:11" x14ac:dyDescent="0.25">
      <c r="A5429" t="s">
        <v>521</v>
      </c>
      <c r="B5429" t="s">
        <v>286</v>
      </c>
      <c r="C5429" t="s">
        <v>50</v>
      </c>
      <c r="D5429" s="6">
        <v>46000</v>
      </c>
      <c r="E5429" t="str">
        <f>VLOOKUP(B5429,'PROCV GERENTES BD'!A:B,2,0)</f>
        <v>CELIO PIMENTA</v>
      </c>
      <c r="F5429" s="4" t="str">
        <f t="shared" si="588"/>
        <v>2025-12</v>
      </c>
      <c r="G5429" s="18">
        <f t="shared" si="589"/>
        <v>50</v>
      </c>
      <c r="H5429" t="str">
        <f t="shared" si="590"/>
        <v>CELIO PIMENTA</v>
      </c>
      <c r="I5429" t="str">
        <f t="shared" si="591"/>
        <v>LINGERIE E CIA LTDA ME</v>
      </c>
      <c r="J5429">
        <f t="shared" si="592"/>
        <v>0</v>
      </c>
      <c r="K5429">
        <f t="shared" si="593"/>
        <v>1</v>
      </c>
    </row>
    <row r="5430" spans="1:11" x14ac:dyDescent="0.25">
      <c r="A5430" t="s">
        <v>323</v>
      </c>
      <c r="B5430" t="s">
        <v>109</v>
      </c>
      <c r="C5430" t="s">
        <v>50</v>
      </c>
      <c r="D5430" s="6">
        <v>46000</v>
      </c>
      <c r="E5430" t="str">
        <f>VLOOKUP(B5430,'PROCV GERENTES BD'!A:B,2,0)</f>
        <v>PROSPECTAR</v>
      </c>
      <c r="F5430" s="4" t="str">
        <f t="shared" si="588"/>
        <v>2025-12</v>
      </c>
      <c r="G5430" s="18">
        <f t="shared" si="589"/>
        <v>50</v>
      </c>
      <c r="H5430" t="str">
        <f t="shared" si="590"/>
        <v>PROSPECTAR</v>
      </c>
      <c r="I5430" t="str">
        <f t="shared" si="591"/>
        <v>SIAP COMERCIO DE PRODUTOS AGROPECUARIOS LTDA</v>
      </c>
      <c r="J5430">
        <f t="shared" si="592"/>
        <v>0</v>
      </c>
      <c r="K5430">
        <f t="shared" si="593"/>
        <v>1</v>
      </c>
    </row>
    <row r="5431" spans="1:11" x14ac:dyDescent="0.25">
      <c r="A5431" t="s">
        <v>51</v>
      </c>
      <c r="B5431" t="s">
        <v>52</v>
      </c>
      <c r="C5431" t="s">
        <v>50</v>
      </c>
      <c r="D5431" s="6">
        <v>46000</v>
      </c>
      <c r="E5431" t="str">
        <f>VLOOKUP(B5431,'PROCV GERENTES BD'!A:B,2,0)</f>
        <v>RAFAEL PARISE</v>
      </c>
      <c r="F5431" s="4" t="str">
        <f t="shared" si="588"/>
        <v>2025-12</v>
      </c>
      <c r="G5431" s="18">
        <f t="shared" si="589"/>
        <v>50</v>
      </c>
      <c r="H5431" t="str">
        <f t="shared" si="590"/>
        <v>RAFAEL PARISE</v>
      </c>
      <c r="I5431" t="str">
        <f t="shared" si="591"/>
        <v>TDR TRANSPORTES LOGISTICA LTDA</v>
      </c>
      <c r="J5431">
        <f t="shared" si="592"/>
        <v>0</v>
      </c>
      <c r="K5431">
        <f t="shared" si="593"/>
        <v>1</v>
      </c>
    </row>
    <row r="5432" spans="1:11" x14ac:dyDescent="0.25">
      <c r="A5432" t="s">
        <v>700</v>
      </c>
      <c r="B5432" t="s">
        <v>680</v>
      </c>
      <c r="C5432" t="s">
        <v>50</v>
      </c>
      <c r="D5432" s="6">
        <v>46000</v>
      </c>
      <c r="E5432" t="str">
        <f>VLOOKUP(B5432,'PROCV GERENTES BD'!A:B,2,0)</f>
        <v>POENATELA</v>
      </c>
      <c r="F5432" s="4" t="str">
        <f t="shared" si="588"/>
        <v>2025-12</v>
      </c>
      <c r="G5432" s="18">
        <f t="shared" si="589"/>
        <v>50</v>
      </c>
      <c r="H5432" t="str">
        <f t="shared" si="590"/>
        <v>POENATELA</v>
      </c>
      <c r="I5432" t="str">
        <f t="shared" si="591"/>
        <v>BIORGANICA PRODUTOS ORGANICOS LTDA</v>
      </c>
      <c r="J5432">
        <f t="shared" si="592"/>
        <v>0</v>
      </c>
      <c r="K5432">
        <f t="shared" si="593"/>
        <v>1</v>
      </c>
    </row>
    <row r="5433" spans="1:11" x14ac:dyDescent="0.25">
      <c r="A5433" t="s">
        <v>499</v>
      </c>
      <c r="B5433" t="s">
        <v>258</v>
      </c>
      <c r="C5433" t="s">
        <v>50</v>
      </c>
      <c r="D5433" s="6">
        <v>46000</v>
      </c>
      <c r="E5433" t="str">
        <f>VLOOKUP(B5433,'PROCV GERENTES BD'!A:B,2,0)</f>
        <v>PRISCILA METZ</v>
      </c>
      <c r="F5433" s="4" t="str">
        <f t="shared" si="588"/>
        <v>2025-12</v>
      </c>
      <c r="G5433" s="18">
        <f t="shared" si="589"/>
        <v>50</v>
      </c>
      <c r="H5433" t="str">
        <f t="shared" si="590"/>
        <v>PRISCILA METZ</v>
      </c>
      <c r="I5433" t="str">
        <f t="shared" si="591"/>
        <v>PLATINUM INDUSTRIA DE CONFECCOES LTDA</v>
      </c>
      <c r="J5433">
        <f t="shared" si="592"/>
        <v>0</v>
      </c>
      <c r="K5433">
        <f t="shared" si="593"/>
        <v>1</v>
      </c>
    </row>
    <row r="5434" spans="1:11" x14ac:dyDescent="0.25">
      <c r="A5434" t="s">
        <v>387</v>
      </c>
      <c r="B5434" t="s">
        <v>134</v>
      </c>
      <c r="C5434" t="s">
        <v>50</v>
      </c>
      <c r="D5434" s="6">
        <v>46000</v>
      </c>
      <c r="E5434" t="str">
        <f>VLOOKUP(B5434,'PROCV GERENTES BD'!A:B,2,0)</f>
        <v>RAFAEL PARISE</v>
      </c>
      <c r="F5434" s="4" t="str">
        <f t="shared" si="588"/>
        <v>2025-12</v>
      </c>
      <c r="G5434" s="18">
        <f t="shared" si="589"/>
        <v>50</v>
      </c>
      <c r="H5434" t="str">
        <f t="shared" si="590"/>
        <v>RAFAEL PARISE</v>
      </c>
      <c r="I5434" t="str">
        <f t="shared" si="591"/>
        <v>MAIS DISTRIBUIDORA LTDA</v>
      </c>
      <c r="J5434">
        <f t="shared" si="592"/>
        <v>0</v>
      </c>
      <c r="K5434">
        <f t="shared" si="593"/>
        <v>1</v>
      </c>
    </row>
    <row r="5435" spans="1:11" x14ac:dyDescent="0.25">
      <c r="A5435" t="s">
        <v>698</v>
      </c>
      <c r="B5435" t="s">
        <v>699</v>
      </c>
      <c r="C5435" t="s">
        <v>66</v>
      </c>
      <c r="D5435" s="6">
        <v>46000</v>
      </c>
      <c r="E5435" t="str">
        <f>VLOOKUP(B5435,'PROCV GERENTES BD'!A:B,2,0)</f>
        <v>VALERIA</v>
      </c>
      <c r="F5435" s="4" t="str">
        <f t="shared" si="588"/>
        <v>2025-12</v>
      </c>
      <c r="G5435" s="18">
        <f t="shared" si="589"/>
        <v>50</v>
      </c>
      <c r="H5435" t="str">
        <f t="shared" si="590"/>
        <v>VALERIA</v>
      </c>
      <c r="I5435" t="str">
        <f t="shared" si="591"/>
        <v>FRIGORIFICO BRAZFRIG INDUSTRIA E IMPORTACAO LTDA E</v>
      </c>
      <c r="J5435">
        <f t="shared" si="592"/>
        <v>1</v>
      </c>
      <c r="K5435">
        <f t="shared" si="593"/>
        <v>0</v>
      </c>
    </row>
    <row r="5436" spans="1:11" x14ac:dyDescent="0.25">
      <c r="A5436" t="s">
        <v>361</v>
      </c>
      <c r="B5436" t="s">
        <v>106</v>
      </c>
      <c r="C5436" t="s">
        <v>50</v>
      </c>
      <c r="D5436" s="6">
        <v>46000</v>
      </c>
      <c r="E5436" t="str">
        <f>VLOOKUP(B5436,'PROCV GERENTES BD'!A:B,2,0)</f>
        <v>PRISCILA METZ</v>
      </c>
      <c r="F5436" s="4" t="str">
        <f t="shared" si="588"/>
        <v>2025-12</v>
      </c>
      <c r="G5436" s="18">
        <f t="shared" si="589"/>
        <v>50</v>
      </c>
      <c r="H5436" t="str">
        <f t="shared" si="590"/>
        <v>PRISCILA METZ</v>
      </c>
      <c r="I5436" t="str">
        <f t="shared" si="591"/>
        <v>HERBAMED LABORATORIO NUTRACEUTICO LTDA</v>
      </c>
      <c r="J5436">
        <f t="shared" si="592"/>
        <v>0</v>
      </c>
      <c r="K5436">
        <f t="shared" si="593"/>
        <v>1</v>
      </c>
    </row>
    <row r="5437" spans="1:11" x14ac:dyDescent="0.25">
      <c r="A5437" t="s">
        <v>331</v>
      </c>
      <c r="B5437" t="s">
        <v>144</v>
      </c>
      <c r="C5437" t="s">
        <v>50</v>
      </c>
      <c r="D5437" s="6">
        <v>46000</v>
      </c>
      <c r="E5437" t="str">
        <f>VLOOKUP(B5437,'PROCV GERENTES BD'!A:B,2,0)</f>
        <v>ADMINISTRAÇÃO</v>
      </c>
      <c r="F5437" s="4" t="str">
        <f t="shared" si="588"/>
        <v>2025-12</v>
      </c>
      <c r="G5437" s="18">
        <f t="shared" si="589"/>
        <v>50</v>
      </c>
      <c r="H5437" t="str">
        <f t="shared" si="590"/>
        <v>ADMINISTRAÇÃO</v>
      </c>
      <c r="I5437" t="str">
        <f t="shared" si="591"/>
        <v>BOM PASTOR PAPEIS LTDA EM RECUPERACAO JUDICIAL</v>
      </c>
      <c r="J5437">
        <f t="shared" si="592"/>
        <v>0</v>
      </c>
      <c r="K5437">
        <f t="shared" si="593"/>
        <v>1</v>
      </c>
    </row>
    <row r="5438" spans="1:11" x14ac:dyDescent="0.25">
      <c r="A5438" t="s">
        <v>58</v>
      </c>
      <c r="B5438" t="s">
        <v>59</v>
      </c>
      <c r="C5438" t="s">
        <v>50</v>
      </c>
      <c r="D5438" s="6">
        <v>46000</v>
      </c>
      <c r="E5438" t="str">
        <f>VLOOKUP(B5438,'PROCV GERENTES BD'!A:B,2,0)</f>
        <v>ADMINISTRAÇÃO</v>
      </c>
      <c r="F5438" s="4" t="str">
        <f t="shared" si="588"/>
        <v>2025-12</v>
      </c>
      <c r="G5438" s="18">
        <f t="shared" si="589"/>
        <v>50</v>
      </c>
      <c r="H5438" t="str">
        <f t="shared" si="590"/>
        <v>ADMINISTRAÇÃO</v>
      </c>
      <c r="I5438" t="str">
        <f t="shared" si="591"/>
        <v>BIOTECH LOGISTICA LTDA</v>
      </c>
      <c r="J5438">
        <f t="shared" si="592"/>
        <v>0</v>
      </c>
      <c r="K5438">
        <f t="shared" si="593"/>
        <v>1</v>
      </c>
    </row>
    <row r="5439" spans="1:11" x14ac:dyDescent="0.25">
      <c r="A5439" t="s">
        <v>355</v>
      </c>
      <c r="B5439" t="s">
        <v>100</v>
      </c>
      <c r="C5439" t="s">
        <v>50</v>
      </c>
      <c r="D5439" s="6">
        <v>46000</v>
      </c>
      <c r="E5439" t="str">
        <f>VLOOKUP(B5439,'PROCV GERENTES BD'!A:B,2,0)</f>
        <v>ADMINISTRAÇÃO</v>
      </c>
      <c r="F5439" s="4" t="str">
        <f t="shared" si="588"/>
        <v>2025-12</v>
      </c>
      <c r="G5439" s="18">
        <f t="shared" si="589"/>
        <v>50</v>
      </c>
      <c r="H5439" t="str">
        <f t="shared" si="590"/>
        <v>ADMINISTRAÇÃO</v>
      </c>
      <c r="I5439" t="str">
        <f t="shared" si="591"/>
        <v>DECISION DESENVOLVIMENTO DE SISTEMAS LTDA</v>
      </c>
      <c r="J5439">
        <f t="shared" si="592"/>
        <v>0</v>
      </c>
      <c r="K5439">
        <f t="shared" si="593"/>
        <v>1</v>
      </c>
    </row>
    <row r="5440" spans="1:11" x14ac:dyDescent="0.25">
      <c r="A5440" t="s">
        <v>352</v>
      </c>
      <c r="B5440" t="s">
        <v>96</v>
      </c>
      <c r="C5440" t="s">
        <v>50</v>
      </c>
      <c r="D5440" s="6">
        <v>46000</v>
      </c>
      <c r="E5440" t="str">
        <f>VLOOKUP(B5440,'PROCV GERENTES BD'!A:B,2,0)</f>
        <v>POENATELA</v>
      </c>
      <c r="F5440" s="4" t="str">
        <f t="shared" si="588"/>
        <v>2025-12</v>
      </c>
      <c r="G5440" s="18">
        <f t="shared" si="589"/>
        <v>50</v>
      </c>
      <c r="H5440" t="str">
        <f t="shared" si="590"/>
        <v>POENATELA</v>
      </c>
      <c r="I5440" t="str">
        <f t="shared" si="591"/>
        <v>SUPER HARD TECNOLOGIA EM TRATAMENTO DE SUPERFICIES</v>
      </c>
      <c r="J5440">
        <f t="shared" si="592"/>
        <v>0</v>
      </c>
      <c r="K5440">
        <f t="shared" si="593"/>
        <v>1</v>
      </c>
    </row>
    <row r="5441" spans="1:11" x14ac:dyDescent="0.25">
      <c r="A5441" t="s">
        <v>739</v>
      </c>
      <c r="B5441" t="s">
        <v>740</v>
      </c>
      <c r="C5441" t="s">
        <v>50</v>
      </c>
      <c r="D5441" s="6">
        <v>46000</v>
      </c>
      <c r="E5441" t="str">
        <f>VLOOKUP(B5441,'PROCV GERENTES BD'!A:B,2,0)</f>
        <v>PRISCILA METZ</v>
      </c>
      <c r="F5441" s="4" t="str">
        <f t="shared" si="588"/>
        <v>2025-12</v>
      </c>
      <c r="G5441" s="18">
        <f t="shared" si="589"/>
        <v>50</v>
      </c>
      <c r="H5441" t="str">
        <f t="shared" si="590"/>
        <v>PRISCILA METZ</v>
      </c>
      <c r="I5441" t="str">
        <f t="shared" si="591"/>
        <v>FHIORUK INDUSTRIA DE CALCADOS LTDA EM RECUPERACAO</v>
      </c>
      <c r="J5441">
        <f t="shared" si="592"/>
        <v>0</v>
      </c>
      <c r="K5441">
        <f t="shared" si="593"/>
        <v>1</v>
      </c>
    </row>
    <row r="5442" spans="1:11" x14ac:dyDescent="0.25">
      <c r="A5442" t="s">
        <v>510</v>
      </c>
      <c r="B5442" t="s">
        <v>273</v>
      </c>
      <c r="C5442" t="s">
        <v>66</v>
      </c>
      <c r="D5442" s="6">
        <v>46000</v>
      </c>
      <c r="E5442" t="str">
        <f>VLOOKUP(B5442,'PROCV GERENTES BD'!A:B,2,0)</f>
        <v>CELIO PIMENTA</v>
      </c>
      <c r="F5442" s="4" t="str">
        <f t="shared" si="588"/>
        <v>2025-12</v>
      </c>
      <c r="G5442" s="18">
        <f t="shared" si="589"/>
        <v>50</v>
      </c>
      <c r="H5442" t="str">
        <f t="shared" si="590"/>
        <v>CELIO PIMENTA</v>
      </c>
      <c r="I5442" t="str">
        <f t="shared" si="591"/>
        <v>PRADO MOREIRA TEXTIL LTDA ME</v>
      </c>
      <c r="J5442">
        <f t="shared" si="592"/>
        <v>1</v>
      </c>
      <c r="K5442">
        <f t="shared" si="593"/>
        <v>0</v>
      </c>
    </row>
    <row r="5443" spans="1:11" x14ac:dyDescent="0.25">
      <c r="A5443" t="s">
        <v>665</v>
      </c>
      <c r="B5443" t="s">
        <v>666</v>
      </c>
      <c r="C5443" t="s">
        <v>50</v>
      </c>
      <c r="D5443" s="6">
        <v>46001</v>
      </c>
      <c r="E5443" t="str">
        <f>VLOOKUP(B5443,'PROCV GERENTES BD'!A:B,2,0)</f>
        <v>PROSPECTAR</v>
      </c>
      <c r="F5443" s="4" t="str">
        <f t="shared" ref="F5443:F5474" si="594">YEAR(D5443)&amp;"-"&amp;TEXT(MONTH(D5443),"00")</f>
        <v>2025-12</v>
      </c>
      <c r="G5443" s="18">
        <f t="shared" ref="G5443:G5474" si="595">WEEKNUM(D5443)</f>
        <v>50</v>
      </c>
      <c r="H5443" t="str">
        <f t="shared" ref="H5443:H5474" si="596">E5443</f>
        <v>PROSPECTAR</v>
      </c>
      <c r="I5443" t="str">
        <f t="shared" ref="I5443:I5474" si="597">B5443</f>
        <v>CENTROAIDAR INDUSTRIA E COMERCIO DE BEBIDAS LTDA</v>
      </c>
      <c r="J5443">
        <f t="shared" ref="J5443:J5474" si="598">IF(OR(C5443="EXCLUSAO  ANOT.INADIMPLENCIA",C5443="INCL/EXCL ANOT.INADIMPLENCIA"),1,0)</f>
        <v>0</v>
      </c>
      <c r="K5443">
        <f t="shared" ref="K5443:K5474" si="599">IF(OR(C5443="INCLUSAO  ANOT.INADIMPLENCIA",C5443="INCL/EXCL ANOT.INADIMPLENCIA"),1,0)</f>
        <v>1</v>
      </c>
    </row>
    <row r="5444" spans="1:11" x14ac:dyDescent="0.25">
      <c r="A5444" t="s">
        <v>653</v>
      </c>
      <c r="B5444" t="s">
        <v>566</v>
      </c>
      <c r="C5444" t="s">
        <v>50</v>
      </c>
      <c r="D5444" s="6">
        <v>46001</v>
      </c>
      <c r="E5444" t="str">
        <f>VLOOKUP(B5444,'PROCV GERENTES BD'!A:B,2,0)</f>
        <v>DIOGO AZEVEDO</v>
      </c>
      <c r="F5444" s="4" t="str">
        <f t="shared" si="594"/>
        <v>2025-12</v>
      </c>
      <c r="G5444" s="18">
        <f t="shared" si="595"/>
        <v>50</v>
      </c>
      <c r="H5444" t="str">
        <f t="shared" si="596"/>
        <v>DIOGO AZEVEDO</v>
      </c>
      <c r="I5444" t="str">
        <f t="shared" si="597"/>
        <v>MILK LAT LTDA EPP</v>
      </c>
      <c r="J5444">
        <f t="shared" si="598"/>
        <v>0</v>
      </c>
      <c r="K5444">
        <f t="shared" si="599"/>
        <v>1</v>
      </c>
    </row>
    <row r="5445" spans="1:11" x14ac:dyDescent="0.25">
      <c r="A5445" t="s">
        <v>457</v>
      </c>
      <c r="B5445" t="s">
        <v>214</v>
      </c>
      <c r="C5445" t="s">
        <v>50</v>
      </c>
      <c r="D5445" s="6">
        <v>46001</v>
      </c>
      <c r="E5445" t="str">
        <f>VLOOKUP(B5445,'PROCV GERENTES BD'!A:B,2,0)</f>
        <v xml:space="preserve">ROGERIO </v>
      </c>
      <c r="F5445" s="4" t="str">
        <f t="shared" si="594"/>
        <v>2025-12</v>
      </c>
      <c r="G5445" s="18">
        <f t="shared" si="595"/>
        <v>50</v>
      </c>
      <c r="H5445" t="str">
        <f t="shared" si="596"/>
        <v xml:space="preserve">ROGERIO </v>
      </c>
      <c r="I5445" t="str">
        <f t="shared" si="597"/>
        <v>METAL STAMP INDUSTRIA E COMERCIO LTDA</v>
      </c>
      <c r="J5445">
        <f t="shared" si="598"/>
        <v>0</v>
      </c>
      <c r="K5445">
        <f t="shared" si="599"/>
        <v>1</v>
      </c>
    </row>
    <row r="5446" spans="1:11" x14ac:dyDescent="0.25">
      <c r="A5446" t="s">
        <v>314</v>
      </c>
      <c r="B5446" t="s">
        <v>246</v>
      </c>
      <c r="C5446" t="s">
        <v>50</v>
      </c>
      <c r="D5446" s="6">
        <v>46001</v>
      </c>
      <c r="E5446" t="str">
        <f>VLOOKUP(B5446,'PROCV GERENTES BD'!A:B,2,0)</f>
        <v xml:space="preserve">ROGERIO </v>
      </c>
      <c r="F5446" s="4" t="str">
        <f t="shared" si="594"/>
        <v>2025-12</v>
      </c>
      <c r="G5446" s="18">
        <f t="shared" si="595"/>
        <v>50</v>
      </c>
      <c r="H5446" t="str">
        <f t="shared" si="596"/>
        <v xml:space="preserve">ROGERIO </v>
      </c>
      <c r="I5446" t="str">
        <f t="shared" si="597"/>
        <v>MUTCD CENTRO DE DISTRIBUICAO DE IND FABRICANTE DE</v>
      </c>
      <c r="J5446">
        <f t="shared" si="598"/>
        <v>0</v>
      </c>
      <c r="K5446">
        <f t="shared" si="599"/>
        <v>1</v>
      </c>
    </row>
    <row r="5447" spans="1:11" x14ac:dyDescent="0.25">
      <c r="A5447" t="s">
        <v>655</v>
      </c>
      <c r="B5447" t="s">
        <v>548</v>
      </c>
      <c r="C5447" t="s">
        <v>50</v>
      </c>
      <c r="D5447" s="6">
        <v>46001</v>
      </c>
      <c r="E5447" t="str">
        <f>VLOOKUP(B5447,'PROCV GERENTES BD'!A:B,2,0)</f>
        <v xml:space="preserve">ROGERIO </v>
      </c>
      <c r="F5447" s="4" t="str">
        <f t="shared" si="594"/>
        <v>2025-12</v>
      </c>
      <c r="G5447" s="18">
        <f t="shared" si="595"/>
        <v>50</v>
      </c>
      <c r="H5447" t="str">
        <f t="shared" si="596"/>
        <v xml:space="preserve">ROGERIO </v>
      </c>
      <c r="I5447" t="str">
        <f t="shared" si="597"/>
        <v>AGROEP PISCICULTURA LTDA ME</v>
      </c>
      <c r="J5447">
        <f t="shared" si="598"/>
        <v>0</v>
      </c>
      <c r="K5447">
        <f t="shared" si="599"/>
        <v>1</v>
      </c>
    </row>
    <row r="5448" spans="1:11" x14ac:dyDescent="0.25">
      <c r="A5448" t="s">
        <v>661</v>
      </c>
      <c r="B5448" t="s">
        <v>662</v>
      </c>
      <c r="C5448" t="s">
        <v>50</v>
      </c>
      <c r="D5448" s="6">
        <v>46001</v>
      </c>
      <c r="E5448" t="str">
        <f>VLOOKUP(B5448,'PROCV GERENTES BD'!A:B,2,0)</f>
        <v>PRISCILA METZ</v>
      </c>
      <c r="F5448" s="4" t="str">
        <f t="shared" si="594"/>
        <v>2025-12</v>
      </c>
      <c r="G5448" s="18">
        <f t="shared" si="595"/>
        <v>50</v>
      </c>
      <c r="H5448" t="str">
        <f t="shared" si="596"/>
        <v>PRISCILA METZ</v>
      </c>
      <c r="I5448" t="str">
        <f t="shared" si="597"/>
        <v>LIDER DISTRIBUIDORA DE MOVEIS E EQUIPAMENTOS PARA</v>
      </c>
      <c r="J5448">
        <f t="shared" si="598"/>
        <v>0</v>
      </c>
      <c r="K5448">
        <f t="shared" si="599"/>
        <v>1</v>
      </c>
    </row>
    <row r="5449" spans="1:11" x14ac:dyDescent="0.25">
      <c r="A5449" t="s">
        <v>630</v>
      </c>
      <c r="B5449" t="s">
        <v>559</v>
      </c>
      <c r="C5449" t="s">
        <v>50</v>
      </c>
      <c r="D5449" s="6">
        <v>46001</v>
      </c>
      <c r="E5449" t="str">
        <f>VLOOKUP(B5449,'PROCV GERENTES BD'!A:B,2,0)</f>
        <v>ALISSON DE SOUZA LIMA</v>
      </c>
      <c r="F5449" s="4" t="str">
        <f t="shared" si="594"/>
        <v>2025-12</v>
      </c>
      <c r="G5449" s="18">
        <f t="shared" si="595"/>
        <v>50</v>
      </c>
      <c r="H5449" t="str">
        <f t="shared" si="596"/>
        <v>ALISSON DE SOUZA LIMA</v>
      </c>
      <c r="I5449" t="str">
        <f t="shared" si="597"/>
        <v>JRG SOLUCOES INDUSTRIAIS LTDA</v>
      </c>
      <c r="J5449">
        <f t="shared" si="598"/>
        <v>0</v>
      </c>
      <c r="K5449">
        <f t="shared" si="599"/>
        <v>1</v>
      </c>
    </row>
    <row r="5450" spans="1:11" x14ac:dyDescent="0.25">
      <c r="A5450" t="s">
        <v>716</v>
      </c>
      <c r="B5450" t="s">
        <v>717</v>
      </c>
      <c r="C5450" t="s">
        <v>50</v>
      </c>
      <c r="D5450" s="6">
        <v>46001</v>
      </c>
      <c r="E5450" t="str">
        <f>VLOOKUP(B5450,'PROCV GERENTES BD'!A:B,2,0)</f>
        <v xml:space="preserve">ROGERIO </v>
      </c>
      <c r="F5450" s="4" t="str">
        <f t="shared" si="594"/>
        <v>2025-12</v>
      </c>
      <c r="G5450" s="18">
        <f t="shared" si="595"/>
        <v>50</v>
      </c>
      <c r="H5450" t="str">
        <f t="shared" si="596"/>
        <v xml:space="preserve">ROGERIO </v>
      </c>
      <c r="I5450" t="str">
        <f t="shared" si="597"/>
        <v>CONFIARE TERCERIZACAO LTDA EPP</v>
      </c>
      <c r="J5450">
        <f t="shared" si="598"/>
        <v>0</v>
      </c>
      <c r="K5450">
        <f t="shared" si="599"/>
        <v>1</v>
      </c>
    </row>
    <row r="5451" spans="1:11" x14ac:dyDescent="0.25">
      <c r="A5451" t="s">
        <v>708</v>
      </c>
      <c r="B5451" t="s">
        <v>570</v>
      </c>
      <c r="C5451" t="s">
        <v>50</v>
      </c>
      <c r="D5451" s="6">
        <v>46001</v>
      </c>
      <c r="E5451" t="str">
        <f>VLOOKUP(B5451,'PROCV GERENTES BD'!A:B,2,0)</f>
        <v>RAFAEL PARISE</v>
      </c>
      <c r="F5451" s="4" t="str">
        <f t="shared" si="594"/>
        <v>2025-12</v>
      </c>
      <c r="G5451" s="18">
        <f t="shared" si="595"/>
        <v>50</v>
      </c>
      <c r="H5451" t="str">
        <f t="shared" si="596"/>
        <v>RAFAEL PARISE</v>
      </c>
      <c r="I5451" t="str">
        <f t="shared" si="597"/>
        <v>NITROTEX INDUSTRIA E COMERCIO TEXTEIS LTDA ME</v>
      </c>
      <c r="J5451">
        <f t="shared" si="598"/>
        <v>0</v>
      </c>
      <c r="K5451">
        <f t="shared" si="599"/>
        <v>1</v>
      </c>
    </row>
    <row r="5452" spans="1:11" x14ac:dyDescent="0.25">
      <c r="A5452" t="s">
        <v>442</v>
      </c>
      <c r="B5452" t="s">
        <v>193</v>
      </c>
      <c r="C5452" t="s">
        <v>53</v>
      </c>
      <c r="D5452" s="6">
        <v>46001</v>
      </c>
      <c r="E5452" t="str">
        <f>VLOOKUP(B5452,'PROCV GERENTES BD'!A:B,2,0)</f>
        <v>CELIO PIMENTA</v>
      </c>
      <c r="F5452" s="4" t="str">
        <f t="shared" si="594"/>
        <v>2025-12</v>
      </c>
      <c r="G5452" s="18">
        <f t="shared" si="595"/>
        <v>50</v>
      </c>
      <c r="H5452" t="str">
        <f t="shared" si="596"/>
        <v>CELIO PIMENTA</v>
      </c>
      <c r="I5452" t="str">
        <f t="shared" si="597"/>
        <v>CIA TEXTIL LTDA ME</v>
      </c>
      <c r="J5452">
        <f t="shared" si="598"/>
        <v>1</v>
      </c>
      <c r="K5452">
        <f t="shared" si="599"/>
        <v>1</v>
      </c>
    </row>
    <row r="5453" spans="1:11" x14ac:dyDescent="0.25">
      <c r="A5453" t="s">
        <v>614</v>
      </c>
      <c r="B5453" t="s">
        <v>615</v>
      </c>
      <c r="C5453" t="s">
        <v>50</v>
      </c>
      <c r="D5453" s="6">
        <v>46001</v>
      </c>
      <c r="E5453" t="str">
        <f>VLOOKUP(B5453,'PROCV GERENTES BD'!A:B,2,0)</f>
        <v>RAFAEL PARISE</v>
      </c>
      <c r="F5453" s="4" t="str">
        <f t="shared" si="594"/>
        <v>2025-12</v>
      </c>
      <c r="G5453" s="18">
        <f t="shared" si="595"/>
        <v>50</v>
      </c>
      <c r="H5453" t="str">
        <f t="shared" si="596"/>
        <v>RAFAEL PARISE</v>
      </c>
      <c r="I5453" t="str">
        <f t="shared" si="597"/>
        <v>SAGATEC LTDA</v>
      </c>
      <c r="J5453">
        <f t="shared" si="598"/>
        <v>0</v>
      </c>
      <c r="K5453">
        <f t="shared" si="599"/>
        <v>1</v>
      </c>
    </row>
    <row r="5454" spans="1:11" x14ac:dyDescent="0.25">
      <c r="A5454" t="s">
        <v>64</v>
      </c>
      <c r="B5454" t="s">
        <v>65</v>
      </c>
      <c r="C5454" t="s">
        <v>66</v>
      </c>
      <c r="D5454" s="6">
        <v>46001</v>
      </c>
      <c r="E5454" t="str">
        <f>VLOOKUP(B5454,'PROCV GERENTES BD'!A:B,2,0)</f>
        <v>ADMINISTRAÇÃO</v>
      </c>
      <c r="F5454" s="4" t="str">
        <f t="shared" si="594"/>
        <v>2025-12</v>
      </c>
      <c r="G5454" s="18">
        <f t="shared" si="595"/>
        <v>50</v>
      </c>
      <c r="H5454" t="str">
        <f t="shared" si="596"/>
        <v>ADMINISTRAÇÃO</v>
      </c>
      <c r="I5454" t="str">
        <f t="shared" si="597"/>
        <v>SOCIAL S/A</v>
      </c>
      <c r="J5454">
        <f t="shared" si="598"/>
        <v>1</v>
      </c>
      <c r="K5454">
        <f t="shared" si="599"/>
        <v>0</v>
      </c>
    </row>
    <row r="5455" spans="1:11" x14ac:dyDescent="0.25">
      <c r="A5455" t="s">
        <v>499</v>
      </c>
      <c r="B5455" t="s">
        <v>258</v>
      </c>
      <c r="C5455" t="s">
        <v>50</v>
      </c>
      <c r="D5455" s="6">
        <v>46001</v>
      </c>
      <c r="E5455" t="str">
        <f>VLOOKUP(B5455,'PROCV GERENTES BD'!A:B,2,0)</f>
        <v>PRISCILA METZ</v>
      </c>
      <c r="F5455" s="4" t="str">
        <f t="shared" si="594"/>
        <v>2025-12</v>
      </c>
      <c r="G5455" s="18">
        <f t="shared" si="595"/>
        <v>50</v>
      </c>
      <c r="H5455" t="str">
        <f t="shared" si="596"/>
        <v>PRISCILA METZ</v>
      </c>
      <c r="I5455" t="str">
        <f t="shared" si="597"/>
        <v>PLATINUM INDUSTRIA DE CONFECCOES LTDA</v>
      </c>
      <c r="J5455">
        <f t="shared" si="598"/>
        <v>0</v>
      </c>
      <c r="K5455">
        <f t="shared" si="599"/>
        <v>1</v>
      </c>
    </row>
    <row r="5456" spans="1:11" x14ac:dyDescent="0.25">
      <c r="A5456" t="s">
        <v>718</v>
      </c>
      <c r="B5456" t="s">
        <v>719</v>
      </c>
      <c r="C5456" t="s">
        <v>66</v>
      </c>
      <c r="D5456" s="6">
        <v>46001</v>
      </c>
      <c r="E5456" t="str">
        <f>VLOOKUP(B5456,'PROCV GERENTES BD'!A:B,2,0)</f>
        <v>CAIO</v>
      </c>
      <c r="F5456" s="4" t="str">
        <f t="shared" si="594"/>
        <v>2025-12</v>
      </c>
      <c r="G5456" s="18">
        <f t="shared" si="595"/>
        <v>50</v>
      </c>
      <c r="H5456" t="str">
        <f t="shared" si="596"/>
        <v>CAIO</v>
      </c>
      <c r="I5456" t="str">
        <f t="shared" si="597"/>
        <v>GEOTHRA GEOLOGIA GEOTECNIA LTDA EPP</v>
      </c>
      <c r="J5456">
        <f t="shared" si="598"/>
        <v>1</v>
      </c>
      <c r="K5456">
        <f t="shared" si="599"/>
        <v>0</v>
      </c>
    </row>
    <row r="5457" spans="1:11" x14ac:dyDescent="0.25">
      <c r="A5457" t="s">
        <v>58</v>
      </c>
      <c r="B5457" t="s">
        <v>59</v>
      </c>
      <c r="C5457" t="s">
        <v>50</v>
      </c>
      <c r="D5457" s="6">
        <v>46001</v>
      </c>
      <c r="E5457" t="str">
        <f>VLOOKUP(B5457,'PROCV GERENTES BD'!A:B,2,0)</f>
        <v>ADMINISTRAÇÃO</v>
      </c>
      <c r="F5457" s="4" t="str">
        <f t="shared" si="594"/>
        <v>2025-12</v>
      </c>
      <c r="G5457" s="18">
        <f t="shared" si="595"/>
        <v>50</v>
      </c>
      <c r="H5457" t="str">
        <f t="shared" si="596"/>
        <v>ADMINISTRAÇÃO</v>
      </c>
      <c r="I5457" t="str">
        <f t="shared" si="597"/>
        <v>BIOTECH LOGISTICA LTDA</v>
      </c>
      <c r="J5457">
        <f t="shared" si="598"/>
        <v>0</v>
      </c>
      <c r="K5457">
        <f t="shared" si="599"/>
        <v>1</v>
      </c>
    </row>
    <row r="5458" spans="1:11" x14ac:dyDescent="0.25">
      <c r="A5458" t="s">
        <v>638</v>
      </c>
      <c r="B5458" t="s">
        <v>539</v>
      </c>
      <c r="C5458" t="s">
        <v>50</v>
      </c>
      <c r="D5458" s="6">
        <v>46001</v>
      </c>
      <c r="E5458" t="str">
        <f>VLOOKUP(B5458,'PROCV GERENTES BD'!A:B,2,0)</f>
        <v>JJPH</v>
      </c>
      <c r="F5458" s="4" t="str">
        <f t="shared" si="594"/>
        <v>2025-12</v>
      </c>
      <c r="G5458" s="18">
        <f t="shared" si="595"/>
        <v>50</v>
      </c>
      <c r="H5458" t="str">
        <f t="shared" si="596"/>
        <v>JJPH</v>
      </c>
      <c r="I5458" t="str">
        <f t="shared" si="597"/>
        <v>DIFARMIG LTDA</v>
      </c>
      <c r="J5458">
        <f t="shared" si="598"/>
        <v>0</v>
      </c>
      <c r="K5458">
        <f t="shared" si="599"/>
        <v>1</v>
      </c>
    </row>
    <row r="5459" spans="1:11" x14ac:dyDescent="0.25">
      <c r="A5459" t="s">
        <v>331</v>
      </c>
      <c r="B5459" t="s">
        <v>144</v>
      </c>
      <c r="C5459" t="s">
        <v>50</v>
      </c>
      <c r="D5459" s="6">
        <v>46001</v>
      </c>
      <c r="E5459" t="str">
        <f>VLOOKUP(B5459,'PROCV GERENTES BD'!A:B,2,0)</f>
        <v>ADMINISTRAÇÃO</v>
      </c>
      <c r="F5459" s="4" t="str">
        <f t="shared" si="594"/>
        <v>2025-12</v>
      </c>
      <c r="G5459" s="18">
        <f t="shared" si="595"/>
        <v>50</v>
      </c>
      <c r="H5459" t="str">
        <f t="shared" si="596"/>
        <v>ADMINISTRAÇÃO</v>
      </c>
      <c r="I5459" t="str">
        <f t="shared" si="597"/>
        <v>BOM PASTOR PAPEIS LTDA EM RECUPERACAO JUDICIAL</v>
      </c>
      <c r="J5459">
        <f t="shared" si="598"/>
        <v>0</v>
      </c>
      <c r="K5459">
        <f t="shared" si="599"/>
        <v>1</v>
      </c>
    </row>
    <row r="5460" spans="1:11" x14ac:dyDescent="0.25">
      <c r="A5460" t="s">
        <v>361</v>
      </c>
      <c r="B5460" t="s">
        <v>106</v>
      </c>
      <c r="C5460" t="s">
        <v>50</v>
      </c>
      <c r="D5460" s="6">
        <v>46001</v>
      </c>
      <c r="E5460" t="str">
        <f>VLOOKUP(B5460,'PROCV GERENTES BD'!A:B,2,0)</f>
        <v>PRISCILA METZ</v>
      </c>
      <c r="F5460" s="4" t="str">
        <f t="shared" si="594"/>
        <v>2025-12</v>
      </c>
      <c r="G5460" s="18">
        <f t="shared" si="595"/>
        <v>50</v>
      </c>
      <c r="H5460" t="str">
        <f t="shared" si="596"/>
        <v>PRISCILA METZ</v>
      </c>
      <c r="I5460" t="str">
        <f t="shared" si="597"/>
        <v>HERBAMED LABORATORIO NUTRACEUTICO LTDA</v>
      </c>
      <c r="J5460">
        <f t="shared" si="598"/>
        <v>0</v>
      </c>
      <c r="K5460">
        <f t="shared" si="599"/>
        <v>1</v>
      </c>
    </row>
    <row r="5461" spans="1:11" x14ac:dyDescent="0.25">
      <c r="A5461" t="s">
        <v>698</v>
      </c>
      <c r="B5461" t="s">
        <v>699</v>
      </c>
      <c r="C5461" t="s">
        <v>50</v>
      </c>
      <c r="D5461" s="6">
        <v>46001</v>
      </c>
      <c r="E5461" t="str">
        <f>VLOOKUP(B5461,'PROCV GERENTES BD'!A:B,2,0)</f>
        <v>VALERIA</v>
      </c>
      <c r="F5461" s="4" t="str">
        <f t="shared" si="594"/>
        <v>2025-12</v>
      </c>
      <c r="G5461" s="18">
        <f t="shared" si="595"/>
        <v>50</v>
      </c>
      <c r="H5461" t="str">
        <f t="shared" si="596"/>
        <v>VALERIA</v>
      </c>
      <c r="I5461" t="str">
        <f t="shared" si="597"/>
        <v>FRIGORIFICO BRAZFRIG INDUSTRIA E IMPORTACAO LTDA E</v>
      </c>
      <c r="J5461">
        <f t="shared" si="598"/>
        <v>0</v>
      </c>
      <c r="K5461">
        <f t="shared" si="599"/>
        <v>1</v>
      </c>
    </row>
    <row r="5462" spans="1:11" x14ac:dyDescent="0.25">
      <c r="A5462" t="s">
        <v>739</v>
      </c>
      <c r="B5462" t="s">
        <v>740</v>
      </c>
      <c r="C5462" t="s">
        <v>50</v>
      </c>
      <c r="D5462" s="6">
        <v>46001</v>
      </c>
      <c r="E5462" t="str">
        <f>VLOOKUP(B5462,'PROCV GERENTES BD'!A:B,2,0)</f>
        <v>PRISCILA METZ</v>
      </c>
      <c r="F5462" s="4" t="str">
        <f t="shared" si="594"/>
        <v>2025-12</v>
      </c>
      <c r="G5462" s="18">
        <f t="shared" si="595"/>
        <v>50</v>
      </c>
      <c r="H5462" t="str">
        <f t="shared" si="596"/>
        <v>PRISCILA METZ</v>
      </c>
      <c r="I5462" t="str">
        <f t="shared" si="597"/>
        <v>FHIORUK INDUSTRIA DE CALCADOS LTDA EM RECUPERACAO</v>
      </c>
      <c r="J5462">
        <f t="shared" si="598"/>
        <v>0</v>
      </c>
      <c r="K5462">
        <f t="shared" si="599"/>
        <v>1</v>
      </c>
    </row>
    <row r="5463" spans="1:11" x14ac:dyDescent="0.25">
      <c r="A5463" t="s">
        <v>387</v>
      </c>
      <c r="B5463" t="s">
        <v>134</v>
      </c>
      <c r="C5463" t="s">
        <v>50</v>
      </c>
      <c r="D5463" s="6">
        <v>46001</v>
      </c>
      <c r="E5463" t="str">
        <f>VLOOKUP(B5463,'PROCV GERENTES BD'!A:B,2,0)</f>
        <v>RAFAEL PARISE</v>
      </c>
      <c r="F5463" s="4" t="str">
        <f t="shared" si="594"/>
        <v>2025-12</v>
      </c>
      <c r="G5463" s="18">
        <f t="shared" si="595"/>
        <v>50</v>
      </c>
      <c r="H5463" t="str">
        <f t="shared" si="596"/>
        <v>RAFAEL PARISE</v>
      </c>
      <c r="I5463" t="str">
        <f t="shared" si="597"/>
        <v>MAIS DISTRIBUIDORA LTDA</v>
      </c>
      <c r="J5463">
        <f t="shared" si="598"/>
        <v>0</v>
      </c>
      <c r="K5463">
        <f t="shared" si="599"/>
        <v>1</v>
      </c>
    </row>
    <row r="5464" spans="1:11" x14ac:dyDescent="0.25">
      <c r="A5464" t="s">
        <v>700</v>
      </c>
      <c r="B5464" t="s">
        <v>680</v>
      </c>
      <c r="C5464" t="s">
        <v>50</v>
      </c>
      <c r="D5464" s="6">
        <v>46001</v>
      </c>
      <c r="E5464" t="str">
        <f>VLOOKUP(B5464,'PROCV GERENTES BD'!A:B,2,0)</f>
        <v>POENATELA</v>
      </c>
      <c r="F5464" s="4" t="str">
        <f t="shared" si="594"/>
        <v>2025-12</v>
      </c>
      <c r="G5464" s="18">
        <f t="shared" si="595"/>
        <v>50</v>
      </c>
      <c r="H5464" t="str">
        <f t="shared" si="596"/>
        <v>POENATELA</v>
      </c>
      <c r="I5464" t="str">
        <f t="shared" si="597"/>
        <v>BIORGANICA PRODUTOS ORGANICOS LTDA</v>
      </c>
      <c r="J5464">
        <f t="shared" si="598"/>
        <v>0</v>
      </c>
      <c r="K5464">
        <f t="shared" si="599"/>
        <v>1</v>
      </c>
    </row>
    <row r="5465" spans="1:11" x14ac:dyDescent="0.25">
      <c r="A5465" t="s">
        <v>51</v>
      </c>
      <c r="B5465" t="s">
        <v>52</v>
      </c>
      <c r="C5465" t="s">
        <v>66</v>
      </c>
      <c r="D5465" s="6">
        <v>46001</v>
      </c>
      <c r="E5465" t="str">
        <f>VLOOKUP(B5465,'PROCV GERENTES BD'!A:B,2,0)</f>
        <v>RAFAEL PARISE</v>
      </c>
      <c r="F5465" s="4" t="str">
        <f t="shared" si="594"/>
        <v>2025-12</v>
      </c>
      <c r="G5465" s="18">
        <f t="shared" si="595"/>
        <v>50</v>
      </c>
      <c r="H5465" t="str">
        <f t="shared" si="596"/>
        <v>RAFAEL PARISE</v>
      </c>
      <c r="I5465" t="str">
        <f t="shared" si="597"/>
        <v>TDR TRANSPORTES LOGISTICA LTDA</v>
      </c>
      <c r="J5465">
        <f t="shared" si="598"/>
        <v>1</v>
      </c>
      <c r="K5465">
        <f t="shared" si="599"/>
        <v>0</v>
      </c>
    </row>
    <row r="5466" spans="1:11" x14ac:dyDescent="0.25">
      <c r="A5466" t="s">
        <v>323</v>
      </c>
      <c r="B5466" t="s">
        <v>109</v>
      </c>
      <c r="C5466" t="s">
        <v>50</v>
      </c>
      <c r="D5466" s="6">
        <v>46001</v>
      </c>
      <c r="E5466" t="str">
        <f>VLOOKUP(B5466,'PROCV GERENTES BD'!A:B,2,0)</f>
        <v>PROSPECTAR</v>
      </c>
      <c r="F5466" s="4" t="str">
        <f t="shared" si="594"/>
        <v>2025-12</v>
      </c>
      <c r="G5466" s="18">
        <f t="shared" si="595"/>
        <v>50</v>
      </c>
      <c r="H5466" t="str">
        <f t="shared" si="596"/>
        <v>PROSPECTAR</v>
      </c>
      <c r="I5466" t="str">
        <f t="shared" si="597"/>
        <v>SIAP COMERCIO DE PRODUTOS AGROPECUARIOS LTDA</v>
      </c>
      <c r="J5466">
        <f t="shared" si="598"/>
        <v>0</v>
      </c>
      <c r="K5466">
        <f t="shared" si="599"/>
        <v>1</v>
      </c>
    </row>
    <row r="5467" spans="1:11" x14ac:dyDescent="0.25">
      <c r="A5467" t="s">
        <v>714</v>
      </c>
      <c r="B5467" t="s">
        <v>715</v>
      </c>
      <c r="C5467" t="s">
        <v>50</v>
      </c>
      <c r="D5467" s="6">
        <v>46001</v>
      </c>
      <c r="E5467" t="str">
        <f>VLOOKUP(B5467,'PROCV GERENTES BD'!A:B,2,0)</f>
        <v>POENATELA</v>
      </c>
      <c r="F5467" s="4" t="str">
        <f t="shared" si="594"/>
        <v>2025-12</v>
      </c>
      <c r="G5467" s="18">
        <f t="shared" si="595"/>
        <v>50</v>
      </c>
      <c r="H5467" t="str">
        <f t="shared" si="596"/>
        <v>POENATELA</v>
      </c>
      <c r="I5467" t="str">
        <f t="shared" si="597"/>
        <v>PRP TRANSPORTES SERVICOS E LOCACAO DE MAQUINAS LTD</v>
      </c>
      <c r="J5467">
        <f t="shared" si="598"/>
        <v>0</v>
      </c>
      <c r="K5467">
        <f t="shared" si="599"/>
        <v>1</v>
      </c>
    </row>
    <row r="5468" spans="1:11" x14ac:dyDescent="0.25">
      <c r="A5468" t="s">
        <v>660</v>
      </c>
      <c r="B5468" t="s">
        <v>545</v>
      </c>
      <c r="C5468" t="s">
        <v>50</v>
      </c>
      <c r="D5468" s="6">
        <v>46001</v>
      </c>
      <c r="E5468" t="str">
        <f>VLOOKUP(B5468,'PROCV GERENTES BD'!A:B,2,0)</f>
        <v xml:space="preserve">ROGERIO </v>
      </c>
      <c r="F5468" s="4" t="str">
        <f t="shared" si="594"/>
        <v>2025-12</v>
      </c>
      <c r="G5468" s="18">
        <f t="shared" si="595"/>
        <v>50</v>
      </c>
      <c r="H5468" t="str">
        <f t="shared" si="596"/>
        <v xml:space="preserve">ROGERIO </v>
      </c>
      <c r="I5468" t="str">
        <f t="shared" si="597"/>
        <v>DISEP ALIMENTOS LTDA ME</v>
      </c>
      <c r="J5468">
        <f t="shared" si="598"/>
        <v>0</v>
      </c>
      <c r="K5468">
        <f t="shared" si="599"/>
        <v>1</v>
      </c>
    </row>
    <row r="5469" spans="1:11" x14ac:dyDescent="0.25">
      <c r="A5469" t="s">
        <v>306</v>
      </c>
      <c r="B5469" t="s">
        <v>266</v>
      </c>
      <c r="C5469" t="s">
        <v>50</v>
      </c>
      <c r="D5469" s="6">
        <v>46001</v>
      </c>
      <c r="E5469" t="str">
        <f>VLOOKUP(B5469,'PROCV GERENTES BD'!A:B,2,0)</f>
        <v>CAIO</v>
      </c>
      <c r="F5469" s="4" t="str">
        <f t="shared" si="594"/>
        <v>2025-12</v>
      </c>
      <c r="G5469" s="18">
        <f t="shared" si="595"/>
        <v>50</v>
      </c>
      <c r="H5469" t="str">
        <f t="shared" si="596"/>
        <v>CAIO</v>
      </c>
      <c r="I5469" t="str">
        <f t="shared" si="597"/>
        <v>MECALD MECANICA E CALDEIRARIA LTDA EPP</v>
      </c>
      <c r="J5469">
        <f t="shared" si="598"/>
        <v>0</v>
      </c>
      <c r="K5469">
        <f t="shared" si="599"/>
        <v>1</v>
      </c>
    </row>
    <row r="5470" spans="1:11" x14ac:dyDescent="0.25">
      <c r="A5470" t="s">
        <v>656</v>
      </c>
      <c r="B5470" t="s">
        <v>657</v>
      </c>
      <c r="C5470" t="s">
        <v>50</v>
      </c>
      <c r="D5470" s="6">
        <v>46001</v>
      </c>
      <c r="E5470" t="str">
        <f>VLOOKUP(B5470,'PROCV GERENTES BD'!A:B,2,0)</f>
        <v>ADMINISTRAÇÃO</v>
      </c>
      <c r="F5470" s="4" t="str">
        <f t="shared" si="594"/>
        <v>2025-12</v>
      </c>
      <c r="G5470" s="18">
        <f t="shared" si="595"/>
        <v>50</v>
      </c>
      <c r="H5470" t="str">
        <f t="shared" si="596"/>
        <v>ADMINISTRAÇÃO</v>
      </c>
      <c r="I5470" t="str">
        <f t="shared" si="597"/>
        <v>NCBA INTERMEDIACAO LTDA ME</v>
      </c>
      <c r="J5470">
        <f t="shared" si="598"/>
        <v>0</v>
      </c>
      <c r="K5470">
        <f t="shared" si="599"/>
        <v>1</v>
      </c>
    </row>
    <row r="5471" spans="1:11" x14ac:dyDescent="0.25">
      <c r="A5471" t="s">
        <v>724</v>
      </c>
      <c r="B5471" t="s">
        <v>725</v>
      </c>
      <c r="C5471" t="s">
        <v>50</v>
      </c>
      <c r="D5471" s="6">
        <v>46001</v>
      </c>
      <c r="E5471" t="str">
        <f>VLOOKUP(B5471,'PROCV GERENTES BD'!A:B,2,0)</f>
        <v xml:space="preserve">ROGERIO </v>
      </c>
      <c r="F5471" s="4" t="str">
        <f t="shared" si="594"/>
        <v>2025-12</v>
      </c>
      <c r="G5471" s="18">
        <f t="shared" si="595"/>
        <v>50</v>
      </c>
      <c r="H5471" t="str">
        <f t="shared" si="596"/>
        <v xml:space="preserve">ROGERIO </v>
      </c>
      <c r="I5471" t="str">
        <f t="shared" si="597"/>
        <v>CONFIARE ADMINISTRACAO E SERVICOS LTDA ME</v>
      </c>
      <c r="J5471">
        <f t="shared" si="598"/>
        <v>0</v>
      </c>
      <c r="K5471">
        <f t="shared" si="599"/>
        <v>1</v>
      </c>
    </row>
    <row r="5472" spans="1:11" x14ac:dyDescent="0.25">
      <c r="A5472" t="s">
        <v>375</v>
      </c>
      <c r="B5472" t="s">
        <v>120</v>
      </c>
      <c r="C5472" t="s">
        <v>50</v>
      </c>
      <c r="D5472" s="6">
        <v>46001</v>
      </c>
      <c r="E5472" t="str">
        <f>VLOOKUP(B5472,'PROCV GERENTES BD'!A:B,2,0)</f>
        <v>ADMINISTRAÇÃO</v>
      </c>
      <c r="F5472" s="4" t="str">
        <f t="shared" si="594"/>
        <v>2025-12</v>
      </c>
      <c r="G5472" s="18">
        <f t="shared" si="595"/>
        <v>50</v>
      </c>
      <c r="H5472" t="str">
        <f t="shared" si="596"/>
        <v>ADMINISTRAÇÃO</v>
      </c>
      <c r="I5472" t="str">
        <f t="shared" si="597"/>
        <v>FARINELLI NUTRIMENTOS LTDA</v>
      </c>
      <c r="J5472">
        <f t="shared" si="598"/>
        <v>0</v>
      </c>
      <c r="K5472">
        <f t="shared" si="599"/>
        <v>1</v>
      </c>
    </row>
    <row r="5473" spans="1:11" x14ac:dyDescent="0.25">
      <c r="A5473" t="s">
        <v>460</v>
      </c>
      <c r="B5473" t="s">
        <v>217</v>
      </c>
      <c r="C5473" t="s">
        <v>50</v>
      </c>
      <c r="D5473" s="6">
        <v>46001</v>
      </c>
      <c r="E5473" t="str">
        <f>VLOOKUP(B5473,'PROCV GERENTES BD'!A:B,2,0)</f>
        <v>CELIO PIMENTA</v>
      </c>
      <c r="F5473" s="4" t="str">
        <f t="shared" si="594"/>
        <v>2025-12</v>
      </c>
      <c r="G5473" s="18">
        <f t="shared" si="595"/>
        <v>50</v>
      </c>
      <c r="H5473" t="str">
        <f t="shared" si="596"/>
        <v>CELIO PIMENTA</v>
      </c>
      <c r="I5473" t="str">
        <f t="shared" si="597"/>
        <v>MINAS CLEAN DISTRIBUIDORA DE PRODUTOS PARA LIMPEZA</v>
      </c>
      <c r="J5473">
        <f t="shared" si="598"/>
        <v>0</v>
      </c>
      <c r="K5473">
        <f t="shared" si="599"/>
        <v>1</v>
      </c>
    </row>
    <row r="5474" spans="1:11" x14ac:dyDescent="0.25">
      <c r="A5474" t="s">
        <v>326</v>
      </c>
      <c r="B5474" t="s">
        <v>122</v>
      </c>
      <c r="C5474" t="s">
        <v>50</v>
      </c>
      <c r="D5474" s="6">
        <v>46001</v>
      </c>
      <c r="E5474" t="str">
        <f>VLOOKUP(B5474,'PROCV GERENTES BD'!A:B,2,0)</f>
        <v xml:space="preserve">ROGERIO </v>
      </c>
      <c r="F5474" s="4" t="str">
        <f t="shared" si="594"/>
        <v>2025-12</v>
      </c>
      <c r="G5474" s="18">
        <f t="shared" si="595"/>
        <v>50</v>
      </c>
      <c r="H5474" t="str">
        <f t="shared" si="596"/>
        <v xml:space="preserve">ROGERIO </v>
      </c>
      <c r="I5474" t="str">
        <f t="shared" si="597"/>
        <v>BIBE PRODUTOS INFANTIS LTDA</v>
      </c>
      <c r="J5474">
        <f t="shared" si="598"/>
        <v>0</v>
      </c>
      <c r="K5474">
        <f t="shared" si="599"/>
        <v>1</v>
      </c>
    </row>
    <row r="5475" spans="1:11" x14ac:dyDescent="0.25">
      <c r="A5475" t="s">
        <v>665</v>
      </c>
      <c r="B5475" t="s">
        <v>666</v>
      </c>
      <c r="C5475" t="s">
        <v>66</v>
      </c>
      <c r="D5475" s="6">
        <v>46002</v>
      </c>
      <c r="E5475" t="str">
        <f>VLOOKUP(B5475,'PROCV GERENTES BD'!A:B,2,0)</f>
        <v>PROSPECTAR</v>
      </c>
      <c r="F5475" s="4" t="str">
        <f t="shared" ref="F5475:F5506" si="600">YEAR(D5475)&amp;"-"&amp;TEXT(MONTH(D5475),"00")</f>
        <v>2025-12</v>
      </c>
      <c r="G5475" s="18">
        <f t="shared" ref="G5475:G5506" si="601">WEEKNUM(D5475)</f>
        <v>50</v>
      </c>
      <c r="H5475" t="str">
        <f t="shared" ref="H5475:H5506" si="602">E5475</f>
        <v>PROSPECTAR</v>
      </c>
      <c r="I5475" t="str">
        <f t="shared" ref="I5475:I5506" si="603">B5475</f>
        <v>CENTROAIDAR INDUSTRIA E COMERCIO DE BEBIDAS LTDA</v>
      </c>
      <c r="J5475">
        <f t="shared" ref="J5475:J5506" si="604">IF(OR(C5475="EXCLUSAO  ANOT.INADIMPLENCIA",C5475="INCL/EXCL ANOT.INADIMPLENCIA"),1,0)</f>
        <v>1</v>
      </c>
      <c r="K5475">
        <f t="shared" ref="K5475:K5506" si="605">IF(OR(C5475="INCLUSAO  ANOT.INADIMPLENCIA",C5475="INCL/EXCL ANOT.INADIMPLENCIA"),1,0)</f>
        <v>0</v>
      </c>
    </row>
    <row r="5476" spans="1:11" x14ac:dyDescent="0.25">
      <c r="A5476" t="s">
        <v>728</v>
      </c>
      <c r="B5476" t="s">
        <v>729</v>
      </c>
      <c r="C5476" t="s">
        <v>50</v>
      </c>
      <c r="D5476" s="6">
        <v>46002</v>
      </c>
      <c r="E5476" t="str">
        <f>VLOOKUP(B5476,'PROCV GERENTES BD'!A:B,2,0)</f>
        <v>ADMINISTRAÇÃO</v>
      </c>
      <c r="F5476" s="4" t="str">
        <f t="shared" si="600"/>
        <v>2025-12</v>
      </c>
      <c r="G5476" s="18">
        <f t="shared" si="601"/>
        <v>50</v>
      </c>
      <c r="H5476" t="str">
        <f t="shared" si="602"/>
        <v>ADMINISTRAÇÃO</v>
      </c>
      <c r="I5476" t="str">
        <f t="shared" si="603"/>
        <v>AMERICA MASTER COMERCIO LTDA ME</v>
      </c>
      <c r="J5476">
        <f t="shared" si="604"/>
        <v>0</v>
      </c>
      <c r="K5476">
        <f t="shared" si="605"/>
        <v>1</v>
      </c>
    </row>
    <row r="5477" spans="1:11" x14ac:dyDescent="0.25">
      <c r="A5477" t="s">
        <v>653</v>
      </c>
      <c r="B5477" t="s">
        <v>566</v>
      </c>
      <c r="C5477" t="s">
        <v>50</v>
      </c>
      <c r="D5477" s="6">
        <v>46002</v>
      </c>
      <c r="E5477" t="str">
        <f>VLOOKUP(B5477,'PROCV GERENTES BD'!A:B,2,0)</f>
        <v>DIOGO AZEVEDO</v>
      </c>
      <c r="F5477" s="4" t="str">
        <f t="shared" si="600"/>
        <v>2025-12</v>
      </c>
      <c r="G5477" s="18">
        <f t="shared" si="601"/>
        <v>50</v>
      </c>
      <c r="H5477" t="str">
        <f t="shared" si="602"/>
        <v>DIOGO AZEVEDO</v>
      </c>
      <c r="I5477" t="str">
        <f t="shared" si="603"/>
        <v>MILK LAT LTDA EPP</v>
      </c>
      <c r="J5477">
        <f t="shared" si="604"/>
        <v>0</v>
      </c>
      <c r="K5477">
        <f t="shared" si="605"/>
        <v>1</v>
      </c>
    </row>
    <row r="5478" spans="1:11" x14ac:dyDescent="0.25">
      <c r="A5478" t="s">
        <v>667</v>
      </c>
      <c r="B5478" t="s">
        <v>560</v>
      </c>
      <c r="C5478" t="s">
        <v>50</v>
      </c>
      <c r="D5478" s="6">
        <v>46002</v>
      </c>
      <c r="E5478" t="str">
        <f>VLOOKUP(B5478,'PROCV GERENTES BD'!A:B,2,0)</f>
        <v>ALISSON DE SOUZA LIMA</v>
      </c>
      <c r="F5478" s="4" t="str">
        <f t="shared" si="600"/>
        <v>2025-12</v>
      </c>
      <c r="G5478" s="18">
        <f t="shared" si="601"/>
        <v>50</v>
      </c>
      <c r="H5478" t="str">
        <f t="shared" si="602"/>
        <v>ALISSON DE SOUZA LIMA</v>
      </c>
      <c r="I5478" t="str">
        <f t="shared" si="603"/>
        <v>JRG SOLUCOES EM SERVICOS LTDA ME</v>
      </c>
      <c r="J5478">
        <f t="shared" si="604"/>
        <v>0</v>
      </c>
      <c r="K5478">
        <f t="shared" si="605"/>
        <v>1</v>
      </c>
    </row>
    <row r="5479" spans="1:11" x14ac:dyDescent="0.25">
      <c r="A5479" t="s">
        <v>645</v>
      </c>
      <c r="B5479" t="s">
        <v>646</v>
      </c>
      <c r="C5479" t="s">
        <v>53</v>
      </c>
      <c r="D5479" s="6">
        <v>46002</v>
      </c>
      <c r="E5479" t="str">
        <f>VLOOKUP(B5479,'PROCV GERENTES BD'!A:B,2,0)</f>
        <v>RAFAEL PARISE</v>
      </c>
      <c r="F5479" s="4" t="str">
        <f t="shared" si="600"/>
        <v>2025-12</v>
      </c>
      <c r="G5479" s="18">
        <f t="shared" si="601"/>
        <v>50</v>
      </c>
      <c r="H5479" t="str">
        <f t="shared" si="602"/>
        <v>RAFAEL PARISE</v>
      </c>
      <c r="I5479" t="str">
        <f t="shared" si="603"/>
        <v>SIGGA LOGISTICA LTDA</v>
      </c>
      <c r="J5479">
        <f t="shared" si="604"/>
        <v>1</v>
      </c>
      <c r="K5479">
        <f t="shared" si="605"/>
        <v>1</v>
      </c>
    </row>
    <row r="5480" spans="1:11" x14ac:dyDescent="0.25">
      <c r="A5480" t="s">
        <v>661</v>
      </c>
      <c r="B5480" t="s">
        <v>662</v>
      </c>
      <c r="C5480" t="s">
        <v>66</v>
      </c>
      <c r="D5480" s="6">
        <v>46002</v>
      </c>
      <c r="E5480" t="str">
        <f>VLOOKUP(B5480,'PROCV GERENTES BD'!A:B,2,0)</f>
        <v>PRISCILA METZ</v>
      </c>
      <c r="F5480" s="4" t="str">
        <f t="shared" si="600"/>
        <v>2025-12</v>
      </c>
      <c r="G5480" s="18">
        <f t="shared" si="601"/>
        <v>50</v>
      </c>
      <c r="H5480" t="str">
        <f t="shared" si="602"/>
        <v>PRISCILA METZ</v>
      </c>
      <c r="I5480" t="str">
        <f t="shared" si="603"/>
        <v>LIDER DISTRIBUIDORA DE MOVEIS E EQUIPAMENTOS PARA</v>
      </c>
      <c r="J5480">
        <f t="shared" si="604"/>
        <v>1</v>
      </c>
      <c r="K5480">
        <f t="shared" si="605"/>
        <v>0</v>
      </c>
    </row>
    <row r="5481" spans="1:11" x14ac:dyDescent="0.25">
      <c r="A5481" t="s">
        <v>630</v>
      </c>
      <c r="B5481" t="s">
        <v>559</v>
      </c>
      <c r="C5481" t="s">
        <v>53</v>
      </c>
      <c r="D5481" s="6">
        <v>46002</v>
      </c>
      <c r="E5481" t="str">
        <f>VLOOKUP(B5481,'PROCV GERENTES BD'!A:B,2,0)</f>
        <v>ALISSON DE SOUZA LIMA</v>
      </c>
      <c r="F5481" s="4" t="str">
        <f t="shared" si="600"/>
        <v>2025-12</v>
      </c>
      <c r="G5481" s="18">
        <f t="shared" si="601"/>
        <v>50</v>
      </c>
      <c r="H5481" t="str">
        <f t="shared" si="602"/>
        <v>ALISSON DE SOUZA LIMA</v>
      </c>
      <c r="I5481" t="str">
        <f t="shared" si="603"/>
        <v>JRG SOLUCOES INDUSTRIAIS LTDA</v>
      </c>
      <c r="J5481">
        <f t="shared" si="604"/>
        <v>1</v>
      </c>
      <c r="K5481">
        <f t="shared" si="605"/>
        <v>1</v>
      </c>
    </row>
    <row r="5482" spans="1:11" x14ac:dyDescent="0.25">
      <c r="A5482" t="s">
        <v>442</v>
      </c>
      <c r="B5482" t="s">
        <v>193</v>
      </c>
      <c r="C5482" t="s">
        <v>50</v>
      </c>
      <c r="D5482" s="6">
        <v>46002</v>
      </c>
      <c r="E5482" t="str">
        <f>VLOOKUP(B5482,'PROCV GERENTES BD'!A:B,2,0)</f>
        <v>CELIO PIMENTA</v>
      </c>
      <c r="F5482" s="4" t="str">
        <f t="shared" si="600"/>
        <v>2025-12</v>
      </c>
      <c r="G5482" s="18">
        <f t="shared" si="601"/>
        <v>50</v>
      </c>
      <c r="H5482" t="str">
        <f t="shared" si="602"/>
        <v>CELIO PIMENTA</v>
      </c>
      <c r="I5482" t="str">
        <f t="shared" si="603"/>
        <v>CIA TEXTIL LTDA ME</v>
      </c>
      <c r="J5482">
        <f t="shared" si="604"/>
        <v>0</v>
      </c>
      <c r="K5482">
        <f t="shared" si="605"/>
        <v>1</v>
      </c>
    </row>
    <row r="5483" spans="1:11" x14ac:dyDescent="0.25">
      <c r="A5483" t="s">
        <v>499</v>
      </c>
      <c r="B5483" t="s">
        <v>258</v>
      </c>
      <c r="C5483" t="s">
        <v>66</v>
      </c>
      <c r="D5483" s="6">
        <v>46002</v>
      </c>
      <c r="E5483" t="str">
        <f>VLOOKUP(B5483,'PROCV GERENTES BD'!A:B,2,0)</f>
        <v>PRISCILA METZ</v>
      </c>
      <c r="F5483" s="4" t="str">
        <f t="shared" si="600"/>
        <v>2025-12</v>
      </c>
      <c r="G5483" s="18">
        <f t="shared" si="601"/>
        <v>50</v>
      </c>
      <c r="H5483" t="str">
        <f t="shared" si="602"/>
        <v>PRISCILA METZ</v>
      </c>
      <c r="I5483" t="str">
        <f t="shared" si="603"/>
        <v>PLATINUM INDUSTRIA DE CONFECCOES LTDA</v>
      </c>
      <c r="J5483">
        <f t="shared" si="604"/>
        <v>1</v>
      </c>
      <c r="K5483">
        <f t="shared" si="605"/>
        <v>0</v>
      </c>
    </row>
    <row r="5484" spans="1:11" x14ac:dyDescent="0.25">
      <c r="A5484" t="s">
        <v>457</v>
      </c>
      <c r="B5484" t="s">
        <v>214</v>
      </c>
      <c r="C5484" t="s">
        <v>66</v>
      </c>
      <c r="D5484" s="6">
        <v>46002</v>
      </c>
      <c r="E5484" t="str">
        <f>VLOOKUP(B5484,'PROCV GERENTES BD'!A:B,2,0)</f>
        <v xml:space="preserve">ROGERIO </v>
      </c>
      <c r="F5484" s="4" t="str">
        <f t="shared" si="600"/>
        <v>2025-12</v>
      </c>
      <c r="G5484" s="18">
        <f t="shared" si="601"/>
        <v>50</v>
      </c>
      <c r="H5484" t="str">
        <f t="shared" si="602"/>
        <v xml:space="preserve">ROGERIO </v>
      </c>
      <c r="I5484" t="str">
        <f t="shared" si="603"/>
        <v>METAL STAMP INDUSTRIA E COMERCIO LTDA</v>
      </c>
      <c r="J5484">
        <f t="shared" si="604"/>
        <v>1</v>
      </c>
      <c r="K5484">
        <f t="shared" si="605"/>
        <v>0</v>
      </c>
    </row>
    <row r="5485" spans="1:11" x14ac:dyDescent="0.25">
      <c r="A5485" t="s">
        <v>722</v>
      </c>
      <c r="B5485" t="s">
        <v>723</v>
      </c>
      <c r="C5485" t="s">
        <v>66</v>
      </c>
      <c r="D5485" s="6">
        <v>46002</v>
      </c>
      <c r="E5485" t="str">
        <f>VLOOKUP(B5485,'PROCV GERENTES BD'!A:B,2,0)</f>
        <v>POENATELA</v>
      </c>
      <c r="F5485" s="4" t="str">
        <f t="shared" si="600"/>
        <v>2025-12</v>
      </c>
      <c r="G5485" s="18">
        <f t="shared" si="601"/>
        <v>50</v>
      </c>
      <c r="H5485" t="str">
        <f t="shared" si="602"/>
        <v>POENATELA</v>
      </c>
      <c r="I5485" t="str">
        <f t="shared" si="603"/>
        <v>LIDER MIX CONCRETOS E AGREGADOS LTDA</v>
      </c>
      <c r="J5485">
        <f t="shared" si="604"/>
        <v>1</v>
      </c>
      <c r="K5485">
        <f t="shared" si="605"/>
        <v>0</v>
      </c>
    </row>
    <row r="5486" spans="1:11" x14ac:dyDescent="0.25">
      <c r="A5486" t="s">
        <v>58</v>
      </c>
      <c r="B5486" t="s">
        <v>59</v>
      </c>
      <c r="C5486" t="s">
        <v>50</v>
      </c>
      <c r="D5486" s="6">
        <v>46002</v>
      </c>
      <c r="E5486" t="str">
        <f>VLOOKUP(B5486,'PROCV GERENTES BD'!A:B,2,0)</f>
        <v>ADMINISTRAÇÃO</v>
      </c>
      <c r="F5486" s="4" t="str">
        <f t="shared" si="600"/>
        <v>2025-12</v>
      </c>
      <c r="G5486" s="18">
        <f t="shared" si="601"/>
        <v>50</v>
      </c>
      <c r="H5486" t="str">
        <f t="shared" si="602"/>
        <v>ADMINISTRAÇÃO</v>
      </c>
      <c r="I5486" t="str">
        <f t="shared" si="603"/>
        <v>BIOTECH LOGISTICA LTDA</v>
      </c>
      <c r="J5486">
        <f t="shared" si="604"/>
        <v>0</v>
      </c>
      <c r="K5486">
        <f t="shared" si="605"/>
        <v>1</v>
      </c>
    </row>
    <row r="5487" spans="1:11" x14ac:dyDescent="0.25">
      <c r="A5487" t="s">
        <v>322</v>
      </c>
      <c r="B5487" t="s">
        <v>294</v>
      </c>
      <c r="C5487" t="s">
        <v>50</v>
      </c>
      <c r="D5487" s="6">
        <v>46002</v>
      </c>
      <c r="E5487" t="str">
        <f>VLOOKUP(B5487,'PROCV GERENTES BD'!A:B,2,0)</f>
        <v>CAIO</v>
      </c>
      <c r="F5487" s="4" t="str">
        <f t="shared" si="600"/>
        <v>2025-12</v>
      </c>
      <c r="G5487" s="18">
        <f t="shared" si="601"/>
        <v>50</v>
      </c>
      <c r="H5487" t="str">
        <f t="shared" si="602"/>
        <v>CAIO</v>
      </c>
      <c r="I5487" t="str">
        <f t="shared" si="603"/>
        <v>LAF COMERCIAL LTDA ME</v>
      </c>
      <c r="J5487">
        <f t="shared" si="604"/>
        <v>0</v>
      </c>
      <c r="K5487">
        <f t="shared" si="605"/>
        <v>1</v>
      </c>
    </row>
    <row r="5488" spans="1:11" x14ac:dyDescent="0.25">
      <c r="A5488" t="s">
        <v>700</v>
      </c>
      <c r="B5488" t="s">
        <v>680</v>
      </c>
      <c r="C5488" t="s">
        <v>50</v>
      </c>
      <c r="D5488" s="6">
        <v>46002</v>
      </c>
      <c r="E5488" t="str">
        <f>VLOOKUP(B5488,'PROCV GERENTES BD'!A:B,2,0)</f>
        <v>POENATELA</v>
      </c>
      <c r="F5488" s="4" t="str">
        <f t="shared" si="600"/>
        <v>2025-12</v>
      </c>
      <c r="G5488" s="18">
        <f t="shared" si="601"/>
        <v>50</v>
      </c>
      <c r="H5488" t="str">
        <f t="shared" si="602"/>
        <v>POENATELA</v>
      </c>
      <c r="I5488" t="str">
        <f t="shared" si="603"/>
        <v>BIORGANICA PRODUTOS ORGANICOS LTDA</v>
      </c>
      <c r="J5488">
        <f t="shared" si="604"/>
        <v>0</v>
      </c>
      <c r="K5488">
        <f t="shared" si="605"/>
        <v>1</v>
      </c>
    </row>
    <row r="5489" spans="1:11" x14ac:dyDescent="0.25">
      <c r="A5489" t="s">
        <v>323</v>
      </c>
      <c r="B5489" t="s">
        <v>109</v>
      </c>
      <c r="C5489" t="s">
        <v>50</v>
      </c>
      <c r="D5489" s="6">
        <v>46002</v>
      </c>
      <c r="E5489" t="str">
        <f>VLOOKUP(B5489,'PROCV GERENTES BD'!A:B,2,0)</f>
        <v>PROSPECTAR</v>
      </c>
      <c r="F5489" s="4" t="str">
        <f t="shared" si="600"/>
        <v>2025-12</v>
      </c>
      <c r="G5489" s="18">
        <f t="shared" si="601"/>
        <v>50</v>
      </c>
      <c r="H5489" t="str">
        <f t="shared" si="602"/>
        <v>PROSPECTAR</v>
      </c>
      <c r="I5489" t="str">
        <f t="shared" si="603"/>
        <v>SIAP COMERCIO DE PRODUTOS AGROPECUARIOS LTDA</v>
      </c>
      <c r="J5489">
        <f t="shared" si="604"/>
        <v>0</v>
      </c>
      <c r="K5489">
        <f t="shared" si="605"/>
        <v>1</v>
      </c>
    </row>
    <row r="5490" spans="1:11" x14ac:dyDescent="0.25">
      <c r="A5490" t="s">
        <v>714</v>
      </c>
      <c r="B5490" t="s">
        <v>715</v>
      </c>
      <c r="C5490" t="s">
        <v>50</v>
      </c>
      <c r="D5490" s="6">
        <v>46002</v>
      </c>
      <c r="E5490" t="str">
        <f>VLOOKUP(B5490,'PROCV GERENTES BD'!A:B,2,0)</f>
        <v>POENATELA</v>
      </c>
      <c r="F5490" s="4" t="str">
        <f t="shared" si="600"/>
        <v>2025-12</v>
      </c>
      <c r="G5490" s="18">
        <f t="shared" si="601"/>
        <v>50</v>
      </c>
      <c r="H5490" t="str">
        <f t="shared" si="602"/>
        <v>POENATELA</v>
      </c>
      <c r="I5490" t="str">
        <f t="shared" si="603"/>
        <v>PRP TRANSPORTES SERVICOS E LOCACAO DE MAQUINAS LTD</v>
      </c>
      <c r="J5490">
        <f t="shared" si="604"/>
        <v>0</v>
      </c>
      <c r="K5490">
        <f t="shared" si="605"/>
        <v>1</v>
      </c>
    </row>
    <row r="5491" spans="1:11" x14ac:dyDescent="0.25">
      <c r="A5491" t="s">
        <v>415</v>
      </c>
      <c r="B5491" t="s">
        <v>165</v>
      </c>
      <c r="C5491" t="s">
        <v>66</v>
      </c>
      <c r="D5491" s="6">
        <v>46002</v>
      </c>
      <c r="E5491" t="str">
        <f>VLOOKUP(B5491,'PROCV GERENTES BD'!A:B,2,0)</f>
        <v>PROSPECTAR</v>
      </c>
      <c r="F5491" s="4" t="str">
        <f t="shared" si="600"/>
        <v>2025-12</v>
      </c>
      <c r="G5491" s="18">
        <f t="shared" si="601"/>
        <v>50</v>
      </c>
      <c r="H5491" t="str">
        <f t="shared" si="602"/>
        <v>PROSPECTAR</v>
      </c>
      <c r="I5491" t="str">
        <f t="shared" si="603"/>
        <v>STA SERVICOS LTDA</v>
      </c>
      <c r="J5491">
        <f t="shared" si="604"/>
        <v>1</v>
      </c>
      <c r="K5491">
        <f t="shared" si="605"/>
        <v>0</v>
      </c>
    </row>
    <row r="5492" spans="1:11" x14ac:dyDescent="0.25">
      <c r="A5492" t="s">
        <v>311</v>
      </c>
      <c r="B5492" t="s">
        <v>81</v>
      </c>
      <c r="C5492" t="s">
        <v>66</v>
      </c>
      <c r="D5492" s="6">
        <v>46002</v>
      </c>
      <c r="E5492" t="str">
        <f>VLOOKUP(B5492,'PROCV GERENTES BD'!A:B,2,0)</f>
        <v>CELIO PIMENTA</v>
      </c>
      <c r="F5492" s="4" t="str">
        <f t="shared" si="600"/>
        <v>2025-12</v>
      </c>
      <c r="G5492" s="18">
        <f t="shared" si="601"/>
        <v>50</v>
      </c>
      <c r="H5492" t="str">
        <f t="shared" si="602"/>
        <v>CELIO PIMENTA</v>
      </c>
      <c r="I5492" t="str">
        <f t="shared" si="603"/>
        <v>MBIOLOG DIAGNOSTICOS LTDA</v>
      </c>
      <c r="J5492">
        <f t="shared" si="604"/>
        <v>1</v>
      </c>
      <c r="K5492">
        <f t="shared" si="605"/>
        <v>0</v>
      </c>
    </row>
    <row r="5493" spans="1:11" x14ac:dyDescent="0.25">
      <c r="A5493" t="s">
        <v>632</v>
      </c>
      <c r="B5493" t="s">
        <v>709</v>
      </c>
      <c r="C5493" t="s">
        <v>50</v>
      </c>
      <c r="D5493" s="6">
        <v>46002</v>
      </c>
      <c r="E5493" t="str">
        <f>VLOOKUP(B5493,'PROCV GERENTES BD'!A:B,2,0)</f>
        <v>TIAGO NEVES</v>
      </c>
      <c r="F5493" s="4" t="str">
        <f t="shared" si="600"/>
        <v>2025-12</v>
      </c>
      <c r="G5493" s="18">
        <f t="shared" si="601"/>
        <v>50</v>
      </c>
      <c r="H5493" t="str">
        <f t="shared" si="602"/>
        <v>TIAGO NEVES</v>
      </c>
      <c r="I5493" t="str">
        <f t="shared" si="603"/>
        <v>AUTO VIDROS MG LTDA</v>
      </c>
      <c r="J5493">
        <f t="shared" si="604"/>
        <v>0</v>
      </c>
      <c r="K5493">
        <f t="shared" si="605"/>
        <v>1</v>
      </c>
    </row>
    <row r="5494" spans="1:11" x14ac:dyDescent="0.25">
      <c r="A5494" t="s">
        <v>442</v>
      </c>
      <c r="B5494" t="s">
        <v>193</v>
      </c>
      <c r="C5494" t="s">
        <v>50</v>
      </c>
      <c r="D5494" s="6">
        <v>46003</v>
      </c>
      <c r="E5494" t="str">
        <f>VLOOKUP(B5494,'PROCV GERENTES BD'!A:B,2,0)</f>
        <v>CELIO PIMENTA</v>
      </c>
      <c r="F5494" s="4" t="str">
        <f t="shared" si="600"/>
        <v>2025-12</v>
      </c>
      <c r="G5494" s="18">
        <f t="shared" si="601"/>
        <v>50</v>
      </c>
      <c r="H5494" t="str">
        <f t="shared" si="602"/>
        <v>CELIO PIMENTA</v>
      </c>
      <c r="I5494" t="str">
        <f t="shared" si="603"/>
        <v>CIA TEXTIL LTDA ME</v>
      </c>
      <c r="J5494">
        <f t="shared" si="604"/>
        <v>0</v>
      </c>
      <c r="K5494">
        <f t="shared" si="605"/>
        <v>1</v>
      </c>
    </row>
    <row r="5495" spans="1:11" x14ac:dyDescent="0.25">
      <c r="A5495" t="s">
        <v>708</v>
      </c>
      <c r="B5495" t="s">
        <v>570</v>
      </c>
      <c r="C5495" t="s">
        <v>50</v>
      </c>
      <c r="D5495" s="6">
        <v>46003</v>
      </c>
      <c r="E5495" t="str">
        <f>VLOOKUP(B5495,'PROCV GERENTES BD'!A:B,2,0)</f>
        <v>RAFAEL PARISE</v>
      </c>
      <c r="F5495" s="4" t="str">
        <f t="shared" si="600"/>
        <v>2025-12</v>
      </c>
      <c r="G5495" s="18">
        <f t="shared" si="601"/>
        <v>50</v>
      </c>
      <c r="H5495" t="str">
        <f t="shared" si="602"/>
        <v>RAFAEL PARISE</v>
      </c>
      <c r="I5495" t="str">
        <f t="shared" si="603"/>
        <v>NITROTEX INDUSTRIA E COMERCIO TEXTEIS LTDA ME</v>
      </c>
      <c r="J5495">
        <f t="shared" si="604"/>
        <v>0</v>
      </c>
      <c r="K5495">
        <f t="shared" si="605"/>
        <v>1</v>
      </c>
    </row>
    <row r="5496" spans="1:11" x14ac:dyDescent="0.25">
      <c r="A5496" t="s">
        <v>716</v>
      </c>
      <c r="B5496" t="s">
        <v>717</v>
      </c>
      <c r="C5496" t="s">
        <v>50</v>
      </c>
      <c r="D5496" s="6">
        <v>46003</v>
      </c>
      <c r="E5496" t="str">
        <f>VLOOKUP(B5496,'PROCV GERENTES BD'!A:B,2,0)</f>
        <v xml:space="preserve">ROGERIO </v>
      </c>
      <c r="F5496" s="4" t="str">
        <f t="shared" si="600"/>
        <v>2025-12</v>
      </c>
      <c r="G5496" s="18">
        <f t="shared" si="601"/>
        <v>50</v>
      </c>
      <c r="H5496" t="str">
        <f t="shared" si="602"/>
        <v xml:space="preserve">ROGERIO </v>
      </c>
      <c r="I5496" t="str">
        <f t="shared" si="603"/>
        <v>CONFIARE TERCERIZACAO LTDA EPP</v>
      </c>
      <c r="J5496">
        <f t="shared" si="604"/>
        <v>0</v>
      </c>
      <c r="K5496">
        <f t="shared" si="605"/>
        <v>1</v>
      </c>
    </row>
    <row r="5497" spans="1:11" x14ac:dyDescent="0.25">
      <c r="A5497" t="s">
        <v>701</v>
      </c>
      <c r="B5497" t="s">
        <v>696</v>
      </c>
      <c r="C5497" t="s">
        <v>50</v>
      </c>
      <c r="D5497" s="6">
        <v>46003</v>
      </c>
      <c r="E5497" t="str">
        <f>VLOOKUP(B5497,'PROCV GERENTES BD'!A:B,2,0)</f>
        <v xml:space="preserve">ROGERIO </v>
      </c>
      <c r="F5497" s="4" t="str">
        <f t="shared" si="600"/>
        <v>2025-12</v>
      </c>
      <c r="G5497" s="18">
        <f t="shared" si="601"/>
        <v>50</v>
      </c>
      <c r="H5497" t="str">
        <f t="shared" si="602"/>
        <v xml:space="preserve">ROGERIO </v>
      </c>
      <c r="I5497" t="str">
        <f t="shared" si="603"/>
        <v>CONFIARE ADMINISTRADORA LTDA EPP</v>
      </c>
      <c r="J5497">
        <f t="shared" si="604"/>
        <v>0</v>
      </c>
      <c r="K5497">
        <f t="shared" si="605"/>
        <v>1</v>
      </c>
    </row>
    <row r="5498" spans="1:11" x14ac:dyDescent="0.25">
      <c r="A5498" t="s">
        <v>651</v>
      </c>
      <c r="B5498" t="s">
        <v>652</v>
      </c>
      <c r="C5498" t="s">
        <v>66</v>
      </c>
      <c r="D5498" s="6">
        <v>46003</v>
      </c>
      <c r="E5498" t="str">
        <f>VLOOKUP(B5498,'PROCV GERENTES BD'!A:B,2,0)</f>
        <v>PROSPECTAR</v>
      </c>
      <c r="F5498" s="4" t="str">
        <f t="shared" si="600"/>
        <v>2025-12</v>
      </c>
      <c r="G5498" s="18">
        <f t="shared" si="601"/>
        <v>50</v>
      </c>
      <c r="H5498" t="str">
        <f t="shared" si="602"/>
        <v>PROSPECTAR</v>
      </c>
      <c r="I5498" t="str">
        <f t="shared" si="603"/>
        <v>C A M DIAS SOARES LTDA EPP</v>
      </c>
      <c r="J5498">
        <f t="shared" si="604"/>
        <v>1</v>
      </c>
      <c r="K5498">
        <f t="shared" si="605"/>
        <v>0</v>
      </c>
    </row>
    <row r="5499" spans="1:11" x14ac:dyDescent="0.25">
      <c r="A5499" t="s">
        <v>630</v>
      </c>
      <c r="B5499" t="s">
        <v>559</v>
      </c>
      <c r="C5499" t="s">
        <v>50</v>
      </c>
      <c r="D5499" s="6">
        <v>46003</v>
      </c>
      <c r="E5499" t="str">
        <f>VLOOKUP(B5499,'PROCV GERENTES BD'!A:B,2,0)</f>
        <v>ALISSON DE SOUZA LIMA</v>
      </c>
      <c r="F5499" s="4" t="str">
        <f t="shared" si="600"/>
        <v>2025-12</v>
      </c>
      <c r="G5499" s="18">
        <f t="shared" si="601"/>
        <v>50</v>
      </c>
      <c r="H5499" t="str">
        <f t="shared" si="602"/>
        <v>ALISSON DE SOUZA LIMA</v>
      </c>
      <c r="I5499" t="str">
        <f t="shared" si="603"/>
        <v>JRG SOLUCOES INDUSTRIAIS LTDA</v>
      </c>
      <c r="J5499">
        <f t="shared" si="604"/>
        <v>0</v>
      </c>
      <c r="K5499">
        <f t="shared" si="605"/>
        <v>1</v>
      </c>
    </row>
    <row r="5500" spans="1:11" x14ac:dyDescent="0.25">
      <c r="A5500" t="s">
        <v>457</v>
      </c>
      <c r="B5500" t="s">
        <v>214</v>
      </c>
      <c r="C5500" t="s">
        <v>66</v>
      </c>
      <c r="D5500" s="6">
        <v>46003</v>
      </c>
      <c r="E5500" t="str">
        <f>VLOOKUP(B5500,'PROCV GERENTES BD'!A:B,2,0)</f>
        <v xml:space="preserve">ROGERIO </v>
      </c>
      <c r="F5500" s="4" t="str">
        <f t="shared" si="600"/>
        <v>2025-12</v>
      </c>
      <c r="G5500" s="18">
        <f t="shared" si="601"/>
        <v>50</v>
      </c>
      <c r="H5500" t="str">
        <f t="shared" si="602"/>
        <v xml:space="preserve">ROGERIO </v>
      </c>
      <c r="I5500" t="str">
        <f t="shared" si="603"/>
        <v>METAL STAMP INDUSTRIA E COMERCIO LTDA</v>
      </c>
      <c r="J5500">
        <f t="shared" si="604"/>
        <v>1</v>
      </c>
      <c r="K5500">
        <f t="shared" si="605"/>
        <v>0</v>
      </c>
    </row>
    <row r="5501" spans="1:11" x14ac:dyDescent="0.25">
      <c r="A5501" t="s">
        <v>645</v>
      </c>
      <c r="B5501" t="s">
        <v>646</v>
      </c>
      <c r="C5501" t="s">
        <v>53</v>
      </c>
      <c r="D5501" s="6">
        <v>46003</v>
      </c>
      <c r="E5501" t="str">
        <f>VLOOKUP(B5501,'PROCV GERENTES BD'!A:B,2,0)</f>
        <v>RAFAEL PARISE</v>
      </c>
      <c r="F5501" s="4" t="str">
        <f t="shared" si="600"/>
        <v>2025-12</v>
      </c>
      <c r="G5501" s="18">
        <f t="shared" si="601"/>
        <v>50</v>
      </c>
      <c r="H5501" t="str">
        <f t="shared" si="602"/>
        <v>RAFAEL PARISE</v>
      </c>
      <c r="I5501" t="str">
        <f t="shared" si="603"/>
        <v>SIGGA LOGISTICA LTDA</v>
      </c>
      <c r="J5501">
        <f t="shared" si="604"/>
        <v>1</v>
      </c>
      <c r="K5501">
        <f t="shared" si="605"/>
        <v>1</v>
      </c>
    </row>
    <row r="5502" spans="1:11" x14ac:dyDescent="0.25">
      <c r="A5502" t="s">
        <v>610</v>
      </c>
      <c r="B5502" t="s">
        <v>611</v>
      </c>
      <c r="C5502" t="s">
        <v>50</v>
      </c>
      <c r="D5502" s="6">
        <v>46003</v>
      </c>
      <c r="E5502" t="str">
        <f>VLOOKUP(B5502,'PROCV GERENTES BD'!A:B,2,0)</f>
        <v>TIAGO NEVES</v>
      </c>
      <c r="F5502" s="4" t="str">
        <f t="shared" si="600"/>
        <v>2025-12</v>
      </c>
      <c r="G5502" s="18">
        <f t="shared" si="601"/>
        <v>50</v>
      </c>
      <c r="H5502" t="str">
        <f t="shared" si="602"/>
        <v>TIAGO NEVES</v>
      </c>
      <c r="I5502" t="str">
        <f t="shared" si="603"/>
        <v>TRATOR GLASS LTDA ME</v>
      </c>
      <c r="J5502">
        <f t="shared" si="604"/>
        <v>0</v>
      </c>
      <c r="K5502">
        <f t="shared" si="605"/>
        <v>1</v>
      </c>
    </row>
    <row r="5503" spans="1:11" x14ac:dyDescent="0.25">
      <c r="A5503" t="s">
        <v>314</v>
      </c>
      <c r="B5503" t="s">
        <v>246</v>
      </c>
      <c r="C5503" t="s">
        <v>50</v>
      </c>
      <c r="D5503" s="6">
        <v>46003</v>
      </c>
      <c r="E5503" t="str">
        <f>VLOOKUP(B5503,'PROCV GERENTES BD'!A:B,2,0)</f>
        <v xml:space="preserve">ROGERIO </v>
      </c>
      <c r="F5503" s="4" t="str">
        <f t="shared" si="600"/>
        <v>2025-12</v>
      </c>
      <c r="G5503" s="18">
        <f t="shared" si="601"/>
        <v>50</v>
      </c>
      <c r="H5503" t="str">
        <f t="shared" si="602"/>
        <v xml:space="preserve">ROGERIO </v>
      </c>
      <c r="I5503" t="str">
        <f t="shared" si="603"/>
        <v>MUTCD CENTRO DE DISTRIBUICAO DE IND FABRICANTE DE</v>
      </c>
      <c r="J5503">
        <f t="shared" si="604"/>
        <v>0</v>
      </c>
      <c r="K5503">
        <f t="shared" si="605"/>
        <v>1</v>
      </c>
    </row>
    <row r="5504" spans="1:11" x14ac:dyDescent="0.25">
      <c r="A5504" t="s">
        <v>653</v>
      </c>
      <c r="B5504" t="s">
        <v>566</v>
      </c>
      <c r="C5504" t="s">
        <v>50</v>
      </c>
      <c r="D5504" s="6">
        <v>46003</v>
      </c>
      <c r="E5504" t="str">
        <f>VLOOKUP(B5504,'PROCV GERENTES BD'!A:B,2,0)</f>
        <v>DIOGO AZEVEDO</v>
      </c>
      <c r="F5504" s="4" t="str">
        <f t="shared" si="600"/>
        <v>2025-12</v>
      </c>
      <c r="G5504" s="18">
        <f t="shared" si="601"/>
        <v>50</v>
      </c>
      <c r="H5504" t="str">
        <f t="shared" si="602"/>
        <v>DIOGO AZEVEDO</v>
      </c>
      <c r="I5504" t="str">
        <f t="shared" si="603"/>
        <v>MILK LAT LTDA EPP</v>
      </c>
      <c r="J5504">
        <f t="shared" si="604"/>
        <v>0</v>
      </c>
      <c r="K5504">
        <f t="shared" si="605"/>
        <v>1</v>
      </c>
    </row>
    <row r="5505" spans="1:11" x14ac:dyDescent="0.25">
      <c r="A5505" t="s">
        <v>460</v>
      </c>
      <c r="B5505" t="s">
        <v>217</v>
      </c>
      <c r="C5505" t="s">
        <v>66</v>
      </c>
      <c r="D5505" s="6">
        <v>46003</v>
      </c>
      <c r="E5505" t="str">
        <f>VLOOKUP(B5505,'PROCV GERENTES BD'!A:B,2,0)</f>
        <v>CELIO PIMENTA</v>
      </c>
      <c r="F5505" s="4" t="str">
        <f t="shared" si="600"/>
        <v>2025-12</v>
      </c>
      <c r="G5505" s="18">
        <f t="shared" si="601"/>
        <v>50</v>
      </c>
      <c r="H5505" t="str">
        <f t="shared" si="602"/>
        <v>CELIO PIMENTA</v>
      </c>
      <c r="I5505" t="str">
        <f t="shared" si="603"/>
        <v>MINAS CLEAN DISTRIBUIDORA DE PRODUTOS PARA LIMPEZA</v>
      </c>
      <c r="J5505">
        <f t="shared" si="604"/>
        <v>1</v>
      </c>
      <c r="K5505">
        <f t="shared" si="605"/>
        <v>0</v>
      </c>
    </row>
    <row r="5506" spans="1:11" x14ac:dyDescent="0.25">
      <c r="A5506" t="s">
        <v>614</v>
      </c>
      <c r="B5506" t="s">
        <v>615</v>
      </c>
      <c r="C5506" t="s">
        <v>66</v>
      </c>
      <c r="D5506" s="6">
        <v>46003</v>
      </c>
      <c r="E5506" t="str">
        <f>VLOOKUP(B5506,'PROCV GERENTES BD'!A:B,2,0)</f>
        <v>RAFAEL PARISE</v>
      </c>
      <c r="F5506" s="4" t="str">
        <f t="shared" si="600"/>
        <v>2025-12</v>
      </c>
      <c r="G5506" s="18">
        <f t="shared" si="601"/>
        <v>50</v>
      </c>
      <c r="H5506" t="str">
        <f t="shared" si="602"/>
        <v>RAFAEL PARISE</v>
      </c>
      <c r="I5506" t="str">
        <f t="shared" si="603"/>
        <v>SAGATEC LTDA</v>
      </c>
      <c r="J5506">
        <f t="shared" si="604"/>
        <v>1</v>
      </c>
      <c r="K5506">
        <f t="shared" si="605"/>
        <v>0</v>
      </c>
    </row>
    <row r="5507" spans="1:11" x14ac:dyDescent="0.25">
      <c r="A5507" t="s">
        <v>661</v>
      </c>
      <c r="B5507" t="s">
        <v>662</v>
      </c>
      <c r="C5507" t="s">
        <v>50</v>
      </c>
      <c r="D5507" s="6">
        <v>46003</v>
      </c>
      <c r="E5507" t="str">
        <f>VLOOKUP(B5507,'PROCV GERENTES BD'!A:B,2,0)</f>
        <v>PRISCILA METZ</v>
      </c>
      <c r="F5507" s="4" t="str">
        <f t="shared" ref="F5507:F5525" si="606">YEAR(D5507)&amp;"-"&amp;TEXT(MONTH(D5507),"00")</f>
        <v>2025-12</v>
      </c>
      <c r="G5507" s="18">
        <f t="shared" ref="G5507:G5525" si="607">WEEKNUM(D5507)</f>
        <v>50</v>
      </c>
      <c r="H5507" t="str">
        <f t="shared" ref="H5507:H5525" si="608">E5507</f>
        <v>PRISCILA METZ</v>
      </c>
      <c r="I5507" t="str">
        <f t="shared" ref="I5507:I5525" si="609">B5507</f>
        <v>LIDER DISTRIBUIDORA DE MOVEIS E EQUIPAMENTOS PARA</v>
      </c>
      <c r="J5507">
        <f t="shared" ref="J5507:J5525" si="610">IF(OR(C5507="EXCLUSAO  ANOT.INADIMPLENCIA",C5507="INCL/EXCL ANOT.INADIMPLENCIA"),1,0)</f>
        <v>0</v>
      </c>
      <c r="K5507">
        <f t="shared" ref="K5507:K5525" si="611">IF(OR(C5507="INCLUSAO  ANOT.INADIMPLENCIA",C5507="INCL/EXCL ANOT.INADIMPLENCIA"),1,0)</f>
        <v>1</v>
      </c>
    </row>
    <row r="5508" spans="1:11" x14ac:dyDescent="0.25">
      <c r="A5508" t="s">
        <v>64</v>
      </c>
      <c r="B5508" t="s">
        <v>65</v>
      </c>
      <c r="C5508" t="s">
        <v>53</v>
      </c>
      <c r="D5508" s="6">
        <v>46003</v>
      </c>
      <c r="E5508" t="str">
        <f>VLOOKUP(B5508,'PROCV GERENTES BD'!A:B,2,0)</f>
        <v>ADMINISTRAÇÃO</v>
      </c>
      <c r="F5508" s="4" t="str">
        <f t="shared" si="606"/>
        <v>2025-12</v>
      </c>
      <c r="G5508" s="18">
        <f t="shared" si="607"/>
        <v>50</v>
      </c>
      <c r="H5508" t="str">
        <f t="shared" si="608"/>
        <v>ADMINISTRAÇÃO</v>
      </c>
      <c r="I5508" t="str">
        <f t="shared" si="609"/>
        <v>SOCIAL S/A</v>
      </c>
      <c r="J5508">
        <f t="shared" si="610"/>
        <v>1</v>
      </c>
      <c r="K5508">
        <f t="shared" si="611"/>
        <v>1</v>
      </c>
    </row>
    <row r="5509" spans="1:11" x14ac:dyDescent="0.25">
      <c r="A5509" t="s">
        <v>700</v>
      </c>
      <c r="B5509" t="s">
        <v>680</v>
      </c>
      <c r="C5509" t="s">
        <v>50</v>
      </c>
      <c r="D5509" s="6">
        <v>46003</v>
      </c>
      <c r="E5509" t="str">
        <f>VLOOKUP(B5509,'PROCV GERENTES BD'!A:B,2,0)</f>
        <v>POENATELA</v>
      </c>
      <c r="F5509" s="4" t="str">
        <f t="shared" si="606"/>
        <v>2025-12</v>
      </c>
      <c r="G5509" s="18">
        <f t="shared" si="607"/>
        <v>50</v>
      </c>
      <c r="H5509" t="str">
        <f t="shared" si="608"/>
        <v>POENATELA</v>
      </c>
      <c r="I5509" t="str">
        <f t="shared" si="609"/>
        <v>BIORGANICA PRODUTOS ORGANICOS LTDA</v>
      </c>
      <c r="J5509">
        <f t="shared" si="610"/>
        <v>0</v>
      </c>
      <c r="K5509">
        <f t="shared" si="611"/>
        <v>1</v>
      </c>
    </row>
    <row r="5510" spans="1:11" x14ac:dyDescent="0.25">
      <c r="A5510" t="s">
        <v>722</v>
      </c>
      <c r="B5510" t="s">
        <v>723</v>
      </c>
      <c r="C5510" t="s">
        <v>66</v>
      </c>
      <c r="D5510" s="6">
        <v>46003</v>
      </c>
      <c r="E5510" t="str">
        <f>VLOOKUP(B5510,'PROCV GERENTES BD'!A:B,2,0)</f>
        <v>POENATELA</v>
      </c>
      <c r="F5510" s="4" t="str">
        <f t="shared" si="606"/>
        <v>2025-12</v>
      </c>
      <c r="G5510" s="18">
        <f t="shared" si="607"/>
        <v>50</v>
      </c>
      <c r="H5510" t="str">
        <f t="shared" si="608"/>
        <v>POENATELA</v>
      </c>
      <c r="I5510" t="str">
        <f t="shared" si="609"/>
        <v>LIDER MIX CONCRETOS E AGREGADOS LTDA</v>
      </c>
      <c r="J5510">
        <f t="shared" si="610"/>
        <v>1</v>
      </c>
      <c r="K5510">
        <f t="shared" si="611"/>
        <v>0</v>
      </c>
    </row>
    <row r="5511" spans="1:11" x14ac:dyDescent="0.25">
      <c r="A5511" t="s">
        <v>58</v>
      </c>
      <c r="B5511" t="s">
        <v>59</v>
      </c>
      <c r="C5511" t="s">
        <v>50</v>
      </c>
      <c r="D5511" s="6">
        <v>46003</v>
      </c>
      <c r="E5511" t="str">
        <f>VLOOKUP(B5511,'PROCV GERENTES BD'!A:B,2,0)</f>
        <v>ADMINISTRAÇÃO</v>
      </c>
      <c r="F5511" s="4" t="str">
        <f t="shared" si="606"/>
        <v>2025-12</v>
      </c>
      <c r="G5511" s="18">
        <f t="shared" si="607"/>
        <v>50</v>
      </c>
      <c r="H5511" t="str">
        <f t="shared" si="608"/>
        <v>ADMINISTRAÇÃO</v>
      </c>
      <c r="I5511" t="str">
        <f t="shared" si="609"/>
        <v>BIOTECH LOGISTICA LTDA</v>
      </c>
      <c r="J5511">
        <f t="shared" si="610"/>
        <v>0</v>
      </c>
      <c r="K5511">
        <f t="shared" si="611"/>
        <v>1</v>
      </c>
    </row>
    <row r="5512" spans="1:11" x14ac:dyDescent="0.25">
      <c r="A5512" t="s">
        <v>702</v>
      </c>
      <c r="B5512" t="s">
        <v>693</v>
      </c>
      <c r="C5512" t="s">
        <v>50</v>
      </c>
      <c r="D5512" s="6">
        <v>46003</v>
      </c>
      <c r="E5512" t="str">
        <f>VLOOKUP(B5512,'PROCV GERENTES BD'!A:B,2,0)</f>
        <v>PROSPECTAR</v>
      </c>
      <c r="F5512" s="4" t="str">
        <f t="shared" si="606"/>
        <v>2025-12</v>
      </c>
      <c r="G5512" s="18">
        <f t="shared" si="607"/>
        <v>50</v>
      </c>
      <c r="H5512" t="str">
        <f t="shared" si="608"/>
        <v>PROSPECTAR</v>
      </c>
      <c r="I5512" t="str">
        <f t="shared" si="609"/>
        <v>SR LIMA PAPEIS FINOS EM RECUPERACAO JUDICIAL LTDA</v>
      </c>
      <c r="J5512">
        <f t="shared" si="610"/>
        <v>0</v>
      </c>
      <c r="K5512">
        <f t="shared" si="611"/>
        <v>1</v>
      </c>
    </row>
    <row r="5513" spans="1:11" x14ac:dyDescent="0.25">
      <c r="A5513" t="s">
        <v>361</v>
      </c>
      <c r="B5513" t="s">
        <v>106</v>
      </c>
      <c r="C5513" t="s">
        <v>53</v>
      </c>
      <c r="D5513" s="6">
        <v>46003</v>
      </c>
      <c r="E5513" t="str">
        <f>VLOOKUP(B5513,'PROCV GERENTES BD'!A:B,2,0)</f>
        <v>PRISCILA METZ</v>
      </c>
      <c r="F5513" s="4" t="str">
        <f t="shared" si="606"/>
        <v>2025-12</v>
      </c>
      <c r="G5513" s="18">
        <f t="shared" si="607"/>
        <v>50</v>
      </c>
      <c r="H5513" t="str">
        <f t="shared" si="608"/>
        <v>PRISCILA METZ</v>
      </c>
      <c r="I5513" t="str">
        <f t="shared" si="609"/>
        <v>HERBAMED LABORATORIO NUTRACEUTICO LTDA</v>
      </c>
      <c r="J5513">
        <f t="shared" si="610"/>
        <v>1</v>
      </c>
      <c r="K5513">
        <f t="shared" si="611"/>
        <v>1</v>
      </c>
    </row>
    <row r="5514" spans="1:11" x14ac:dyDescent="0.25">
      <c r="A5514" t="s">
        <v>726</v>
      </c>
      <c r="B5514" t="s">
        <v>727</v>
      </c>
      <c r="C5514" t="s">
        <v>66</v>
      </c>
      <c r="D5514" s="6">
        <v>46003</v>
      </c>
      <c r="E5514" t="str">
        <f>VLOOKUP(B5514,'PROCV GERENTES BD'!A:B,2,0)</f>
        <v>POENATELA</v>
      </c>
      <c r="F5514" s="4" t="str">
        <f t="shared" si="606"/>
        <v>2025-12</v>
      </c>
      <c r="G5514" s="18">
        <f t="shared" si="607"/>
        <v>50</v>
      </c>
      <c r="H5514" t="str">
        <f t="shared" si="608"/>
        <v>POENATELA</v>
      </c>
      <c r="I5514" t="str">
        <f t="shared" si="609"/>
        <v>MORAES TRANSPORTES RODOVIARIOS DE CARGAS LTDA</v>
      </c>
      <c r="J5514">
        <f t="shared" si="610"/>
        <v>1</v>
      </c>
      <c r="K5514">
        <f t="shared" si="611"/>
        <v>0</v>
      </c>
    </row>
    <row r="5515" spans="1:11" x14ac:dyDescent="0.25">
      <c r="A5515" t="s">
        <v>739</v>
      </c>
      <c r="B5515" t="s">
        <v>740</v>
      </c>
      <c r="C5515" t="s">
        <v>66</v>
      </c>
      <c r="D5515" s="6">
        <v>46003</v>
      </c>
      <c r="E5515" t="str">
        <f>VLOOKUP(B5515,'PROCV GERENTES BD'!A:B,2,0)</f>
        <v>PRISCILA METZ</v>
      </c>
      <c r="F5515" s="4" t="str">
        <f t="shared" si="606"/>
        <v>2025-12</v>
      </c>
      <c r="G5515" s="18">
        <f t="shared" si="607"/>
        <v>50</v>
      </c>
      <c r="H5515" t="str">
        <f t="shared" si="608"/>
        <v>PRISCILA METZ</v>
      </c>
      <c r="I5515" t="str">
        <f t="shared" si="609"/>
        <v>FHIORUK INDUSTRIA DE CALCADOS LTDA EM RECUPERACAO</v>
      </c>
      <c r="J5515">
        <f t="shared" si="610"/>
        <v>1</v>
      </c>
      <c r="K5515">
        <f t="shared" si="611"/>
        <v>0</v>
      </c>
    </row>
    <row r="5516" spans="1:11" x14ac:dyDescent="0.25">
      <c r="A5516" t="s">
        <v>387</v>
      </c>
      <c r="B5516" t="s">
        <v>134</v>
      </c>
      <c r="C5516" t="s">
        <v>66</v>
      </c>
      <c r="D5516" s="6">
        <v>46003</v>
      </c>
      <c r="E5516" t="str">
        <f>VLOOKUP(B5516,'PROCV GERENTES BD'!A:B,2,0)</f>
        <v>RAFAEL PARISE</v>
      </c>
      <c r="F5516" s="4" t="str">
        <f t="shared" si="606"/>
        <v>2025-12</v>
      </c>
      <c r="G5516" s="18">
        <f t="shared" si="607"/>
        <v>50</v>
      </c>
      <c r="H5516" t="str">
        <f t="shared" si="608"/>
        <v>RAFAEL PARISE</v>
      </c>
      <c r="I5516" t="str">
        <f t="shared" si="609"/>
        <v>MAIS DISTRIBUIDORA LTDA</v>
      </c>
      <c r="J5516">
        <f t="shared" si="610"/>
        <v>1</v>
      </c>
      <c r="K5516">
        <f t="shared" si="611"/>
        <v>0</v>
      </c>
    </row>
    <row r="5517" spans="1:11" x14ac:dyDescent="0.25">
      <c r="A5517" t="s">
        <v>510</v>
      </c>
      <c r="B5517" t="s">
        <v>273</v>
      </c>
      <c r="C5517" t="s">
        <v>50</v>
      </c>
      <c r="D5517" s="6">
        <v>46003</v>
      </c>
      <c r="E5517" t="str">
        <f>VLOOKUP(B5517,'PROCV GERENTES BD'!A:B,2,0)</f>
        <v>CELIO PIMENTA</v>
      </c>
      <c r="F5517" s="4" t="str">
        <f t="shared" si="606"/>
        <v>2025-12</v>
      </c>
      <c r="G5517" s="18">
        <f t="shared" si="607"/>
        <v>50</v>
      </c>
      <c r="H5517" t="str">
        <f t="shared" si="608"/>
        <v>CELIO PIMENTA</v>
      </c>
      <c r="I5517" t="str">
        <f t="shared" si="609"/>
        <v>PRADO MOREIRA TEXTIL LTDA ME</v>
      </c>
      <c r="J5517">
        <f t="shared" si="610"/>
        <v>0</v>
      </c>
      <c r="K5517">
        <f t="shared" si="611"/>
        <v>1</v>
      </c>
    </row>
    <row r="5518" spans="1:11" x14ac:dyDescent="0.25">
      <c r="A5518" t="s">
        <v>51</v>
      </c>
      <c r="B5518" t="s">
        <v>52</v>
      </c>
      <c r="C5518" t="s">
        <v>50</v>
      </c>
      <c r="D5518" s="6">
        <v>46003</v>
      </c>
      <c r="E5518" t="str">
        <f>VLOOKUP(B5518,'PROCV GERENTES BD'!A:B,2,0)</f>
        <v>RAFAEL PARISE</v>
      </c>
      <c r="F5518" s="4" t="str">
        <f t="shared" si="606"/>
        <v>2025-12</v>
      </c>
      <c r="G5518" s="18">
        <f t="shared" si="607"/>
        <v>50</v>
      </c>
      <c r="H5518" t="str">
        <f t="shared" si="608"/>
        <v>RAFAEL PARISE</v>
      </c>
      <c r="I5518" t="str">
        <f t="shared" si="609"/>
        <v>TDR TRANSPORTES LOGISTICA LTDA</v>
      </c>
      <c r="J5518">
        <f t="shared" si="610"/>
        <v>0</v>
      </c>
      <c r="K5518">
        <f t="shared" si="611"/>
        <v>1</v>
      </c>
    </row>
    <row r="5519" spans="1:11" x14ac:dyDescent="0.25">
      <c r="A5519" t="s">
        <v>323</v>
      </c>
      <c r="B5519" t="s">
        <v>109</v>
      </c>
      <c r="C5519" t="s">
        <v>50</v>
      </c>
      <c r="D5519" s="6">
        <v>46003</v>
      </c>
      <c r="E5519" t="str">
        <f>VLOOKUP(B5519,'PROCV GERENTES BD'!A:B,2,0)</f>
        <v>PROSPECTAR</v>
      </c>
      <c r="F5519" s="4" t="str">
        <f t="shared" si="606"/>
        <v>2025-12</v>
      </c>
      <c r="G5519" s="18">
        <f t="shared" si="607"/>
        <v>50</v>
      </c>
      <c r="H5519" t="str">
        <f t="shared" si="608"/>
        <v>PROSPECTAR</v>
      </c>
      <c r="I5519" t="str">
        <f t="shared" si="609"/>
        <v>SIAP COMERCIO DE PRODUTOS AGROPECUARIOS LTDA</v>
      </c>
      <c r="J5519">
        <f t="shared" si="610"/>
        <v>0</v>
      </c>
      <c r="K5519">
        <f t="shared" si="611"/>
        <v>1</v>
      </c>
    </row>
    <row r="5520" spans="1:11" x14ac:dyDescent="0.25">
      <c r="A5520" t="s">
        <v>660</v>
      </c>
      <c r="B5520" t="s">
        <v>545</v>
      </c>
      <c r="C5520" t="s">
        <v>50</v>
      </c>
      <c r="D5520" s="6">
        <v>46003</v>
      </c>
      <c r="E5520" t="str">
        <f>VLOOKUP(B5520,'PROCV GERENTES BD'!A:B,2,0)</f>
        <v xml:space="preserve">ROGERIO </v>
      </c>
      <c r="F5520" s="4" t="str">
        <f t="shared" si="606"/>
        <v>2025-12</v>
      </c>
      <c r="G5520" s="18">
        <f t="shared" si="607"/>
        <v>50</v>
      </c>
      <c r="H5520" t="str">
        <f t="shared" si="608"/>
        <v xml:space="preserve">ROGERIO </v>
      </c>
      <c r="I5520" t="str">
        <f t="shared" si="609"/>
        <v>DISEP ALIMENTOS LTDA ME</v>
      </c>
      <c r="J5520">
        <f t="shared" si="610"/>
        <v>0</v>
      </c>
      <c r="K5520">
        <f t="shared" si="611"/>
        <v>1</v>
      </c>
    </row>
    <row r="5521" spans="1:11" x14ac:dyDescent="0.25">
      <c r="A5521" t="s">
        <v>482</v>
      </c>
      <c r="B5521" t="s">
        <v>239</v>
      </c>
      <c r="C5521" t="s">
        <v>50</v>
      </c>
      <c r="D5521" s="6">
        <v>46003</v>
      </c>
      <c r="E5521" t="str">
        <f>VLOOKUP(B5521,'PROCV GERENTES BD'!A:B,2,0)</f>
        <v>RAFAEL PARISE</v>
      </c>
      <c r="F5521" s="4" t="str">
        <f t="shared" si="606"/>
        <v>2025-12</v>
      </c>
      <c r="G5521" s="18">
        <f t="shared" si="607"/>
        <v>50</v>
      </c>
      <c r="H5521" t="str">
        <f t="shared" si="608"/>
        <v>RAFAEL PARISE</v>
      </c>
      <c r="I5521" t="str">
        <f t="shared" si="609"/>
        <v>RENOVAR AGRICOLA LTDA</v>
      </c>
      <c r="J5521">
        <f t="shared" si="610"/>
        <v>0</v>
      </c>
      <c r="K5521">
        <f t="shared" si="611"/>
        <v>1</v>
      </c>
    </row>
    <row r="5522" spans="1:11" x14ac:dyDescent="0.25">
      <c r="A5522" t="s">
        <v>529</v>
      </c>
      <c r="B5522" t="s">
        <v>297</v>
      </c>
      <c r="C5522" t="s">
        <v>50</v>
      </c>
      <c r="D5522" s="6">
        <v>46003</v>
      </c>
      <c r="E5522" t="str">
        <f>VLOOKUP(B5522,'PROCV GERENTES BD'!A:B,2,0)</f>
        <v>ANDRE CUNHA</v>
      </c>
      <c r="F5522" s="4" t="str">
        <f t="shared" si="606"/>
        <v>2025-12</v>
      </c>
      <c r="G5522" s="18">
        <f t="shared" si="607"/>
        <v>50</v>
      </c>
      <c r="H5522" t="str">
        <f t="shared" si="608"/>
        <v>ANDRE CUNHA</v>
      </c>
      <c r="I5522" t="str">
        <f t="shared" si="609"/>
        <v>REVPACK TECNOLOGIA E COMERCIO DE COMPONENTES PLAST</v>
      </c>
      <c r="J5522">
        <f t="shared" si="610"/>
        <v>0</v>
      </c>
      <c r="K5522">
        <f t="shared" si="611"/>
        <v>1</v>
      </c>
    </row>
    <row r="5523" spans="1:11" x14ac:dyDescent="0.25">
      <c r="A5523" t="s">
        <v>413</v>
      </c>
      <c r="B5523" t="s">
        <v>163</v>
      </c>
      <c r="C5523" t="s">
        <v>50</v>
      </c>
      <c r="D5523" s="6">
        <v>46003</v>
      </c>
      <c r="E5523" t="str">
        <f>VLOOKUP(B5523,'PROCV GERENTES BD'!A:B,2,0)</f>
        <v>CELIO PIMENTA</v>
      </c>
      <c r="F5523" s="4" t="str">
        <f t="shared" si="606"/>
        <v>2025-12</v>
      </c>
      <c r="G5523" s="18">
        <f t="shared" si="607"/>
        <v>50</v>
      </c>
      <c r="H5523" t="str">
        <f t="shared" si="608"/>
        <v>CELIO PIMENTA</v>
      </c>
      <c r="I5523" t="str">
        <f t="shared" si="609"/>
        <v>TOUROS IMPLEMENTOS LTDA ME</v>
      </c>
      <c r="J5523">
        <f t="shared" si="610"/>
        <v>0</v>
      </c>
      <c r="K5523">
        <f t="shared" si="611"/>
        <v>1</v>
      </c>
    </row>
    <row r="5524" spans="1:11" x14ac:dyDescent="0.25">
      <c r="A5524" t="s">
        <v>499</v>
      </c>
      <c r="B5524" t="s">
        <v>258</v>
      </c>
      <c r="C5524" t="s">
        <v>66</v>
      </c>
      <c r="D5524" s="6">
        <v>46003</v>
      </c>
      <c r="E5524" t="str">
        <f>VLOOKUP(B5524,'PROCV GERENTES BD'!A:B,2,0)</f>
        <v>PRISCILA METZ</v>
      </c>
      <c r="F5524" s="4" t="str">
        <f t="shared" si="606"/>
        <v>2025-12</v>
      </c>
      <c r="G5524" s="18">
        <f t="shared" si="607"/>
        <v>50</v>
      </c>
      <c r="H5524" t="str">
        <f t="shared" si="608"/>
        <v>PRISCILA METZ</v>
      </c>
      <c r="I5524" t="str">
        <f t="shared" si="609"/>
        <v>PLATINUM INDUSTRIA DE CONFECCOES LTDA</v>
      </c>
      <c r="J5524">
        <f t="shared" si="610"/>
        <v>1</v>
      </c>
      <c r="K5524">
        <f t="shared" si="611"/>
        <v>0</v>
      </c>
    </row>
    <row r="5525" spans="1:11" x14ac:dyDescent="0.25">
      <c r="A5525" t="s">
        <v>687</v>
      </c>
      <c r="B5525" t="s">
        <v>684</v>
      </c>
      <c r="C5525" t="s">
        <v>50</v>
      </c>
      <c r="D5525" s="6">
        <v>46003</v>
      </c>
      <c r="E5525" t="str">
        <f>VLOOKUP(B5525,'PROCV GERENTES BD'!A:B,2,0)</f>
        <v>DALVA</v>
      </c>
      <c r="F5525" s="4" t="str">
        <f t="shared" si="606"/>
        <v>2025-12</v>
      </c>
      <c r="G5525" s="18">
        <f t="shared" si="607"/>
        <v>50</v>
      </c>
      <c r="H5525" t="str">
        <f t="shared" si="608"/>
        <v>DALVA</v>
      </c>
      <c r="I5525" t="str">
        <f t="shared" si="609"/>
        <v>AGUIA DE FOGO PREVENCAO DE INCENDIO LTDA EPP</v>
      </c>
      <c r="J5525">
        <f t="shared" si="610"/>
        <v>0</v>
      </c>
      <c r="K5525">
        <f t="shared" si="611"/>
        <v>1</v>
      </c>
    </row>
  </sheetData>
  <conditionalFormatting sqref="C1:C3412 C3414:C1048576">
    <cfRule type="containsText" dxfId="7" priority="1" operator="containsText" text="ALTERACAO">
      <formula>NOT(ISERROR(SEARCH("ALTERACAO",C1)))</formula>
    </cfRule>
    <cfRule type="containsText" dxfId="6" priority="2" operator="containsText" text="EXCLUSAO  ANOT.INADIMPLENCIA">
      <formula>NOT(ISERROR(SEARCH("EXCLUSAO  ANOT.INADIMPLENCIA",C1)))</formula>
    </cfRule>
    <cfRule type="containsText" dxfId="5" priority="3" operator="containsText" text="INCLUSAO  ANOT.INADIMPLENCIA">
      <formula>NOT(ISERROR(SEARCH("INCLUSAO  ANOT.INADIMPLENCIA",C1)))</formula>
    </cfRule>
  </conditionalFormatting>
  <pageMargins left="0.511811024" right="0.511811024" top="0.78740157499999996" bottom="0.78740157499999996" header="0.31496062000000002" footer="0.31496062000000002"/>
  <pageSetup paperSize="9" orientation="portrait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 filterMode="1">
    <tabColor rgb="FF002060"/>
  </sheetPr>
  <dimension ref="A1:K360"/>
  <sheetViews>
    <sheetView zoomScaleNormal="100" workbookViewId="0">
      <selection activeCell="A380" sqref="A380"/>
    </sheetView>
  </sheetViews>
  <sheetFormatPr defaultRowHeight="15" x14ac:dyDescent="0.25"/>
  <cols>
    <col min="1" max="1" width="71.85546875" customWidth="1"/>
    <col min="2" max="2" width="23.7109375" bestFit="1" customWidth="1"/>
    <col min="3" max="3" width="23" customWidth="1"/>
    <col min="4" max="5" width="20.140625" customWidth="1"/>
    <col min="6" max="6" width="29.42578125" bestFit="1" customWidth="1"/>
    <col min="7" max="7" width="29.42578125" customWidth="1"/>
    <col min="8" max="8" width="9.140625" customWidth="1"/>
    <col min="9" max="9" width="22.7109375" customWidth="1"/>
    <col min="10" max="15" width="9.140625" customWidth="1"/>
  </cols>
  <sheetData>
    <row r="1" spans="1:11" x14ac:dyDescent="0.25">
      <c r="A1" s="9" t="s">
        <v>0</v>
      </c>
      <c r="B1" s="9" t="s">
        <v>32</v>
      </c>
      <c r="C1" s="9" t="s">
        <v>29</v>
      </c>
      <c r="D1" s="9" t="s">
        <v>47</v>
      </c>
      <c r="E1" s="9" t="s">
        <v>712</v>
      </c>
      <c r="F1" s="10" t="s">
        <v>46</v>
      </c>
      <c r="G1" s="10" t="s">
        <v>678</v>
      </c>
      <c r="H1" s="9"/>
      <c r="I1" s="9"/>
      <c r="J1" s="9"/>
      <c r="K1" s="9"/>
    </row>
    <row r="2" spans="1:11" hidden="1" x14ac:dyDescent="0.25">
      <c r="A2" t="s">
        <v>158</v>
      </c>
      <c r="B2" t="s">
        <v>17</v>
      </c>
      <c r="C2" t="str">
        <f>IFERROR(_xlfn.XLOOKUP(A2,'E-Mail BD'!B:B,'E-Mail BD'!A:A),"-")</f>
        <v>037.054.821/0001-10</v>
      </c>
      <c r="D2" s="2" t="str">
        <f t="shared" ref="D2:D65" si="0">IF(RIGHT(SUBSTITUTE(SUBSTITUTE(SUBSTITUTE(C2,".",""),"/",""),"-",""),14)="","-",RIGHT(SUBSTITUTE(SUBSTITUTE(SUBSTITUTE(C2,".",""),"/",""),"-",""),14))</f>
        <v>37054821000110</v>
      </c>
      <c r="E2" s="2" t="str">
        <f>LEFT($D2,8)</f>
        <v>37054821</v>
      </c>
      <c r="F2" s="8">
        <f>IF($A2=""," ",IF(_xlfn.MINIFS(tblDados[[Data do recebimento do e-mail]:[Data do recebimento do e-mail]],tblDados[[Razão Social]:[Razão Social]],$A2)=0,"NÃO APARECEU AINDA",_xlfn.MINIFS(tblDados[[Data do recebimento do e-mail]:[Data do recebimento do e-mail]],tblDados[[Razão Social]:[Razão Social]],$A2)))</f>
        <v>45574</v>
      </c>
      <c r="G2" s="8">
        <f>IF($A2=""," ",IF(_xlfn.MAXIFS(tblDados[[Data do recebimento do e-mail]:[Data do recebimento do e-mail]],tblDados[[Razão Social]:[Razão Social]],$A2)=0,"NÃO APARECEU AINDA",_xlfn.MAXIFS(tblDados[[Data do recebimento do e-mail]:[Data do recebimento do e-mail]],tblDados[[Razão Social]:[Razão Social]],$A2)))</f>
        <v>45680</v>
      </c>
    </row>
    <row r="3" spans="1:11" hidden="1" x14ac:dyDescent="0.25">
      <c r="A3" t="s">
        <v>605</v>
      </c>
      <c r="B3" t="s">
        <v>25</v>
      </c>
      <c r="C3" t="str">
        <f>IFERROR(_xlfn.XLOOKUP(A3,'E-Mail BD'!B:B,'E-Mail BD'!A:A),"-")</f>
        <v>026.628.832/0001-40</v>
      </c>
      <c r="D3" s="2" t="str">
        <f t="shared" si="0"/>
        <v>26628832000140</v>
      </c>
      <c r="E3" s="2" t="str">
        <f t="shared" ref="E3:E66" si="1">LEFT($D3,8)</f>
        <v>26628832</v>
      </c>
      <c r="F3" s="8">
        <f>IF($A3=""," ",IF(_xlfn.MINIFS(tblDados[[Data do recebimento do e-mail]:[Data do recebimento do e-mail]],tblDados[[Razão Social]:[Razão Social]],$A3)=0,"NÃO APARECEU AINDA",_xlfn.MINIFS(tblDados[[Data do recebimento do e-mail]:[Data do recebimento do e-mail]],tblDados[[Razão Social]:[Razão Social]],$A3)))</f>
        <v>45827</v>
      </c>
      <c r="G3" s="8">
        <f>IF($A3=""," ",IF(_xlfn.MAXIFS(tblDados[[Data do recebimento do e-mail]:[Data do recebimento do e-mail]],tblDados[[Razão Social]:[Razão Social]],$A3)=0,"NÃO APARECEU AINDA",_xlfn.MAXIFS(tblDados[[Data do recebimento do e-mail]:[Data do recebimento do e-mail]],tblDados[[Razão Social]:[Razão Social]],$A3)))</f>
        <v>45953</v>
      </c>
    </row>
    <row r="4" spans="1:11" hidden="1" x14ac:dyDescent="0.25">
      <c r="A4" t="s">
        <v>240</v>
      </c>
      <c r="B4" t="s">
        <v>17</v>
      </c>
      <c r="C4" t="str">
        <f>IFERROR(_xlfn.XLOOKUP(A4,'E-Mail BD'!B:B,'E-Mail BD'!A:A),"-")</f>
        <v>002.776.536/0001-29</v>
      </c>
      <c r="D4" s="2" t="str">
        <f t="shared" si="0"/>
        <v>02776536000129</v>
      </c>
      <c r="E4" s="2" t="str">
        <f t="shared" si="1"/>
        <v>02776536</v>
      </c>
      <c r="F4" s="8">
        <f>IF($A4=""," ",IF(_xlfn.MINIFS(tblDados[[Data do recebimento do e-mail]:[Data do recebimento do e-mail]],tblDados[[Razão Social]:[Razão Social]],$A4)=0,"NÃO APARECEU AINDA",_xlfn.MINIFS(tblDados[[Data do recebimento do e-mail]:[Data do recebimento do e-mail]],tblDados[[Razão Social]:[Razão Social]],$A4)))</f>
        <v>45738</v>
      </c>
      <c r="G4" s="8">
        <f>IF($A4=""," ",IF(_xlfn.MAXIFS(tblDados[[Data do recebimento do e-mail]:[Data do recebimento do e-mail]],tblDados[[Razão Social]:[Razão Social]],$A4)=0,"NÃO APARECEU AINDA",_xlfn.MAXIFS(tblDados[[Data do recebimento do e-mail]:[Data do recebimento do e-mail]],tblDados[[Razão Social]:[Razão Social]],$A4)))</f>
        <v>45773</v>
      </c>
    </row>
    <row r="5" spans="1:11" hidden="1" x14ac:dyDescent="0.25">
      <c r="A5" t="s">
        <v>220</v>
      </c>
      <c r="B5" t="s">
        <v>4</v>
      </c>
      <c r="C5" t="str">
        <f>IFERROR(_xlfn.XLOOKUP(A5,'E-Mail BD'!B:B,'E-Mail BD'!A:A),"-")</f>
        <v>044.637.793/0001-20</v>
      </c>
      <c r="D5" s="2" t="str">
        <f t="shared" si="0"/>
        <v>44637793000120</v>
      </c>
      <c r="E5" s="2" t="str">
        <f t="shared" si="1"/>
        <v>44637793</v>
      </c>
      <c r="F5" s="8">
        <f>IF($A5=""," ",IF(_xlfn.MINIFS(tblDados[[Data do recebimento do e-mail]:[Data do recebimento do e-mail]],tblDados[[Razão Social]:[Razão Social]],$A5)=0,"NÃO APARECEU AINDA",_xlfn.MINIFS(tblDados[[Data do recebimento do e-mail]:[Data do recebimento do e-mail]],tblDados[[Razão Social]:[Razão Social]],$A5)))</f>
        <v>45686</v>
      </c>
      <c r="G5" s="8">
        <f>IF($A5=""," ",IF(_xlfn.MAXIFS(tblDados[[Data do recebimento do e-mail]:[Data do recebimento do e-mail]],tblDados[[Razão Social]:[Razão Social]],$A5)=0,"NÃO APARECEU AINDA",_xlfn.MAXIFS(tblDados[[Data do recebimento do e-mail]:[Data do recebimento do e-mail]],tblDados[[Razão Social]:[Razão Social]],$A5)))</f>
        <v>45818</v>
      </c>
    </row>
    <row r="6" spans="1:11" hidden="1" x14ac:dyDescent="0.25">
      <c r="A6" t="s">
        <v>590</v>
      </c>
      <c r="B6" t="s">
        <v>22</v>
      </c>
      <c r="C6" t="str">
        <f>IFERROR(_xlfn.XLOOKUP(A6,'E-Mail BD'!B:B,'E-Mail BD'!A:A),"-")</f>
        <v>-</v>
      </c>
      <c r="D6" s="2" t="str">
        <f t="shared" si="0"/>
        <v>-</v>
      </c>
      <c r="E6" s="2" t="str">
        <f t="shared" si="1"/>
        <v>-</v>
      </c>
      <c r="F6" s="8" t="str">
        <f>IF($A6=""," ",IF(_xlfn.MINIFS(tblDados[[Data do recebimento do e-mail]:[Data do recebimento do e-mail]],tblDados[[Razão Social]:[Razão Social]],$A6)=0,"NÃO APARECEU AINDA",_xlfn.MINIFS(tblDados[[Data do recebimento do e-mail]:[Data do recebimento do e-mail]],tblDados[[Razão Social]:[Razão Social]],$A6)))</f>
        <v>NÃO APARECEU AINDA</v>
      </c>
      <c r="G6" s="8" t="str">
        <f>IF($A6=""," ",IF(_xlfn.MAXIFS(tblDados[[Data do recebimento do e-mail]:[Data do recebimento do e-mail]],tblDados[[Razão Social]:[Razão Social]],$A6)=0,"NÃO APARECEU AINDA",_xlfn.MAXIFS(tblDados[[Data do recebimento do e-mail]:[Data do recebimento do e-mail]],tblDados[[Razão Social]:[Razão Social]],$A6)))</f>
        <v>NÃO APARECEU AINDA</v>
      </c>
    </row>
    <row r="7" spans="1:11" hidden="1" x14ac:dyDescent="0.25">
      <c r="A7" t="s">
        <v>624</v>
      </c>
      <c r="B7" t="s">
        <v>25</v>
      </c>
      <c r="C7" t="str">
        <f>IFERROR(_xlfn.XLOOKUP(A7,'E-Mail BD'!B:B,'E-Mail BD'!A:A),"-")</f>
        <v>051.323.061/0001-20</v>
      </c>
      <c r="D7" s="2" t="str">
        <f t="shared" si="0"/>
        <v>51323061000120</v>
      </c>
      <c r="E7" s="2" t="str">
        <f t="shared" si="1"/>
        <v>51323061</v>
      </c>
      <c r="F7" s="8">
        <f>IF($A7=""," ",IF(_xlfn.MINIFS(tblDados[[Data do recebimento do e-mail]:[Data do recebimento do e-mail]],tblDados[[Razão Social]:[Razão Social]],$A7)=0,"NÃO APARECEU AINDA",_xlfn.MINIFS(tblDados[[Data do recebimento do e-mail]:[Data do recebimento do e-mail]],tblDados[[Razão Social]:[Razão Social]],$A7)))</f>
        <v>45834</v>
      </c>
      <c r="G7" s="8">
        <f>IF($A7=""," ",IF(_xlfn.MAXIFS(tblDados[[Data do recebimento do e-mail]:[Data do recebimento do e-mail]],tblDados[[Razão Social]:[Razão Social]],$A7)=0,"NÃO APARECEU AINDA",_xlfn.MAXIFS(tblDados[[Data do recebimento do e-mail]:[Data do recebimento do e-mail]],tblDados[[Razão Social]:[Razão Social]],$A7)))</f>
        <v>45947</v>
      </c>
    </row>
    <row r="8" spans="1:11" hidden="1" x14ac:dyDescent="0.25">
      <c r="A8" t="s">
        <v>221</v>
      </c>
      <c r="B8" t="s">
        <v>4</v>
      </c>
      <c r="C8" t="str">
        <f>IFERROR(_xlfn.XLOOKUP(A8,'E-Mail BD'!B:B,'E-Mail BD'!A:A),"-")</f>
        <v>013.616.154/0001-54</v>
      </c>
      <c r="D8" s="2" t="str">
        <f t="shared" si="0"/>
        <v>13616154000154</v>
      </c>
      <c r="E8" s="2" t="str">
        <f t="shared" si="1"/>
        <v>13616154</v>
      </c>
      <c r="F8" s="8">
        <f>IF($A8=""," ",IF(_xlfn.MINIFS(tblDados[[Data do recebimento do e-mail]:[Data do recebimento do e-mail]],tblDados[[Razão Social]:[Razão Social]],$A8)=0,"NÃO APARECEU AINDA",_xlfn.MINIFS(tblDados[[Data do recebimento do e-mail]:[Data do recebimento do e-mail]],tblDados[[Razão Social]:[Razão Social]],$A8)))</f>
        <v>45686</v>
      </c>
      <c r="G8" s="8">
        <f>IF($A8=""," ",IF(_xlfn.MAXIFS(tblDados[[Data do recebimento do e-mail]:[Data do recebimento do e-mail]],tblDados[[Razão Social]:[Razão Social]],$A8)=0,"NÃO APARECEU AINDA",_xlfn.MAXIFS(tblDados[[Data do recebimento do e-mail]:[Data do recebimento do e-mail]],tblDados[[Razão Social]:[Razão Social]],$A8)))</f>
        <v>45686</v>
      </c>
    </row>
    <row r="9" spans="1:11" hidden="1" x14ac:dyDescent="0.25">
      <c r="A9" t="s">
        <v>255</v>
      </c>
      <c r="B9" t="s">
        <v>19</v>
      </c>
      <c r="C9" t="str">
        <f>IFERROR(_xlfn.XLOOKUP(A9,'E-Mail BD'!B:B,'E-Mail BD'!A:A),"-")</f>
        <v>010.256.168/0001-16</v>
      </c>
      <c r="D9" s="2" t="str">
        <f t="shared" si="0"/>
        <v>10256168000116</v>
      </c>
      <c r="E9" s="2" t="str">
        <f t="shared" si="1"/>
        <v>10256168</v>
      </c>
      <c r="F9" s="8">
        <f>IF($A9=""," ",IF(_xlfn.MINIFS(tblDados[[Data do recebimento do e-mail]:[Data do recebimento do e-mail]],tblDados[[Razão Social]:[Razão Social]],$A9)=0,"NÃO APARECEU AINDA",_xlfn.MINIFS(tblDados[[Data do recebimento do e-mail]:[Data do recebimento do e-mail]],tblDados[[Razão Social]:[Razão Social]],$A9)))</f>
        <v>45758</v>
      </c>
      <c r="G9" s="8">
        <f>IF($A9=""," ",IF(_xlfn.MAXIFS(tblDados[[Data do recebimento do e-mail]:[Data do recebimento do e-mail]],tblDados[[Razão Social]:[Razão Social]],$A9)=0,"NÃO APARECEU AINDA",_xlfn.MAXIFS(tblDados[[Data do recebimento do e-mail]:[Data do recebimento do e-mail]],tblDados[[Razão Social]:[Razão Social]],$A9)))</f>
        <v>45762</v>
      </c>
    </row>
    <row r="10" spans="1:11" hidden="1" x14ac:dyDescent="0.25">
      <c r="A10" t="s">
        <v>223</v>
      </c>
      <c r="B10" t="s">
        <v>7</v>
      </c>
      <c r="C10" t="str">
        <f>IFERROR(_xlfn.XLOOKUP(A10,'E-Mail BD'!B:B,'E-Mail BD'!A:A),"-")</f>
        <v>000.688.793/0001-83</v>
      </c>
      <c r="D10" s="2" t="str">
        <f t="shared" si="0"/>
        <v>00688793000183</v>
      </c>
      <c r="E10" s="2" t="str">
        <f t="shared" si="1"/>
        <v>00688793</v>
      </c>
      <c r="F10" s="8">
        <f>IF($A10=""," ",IF(_xlfn.MINIFS(tblDados[[Data do recebimento do e-mail]:[Data do recebimento do e-mail]],tblDados[[Razão Social]:[Razão Social]],$A10)=0,"NÃO APARECEU AINDA",_xlfn.MINIFS(tblDados[[Data do recebimento do e-mail]:[Data do recebimento do e-mail]],tblDados[[Razão Social]:[Razão Social]],$A10)))</f>
        <v>45686</v>
      </c>
      <c r="G10" s="8">
        <f>IF($A10=""," ",IF(_xlfn.MAXIFS(tblDados[[Data do recebimento do e-mail]:[Data do recebimento do e-mail]],tblDados[[Razão Social]:[Razão Social]],$A10)=0,"NÃO APARECEU AINDA",_xlfn.MAXIFS(tblDados[[Data do recebimento do e-mail]:[Data do recebimento do e-mail]],tblDados[[Razão Social]:[Razão Social]],$A10)))</f>
        <v>45808</v>
      </c>
    </row>
    <row r="11" spans="1:11" hidden="1" x14ac:dyDescent="0.25">
      <c r="A11" t="s">
        <v>78</v>
      </c>
      <c r="B11" t="s">
        <v>4</v>
      </c>
      <c r="C11" t="str">
        <f>IFERROR(_xlfn.XLOOKUP(A11,'E-Mail BD'!B:B,'E-Mail BD'!A:A),"-")</f>
        <v>045.674.938/0001-25</v>
      </c>
      <c r="D11" s="2" t="str">
        <f t="shared" si="0"/>
        <v>45674938000125</v>
      </c>
      <c r="E11" s="2" t="str">
        <f t="shared" si="1"/>
        <v>45674938</v>
      </c>
      <c r="F11" s="8">
        <f>IF($A11=""," ",IF(_xlfn.MINIFS(tblDados[[Data do recebimento do e-mail]:[Data do recebimento do e-mail]],tblDados[[Razão Social]:[Razão Social]],$A11)=0,"NÃO APARECEU AINDA",_xlfn.MINIFS(tblDados[[Data do recebimento do e-mail]:[Data do recebimento do e-mail]],tblDados[[Razão Social]:[Razão Social]],$A11)))</f>
        <v>45537</v>
      </c>
      <c r="G11" s="8">
        <f>IF($A11=""," ",IF(_xlfn.MAXIFS(tblDados[[Data do recebimento do e-mail]:[Data do recebimento do e-mail]],tblDados[[Razão Social]:[Razão Social]],$A11)=0,"NÃO APARECEU AINDA",_xlfn.MAXIFS(tblDados[[Data do recebimento do e-mail]:[Data do recebimento do e-mail]],tblDados[[Razão Social]:[Razão Social]],$A11)))</f>
        <v>45551</v>
      </c>
    </row>
    <row r="12" spans="1:11" hidden="1" x14ac:dyDescent="0.25">
      <c r="A12" t="s">
        <v>189</v>
      </c>
      <c r="B12" t="s">
        <v>15</v>
      </c>
      <c r="C12" t="str">
        <f>IFERROR(_xlfn.XLOOKUP(A12,'E-Mail BD'!B:B,'E-Mail BD'!A:A),"-")</f>
        <v>088.978.606/0001-47</v>
      </c>
      <c r="D12" s="2" t="str">
        <f t="shared" si="0"/>
        <v>88978606000147</v>
      </c>
      <c r="E12" s="2" t="str">
        <f t="shared" si="1"/>
        <v>88978606</v>
      </c>
      <c r="F12" s="8">
        <f>IF($A12=""," ",IF(_xlfn.MINIFS(tblDados[[Data do recebimento do e-mail]:[Data do recebimento do e-mail]],tblDados[[Razão Social]:[Razão Social]],$A12)=0,"NÃO APARECEU AINDA",_xlfn.MINIFS(tblDados[[Data do recebimento do e-mail]:[Data do recebimento do e-mail]],tblDados[[Razão Social]:[Razão Social]],$A12)))</f>
        <v>45626</v>
      </c>
      <c r="G12" s="8">
        <f>IF($A12=""," ",IF(_xlfn.MAXIFS(tblDados[[Data do recebimento do e-mail]:[Data do recebimento do e-mail]],tblDados[[Razão Social]:[Razão Social]],$A12)=0,"NÃO APARECEU AINDA",_xlfn.MAXIFS(tblDados[[Data do recebimento do e-mail]:[Data do recebimento do e-mail]],tblDados[[Razão Social]:[Razão Social]],$A12)))</f>
        <v>45773</v>
      </c>
    </row>
    <row r="13" spans="1:11" hidden="1" x14ac:dyDescent="0.25">
      <c r="A13" t="s">
        <v>548</v>
      </c>
      <c r="B13" t="s">
        <v>21</v>
      </c>
      <c r="C13" t="str">
        <f>IFERROR(_xlfn.XLOOKUP(A13,'E-Mail BD'!B:B,'E-Mail BD'!A:A),"-")</f>
        <v>039.438.917/0001-08</v>
      </c>
      <c r="D13" s="2" t="str">
        <f t="shared" si="0"/>
        <v>39438917000108</v>
      </c>
      <c r="E13" s="2" t="str">
        <f t="shared" si="1"/>
        <v>39438917</v>
      </c>
      <c r="F13" s="8">
        <f>IF($A13=""," ",IF(_xlfn.MINIFS(tblDados[[Data do recebimento do e-mail]:[Data do recebimento do e-mail]],tblDados[[Razão Social]:[Razão Social]],$A13)=0,"NÃO APARECEU AINDA",_xlfn.MINIFS(tblDados[[Data do recebimento do e-mail]:[Data do recebimento do e-mail]],tblDados[[Razão Social]:[Razão Social]],$A13)))</f>
        <v>45882</v>
      </c>
      <c r="G13" s="8">
        <f>IF($A13=""," ",IF(_xlfn.MAXIFS(tblDados[[Data do recebimento do e-mail]:[Data do recebimento do e-mail]],tblDados[[Razão Social]:[Razão Social]],$A13)=0,"NÃO APARECEU AINDA",_xlfn.MAXIFS(tblDados[[Data do recebimento do e-mail]:[Data do recebimento do e-mail]],tblDados[[Razão Social]:[Razão Social]],$A13)))</f>
        <v>46001</v>
      </c>
    </row>
    <row r="14" spans="1:11" hidden="1" x14ac:dyDescent="0.25">
      <c r="A14" t="s">
        <v>175</v>
      </c>
      <c r="B14" t="s">
        <v>18</v>
      </c>
      <c r="C14" t="str">
        <f>IFERROR(_xlfn.XLOOKUP(A14,'E-Mail BD'!B:B,'E-Mail BD'!A:A),"-")</f>
        <v>026.438.913/0001-88</v>
      </c>
      <c r="D14" s="2" t="str">
        <f t="shared" si="0"/>
        <v>26438913000188</v>
      </c>
      <c r="E14" s="2" t="str">
        <f t="shared" si="1"/>
        <v>26438913</v>
      </c>
      <c r="F14" s="8">
        <f>IF($A14=""," ",IF(_xlfn.MINIFS(tblDados[[Data do recebimento do e-mail]:[Data do recebimento do e-mail]],tblDados[[Razão Social]:[Razão Social]],$A14)=0,"NÃO APARECEU AINDA",_xlfn.MINIFS(tblDados[[Data do recebimento do e-mail]:[Data do recebimento do e-mail]],tblDados[[Razão Social]:[Razão Social]],$A14)))</f>
        <v>45586</v>
      </c>
      <c r="G14" s="8">
        <f>IF($A14=""," ",IF(_xlfn.MAXIFS(tblDados[[Data do recebimento do e-mail]:[Data do recebimento do e-mail]],tblDados[[Razão Social]:[Razão Social]],$A14)=0,"NÃO APARECEU AINDA",_xlfn.MAXIFS(tblDados[[Data do recebimento do e-mail]:[Data do recebimento do e-mail]],tblDados[[Razão Social]:[Razão Social]],$A14)))</f>
        <v>45596</v>
      </c>
    </row>
    <row r="15" spans="1:11" hidden="1" x14ac:dyDescent="0.25">
      <c r="A15" t="s">
        <v>542</v>
      </c>
      <c r="B15" t="s">
        <v>7</v>
      </c>
      <c r="C15" t="str">
        <f>IFERROR(_xlfn.XLOOKUP(A15,'E-Mail BD'!B:B,'E-Mail BD'!A:A),"-")</f>
        <v>023.339.028/0001-53</v>
      </c>
      <c r="D15" s="2" t="str">
        <f t="shared" si="0"/>
        <v>23339028000153</v>
      </c>
      <c r="E15" s="2" t="str">
        <f t="shared" si="1"/>
        <v>23339028</v>
      </c>
      <c r="F15" s="8">
        <f>IF($A15=""," ",IF(_xlfn.MINIFS(tblDados[[Data do recebimento do e-mail]:[Data do recebimento do e-mail]],tblDados[[Razão Social]:[Razão Social]],$A15)=0,"NÃO APARECEU AINDA",_xlfn.MINIFS(tblDados[[Data do recebimento do e-mail]:[Data do recebimento do e-mail]],tblDados[[Razão Social]:[Razão Social]],$A15)))</f>
        <v>45938</v>
      </c>
      <c r="G15" s="8">
        <f>IF($A15=""," ",IF(_xlfn.MAXIFS(tblDados[[Data do recebimento do e-mail]:[Data do recebimento do e-mail]],tblDados[[Razão Social]:[Razão Social]],$A15)=0,"NÃO APARECEU AINDA",_xlfn.MAXIFS(tblDados[[Data do recebimento do e-mail]:[Data do recebimento do e-mail]],tblDados[[Razão Social]:[Razão Social]],$A15)))</f>
        <v>45938</v>
      </c>
    </row>
    <row r="16" spans="1:11" hidden="1" x14ac:dyDescent="0.25">
      <c r="A16" t="s">
        <v>143</v>
      </c>
      <c r="B16" t="s">
        <v>15</v>
      </c>
      <c r="C16" t="str">
        <f>IFERROR(_xlfn.XLOOKUP(A16,'E-Mail BD'!B:B,'E-Mail BD'!A:A),"-")</f>
        <v>046.140.062/0001-08</v>
      </c>
      <c r="D16" s="2" t="str">
        <f t="shared" si="0"/>
        <v>46140062000108</v>
      </c>
      <c r="E16" s="2" t="str">
        <f t="shared" si="1"/>
        <v>46140062</v>
      </c>
      <c r="F16" s="8">
        <f>IF($A16=""," ",IF(_xlfn.MINIFS(tblDados[[Data do recebimento do e-mail]:[Data do recebimento do e-mail]],tblDados[[Razão Social]:[Razão Social]],$A16)=0,"NÃO APARECEU AINDA",_xlfn.MINIFS(tblDados[[Data do recebimento do e-mail]:[Data do recebimento do e-mail]],tblDados[[Razão Social]:[Razão Social]],$A16)))</f>
        <v>45557</v>
      </c>
      <c r="G16" s="8">
        <f>IF($A16=""," ",IF(_xlfn.MAXIFS(tblDados[[Data do recebimento do e-mail]:[Data do recebimento do e-mail]],tblDados[[Razão Social]:[Razão Social]],$A16)=0,"NÃO APARECEU AINDA",_xlfn.MAXIFS(tblDados[[Data do recebimento do e-mail]:[Data do recebimento do e-mail]],tblDados[[Razão Social]:[Razão Social]],$A16)))</f>
        <v>45782</v>
      </c>
    </row>
    <row r="17" spans="1:7" hidden="1" x14ac:dyDescent="0.25">
      <c r="A17" t="s">
        <v>574</v>
      </c>
      <c r="B17" t="s">
        <v>618</v>
      </c>
      <c r="C17" t="str">
        <f>IFERROR(_xlfn.XLOOKUP(A17,'E-Mail BD'!B:B,'E-Mail BD'!A:A),"-")</f>
        <v>-</v>
      </c>
      <c r="D17" s="2" t="str">
        <f t="shared" si="0"/>
        <v>-</v>
      </c>
      <c r="E17" s="2" t="str">
        <f t="shared" si="1"/>
        <v>-</v>
      </c>
      <c r="F17" s="8" t="str">
        <f>IF($A17=""," ",IF(_xlfn.MINIFS(tblDados[[Data do recebimento do e-mail]:[Data do recebimento do e-mail]],tblDados[[Razão Social]:[Razão Social]],$A17)=0,"NÃO APARECEU AINDA",_xlfn.MINIFS(tblDados[[Data do recebimento do e-mail]:[Data do recebimento do e-mail]],tblDados[[Razão Social]:[Razão Social]],$A17)))</f>
        <v>NÃO APARECEU AINDA</v>
      </c>
      <c r="G17" s="8" t="str">
        <f>IF($A17=""," ",IF(_xlfn.MAXIFS(tblDados[[Data do recebimento do e-mail]:[Data do recebimento do e-mail]],tblDados[[Razão Social]:[Razão Social]],$A17)=0,"NÃO APARECEU AINDA",_xlfn.MAXIFS(tblDados[[Data do recebimento do e-mail]:[Data do recebimento do e-mail]],tblDados[[Razão Social]:[Razão Social]],$A17)))</f>
        <v>NÃO APARECEU AINDA</v>
      </c>
    </row>
    <row r="18" spans="1:7" hidden="1" x14ac:dyDescent="0.25">
      <c r="A18" t="s">
        <v>105</v>
      </c>
      <c r="B18" t="s">
        <v>22</v>
      </c>
      <c r="C18" t="str">
        <f>IFERROR(_xlfn.XLOOKUP(A18,'E-Mail BD'!B:B,'E-Mail BD'!A:A),"-")</f>
        <v>024.255.748/0001-01</v>
      </c>
      <c r="D18" s="2" t="str">
        <f t="shared" si="0"/>
        <v>24255748000101</v>
      </c>
      <c r="E18" s="2" t="str">
        <f t="shared" si="1"/>
        <v>24255748</v>
      </c>
      <c r="F18" s="8">
        <f>IF($A18=""," ",IF(_xlfn.MINIFS(tblDados[[Data do recebimento do e-mail]:[Data do recebimento do e-mail]],tblDados[[Razão Social]:[Razão Social]],$A18)=0,"NÃO APARECEU AINDA",_xlfn.MINIFS(tblDados[[Data do recebimento do e-mail]:[Data do recebimento do e-mail]],tblDados[[Razão Social]:[Razão Social]],$A18)))</f>
        <v>45540</v>
      </c>
      <c r="G18" s="8">
        <f>IF($A18=""," ",IF(_xlfn.MAXIFS(tblDados[[Data do recebimento do e-mail]:[Data do recebimento do e-mail]],tblDados[[Razão Social]:[Razão Social]],$A18)=0,"NÃO APARECEU AINDA",_xlfn.MAXIFS(tblDados[[Data do recebimento do e-mail]:[Data do recebimento do e-mail]],tblDados[[Razão Social]:[Razão Social]],$A18)))</f>
        <v>45876</v>
      </c>
    </row>
    <row r="19" spans="1:7" hidden="1" x14ac:dyDescent="0.25">
      <c r="A19" t="s">
        <v>138</v>
      </c>
      <c r="B19" t="s">
        <v>677</v>
      </c>
      <c r="C19" t="str">
        <f>IFERROR(_xlfn.XLOOKUP(A19,'E-Mail BD'!B:B,'E-Mail BD'!A:A),"-")</f>
        <v>055.979.736/0001-45</v>
      </c>
      <c r="D19" s="2" t="str">
        <f t="shared" si="0"/>
        <v>55979736000145</v>
      </c>
      <c r="E19" s="2" t="str">
        <f t="shared" si="1"/>
        <v>55979736</v>
      </c>
      <c r="F19" s="8">
        <f>IF($A19=""," ",IF(_xlfn.MINIFS(tblDados[[Data do recebimento do e-mail]:[Data do recebimento do e-mail]],tblDados[[Razão Social]:[Razão Social]],$A19)=0,"NÃO APARECEU AINDA",_xlfn.MINIFS(tblDados[[Data do recebimento do e-mail]:[Data do recebimento do e-mail]],tblDados[[Razão Social]:[Razão Social]],$A19)))</f>
        <v>45553</v>
      </c>
      <c r="G19" s="8">
        <f>IF($A19=""," ",IF(_xlfn.MAXIFS(tblDados[[Data do recebimento do e-mail]:[Data do recebimento do e-mail]],tblDados[[Razão Social]:[Razão Social]],$A19)=0,"NÃO APARECEU AINDA",_xlfn.MAXIFS(tblDados[[Data do recebimento do e-mail]:[Data do recebimento do e-mail]],tblDados[[Razão Social]:[Razão Social]],$A19)))</f>
        <v>45951</v>
      </c>
    </row>
    <row r="20" spans="1:7" hidden="1" x14ac:dyDescent="0.25">
      <c r="A20" t="s">
        <v>269</v>
      </c>
      <c r="B20" t="s">
        <v>11</v>
      </c>
      <c r="C20" t="str">
        <f>IFERROR(_xlfn.XLOOKUP(A20,'E-Mail BD'!B:B,'E-Mail BD'!A:A),"-")</f>
        <v>014.090.422/0001-00</v>
      </c>
      <c r="D20" s="2" t="str">
        <f t="shared" si="0"/>
        <v>14090422000100</v>
      </c>
      <c r="E20" s="2" t="str">
        <f t="shared" si="1"/>
        <v>14090422</v>
      </c>
      <c r="F20" s="8">
        <f>IF($A20=""," ",IF(_xlfn.MINIFS(tblDados[[Data do recebimento do e-mail]:[Data do recebimento do e-mail]],tblDados[[Razão Social]:[Razão Social]],$A20)=0,"NÃO APARECEU AINDA",_xlfn.MINIFS(tblDados[[Data do recebimento do e-mail]:[Data do recebimento do e-mail]],tblDados[[Razão Social]:[Razão Social]],$A20)))</f>
        <v>45780</v>
      </c>
      <c r="G20" s="8">
        <f>IF($A20=""," ",IF(_xlfn.MAXIFS(tblDados[[Data do recebimento do e-mail]:[Data do recebimento do e-mail]],tblDados[[Razão Social]:[Razão Social]],$A20)=0,"NÃO APARECEU AINDA",_xlfn.MAXIFS(tblDados[[Data do recebimento do e-mail]:[Data do recebimento do e-mail]],tblDados[[Razão Social]:[Razão Social]],$A20)))</f>
        <v>45878</v>
      </c>
    </row>
    <row r="21" spans="1:7" hidden="1" x14ac:dyDescent="0.25">
      <c r="A21" t="s">
        <v>194</v>
      </c>
      <c r="B21" t="s">
        <v>22</v>
      </c>
      <c r="C21" t="str">
        <f>IFERROR(_xlfn.XLOOKUP(A21,'E-Mail BD'!B:B,'E-Mail BD'!A:A),"-")</f>
        <v>035.649.603/0001-01</v>
      </c>
      <c r="D21" s="2" t="str">
        <f t="shared" si="0"/>
        <v>35649603000101</v>
      </c>
      <c r="E21" s="2" t="str">
        <f t="shared" si="1"/>
        <v>35649603</v>
      </c>
      <c r="F21" s="8">
        <f>IF($A21=""," ",IF(_xlfn.MINIFS(tblDados[[Data do recebimento do e-mail]:[Data do recebimento do e-mail]],tblDados[[Razão Social]:[Razão Social]],$A21)=0,"NÃO APARECEU AINDA",_xlfn.MINIFS(tblDados[[Data do recebimento do e-mail]:[Data do recebimento do e-mail]],tblDados[[Razão Social]:[Razão Social]],$A21)))</f>
        <v>45647</v>
      </c>
      <c r="G21" s="8">
        <f>IF($A21=""," ",IF(_xlfn.MAXIFS(tblDados[[Data do recebimento do e-mail]:[Data do recebimento do e-mail]],tblDados[[Razão Social]:[Razão Social]],$A21)=0,"NÃO APARECEU AINDA",_xlfn.MAXIFS(tblDados[[Data do recebimento do e-mail]:[Data do recebimento do e-mail]],tblDados[[Razão Social]:[Razão Social]],$A21)))</f>
        <v>45770</v>
      </c>
    </row>
    <row r="22" spans="1:7" hidden="1" x14ac:dyDescent="0.25">
      <c r="A22" t="s">
        <v>149</v>
      </c>
      <c r="B22" t="s">
        <v>4</v>
      </c>
      <c r="C22" t="str">
        <f>IFERROR(_xlfn.XLOOKUP(A22,'E-Mail BD'!B:B,'E-Mail BD'!A:A),"-")</f>
        <v>044.320.551/0001-08</v>
      </c>
      <c r="D22" s="2" t="str">
        <f t="shared" si="0"/>
        <v>44320551000108</v>
      </c>
      <c r="E22" s="2" t="str">
        <f t="shared" si="1"/>
        <v>44320551</v>
      </c>
      <c r="F22" s="8">
        <f>IF($A22=""," ",IF(_xlfn.MINIFS(tblDados[[Data do recebimento do e-mail]:[Data do recebimento do e-mail]],tblDados[[Razão Social]:[Razão Social]],$A22)=0,"NÃO APARECEU AINDA",_xlfn.MINIFS(tblDados[[Data do recebimento do e-mail]:[Data do recebimento do e-mail]],tblDados[[Razão Social]:[Razão Social]],$A22)))</f>
        <v>45566</v>
      </c>
      <c r="G22" s="8">
        <f>IF($A22=""," ",IF(_xlfn.MAXIFS(tblDados[[Data do recebimento do e-mail]:[Data do recebimento do e-mail]],tblDados[[Razão Social]:[Razão Social]],$A22)=0,"NÃO APARECEU AINDA",_xlfn.MAXIFS(tblDados[[Data do recebimento do e-mail]:[Data do recebimento do e-mail]],tblDados[[Razão Social]:[Razão Social]],$A22)))</f>
        <v>45799</v>
      </c>
    </row>
    <row r="23" spans="1:7" hidden="1" x14ac:dyDescent="0.25">
      <c r="A23" t="s">
        <v>230</v>
      </c>
      <c r="B23" t="s">
        <v>4</v>
      </c>
      <c r="C23" t="str">
        <f>IFERROR(_xlfn.XLOOKUP(A23,'E-Mail BD'!B:B,'E-Mail BD'!A:A),"-")</f>
        <v>050.893.355/0001-25</v>
      </c>
      <c r="D23" s="2" t="str">
        <f t="shared" si="0"/>
        <v>50893355000125</v>
      </c>
      <c r="E23" s="2" t="str">
        <f t="shared" si="1"/>
        <v>50893355</v>
      </c>
      <c r="F23" s="8">
        <f>IF($A23=""," ",IF(_xlfn.MINIFS(tblDados[[Data do recebimento do e-mail]:[Data do recebimento do e-mail]],tblDados[[Razão Social]:[Razão Social]],$A23)=0,"NÃO APARECEU AINDA",_xlfn.MINIFS(tblDados[[Data do recebimento do e-mail]:[Data do recebimento do e-mail]],tblDados[[Razão Social]:[Razão Social]],$A23)))</f>
        <v>45694</v>
      </c>
      <c r="G23" s="8">
        <f>IF($A23=""," ",IF(_xlfn.MAXIFS(tblDados[[Data do recebimento do e-mail]:[Data do recebimento do e-mail]],tblDados[[Razão Social]:[Razão Social]],$A23)=0,"NÃO APARECEU AINDA",_xlfn.MAXIFS(tblDados[[Data do recebimento do e-mail]:[Data do recebimento do e-mail]],tblDados[[Razão Social]:[Razão Social]],$A23)))</f>
        <v>45875</v>
      </c>
    </row>
    <row r="24" spans="1:7" hidden="1" x14ac:dyDescent="0.25">
      <c r="A24" t="s">
        <v>108</v>
      </c>
      <c r="B24" t="s">
        <v>5</v>
      </c>
      <c r="C24" t="str">
        <f>IFERROR(_xlfn.XLOOKUP(A24,'E-Mail BD'!B:B,'E-Mail BD'!A:A),"-")</f>
        <v>009.171.140/0001-05</v>
      </c>
      <c r="D24" s="2" t="str">
        <f t="shared" si="0"/>
        <v>09171140000105</v>
      </c>
      <c r="E24" s="2" t="str">
        <f t="shared" si="1"/>
        <v>09171140</v>
      </c>
      <c r="F24" s="8">
        <f>IF($A24=""," ",IF(_xlfn.MINIFS(tblDados[[Data do recebimento do e-mail]:[Data do recebimento do e-mail]],tblDados[[Razão Social]:[Razão Social]],$A24)=0,"NÃO APARECEU AINDA",_xlfn.MINIFS(tblDados[[Data do recebimento do e-mail]:[Data do recebimento do e-mail]],tblDados[[Razão Social]:[Razão Social]],$A24)))</f>
        <v>45541</v>
      </c>
      <c r="G24" s="8">
        <f>IF($A24=""," ",IF(_xlfn.MAXIFS(tblDados[[Data do recebimento do e-mail]:[Data do recebimento do e-mail]],tblDados[[Razão Social]:[Razão Social]],$A24)=0,"NÃO APARECEU AINDA",_xlfn.MAXIFS(tblDados[[Data do recebimento do e-mail]:[Data do recebimento do e-mail]],tblDados[[Razão Social]:[Razão Social]],$A24)))</f>
        <v>45860</v>
      </c>
    </row>
    <row r="25" spans="1:7" hidden="1" x14ac:dyDescent="0.25">
      <c r="A25" t="s">
        <v>261</v>
      </c>
      <c r="B25" t="s">
        <v>17</v>
      </c>
      <c r="C25" t="str">
        <f>IFERROR(_xlfn.XLOOKUP(A25,'E-Mail BD'!B:B,'E-Mail BD'!A:A),"-")</f>
        <v>049.344.344/0001-07</v>
      </c>
      <c r="D25" s="2" t="str">
        <f t="shared" si="0"/>
        <v>49344344000107</v>
      </c>
      <c r="E25" s="2" t="str">
        <f t="shared" si="1"/>
        <v>49344344</v>
      </c>
      <c r="F25" s="8">
        <f>IF($A25=""," ",IF(_xlfn.MINIFS(tblDados[[Data do recebimento do e-mail]:[Data do recebimento do e-mail]],tblDados[[Razão Social]:[Razão Social]],$A25)=0,"NÃO APARECEU AINDA",_xlfn.MINIFS(tblDados[[Data do recebimento do e-mail]:[Data do recebimento do e-mail]],tblDados[[Razão Social]:[Razão Social]],$A25)))</f>
        <v>45770</v>
      </c>
      <c r="G25" s="8">
        <f>IF($A25=""," ",IF(_xlfn.MAXIFS(tblDados[[Data do recebimento do e-mail]:[Data do recebimento do e-mail]],tblDados[[Razão Social]:[Razão Social]],$A25)=0,"NÃO APARECEU AINDA",_xlfn.MAXIFS(tblDados[[Data do recebimento do e-mail]:[Data do recebimento do e-mail]],tblDados[[Razão Social]:[Razão Social]],$A25)))</f>
        <v>45834</v>
      </c>
    </row>
    <row r="26" spans="1:7" hidden="1" x14ac:dyDescent="0.25">
      <c r="A26" t="s">
        <v>298</v>
      </c>
      <c r="B26" t="s">
        <v>25</v>
      </c>
      <c r="C26" t="str">
        <f>IFERROR(_xlfn.XLOOKUP(A26,'E-Mail BD'!B:B,'E-Mail BD'!A:A),"-")</f>
        <v>021.285.266/0001-06</v>
      </c>
      <c r="D26" s="2" t="str">
        <f t="shared" si="0"/>
        <v>21285266000106</v>
      </c>
      <c r="E26" s="2" t="str">
        <f t="shared" si="1"/>
        <v>21285266</v>
      </c>
      <c r="F26" s="8">
        <f>IF($A26=""," ",IF(_xlfn.MINIFS(tblDados[[Data do recebimento do e-mail]:[Data do recebimento do e-mail]],tblDados[[Razão Social]:[Razão Social]],$A26)=0,"NÃO APARECEU AINDA",_xlfn.MINIFS(tblDados[[Data do recebimento do e-mail]:[Data do recebimento do e-mail]],tblDados[[Razão Social]:[Razão Social]],$A26)))</f>
        <v>45804</v>
      </c>
      <c r="G26" s="8">
        <f>IF($A26=""," ",IF(_xlfn.MAXIFS(tblDados[[Data do recebimento do e-mail]:[Data do recebimento do e-mail]],tblDados[[Razão Social]:[Razão Social]],$A26)=0,"NÃO APARECEU AINDA",_xlfn.MAXIFS(tblDados[[Data do recebimento do e-mail]:[Data do recebimento do e-mail]],tblDados[[Razão Social]:[Razão Social]],$A26)))</f>
        <v>45818</v>
      </c>
    </row>
    <row r="27" spans="1:7" hidden="1" x14ac:dyDescent="0.25">
      <c r="A27" t="s">
        <v>259</v>
      </c>
      <c r="B27" t="s">
        <v>19</v>
      </c>
      <c r="C27" t="str">
        <f>IFERROR(_xlfn.XLOOKUP(A27,'E-Mail BD'!B:B,'E-Mail BD'!A:A),"-")</f>
        <v>028.695.654/0001-04</v>
      </c>
      <c r="D27" s="2" t="str">
        <f t="shared" si="0"/>
        <v>28695654000104</v>
      </c>
      <c r="E27" s="2" t="str">
        <f t="shared" si="1"/>
        <v>28695654</v>
      </c>
      <c r="F27" s="8">
        <f>IF($A27=""," ",IF(_xlfn.MINIFS(tblDados[[Data do recebimento do e-mail]:[Data do recebimento do e-mail]],tblDados[[Razão Social]:[Razão Social]],$A27)=0,"NÃO APARECEU AINDA",_xlfn.MINIFS(tblDados[[Data do recebimento do e-mail]:[Data do recebimento do e-mail]],tblDados[[Razão Social]:[Razão Social]],$A27)))</f>
        <v>45764</v>
      </c>
      <c r="G27" s="8">
        <f>IF($A27=""," ",IF(_xlfn.MAXIFS(tblDados[[Data do recebimento do e-mail]:[Data do recebimento do e-mail]],tblDados[[Razão Social]:[Razão Social]],$A27)=0,"NÃO APARECEU AINDA",_xlfn.MAXIFS(tblDados[[Data do recebimento do e-mail]:[Data do recebimento do e-mail]],tblDados[[Razão Social]:[Razão Social]],$A27)))</f>
        <v>45764</v>
      </c>
    </row>
    <row r="28" spans="1:7" hidden="1" x14ac:dyDescent="0.25">
      <c r="A28" t="s">
        <v>83</v>
      </c>
      <c r="B28" t="s">
        <v>38</v>
      </c>
      <c r="C28" t="str">
        <f>IFERROR(_xlfn.XLOOKUP(A28,'E-Mail BD'!B:B,'E-Mail BD'!A:A),"-")</f>
        <v>003.929.683/0001-54</v>
      </c>
      <c r="D28" s="2" t="str">
        <f t="shared" si="0"/>
        <v>03929683000154</v>
      </c>
      <c r="E28" s="2" t="str">
        <f t="shared" si="1"/>
        <v>03929683</v>
      </c>
      <c r="F28" s="8">
        <f>IF($A28=""," ",IF(_xlfn.MINIFS(tblDados[[Data do recebimento do e-mail]:[Data do recebimento do e-mail]],tblDados[[Razão Social]:[Razão Social]],$A28)=0,"NÃO APARECEU AINDA",_xlfn.MINIFS(tblDados[[Data do recebimento do e-mail]:[Data do recebimento do e-mail]],tblDados[[Razão Social]:[Razão Social]],$A28)))</f>
        <v>45537</v>
      </c>
      <c r="G28" s="8">
        <f>IF($A28=""," ",IF(_xlfn.MAXIFS(tblDados[[Data do recebimento do e-mail]:[Data do recebimento do e-mail]],tblDados[[Razão Social]:[Razão Social]],$A28)=0,"NÃO APARECEU AINDA",_xlfn.MAXIFS(tblDados[[Data do recebimento do e-mail]:[Data do recebimento do e-mail]],tblDados[[Razão Social]:[Razão Social]],$A28)))</f>
        <v>45570</v>
      </c>
    </row>
    <row r="29" spans="1:7" hidden="1" x14ac:dyDescent="0.25">
      <c r="A29" t="s">
        <v>274</v>
      </c>
      <c r="B29" t="s">
        <v>18</v>
      </c>
      <c r="C29" t="str">
        <f>IFERROR(_xlfn.XLOOKUP(A29,'E-Mail BD'!B:B,'E-Mail BD'!A:A),"-")</f>
        <v>086.490.885/0001-70</v>
      </c>
      <c r="D29" s="2" t="str">
        <f t="shared" si="0"/>
        <v>86490885000170</v>
      </c>
      <c r="E29" s="2" t="str">
        <f t="shared" si="1"/>
        <v>86490885</v>
      </c>
      <c r="F29" s="8">
        <f>IF($A29=""," ",IF(_xlfn.MINIFS(tblDados[[Data do recebimento do e-mail]:[Data do recebimento do e-mail]],tblDados[[Razão Social]:[Razão Social]],$A29)=0,"NÃO APARECEU AINDA",_xlfn.MINIFS(tblDados[[Data do recebimento do e-mail]:[Data do recebimento do e-mail]],tblDados[[Razão Social]:[Razão Social]],$A29)))</f>
        <v>45784</v>
      </c>
      <c r="G29" s="8">
        <f>IF($A29=""," ",IF(_xlfn.MAXIFS(tblDados[[Data do recebimento do e-mail]:[Data do recebimento do e-mail]],tblDados[[Razão Social]:[Razão Social]],$A29)=0,"NÃO APARECEU AINDA",_xlfn.MAXIFS(tblDados[[Data do recebimento do e-mail]:[Data do recebimento do e-mail]],tblDados[[Razão Social]:[Razão Social]],$A29)))</f>
        <v>45983</v>
      </c>
    </row>
    <row r="30" spans="1:7" hidden="1" x14ac:dyDescent="0.25">
      <c r="A30" t="s">
        <v>111</v>
      </c>
      <c r="B30" t="s">
        <v>4</v>
      </c>
      <c r="C30" t="str">
        <f>IFERROR(_xlfn.XLOOKUP(A30,'E-Mail BD'!B:B,'E-Mail BD'!A:A),"-")</f>
        <v>004.041.192/0001-35</v>
      </c>
      <c r="D30" s="2" t="str">
        <f t="shared" si="0"/>
        <v>04041192000135</v>
      </c>
      <c r="E30" s="2" t="str">
        <f t="shared" si="1"/>
        <v>04041192</v>
      </c>
      <c r="F30" s="8">
        <f>IF($A30=""," ",IF(_xlfn.MINIFS(tblDados[[Data do recebimento do e-mail]:[Data do recebimento do e-mail]],tblDados[[Razão Social]:[Razão Social]],$A30)=0,"NÃO APARECEU AINDA",_xlfn.MINIFS(tblDados[[Data do recebimento do e-mail]:[Data do recebimento do e-mail]],tblDados[[Razão Social]:[Razão Social]],$A30)))</f>
        <v>45544</v>
      </c>
      <c r="G30" s="8">
        <f>IF($A30=""," ",IF(_xlfn.MAXIFS(tblDados[[Data do recebimento do e-mail]:[Data do recebimento do e-mail]],tblDados[[Razão Social]:[Razão Social]],$A30)=0,"NÃO APARECEU AINDA",_xlfn.MAXIFS(tblDados[[Data do recebimento do e-mail]:[Data do recebimento do e-mail]],tblDados[[Razão Social]:[Razão Social]],$A30)))</f>
        <v>45966</v>
      </c>
    </row>
    <row r="31" spans="1:7" hidden="1" x14ac:dyDescent="0.25">
      <c r="A31" t="s">
        <v>581</v>
      </c>
      <c r="B31" t="s">
        <v>4</v>
      </c>
      <c r="C31" t="str">
        <f>IFERROR(_xlfn.XLOOKUP(A31,'E-Mail BD'!B:B,'E-Mail BD'!A:A),"-")</f>
        <v>049.773.824/0001-93</v>
      </c>
      <c r="D31" s="2" t="str">
        <f t="shared" si="0"/>
        <v>49773824000193</v>
      </c>
      <c r="E31" s="2" t="str">
        <f t="shared" si="1"/>
        <v>49773824</v>
      </c>
      <c r="F31" s="8">
        <f>IF($A31=""," ",IF(_xlfn.MINIFS(tblDados[[Data do recebimento do e-mail]:[Data do recebimento do e-mail]],tblDados[[Razão Social]:[Razão Social]],$A31)=0,"NÃO APARECEU AINDA",_xlfn.MINIFS(tblDados[[Data do recebimento do e-mail]:[Data do recebimento do e-mail]],tblDados[[Razão Social]:[Razão Social]],$A31)))</f>
        <v>45871</v>
      </c>
      <c r="G31" s="8">
        <f>IF($A31=""," ",IF(_xlfn.MAXIFS(tblDados[[Data do recebimento do e-mail]:[Data do recebimento do e-mail]],tblDados[[Razão Social]:[Razão Social]],$A31)=0,"NÃO APARECEU AINDA",_xlfn.MAXIFS(tblDados[[Data do recebimento do e-mail]:[Data do recebimento do e-mail]],tblDados[[Razão Social]:[Razão Social]],$A31)))</f>
        <v>45871</v>
      </c>
    </row>
    <row r="32" spans="1:7" hidden="1" x14ac:dyDescent="0.25">
      <c r="A32" t="s">
        <v>633</v>
      </c>
      <c r="B32" t="s">
        <v>612</v>
      </c>
      <c r="C32" t="str">
        <f>IFERROR(_xlfn.XLOOKUP(A32,'E-Mail BD'!B:B,'E-Mail BD'!A:A),"-")</f>
        <v>025.788.035/0001-68</v>
      </c>
      <c r="D32" s="2" t="str">
        <f t="shared" si="0"/>
        <v>25788035000168</v>
      </c>
      <c r="E32" s="2" t="str">
        <f t="shared" si="1"/>
        <v>25788035</v>
      </c>
      <c r="F32" s="8">
        <f>IF($A32=""," ",IF(_xlfn.MINIFS(tblDados[[Data do recebimento do e-mail]:[Data do recebimento do e-mail]],tblDados[[Razão Social]:[Razão Social]],$A32)=0,"NÃO APARECEU AINDA",_xlfn.MINIFS(tblDados[[Data do recebimento do e-mail]:[Data do recebimento do e-mail]],tblDados[[Razão Social]:[Razão Social]],$A32)))</f>
        <v>45843</v>
      </c>
      <c r="G32" s="8">
        <f>IF($A32=""," ",IF(_xlfn.MAXIFS(tblDados[[Data do recebimento do e-mail]:[Data do recebimento do e-mail]],tblDados[[Razão Social]:[Razão Social]],$A32)=0,"NÃO APARECEU AINDA",_xlfn.MAXIFS(tblDados[[Data do recebimento do e-mail]:[Data do recebimento do e-mail]],tblDados[[Razão Social]:[Razão Social]],$A32)))</f>
        <v>45938</v>
      </c>
    </row>
    <row r="33" spans="1:7" hidden="1" x14ac:dyDescent="0.25">
      <c r="A33" t="s">
        <v>633</v>
      </c>
      <c r="B33" t="s">
        <v>612</v>
      </c>
      <c r="C33" t="str">
        <f>IFERROR(_xlfn.XLOOKUP(A33,'E-Mail BD'!B:B,'E-Mail BD'!A:A),"-")</f>
        <v>025.788.035/0001-68</v>
      </c>
      <c r="D33" s="2" t="str">
        <f t="shared" si="0"/>
        <v>25788035000168</v>
      </c>
      <c r="E33" s="2" t="str">
        <f t="shared" si="1"/>
        <v>25788035</v>
      </c>
      <c r="F33" s="8">
        <f>IF($A33=""," ",IF(_xlfn.MINIFS(tblDados[[Data do recebimento do e-mail]:[Data do recebimento do e-mail]],tblDados[[Razão Social]:[Razão Social]],$A33)=0,"NÃO APARECEU AINDA",_xlfn.MINIFS(tblDados[[Data do recebimento do e-mail]:[Data do recebimento do e-mail]],tblDados[[Razão Social]:[Razão Social]],$A33)))</f>
        <v>45843</v>
      </c>
      <c r="G33" s="8">
        <f>IF($A33=""," ",IF(_xlfn.MAXIFS(tblDados[[Data do recebimento do e-mail]:[Data do recebimento do e-mail]],tblDados[[Razão Social]:[Razão Social]],$A33)=0,"NÃO APARECEU AINDA",_xlfn.MAXIFS(tblDados[[Data do recebimento do e-mail]:[Data do recebimento do e-mail]],tblDados[[Razão Social]:[Razão Social]],$A33)))</f>
        <v>45938</v>
      </c>
    </row>
    <row r="34" spans="1:7" hidden="1" x14ac:dyDescent="0.25">
      <c r="A34" t="s">
        <v>70</v>
      </c>
      <c r="B34" t="s">
        <v>25</v>
      </c>
      <c r="C34" t="str">
        <f>IFERROR(_xlfn.XLOOKUP(A34,'E-Mail BD'!B:B,'E-Mail BD'!A:A),"-")</f>
        <v>033.249.279/0001-09</v>
      </c>
      <c r="D34" s="2" t="str">
        <f t="shared" si="0"/>
        <v>33249279000109</v>
      </c>
      <c r="E34" s="2" t="str">
        <f t="shared" si="1"/>
        <v>33249279</v>
      </c>
      <c r="F34" s="8">
        <f>IF($A34=""," ",IF(_xlfn.MINIFS(tblDados[[Data do recebimento do e-mail]:[Data do recebimento do e-mail]],tblDados[[Razão Social]:[Razão Social]],$A34)=0,"NÃO APARECEU AINDA",_xlfn.MINIFS(tblDados[[Data do recebimento do e-mail]:[Data do recebimento do e-mail]],tblDados[[Razão Social]:[Razão Social]],$A34)))</f>
        <v>45819</v>
      </c>
      <c r="G34" s="8">
        <f>IF($A34=""," ",IF(_xlfn.MAXIFS(tblDados[[Data do recebimento do e-mail]:[Data do recebimento do e-mail]],tblDados[[Razão Social]:[Razão Social]],$A34)=0,"NÃO APARECEU AINDA",_xlfn.MAXIFS(tblDados[[Data do recebimento do e-mail]:[Data do recebimento do e-mail]],tblDados[[Razão Social]:[Razão Social]],$A34)))</f>
        <v>45916</v>
      </c>
    </row>
    <row r="35" spans="1:7" hidden="1" x14ac:dyDescent="0.25">
      <c r="A35" t="s">
        <v>272</v>
      </c>
      <c r="B35" t="s">
        <v>7</v>
      </c>
      <c r="C35" t="str">
        <f>IFERROR(_xlfn.XLOOKUP(A35,'E-Mail BD'!B:B,'E-Mail BD'!A:A),"-")</f>
        <v>056.146.561/0001-58</v>
      </c>
      <c r="D35" s="2" t="str">
        <f t="shared" si="0"/>
        <v>56146561000158</v>
      </c>
      <c r="E35" s="2" t="str">
        <f t="shared" si="1"/>
        <v>56146561</v>
      </c>
      <c r="F35" s="8">
        <f>IF($A35=""," ",IF(_xlfn.MINIFS(tblDados[[Data do recebimento do e-mail]:[Data do recebimento do e-mail]],tblDados[[Razão Social]:[Razão Social]],$A35)=0,"NÃO APARECEU AINDA",_xlfn.MINIFS(tblDados[[Data do recebimento do e-mail]:[Data do recebimento do e-mail]],tblDados[[Razão Social]:[Razão Social]],$A35)))</f>
        <v>45783</v>
      </c>
      <c r="G35" s="8">
        <f>IF($A35=""," ",IF(_xlfn.MAXIFS(tblDados[[Data do recebimento do e-mail]:[Data do recebimento do e-mail]],tblDados[[Razão Social]:[Razão Social]],$A35)=0,"NÃO APARECEU AINDA",_xlfn.MAXIFS(tblDados[[Data do recebimento do e-mail]:[Data do recebimento do e-mail]],tblDados[[Razão Social]:[Razão Social]],$A35)))</f>
        <v>45918</v>
      </c>
    </row>
    <row r="36" spans="1:7" hidden="1" x14ac:dyDescent="0.25">
      <c r="A36" t="s">
        <v>580</v>
      </c>
      <c r="B36" t="s">
        <v>16</v>
      </c>
      <c r="C36" t="str">
        <f>IFERROR(_xlfn.XLOOKUP(A36,'E-Mail BD'!B:B,'E-Mail BD'!A:A),"-")</f>
        <v>-</v>
      </c>
      <c r="D36" s="2" t="str">
        <f t="shared" si="0"/>
        <v>-</v>
      </c>
      <c r="E36" s="2" t="str">
        <f t="shared" si="1"/>
        <v>-</v>
      </c>
      <c r="F36" s="8" t="str">
        <f>IF($A36=""," ",IF(_xlfn.MINIFS(tblDados[[Data do recebimento do e-mail]:[Data do recebimento do e-mail]],tblDados[[Razão Social]:[Razão Social]],$A36)=0,"NÃO APARECEU AINDA",_xlfn.MINIFS(tblDados[[Data do recebimento do e-mail]:[Data do recebimento do e-mail]],tblDados[[Razão Social]:[Razão Social]],$A36)))</f>
        <v>NÃO APARECEU AINDA</v>
      </c>
      <c r="G36" s="8" t="str">
        <f>IF($A36=""," ",IF(_xlfn.MAXIFS(tblDados[[Data do recebimento do e-mail]:[Data do recebimento do e-mail]],tblDados[[Razão Social]:[Razão Social]],$A36)=0,"NÃO APARECEU AINDA",_xlfn.MAXIFS(tblDados[[Data do recebimento do e-mail]:[Data do recebimento do e-mail]],tblDados[[Razão Social]:[Razão Social]],$A36)))</f>
        <v>NÃO APARECEU AINDA</v>
      </c>
    </row>
    <row r="37" spans="1:7" hidden="1" x14ac:dyDescent="0.25">
      <c r="A37" t="s">
        <v>247</v>
      </c>
      <c r="B37" t="s">
        <v>7</v>
      </c>
      <c r="C37" t="str">
        <f>IFERROR(_xlfn.XLOOKUP(A37,'E-Mail BD'!B:B,'E-Mail BD'!A:A),"-")</f>
        <v>041.388.946/0001-54</v>
      </c>
      <c r="D37" s="2" t="str">
        <f t="shared" si="0"/>
        <v>41388946000154</v>
      </c>
      <c r="E37" s="2" t="str">
        <f t="shared" si="1"/>
        <v>41388946</v>
      </c>
      <c r="F37" s="8">
        <f>IF($A37=""," ",IF(_xlfn.MINIFS(tblDados[[Data do recebimento do e-mail]:[Data do recebimento do e-mail]],tblDados[[Razão Social]:[Razão Social]],$A37)=0,"NÃO APARECEU AINDA",_xlfn.MINIFS(tblDados[[Data do recebimento do e-mail]:[Data do recebimento do e-mail]],tblDados[[Razão Social]:[Razão Social]],$A37)))</f>
        <v>45743</v>
      </c>
      <c r="G37" s="8">
        <f>IF($A37=""," ",IF(_xlfn.MAXIFS(tblDados[[Data do recebimento do e-mail]:[Data do recebimento do e-mail]],tblDados[[Razão Social]:[Razão Social]],$A37)=0,"NÃO APARECEU AINDA",_xlfn.MAXIFS(tblDados[[Data do recebimento do e-mail]:[Data do recebimento do e-mail]],tblDados[[Razão Social]:[Razão Social]],$A37)))</f>
        <v>45990</v>
      </c>
    </row>
    <row r="38" spans="1:7" hidden="1" x14ac:dyDescent="0.25">
      <c r="A38" t="s">
        <v>562</v>
      </c>
      <c r="B38" t="s">
        <v>27</v>
      </c>
      <c r="C38" t="str">
        <f>IFERROR(_xlfn.XLOOKUP(A38,'E-Mail BD'!B:B,'E-Mail BD'!A:A),"-")</f>
        <v>-</v>
      </c>
      <c r="D38" s="2" t="str">
        <f t="shared" si="0"/>
        <v>-</v>
      </c>
      <c r="E38" s="2" t="str">
        <f t="shared" si="1"/>
        <v>-</v>
      </c>
      <c r="F38" s="8" t="str">
        <f>IF($A38=""," ",IF(_xlfn.MINIFS(tblDados[[Data do recebimento do e-mail]:[Data do recebimento do e-mail]],tblDados[[Razão Social]:[Razão Social]],$A38)=0,"NÃO APARECEU AINDA",_xlfn.MINIFS(tblDados[[Data do recebimento do e-mail]:[Data do recebimento do e-mail]],tblDados[[Razão Social]:[Razão Social]],$A38)))</f>
        <v>NÃO APARECEU AINDA</v>
      </c>
      <c r="G38" s="8" t="str">
        <f>IF($A38=""," ",IF(_xlfn.MAXIFS(tblDados[[Data do recebimento do e-mail]:[Data do recebimento do e-mail]],tblDados[[Razão Social]:[Razão Social]],$A38)=0,"NÃO APARECEU AINDA",_xlfn.MAXIFS(tblDados[[Data do recebimento do e-mail]:[Data do recebimento do e-mail]],tblDados[[Razão Social]:[Razão Social]],$A38)))</f>
        <v>NÃO APARECEU AINDA</v>
      </c>
    </row>
    <row r="39" spans="1:7" hidden="1" x14ac:dyDescent="0.25">
      <c r="A39" t="s">
        <v>268</v>
      </c>
      <c r="B39" t="s">
        <v>24</v>
      </c>
      <c r="C39" t="str">
        <f>IFERROR(_xlfn.XLOOKUP(A39,'E-Mail BD'!B:B,'E-Mail BD'!A:A),"-")</f>
        <v>013.323.483/0001-07</v>
      </c>
      <c r="D39" s="2" t="str">
        <f t="shared" si="0"/>
        <v>13323483000107</v>
      </c>
      <c r="E39" s="2" t="str">
        <f t="shared" si="1"/>
        <v>13323483</v>
      </c>
      <c r="F39" s="8">
        <f>IF($A39=""," ",IF(_xlfn.MINIFS(tblDados[[Data do recebimento do e-mail]:[Data do recebimento do e-mail]],tblDados[[Razão Social]:[Razão Social]],$A39)=0,"NÃO APARECEU AINDA",_xlfn.MINIFS(tblDados[[Data do recebimento do e-mail]:[Data do recebimento do e-mail]],tblDados[[Razão Social]:[Razão Social]],$A39)))</f>
        <v>45780</v>
      </c>
      <c r="G39" s="8">
        <f>IF($A39=""," ",IF(_xlfn.MAXIFS(tblDados[[Data do recebimento do e-mail]:[Data do recebimento do e-mail]],tblDados[[Razão Social]:[Razão Social]],$A39)=0,"NÃO APARECEU AINDA",_xlfn.MAXIFS(tblDados[[Data do recebimento do e-mail]:[Data do recebimento do e-mail]],tblDados[[Razão Social]:[Razão Social]],$A39)))</f>
        <v>45939</v>
      </c>
    </row>
    <row r="40" spans="1:7" hidden="1" x14ac:dyDescent="0.25">
      <c r="A40" t="s">
        <v>210</v>
      </c>
      <c r="B40" t="s">
        <v>18</v>
      </c>
      <c r="C40" t="str">
        <f>IFERROR(_xlfn.XLOOKUP(A40,'E-Mail BD'!B:B,'E-Mail BD'!A:A),"-")</f>
        <v>066.209.362/0001-03</v>
      </c>
      <c r="D40" s="2" t="str">
        <f t="shared" si="0"/>
        <v>66209362000103</v>
      </c>
      <c r="E40" s="2" t="str">
        <f t="shared" si="1"/>
        <v>66209362</v>
      </c>
      <c r="F40" s="8">
        <f>IF($A40=""," ",IF(_xlfn.MINIFS(tblDados[[Data do recebimento do e-mail]:[Data do recebimento do e-mail]],tblDados[[Razão Social]:[Razão Social]],$A40)=0,"NÃO APARECEU AINDA",_xlfn.MINIFS(tblDados[[Data do recebimento do e-mail]:[Data do recebimento do e-mail]],tblDados[[Razão Social]:[Razão Social]],$A40)))</f>
        <v>45679</v>
      </c>
      <c r="G40" s="8">
        <f>IF($A40=""," ",IF(_xlfn.MAXIFS(tblDados[[Data do recebimento do e-mail]:[Data do recebimento do e-mail]],tblDados[[Razão Social]:[Razão Social]],$A40)=0,"NÃO APARECEU AINDA",_xlfn.MAXIFS(tblDados[[Data do recebimento do e-mail]:[Data do recebimento do e-mail]],tblDados[[Razão Social]:[Razão Social]],$A40)))</f>
        <v>45748</v>
      </c>
    </row>
    <row r="41" spans="1:7" hidden="1" x14ac:dyDescent="0.25">
      <c r="A41" t="s">
        <v>295</v>
      </c>
      <c r="B41" t="s">
        <v>17</v>
      </c>
      <c r="C41" t="str">
        <f>IFERROR(_xlfn.XLOOKUP(A41,'E-Mail BD'!B:B,'E-Mail BD'!A:A),"-")</f>
        <v>018.498.459/0001-22</v>
      </c>
      <c r="D41" s="2" t="str">
        <f t="shared" si="0"/>
        <v>18498459000122</v>
      </c>
      <c r="E41" s="2" t="str">
        <f t="shared" si="1"/>
        <v>18498459</v>
      </c>
      <c r="F41" s="8">
        <f>IF($A41=""," ",IF(_xlfn.MINIFS(tblDados[[Data do recebimento do e-mail]:[Data do recebimento do e-mail]],tblDados[[Razão Social]:[Razão Social]],$A41)=0,"NÃO APARECEU AINDA",_xlfn.MINIFS(tblDados[[Data do recebimento do e-mail]:[Data do recebimento do e-mail]],tblDados[[Razão Social]:[Razão Social]],$A41)))</f>
        <v>45800</v>
      </c>
      <c r="G41" s="8">
        <f>IF($A41=""," ",IF(_xlfn.MAXIFS(tblDados[[Data do recebimento do e-mail]:[Data do recebimento do e-mail]],tblDados[[Razão Social]:[Razão Social]],$A41)=0,"NÃO APARECEU AINDA",_xlfn.MAXIFS(tblDados[[Data do recebimento do e-mail]:[Data do recebimento do e-mail]],tblDados[[Razão Social]:[Razão Social]],$A41)))</f>
        <v>45808</v>
      </c>
    </row>
    <row r="42" spans="1:7" hidden="1" x14ac:dyDescent="0.25">
      <c r="A42" t="s">
        <v>583</v>
      </c>
      <c r="B42" t="s">
        <v>7</v>
      </c>
      <c r="C42" t="str">
        <f>IFERROR(_xlfn.XLOOKUP(A42,'E-Mail BD'!B:B,'E-Mail BD'!A:A),"-")</f>
        <v>-</v>
      </c>
      <c r="D42" s="2" t="str">
        <f t="shared" si="0"/>
        <v>-</v>
      </c>
      <c r="E42" s="2" t="str">
        <f t="shared" si="1"/>
        <v>-</v>
      </c>
      <c r="F42" s="8" t="str">
        <f>IF($A42=""," ",IF(_xlfn.MINIFS(tblDados[[Data do recebimento do e-mail]:[Data do recebimento do e-mail]],tblDados[[Razão Social]:[Razão Social]],$A42)=0,"NÃO APARECEU AINDA",_xlfn.MINIFS(tblDados[[Data do recebimento do e-mail]:[Data do recebimento do e-mail]],tblDados[[Razão Social]:[Razão Social]],$A42)))</f>
        <v>NÃO APARECEU AINDA</v>
      </c>
      <c r="G42" s="8" t="str">
        <f>IF($A42=""," ",IF(_xlfn.MAXIFS(tblDados[[Data do recebimento do e-mail]:[Data do recebimento do e-mail]],tblDados[[Razão Social]:[Razão Social]],$A42)=0,"NÃO APARECEU AINDA",_xlfn.MAXIFS(tblDados[[Data do recebimento do e-mail]:[Data do recebimento do e-mail]],tblDados[[Razão Social]:[Razão Social]],$A42)))</f>
        <v>NÃO APARECEU AINDA</v>
      </c>
    </row>
    <row r="43" spans="1:7" hidden="1" x14ac:dyDescent="0.25">
      <c r="A43" t="s">
        <v>82</v>
      </c>
      <c r="B43" t="s">
        <v>4</v>
      </c>
      <c r="C43" t="str">
        <f>IFERROR(_xlfn.XLOOKUP(A43,'E-Mail BD'!B:B,'E-Mail BD'!A:A),"-")</f>
        <v>008.712.271/0001-81</v>
      </c>
      <c r="D43" s="2" t="str">
        <f t="shared" si="0"/>
        <v>08712271000181</v>
      </c>
      <c r="E43" s="2" t="str">
        <f t="shared" si="1"/>
        <v>08712271</v>
      </c>
      <c r="F43" s="8">
        <f>IF($A43=""," ",IF(_xlfn.MINIFS(tblDados[[Data do recebimento do e-mail]:[Data do recebimento do e-mail]],tblDados[[Razão Social]:[Razão Social]],$A43)=0,"NÃO APARECEU AINDA",_xlfn.MINIFS(tblDados[[Data do recebimento do e-mail]:[Data do recebimento do e-mail]],tblDados[[Razão Social]:[Razão Social]],$A43)))</f>
        <v>45537</v>
      </c>
      <c r="G43" s="8">
        <f>IF($A43=""," ",IF(_xlfn.MAXIFS(tblDados[[Data do recebimento do e-mail]:[Data do recebimento do e-mail]],tblDados[[Razão Social]:[Razão Social]],$A43)=0,"NÃO APARECEU AINDA",_xlfn.MAXIFS(tblDados[[Data do recebimento do e-mail]:[Data do recebimento do e-mail]],tblDados[[Razão Social]:[Razão Social]],$A43)))</f>
        <v>45590</v>
      </c>
    </row>
    <row r="44" spans="1:7" hidden="1" x14ac:dyDescent="0.25">
      <c r="A44" t="s">
        <v>598</v>
      </c>
      <c r="B44" t="s">
        <v>27</v>
      </c>
      <c r="C44" t="str">
        <f>IFERROR(_xlfn.XLOOKUP(A44,'E-Mail BD'!B:B,'E-Mail BD'!A:A),"-")</f>
        <v>014.178.148/0001-25</v>
      </c>
      <c r="D44" s="2" t="str">
        <f t="shared" si="0"/>
        <v>14178148000125</v>
      </c>
      <c r="E44" s="2" t="str">
        <f t="shared" si="1"/>
        <v>14178148</v>
      </c>
      <c r="F44" s="8">
        <f>IF($A44=""," ",IF(_xlfn.MINIFS(tblDados[[Data do recebimento do e-mail]:[Data do recebimento do e-mail]],tblDados[[Razão Social]:[Razão Social]],$A44)=0,"NÃO APARECEU AINDA",_xlfn.MINIFS(tblDados[[Data do recebimento do e-mail]:[Data do recebimento do e-mail]],tblDados[[Razão Social]:[Razão Social]],$A44)))</f>
        <v>45860</v>
      </c>
      <c r="G44" s="8">
        <f>IF($A44=""," ",IF(_xlfn.MAXIFS(tblDados[[Data do recebimento do e-mail]:[Data do recebimento do e-mail]],tblDados[[Razão Social]:[Razão Social]],$A44)=0,"NÃO APARECEU AINDA",_xlfn.MAXIFS(tblDados[[Data do recebimento do e-mail]:[Data do recebimento do e-mail]],tblDados[[Razão Social]:[Razão Social]],$A44)))</f>
        <v>45976</v>
      </c>
    </row>
    <row r="45" spans="1:7" hidden="1" x14ac:dyDescent="0.25">
      <c r="A45" t="s">
        <v>122</v>
      </c>
      <c r="B45" t="s">
        <v>21</v>
      </c>
      <c r="C45" t="str">
        <f>IFERROR(_xlfn.XLOOKUP(A45,'E-Mail BD'!B:B,'E-Mail BD'!A:A),"-")</f>
        <v>071.350.797/0001-03</v>
      </c>
      <c r="D45" s="2" t="str">
        <f t="shared" si="0"/>
        <v>71350797000103</v>
      </c>
      <c r="E45" s="2" t="str">
        <f t="shared" si="1"/>
        <v>71350797</v>
      </c>
      <c r="F45" s="8">
        <f>IF($A45=""," ",IF(_xlfn.MINIFS(tblDados[[Data do recebimento do e-mail]:[Data do recebimento do e-mail]],tblDados[[Razão Social]:[Razão Social]],$A45)=0,"NÃO APARECEU AINDA",_xlfn.MINIFS(tblDados[[Data do recebimento do e-mail]:[Data do recebimento do e-mail]],tblDados[[Razão Social]:[Razão Social]],$A45)))</f>
        <v>45545</v>
      </c>
      <c r="G45" s="8">
        <f>IF($A45=""," ",IF(_xlfn.MAXIFS(tblDados[[Data do recebimento do e-mail]:[Data do recebimento do e-mail]],tblDados[[Razão Social]:[Razão Social]],$A45)=0,"NÃO APARECEU AINDA",_xlfn.MAXIFS(tblDados[[Data do recebimento do e-mail]:[Data do recebimento do e-mail]],tblDados[[Razão Social]:[Razão Social]],$A45)))</f>
        <v>46001</v>
      </c>
    </row>
    <row r="46" spans="1:7" hidden="1" x14ac:dyDescent="0.25">
      <c r="A46" t="s">
        <v>578</v>
      </c>
      <c r="B46" t="s">
        <v>7</v>
      </c>
      <c r="C46" t="str">
        <f>IFERROR(_xlfn.XLOOKUP(A46,'E-Mail BD'!B:B,'E-Mail BD'!A:A),"-")</f>
        <v>-</v>
      </c>
      <c r="D46" s="2" t="str">
        <f t="shared" si="0"/>
        <v>-</v>
      </c>
      <c r="E46" s="2" t="str">
        <f t="shared" si="1"/>
        <v>-</v>
      </c>
      <c r="F46" s="8" t="str">
        <f>IF($A46=""," ",IF(_xlfn.MINIFS(tblDados[[Data do recebimento do e-mail]:[Data do recebimento do e-mail]],tblDados[[Razão Social]:[Razão Social]],$A46)=0,"NÃO APARECEU AINDA",_xlfn.MINIFS(tblDados[[Data do recebimento do e-mail]:[Data do recebimento do e-mail]],tblDados[[Razão Social]:[Razão Social]],$A46)))</f>
        <v>NÃO APARECEU AINDA</v>
      </c>
      <c r="G46" s="8" t="str">
        <f>IF($A46=""," ",IF(_xlfn.MAXIFS(tblDados[[Data do recebimento do e-mail]:[Data do recebimento do e-mail]],tblDados[[Razão Social]:[Razão Social]],$A46)=0,"NÃO APARECEU AINDA",_xlfn.MAXIFS(tblDados[[Data do recebimento do e-mail]:[Data do recebimento do e-mail]],tblDados[[Razão Social]:[Razão Social]],$A46)))</f>
        <v>NÃO APARECEU AINDA</v>
      </c>
    </row>
    <row r="47" spans="1:7" hidden="1" x14ac:dyDescent="0.25">
      <c r="A47" t="s">
        <v>187</v>
      </c>
      <c r="B47" t="s">
        <v>17</v>
      </c>
      <c r="C47" t="str">
        <f>IFERROR(_xlfn.XLOOKUP(A47,'E-Mail BD'!B:B,'E-Mail BD'!A:A),"-")</f>
        <v>026.988.940/0001-24</v>
      </c>
      <c r="D47" s="2" t="str">
        <f t="shared" si="0"/>
        <v>26988940000124</v>
      </c>
      <c r="E47" s="2" t="str">
        <f t="shared" si="1"/>
        <v>26988940</v>
      </c>
      <c r="F47" s="8">
        <f>IF($A47=""," ",IF(_xlfn.MINIFS(tblDados[[Data do recebimento do e-mail]:[Data do recebimento do e-mail]],tblDados[[Razão Social]:[Razão Social]],$A47)=0,"NÃO APARECEU AINDA",_xlfn.MINIFS(tblDados[[Data do recebimento do e-mail]:[Data do recebimento do e-mail]],tblDados[[Razão Social]:[Razão Social]],$A47)))</f>
        <v>45609</v>
      </c>
      <c r="G47" s="8">
        <f>IF($A47=""," ",IF(_xlfn.MAXIFS(tblDados[[Data do recebimento do e-mail]:[Data do recebimento do e-mail]],tblDados[[Razão Social]:[Razão Social]],$A47)=0,"NÃO APARECEU AINDA",_xlfn.MAXIFS(tblDados[[Data do recebimento do e-mail]:[Data do recebimento do e-mail]],tblDados[[Razão Social]:[Razão Social]],$A47)))</f>
        <v>45639</v>
      </c>
    </row>
    <row r="48" spans="1:7" hidden="1" x14ac:dyDescent="0.25">
      <c r="A48" t="s">
        <v>84</v>
      </c>
      <c r="B48" t="s">
        <v>4</v>
      </c>
      <c r="C48" t="str">
        <f>IFERROR(_xlfn.XLOOKUP(A48,'E-Mail BD'!B:B,'E-Mail BD'!A:A),"-")</f>
        <v>036.382.501/0001-27</v>
      </c>
      <c r="D48" s="2" t="str">
        <f t="shared" si="0"/>
        <v>36382501000127</v>
      </c>
      <c r="E48" s="2" t="str">
        <f t="shared" si="1"/>
        <v>36382501</v>
      </c>
      <c r="F48" s="8">
        <f>IF($A48=""," ",IF(_xlfn.MINIFS(tblDados[[Data do recebimento do e-mail]:[Data do recebimento do e-mail]],tblDados[[Razão Social]:[Razão Social]],$A48)=0,"NÃO APARECEU AINDA",_xlfn.MINIFS(tblDados[[Data do recebimento do e-mail]:[Data do recebimento do e-mail]],tblDados[[Razão Social]:[Razão Social]],$A48)))</f>
        <v>45537</v>
      </c>
      <c r="G48" s="8">
        <f>IF($A48=""," ",IF(_xlfn.MAXIFS(tblDados[[Data do recebimento do e-mail]:[Data do recebimento do e-mail]],tblDados[[Razão Social]:[Razão Social]],$A48)=0,"NÃO APARECEU AINDA",_xlfn.MAXIFS(tblDados[[Data do recebimento do e-mail]:[Data do recebimento do e-mail]],tblDados[[Razão Social]:[Razão Social]],$A48)))</f>
        <v>45544</v>
      </c>
    </row>
    <row r="49" spans="1:7" hidden="1" x14ac:dyDescent="0.25">
      <c r="A49" t="s">
        <v>59</v>
      </c>
      <c r="B49" t="s">
        <v>4</v>
      </c>
      <c r="C49" t="str">
        <f>IFERROR(_xlfn.XLOOKUP(A49,'E-Mail BD'!B:B,'E-Mail BD'!A:A),"-")</f>
        <v>021.382.943/0001-04</v>
      </c>
      <c r="D49" s="2" t="str">
        <f t="shared" si="0"/>
        <v>21382943000104</v>
      </c>
      <c r="E49" s="2" t="str">
        <f t="shared" si="1"/>
        <v>21382943</v>
      </c>
      <c r="F49" s="8">
        <f>IF($A49=""," ",IF(_xlfn.MINIFS(tblDados[[Data do recebimento do e-mail]:[Data do recebimento do e-mail]],tblDados[[Razão Social]:[Razão Social]],$A49)=0,"NÃO APARECEU AINDA",_xlfn.MINIFS(tblDados[[Data do recebimento do e-mail]:[Data do recebimento do e-mail]],tblDados[[Razão Social]:[Razão Social]],$A49)))</f>
        <v>45784</v>
      </c>
      <c r="G49" s="8">
        <f>IF($A49=""," ",IF(_xlfn.MAXIFS(tblDados[[Data do recebimento do e-mail]:[Data do recebimento do e-mail]],tblDados[[Razão Social]:[Razão Social]],$A49)=0,"NÃO APARECEU AINDA",_xlfn.MAXIFS(tblDados[[Data do recebimento do e-mail]:[Data do recebimento do e-mail]],tblDados[[Razão Social]:[Razão Social]],$A49)))</f>
        <v>46003</v>
      </c>
    </row>
    <row r="50" spans="1:7" hidden="1" x14ac:dyDescent="0.25">
      <c r="A50" t="s">
        <v>79</v>
      </c>
      <c r="B50" t="s">
        <v>4</v>
      </c>
      <c r="C50" t="str">
        <f>IFERROR(_xlfn.XLOOKUP(A50,'E-Mail BD'!B:B,'E-Mail BD'!A:A),"-")</f>
        <v>016.772.642/0001-49</v>
      </c>
      <c r="D50" s="2" t="str">
        <f t="shared" si="0"/>
        <v>16772642000149</v>
      </c>
      <c r="E50" s="2" t="str">
        <f t="shared" si="1"/>
        <v>16772642</v>
      </c>
      <c r="F50" s="8">
        <f>IF($A50=""," ",IF(_xlfn.MINIFS(tblDados[[Data do recebimento do e-mail]:[Data do recebimento do e-mail]],tblDados[[Razão Social]:[Razão Social]],$A50)=0,"NÃO APARECEU AINDA",_xlfn.MINIFS(tblDados[[Data do recebimento do e-mail]:[Data do recebimento do e-mail]],tblDados[[Razão Social]:[Razão Social]],$A50)))</f>
        <v>45537</v>
      </c>
      <c r="G50" s="8">
        <f>IF($A50=""," ",IF(_xlfn.MAXIFS(tblDados[[Data do recebimento do e-mail]:[Data do recebimento do e-mail]],tblDados[[Razão Social]:[Razão Social]],$A50)=0,"NÃO APARECEU AINDA",_xlfn.MAXIFS(tblDados[[Data do recebimento do e-mail]:[Data do recebimento do e-mail]],tblDados[[Razão Social]:[Razão Social]],$A50)))</f>
        <v>45538</v>
      </c>
    </row>
    <row r="51" spans="1:7" hidden="1" x14ac:dyDescent="0.25">
      <c r="A51" t="s">
        <v>144</v>
      </c>
      <c r="B51" t="s">
        <v>4</v>
      </c>
      <c r="C51" t="str">
        <f>IFERROR(_xlfn.XLOOKUP(A51,'E-Mail BD'!B:B,'E-Mail BD'!A:A),"-")</f>
        <v>016.772.642/0001-49</v>
      </c>
      <c r="D51" s="2" t="str">
        <f t="shared" si="0"/>
        <v>16772642000149</v>
      </c>
      <c r="E51" s="2" t="str">
        <f t="shared" si="1"/>
        <v>16772642</v>
      </c>
      <c r="F51" s="8">
        <f>IF($A51=""," ",IF(_xlfn.MINIFS(tblDados[[Data do recebimento do e-mail]:[Data do recebimento do e-mail]],tblDados[[Razão Social]:[Razão Social]],$A51)=0,"NÃO APARECEU AINDA",_xlfn.MINIFS(tblDados[[Data do recebimento do e-mail]:[Data do recebimento do e-mail]],tblDados[[Razão Social]:[Razão Social]],$A51)))</f>
        <v>45560</v>
      </c>
      <c r="G51" s="8">
        <f>IF($A51=""," ",IF(_xlfn.MAXIFS(tblDados[[Data do recebimento do e-mail]:[Data do recebimento do e-mail]],tblDados[[Razão Social]:[Razão Social]],$A51)=0,"NÃO APARECEU AINDA",_xlfn.MAXIFS(tblDados[[Data do recebimento do e-mail]:[Data do recebimento do e-mail]],tblDados[[Razão Social]:[Razão Social]],$A51)))</f>
        <v>46001</v>
      </c>
    </row>
    <row r="52" spans="1:7" hidden="1" x14ac:dyDescent="0.25">
      <c r="A52" t="s">
        <v>652</v>
      </c>
      <c r="B52" t="s">
        <v>22</v>
      </c>
      <c r="C52" t="str">
        <f>IFERROR(_xlfn.XLOOKUP(A52,'E-Mail BD'!B:B,'E-Mail BD'!A:A),"-")</f>
        <v>032.024.304/0001-85</v>
      </c>
      <c r="D52" s="2" t="str">
        <f t="shared" si="0"/>
        <v>32024304000185</v>
      </c>
      <c r="E52" s="2" t="str">
        <f t="shared" si="1"/>
        <v>32024304</v>
      </c>
      <c r="F52" s="8">
        <f>IF($A52=""," ",IF(_xlfn.MINIFS(tblDados[[Data do recebimento do e-mail]:[Data do recebimento do e-mail]],tblDados[[Razão Social]:[Razão Social]],$A52)=0,"NÃO APARECEU AINDA",_xlfn.MINIFS(tblDados[[Data do recebimento do e-mail]:[Data do recebimento do e-mail]],tblDados[[Razão Social]:[Razão Social]],$A52)))</f>
        <v>45877</v>
      </c>
      <c r="G52" s="8">
        <f>IF($A52=""," ",IF(_xlfn.MAXIFS(tblDados[[Data do recebimento do e-mail]:[Data do recebimento do e-mail]],tblDados[[Razão Social]:[Razão Social]],$A52)=0,"NÃO APARECEU AINDA",_xlfn.MAXIFS(tblDados[[Data do recebimento do e-mail]:[Data do recebimento do e-mail]],tblDados[[Razão Social]:[Razão Social]],$A52)))</f>
        <v>46003</v>
      </c>
    </row>
    <row r="53" spans="1:7" hidden="1" x14ac:dyDescent="0.25">
      <c r="A53" t="s">
        <v>290</v>
      </c>
      <c r="B53" t="s">
        <v>24</v>
      </c>
      <c r="C53" t="str">
        <f>IFERROR(_xlfn.XLOOKUP(A53,'E-Mail BD'!B:B,'E-Mail BD'!A:A),"-")</f>
        <v>002.862.437/0001-60</v>
      </c>
      <c r="D53" s="2" t="str">
        <f t="shared" si="0"/>
        <v>02862437000160</v>
      </c>
      <c r="E53" s="2" t="str">
        <f t="shared" si="1"/>
        <v>02862437</v>
      </c>
      <c r="F53" s="8">
        <f>IF($A53=""," ",IF(_xlfn.MINIFS(tblDados[[Data do recebimento do e-mail]:[Data do recebimento do e-mail]],tblDados[[Razão Social]:[Razão Social]],$A53)=0,"NÃO APARECEU AINDA",_xlfn.MINIFS(tblDados[[Data do recebimento do e-mail]:[Data do recebimento do e-mail]],tblDados[[Razão Social]:[Razão Social]],$A53)))</f>
        <v>45797</v>
      </c>
      <c r="G53" s="8">
        <f>IF($A53=""," ",IF(_xlfn.MAXIFS(tblDados[[Data do recebimento do e-mail]:[Data do recebimento do e-mail]],tblDados[[Razão Social]:[Razão Social]],$A53)=0,"NÃO APARECEU AINDA",_xlfn.MAXIFS(tblDados[[Data do recebimento do e-mail]:[Data do recebimento do e-mail]],tblDados[[Razão Social]:[Razão Social]],$A53)))</f>
        <v>45960</v>
      </c>
    </row>
    <row r="54" spans="1:7" hidden="1" x14ac:dyDescent="0.25">
      <c r="A54" t="s">
        <v>587</v>
      </c>
      <c r="B54" t="s">
        <v>24</v>
      </c>
      <c r="C54" t="str">
        <f>IFERROR(_xlfn.XLOOKUP(A54,'E-Mail BD'!B:B,'E-Mail BD'!A:A),"-")</f>
        <v>013.918.473/0001-14</v>
      </c>
      <c r="D54" s="2" t="str">
        <f t="shared" si="0"/>
        <v>13918473000114</v>
      </c>
      <c r="E54" s="2" t="str">
        <f t="shared" si="1"/>
        <v>13918473</v>
      </c>
      <c r="F54" s="8">
        <f>IF($A54=""," ",IF(_xlfn.MINIFS(tblDados[[Data do recebimento do e-mail]:[Data do recebimento do e-mail]],tblDados[[Razão Social]:[Razão Social]],$A54)=0,"NÃO APARECEU AINDA",_xlfn.MINIFS(tblDados[[Data do recebimento do e-mail]:[Data do recebimento do e-mail]],tblDados[[Razão Social]:[Razão Social]],$A54)))</f>
        <v>45827</v>
      </c>
      <c r="G54" s="8">
        <f>IF($A54=""," ",IF(_xlfn.MAXIFS(tblDados[[Data do recebimento do e-mail]:[Data do recebimento do e-mail]],tblDados[[Razão Social]:[Razão Social]],$A54)=0,"NÃO APARECEU AINDA",_xlfn.MAXIFS(tblDados[[Data do recebimento do e-mail]:[Data do recebimento do e-mail]],tblDados[[Razão Social]:[Razão Social]],$A54)))</f>
        <v>45857</v>
      </c>
    </row>
    <row r="55" spans="1:7" hidden="1" x14ac:dyDescent="0.25">
      <c r="A55" t="s">
        <v>186</v>
      </c>
      <c r="B55" t="s">
        <v>4</v>
      </c>
      <c r="C55" t="str">
        <f>IFERROR(_xlfn.XLOOKUP(A55,'E-Mail BD'!B:B,'E-Mail BD'!A:A),"-")</f>
        <v>044.032.421/0001-70</v>
      </c>
      <c r="D55" s="2" t="str">
        <f t="shared" si="0"/>
        <v>44032421000170</v>
      </c>
      <c r="E55" s="2" t="str">
        <f t="shared" si="1"/>
        <v>44032421</v>
      </c>
      <c r="F55" s="8">
        <f>IF($A55=""," ",IF(_xlfn.MINIFS(tblDados[[Data do recebimento do e-mail]:[Data do recebimento do e-mail]],tblDados[[Razão Social]:[Razão Social]],$A55)=0,"NÃO APARECEU AINDA",_xlfn.MINIFS(tblDados[[Data do recebimento do e-mail]:[Data do recebimento do e-mail]],tblDados[[Razão Social]:[Razão Social]],$A55)))</f>
        <v>45604</v>
      </c>
      <c r="G55" s="8">
        <f>IF($A55=""," ",IF(_xlfn.MAXIFS(tblDados[[Data do recebimento do e-mail]:[Data do recebimento do e-mail]],tblDados[[Razão Social]:[Razão Social]],$A55)=0,"NÃO APARECEU AINDA",_xlfn.MAXIFS(tblDados[[Data do recebimento do e-mail]:[Data do recebimento do e-mail]],tblDados[[Razão Social]:[Razão Social]],$A55)))</f>
        <v>45800</v>
      </c>
    </row>
    <row r="56" spans="1:7" hidden="1" x14ac:dyDescent="0.25">
      <c r="A56" t="s">
        <v>553</v>
      </c>
      <c r="B56" t="s">
        <v>27</v>
      </c>
      <c r="C56" t="str">
        <f>IFERROR(_xlfn.XLOOKUP(A56,'E-Mail BD'!B:B,'E-Mail BD'!A:A),"-")</f>
        <v>008.068.767/0001-64</v>
      </c>
      <c r="D56" s="2" t="str">
        <f t="shared" si="0"/>
        <v>08068767000164</v>
      </c>
      <c r="E56" s="2" t="str">
        <f t="shared" si="1"/>
        <v>08068767</v>
      </c>
      <c r="F56" s="8">
        <f>IF($A56=""," ",IF(_xlfn.MINIFS(tblDados[[Data do recebimento do e-mail]:[Data do recebimento do e-mail]],tblDados[[Razão Social]:[Razão Social]],$A56)=0,"NÃO APARECEU AINDA",_xlfn.MINIFS(tblDados[[Data do recebimento do e-mail]:[Data do recebimento do e-mail]],tblDados[[Razão Social]:[Razão Social]],$A56)))</f>
        <v>45871</v>
      </c>
      <c r="G56" s="8">
        <f>IF($A56=""," ",IF(_xlfn.MAXIFS(tblDados[[Data do recebimento do e-mail]:[Data do recebimento do e-mail]],tblDados[[Razão Social]:[Razão Social]],$A56)=0,"NÃO APARECEU AINDA",_xlfn.MAXIFS(tblDados[[Data do recebimento do e-mail]:[Data do recebimento do e-mail]],tblDados[[Razão Social]:[Razão Social]],$A56)))</f>
        <v>45871</v>
      </c>
    </row>
    <row r="57" spans="1:7" hidden="1" x14ac:dyDescent="0.25">
      <c r="A57" t="s">
        <v>250</v>
      </c>
      <c r="B57" t="s">
        <v>21</v>
      </c>
      <c r="C57" t="str">
        <f>IFERROR(_xlfn.XLOOKUP(A57,'E-Mail BD'!B:B,'E-Mail BD'!A:A),"-")</f>
        <v>022.143.692/0001-60</v>
      </c>
      <c r="D57" s="2" t="str">
        <f t="shared" si="0"/>
        <v>22143692000160</v>
      </c>
      <c r="E57" s="2" t="str">
        <f t="shared" si="1"/>
        <v>22143692</v>
      </c>
      <c r="F57" s="8">
        <f>IF($A57=""," ",IF(_xlfn.MINIFS(tblDados[[Data do recebimento do e-mail]:[Data do recebimento do e-mail]],tblDados[[Razão Social]:[Razão Social]],$A57)=0,"NÃO APARECEU AINDA",_xlfn.MINIFS(tblDados[[Data do recebimento do e-mail]:[Data do recebimento do e-mail]],tblDados[[Razão Social]:[Razão Social]],$A57)))</f>
        <v>45748</v>
      </c>
      <c r="G57" s="8">
        <f>IF($A57=""," ",IF(_xlfn.MAXIFS(tblDados[[Data do recebimento do e-mail]:[Data do recebimento do e-mail]],tblDados[[Razão Social]:[Razão Social]],$A57)=0,"NÃO APARECEU AINDA",_xlfn.MAXIFS(tblDados[[Data do recebimento do e-mail]:[Data do recebimento do e-mail]],tblDados[[Razão Social]:[Razão Social]],$A57)))</f>
        <v>45827</v>
      </c>
    </row>
    <row r="58" spans="1:7" hidden="1" x14ac:dyDescent="0.25">
      <c r="A58" t="s">
        <v>576</v>
      </c>
      <c r="B58" t="s">
        <v>8</v>
      </c>
      <c r="C58" t="str">
        <f>IFERROR(_xlfn.XLOOKUP(A58,'E-Mail BD'!B:B,'E-Mail BD'!A:A),"-")</f>
        <v>-</v>
      </c>
      <c r="D58" s="2" t="str">
        <f t="shared" si="0"/>
        <v>-</v>
      </c>
      <c r="E58" s="2" t="str">
        <f t="shared" si="1"/>
        <v>-</v>
      </c>
      <c r="F58" s="8" t="str">
        <f>IF($A58=""," ",IF(_xlfn.MINIFS(tblDados[[Data do recebimento do e-mail]:[Data do recebimento do e-mail]],tblDados[[Razão Social]:[Razão Social]],$A58)=0,"NÃO APARECEU AINDA",_xlfn.MINIFS(tblDados[[Data do recebimento do e-mail]:[Data do recebimento do e-mail]],tblDados[[Razão Social]:[Razão Social]],$A58)))</f>
        <v>NÃO APARECEU AINDA</v>
      </c>
      <c r="G58" s="8" t="str">
        <f>IF($A58=""," ",IF(_xlfn.MAXIFS(tblDados[[Data do recebimento do e-mail]:[Data do recebimento do e-mail]],tblDados[[Razão Social]:[Razão Social]],$A58)=0,"NÃO APARECEU AINDA",_xlfn.MAXIFS(tblDados[[Data do recebimento do e-mail]:[Data do recebimento do e-mail]],tblDados[[Razão Social]:[Razão Social]],$A58)))</f>
        <v>NÃO APARECEU AINDA</v>
      </c>
    </row>
    <row r="59" spans="1:7" hidden="1" x14ac:dyDescent="0.25">
      <c r="A59" t="s">
        <v>282</v>
      </c>
      <c r="B59" t="s">
        <v>23</v>
      </c>
      <c r="C59" t="str">
        <f>IFERROR(_xlfn.XLOOKUP(A59,'E-Mail BD'!B:B,'E-Mail BD'!A:A),"-")</f>
        <v>032.781.707/0001-79</v>
      </c>
      <c r="D59" s="2" t="str">
        <f t="shared" si="0"/>
        <v>32781707000179</v>
      </c>
      <c r="E59" s="2" t="str">
        <f t="shared" si="1"/>
        <v>32781707</v>
      </c>
      <c r="F59" s="8">
        <f>IF($A59=""," ",IF(_xlfn.MINIFS(tblDados[[Data do recebimento do e-mail]:[Data do recebimento do e-mail]],tblDados[[Razão Social]:[Razão Social]],$A59)=0,"NÃO APARECEU AINDA",_xlfn.MINIFS(tblDados[[Data do recebimento do e-mail]:[Data do recebimento do e-mail]],tblDados[[Razão Social]:[Razão Social]],$A59)))</f>
        <v>45793</v>
      </c>
      <c r="G59" s="8">
        <f>IF($A59=""," ",IF(_xlfn.MAXIFS(tblDados[[Data do recebimento do e-mail]:[Data do recebimento do e-mail]],tblDados[[Razão Social]:[Razão Social]],$A59)=0,"NÃO APARECEU AINDA",_xlfn.MAXIFS(tblDados[[Data do recebimento do e-mail]:[Data do recebimento do e-mail]],tblDados[[Razão Social]:[Razão Social]],$A59)))</f>
        <v>45905</v>
      </c>
    </row>
    <row r="60" spans="1:7" hidden="1" x14ac:dyDescent="0.25">
      <c r="A60" t="s">
        <v>291</v>
      </c>
      <c r="B60" t="s">
        <v>23</v>
      </c>
      <c r="C60" t="str">
        <f>IFERROR(_xlfn.XLOOKUP(A60,'E-Mail BD'!B:B,'E-Mail BD'!A:A),"-")</f>
        <v>021.458.691/0001-41</v>
      </c>
      <c r="D60" s="2" t="str">
        <f t="shared" si="0"/>
        <v>21458691000141</v>
      </c>
      <c r="E60" s="2" t="str">
        <f t="shared" si="1"/>
        <v>21458691</v>
      </c>
      <c r="F60" s="8">
        <f>IF($A60=""," ",IF(_xlfn.MINIFS(tblDados[[Data do recebimento do e-mail]:[Data do recebimento do e-mail]],tblDados[[Razão Social]:[Razão Social]],$A60)=0,"NÃO APARECEU AINDA",_xlfn.MINIFS(tblDados[[Data do recebimento do e-mail]:[Data do recebimento do e-mail]],tblDados[[Razão Social]:[Razão Social]],$A60)))</f>
        <v>45799</v>
      </c>
      <c r="G60" s="8">
        <f>IF($A60=""," ",IF(_xlfn.MAXIFS(tblDados[[Data do recebimento do e-mail]:[Data do recebimento do e-mail]],tblDados[[Razão Social]:[Razão Social]],$A60)=0,"NÃO APARECEU AINDA",_xlfn.MAXIFS(tblDados[[Data do recebimento do e-mail]:[Data do recebimento do e-mail]],tblDados[[Razão Social]:[Razão Social]],$A60)))</f>
        <v>45993</v>
      </c>
    </row>
    <row r="61" spans="1:7" hidden="1" x14ac:dyDescent="0.25">
      <c r="A61" t="s">
        <v>89</v>
      </c>
      <c r="B61" t="s">
        <v>16</v>
      </c>
      <c r="C61" t="str">
        <f>IFERROR(_xlfn.XLOOKUP(A61,'E-Mail BD'!B:B,'E-Mail BD'!A:A),"-")</f>
        <v>012.299.369/0001-26</v>
      </c>
      <c r="D61" s="2" t="str">
        <f t="shared" si="0"/>
        <v>12299369000126</v>
      </c>
      <c r="E61" s="2" t="str">
        <f t="shared" si="1"/>
        <v>12299369</v>
      </c>
      <c r="F61" s="8">
        <f>IF($A61=""," ",IF(_xlfn.MINIFS(tblDados[[Data do recebimento do e-mail]:[Data do recebimento do e-mail]],tblDados[[Razão Social]:[Razão Social]],$A61)=0,"NÃO APARECEU AINDA",_xlfn.MINIFS(tblDados[[Data do recebimento do e-mail]:[Data do recebimento do e-mail]],tblDados[[Razão Social]:[Razão Social]],$A61)))</f>
        <v>45537</v>
      </c>
      <c r="G61" s="8">
        <f>IF($A61=""," ",IF(_xlfn.MAXIFS(tblDados[[Data do recebimento do e-mail]:[Data do recebimento do e-mail]],tblDados[[Razão Social]:[Razão Social]],$A61)=0,"NÃO APARECEU AINDA",_xlfn.MAXIFS(tblDados[[Data do recebimento do e-mail]:[Data do recebimento do e-mail]],tblDados[[Razão Social]:[Razão Social]],$A61)))</f>
        <v>45946</v>
      </c>
    </row>
    <row r="62" spans="1:7" hidden="1" x14ac:dyDescent="0.25">
      <c r="A62" t="s">
        <v>222</v>
      </c>
      <c r="B62" t="s">
        <v>4</v>
      </c>
      <c r="C62" t="str">
        <f>IFERROR(_xlfn.XLOOKUP(A62,'E-Mail BD'!B:B,'E-Mail BD'!A:A),"-")</f>
        <v>038.185.478/0001-06</v>
      </c>
      <c r="D62" s="2" t="str">
        <f t="shared" si="0"/>
        <v>38185478000106</v>
      </c>
      <c r="E62" s="2" t="str">
        <f t="shared" si="1"/>
        <v>38185478</v>
      </c>
      <c r="F62" s="8">
        <f>IF($A62=""," ",IF(_xlfn.MINIFS(tblDados[[Data do recebimento do e-mail]:[Data do recebimento do e-mail]],tblDados[[Razão Social]:[Razão Social]],$A62)=0,"NÃO APARECEU AINDA",_xlfn.MINIFS(tblDados[[Data do recebimento do e-mail]:[Data do recebimento do e-mail]],tblDados[[Razão Social]:[Razão Social]],$A62)))</f>
        <v>45686</v>
      </c>
      <c r="G62" s="8">
        <f>IF($A62=""," ",IF(_xlfn.MAXIFS(tblDados[[Data do recebimento do e-mail]:[Data do recebimento do e-mail]],tblDados[[Razão Social]:[Razão Social]],$A62)=0,"NÃO APARECEU AINDA",_xlfn.MAXIFS(tblDados[[Data do recebimento do e-mail]:[Data do recebimento do e-mail]],tblDados[[Razão Social]:[Razão Social]],$A62)))</f>
        <v>45904</v>
      </c>
    </row>
    <row r="63" spans="1:7" hidden="1" x14ac:dyDescent="0.25">
      <c r="A63" t="s">
        <v>193</v>
      </c>
      <c r="B63" t="s">
        <v>7</v>
      </c>
      <c r="C63" t="str">
        <f>IFERROR(_xlfn.XLOOKUP(A63,'E-Mail BD'!B:B,'E-Mail BD'!A:A),"-")</f>
        <v>028.556.973/0001-20</v>
      </c>
      <c r="D63" s="2" t="str">
        <f t="shared" si="0"/>
        <v>28556973000120</v>
      </c>
      <c r="E63" s="2" t="str">
        <f t="shared" si="1"/>
        <v>28556973</v>
      </c>
      <c r="F63" s="8">
        <f>IF($A63=""," ",IF(_xlfn.MINIFS(tblDados[[Data do recebimento do e-mail]:[Data do recebimento do e-mail]],tblDados[[Razão Social]:[Razão Social]],$A63)=0,"NÃO APARECEU AINDA",_xlfn.MINIFS(tblDados[[Data do recebimento do e-mail]:[Data do recebimento do e-mail]],tblDados[[Razão Social]:[Razão Social]],$A63)))</f>
        <v>45647</v>
      </c>
      <c r="G63" s="8">
        <f>IF($A63=""," ",IF(_xlfn.MAXIFS(tblDados[[Data do recebimento do e-mail]:[Data do recebimento do e-mail]],tblDados[[Razão Social]:[Razão Social]],$A63)=0,"NÃO APARECEU AINDA",_xlfn.MAXIFS(tblDados[[Data do recebimento do e-mail]:[Data do recebimento do e-mail]],tblDados[[Razão Social]:[Razão Social]],$A63)))</f>
        <v>46003</v>
      </c>
    </row>
    <row r="64" spans="1:7" hidden="1" x14ac:dyDescent="0.25">
      <c r="A64" t="s">
        <v>253</v>
      </c>
      <c r="B64" t="s">
        <v>18</v>
      </c>
      <c r="C64" t="str">
        <f>IFERROR(_xlfn.XLOOKUP(A64,'E-Mail BD'!B:B,'E-Mail BD'!A:A),"-")</f>
        <v>018.709.981/0001-06</v>
      </c>
      <c r="D64" s="2" t="str">
        <f t="shared" si="0"/>
        <v>18709981000106</v>
      </c>
      <c r="E64" s="2" t="str">
        <f t="shared" si="1"/>
        <v>18709981</v>
      </c>
      <c r="F64" s="8">
        <f>IF($A64=""," ",IF(_xlfn.MINIFS(tblDados[[Data do recebimento do e-mail]:[Data do recebimento do e-mail]],tblDados[[Razão Social]:[Razão Social]],$A64)=0,"NÃO APARECEU AINDA",_xlfn.MINIFS(tblDados[[Data do recebimento do e-mail]:[Data do recebimento do e-mail]],tblDados[[Razão Social]:[Razão Social]],$A64)))</f>
        <v>45754</v>
      </c>
      <c r="G64" s="8">
        <f>IF($A64=""," ",IF(_xlfn.MAXIFS(tblDados[[Data do recebimento do e-mail]:[Data do recebimento do e-mail]],tblDados[[Razão Social]:[Razão Social]],$A64)=0,"NÃO APARECEU AINDA",_xlfn.MAXIFS(tblDados[[Data do recebimento do e-mail]:[Data do recebimento do e-mail]],tblDados[[Razão Social]:[Razão Social]],$A64)))</f>
        <v>45765</v>
      </c>
    </row>
    <row r="65" spans="1:7" hidden="1" x14ac:dyDescent="0.25">
      <c r="A65" t="s">
        <v>219</v>
      </c>
      <c r="B65" t="s">
        <v>11</v>
      </c>
      <c r="C65" t="str">
        <f>IFERROR(_xlfn.XLOOKUP(A65,'E-Mail BD'!B:B,'E-Mail BD'!A:A),"-")</f>
        <v>030.272.056/0001-66</v>
      </c>
      <c r="D65" s="2" t="str">
        <f t="shared" si="0"/>
        <v>30272056000166</v>
      </c>
      <c r="E65" s="2" t="str">
        <f t="shared" si="1"/>
        <v>30272056</v>
      </c>
      <c r="F65" s="8">
        <f>IF($A65=""," ",IF(_xlfn.MINIFS(tblDados[[Data do recebimento do e-mail]:[Data do recebimento do e-mail]],tblDados[[Razão Social]:[Razão Social]],$A65)=0,"NÃO APARECEU AINDA",_xlfn.MINIFS(tblDados[[Data do recebimento do e-mail]:[Data do recebimento do e-mail]],tblDados[[Razão Social]:[Razão Social]],$A65)))</f>
        <v>45685</v>
      </c>
      <c r="G65" s="8">
        <f>IF($A65=""," ",IF(_xlfn.MAXIFS(tblDados[[Data do recebimento do e-mail]:[Data do recebimento do e-mail]],tblDados[[Razão Social]:[Razão Social]],$A65)=0,"NÃO APARECEU AINDA",_xlfn.MAXIFS(tblDados[[Data do recebimento do e-mail]:[Data do recebimento do e-mail]],tblDados[[Razão Social]:[Razão Social]],$A65)))</f>
        <v>45685</v>
      </c>
    </row>
    <row r="66" spans="1:7" hidden="1" x14ac:dyDescent="0.25">
      <c r="A66" t="s">
        <v>99</v>
      </c>
      <c r="B66" t="s">
        <v>4</v>
      </c>
      <c r="C66" t="str">
        <f>IFERROR(_xlfn.XLOOKUP(A66,'E-Mail BD'!B:B,'E-Mail BD'!A:A),"-")</f>
        <v>034.964.228/0001-13</v>
      </c>
      <c r="D66" s="2" t="str">
        <f t="shared" ref="D66:D129" si="2">IF(RIGHT(SUBSTITUTE(SUBSTITUTE(SUBSTITUTE(C66,".",""),"/",""),"-",""),14)="","-",RIGHT(SUBSTITUTE(SUBSTITUTE(SUBSTITUTE(C66,".",""),"/",""),"-",""),14))</f>
        <v>34964228000113</v>
      </c>
      <c r="E66" s="2" t="str">
        <f t="shared" si="1"/>
        <v>34964228</v>
      </c>
      <c r="F66" s="8">
        <f>IF($A66=""," ",IF(_xlfn.MINIFS(tblDados[[Data do recebimento do e-mail]:[Data do recebimento do e-mail]],tblDados[[Razão Social]:[Razão Social]],$A66)=0,"NÃO APARECEU AINDA",_xlfn.MINIFS(tblDados[[Data do recebimento do e-mail]:[Data do recebimento do e-mail]],tblDados[[Razão Social]:[Razão Social]],$A66)))</f>
        <v>45539</v>
      </c>
      <c r="G66" s="8">
        <f>IF($A66=""," ",IF(_xlfn.MAXIFS(tblDados[[Data do recebimento do e-mail]:[Data do recebimento do e-mail]],tblDados[[Razão Social]:[Razão Social]],$A66)=0,"NÃO APARECEU AINDA",_xlfn.MAXIFS(tblDados[[Data do recebimento do e-mail]:[Data do recebimento do e-mail]],tblDados[[Razão Social]:[Razão Social]],$A66)))</f>
        <v>45562</v>
      </c>
    </row>
    <row r="67" spans="1:7" hidden="1" x14ac:dyDescent="0.25">
      <c r="A67" t="s">
        <v>61</v>
      </c>
      <c r="B67" t="s">
        <v>13</v>
      </c>
      <c r="C67" t="str">
        <f>IFERROR(_xlfn.XLOOKUP(A67,'E-Mail BD'!B:B,'E-Mail BD'!A:A),"-")</f>
        <v>025.825.654/0001-85</v>
      </c>
      <c r="D67" s="2" t="str">
        <f t="shared" si="2"/>
        <v>25825654000185</v>
      </c>
      <c r="E67" s="2" t="str">
        <f t="shared" ref="E67:E130" si="3">LEFT($D67,8)</f>
        <v>25825654</v>
      </c>
      <c r="F67" s="8">
        <f>IF($A67=""," ",IF(_xlfn.MINIFS(tblDados[[Data do recebimento do e-mail]:[Data do recebimento do e-mail]],tblDados[[Razão Social]:[Razão Social]],$A67)=0,"NÃO APARECEU AINDA",_xlfn.MINIFS(tblDados[[Data do recebimento do e-mail]:[Data do recebimento do e-mail]],tblDados[[Razão Social]:[Razão Social]],$A67)))</f>
        <v>45537</v>
      </c>
      <c r="G67" s="8">
        <f>IF($A67=""," ",IF(_xlfn.MAXIFS(tblDados[[Data do recebimento do e-mail]:[Data do recebimento do e-mail]],tblDados[[Razão Social]:[Razão Social]],$A67)=0,"NÃO APARECEU AINDA",_xlfn.MAXIFS(tblDados[[Data do recebimento do e-mail]:[Data do recebimento do e-mail]],tblDados[[Razão Social]:[Razão Social]],$A67)))</f>
        <v>45819</v>
      </c>
    </row>
    <row r="68" spans="1:7" hidden="1" x14ac:dyDescent="0.25">
      <c r="A68" t="s">
        <v>205</v>
      </c>
      <c r="B68" t="s">
        <v>13</v>
      </c>
      <c r="C68" t="str">
        <f>IFERROR(_xlfn.XLOOKUP(A68,'E-Mail BD'!B:B,'E-Mail BD'!A:A),"-")</f>
        <v>018.608.055/0001-44</v>
      </c>
      <c r="D68" s="2" t="str">
        <f t="shared" si="2"/>
        <v>18608055000144</v>
      </c>
      <c r="E68" s="2" t="str">
        <f t="shared" si="3"/>
        <v>18608055</v>
      </c>
      <c r="F68" s="8">
        <f>IF($A68=""," ",IF(_xlfn.MINIFS(tblDados[[Data do recebimento do e-mail]:[Data do recebimento do e-mail]],tblDados[[Razão Social]:[Razão Social]],$A68)=0,"NÃO APARECEU AINDA",_xlfn.MINIFS(tblDados[[Data do recebimento do e-mail]:[Data do recebimento do e-mail]],tblDados[[Razão Social]:[Razão Social]],$A68)))</f>
        <v>45678</v>
      </c>
      <c r="G68" s="8">
        <f>IF($A68=""," ",IF(_xlfn.MAXIFS(tblDados[[Data do recebimento do e-mail]:[Data do recebimento do e-mail]],tblDados[[Razão Social]:[Razão Social]],$A68)=0,"NÃO APARECEU AINDA",_xlfn.MAXIFS(tblDados[[Data do recebimento do e-mail]:[Data do recebimento do e-mail]],tblDados[[Razão Social]:[Razão Social]],$A68)))</f>
        <v>45995</v>
      </c>
    </row>
    <row r="69" spans="1:7" hidden="1" x14ac:dyDescent="0.25">
      <c r="A69" t="s">
        <v>277</v>
      </c>
      <c r="B69" t="s">
        <v>25</v>
      </c>
      <c r="C69" t="str">
        <f>IFERROR(_xlfn.XLOOKUP(A69,'E-Mail BD'!B:B,'E-Mail BD'!A:A),"-")</f>
        <v>032.552.159/0001-05</v>
      </c>
      <c r="D69" s="2" t="str">
        <f t="shared" si="2"/>
        <v>32552159000105</v>
      </c>
      <c r="E69" s="2" t="str">
        <f t="shared" si="3"/>
        <v>32552159</v>
      </c>
      <c r="F69" s="8">
        <f>IF($A69=""," ",IF(_xlfn.MINIFS(tblDados[[Data do recebimento do e-mail]:[Data do recebimento do e-mail]],tblDados[[Razão Social]:[Razão Social]],$A69)=0,"NÃO APARECEU AINDA",_xlfn.MINIFS(tblDados[[Data do recebimento do e-mail]:[Data do recebimento do e-mail]],tblDados[[Razão Social]:[Razão Social]],$A69)))</f>
        <v>45790</v>
      </c>
      <c r="G69" s="8">
        <f>IF($A69=""," ",IF(_xlfn.MAXIFS(tblDados[[Data do recebimento do e-mail]:[Data do recebimento do e-mail]],tblDados[[Razão Social]:[Razão Social]],$A69)=0,"NÃO APARECEU AINDA",_xlfn.MAXIFS(tblDados[[Data do recebimento do e-mail]:[Data do recebimento do e-mail]],tblDados[[Razão Social]:[Razão Social]],$A69)))</f>
        <v>45933</v>
      </c>
    </row>
    <row r="70" spans="1:7" hidden="1" x14ac:dyDescent="0.25">
      <c r="A70" t="s">
        <v>275</v>
      </c>
      <c r="B70" t="s">
        <v>25</v>
      </c>
      <c r="C70" t="str">
        <f>IFERROR(_xlfn.XLOOKUP(A70,'E-Mail BD'!B:B,'E-Mail BD'!A:A),"-")</f>
        <v>020.242.216/0001-70</v>
      </c>
      <c r="D70" s="2" t="str">
        <f t="shared" si="2"/>
        <v>20242216000170</v>
      </c>
      <c r="E70" s="2" t="str">
        <f t="shared" si="3"/>
        <v>20242216</v>
      </c>
      <c r="F70" s="8">
        <f>IF($A70=""," ",IF(_xlfn.MINIFS(tblDados[[Data do recebimento do e-mail]:[Data do recebimento do e-mail]],tblDados[[Razão Social]:[Razão Social]],$A70)=0,"NÃO APARECEU AINDA",_xlfn.MINIFS(tblDados[[Data do recebimento do e-mail]:[Data do recebimento do e-mail]],tblDados[[Razão Social]:[Razão Social]],$A70)))</f>
        <v>45787</v>
      </c>
      <c r="G70" s="8">
        <f>IF($A70=""," ",IF(_xlfn.MAXIFS(tblDados[[Data do recebimento do e-mail]:[Data do recebimento do e-mail]],tblDados[[Razão Social]:[Razão Social]],$A70)=0,"NÃO APARECEU AINDA",_xlfn.MAXIFS(tblDados[[Data do recebimento do e-mail]:[Data do recebimento do e-mail]],tblDados[[Razão Social]:[Razão Social]],$A70)))</f>
        <v>45813</v>
      </c>
    </row>
    <row r="71" spans="1:7" hidden="1" x14ac:dyDescent="0.25">
      <c r="A71" t="s">
        <v>293</v>
      </c>
      <c r="B71" t="s">
        <v>27</v>
      </c>
      <c r="C71" t="str">
        <f>IFERROR(_xlfn.XLOOKUP(A71,'E-Mail BD'!B:B,'E-Mail BD'!A:A),"-")</f>
        <v>005.281.194/0001-64</v>
      </c>
      <c r="D71" s="2" t="str">
        <f t="shared" si="2"/>
        <v>05281194000164</v>
      </c>
      <c r="E71" s="2" t="str">
        <f t="shared" si="3"/>
        <v>05281194</v>
      </c>
      <c r="F71" s="8">
        <f>IF($A71=""," ",IF(_xlfn.MINIFS(tblDados[[Data do recebimento do e-mail]:[Data do recebimento do e-mail]],tblDados[[Razão Social]:[Razão Social]],$A71)=0,"NÃO APARECEU AINDA",_xlfn.MINIFS(tblDados[[Data do recebimento do e-mail]:[Data do recebimento do e-mail]],tblDados[[Razão Social]:[Razão Social]],$A71)))</f>
        <v>45799</v>
      </c>
      <c r="G71" s="8">
        <f>IF($A71=""," ",IF(_xlfn.MAXIFS(tblDados[[Data do recebimento do e-mail]:[Data do recebimento do e-mail]],tblDados[[Razão Social]:[Razão Social]],$A71)=0,"NÃO APARECEU AINDA",_xlfn.MAXIFS(tblDados[[Data do recebimento do e-mail]:[Data do recebimento do e-mail]],tblDados[[Razão Social]:[Razão Social]],$A71)))</f>
        <v>45967</v>
      </c>
    </row>
    <row r="72" spans="1:7" hidden="1" x14ac:dyDescent="0.25">
      <c r="A72" t="s">
        <v>537</v>
      </c>
      <c r="B72" t="s">
        <v>619</v>
      </c>
      <c r="C72" t="str">
        <f>IFERROR(_xlfn.XLOOKUP(A72,'E-Mail BD'!B:B,'E-Mail BD'!A:A),"-")</f>
        <v>031.743.464/0001-11</v>
      </c>
      <c r="D72" s="2" t="str">
        <f t="shared" si="2"/>
        <v>31743464000111</v>
      </c>
      <c r="E72" s="2" t="str">
        <f t="shared" si="3"/>
        <v>31743464</v>
      </c>
      <c r="F72" s="8">
        <f>IF($A72=""," ",IF(_xlfn.MINIFS(tblDados[[Data do recebimento do e-mail]:[Data do recebimento do e-mail]],tblDados[[Razão Social]:[Razão Social]],$A72)=0,"NÃO APARECEU AINDA",_xlfn.MINIFS(tblDados[[Data do recebimento do e-mail]:[Data do recebimento do e-mail]],tblDados[[Razão Social]:[Razão Social]],$A72)))</f>
        <v>45836</v>
      </c>
      <c r="G72" s="8">
        <f>IF($A72=""," ",IF(_xlfn.MAXIFS(tblDados[[Data do recebimento do e-mail]:[Data do recebimento do e-mail]],tblDados[[Razão Social]:[Razão Social]],$A72)=0,"NÃO APARECEU AINDA",_xlfn.MAXIFS(tblDados[[Data do recebimento do e-mail]:[Data do recebimento do e-mail]],tblDados[[Razão Social]:[Razão Social]],$A72)))</f>
        <v>45913</v>
      </c>
    </row>
    <row r="73" spans="1:7" hidden="1" x14ac:dyDescent="0.25">
      <c r="A73" t="s">
        <v>173</v>
      </c>
      <c r="B73" t="s">
        <v>15</v>
      </c>
      <c r="C73" t="str">
        <f>IFERROR(_xlfn.XLOOKUP(A73,'E-Mail BD'!B:B,'E-Mail BD'!A:A),"-")</f>
        <v>000.987.236/0001-63</v>
      </c>
      <c r="D73" s="2" t="str">
        <f t="shared" si="2"/>
        <v>00987236000163</v>
      </c>
      <c r="E73" s="2" t="str">
        <f t="shared" si="3"/>
        <v>00987236</v>
      </c>
      <c r="F73" s="8">
        <f>IF($A73=""," ",IF(_xlfn.MINIFS(tblDados[[Data do recebimento do e-mail]:[Data do recebimento do e-mail]],tblDados[[Razão Social]:[Razão Social]],$A73)=0,"NÃO APARECEU AINDA",_xlfn.MINIFS(tblDados[[Data do recebimento do e-mail]:[Data do recebimento do e-mail]],tblDados[[Razão Social]:[Razão Social]],$A73)))</f>
        <v>45586</v>
      </c>
      <c r="G73" s="8">
        <f>IF($A73=""," ",IF(_xlfn.MAXIFS(tblDados[[Data do recebimento do e-mail]:[Data do recebimento do e-mail]],tblDados[[Razão Social]:[Razão Social]],$A73)=0,"NÃO APARECEU AINDA",_xlfn.MAXIFS(tblDados[[Data do recebimento do e-mail]:[Data do recebimento do e-mail]],tblDados[[Razão Social]:[Razão Social]],$A73)))</f>
        <v>45685</v>
      </c>
    </row>
    <row r="74" spans="1:7" hidden="1" x14ac:dyDescent="0.25">
      <c r="A74" t="s">
        <v>579</v>
      </c>
      <c r="B74" t="s">
        <v>4</v>
      </c>
      <c r="C74" t="str">
        <f>IFERROR(_xlfn.XLOOKUP(A74,'E-Mail BD'!B:B,'E-Mail BD'!A:A),"-")</f>
        <v>-</v>
      </c>
      <c r="D74" s="2" t="str">
        <f t="shared" si="2"/>
        <v>-</v>
      </c>
      <c r="E74" s="2" t="str">
        <f t="shared" si="3"/>
        <v>-</v>
      </c>
      <c r="F74" s="8" t="str">
        <f>IF($A74=""," ",IF(_xlfn.MINIFS(tblDados[[Data do recebimento do e-mail]:[Data do recebimento do e-mail]],tblDados[[Razão Social]:[Razão Social]],$A74)=0,"NÃO APARECEU AINDA",_xlfn.MINIFS(tblDados[[Data do recebimento do e-mail]:[Data do recebimento do e-mail]],tblDados[[Razão Social]:[Razão Social]],$A74)))</f>
        <v>NÃO APARECEU AINDA</v>
      </c>
      <c r="G74" s="8" t="str">
        <f>IF($A74=""," ",IF(_xlfn.MAXIFS(tblDados[[Data do recebimento do e-mail]:[Data do recebimento do e-mail]],tblDados[[Razão Social]:[Razão Social]],$A74)=0,"NÃO APARECEU AINDA",_xlfn.MAXIFS(tblDados[[Data do recebimento do e-mail]:[Data do recebimento do e-mail]],tblDados[[Razão Social]:[Razão Social]],$A74)))</f>
        <v>NÃO APARECEU AINDA</v>
      </c>
    </row>
    <row r="75" spans="1:7" hidden="1" x14ac:dyDescent="0.25">
      <c r="A75" t="s">
        <v>263</v>
      </c>
      <c r="B75" t="s">
        <v>16</v>
      </c>
      <c r="C75" t="str">
        <f>IFERROR(_xlfn.XLOOKUP(A75,'E-Mail BD'!B:B,'E-Mail BD'!A:A),"-")</f>
        <v>006.236.494/0001-94</v>
      </c>
      <c r="D75" s="2" t="str">
        <f t="shared" si="2"/>
        <v>06236494000194</v>
      </c>
      <c r="E75" s="2" t="str">
        <f t="shared" si="3"/>
        <v>06236494</v>
      </c>
      <c r="F75" s="8">
        <f>IF($A75=""," ",IF(_xlfn.MINIFS(tblDados[[Data do recebimento do e-mail]:[Data do recebimento do e-mail]],tblDados[[Razão Social]:[Razão Social]],$A75)=0,"NÃO APARECEU AINDA",_xlfn.MINIFS(tblDados[[Data do recebimento do e-mail]:[Data do recebimento do e-mail]],tblDados[[Razão Social]:[Razão Social]],$A75)))</f>
        <v>45772</v>
      </c>
      <c r="G75" s="8">
        <f>IF($A75=""," ",IF(_xlfn.MAXIFS(tblDados[[Data do recebimento do e-mail]:[Data do recebimento do e-mail]],tblDados[[Razão Social]:[Razão Social]],$A75)=0,"NÃO APARECEU AINDA",_xlfn.MAXIFS(tblDados[[Data do recebimento do e-mail]:[Data do recebimento do e-mail]],tblDados[[Razão Social]:[Razão Social]],$A75)))</f>
        <v>45891</v>
      </c>
    </row>
    <row r="76" spans="1:7" hidden="1" x14ac:dyDescent="0.25">
      <c r="A76" t="s">
        <v>136</v>
      </c>
      <c r="B76" t="s">
        <v>16</v>
      </c>
      <c r="C76" t="str">
        <f>IFERROR(_xlfn.XLOOKUP(A76,'E-Mail BD'!B:B,'E-Mail BD'!A:A),"-")</f>
        <v>006.236.494/0001-94</v>
      </c>
      <c r="D76" s="2" t="str">
        <f t="shared" si="2"/>
        <v>06236494000194</v>
      </c>
      <c r="E76" s="2" t="str">
        <f t="shared" si="3"/>
        <v>06236494</v>
      </c>
      <c r="F76" s="8">
        <f>IF($A76=""," ",IF(_xlfn.MINIFS(tblDados[[Data do recebimento do e-mail]:[Data do recebimento do e-mail]],tblDados[[Razão Social]:[Razão Social]],$A76)=0,"NÃO APARECEU AINDA",_xlfn.MINIFS(tblDados[[Data do recebimento do e-mail]:[Data do recebimento do e-mail]],tblDados[[Razão Social]:[Razão Social]],$A76)))</f>
        <v>45553</v>
      </c>
      <c r="G76" s="8">
        <f>IF($A76=""," ",IF(_xlfn.MAXIFS(tblDados[[Data do recebimento do e-mail]:[Data do recebimento do e-mail]],tblDados[[Razão Social]:[Razão Social]],$A76)=0,"NÃO APARECEU AINDA",_xlfn.MAXIFS(tblDados[[Data do recebimento do e-mail]:[Data do recebimento do e-mail]],tblDados[[Razão Social]:[Razão Social]],$A76)))</f>
        <v>45764</v>
      </c>
    </row>
    <row r="77" spans="1:7" hidden="1" x14ac:dyDescent="0.25">
      <c r="A77" t="s">
        <v>262</v>
      </c>
      <c r="B77" t="s">
        <v>23</v>
      </c>
      <c r="C77" t="str">
        <f>IFERROR(_xlfn.XLOOKUP(A77,'E-Mail BD'!B:B,'E-Mail BD'!A:A),"-")</f>
        <v>001.376.967/0001-35</v>
      </c>
      <c r="D77" s="2" t="str">
        <f t="shared" si="2"/>
        <v>01376967000135</v>
      </c>
      <c r="E77" s="2" t="str">
        <f t="shared" si="3"/>
        <v>01376967</v>
      </c>
      <c r="F77" s="8">
        <f>IF($A77=""," ",IF(_xlfn.MINIFS(tblDados[[Data do recebimento do e-mail]:[Data do recebimento do e-mail]],tblDados[[Razão Social]:[Razão Social]],$A77)=0,"NÃO APARECEU AINDA",_xlfn.MINIFS(tblDados[[Data do recebimento do e-mail]:[Data do recebimento do e-mail]],tblDados[[Razão Social]:[Razão Social]],$A77)))</f>
        <v>45770</v>
      </c>
      <c r="G77" s="8">
        <f>IF($A77=""," ",IF(_xlfn.MAXIFS(tblDados[[Data do recebimento do e-mail]:[Data do recebimento do e-mail]],tblDados[[Razão Social]:[Razão Social]],$A77)=0,"NÃO APARECEU AINDA",_xlfn.MAXIFS(tblDados[[Data do recebimento do e-mail]:[Data do recebimento do e-mail]],tblDados[[Razão Social]:[Razão Social]],$A77)))</f>
        <v>45961</v>
      </c>
    </row>
    <row r="78" spans="1:7" hidden="1" x14ac:dyDescent="0.25">
      <c r="A78" t="s">
        <v>92</v>
      </c>
      <c r="B78" t="s">
        <v>18</v>
      </c>
      <c r="C78" t="str">
        <f>IFERROR(_xlfn.XLOOKUP(A78,'E-Mail BD'!B:B,'E-Mail BD'!A:A),"-")</f>
        <v>024.083.281/0001-51</v>
      </c>
      <c r="D78" s="2" t="str">
        <f t="shared" si="2"/>
        <v>24083281000151</v>
      </c>
      <c r="E78" s="2" t="str">
        <f t="shared" si="3"/>
        <v>24083281</v>
      </c>
      <c r="F78" s="8">
        <f>IF($A78=""," ",IF(_xlfn.MINIFS(tblDados[[Data do recebimento do e-mail]:[Data do recebimento do e-mail]],tblDados[[Razão Social]:[Razão Social]],$A78)=0,"NÃO APARECEU AINDA",_xlfn.MINIFS(tblDados[[Data do recebimento do e-mail]:[Data do recebimento do e-mail]],tblDados[[Razão Social]:[Razão Social]],$A78)))</f>
        <v>45537</v>
      </c>
      <c r="G78" s="8">
        <f>IF($A78=""," ",IF(_xlfn.MAXIFS(tblDados[[Data do recebimento do e-mail]:[Data do recebimento do e-mail]],tblDados[[Razão Social]:[Razão Social]],$A78)=0,"NÃO APARECEU AINDA",_xlfn.MAXIFS(tblDados[[Data do recebimento do e-mail]:[Data do recebimento do e-mail]],tblDados[[Razão Social]:[Razão Social]],$A78)))</f>
        <v>45544</v>
      </c>
    </row>
    <row r="79" spans="1:7" hidden="1" x14ac:dyDescent="0.25">
      <c r="A79" t="s">
        <v>114</v>
      </c>
      <c r="B79" t="s">
        <v>16</v>
      </c>
      <c r="C79" t="str">
        <f>IFERROR(_xlfn.XLOOKUP(A79,'E-Mail BD'!B:B,'E-Mail BD'!A:A),"-")</f>
        <v>037.828.375/0001-54</v>
      </c>
      <c r="D79" s="2" t="str">
        <f t="shared" si="2"/>
        <v>37828375000154</v>
      </c>
      <c r="E79" s="2" t="str">
        <f t="shared" si="3"/>
        <v>37828375</v>
      </c>
      <c r="F79" s="8">
        <f>IF($A79=""," ",IF(_xlfn.MINIFS(tblDados[[Data do recebimento do e-mail]:[Data do recebimento do e-mail]],tblDados[[Razão Social]:[Razão Social]],$A79)=0,"NÃO APARECEU AINDA",_xlfn.MINIFS(tblDados[[Data do recebimento do e-mail]:[Data do recebimento do e-mail]],tblDados[[Razão Social]:[Razão Social]],$A79)))</f>
        <v>45544</v>
      </c>
      <c r="G79" s="8">
        <f>IF($A79=""," ",IF(_xlfn.MAXIFS(tblDados[[Data do recebimento do e-mail]:[Data do recebimento do e-mail]],tblDados[[Razão Social]:[Razão Social]],$A79)=0,"NÃO APARECEU AINDA",_xlfn.MAXIFS(tblDados[[Data do recebimento do e-mail]:[Data do recebimento do e-mail]],tblDados[[Razão Social]:[Razão Social]],$A79)))</f>
        <v>46000</v>
      </c>
    </row>
    <row r="80" spans="1:7" hidden="1" x14ac:dyDescent="0.25">
      <c r="A80" t="s">
        <v>209</v>
      </c>
      <c r="B80" t="s">
        <v>17</v>
      </c>
      <c r="C80" t="str">
        <f>IFERROR(_xlfn.XLOOKUP(A80,'E-Mail BD'!B:B,'E-Mail BD'!A:A),"-")</f>
        <v>049.847.331/0001-50</v>
      </c>
      <c r="D80" s="2" t="str">
        <f t="shared" si="2"/>
        <v>49847331000150</v>
      </c>
      <c r="E80" s="2" t="str">
        <f t="shared" si="3"/>
        <v>49847331</v>
      </c>
      <c r="F80" s="8">
        <f>IF($A80=""," ",IF(_xlfn.MINIFS(tblDados[[Data do recebimento do e-mail]:[Data do recebimento do e-mail]],tblDados[[Razão Social]:[Razão Social]],$A80)=0,"NÃO APARECEU AINDA",_xlfn.MINIFS(tblDados[[Data do recebimento do e-mail]:[Data do recebimento do e-mail]],tblDados[[Razão Social]:[Razão Social]],$A80)))</f>
        <v>45679</v>
      </c>
      <c r="G80" s="8">
        <f>IF($A80=""," ",IF(_xlfn.MAXIFS(tblDados[[Data do recebimento do e-mail]:[Data do recebimento do e-mail]],tblDados[[Razão Social]:[Razão Social]],$A80)=0,"NÃO APARECEU AINDA",_xlfn.MAXIFS(tblDados[[Data do recebimento do e-mail]:[Data do recebimento do e-mail]],tblDados[[Razão Social]:[Razão Social]],$A80)))</f>
        <v>45697</v>
      </c>
    </row>
    <row r="81" spans="1:7" hidden="1" x14ac:dyDescent="0.25">
      <c r="A81" t="s">
        <v>563</v>
      </c>
      <c r="B81" t="s">
        <v>7</v>
      </c>
      <c r="C81" t="str">
        <f>IFERROR(_xlfn.XLOOKUP(A81,'E-Mail BD'!B:B,'E-Mail BD'!A:A),"-")</f>
        <v>-</v>
      </c>
      <c r="D81" s="2" t="str">
        <f t="shared" si="2"/>
        <v>-</v>
      </c>
      <c r="E81" s="2" t="str">
        <f t="shared" si="3"/>
        <v>-</v>
      </c>
      <c r="F81" s="8" t="str">
        <f>IF($A81=""," ",IF(_xlfn.MINIFS(tblDados[[Data do recebimento do e-mail]:[Data do recebimento do e-mail]],tblDados[[Razão Social]:[Razão Social]],$A81)=0,"NÃO APARECEU AINDA",_xlfn.MINIFS(tblDados[[Data do recebimento do e-mail]:[Data do recebimento do e-mail]],tblDados[[Razão Social]:[Razão Social]],$A81)))</f>
        <v>NÃO APARECEU AINDA</v>
      </c>
      <c r="G81" s="8" t="str">
        <f>IF($A81=""," ",IF(_xlfn.MAXIFS(tblDados[[Data do recebimento do e-mail]:[Data do recebimento do e-mail]],tblDados[[Razão Social]:[Razão Social]],$A81)=0,"NÃO APARECEU AINDA",_xlfn.MAXIFS(tblDados[[Data do recebimento do e-mail]:[Data do recebimento do e-mail]],tblDados[[Razão Social]:[Razão Social]],$A81)))</f>
        <v>NÃO APARECEU AINDA</v>
      </c>
    </row>
    <row r="82" spans="1:7" hidden="1" x14ac:dyDescent="0.25">
      <c r="A82" t="s">
        <v>100</v>
      </c>
      <c r="B82" t="s">
        <v>4</v>
      </c>
      <c r="C82" t="str">
        <f>IFERROR(_xlfn.XLOOKUP(A82,'E-Mail BD'!B:B,'E-Mail BD'!A:A),"-")</f>
        <v>022.998.836/0001-60</v>
      </c>
      <c r="D82" s="2" t="str">
        <f t="shared" si="2"/>
        <v>22998836000160</v>
      </c>
      <c r="E82" s="2" t="str">
        <f t="shared" si="3"/>
        <v>22998836</v>
      </c>
      <c r="F82" s="8">
        <f>IF($A82=""," ",IF(_xlfn.MINIFS(tblDados[[Data do recebimento do e-mail]:[Data do recebimento do e-mail]],tblDados[[Razão Social]:[Razão Social]],$A82)=0,"NÃO APARECEU AINDA",_xlfn.MINIFS(tblDados[[Data do recebimento do e-mail]:[Data do recebimento do e-mail]],tblDados[[Razão Social]:[Razão Social]],$A82)))</f>
        <v>45539</v>
      </c>
      <c r="G82" s="8">
        <f>IF($A82=""," ",IF(_xlfn.MAXIFS(tblDados[[Data do recebimento do e-mail]:[Data do recebimento do e-mail]],tblDados[[Razão Social]:[Razão Social]],$A82)=0,"NÃO APARECEU AINDA",_xlfn.MAXIFS(tblDados[[Data do recebimento do e-mail]:[Data do recebimento do e-mail]],tblDados[[Razão Social]:[Razão Social]],$A82)))</f>
        <v>46000</v>
      </c>
    </row>
    <row r="83" spans="1:7" hidden="1" x14ac:dyDescent="0.25">
      <c r="A83" t="s">
        <v>568</v>
      </c>
      <c r="B83" t="s">
        <v>24</v>
      </c>
      <c r="C83" t="str">
        <f>IFERROR(_xlfn.XLOOKUP(A83,'E-Mail BD'!B:B,'E-Mail BD'!A:A),"-")</f>
        <v>-</v>
      </c>
      <c r="D83" s="2" t="str">
        <f t="shared" si="2"/>
        <v>-</v>
      </c>
      <c r="E83" s="2" t="str">
        <f t="shared" si="3"/>
        <v>-</v>
      </c>
      <c r="F83" s="8" t="str">
        <f>IF($A83=""," ",IF(_xlfn.MINIFS(tblDados[[Data do recebimento do e-mail]:[Data do recebimento do e-mail]],tblDados[[Razão Social]:[Razão Social]],$A83)=0,"NÃO APARECEU AINDA",_xlfn.MINIFS(tblDados[[Data do recebimento do e-mail]:[Data do recebimento do e-mail]],tblDados[[Razão Social]:[Razão Social]],$A83)))</f>
        <v>NÃO APARECEU AINDA</v>
      </c>
      <c r="G83" s="8" t="str">
        <f>IF($A83=""," ",IF(_xlfn.MAXIFS(tblDados[[Data do recebimento do e-mail]:[Data do recebimento do e-mail]],tblDados[[Razão Social]:[Razão Social]],$A83)=0,"NÃO APARECEU AINDA",_xlfn.MAXIFS(tblDados[[Data do recebimento do e-mail]:[Data do recebimento do e-mail]],tblDados[[Razão Social]:[Razão Social]],$A83)))</f>
        <v>NÃO APARECEU AINDA</v>
      </c>
    </row>
    <row r="84" spans="1:7" hidden="1" x14ac:dyDescent="0.25">
      <c r="A84" t="s">
        <v>617</v>
      </c>
      <c r="B84" t="s">
        <v>17</v>
      </c>
      <c r="C84" t="str">
        <f>IFERROR(_xlfn.XLOOKUP(A84,'E-Mail BD'!B:B,'E-Mail BD'!A:A),"-")</f>
        <v>035.797.639/0001-24</v>
      </c>
      <c r="D84" s="2" t="str">
        <f t="shared" si="2"/>
        <v>35797639000124</v>
      </c>
      <c r="E84" s="2" t="str">
        <f t="shared" si="3"/>
        <v>35797639</v>
      </c>
      <c r="F84" s="8">
        <f>IF($A84=""," ",IF(_xlfn.MINIFS(tblDados[[Data do recebimento do e-mail]:[Data do recebimento do e-mail]],tblDados[[Razão Social]:[Razão Social]],$A84)=0,"NÃO APARECEU AINDA",_xlfn.MINIFS(tblDados[[Data do recebimento do e-mail]:[Data do recebimento do e-mail]],tblDados[[Razão Social]:[Razão Social]],$A84)))</f>
        <v>45833</v>
      </c>
      <c r="G84" s="8">
        <f>IF($A84=""," ",IF(_xlfn.MAXIFS(tblDados[[Data do recebimento do e-mail]:[Data do recebimento do e-mail]],tblDados[[Razão Social]:[Razão Social]],$A84)=0,"NÃO APARECEU AINDA",_xlfn.MAXIFS(tblDados[[Data do recebimento do e-mail]:[Data do recebimento do e-mail]],tblDados[[Razão Social]:[Razão Social]],$A84)))</f>
        <v>45980</v>
      </c>
    </row>
    <row r="85" spans="1:7" hidden="1" x14ac:dyDescent="0.25">
      <c r="A85" t="s">
        <v>167</v>
      </c>
      <c r="B85" t="s">
        <v>16</v>
      </c>
      <c r="C85" t="str">
        <f>IFERROR(_xlfn.XLOOKUP(A85,'E-Mail BD'!B:B,'E-Mail BD'!A:A),"-")</f>
        <v>016.956.677/0001-38</v>
      </c>
      <c r="D85" s="2" t="str">
        <f t="shared" si="2"/>
        <v>16956677000138</v>
      </c>
      <c r="E85" s="2" t="str">
        <f t="shared" si="3"/>
        <v>16956677</v>
      </c>
      <c r="F85" s="8">
        <f>IF($A85=""," ",IF(_xlfn.MINIFS(tblDados[[Data do recebimento do e-mail]:[Data do recebimento do e-mail]],tblDados[[Razão Social]:[Razão Social]],$A85)=0,"NÃO APARECEU AINDA",_xlfn.MINIFS(tblDados[[Data do recebimento do e-mail]:[Data do recebimento do e-mail]],tblDados[[Razão Social]:[Razão Social]],$A85)))</f>
        <v>45581</v>
      </c>
      <c r="G85" s="8">
        <f>IF($A85=""," ",IF(_xlfn.MAXIFS(tblDados[[Data do recebimento do e-mail]:[Data do recebimento do e-mail]],tblDados[[Razão Social]:[Razão Social]],$A85)=0,"NÃO APARECEU AINDA",_xlfn.MAXIFS(tblDados[[Data do recebimento do e-mail]:[Data do recebimento do e-mail]],tblDados[[Razão Social]:[Razão Social]],$A85)))</f>
        <v>45678</v>
      </c>
    </row>
    <row r="86" spans="1:7" hidden="1" x14ac:dyDescent="0.25">
      <c r="A86" t="s">
        <v>556</v>
      </c>
      <c r="B86" t="s">
        <v>7</v>
      </c>
      <c r="C86" t="str">
        <f>IFERROR(_xlfn.XLOOKUP(A86,'E-Mail BD'!B:B,'E-Mail BD'!A:A),"-")</f>
        <v>-</v>
      </c>
      <c r="D86" s="2" t="str">
        <f t="shared" si="2"/>
        <v>-</v>
      </c>
      <c r="E86" s="2" t="str">
        <f t="shared" si="3"/>
        <v>-</v>
      </c>
      <c r="F86" s="8" t="str">
        <f>IF($A86=""," ",IF(_xlfn.MINIFS(tblDados[[Data do recebimento do e-mail]:[Data do recebimento do e-mail]],tblDados[[Razão Social]:[Razão Social]],$A86)=0,"NÃO APARECEU AINDA",_xlfn.MINIFS(tblDados[[Data do recebimento do e-mail]:[Data do recebimento do e-mail]],tblDados[[Razão Social]:[Razão Social]],$A86)))</f>
        <v>NÃO APARECEU AINDA</v>
      </c>
      <c r="G86" s="8" t="str">
        <f>IF($A86=""," ",IF(_xlfn.MAXIFS(tblDados[[Data do recebimento do e-mail]:[Data do recebimento do e-mail]],tblDados[[Razão Social]:[Razão Social]],$A86)=0,"NÃO APARECEU AINDA",_xlfn.MAXIFS(tblDados[[Data do recebimento do e-mail]:[Data do recebimento do e-mail]],tblDados[[Razão Social]:[Razão Social]],$A86)))</f>
        <v>NÃO APARECEU AINDA</v>
      </c>
    </row>
    <row r="87" spans="1:7" hidden="1" x14ac:dyDescent="0.25">
      <c r="A87" t="s">
        <v>597</v>
      </c>
      <c r="B87" t="s">
        <v>27</v>
      </c>
      <c r="C87" t="str">
        <f>IFERROR(_xlfn.XLOOKUP(A87,'E-Mail BD'!B:B,'E-Mail BD'!A:A),"-")</f>
        <v>-</v>
      </c>
      <c r="D87" s="2" t="str">
        <f t="shared" si="2"/>
        <v>-</v>
      </c>
      <c r="E87" s="2" t="str">
        <f t="shared" si="3"/>
        <v>-</v>
      </c>
      <c r="F87" s="8" t="str">
        <f>IF($A87=""," ",IF(_xlfn.MINIFS(tblDados[[Data do recebimento do e-mail]:[Data do recebimento do e-mail]],tblDados[[Razão Social]:[Razão Social]],$A87)=0,"NÃO APARECEU AINDA",_xlfn.MINIFS(tblDados[[Data do recebimento do e-mail]:[Data do recebimento do e-mail]],tblDados[[Razão Social]:[Razão Social]],$A87)))</f>
        <v>NÃO APARECEU AINDA</v>
      </c>
      <c r="G87" s="8" t="str">
        <f>IF($A87=""," ",IF(_xlfn.MAXIFS(tblDados[[Data do recebimento do e-mail]:[Data do recebimento do e-mail]],tblDados[[Razão Social]:[Razão Social]],$A87)=0,"NÃO APARECEU AINDA",_xlfn.MAXIFS(tblDados[[Data do recebimento do e-mail]:[Data do recebimento do e-mail]],tblDados[[Razão Social]:[Razão Social]],$A87)))</f>
        <v>NÃO APARECEU AINDA</v>
      </c>
    </row>
    <row r="88" spans="1:7" hidden="1" x14ac:dyDescent="0.25">
      <c r="A88" t="s">
        <v>539</v>
      </c>
      <c r="B88" t="s">
        <v>620</v>
      </c>
      <c r="C88" t="str">
        <f>IFERROR(_xlfn.XLOOKUP(A88,'E-Mail BD'!B:B,'E-Mail BD'!A:A),"-")</f>
        <v>019.961.036/0001-60</v>
      </c>
      <c r="D88" s="2" t="str">
        <f t="shared" si="2"/>
        <v>19961036000160</v>
      </c>
      <c r="E88" s="2" t="str">
        <f t="shared" si="3"/>
        <v>19961036</v>
      </c>
      <c r="F88" s="8">
        <f>IF($A88=""," ",IF(_xlfn.MINIFS(tblDados[[Data do recebimento do e-mail]:[Data do recebimento do e-mail]],tblDados[[Razão Social]:[Razão Social]],$A88)=0,"NÃO APARECEU AINDA",_xlfn.MINIFS(tblDados[[Data do recebimento do e-mail]:[Data do recebimento do e-mail]],tblDados[[Razão Social]:[Razão Social]],$A88)))</f>
        <v>45853</v>
      </c>
      <c r="G88" s="8">
        <f>IF($A88=""," ",IF(_xlfn.MAXIFS(tblDados[[Data do recebimento do e-mail]:[Data do recebimento do e-mail]],tblDados[[Razão Social]:[Razão Social]],$A88)=0,"NÃO APARECEU AINDA",_xlfn.MAXIFS(tblDados[[Data do recebimento do e-mail]:[Data do recebimento do e-mail]],tblDados[[Razão Social]:[Razão Social]],$A88)))</f>
        <v>46001</v>
      </c>
    </row>
    <row r="89" spans="1:7" hidden="1" x14ac:dyDescent="0.25">
      <c r="A89" t="s">
        <v>135</v>
      </c>
      <c r="B89" t="s">
        <v>21</v>
      </c>
      <c r="C89" t="str">
        <f>IFERROR(_xlfn.XLOOKUP(A89,'E-Mail BD'!B:B,'E-Mail BD'!A:A),"-")</f>
        <v>018.581.853/0001-20</v>
      </c>
      <c r="D89" s="2" t="str">
        <f t="shared" si="2"/>
        <v>18581853000120</v>
      </c>
      <c r="E89" s="2" t="str">
        <f t="shared" si="3"/>
        <v>18581853</v>
      </c>
      <c r="F89" s="8">
        <f>IF($A89=""," ",IF(_xlfn.MINIFS(tblDados[[Data do recebimento do e-mail]:[Data do recebimento do e-mail]],tblDados[[Razão Social]:[Razão Social]],$A89)=0,"NÃO APARECEU AINDA",_xlfn.MINIFS(tblDados[[Data do recebimento do e-mail]:[Data do recebimento do e-mail]],tblDados[[Razão Social]:[Razão Social]],$A89)))</f>
        <v>45551</v>
      </c>
      <c r="G89" s="8">
        <f>IF($A89=""," ",IF(_xlfn.MAXIFS(tblDados[[Data do recebimento do e-mail]:[Data do recebimento do e-mail]],tblDados[[Razão Social]:[Razão Social]],$A89)=0,"NÃO APARECEU AINDA",_xlfn.MAXIFS(tblDados[[Data do recebimento do e-mail]:[Data do recebimento do e-mail]],tblDados[[Razão Social]:[Razão Social]],$A89)))</f>
        <v>45555</v>
      </c>
    </row>
    <row r="90" spans="1:7" hidden="1" x14ac:dyDescent="0.25">
      <c r="A90" t="s">
        <v>68</v>
      </c>
      <c r="B90" t="s">
        <v>21</v>
      </c>
      <c r="C90" t="str">
        <f>IFERROR(_xlfn.XLOOKUP(A90,'E-Mail BD'!B:B,'E-Mail BD'!A:A),"-")</f>
        <v>028.650.970/0001-51</v>
      </c>
      <c r="D90" s="2" t="str">
        <f t="shared" si="2"/>
        <v>28650970000151</v>
      </c>
      <c r="E90" s="2" t="str">
        <f t="shared" si="3"/>
        <v>28650970</v>
      </c>
      <c r="F90" s="8">
        <f>IF($A90=""," ",IF(_xlfn.MINIFS(tblDados[[Data do recebimento do e-mail]:[Data do recebimento do e-mail]],tblDados[[Razão Social]:[Razão Social]],$A90)=0,"NÃO APARECEU AINDA",_xlfn.MINIFS(tblDados[[Data do recebimento do e-mail]:[Data do recebimento do e-mail]],tblDados[[Razão Social]:[Razão Social]],$A90)))</f>
        <v>45737</v>
      </c>
      <c r="G90" s="8">
        <f>IF($A90=""," ",IF(_xlfn.MAXIFS(tblDados[[Data do recebimento do e-mail]:[Data do recebimento do e-mail]],tblDados[[Razão Social]:[Razão Social]],$A90)=0,"NÃO APARECEU AINDA",_xlfn.MAXIFS(tblDados[[Data do recebimento do e-mail]:[Data do recebimento do e-mail]],tblDados[[Razão Social]:[Razão Social]],$A90)))</f>
        <v>45937</v>
      </c>
    </row>
    <row r="91" spans="1:7" hidden="1" x14ac:dyDescent="0.25">
      <c r="A91" t="s">
        <v>545</v>
      </c>
      <c r="B91" t="s">
        <v>21</v>
      </c>
      <c r="C91" t="str">
        <f>IFERROR(_xlfn.XLOOKUP(A91,'E-Mail BD'!B:B,'E-Mail BD'!A:A),"-")</f>
        <v>007.272.884/0001-82</v>
      </c>
      <c r="D91" s="2" t="str">
        <f t="shared" si="2"/>
        <v>07272884000182</v>
      </c>
      <c r="E91" s="2" t="str">
        <f t="shared" si="3"/>
        <v>07272884</v>
      </c>
      <c r="F91" s="8">
        <f>IF($A91=""," ",IF(_xlfn.MINIFS(tblDados[[Data do recebimento do e-mail]:[Data do recebimento do e-mail]],tblDados[[Razão Social]:[Razão Social]],$A91)=0,"NÃO APARECEU AINDA",_xlfn.MINIFS(tblDados[[Data do recebimento do e-mail]:[Data do recebimento do e-mail]],tblDados[[Razão Social]:[Razão Social]],$A91)))</f>
        <v>45895</v>
      </c>
      <c r="G91" s="8">
        <f>IF($A91=""," ",IF(_xlfn.MAXIFS(tblDados[[Data do recebimento do e-mail]:[Data do recebimento do e-mail]],tblDados[[Razão Social]:[Razão Social]],$A91)=0,"NÃO APARECEU AINDA",_xlfn.MAXIFS(tblDados[[Data do recebimento do e-mail]:[Data do recebimento do e-mail]],tblDados[[Razão Social]:[Razão Social]],$A91)))</f>
        <v>46003</v>
      </c>
    </row>
    <row r="92" spans="1:7" hidden="1" x14ac:dyDescent="0.25">
      <c r="A92" t="s">
        <v>112</v>
      </c>
      <c r="B92" t="s">
        <v>4</v>
      </c>
      <c r="C92" t="str">
        <f>IFERROR(_xlfn.XLOOKUP(A92,'E-Mail BD'!B:B,'E-Mail BD'!A:A),"-")</f>
        <v>038.945.487/0001-58</v>
      </c>
      <c r="D92" s="2" t="str">
        <f t="shared" si="2"/>
        <v>38945487000158</v>
      </c>
      <c r="E92" s="2" t="str">
        <f t="shared" si="3"/>
        <v>38945487</v>
      </c>
      <c r="F92" s="8">
        <f>IF($A92=""," ",IF(_xlfn.MINIFS(tblDados[[Data do recebimento do e-mail]:[Data do recebimento do e-mail]],tblDados[[Razão Social]:[Razão Social]],$A92)=0,"NÃO APARECEU AINDA",_xlfn.MINIFS(tblDados[[Data do recebimento do e-mail]:[Data do recebimento do e-mail]],tblDados[[Razão Social]:[Razão Social]],$A92)))</f>
        <v>45544</v>
      </c>
      <c r="G92" s="8">
        <f>IF($A92=""," ",IF(_xlfn.MAXIFS(tblDados[[Data do recebimento do e-mail]:[Data do recebimento do e-mail]],tblDados[[Razão Social]:[Razão Social]],$A92)=0,"NÃO APARECEU AINDA",_xlfn.MAXIFS(tblDados[[Data do recebimento do e-mail]:[Data do recebimento do e-mail]],tblDados[[Razão Social]:[Razão Social]],$A92)))</f>
        <v>45583</v>
      </c>
    </row>
    <row r="93" spans="1:7" hidden="1" x14ac:dyDescent="0.25">
      <c r="A93" t="s">
        <v>93</v>
      </c>
      <c r="B93" t="s">
        <v>20</v>
      </c>
      <c r="C93" t="str">
        <f>IFERROR(_xlfn.XLOOKUP(A93,'E-Mail BD'!B:B,'E-Mail BD'!A:A),"-")</f>
        <v>008.785.522/0001-58</v>
      </c>
      <c r="D93" s="2" t="str">
        <f t="shared" si="2"/>
        <v>08785522000158</v>
      </c>
      <c r="E93" s="2" t="str">
        <f t="shared" si="3"/>
        <v>08785522</v>
      </c>
      <c r="F93" s="8">
        <f>IF($A93=""," ",IF(_xlfn.MINIFS(tblDados[[Data do recebimento do e-mail]:[Data do recebimento do e-mail]],tblDados[[Razão Social]:[Razão Social]],$A93)=0,"NÃO APARECEU AINDA",_xlfn.MINIFS(tblDados[[Data do recebimento do e-mail]:[Data do recebimento do e-mail]],tblDados[[Razão Social]:[Razão Social]],$A93)))</f>
        <v>45537</v>
      </c>
      <c r="G93" s="8">
        <f>IF($A93=""," ",IF(_xlfn.MAXIFS(tblDados[[Data do recebimento do e-mail]:[Data do recebimento do e-mail]],tblDados[[Razão Social]:[Razão Social]],$A93)=0,"NÃO APARECEU AINDA",_xlfn.MAXIFS(tblDados[[Data do recebimento do e-mail]:[Data do recebimento do e-mail]],tblDados[[Razão Social]:[Razão Social]],$A93)))</f>
        <v>45675</v>
      </c>
    </row>
    <row r="94" spans="1:7" hidden="1" x14ac:dyDescent="0.25">
      <c r="A94" t="s">
        <v>551</v>
      </c>
      <c r="B94" t="s">
        <v>27</v>
      </c>
      <c r="C94" t="str">
        <f>IFERROR(_xlfn.XLOOKUP(A94,'E-Mail BD'!B:B,'E-Mail BD'!A:A),"-")</f>
        <v>-</v>
      </c>
      <c r="D94" s="2" t="str">
        <f t="shared" si="2"/>
        <v>-</v>
      </c>
      <c r="E94" s="2" t="str">
        <f t="shared" si="3"/>
        <v>-</v>
      </c>
      <c r="F94" s="8" t="str">
        <f>IF($A94=""," ",IF(_xlfn.MINIFS(tblDados[[Data do recebimento do e-mail]:[Data do recebimento do e-mail]],tblDados[[Razão Social]:[Razão Social]],$A94)=0,"NÃO APARECEU AINDA",_xlfn.MINIFS(tblDados[[Data do recebimento do e-mail]:[Data do recebimento do e-mail]],tblDados[[Razão Social]:[Razão Social]],$A94)))</f>
        <v>NÃO APARECEU AINDA</v>
      </c>
      <c r="G94" s="8" t="str">
        <f>IF($A94=""," ",IF(_xlfn.MAXIFS(tblDados[[Data do recebimento do e-mail]:[Data do recebimento do e-mail]],tblDados[[Razão Social]:[Razão Social]],$A94)=0,"NÃO APARECEU AINDA",_xlfn.MAXIFS(tblDados[[Data do recebimento do e-mail]:[Data do recebimento do e-mail]],tblDados[[Razão Social]:[Razão Social]],$A94)))</f>
        <v>NÃO APARECEU AINDA</v>
      </c>
    </row>
    <row r="95" spans="1:7" hidden="1" x14ac:dyDescent="0.25">
      <c r="A95" t="s">
        <v>281</v>
      </c>
      <c r="B95" t="s">
        <v>24</v>
      </c>
      <c r="C95" t="str">
        <f>IFERROR(_xlfn.XLOOKUP(A95,'E-Mail BD'!B:B,'E-Mail BD'!A:A),"-")</f>
        <v>014.202.427/0001-87</v>
      </c>
      <c r="D95" s="2" t="str">
        <f t="shared" si="2"/>
        <v>14202427000187</v>
      </c>
      <c r="E95" s="2" t="str">
        <f t="shared" si="3"/>
        <v>14202427</v>
      </c>
      <c r="F95" s="8">
        <f>IF($A95=""," ",IF(_xlfn.MINIFS(tblDados[[Data do recebimento do e-mail]:[Data do recebimento do e-mail]],tblDados[[Razão Social]:[Razão Social]],$A95)=0,"NÃO APARECEU AINDA",_xlfn.MINIFS(tblDados[[Data do recebimento do e-mail]:[Data do recebimento do e-mail]],tblDados[[Razão Social]:[Razão Social]],$A95)))</f>
        <v>45791</v>
      </c>
      <c r="G95" s="8">
        <f>IF($A95=""," ",IF(_xlfn.MAXIFS(tblDados[[Data do recebimento do e-mail]:[Data do recebimento do e-mail]],tblDados[[Razão Social]:[Razão Social]],$A95)=0,"NÃO APARECEU AINDA",_xlfn.MAXIFS(tblDados[[Data do recebimento do e-mail]:[Data do recebimento do e-mail]],tblDados[[Razão Social]:[Razão Social]],$A95)))</f>
        <v>45800</v>
      </c>
    </row>
    <row r="96" spans="1:7" hidden="1" x14ac:dyDescent="0.25">
      <c r="A96" t="s">
        <v>585</v>
      </c>
      <c r="B96" t="s">
        <v>5</v>
      </c>
      <c r="C96" t="str">
        <f>IFERROR(_xlfn.XLOOKUP(A96,'E-Mail BD'!B:B,'E-Mail BD'!A:A),"-")</f>
        <v>017.177.331/0001-02</v>
      </c>
      <c r="D96" s="2" t="str">
        <f t="shared" si="2"/>
        <v>17177331000102</v>
      </c>
      <c r="E96" s="2" t="str">
        <f t="shared" si="3"/>
        <v>17177331</v>
      </c>
      <c r="F96" s="8">
        <f>IF($A96=""," ",IF(_xlfn.MINIFS(tblDados[[Data do recebimento do e-mail]:[Data do recebimento do e-mail]],tblDados[[Razão Social]:[Razão Social]],$A96)=0,"NÃO APARECEU AINDA",_xlfn.MINIFS(tblDados[[Data do recebimento do e-mail]:[Data do recebimento do e-mail]],tblDados[[Razão Social]:[Razão Social]],$A96)))</f>
        <v>45843</v>
      </c>
      <c r="G96" s="8">
        <f>IF($A96=""," ",IF(_xlfn.MAXIFS(tblDados[[Data do recebimento do e-mail]:[Data do recebimento do e-mail]],tblDados[[Razão Social]:[Razão Social]],$A96)=0,"NÃO APARECEU AINDA",_xlfn.MAXIFS(tblDados[[Data do recebimento do e-mail]:[Data do recebimento do e-mail]],tblDados[[Razão Social]:[Razão Social]],$A96)))</f>
        <v>45931</v>
      </c>
    </row>
    <row r="97" spans="1:7" hidden="1" x14ac:dyDescent="0.25">
      <c r="A97" t="s">
        <v>102</v>
      </c>
      <c r="B97" t="s">
        <v>16</v>
      </c>
      <c r="C97" t="str">
        <f>IFERROR(_xlfn.XLOOKUP(A97,'E-Mail BD'!B:B,'E-Mail BD'!A:A),"-")</f>
        <v>011.091.574/0001-39</v>
      </c>
      <c r="D97" s="2" t="str">
        <f t="shared" si="2"/>
        <v>11091574000139</v>
      </c>
      <c r="E97" s="2" t="str">
        <f t="shared" si="3"/>
        <v>11091574</v>
      </c>
      <c r="F97" s="8">
        <f>IF($A97=""," ",IF(_xlfn.MINIFS(tblDados[[Data do recebimento do e-mail]:[Data do recebimento do e-mail]],tblDados[[Razão Social]:[Razão Social]],$A97)=0,"NÃO APARECEU AINDA",_xlfn.MINIFS(tblDados[[Data do recebimento do e-mail]:[Data do recebimento do e-mail]],tblDados[[Razão Social]:[Razão Social]],$A97)))</f>
        <v>45539</v>
      </c>
      <c r="G97" s="8">
        <f>IF($A97=""," ",IF(_xlfn.MAXIFS(tblDados[[Data do recebimento do e-mail]:[Data do recebimento do e-mail]],tblDados[[Razão Social]:[Razão Social]],$A97)=0,"NÃO APARECEU AINDA",_xlfn.MAXIFS(tblDados[[Data do recebimento do e-mail]:[Data do recebimento do e-mail]],tblDados[[Razão Social]:[Razão Social]],$A97)))</f>
        <v>45947</v>
      </c>
    </row>
    <row r="98" spans="1:7" hidden="1" x14ac:dyDescent="0.25">
      <c r="A98" t="s">
        <v>171</v>
      </c>
      <c r="B98" t="s">
        <v>20</v>
      </c>
      <c r="C98" t="str">
        <f>IFERROR(_xlfn.XLOOKUP(A98,'E-Mail BD'!B:B,'E-Mail BD'!A:A),"-")</f>
        <v>005.881.441/0001-63</v>
      </c>
      <c r="D98" s="2" t="str">
        <f t="shared" si="2"/>
        <v>05881441000163</v>
      </c>
      <c r="E98" s="2" t="str">
        <f t="shared" si="3"/>
        <v>05881441</v>
      </c>
      <c r="F98" s="8">
        <f>IF($A98=""," ",IF(_xlfn.MINIFS(tblDados[[Data do recebimento do e-mail]:[Data do recebimento do e-mail]],tblDados[[Razão Social]:[Razão Social]],$A98)=0,"NÃO APARECEU AINDA",_xlfn.MINIFS(tblDados[[Data do recebimento do e-mail]:[Data do recebimento do e-mail]],tblDados[[Razão Social]:[Razão Social]],$A98)))</f>
        <v>45583</v>
      </c>
      <c r="G98" s="8">
        <f>IF($A98=""," ",IF(_xlfn.MAXIFS(tblDados[[Data do recebimento do e-mail]:[Data do recebimento do e-mail]],tblDados[[Razão Social]:[Razão Social]],$A98)=0,"NÃO APARECEU AINDA",_xlfn.MAXIFS(tblDados[[Data do recebimento do e-mail]:[Data do recebimento do e-mail]],tblDados[[Razão Social]:[Razão Social]],$A98)))</f>
        <v>45610</v>
      </c>
    </row>
    <row r="99" spans="1:7" hidden="1" x14ac:dyDescent="0.25">
      <c r="A99" t="s">
        <v>190</v>
      </c>
      <c r="B99" t="s">
        <v>4</v>
      </c>
      <c r="C99" t="str">
        <f>IFERROR(_xlfn.XLOOKUP(A99,'E-Mail BD'!B:B,'E-Mail BD'!A:A),"-")</f>
        <v>035.475.312/0001-36</v>
      </c>
      <c r="D99" s="2" t="str">
        <f t="shared" si="2"/>
        <v>35475312000136</v>
      </c>
      <c r="E99" s="2" t="str">
        <f t="shared" si="3"/>
        <v>35475312</v>
      </c>
      <c r="F99" s="8">
        <f>IF($A99=""," ",IF(_xlfn.MINIFS(tblDados[[Data do recebimento do e-mail]:[Data do recebimento do e-mail]],tblDados[[Razão Social]:[Razão Social]],$A99)=0,"NÃO APARECEU AINDA",_xlfn.MINIFS(tblDados[[Data do recebimento do e-mail]:[Data do recebimento do e-mail]],tblDados[[Razão Social]:[Razão Social]],$A99)))</f>
        <v>45633</v>
      </c>
      <c r="G99" s="8">
        <f>IF($A99=""," ",IF(_xlfn.MAXIFS(tblDados[[Data do recebimento do e-mail]:[Data do recebimento do e-mail]],tblDados[[Razão Social]:[Razão Social]],$A99)=0,"NÃO APARECEU AINDA",_xlfn.MAXIFS(tblDados[[Data do recebimento do e-mail]:[Data do recebimento do e-mail]],tblDados[[Razão Social]:[Razão Social]],$A99)))</f>
        <v>45685</v>
      </c>
    </row>
    <row r="100" spans="1:7" hidden="1" x14ac:dyDescent="0.25">
      <c r="A100" t="s">
        <v>229</v>
      </c>
      <c r="B100" t="s">
        <v>22</v>
      </c>
      <c r="C100" t="str">
        <f>IFERROR(_xlfn.XLOOKUP(A100,'E-Mail BD'!B:B,'E-Mail BD'!A:A),"-")</f>
        <v>001.181.263/0001-07</v>
      </c>
      <c r="D100" s="2" t="str">
        <f t="shared" si="2"/>
        <v>01181263000107</v>
      </c>
      <c r="E100" s="2" t="str">
        <f t="shared" si="3"/>
        <v>01181263</v>
      </c>
      <c r="F100" s="8">
        <f>IF($A100=""," ",IF(_xlfn.MINIFS(tblDados[[Data do recebimento do e-mail]:[Data do recebimento do e-mail]],tblDados[[Razão Social]:[Razão Social]],$A100)=0,"NÃO APARECEU AINDA",_xlfn.MINIFS(tblDados[[Data do recebimento do e-mail]:[Data do recebimento do e-mail]],tblDados[[Razão Social]:[Razão Social]],$A100)))</f>
        <v>45694</v>
      </c>
      <c r="G100" s="8">
        <f>IF($A100=""," ",IF(_xlfn.MAXIFS(tblDados[[Data do recebimento do e-mail]:[Data do recebimento do e-mail]],tblDados[[Razão Social]:[Razão Social]],$A100)=0,"NÃO APARECEU AINDA",_xlfn.MAXIFS(tblDados[[Data do recebimento do e-mail]:[Data do recebimento do e-mail]],tblDados[[Razão Social]:[Razão Social]],$A100)))</f>
        <v>45758</v>
      </c>
    </row>
    <row r="101" spans="1:7" hidden="1" x14ac:dyDescent="0.25">
      <c r="A101" t="s">
        <v>575</v>
      </c>
      <c r="B101" t="s">
        <v>4</v>
      </c>
      <c r="C101" t="str">
        <f>IFERROR(_xlfn.XLOOKUP(A101,'E-Mail BD'!B:B,'E-Mail BD'!A:A),"-")</f>
        <v>-</v>
      </c>
      <c r="D101" s="2" t="str">
        <f t="shared" si="2"/>
        <v>-</v>
      </c>
      <c r="E101" s="2" t="str">
        <f t="shared" si="3"/>
        <v>-</v>
      </c>
      <c r="F101" s="8" t="str">
        <f>IF($A101=""," ",IF(_xlfn.MINIFS(tblDados[[Data do recebimento do e-mail]:[Data do recebimento do e-mail]],tblDados[[Razão Social]:[Razão Social]],$A101)=0,"NÃO APARECEU AINDA",_xlfn.MINIFS(tblDados[[Data do recebimento do e-mail]:[Data do recebimento do e-mail]],tblDados[[Razão Social]:[Razão Social]],$A101)))</f>
        <v>NÃO APARECEU AINDA</v>
      </c>
      <c r="G101" s="8" t="str">
        <f>IF($A101=""," ",IF(_xlfn.MAXIFS(tblDados[[Data do recebimento do e-mail]:[Data do recebimento do e-mail]],tblDados[[Razão Social]:[Razão Social]],$A101)=0,"NÃO APARECEU AINDA",_xlfn.MAXIFS(tblDados[[Data do recebimento do e-mail]:[Data do recebimento do e-mail]],tblDados[[Razão Social]:[Razão Social]],$A101)))</f>
        <v>NÃO APARECEU AINDA</v>
      </c>
    </row>
    <row r="102" spans="1:7" hidden="1" x14ac:dyDescent="0.25">
      <c r="A102" t="s">
        <v>180</v>
      </c>
      <c r="B102" t="s">
        <v>21</v>
      </c>
      <c r="C102" t="str">
        <f>IFERROR(_xlfn.XLOOKUP(A102,'E-Mail BD'!B:B,'E-Mail BD'!A:A),"-")</f>
        <v>002.534.653/0001-86</v>
      </c>
      <c r="D102" s="2" t="str">
        <f t="shared" si="2"/>
        <v>02534653000186</v>
      </c>
      <c r="E102" s="2" t="str">
        <f t="shared" si="3"/>
        <v>02534653</v>
      </c>
      <c r="F102" s="8">
        <f>IF($A102=""," ",IF(_xlfn.MINIFS(tblDados[[Data do recebimento do e-mail]:[Data do recebimento do e-mail]],tblDados[[Razão Social]:[Razão Social]],$A102)=0,"NÃO APARECEU AINDA",_xlfn.MINIFS(tblDados[[Data do recebimento do e-mail]:[Data do recebimento do e-mail]],tblDados[[Razão Social]:[Razão Social]],$A102)))</f>
        <v>45587</v>
      </c>
      <c r="G102" s="8">
        <f>IF($A102=""," ",IF(_xlfn.MAXIFS(tblDados[[Data do recebimento do e-mail]:[Data do recebimento do e-mail]],tblDados[[Razão Social]:[Razão Social]],$A102)=0,"NÃO APARECEU AINDA",_xlfn.MAXIFS(tblDados[[Data do recebimento do e-mail]:[Data do recebimento do e-mail]],tblDados[[Razão Social]:[Razão Social]],$A102)))</f>
        <v>45678</v>
      </c>
    </row>
    <row r="103" spans="1:7" hidden="1" x14ac:dyDescent="0.25">
      <c r="A103" t="s">
        <v>582</v>
      </c>
      <c r="B103" t="s">
        <v>22</v>
      </c>
      <c r="C103" t="str">
        <f>IFERROR(_xlfn.XLOOKUP(A103,'E-Mail BD'!B:B,'E-Mail BD'!A:A),"-")</f>
        <v>-</v>
      </c>
      <c r="D103" s="2" t="str">
        <f t="shared" si="2"/>
        <v>-</v>
      </c>
      <c r="E103" s="2" t="str">
        <f t="shared" si="3"/>
        <v>-</v>
      </c>
      <c r="F103" s="8" t="str">
        <f>IF($A103=""," ",IF(_xlfn.MINIFS(tblDados[[Data do recebimento do e-mail]:[Data do recebimento do e-mail]],tblDados[[Razão Social]:[Razão Social]],$A103)=0,"NÃO APARECEU AINDA",_xlfn.MINIFS(tblDados[[Data do recebimento do e-mail]:[Data do recebimento do e-mail]],tblDados[[Razão Social]:[Razão Social]],$A103)))</f>
        <v>NÃO APARECEU AINDA</v>
      </c>
      <c r="G103" s="8" t="str">
        <f>IF($A103=""," ",IF(_xlfn.MAXIFS(tblDados[[Data do recebimento do e-mail]:[Data do recebimento do e-mail]],tblDados[[Razão Social]:[Razão Social]],$A103)=0,"NÃO APARECEU AINDA",_xlfn.MAXIFS(tblDados[[Data do recebimento do e-mail]:[Data do recebimento do e-mail]],tblDados[[Razão Social]:[Razão Social]],$A103)))</f>
        <v>NÃO APARECEU AINDA</v>
      </c>
    </row>
    <row r="104" spans="1:7" hidden="1" x14ac:dyDescent="0.25">
      <c r="A104" t="s">
        <v>260</v>
      </c>
      <c r="B104" t="s">
        <v>22</v>
      </c>
      <c r="C104" t="str">
        <f>IFERROR(_xlfn.XLOOKUP(A104,'E-Mail BD'!B:B,'E-Mail BD'!A:A),"-")</f>
        <v>020.309.962/0001-34</v>
      </c>
      <c r="D104" s="2" t="str">
        <f t="shared" si="2"/>
        <v>20309962000134</v>
      </c>
      <c r="E104" s="2" t="str">
        <f t="shared" si="3"/>
        <v>20309962</v>
      </c>
      <c r="F104" s="8">
        <f>IF($A104=""," ",IF(_xlfn.MINIFS(tblDados[[Data do recebimento do e-mail]:[Data do recebimento do e-mail]],tblDados[[Razão Social]:[Razão Social]],$A104)=0,"NÃO APARECEU AINDA",_xlfn.MINIFS(tblDados[[Data do recebimento do e-mail]:[Data do recebimento do e-mail]],tblDados[[Razão Social]:[Razão Social]],$A104)))</f>
        <v>45765</v>
      </c>
      <c r="G104" s="8">
        <f>IF($A104=""," ",IF(_xlfn.MAXIFS(tblDados[[Data do recebimento do e-mail]:[Data do recebimento do e-mail]],tblDados[[Razão Social]:[Razão Social]],$A104)=0,"NÃO APARECEU AINDA",_xlfn.MAXIFS(tblDados[[Data do recebimento do e-mail]:[Data do recebimento do e-mail]],tblDados[[Razão Social]:[Razão Social]],$A104)))</f>
        <v>45923</v>
      </c>
    </row>
    <row r="105" spans="1:7" hidden="1" x14ac:dyDescent="0.25">
      <c r="A105" t="s">
        <v>126</v>
      </c>
      <c r="B105" t="s">
        <v>4</v>
      </c>
      <c r="C105" t="str">
        <f>IFERROR(_xlfn.XLOOKUP(A105,'E-Mail BD'!B:B,'E-Mail BD'!A:A),"-")</f>
        <v>050.164.951/0001-74</v>
      </c>
      <c r="D105" s="2" t="str">
        <f t="shared" si="2"/>
        <v>50164951000174</v>
      </c>
      <c r="E105" s="2" t="str">
        <f t="shared" si="3"/>
        <v>50164951</v>
      </c>
      <c r="F105" s="8">
        <f>IF($A105=""," ",IF(_xlfn.MINIFS(tblDados[[Data do recebimento do e-mail]:[Data do recebimento do e-mail]],tblDados[[Razão Social]:[Razão Social]],$A105)=0,"NÃO APARECEU AINDA",_xlfn.MINIFS(tblDados[[Data do recebimento do e-mail]:[Data do recebimento do e-mail]],tblDados[[Razão Social]:[Razão Social]],$A105)))</f>
        <v>45551</v>
      </c>
      <c r="G105" s="8">
        <f>IF($A105=""," ",IF(_xlfn.MAXIFS(tblDados[[Data do recebimento do e-mail]:[Data do recebimento do e-mail]],tblDados[[Razão Social]:[Razão Social]],$A105)=0,"NÃO APARECEU AINDA",_xlfn.MAXIFS(tblDados[[Data do recebimento do e-mail]:[Data do recebimento do e-mail]],tblDados[[Razão Social]:[Razão Social]],$A105)))</f>
        <v>45924</v>
      </c>
    </row>
    <row r="106" spans="1:7" hidden="1" x14ac:dyDescent="0.25">
      <c r="A106" t="s">
        <v>160</v>
      </c>
      <c r="B106" t="s">
        <v>22</v>
      </c>
      <c r="C106" t="str">
        <f>IFERROR(_xlfn.XLOOKUP(A106,'E-Mail BD'!B:B,'E-Mail BD'!A:A),"-")</f>
        <v>002.377.675/0001-80</v>
      </c>
      <c r="D106" s="2" t="str">
        <f t="shared" si="2"/>
        <v>02377675000180</v>
      </c>
      <c r="E106" s="2" t="str">
        <f t="shared" si="3"/>
        <v>02377675</v>
      </c>
      <c r="F106" s="8">
        <f>IF($A106=""," ",IF(_xlfn.MINIFS(tblDados[[Data do recebimento do e-mail]:[Data do recebimento do e-mail]],tblDados[[Razão Social]:[Razão Social]],$A106)=0,"NÃO APARECEU AINDA",_xlfn.MINIFS(tblDados[[Data do recebimento do e-mail]:[Data do recebimento do e-mail]],tblDados[[Razão Social]:[Razão Social]],$A106)))</f>
        <v>45575</v>
      </c>
      <c r="G106" s="8">
        <f>IF($A106=""," ",IF(_xlfn.MAXIFS(tblDados[[Data do recebimento do e-mail]:[Data do recebimento do e-mail]],tblDados[[Razão Social]:[Razão Social]],$A106)=0,"NÃO APARECEU AINDA",_xlfn.MAXIFS(tblDados[[Data do recebimento do e-mail]:[Data do recebimento do e-mail]],tblDados[[Razão Social]:[Razão Social]],$A106)))</f>
        <v>45776</v>
      </c>
    </row>
    <row r="107" spans="1:7" hidden="1" x14ac:dyDescent="0.25">
      <c r="A107" t="s">
        <v>161</v>
      </c>
      <c r="B107" t="s">
        <v>22</v>
      </c>
      <c r="C107" t="str">
        <f>IFERROR(_xlfn.XLOOKUP(A107,'E-Mail BD'!B:B,'E-Mail BD'!A:A),"-")</f>
        <v>001.165.357/0001-92</v>
      </c>
      <c r="D107" s="2" t="str">
        <f t="shared" si="2"/>
        <v>01165357000192</v>
      </c>
      <c r="E107" s="2" t="str">
        <f t="shared" si="3"/>
        <v>01165357</v>
      </c>
      <c r="F107" s="8">
        <f>IF($A107=""," ",IF(_xlfn.MINIFS(tblDados[[Data do recebimento do e-mail]:[Data do recebimento do e-mail]],tblDados[[Razão Social]:[Razão Social]],$A107)=0,"NÃO APARECEU AINDA",_xlfn.MINIFS(tblDados[[Data do recebimento do e-mail]:[Data do recebimento do e-mail]],tblDados[[Razão Social]:[Razão Social]],$A107)))</f>
        <v>45575</v>
      </c>
      <c r="G107" s="8">
        <f>IF($A107=""," ",IF(_xlfn.MAXIFS(tblDados[[Data do recebimento do e-mail]:[Data do recebimento do e-mail]],tblDados[[Razão Social]:[Razão Social]],$A107)=0,"NÃO APARECEU AINDA",_xlfn.MAXIFS(tblDados[[Data do recebimento do e-mail]:[Data do recebimento do e-mail]],tblDados[[Razão Social]:[Razão Social]],$A107)))</f>
        <v>45776</v>
      </c>
    </row>
    <row r="108" spans="1:7" hidden="1" x14ac:dyDescent="0.25">
      <c r="A108" t="s">
        <v>115</v>
      </c>
      <c r="B108" t="s">
        <v>4</v>
      </c>
      <c r="C108" t="str">
        <f>IFERROR(_xlfn.XLOOKUP(A108,'E-Mail BD'!B:B,'E-Mail BD'!A:A),"-")</f>
        <v>035.345.406/0001-90</v>
      </c>
      <c r="D108" s="2" t="str">
        <f t="shared" si="2"/>
        <v>35345406000190</v>
      </c>
      <c r="E108" s="2" t="str">
        <f t="shared" si="3"/>
        <v>35345406</v>
      </c>
      <c r="F108" s="8">
        <f>IF($A108=""," ",IF(_xlfn.MINIFS(tblDados[[Data do recebimento do e-mail]:[Data do recebimento do e-mail]],tblDados[[Razão Social]:[Razão Social]],$A108)=0,"NÃO APARECEU AINDA",_xlfn.MINIFS(tblDados[[Data do recebimento do e-mail]:[Data do recebimento do e-mail]],tblDados[[Razão Social]:[Razão Social]],$A108)))</f>
        <v>45545</v>
      </c>
      <c r="G108" s="8">
        <f>IF($A108=""," ",IF(_xlfn.MAXIFS(tblDados[[Data do recebimento do e-mail]:[Data do recebimento do e-mail]],tblDados[[Razão Social]:[Razão Social]],$A108)=0,"NÃO APARECEU AINDA",_xlfn.MAXIFS(tblDados[[Data do recebimento do e-mail]:[Data do recebimento do e-mail]],tblDados[[Razão Social]:[Razão Social]],$A108)))</f>
        <v>45697</v>
      </c>
    </row>
    <row r="109" spans="1:7" hidden="1" x14ac:dyDescent="0.25">
      <c r="A109" t="s">
        <v>97</v>
      </c>
      <c r="B109" t="s">
        <v>17</v>
      </c>
      <c r="C109" t="str">
        <f>IFERROR(_xlfn.XLOOKUP(A109,'E-Mail BD'!B:B,'E-Mail BD'!A:A),"-")</f>
        <v>023.605.544/0001-82</v>
      </c>
      <c r="D109" s="2" t="str">
        <f t="shared" si="2"/>
        <v>23605544000182</v>
      </c>
      <c r="E109" s="2" t="str">
        <f t="shared" si="3"/>
        <v>23605544</v>
      </c>
      <c r="F109" s="8">
        <f>IF($A109=""," ",IF(_xlfn.MINIFS(tblDados[[Data do recebimento do e-mail]:[Data do recebimento do e-mail]],tblDados[[Razão Social]:[Razão Social]],$A109)=0,"NÃO APARECEU AINDA",_xlfn.MINIFS(tblDados[[Data do recebimento do e-mail]:[Data do recebimento do e-mail]],tblDados[[Razão Social]:[Razão Social]],$A109)))</f>
        <v>45538</v>
      </c>
      <c r="G109" s="8">
        <f>IF($A109=""," ",IF(_xlfn.MAXIFS(tblDados[[Data do recebimento do e-mail]:[Data do recebimento do e-mail]],tblDados[[Razão Social]:[Razão Social]],$A109)=0,"NÃO APARECEU AINDA",_xlfn.MAXIFS(tblDados[[Data do recebimento do e-mail]:[Data do recebimento do e-mail]],tblDados[[Razão Social]:[Razão Social]],$A109)))</f>
        <v>45818</v>
      </c>
    </row>
    <row r="110" spans="1:7" hidden="1" x14ac:dyDescent="0.25">
      <c r="A110" t="s">
        <v>107</v>
      </c>
      <c r="B110" t="s">
        <v>21</v>
      </c>
      <c r="C110" t="str">
        <f>IFERROR(_xlfn.XLOOKUP(A110,'E-Mail BD'!B:B,'E-Mail BD'!A:A),"-")</f>
        <v>051.107.672/0001-31</v>
      </c>
      <c r="D110" s="2" t="str">
        <f t="shared" si="2"/>
        <v>51107672000131</v>
      </c>
      <c r="E110" s="2" t="str">
        <f t="shared" si="3"/>
        <v>51107672</v>
      </c>
      <c r="F110" s="8">
        <f>IF($A110=""," ",IF(_xlfn.MINIFS(tblDados[[Data do recebimento do e-mail]:[Data do recebimento do e-mail]],tblDados[[Razão Social]:[Razão Social]],$A110)=0,"NÃO APARECEU AINDA",_xlfn.MINIFS(tblDados[[Data do recebimento do e-mail]:[Data do recebimento do e-mail]],tblDados[[Razão Social]:[Razão Social]],$A110)))</f>
        <v>45540</v>
      </c>
      <c r="G110" s="8">
        <f>IF($A110=""," ",IF(_xlfn.MAXIFS(tblDados[[Data do recebimento do e-mail]:[Data do recebimento do e-mail]],tblDados[[Razão Social]:[Razão Social]],$A110)=0,"NÃO APARECEU AINDA",_xlfn.MAXIFS(tblDados[[Data do recebimento do e-mail]:[Data do recebimento do e-mail]],tblDados[[Razão Social]:[Razão Social]],$A110)))</f>
        <v>45773</v>
      </c>
    </row>
    <row r="111" spans="1:7" hidden="1" x14ac:dyDescent="0.25">
      <c r="A111" t="s">
        <v>174</v>
      </c>
      <c r="B111" t="s">
        <v>16</v>
      </c>
      <c r="C111" t="str">
        <f>IFERROR(_xlfn.XLOOKUP(A111,'E-Mail BD'!B:B,'E-Mail BD'!A:A),"-")</f>
        <v>029.470.692/0001-13</v>
      </c>
      <c r="D111" s="2" t="str">
        <f t="shared" si="2"/>
        <v>29470692000113</v>
      </c>
      <c r="E111" s="2" t="str">
        <f t="shared" si="3"/>
        <v>29470692</v>
      </c>
      <c r="F111" s="8">
        <f>IF($A111=""," ",IF(_xlfn.MINIFS(tblDados[[Data do recebimento do e-mail]:[Data do recebimento do e-mail]],tblDados[[Razão Social]:[Razão Social]],$A111)=0,"NÃO APARECEU AINDA",_xlfn.MINIFS(tblDados[[Data do recebimento do e-mail]:[Data do recebimento do e-mail]],tblDados[[Razão Social]:[Razão Social]],$A111)))</f>
        <v>45586</v>
      </c>
      <c r="G111" s="8">
        <f>IF($A111=""," ",IF(_xlfn.MAXIFS(tblDados[[Data do recebimento do e-mail]:[Data do recebimento do e-mail]],tblDados[[Razão Social]:[Razão Social]],$A111)=0,"NÃO APARECEU AINDA",_xlfn.MAXIFS(tblDados[[Data do recebimento do e-mail]:[Data do recebimento do e-mail]],tblDados[[Razão Social]:[Razão Social]],$A111)))</f>
        <v>45646</v>
      </c>
    </row>
    <row r="112" spans="1:7" hidden="1" x14ac:dyDescent="0.25">
      <c r="A112" t="s">
        <v>270</v>
      </c>
      <c r="B112" t="s">
        <v>19</v>
      </c>
      <c r="C112" t="str">
        <f>IFERROR(_xlfn.XLOOKUP(A112,'E-Mail BD'!B:B,'E-Mail BD'!A:A),"-")</f>
        <v>038.405.720/0001-00</v>
      </c>
      <c r="D112" s="2" t="str">
        <f t="shared" si="2"/>
        <v>38405720000100</v>
      </c>
      <c r="E112" s="2" t="str">
        <f t="shared" si="3"/>
        <v>38405720</v>
      </c>
      <c r="F112" s="8">
        <f>IF($A112=""," ",IF(_xlfn.MINIFS(tblDados[[Data do recebimento do e-mail]:[Data do recebimento do e-mail]],tblDados[[Razão Social]:[Razão Social]],$A112)=0,"NÃO APARECEU AINDA",_xlfn.MINIFS(tblDados[[Data do recebimento do e-mail]:[Data do recebimento do e-mail]],tblDados[[Razão Social]:[Razão Social]],$A112)))</f>
        <v>45780</v>
      </c>
      <c r="G112" s="8">
        <f>IF($A112=""," ",IF(_xlfn.MAXIFS(tblDados[[Data do recebimento do e-mail]:[Data do recebimento do e-mail]],tblDados[[Razão Social]:[Razão Social]],$A112)=0,"NÃO APARECEU AINDA",_xlfn.MAXIFS(tblDados[[Data do recebimento do e-mail]:[Data do recebimento do e-mail]],tblDados[[Razão Social]:[Razão Social]],$A112)))</f>
        <v>45821</v>
      </c>
    </row>
    <row r="113" spans="1:7" hidden="1" x14ac:dyDescent="0.25">
      <c r="A113" t="s">
        <v>197</v>
      </c>
      <c r="B113" t="s">
        <v>4</v>
      </c>
      <c r="C113" t="str">
        <f>IFERROR(_xlfn.XLOOKUP(A113,'E-Mail BD'!B:B,'E-Mail BD'!A:A),"-")</f>
        <v>045.123.456/0001-87</v>
      </c>
      <c r="D113" s="2" t="str">
        <f t="shared" si="2"/>
        <v>45123456000187</v>
      </c>
      <c r="E113" s="2" t="str">
        <f t="shared" si="3"/>
        <v>45123456</v>
      </c>
      <c r="F113" s="8">
        <f>IF($A113=""," ",IF(_xlfn.MINIFS(tblDados[[Data do recebimento do e-mail]:[Data do recebimento do e-mail]],tblDados[[Razão Social]:[Razão Social]],$A113)=0,"NÃO APARECEU AINDA",_xlfn.MINIFS(tblDados[[Data do recebimento do e-mail]:[Data do recebimento do e-mail]],tblDados[[Razão Social]:[Razão Social]],$A113)))</f>
        <v>45651</v>
      </c>
      <c r="G113" s="8">
        <f>IF($A113=""," ",IF(_xlfn.MAXIFS(tblDados[[Data do recebimento do e-mail]:[Data do recebimento do e-mail]],tblDados[[Razão Social]:[Razão Social]],$A113)=0,"NÃO APARECEU AINDA",_xlfn.MAXIFS(tblDados[[Data do recebimento do e-mail]:[Data do recebimento do e-mail]],tblDados[[Razão Social]:[Razão Social]],$A113)))</f>
        <v>45877</v>
      </c>
    </row>
    <row r="114" spans="1:7" hidden="1" x14ac:dyDescent="0.25">
      <c r="A114" t="s">
        <v>120</v>
      </c>
      <c r="B114" t="s">
        <v>4</v>
      </c>
      <c r="C114" t="str">
        <f>IFERROR(_xlfn.XLOOKUP(A114,'E-Mail BD'!B:B,'E-Mail BD'!A:A),"-")</f>
        <v>000.803.044/0001-50</v>
      </c>
      <c r="D114" s="2" t="str">
        <f t="shared" si="2"/>
        <v>00803044000150</v>
      </c>
      <c r="E114" s="2" t="str">
        <f t="shared" si="3"/>
        <v>00803044</v>
      </c>
      <c r="F114" s="8">
        <f>IF($A114=""," ",IF(_xlfn.MINIFS(tblDados[[Data do recebimento do e-mail]:[Data do recebimento do e-mail]],tblDados[[Razão Social]:[Razão Social]],$A114)=0,"NÃO APARECEU AINDA",_xlfn.MINIFS(tblDados[[Data do recebimento do e-mail]:[Data do recebimento do e-mail]],tblDados[[Razão Social]:[Razão Social]],$A114)))</f>
        <v>45545</v>
      </c>
      <c r="G114" s="8">
        <f>IF($A114=""," ",IF(_xlfn.MAXIFS(tblDados[[Data do recebimento do e-mail]:[Data do recebimento do e-mail]],tblDados[[Razão Social]:[Razão Social]],$A114)=0,"NÃO APARECEU AINDA",_xlfn.MAXIFS(tblDados[[Data do recebimento do e-mail]:[Data do recebimento do e-mail]],tblDados[[Razão Social]:[Razão Social]],$A114)))</f>
        <v>46001</v>
      </c>
    </row>
    <row r="115" spans="1:7" hidden="1" x14ac:dyDescent="0.25">
      <c r="A115" t="s">
        <v>543</v>
      </c>
      <c r="B115" t="s">
        <v>18</v>
      </c>
      <c r="C115" t="str">
        <f>IFERROR(_xlfn.XLOOKUP(A115,'E-Mail BD'!B:B,'E-Mail BD'!A:A),"-")</f>
        <v>-</v>
      </c>
      <c r="D115" s="2" t="str">
        <f t="shared" si="2"/>
        <v>-</v>
      </c>
      <c r="E115" s="2" t="str">
        <f t="shared" si="3"/>
        <v>-</v>
      </c>
      <c r="F115" s="8" t="str">
        <f>IF($A115=""," ",IF(_xlfn.MINIFS(tblDados[[Data do recebimento do e-mail]:[Data do recebimento do e-mail]],tblDados[[Razão Social]:[Razão Social]],$A115)=0,"NÃO APARECEU AINDA",_xlfn.MINIFS(tblDados[[Data do recebimento do e-mail]:[Data do recebimento do e-mail]],tblDados[[Razão Social]:[Razão Social]],$A115)))</f>
        <v>NÃO APARECEU AINDA</v>
      </c>
      <c r="G115" s="8" t="str">
        <f>IF($A115=""," ",IF(_xlfn.MAXIFS(tblDados[[Data do recebimento do e-mail]:[Data do recebimento do e-mail]],tblDados[[Razão Social]:[Razão Social]],$A115)=0,"NÃO APARECEU AINDA",_xlfn.MAXIFS(tblDados[[Data do recebimento do e-mail]:[Data do recebimento do e-mail]],tblDados[[Razão Social]:[Razão Social]],$A115)))</f>
        <v>NÃO APARECEU AINDA</v>
      </c>
    </row>
    <row r="116" spans="1:7" hidden="1" x14ac:dyDescent="0.25">
      <c r="A116" t="s">
        <v>276</v>
      </c>
      <c r="B116" t="s">
        <v>4</v>
      </c>
      <c r="C116" t="str">
        <f>IFERROR(_xlfn.XLOOKUP(A116,'E-Mail BD'!B:B,'E-Mail BD'!A:A),"-")</f>
        <v>039.572.608/0001-26</v>
      </c>
      <c r="D116" s="2" t="str">
        <f t="shared" si="2"/>
        <v>39572608000126</v>
      </c>
      <c r="E116" s="2" t="str">
        <f t="shared" si="3"/>
        <v>39572608</v>
      </c>
      <c r="F116" s="8">
        <f>IF($A116=""," ",IF(_xlfn.MINIFS(tblDados[[Data do recebimento do e-mail]:[Data do recebimento do e-mail]],tblDados[[Razão Social]:[Razão Social]],$A116)=0,"NÃO APARECEU AINDA",_xlfn.MINIFS(tblDados[[Data do recebimento do e-mail]:[Data do recebimento do e-mail]],tblDados[[Razão Social]:[Razão Social]],$A116)))</f>
        <v>45787</v>
      </c>
      <c r="G116" s="8">
        <f>IF($A116=""," ",IF(_xlfn.MAXIFS(tblDados[[Data do recebimento do e-mail]:[Data do recebimento do e-mail]],tblDados[[Razão Social]:[Razão Social]],$A116)=0,"NÃO APARECEU AINDA",_xlfn.MAXIFS(tblDados[[Data do recebimento do e-mail]:[Data do recebimento do e-mail]],tblDados[[Razão Social]:[Razão Social]],$A116)))</f>
        <v>45787</v>
      </c>
    </row>
    <row r="117" spans="1:7" hidden="1" x14ac:dyDescent="0.25">
      <c r="A117" t="s">
        <v>547</v>
      </c>
      <c r="B117" t="s">
        <v>15</v>
      </c>
      <c r="C117" t="str">
        <f>IFERROR(_xlfn.XLOOKUP(A117,'E-Mail BD'!B:B,'E-Mail BD'!A:A),"-")</f>
        <v>-</v>
      </c>
      <c r="D117" s="2" t="str">
        <f t="shared" si="2"/>
        <v>-</v>
      </c>
      <c r="E117" s="2" t="str">
        <f t="shared" si="3"/>
        <v>-</v>
      </c>
      <c r="F117" s="8" t="str">
        <f>IF($A117=""," ",IF(_xlfn.MINIFS(tblDados[[Data do recebimento do e-mail]:[Data do recebimento do e-mail]],tblDados[[Razão Social]:[Razão Social]],$A117)=0,"NÃO APARECEU AINDA",_xlfn.MINIFS(tblDados[[Data do recebimento do e-mail]:[Data do recebimento do e-mail]],tblDados[[Razão Social]:[Razão Social]],$A117)))</f>
        <v>NÃO APARECEU AINDA</v>
      </c>
      <c r="G117" s="8" t="str">
        <f>IF($A117=""," ",IF(_xlfn.MAXIFS(tblDados[[Data do recebimento do e-mail]:[Data do recebimento do e-mail]],tblDados[[Razão Social]:[Razão Social]],$A117)=0,"NÃO APARECEU AINDA",_xlfn.MAXIFS(tblDados[[Data do recebimento do e-mail]:[Data do recebimento do e-mail]],tblDados[[Razão Social]:[Razão Social]],$A117)))</f>
        <v>NÃO APARECEU AINDA</v>
      </c>
    </row>
    <row r="118" spans="1:7" hidden="1" x14ac:dyDescent="0.25">
      <c r="A118" t="s">
        <v>289</v>
      </c>
      <c r="B118" t="s">
        <v>27</v>
      </c>
      <c r="C118" t="str">
        <f>IFERROR(_xlfn.XLOOKUP(A118,'E-Mail BD'!B:B,'E-Mail BD'!A:A),"-")</f>
        <v>005.374.432/0001-86</v>
      </c>
      <c r="D118" s="2" t="str">
        <f t="shared" si="2"/>
        <v>05374432000186</v>
      </c>
      <c r="E118" s="2" t="str">
        <f t="shared" si="3"/>
        <v>05374432</v>
      </c>
      <c r="F118" s="8">
        <f>IF($A118=""," ",IF(_xlfn.MINIFS(tblDados[[Data do recebimento do e-mail]:[Data do recebimento do e-mail]],tblDados[[Razão Social]:[Razão Social]],$A118)=0,"NÃO APARECEU AINDA",_xlfn.MINIFS(tblDados[[Data do recebimento do e-mail]:[Data do recebimento do e-mail]],tblDados[[Razão Social]:[Razão Social]],$A118)))</f>
        <v>45797</v>
      </c>
      <c r="G118" s="8">
        <f>IF($A118=""," ",IF(_xlfn.MAXIFS(tblDados[[Data do recebimento do e-mail]:[Data do recebimento do e-mail]],tblDados[[Razão Social]:[Razão Social]],$A118)=0,"NÃO APARECEU AINDA",_xlfn.MAXIFS(tblDados[[Data do recebimento do e-mail]:[Data do recebimento do e-mail]],tblDados[[Razão Social]:[Razão Social]],$A118)))</f>
        <v>45958</v>
      </c>
    </row>
    <row r="119" spans="1:7" hidden="1" x14ac:dyDescent="0.25">
      <c r="A119" t="s">
        <v>184</v>
      </c>
      <c r="B119" t="s">
        <v>17</v>
      </c>
      <c r="C119" t="str">
        <f>IFERROR(_xlfn.XLOOKUP(A119,'E-Mail BD'!B:B,'E-Mail BD'!A:A),"-")</f>
        <v>050.721.360/0001-50</v>
      </c>
      <c r="D119" s="2" t="str">
        <f t="shared" si="2"/>
        <v>50721360000150</v>
      </c>
      <c r="E119" s="2" t="str">
        <f t="shared" si="3"/>
        <v>50721360</v>
      </c>
      <c r="F119" s="8">
        <f>IF($A119=""," ",IF(_xlfn.MINIFS(tblDados[[Data do recebimento do e-mail]:[Data do recebimento do e-mail]],tblDados[[Razão Social]:[Razão Social]],$A119)=0,"NÃO APARECEU AINDA",_xlfn.MINIFS(tblDados[[Data do recebimento do e-mail]:[Data do recebimento do e-mail]],tblDados[[Razão Social]:[Razão Social]],$A119)))</f>
        <v>45601</v>
      </c>
      <c r="G119" s="8">
        <f>IF($A119=""," ",IF(_xlfn.MAXIFS(tblDados[[Data do recebimento do e-mail]:[Data do recebimento do e-mail]],tblDados[[Razão Social]:[Razão Social]],$A119)=0,"NÃO APARECEU AINDA",_xlfn.MAXIFS(tblDados[[Data do recebimento do e-mail]:[Data do recebimento do e-mail]],tblDados[[Razão Social]:[Razão Social]],$A119)))</f>
        <v>45680</v>
      </c>
    </row>
    <row r="120" spans="1:7" hidden="1" x14ac:dyDescent="0.25">
      <c r="A120" t="s">
        <v>584</v>
      </c>
      <c r="B120" t="s">
        <v>618</v>
      </c>
      <c r="C120" t="str">
        <f>IFERROR(_xlfn.XLOOKUP(A120,'E-Mail BD'!B:B,'E-Mail BD'!A:A),"-")</f>
        <v>-</v>
      </c>
      <c r="D120" s="2" t="str">
        <f t="shared" si="2"/>
        <v>-</v>
      </c>
      <c r="E120" s="2" t="str">
        <f t="shared" si="3"/>
        <v>-</v>
      </c>
      <c r="F120" s="8" t="str">
        <f>IF($A120=""," ",IF(_xlfn.MINIFS(tblDados[[Data do recebimento do e-mail]:[Data do recebimento do e-mail]],tblDados[[Razão Social]:[Razão Social]],$A120)=0,"NÃO APARECEU AINDA",_xlfn.MINIFS(tblDados[[Data do recebimento do e-mail]:[Data do recebimento do e-mail]],tblDados[[Razão Social]:[Razão Social]],$A120)))</f>
        <v>NÃO APARECEU AINDA</v>
      </c>
      <c r="G120" s="8" t="str">
        <f>IF($A120=""," ",IF(_xlfn.MAXIFS(tblDados[[Data do recebimento do e-mail]:[Data do recebimento do e-mail]],tblDados[[Razão Social]:[Razão Social]],$A120)=0,"NÃO APARECEU AINDA",_xlfn.MAXIFS(tblDados[[Data do recebimento do e-mail]:[Data do recebimento do e-mail]],tblDados[[Razão Social]:[Razão Social]],$A120)))</f>
        <v>NÃO APARECEU AINDA</v>
      </c>
    </row>
    <row r="121" spans="1:7" hidden="1" x14ac:dyDescent="0.25">
      <c r="A121" t="s">
        <v>192</v>
      </c>
      <c r="B121" t="s">
        <v>21</v>
      </c>
      <c r="C121" t="str">
        <f>IFERROR(_xlfn.XLOOKUP(A121,'E-Mail BD'!B:B,'E-Mail BD'!A:A),"-")</f>
        <v>045.694.996/0001-10</v>
      </c>
      <c r="D121" s="2" t="str">
        <f t="shared" si="2"/>
        <v>45694996000110</v>
      </c>
      <c r="E121" s="2" t="str">
        <f t="shared" si="3"/>
        <v>45694996</v>
      </c>
      <c r="F121" s="8">
        <f>IF($A121=""," ",IF(_xlfn.MINIFS(tblDados[[Data do recebimento do e-mail]:[Data do recebimento do e-mail]],tblDados[[Razão Social]:[Razão Social]],$A121)=0,"NÃO APARECEU AINDA",_xlfn.MINIFS(tblDados[[Data do recebimento do e-mail]:[Data do recebimento do e-mail]],tblDados[[Razão Social]:[Razão Social]],$A121)))</f>
        <v>45638</v>
      </c>
      <c r="G121" s="8">
        <f>IF($A121=""," ",IF(_xlfn.MAXIFS(tblDados[[Data do recebimento do e-mail]:[Data do recebimento do e-mail]],tblDados[[Razão Social]:[Razão Social]],$A121)=0,"NÃO APARECEU AINDA",_xlfn.MAXIFS(tblDados[[Data do recebimento do e-mail]:[Data do recebimento do e-mail]],tblDados[[Razão Social]:[Razão Social]],$A121)))</f>
        <v>45668</v>
      </c>
    </row>
    <row r="122" spans="1:7" hidden="1" x14ac:dyDescent="0.25">
      <c r="A122" t="s">
        <v>564</v>
      </c>
      <c r="B122" t="s">
        <v>24</v>
      </c>
      <c r="C122" t="str">
        <f>IFERROR(_xlfn.XLOOKUP(A122,'E-Mail BD'!B:B,'E-Mail BD'!A:A),"-")</f>
        <v>011.655.076/0001-71</v>
      </c>
      <c r="D122" s="2" t="str">
        <f t="shared" si="2"/>
        <v>11655076000171</v>
      </c>
      <c r="E122" s="2" t="str">
        <f t="shared" si="3"/>
        <v>11655076</v>
      </c>
      <c r="F122" s="8">
        <f>IF($A122=""," ",IF(_xlfn.MINIFS(tblDados[[Data do recebimento do e-mail]:[Data do recebimento do e-mail]],tblDados[[Razão Social]:[Razão Social]],$A122)=0,"NÃO APARECEU AINDA",_xlfn.MINIFS(tblDados[[Data do recebimento do e-mail]:[Data do recebimento do e-mail]],tblDados[[Razão Social]:[Razão Social]],$A122)))</f>
        <v>45855</v>
      </c>
      <c r="G122" s="8">
        <f>IF($A122=""," ",IF(_xlfn.MAXIFS(tblDados[[Data do recebimento do e-mail]:[Data do recebimento do e-mail]],tblDados[[Razão Social]:[Razão Social]],$A122)=0,"NÃO APARECEU AINDA",_xlfn.MAXIFS(tblDados[[Data do recebimento do e-mail]:[Data do recebimento do e-mail]],tblDados[[Razão Social]:[Razão Social]],$A122)))</f>
        <v>45981</v>
      </c>
    </row>
    <row r="123" spans="1:7" hidden="1" x14ac:dyDescent="0.25">
      <c r="A123" t="s">
        <v>202</v>
      </c>
      <c r="B123" t="s">
        <v>18</v>
      </c>
      <c r="C123" t="str">
        <f>IFERROR(_xlfn.XLOOKUP(A123,'E-Mail BD'!B:B,'E-Mail BD'!A:A),"-")</f>
        <v>026.438.913/0001-88</v>
      </c>
      <c r="D123" s="2" t="str">
        <f t="shared" si="2"/>
        <v>26438913000188</v>
      </c>
      <c r="E123" s="2" t="str">
        <f t="shared" si="3"/>
        <v>26438913</v>
      </c>
      <c r="F123" s="8">
        <f>IF($A123=""," ",IF(_xlfn.MINIFS(tblDados[[Data do recebimento do e-mail]:[Data do recebimento do e-mail]],tblDados[[Razão Social]:[Razão Social]],$A123)=0,"NÃO APARECEU AINDA",_xlfn.MINIFS(tblDados[[Data do recebimento do e-mail]:[Data do recebimento do e-mail]],tblDados[[Razão Social]:[Razão Social]],$A123)))</f>
        <v>45672</v>
      </c>
      <c r="G123" s="8">
        <f>IF($A123=""," ",IF(_xlfn.MAXIFS(tblDados[[Data do recebimento do e-mail]:[Data do recebimento do e-mail]],tblDados[[Razão Social]:[Razão Social]],$A123)=0,"NÃO APARECEU AINDA",_xlfn.MAXIFS(tblDados[[Data do recebimento do e-mail]:[Data do recebimento do e-mail]],tblDados[[Razão Social]:[Razão Social]],$A123)))</f>
        <v>45827</v>
      </c>
    </row>
    <row r="124" spans="1:7" hidden="1" x14ac:dyDescent="0.25">
      <c r="A124" t="s">
        <v>234</v>
      </c>
      <c r="B124" t="s">
        <v>4</v>
      </c>
      <c r="C124" t="str">
        <f>IFERROR(_xlfn.XLOOKUP(A124,'E-Mail BD'!B:B,'E-Mail BD'!A:A),"-")</f>
        <v>003.596.757/0001-88</v>
      </c>
      <c r="D124" s="2" t="str">
        <f t="shared" si="2"/>
        <v>03596757000188</v>
      </c>
      <c r="E124" s="2" t="str">
        <f t="shared" si="3"/>
        <v>03596757</v>
      </c>
      <c r="F124" s="8">
        <f>IF($A124=""," ",IF(_xlfn.MINIFS(tblDados[[Data do recebimento do e-mail]:[Data do recebimento do e-mail]],tblDados[[Razão Social]:[Razão Social]],$A124)=0,"NÃO APARECEU AINDA",_xlfn.MINIFS(tblDados[[Data do recebimento do e-mail]:[Data do recebimento do e-mail]],tblDados[[Razão Social]:[Razão Social]],$A124)))</f>
        <v>45737</v>
      </c>
      <c r="G124" s="8">
        <f>IF($A124=""," ",IF(_xlfn.MAXIFS(tblDados[[Data do recebimento do e-mail]:[Data do recebimento do e-mail]],tblDados[[Razão Social]:[Razão Social]],$A124)=0,"NÃO APARECEU AINDA",_xlfn.MAXIFS(tblDados[[Data do recebimento do e-mail]:[Data do recebimento do e-mail]],tblDados[[Razão Social]:[Razão Social]],$A124)))</f>
        <v>45737</v>
      </c>
    </row>
    <row r="125" spans="1:7" hidden="1" x14ac:dyDescent="0.25">
      <c r="A125" t="s">
        <v>203</v>
      </c>
      <c r="B125" t="s">
        <v>10</v>
      </c>
      <c r="C125" t="str">
        <f>IFERROR(_xlfn.XLOOKUP(A125,'E-Mail BD'!B:B,'E-Mail BD'!A:A),"-")</f>
        <v>021.420.856/0001-96</v>
      </c>
      <c r="D125" s="2" t="str">
        <f t="shared" si="2"/>
        <v>21420856000196</v>
      </c>
      <c r="E125" s="2" t="str">
        <f t="shared" si="3"/>
        <v>21420856</v>
      </c>
      <c r="F125" s="8">
        <f>IF($A125=""," ",IF(_xlfn.MINIFS(tblDados[[Data do recebimento do e-mail]:[Data do recebimento do e-mail]],tblDados[[Razão Social]:[Razão Social]],$A125)=0,"NÃO APARECEU AINDA",_xlfn.MINIFS(tblDados[[Data do recebimento do e-mail]:[Data do recebimento do e-mail]],tblDados[[Razão Social]:[Razão Social]],$A125)))</f>
        <v>45675</v>
      </c>
      <c r="G125" s="8">
        <f>IF($A125=""," ",IF(_xlfn.MAXIFS(tblDados[[Data do recebimento do e-mail]:[Data do recebimento do e-mail]],tblDados[[Razão Social]:[Razão Social]],$A125)=0,"NÃO APARECEU AINDA",_xlfn.MAXIFS(tblDados[[Data do recebimento do e-mail]:[Data do recebimento do e-mail]],tblDados[[Razão Social]:[Razão Social]],$A125)))</f>
        <v>45955</v>
      </c>
    </row>
    <row r="126" spans="1:7" hidden="1" x14ac:dyDescent="0.25">
      <c r="A126" t="s">
        <v>292</v>
      </c>
      <c r="B126" t="s">
        <v>25</v>
      </c>
      <c r="C126" t="str">
        <f>IFERROR(_xlfn.XLOOKUP(A126,'E-Mail BD'!B:B,'E-Mail BD'!A:A),"-")</f>
        <v>010.354.613/0001-80</v>
      </c>
      <c r="D126" s="2" t="str">
        <f t="shared" si="2"/>
        <v>10354613000180</v>
      </c>
      <c r="E126" s="2" t="str">
        <f t="shared" si="3"/>
        <v>10354613</v>
      </c>
      <c r="F126" s="8">
        <f>IF($A126=""," ",IF(_xlfn.MINIFS(tblDados[[Data do recebimento do e-mail]:[Data do recebimento do e-mail]],tblDados[[Razão Social]:[Razão Social]],$A126)=0,"NÃO APARECEU AINDA",_xlfn.MINIFS(tblDados[[Data do recebimento do e-mail]:[Data do recebimento do e-mail]],tblDados[[Razão Social]:[Razão Social]],$A126)))</f>
        <v>45799</v>
      </c>
      <c r="G126" s="8">
        <f>IF($A126=""," ",IF(_xlfn.MAXIFS(tblDados[[Data do recebimento do e-mail]:[Data do recebimento do e-mail]],tblDados[[Razão Social]:[Razão Social]],$A126)=0,"NÃO APARECEU AINDA",_xlfn.MAXIFS(tblDados[[Data do recebimento do e-mail]:[Data do recebimento do e-mail]],tblDados[[Razão Social]:[Razão Social]],$A126)))</f>
        <v>45980</v>
      </c>
    </row>
    <row r="127" spans="1:7" hidden="1" x14ac:dyDescent="0.25">
      <c r="A127" t="s">
        <v>299</v>
      </c>
      <c r="B127" t="s">
        <v>18</v>
      </c>
      <c r="C127" t="str">
        <f>IFERROR(_xlfn.XLOOKUP(A127,'E-Mail BD'!B:B,'E-Mail BD'!A:A),"-")</f>
        <v>007.645.213/0001-10</v>
      </c>
      <c r="D127" s="2" t="str">
        <f t="shared" si="2"/>
        <v>07645213000110</v>
      </c>
      <c r="E127" s="2" t="str">
        <f t="shared" si="3"/>
        <v>07645213</v>
      </c>
      <c r="F127" s="8">
        <f>IF($A127=""," ",IF(_xlfn.MINIFS(tblDados[[Data do recebimento do e-mail]:[Data do recebimento do e-mail]],tblDados[[Razão Social]:[Razão Social]],$A127)=0,"NÃO APARECEU AINDA",_xlfn.MINIFS(tblDados[[Data do recebimento do e-mail]:[Data do recebimento do e-mail]],tblDados[[Razão Social]:[Razão Social]],$A127)))</f>
        <v>45808</v>
      </c>
      <c r="G127" s="8">
        <f>IF($A127=""," ",IF(_xlfn.MAXIFS(tblDados[[Data do recebimento do e-mail]:[Data do recebimento do e-mail]],tblDados[[Razão Social]:[Razão Social]],$A127)=0,"NÃO APARECEU AINDA",_xlfn.MAXIFS(tblDados[[Data do recebimento do e-mail]:[Data do recebimento do e-mail]],tblDados[[Razão Social]:[Razão Social]],$A127)))</f>
        <v>45895</v>
      </c>
    </row>
    <row r="128" spans="1:7" hidden="1" x14ac:dyDescent="0.25">
      <c r="A128" t="s">
        <v>195</v>
      </c>
      <c r="B128" t="s">
        <v>18</v>
      </c>
      <c r="C128" t="str">
        <f>IFERROR(_xlfn.XLOOKUP(A128,'E-Mail BD'!B:B,'E-Mail BD'!A:A),"-")</f>
        <v>039.535.425/0001-30</v>
      </c>
      <c r="D128" s="2" t="str">
        <f t="shared" si="2"/>
        <v>39535425000130</v>
      </c>
      <c r="E128" s="2" t="str">
        <f t="shared" si="3"/>
        <v>39535425</v>
      </c>
      <c r="F128" s="8">
        <f>IF($A128=""," ",IF(_xlfn.MINIFS(tblDados[[Data do recebimento do e-mail]:[Data do recebimento do e-mail]],tblDados[[Razão Social]:[Razão Social]],$A128)=0,"NÃO APARECEU AINDA",_xlfn.MINIFS(tblDados[[Data do recebimento do e-mail]:[Data do recebimento do e-mail]],tblDados[[Razão Social]:[Razão Social]],$A128)))</f>
        <v>45650</v>
      </c>
      <c r="G128" s="8">
        <f>IF($A128=""," ",IF(_xlfn.MAXIFS(tblDados[[Data do recebimento do e-mail]:[Data do recebimento do e-mail]],tblDados[[Razão Social]:[Razão Social]],$A128)=0,"NÃO APARECEU AINDA",_xlfn.MAXIFS(tblDados[[Data do recebimento do e-mail]:[Data do recebimento do e-mail]],tblDados[[Razão Social]:[Razão Social]],$A128)))</f>
        <v>46000</v>
      </c>
    </row>
    <row r="129" spans="1:7" hidden="1" x14ac:dyDescent="0.25">
      <c r="A129" t="s">
        <v>199</v>
      </c>
      <c r="B129" t="s">
        <v>15</v>
      </c>
      <c r="C129" t="str">
        <f>IFERROR(_xlfn.XLOOKUP(A129,'E-Mail BD'!B:B,'E-Mail BD'!A:A),"-")</f>
        <v>007.906.793/0001-51</v>
      </c>
      <c r="D129" s="2" t="str">
        <f t="shared" si="2"/>
        <v>07906793000151</v>
      </c>
      <c r="E129" s="2" t="str">
        <f t="shared" si="3"/>
        <v>07906793</v>
      </c>
      <c r="F129" s="8">
        <f>IF($A129=""," ",IF(_xlfn.MINIFS(tblDados[[Data do recebimento do e-mail]:[Data do recebimento do e-mail]],tblDados[[Razão Social]:[Razão Social]],$A129)=0,"NÃO APARECEU AINDA",_xlfn.MINIFS(tblDados[[Data do recebimento do e-mail]:[Data do recebimento do e-mail]],tblDados[[Razão Social]:[Razão Social]],$A129)))</f>
        <v>45657</v>
      </c>
      <c r="G129" s="8">
        <f>IF($A129=""," ",IF(_xlfn.MAXIFS(tblDados[[Data do recebimento do e-mail]:[Data do recebimento do e-mail]],tblDados[[Razão Social]:[Razão Social]],$A129)=0,"NÃO APARECEU AINDA",_xlfn.MAXIFS(tblDados[[Data do recebimento do e-mail]:[Data do recebimento do e-mail]],tblDados[[Razão Social]:[Razão Social]],$A129)))</f>
        <v>45770</v>
      </c>
    </row>
    <row r="130" spans="1:7" hidden="1" x14ac:dyDescent="0.25">
      <c r="A130" t="s">
        <v>169</v>
      </c>
      <c r="B130" t="s">
        <v>15</v>
      </c>
      <c r="C130" t="str">
        <f>IFERROR(_xlfn.XLOOKUP(A130,'E-Mail BD'!B:B,'E-Mail BD'!A:A),"-")</f>
        <v>007.906.793/0001-51</v>
      </c>
      <c r="D130" s="2" t="str">
        <f t="shared" ref="D130:D192" si="4">IF(RIGHT(SUBSTITUTE(SUBSTITUTE(SUBSTITUTE(C130,".",""),"/",""),"-",""),14)="","-",RIGHT(SUBSTITUTE(SUBSTITUTE(SUBSTITUTE(C130,".",""),"/",""),"-",""),14))</f>
        <v>07906793000151</v>
      </c>
      <c r="E130" s="2" t="str">
        <f t="shared" si="3"/>
        <v>07906793</v>
      </c>
      <c r="F130" s="8">
        <f>IF($A130=""," ",IF(_xlfn.MINIFS(tblDados[[Data do recebimento do e-mail]:[Data do recebimento do e-mail]],tblDados[[Razão Social]:[Razão Social]],$A130)=0,"NÃO APARECEU AINDA",_xlfn.MINIFS(tblDados[[Data do recebimento do e-mail]:[Data do recebimento do e-mail]],tblDados[[Razão Social]:[Razão Social]],$A130)))</f>
        <v>45582</v>
      </c>
      <c r="G130" s="8">
        <f>IF($A130=""," ",IF(_xlfn.MAXIFS(tblDados[[Data do recebimento do e-mail]:[Data do recebimento do e-mail]],tblDados[[Razão Social]:[Razão Social]],$A130)=0,"NÃO APARECEU AINDA",_xlfn.MAXIFS(tblDados[[Data do recebimento do e-mail]:[Data do recebimento do e-mail]],tblDados[[Razão Social]:[Razão Social]],$A130)))</f>
        <v>45640</v>
      </c>
    </row>
    <row r="131" spans="1:7" hidden="1" x14ac:dyDescent="0.25">
      <c r="A131" t="s">
        <v>284</v>
      </c>
      <c r="B131" t="s">
        <v>24</v>
      </c>
      <c r="C131" t="str">
        <f>IFERROR(_xlfn.XLOOKUP(A131,'E-Mail BD'!B:B,'E-Mail BD'!A:A),"-")</f>
        <v>012.645.814/0001-62</v>
      </c>
      <c r="D131" s="2" t="str">
        <f t="shared" si="4"/>
        <v>12645814000162</v>
      </c>
      <c r="E131" s="2" t="str">
        <f t="shared" ref="E131:E194" si="5">LEFT($D131,8)</f>
        <v>12645814</v>
      </c>
      <c r="F131" s="8">
        <f>IF($A131=""," ",IF(_xlfn.MINIFS(tblDados[[Data do recebimento do e-mail]:[Data do recebimento do e-mail]],tblDados[[Razão Social]:[Razão Social]],$A131)=0,"NÃO APARECEU AINDA",_xlfn.MINIFS(tblDados[[Data do recebimento do e-mail]:[Data do recebimento do e-mail]],tblDados[[Razão Social]:[Razão Social]],$A131)))</f>
        <v>45793</v>
      </c>
      <c r="G131" s="8">
        <f>IF($A131=""," ",IF(_xlfn.MAXIFS(tblDados[[Data do recebimento do e-mail]:[Data do recebimento do e-mail]],tblDados[[Razão Social]:[Razão Social]],$A131)=0,"NÃO APARECEU AINDA",_xlfn.MAXIFS(tblDados[[Data do recebimento do e-mail]:[Data do recebimento do e-mail]],tblDados[[Razão Social]:[Razão Social]],$A131)))</f>
        <v>45920</v>
      </c>
    </row>
    <row r="132" spans="1:7" hidden="1" x14ac:dyDescent="0.25">
      <c r="A132" t="s">
        <v>242</v>
      </c>
      <c r="B132" t="s">
        <v>22</v>
      </c>
      <c r="C132" t="str">
        <f>IFERROR(_xlfn.XLOOKUP(A132,'E-Mail BD'!B:B,'E-Mail BD'!A:A),"-")</f>
        <v>001.535.822/0001-30</v>
      </c>
      <c r="D132" s="2" t="str">
        <f t="shared" si="4"/>
        <v>01535822000130</v>
      </c>
      <c r="E132" s="2" t="str">
        <f t="shared" si="5"/>
        <v>01535822</v>
      </c>
      <c r="F132" s="8">
        <f>IF($A132=""," ",IF(_xlfn.MINIFS(tblDados[[Data do recebimento do e-mail]:[Data do recebimento do e-mail]],tblDados[[Razão Social]:[Razão Social]],$A132)=0,"NÃO APARECEU AINDA",_xlfn.MINIFS(tblDados[[Data do recebimento do e-mail]:[Data do recebimento do e-mail]],tblDados[[Razão Social]:[Razão Social]],$A132)))</f>
        <v>45741</v>
      </c>
      <c r="G132" s="8">
        <f>IF($A132=""," ",IF(_xlfn.MAXIFS(tblDados[[Data do recebimento do e-mail]:[Data do recebimento do e-mail]],tblDados[[Razão Social]:[Razão Social]],$A132)=0,"NÃO APARECEU AINDA",_xlfn.MAXIFS(tblDados[[Data do recebimento do e-mail]:[Data do recebimento do e-mail]],tblDados[[Razão Social]:[Razão Social]],$A132)))</f>
        <v>45988</v>
      </c>
    </row>
    <row r="133" spans="1:7" hidden="1" x14ac:dyDescent="0.25">
      <c r="A133" t="s">
        <v>303</v>
      </c>
      <c r="B133" t="s">
        <v>13</v>
      </c>
      <c r="C133" t="str">
        <f>IFERROR(_xlfn.XLOOKUP(A133,'E-Mail BD'!B:B,'E-Mail BD'!A:A),"-")</f>
        <v>052.755.043/0001-80</v>
      </c>
      <c r="D133" s="2" t="str">
        <f t="shared" si="4"/>
        <v>52755043000180</v>
      </c>
      <c r="E133" s="2" t="str">
        <f t="shared" si="5"/>
        <v>52755043</v>
      </c>
      <c r="F133" s="8">
        <f>IF($A133=""," ",IF(_xlfn.MINIFS(tblDados[[Data do recebimento do e-mail]:[Data do recebimento do e-mail]],tblDados[[Razão Social]:[Razão Social]],$A133)=0,"NÃO APARECEU AINDA",_xlfn.MINIFS(tblDados[[Data do recebimento do e-mail]:[Data do recebimento do e-mail]],tblDados[[Razão Social]:[Razão Social]],$A133)))</f>
        <v>45818</v>
      </c>
      <c r="G133" s="8">
        <f>IF($A133=""," ",IF(_xlfn.MAXIFS(tblDados[[Data do recebimento do e-mail]:[Data do recebimento do e-mail]],tblDados[[Razão Social]:[Razão Social]],$A133)=0,"NÃO APARECEU AINDA",_xlfn.MAXIFS(tblDados[[Data do recebimento do e-mail]:[Data do recebimento do e-mail]],tblDados[[Razão Social]:[Razão Social]],$A133)))</f>
        <v>46000</v>
      </c>
    </row>
    <row r="134" spans="1:7" hidden="1" x14ac:dyDescent="0.25">
      <c r="A134" t="s">
        <v>231</v>
      </c>
      <c r="B134" t="s">
        <v>19</v>
      </c>
      <c r="C134" t="str">
        <f>IFERROR(_xlfn.XLOOKUP(A134,'E-Mail BD'!B:B,'E-Mail BD'!A:A),"-")</f>
        <v>007.509.304/0001-28</v>
      </c>
      <c r="D134" s="2" t="str">
        <f t="shared" si="4"/>
        <v>07509304000128</v>
      </c>
      <c r="E134" s="2" t="str">
        <f t="shared" si="5"/>
        <v>07509304</v>
      </c>
      <c r="F134" s="8">
        <f>IF($A134=""," ",IF(_xlfn.MINIFS(tblDados[[Data do recebimento do e-mail]:[Data do recebimento do e-mail]],tblDados[[Razão Social]:[Razão Social]],$A134)=0,"NÃO APARECEU AINDA",_xlfn.MINIFS(tblDados[[Data do recebimento do e-mail]:[Data do recebimento do e-mail]],tblDados[[Razão Social]:[Razão Social]],$A134)))</f>
        <v>45694</v>
      </c>
      <c r="G134" s="8">
        <f>IF($A134=""," ",IF(_xlfn.MAXIFS(tblDados[[Data do recebimento do e-mail]:[Data do recebimento do e-mail]],tblDados[[Razão Social]:[Razão Social]],$A134)=0,"NÃO APARECEU AINDA",_xlfn.MAXIFS(tblDados[[Data do recebimento do e-mail]:[Data do recebimento do e-mail]],tblDados[[Razão Social]:[Razão Social]],$A134)))</f>
        <v>45737</v>
      </c>
    </row>
    <row r="135" spans="1:7" hidden="1" x14ac:dyDescent="0.25">
      <c r="A135" t="s">
        <v>90</v>
      </c>
      <c r="B135" t="s">
        <v>16</v>
      </c>
      <c r="C135" t="str">
        <f>IFERROR(_xlfn.XLOOKUP(A135,'E-Mail BD'!B:B,'E-Mail BD'!A:A),"-")</f>
        <v>031.509.494/0001-68</v>
      </c>
      <c r="D135" s="2" t="str">
        <f t="shared" si="4"/>
        <v>31509494000168</v>
      </c>
      <c r="E135" s="2" t="str">
        <f t="shared" si="5"/>
        <v>31509494</v>
      </c>
      <c r="F135" s="8">
        <f>IF($A135=""," ",IF(_xlfn.MINIFS(tblDados[[Data do recebimento do e-mail]:[Data do recebimento do e-mail]],tblDados[[Razão Social]:[Razão Social]],$A135)=0,"NÃO APARECEU AINDA",_xlfn.MINIFS(tblDados[[Data do recebimento do e-mail]:[Data do recebimento do e-mail]],tblDados[[Razão Social]:[Razão Social]],$A135)))</f>
        <v>45537</v>
      </c>
      <c r="G135" s="8">
        <f>IF($A135=""," ",IF(_xlfn.MAXIFS(tblDados[[Data do recebimento do e-mail]:[Data do recebimento do e-mail]],tblDados[[Razão Social]:[Razão Social]],$A135)=0,"NÃO APARECEU AINDA",_xlfn.MAXIFS(tblDados[[Data do recebimento do e-mail]:[Data do recebimento do e-mail]],tblDados[[Razão Social]:[Razão Social]],$A135)))</f>
        <v>45690</v>
      </c>
    </row>
    <row r="136" spans="1:7" hidden="1" x14ac:dyDescent="0.25">
      <c r="A136" t="s">
        <v>196</v>
      </c>
      <c r="B136" t="s">
        <v>21</v>
      </c>
      <c r="C136" t="str">
        <f>IFERROR(_xlfn.XLOOKUP(A136,'E-Mail BD'!B:B,'E-Mail BD'!A:A),"-")</f>
        <v>042.276.517/0001-58</v>
      </c>
      <c r="D136" s="2" t="str">
        <f t="shared" si="4"/>
        <v>42276517000158</v>
      </c>
      <c r="E136" s="2" t="str">
        <f t="shared" si="5"/>
        <v>42276517</v>
      </c>
      <c r="F136" s="8">
        <f>IF($A136=""," ",IF(_xlfn.MINIFS(tblDados[[Data do recebimento do e-mail]:[Data do recebimento do e-mail]],tblDados[[Razão Social]:[Razão Social]],$A136)=0,"NÃO APARECEU AINDA",_xlfn.MINIFS(tblDados[[Data do recebimento do e-mail]:[Data do recebimento do e-mail]],tblDados[[Razão Social]:[Razão Social]],$A136)))</f>
        <v>45650</v>
      </c>
      <c r="G136" s="8">
        <f>IF($A136=""," ",IF(_xlfn.MAXIFS(tblDados[[Data do recebimento do e-mail]:[Data do recebimento do e-mail]],tblDados[[Razão Social]:[Razão Social]],$A136)=0,"NÃO APARECEU AINDA",_xlfn.MAXIFS(tblDados[[Data do recebimento do e-mail]:[Data do recebimento do e-mail]],tblDados[[Razão Social]:[Razão Social]],$A136)))</f>
        <v>45933</v>
      </c>
    </row>
    <row r="137" spans="1:7" hidden="1" x14ac:dyDescent="0.25">
      <c r="A137" t="s">
        <v>182</v>
      </c>
      <c r="B137" t="s">
        <v>21</v>
      </c>
      <c r="C137" t="str">
        <f>IFERROR(_xlfn.XLOOKUP(A137,'E-Mail BD'!B:B,'E-Mail BD'!A:A),"-")</f>
        <v>042.276.517/0001-58</v>
      </c>
      <c r="D137" s="2" t="str">
        <f t="shared" si="4"/>
        <v>42276517000158</v>
      </c>
      <c r="E137" s="2" t="str">
        <f t="shared" si="5"/>
        <v>42276517</v>
      </c>
      <c r="F137" s="8">
        <f>IF($A137=""," ",IF(_xlfn.MINIFS(tblDados[[Data do recebimento do e-mail]:[Data do recebimento do e-mail]],tblDados[[Razão Social]:[Razão Social]],$A137)=0,"NÃO APARECEU AINDA",_xlfn.MINIFS(tblDados[[Data do recebimento do e-mail]:[Data do recebimento do e-mail]],tblDados[[Razão Social]:[Razão Social]],$A137)))</f>
        <v>45597</v>
      </c>
      <c r="G137" s="8">
        <f>IF($A137=""," ",IF(_xlfn.MAXIFS(tblDados[[Data do recebimento do e-mail]:[Data do recebimento do e-mail]],tblDados[[Razão Social]:[Razão Social]],$A137)=0,"NÃO APARECEU AINDA",_xlfn.MAXIFS(tblDados[[Data do recebimento do e-mail]:[Data do recebimento do e-mail]],tblDados[[Razão Social]:[Razão Social]],$A137)))</f>
        <v>45644</v>
      </c>
    </row>
    <row r="138" spans="1:7" hidden="1" x14ac:dyDescent="0.25">
      <c r="A138" t="s">
        <v>540</v>
      </c>
      <c r="B138" t="s">
        <v>4</v>
      </c>
      <c r="C138" t="str">
        <f>IFERROR(_xlfn.XLOOKUP(A138,'E-Mail BD'!B:B,'E-Mail BD'!A:A),"-")</f>
        <v>044.921.612/0001-92</v>
      </c>
      <c r="D138" s="2" t="str">
        <f t="shared" si="4"/>
        <v>44921612000192</v>
      </c>
      <c r="E138" s="2" t="str">
        <f t="shared" si="5"/>
        <v>44921612</v>
      </c>
      <c r="F138" s="8">
        <f>IF($A138=""," ",IF(_xlfn.MINIFS(tblDados[[Data do recebimento do e-mail]:[Data do recebimento do e-mail]],tblDados[[Razão Social]:[Razão Social]],$A138)=0,"NÃO APARECEU AINDA",_xlfn.MINIFS(tblDados[[Data do recebimento do e-mail]:[Data do recebimento do e-mail]],tblDados[[Razão Social]:[Razão Social]],$A138)))</f>
        <v>45834</v>
      </c>
      <c r="G138" s="8">
        <f>IF($A138=""," ",IF(_xlfn.MAXIFS(tblDados[[Data do recebimento do e-mail]:[Data do recebimento do e-mail]],tblDados[[Razão Social]:[Razão Social]],$A138)=0,"NÃO APARECEU AINDA",_xlfn.MAXIFS(tblDados[[Data do recebimento do e-mail]:[Data do recebimento do e-mail]],tblDados[[Razão Social]:[Razão Social]],$A138)))</f>
        <v>45913</v>
      </c>
    </row>
    <row r="139" spans="1:7" hidden="1" x14ac:dyDescent="0.25">
      <c r="A139" t="s">
        <v>567</v>
      </c>
      <c r="B139" t="s">
        <v>4</v>
      </c>
      <c r="C139" t="str">
        <f>IFERROR(_xlfn.XLOOKUP(A139,'E-Mail BD'!B:B,'E-Mail BD'!A:A),"-")</f>
        <v>050.777.509/0001-13</v>
      </c>
      <c r="D139" s="2" t="str">
        <f t="shared" si="4"/>
        <v>50777509000113</v>
      </c>
      <c r="E139" s="2" t="str">
        <f t="shared" si="5"/>
        <v>50777509</v>
      </c>
      <c r="F139" s="8">
        <f>IF($A139=""," ",IF(_xlfn.MINIFS(tblDados[[Data do recebimento do e-mail]:[Data do recebimento do e-mail]],tblDados[[Razão Social]:[Razão Social]],$A139)=0,"NÃO APARECEU AINDA",_xlfn.MINIFS(tblDados[[Data do recebimento do e-mail]:[Data do recebimento do e-mail]],tblDados[[Razão Social]:[Razão Social]],$A139)))</f>
        <v>45930</v>
      </c>
      <c r="G139" s="8">
        <f>IF($A139=""," ",IF(_xlfn.MAXIFS(tblDados[[Data do recebimento do e-mail]:[Data do recebimento do e-mail]],tblDados[[Razão Social]:[Razão Social]],$A139)=0,"NÃO APARECEU AINDA",_xlfn.MAXIFS(tblDados[[Data do recebimento do e-mail]:[Data do recebimento do e-mail]],tblDados[[Razão Social]:[Razão Social]],$A139)))</f>
        <v>45930</v>
      </c>
    </row>
    <row r="140" spans="1:7" hidden="1" x14ac:dyDescent="0.25">
      <c r="A140" t="s">
        <v>106</v>
      </c>
      <c r="B140" t="s">
        <v>17</v>
      </c>
      <c r="C140" t="str">
        <f>IFERROR(_xlfn.XLOOKUP(A140,'E-Mail BD'!B:B,'E-Mail BD'!A:A),"-")</f>
        <v>014.829.598/0001-30</v>
      </c>
      <c r="D140" s="2" t="str">
        <f t="shared" si="4"/>
        <v>14829598000130</v>
      </c>
      <c r="E140" s="2" t="str">
        <f t="shared" si="5"/>
        <v>14829598</v>
      </c>
      <c r="F140" s="8">
        <f>IF($A140=""," ",IF(_xlfn.MINIFS(tblDados[[Data do recebimento do e-mail]:[Data do recebimento do e-mail]],tblDados[[Razão Social]:[Razão Social]],$A140)=0,"NÃO APARECEU AINDA",_xlfn.MINIFS(tblDados[[Data do recebimento do e-mail]:[Data do recebimento do e-mail]],tblDados[[Razão Social]:[Razão Social]],$A140)))</f>
        <v>45540</v>
      </c>
      <c r="G140" s="8">
        <f>IF($A140=""," ",IF(_xlfn.MAXIFS(tblDados[[Data do recebimento do e-mail]:[Data do recebimento do e-mail]],tblDados[[Razão Social]:[Razão Social]],$A140)=0,"NÃO APARECEU AINDA",_xlfn.MAXIFS(tblDados[[Data do recebimento do e-mail]:[Data do recebimento do e-mail]],tblDados[[Razão Social]:[Razão Social]],$A140)))</f>
        <v>46003</v>
      </c>
    </row>
    <row r="141" spans="1:7" hidden="1" x14ac:dyDescent="0.25">
      <c r="A141" t="s">
        <v>573</v>
      </c>
      <c r="B141" t="s">
        <v>618</v>
      </c>
      <c r="C141" t="str">
        <f>IFERROR(_xlfn.XLOOKUP(A141,'E-Mail BD'!B:B,'E-Mail BD'!A:A),"-")</f>
        <v>030.582.342/0001-28</v>
      </c>
      <c r="D141" s="2" t="str">
        <f t="shared" si="4"/>
        <v>30582342000128</v>
      </c>
      <c r="E141" s="2" t="str">
        <f t="shared" si="5"/>
        <v>30582342</v>
      </c>
      <c r="F141" s="8">
        <f>IF($A141=""," ",IF(_xlfn.MINIFS(tblDados[[Data do recebimento do e-mail]:[Data do recebimento do e-mail]],tblDados[[Razão Social]:[Razão Social]],$A141)=0,"NÃO APARECEU AINDA",_xlfn.MINIFS(tblDados[[Data do recebimento do e-mail]:[Data do recebimento do e-mail]],tblDados[[Razão Social]:[Razão Social]],$A141)))</f>
        <v>45948</v>
      </c>
      <c r="G141" s="8">
        <f>IF($A141=""," ",IF(_xlfn.MAXIFS(tblDados[[Data do recebimento do e-mail]:[Data do recebimento do e-mail]],tblDados[[Razão Social]:[Razão Social]],$A141)=0,"NÃO APARECEU AINDA",_xlfn.MAXIFS(tblDados[[Data do recebimento do e-mail]:[Data do recebimento do e-mail]],tblDados[[Razão Social]:[Razão Social]],$A141)))</f>
        <v>45948</v>
      </c>
    </row>
    <row r="142" spans="1:7" hidden="1" x14ac:dyDescent="0.25">
      <c r="A142" t="s">
        <v>133</v>
      </c>
      <c r="B142" t="s">
        <v>16</v>
      </c>
      <c r="C142" t="str">
        <f>IFERROR(_xlfn.XLOOKUP(A142,'E-Mail BD'!B:B,'E-Mail BD'!A:A),"-")</f>
        <v>017.274.123/0001-13</v>
      </c>
      <c r="D142" s="2" t="str">
        <f t="shared" si="4"/>
        <v>17274123000113</v>
      </c>
      <c r="E142" s="2" t="str">
        <f t="shared" si="5"/>
        <v>17274123</v>
      </c>
      <c r="F142" s="8">
        <f>IF($A142=""," ",IF(_xlfn.MINIFS(tblDados[[Data do recebimento do e-mail]:[Data do recebimento do e-mail]],tblDados[[Razão Social]:[Razão Social]],$A142)=0,"NÃO APARECEU AINDA",_xlfn.MINIFS(tblDados[[Data do recebimento do e-mail]:[Data do recebimento do e-mail]],tblDados[[Razão Social]:[Razão Social]],$A142)))</f>
        <v>45551</v>
      </c>
      <c r="G142" s="8">
        <f>IF($A142=""," ",IF(_xlfn.MAXIFS(tblDados[[Data do recebimento do e-mail]:[Data do recebimento do e-mail]],tblDados[[Razão Social]:[Razão Social]],$A142)=0,"NÃO APARECEU AINDA",_xlfn.MAXIFS(tblDados[[Data do recebimento do e-mail]:[Data do recebimento do e-mail]],tblDados[[Razão Social]:[Razão Social]],$A142)))</f>
        <v>45596</v>
      </c>
    </row>
    <row r="143" spans="1:7" hidden="1" x14ac:dyDescent="0.25">
      <c r="A143" t="s">
        <v>252</v>
      </c>
      <c r="B143" t="s">
        <v>4</v>
      </c>
      <c r="C143" t="str">
        <f>IFERROR(_xlfn.XLOOKUP(A143,'E-Mail BD'!B:B,'E-Mail BD'!A:A),"-")</f>
        <v>030.233.156/0001-83</v>
      </c>
      <c r="D143" s="2" t="str">
        <f t="shared" si="4"/>
        <v>30233156000183</v>
      </c>
      <c r="E143" s="2" t="str">
        <f t="shared" si="5"/>
        <v>30233156</v>
      </c>
      <c r="F143" s="8">
        <f>IF($A143=""," ",IF(_xlfn.MINIFS(tblDados[[Data do recebimento do e-mail]:[Data do recebimento do e-mail]],tblDados[[Razão Social]:[Razão Social]],$A143)=0,"NÃO APARECEU AINDA",_xlfn.MINIFS(tblDados[[Data do recebimento do e-mail]:[Data do recebimento do e-mail]],tblDados[[Razão Social]:[Razão Social]],$A143)))</f>
        <v>45752</v>
      </c>
      <c r="G143" s="8">
        <f>IF($A143=""," ",IF(_xlfn.MAXIFS(tblDados[[Data do recebimento do e-mail]:[Data do recebimento do e-mail]],tblDados[[Razão Social]:[Razão Social]],$A143)=0,"NÃO APARECEU AINDA",_xlfn.MAXIFS(tblDados[[Data do recebimento do e-mail]:[Data do recebimento do e-mail]],tblDados[[Razão Social]:[Razão Social]],$A143)))</f>
        <v>45752</v>
      </c>
    </row>
    <row r="144" spans="1:7" hidden="1" x14ac:dyDescent="0.25">
      <c r="A144" t="s">
        <v>649</v>
      </c>
      <c r="B144" t="s">
        <v>7</v>
      </c>
      <c r="C144" t="str">
        <f>IFERROR(_xlfn.XLOOKUP(A144,'E-Mail BD'!B:B,'E-Mail BD'!A:A),"-")</f>
        <v>020.066.300/0001-80</v>
      </c>
      <c r="D144" s="2" t="str">
        <f t="shared" si="4"/>
        <v>20066300000180</v>
      </c>
      <c r="E144" s="2" t="str">
        <f t="shared" si="5"/>
        <v>20066300</v>
      </c>
      <c r="F144" s="8">
        <f>IF($A144=""," ",IF(_xlfn.MINIFS(tblDados[[Data do recebimento do e-mail]:[Data do recebimento do e-mail]],tblDados[[Razão Social]:[Razão Social]],$A144)=0,"NÃO APARECEU AINDA",_xlfn.MINIFS(tblDados[[Data do recebimento do e-mail]:[Data do recebimento do e-mail]],tblDados[[Razão Social]:[Razão Social]],$A144)))</f>
        <v>45874</v>
      </c>
      <c r="G144" s="8">
        <f>IF($A144=""," ",IF(_xlfn.MAXIFS(tblDados[[Data do recebimento do e-mail]:[Data do recebimento do e-mail]],tblDados[[Razão Social]:[Razão Social]],$A144)=0,"NÃO APARECEU AINDA",_xlfn.MAXIFS(tblDados[[Data do recebimento do e-mail]:[Data do recebimento do e-mail]],tblDados[[Razão Social]:[Razão Social]],$A144)))</f>
        <v>45905</v>
      </c>
    </row>
    <row r="145" spans="1:7" hidden="1" x14ac:dyDescent="0.25">
      <c r="A145" t="s">
        <v>80</v>
      </c>
      <c r="B145" t="s">
        <v>7</v>
      </c>
      <c r="C145" t="str">
        <f>IFERROR(_xlfn.XLOOKUP(A145,'E-Mail BD'!B:B,'E-Mail BD'!A:A),"-")</f>
        <v>020.066.300/0001-80</v>
      </c>
      <c r="D145" s="2" t="str">
        <f t="shared" si="4"/>
        <v>20066300000180</v>
      </c>
      <c r="E145" s="2" t="str">
        <f t="shared" si="5"/>
        <v>20066300</v>
      </c>
      <c r="F145" s="8">
        <f>IF($A145=""," ",IF(_xlfn.MINIFS(tblDados[[Data do recebimento do e-mail]:[Data do recebimento do e-mail]],tblDados[[Razão Social]:[Razão Social]],$A145)=0,"NÃO APARECEU AINDA",_xlfn.MINIFS(tblDados[[Data do recebimento do e-mail]:[Data do recebimento do e-mail]],tblDados[[Razão Social]:[Razão Social]],$A145)))</f>
        <v>45537</v>
      </c>
      <c r="G145" s="8">
        <f>IF($A145=""," ",IF(_xlfn.MAXIFS(tblDados[[Data do recebimento do e-mail]:[Data do recebimento do e-mail]],tblDados[[Razão Social]:[Razão Social]],$A145)=0,"NÃO APARECEU AINDA",_xlfn.MAXIFS(tblDados[[Data do recebimento do e-mail]:[Data do recebimento do e-mail]],tblDados[[Razão Social]:[Razão Social]],$A145)))</f>
        <v>45870</v>
      </c>
    </row>
    <row r="146" spans="1:7" hidden="1" x14ac:dyDescent="0.25">
      <c r="A146" t="s">
        <v>104</v>
      </c>
      <c r="B146" t="s">
        <v>8</v>
      </c>
      <c r="C146" t="str">
        <f>IFERROR(_xlfn.XLOOKUP(A146,'E-Mail BD'!B:B,'E-Mail BD'!A:A),"-")</f>
        <v>016.757.535/0001-41</v>
      </c>
      <c r="D146" s="2" t="str">
        <f t="shared" si="4"/>
        <v>16757535000141</v>
      </c>
      <c r="E146" s="2" t="str">
        <f t="shared" si="5"/>
        <v>16757535</v>
      </c>
      <c r="F146" s="8">
        <f>IF($A146=""," ",IF(_xlfn.MINIFS(tblDados[[Data do recebimento do e-mail]:[Data do recebimento do e-mail]],tblDados[[Razão Social]:[Razão Social]],$A146)=0,"NÃO APARECEU AINDA",_xlfn.MINIFS(tblDados[[Data do recebimento do e-mail]:[Data do recebimento do e-mail]],tblDados[[Razão Social]:[Razão Social]],$A146)))</f>
        <v>45540</v>
      </c>
      <c r="G146" s="8">
        <f>IF($A146=""," ",IF(_xlfn.MAXIFS(tblDados[[Data do recebimento do e-mail]:[Data do recebimento do e-mail]],tblDados[[Razão Social]:[Razão Social]],$A146)=0,"NÃO APARECEU AINDA",_xlfn.MAXIFS(tblDados[[Data do recebimento do e-mail]:[Data do recebimento do e-mail]],tblDados[[Razão Social]:[Razão Social]],$A146)))</f>
        <v>45990</v>
      </c>
    </row>
    <row r="147" spans="1:7" hidden="1" x14ac:dyDescent="0.25">
      <c r="A147" t="s">
        <v>204</v>
      </c>
      <c r="B147" t="s">
        <v>13</v>
      </c>
      <c r="C147" t="str">
        <f>IFERROR(_xlfn.XLOOKUP(A147,'E-Mail BD'!B:B,'E-Mail BD'!A:A),"-")</f>
        <v>026.416.177/0001-67</v>
      </c>
      <c r="D147" s="2" t="str">
        <f t="shared" si="4"/>
        <v>26416177000167</v>
      </c>
      <c r="E147" s="2" t="str">
        <f t="shared" si="5"/>
        <v>26416177</v>
      </c>
      <c r="F147" s="8">
        <f>IF($A147=""," ",IF(_xlfn.MINIFS(tblDados[[Data do recebimento do e-mail]:[Data do recebimento do e-mail]],tblDados[[Razão Social]:[Razão Social]],$A147)=0,"NÃO APARECEU AINDA",_xlfn.MINIFS(tblDados[[Data do recebimento do e-mail]:[Data do recebimento do e-mail]],tblDados[[Razão Social]:[Razão Social]],$A147)))</f>
        <v>45675</v>
      </c>
      <c r="G147" s="8">
        <f>IF($A147=""," ",IF(_xlfn.MAXIFS(tblDados[[Data do recebimento do e-mail]:[Data do recebimento do e-mail]],tblDados[[Razão Social]:[Razão Social]],$A147)=0,"NÃO APARECEU AINDA",_xlfn.MAXIFS(tblDados[[Data do recebimento do e-mail]:[Data do recebimento do e-mail]],tblDados[[Razão Social]:[Razão Social]],$A147)))</f>
        <v>45944</v>
      </c>
    </row>
    <row r="148" spans="1:7" hidden="1" x14ac:dyDescent="0.25">
      <c r="A148" t="s">
        <v>113</v>
      </c>
      <c r="B148" t="s">
        <v>13</v>
      </c>
      <c r="C148" t="str">
        <f>IFERROR(_xlfn.XLOOKUP(A148,'E-Mail BD'!B:B,'E-Mail BD'!A:A),"-")</f>
        <v>034.821.586/0001-77</v>
      </c>
      <c r="D148" s="2" t="str">
        <f t="shared" si="4"/>
        <v>34821586000177</v>
      </c>
      <c r="E148" s="2" t="str">
        <f t="shared" si="5"/>
        <v>34821586</v>
      </c>
      <c r="F148" s="8">
        <f>IF($A148=""," ",IF(_xlfn.MINIFS(tblDados[[Data do recebimento do e-mail]:[Data do recebimento do e-mail]],tblDados[[Razão Social]:[Razão Social]],$A148)=0,"NÃO APARECEU AINDA",_xlfn.MINIFS(tblDados[[Data do recebimento do e-mail]:[Data do recebimento do e-mail]],tblDados[[Razão Social]:[Razão Social]],$A148)))</f>
        <v>45544</v>
      </c>
      <c r="G148" s="8">
        <f>IF($A148=""," ",IF(_xlfn.MAXIFS(tblDados[[Data do recebimento do e-mail]:[Data do recebimento do e-mail]],tblDados[[Razão Social]:[Razão Social]],$A148)=0,"NÃO APARECEU AINDA",_xlfn.MAXIFS(tblDados[[Data do recebimento do e-mail]:[Data do recebimento do e-mail]],tblDados[[Razão Social]:[Razão Social]],$A148)))</f>
        <v>45897</v>
      </c>
    </row>
    <row r="149" spans="1:7" hidden="1" x14ac:dyDescent="0.25">
      <c r="A149" t="s">
        <v>313</v>
      </c>
      <c r="B149" t="s">
        <v>25</v>
      </c>
      <c r="C149" t="str">
        <f>IFERROR(_xlfn.XLOOKUP(A149,'E-Mail BD'!B:B,'E-Mail BD'!A:A),"-")</f>
        <v>049.915.471/0001-19</v>
      </c>
      <c r="D149" s="2" t="str">
        <f t="shared" si="4"/>
        <v>49915471000119</v>
      </c>
      <c r="E149" s="2" t="str">
        <f t="shared" si="5"/>
        <v>49915471</v>
      </c>
      <c r="F149" s="8">
        <f>IF($A149=""," ",IF(_xlfn.MINIFS(tblDados[[Data do recebimento do e-mail]:[Data do recebimento do e-mail]],tblDados[[Razão Social]:[Razão Social]],$A149)=0,"NÃO APARECEU AINDA",_xlfn.MINIFS(tblDados[[Data do recebimento do e-mail]:[Data do recebimento do e-mail]],tblDados[[Razão Social]:[Razão Social]],$A149)))</f>
        <v>45821</v>
      </c>
      <c r="G149" s="8">
        <f>IF($A149=""," ",IF(_xlfn.MAXIFS(tblDados[[Data do recebimento do e-mail]:[Data do recebimento do e-mail]],tblDados[[Razão Social]:[Razão Social]],$A149)=0,"NÃO APARECEU AINDA",_xlfn.MAXIFS(tblDados[[Data do recebimento do e-mail]:[Data do recebimento do e-mail]],tblDados[[Razão Social]:[Razão Social]],$A149)))</f>
        <v>45821</v>
      </c>
    </row>
    <row r="150" spans="1:7" hidden="1" x14ac:dyDescent="0.25">
      <c r="A150" t="s">
        <v>238</v>
      </c>
      <c r="B150" t="s">
        <v>18</v>
      </c>
      <c r="C150" t="str">
        <f>IFERROR(_xlfn.XLOOKUP(A150,'E-Mail BD'!B:B,'E-Mail BD'!A:A),"-")</f>
        <v>030.104.393/0001-44</v>
      </c>
      <c r="D150" s="2" t="str">
        <f t="shared" si="4"/>
        <v>30104393000144</v>
      </c>
      <c r="E150" s="2" t="str">
        <f t="shared" si="5"/>
        <v>30104393</v>
      </c>
      <c r="F150" s="8">
        <f>IF($A150=""," ",IF(_xlfn.MINIFS(tblDados[[Data do recebimento do e-mail]:[Data do recebimento do e-mail]],tblDados[[Razão Social]:[Razão Social]],$A150)=0,"NÃO APARECEU AINDA",_xlfn.MINIFS(tblDados[[Data do recebimento do e-mail]:[Data do recebimento do e-mail]],tblDados[[Razão Social]:[Razão Social]],$A150)))</f>
        <v>45737</v>
      </c>
      <c r="G150" s="8">
        <f>IF($A150=""," ",IF(_xlfn.MAXIFS(tblDados[[Data do recebimento do e-mail]:[Data do recebimento do e-mail]],tblDados[[Razão Social]:[Razão Social]],$A150)=0,"NÃO APARECEU AINDA",_xlfn.MAXIFS(tblDados[[Data do recebimento do e-mail]:[Data do recebimento do e-mail]],tblDados[[Razão Social]:[Razão Social]],$A150)))</f>
        <v>45737</v>
      </c>
    </row>
    <row r="151" spans="1:7" hidden="1" x14ac:dyDescent="0.25">
      <c r="A151" t="s">
        <v>216</v>
      </c>
      <c r="B151" t="s">
        <v>4</v>
      </c>
      <c r="C151" t="str">
        <f>IFERROR(_xlfn.XLOOKUP(A151,'E-Mail BD'!B:B,'E-Mail BD'!A:A),"-")</f>
        <v>024.271.279/0001-06</v>
      </c>
      <c r="D151" s="2" t="str">
        <f t="shared" si="4"/>
        <v>24271279000106</v>
      </c>
      <c r="E151" s="2" t="str">
        <f t="shared" si="5"/>
        <v>24271279</v>
      </c>
      <c r="F151" s="8">
        <f>IF($A151=""," ",IF(_xlfn.MINIFS(tblDados[[Data do recebimento do e-mail]:[Data do recebimento do e-mail]],tblDados[[Razão Social]:[Razão Social]],$A151)=0,"NÃO APARECEU AINDA",_xlfn.MINIFS(tblDados[[Data do recebimento do e-mail]:[Data do recebimento do e-mail]],tblDados[[Razão Social]:[Razão Social]],$A151)))</f>
        <v>45682</v>
      </c>
      <c r="G151" s="8">
        <f>IF($A151=""," ",IF(_xlfn.MAXIFS(tblDados[[Data do recebimento do e-mail]:[Data do recebimento do e-mail]],tblDados[[Razão Social]:[Razão Social]],$A151)=0,"NÃO APARECEU AINDA",_xlfn.MAXIFS(tblDados[[Data do recebimento do e-mail]:[Data do recebimento do e-mail]],tblDados[[Razão Social]:[Razão Social]],$A151)))</f>
        <v>45878</v>
      </c>
    </row>
    <row r="152" spans="1:7" hidden="1" x14ac:dyDescent="0.25">
      <c r="A152" t="s">
        <v>251</v>
      </c>
      <c r="B152" t="s">
        <v>22</v>
      </c>
      <c r="C152" t="str">
        <f>IFERROR(_xlfn.XLOOKUP(A152,'E-Mail BD'!B:B,'E-Mail BD'!A:A),"-")</f>
        <v>055.466.241/0001-12</v>
      </c>
      <c r="D152" s="2" t="str">
        <f t="shared" si="4"/>
        <v>55466241000112</v>
      </c>
      <c r="E152" s="2" t="str">
        <f t="shared" si="5"/>
        <v>55466241</v>
      </c>
      <c r="F152" s="8">
        <f>IF($A152=""," ",IF(_xlfn.MINIFS(tblDados[[Data do recebimento do e-mail]:[Data do recebimento do e-mail]],tblDados[[Razão Social]:[Razão Social]],$A152)=0,"NÃO APARECEU AINDA",_xlfn.MINIFS(tblDados[[Data do recebimento do e-mail]:[Data do recebimento do e-mail]],tblDados[[Razão Social]:[Razão Social]],$A152)))</f>
        <v>45751</v>
      </c>
      <c r="G152" s="8">
        <f>IF($A152=""," ",IF(_xlfn.MAXIFS(tblDados[[Data do recebimento do e-mail]:[Data do recebimento do e-mail]],tblDados[[Razão Social]:[Razão Social]],$A152)=0,"NÃO APARECEU AINDA",_xlfn.MAXIFS(tblDados[[Data do recebimento do e-mail]:[Data do recebimento do e-mail]],tblDados[[Razão Social]:[Razão Social]],$A152)))</f>
        <v>45993</v>
      </c>
    </row>
    <row r="153" spans="1:7" hidden="1" x14ac:dyDescent="0.25">
      <c r="A153" t="s">
        <v>148</v>
      </c>
      <c r="B153" t="s">
        <v>17</v>
      </c>
      <c r="C153" t="str">
        <f>IFERROR(_xlfn.XLOOKUP(A153,'E-Mail BD'!B:B,'E-Mail BD'!A:A),"-")</f>
        <v>014.514.481/0001-68</v>
      </c>
      <c r="D153" s="2" t="str">
        <f t="shared" si="4"/>
        <v>14514481000168</v>
      </c>
      <c r="E153" s="2" t="str">
        <f t="shared" si="5"/>
        <v>14514481</v>
      </c>
      <c r="F153" s="8">
        <f>IF($A153=""," ",IF(_xlfn.MINIFS(tblDados[[Data do recebimento do e-mail]:[Data do recebimento do e-mail]],tblDados[[Razão Social]:[Razão Social]],$A153)=0,"NÃO APARECEU AINDA",_xlfn.MINIFS(tblDados[[Data do recebimento do e-mail]:[Data do recebimento do e-mail]],tblDados[[Razão Social]:[Razão Social]],$A153)))</f>
        <v>45563</v>
      </c>
      <c r="G153" s="8">
        <f>IF($A153=""," ",IF(_xlfn.MAXIFS(tblDados[[Data do recebimento do e-mail]:[Data do recebimento do e-mail]],tblDados[[Razão Social]:[Razão Social]],$A153)=0,"NÃO APARECEU AINDA",_xlfn.MAXIFS(tblDados[[Data do recebimento do e-mail]:[Data do recebimento do e-mail]],tblDados[[Razão Social]:[Razão Social]],$A153)))</f>
        <v>45876</v>
      </c>
    </row>
    <row r="154" spans="1:7" hidden="1" x14ac:dyDescent="0.25">
      <c r="A154" t="s">
        <v>177</v>
      </c>
      <c r="B154" t="s">
        <v>20</v>
      </c>
      <c r="C154" t="str">
        <f>IFERROR(_xlfn.XLOOKUP(A154,'E-Mail BD'!B:B,'E-Mail BD'!A:A),"-")</f>
        <v>023.909.177/0001-00</v>
      </c>
      <c r="D154" s="2" t="str">
        <f t="shared" si="4"/>
        <v>23909177000100</v>
      </c>
      <c r="E154" s="2" t="str">
        <f t="shared" si="5"/>
        <v>23909177</v>
      </c>
      <c r="F154" s="8">
        <f>IF($A154=""," ",IF(_xlfn.MINIFS(tblDados[[Data do recebimento do e-mail]:[Data do recebimento do e-mail]],tblDados[[Razão Social]:[Razão Social]],$A154)=0,"NÃO APARECEU AINDA",_xlfn.MINIFS(tblDados[[Data do recebimento do e-mail]:[Data do recebimento do e-mail]],tblDados[[Razão Social]:[Razão Social]],$A154)))</f>
        <v>45586</v>
      </c>
      <c r="G154" s="8">
        <f>IF($A154=""," ",IF(_xlfn.MAXIFS(tblDados[[Data do recebimento do e-mail]:[Data do recebimento do e-mail]],tblDados[[Razão Social]:[Razão Social]],$A154)=0,"NÃO APARECEU AINDA",_xlfn.MAXIFS(tblDados[[Data do recebimento do e-mail]:[Data do recebimento do e-mail]],tblDados[[Razão Social]:[Razão Social]],$A154)))</f>
        <v>45811</v>
      </c>
    </row>
    <row r="155" spans="1:7" hidden="1" x14ac:dyDescent="0.25">
      <c r="A155" t="s">
        <v>592</v>
      </c>
      <c r="B155" t="s">
        <v>20</v>
      </c>
      <c r="C155" t="str">
        <f>IFERROR(_xlfn.XLOOKUP(A155,'E-Mail BD'!B:B,'E-Mail BD'!A:A),"-")</f>
        <v>-</v>
      </c>
      <c r="D155" s="2" t="str">
        <f t="shared" si="4"/>
        <v>-</v>
      </c>
      <c r="E155" s="2" t="str">
        <f t="shared" si="5"/>
        <v>-</v>
      </c>
      <c r="F155" s="8" t="str">
        <f>IF($A155=""," ",IF(_xlfn.MINIFS(tblDados[[Data do recebimento do e-mail]:[Data do recebimento do e-mail]],tblDados[[Razão Social]:[Razão Social]],$A155)=0,"NÃO APARECEU AINDA",_xlfn.MINIFS(tblDados[[Data do recebimento do e-mail]:[Data do recebimento do e-mail]],tblDados[[Razão Social]:[Razão Social]],$A155)))</f>
        <v>NÃO APARECEU AINDA</v>
      </c>
      <c r="G155" s="8" t="str">
        <f>IF($A155=""," ",IF(_xlfn.MAXIFS(tblDados[[Data do recebimento do e-mail]:[Data do recebimento do e-mail]],tblDados[[Razão Social]:[Razão Social]],$A155)=0,"NÃO APARECEU AINDA",_xlfn.MAXIFS(tblDados[[Data do recebimento do e-mail]:[Data do recebimento do e-mail]],tblDados[[Razão Social]:[Razão Social]],$A155)))</f>
        <v>NÃO APARECEU AINDA</v>
      </c>
    </row>
    <row r="156" spans="1:7" hidden="1" x14ac:dyDescent="0.25">
      <c r="A156" t="s">
        <v>141</v>
      </c>
      <c r="B156" t="s">
        <v>15</v>
      </c>
      <c r="C156" t="str">
        <f>IFERROR(_xlfn.XLOOKUP(A156,'E-Mail BD'!B:B,'E-Mail BD'!A:A),"-")</f>
        <v>004.622.554/0001-81</v>
      </c>
      <c r="D156" s="2" t="str">
        <f t="shared" si="4"/>
        <v>04622554000181</v>
      </c>
      <c r="E156" s="2" t="str">
        <f t="shared" si="5"/>
        <v>04622554</v>
      </c>
      <c r="F156" s="8">
        <f>IF($A156=""," ",IF(_xlfn.MINIFS(tblDados[[Data do recebimento do e-mail]:[Data do recebimento do e-mail]],tblDados[[Razão Social]:[Razão Social]],$A156)=0,"NÃO APARECEU AINDA",_xlfn.MINIFS(tblDados[[Data do recebimento do e-mail]:[Data do recebimento do e-mail]],tblDados[[Razão Social]:[Razão Social]],$A156)))</f>
        <v>45555</v>
      </c>
      <c r="G156" s="8">
        <f>IF($A156=""," ",IF(_xlfn.MAXIFS(tblDados[[Data do recebimento do e-mail]:[Data do recebimento do e-mail]],tblDados[[Razão Social]:[Razão Social]],$A156)=0,"NÃO APARECEU AINDA",_xlfn.MAXIFS(tblDados[[Data do recebimento do e-mail]:[Data do recebimento do e-mail]],tblDados[[Razão Social]:[Razão Social]],$A156)))</f>
        <v>45932</v>
      </c>
    </row>
    <row r="157" spans="1:7" hidden="1" x14ac:dyDescent="0.25">
      <c r="A157" t="s">
        <v>130</v>
      </c>
      <c r="B157" t="s">
        <v>7</v>
      </c>
      <c r="C157" t="str">
        <f>IFERROR(_xlfn.XLOOKUP(A157,'E-Mail BD'!B:B,'E-Mail BD'!A:A),"-")</f>
        <v>002.038.227/0001-51</v>
      </c>
      <c r="D157" s="2" t="str">
        <f t="shared" si="4"/>
        <v>02038227000151</v>
      </c>
      <c r="E157" s="2" t="str">
        <f t="shared" si="5"/>
        <v>02038227</v>
      </c>
      <c r="F157" s="8">
        <f>IF($A157=""," ",IF(_xlfn.MINIFS(tblDados[[Data do recebimento do e-mail]:[Data do recebimento do e-mail]],tblDados[[Razão Social]:[Razão Social]],$A157)=0,"NÃO APARECEU AINDA",_xlfn.MINIFS(tblDados[[Data do recebimento do e-mail]:[Data do recebimento do e-mail]],tblDados[[Razão Social]:[Razão Social]],$A157)))</f>
        <v>45551</v>
      </c>
      <c r="G157" s="8">
        <f>IF($A157=""," ",IF(_xlfn.MAXIFS(tblDados[[Data do recebimento do e-mail]:[Data do recebimento do e-mail]],tblDados[[Razão Social]:[Razão Social]],$A157)=0,"NÃO APARECEU AINDA",_xlfn.MAXIFS(tblDados[[Data do recebimento do e-mail]:[Data do recebimento do e-mail]],tblDados[[Razão Social]:[Razão Social]],$A157)))</f>
        <v>45801</v>
      </c>
    </row>
    <row r="158" spans="1:7" hidden="1" x14ac:dyDescent="0.25">
      <c r="A158" t="s">
        <v>560</v>
      </c>
      <c r="B158" t="s">
        <v>25</v>
      </c>
      <c r="C158" t="str">
        <f>IFERROR(_xlfn.XLOOKUP(A158,'E-Mail BD'!B:B,'E-Mail BD'!A:A),"-")</f>
        <v>044.073.794/0001-99</v>
      </c>
      <c r="D158" s="2" t="str">
        <f t="shared" si="4"/>
        <v>44073794000199</v>
      </c>
      <c r="E158" s="2" t="str">
        <f t="shared" si="5"/>
        <v>44073794</v>
      </c>
      <c r="F158" s="8">
        <f>IF($A158=""," ",IF(_xlfn.MINIFS(tblDados[[Data do recebimento do e-mail]:[Data do recebimento do e-mail]],tblDados[[Razão Social]:[Razão Social]],$A158)=0,"NÃO APARECEU AINDA",_xlfn.MINIFS(tblDados[[Data do recebimento do e-mail]:[Data do recebimento do e-mail]],tblDados[[Razão Social]:[Razão Social]],$A158)))</f>
        <v>45916</v>
      </c>
      <c r="G158" s="8">
        <f>IF($A158=""," ",IF(_xlfn.MAXIFS(tblDados[[Data do recebimento do e-mail]:[Data do recebimento do e-mail]],tblDados[[Razão Social]:[Razão Social]],$A158)=0,"NÃO APARECEU AINDA",_xlfn.MAXIFS(tblDados[[Data do recebimento do e-mail]:[Data do recebimento do e-mail]],tblDados[[Razão Social]:[Razão Social]],$A158)))</f>
        <v>46002</v>
      </c>
    </row>
    <row r="159" spans="1:7" hidden="1" x14ac:dyDescent="0.25">
      <c r="A159" t="s">
        <v>559</v>
      </c>
      <c r="B159" t="s">
        <v>25</v>
      </c>
      <c r="C159" t="str">
        <f>IFERROR(_xlfn.XLOOKUP(A159,'E-Mail BD'!B:B,'E-Mail BD'!A:A),"-")</f>
        <v>034.165.528/0001-32</v>
      </c>
      <c r="D159" s="2" t="str">
        <f t="shared" si="4"/>
        <v>34165528000132</v>
      </c>
      <c r="E159" s="2" t="str">
        <f t="shared" si="5"/>
        <v>34165528</v>
      </c>
      <c r="F159" s="8">
        <f>IF($A159=""," ",IF(_xlfn.MINIFS(tblDados[[Data do recebimento do e-mail]:[Data do recebimento do e-mail]],tblDados[[Razão Social]:[Razão Social]],$A159)=0,"NÃO APARECEU AINDA",_xlfn.MINIFS(tblDados[[Data do recebimento do e-mail]:[Data do recebimento do e-mail]],tblDados[[Razão Social]:[Razão Social]],$A159)))</f>
        <v>45840</v>
      </c>
      <c r="G159" s="8">
        <f>IF($A159=""," ",IF(_xlfn.MAXIFS(tblDados[[Data do recebimento do e-mail]:[Data do recebimento do e-mail]],tblDados[[Razão Social]:[Razão Social]],$A159)=0,"NÃO APARECEU AINDA",_xlfn.MAXIFS(tblDados[[Data do recebimento do e-mail]:[Data do recebimento do e-mail]],tblDados[[Razão Social]:[Razão Social]],$A159)))</f>
        <v>46003</v>
      </c>
    </row>
    <row r="160" spans="1:7" hidden="1" x14ac:dyDescent="0.25">
      <c r="A160" t="s">
        <v>541</v>
      </c>
      <c r="B160" t="s">
        <v>13</v>
      </c>
      <c r="C160" t="str">
        <f>IFERROR(_xlfn.XLOOKUP(A160,'E-Mail BD'!B:B,'E-Mail BD'!A:A),"-")</f>
        <v>038.479.255/0001-51</v>
      </c>
      <c r="D160" s="2" t="str">
        <f t="shared" si="4"/>
        <v>38479255000151</v>
      </c>
      <c r="E160" s="2" t="str">
        <f t="shared" si="5"/>
        <v>38479255</v>
      </c>
      <c r="F160" s="8">
        <f>IF($A160=""," ",IF(_xlfn.MINIFS(tblDados[[Data do recebimento do e-mail]:[Data do recebimento do e-mail]],tblDados[[Razão Social]:[Razão Social]],$A160)=0,"NÃO APARECEU AINDA",_xlfn.MINIFS(tblDados[[Data do recebimento do e-mail]:[Data do recebimento do e-mail]],tblDados[[Razão Social]:[Razão Social]],$A160)))</f>
        <v>45822</v>
      </c>
      <c r="G160" s="8">
        <f>IF($A160=""," ",IF(_xlfn.MAXIFS(tblDados[[Data do recebimento do e-mail]:[Data do recebimento do e-mail]],tblDados[[Razão Social]:[Razão Social]],$A160)=0,"NÃO APARECEU AINDA",_xlfn.MAXIFS(tblDados[[Data do recebimento do e-mail]:[Data do recebimento do e-mail]],tblDados[[Razão Social]:[Razão Social]],$A160)))</f>
        <v>45917</v>
      </c>
    </row>
    <row r="161" spans="1:7" hidden="1" x14ac:dyDescent="0.25">
      <c r="A161" t="s">
        <v>554</v>
      </c>
      <c r="B161" t="s">
        <v>7</v>
      </c>
      <c r="C161" t="str">
        <f>IFERROR(_xlfn.XLOOKUP(A161,'E-Mail BD'!B:B,'E-Mail BD'!A:A),"-")</f>
        <v>-</v>
      </c>
      <c r="D161" s="2" t="str">
        <f t="shared" si="4"/>
        <v>-</v>
      </c>
      <c r="E161" s="2" t="str">
        <f t="shared" si="5"/>
        <v>-</v>
      </c>
      <c r="F161" s="8" t="str">
        <f>IF($A161=""," ",IF(_xlfn.MINIFS(tblDados[[Data do recebimento do e-mail]:[Data do recebimento do e-mail]],tblDados[[Razão Social]:[Razão Social]],$A161)=0,"NÃO APARECEU AINDA",_xlfn.MINIFS(tblDados[[Data do recebimento do e-mail]:[Data do recebimento do e-mail]],tblDados[[Razão Social]:[Razão Social]],$A161)))</f>
        <v>NÃO APARECEU AINDA</v>
      </c>
      <c r="G161" s="8" t="str">
        <f>IF($A161=""," ",IF(_xlfn.MAXIFS(tblDados[[Data do recebimento do e-mail]:[Data do recebimento do e-mail]],tblDados[[Razão Social]:[Razão Social]],$A161)=0,"NÃO APARECEU AINDA",_xlfn.MAXIFS(tblDados[[Data do recebimento do e-mail]:[Data do recebimento do e-mail]],tblDados[[Razão Social]:[Razão Social]],$A161)))</f>
        <v>NÃO APARECEU AINDA</v>
      </c>
    </row>
    <row r="162" spans="1:7" hidden="1" x14ac:dyDescent="0.25">
      <c r="A162" t="s">
        <v>232</v>
      </c>
      <c r="B162" t="s">
        <v>16</v>
      </c>
      <c r="C162" t="str">
        <f>IFERROR(_xlfn.XLOOKUP(A162,'E-Mail BD'!B:B,'E-Mail BD'!A:A),"-")</f>
        <v>025.383.640/0001-59</v>
      </c>
      <c r="D162" s="2" t="str">
        <f t="shared" si="4"/>
        <v>25383640000159</v>
      </c>
      <c r="E162" s="2" t="str">
        <f t="shared" si="5"/>
        <v>25383640</v>
      </c>
      <c r="F162" s="8">
        <f>IF($A162=""," ",IF(_xlfn.MINIFS(tblDados[[Data do recebimento do e-mail]:[Data do recebimento do e-mail]],tblDados[[Razão Social]:[Razão Social]],$A162)=0,"NÃO APARECEU AINDA",_xlfn.MINIFS(tblDados[[Data do recebimento do e-mail]:[Data do recebimento do e-mail]],tblDados[[Razão Social]:[Razão Social]],$A162)))</f>
        <v>45697</v>
      </c>
      <c r="G162" s="8">
        <f>IF($A162=""," ",IF(_xlfn.MAXIFS(tblDados[[Data do recebimento do e-mail]:[Data do recebimento do e-mail]],tblDados[[Razão Social]:[Razão Social]],$A162)=0,"NÃO APARECEU AINDA",_xlfn.MAXIFS(tblDados[[Data do recebimento do e-mail]:[Data do recebimento do e-mail]],tblDados[[Razão Social]:[Razão Social]],$A162)))</f>
        <v>45934</v>
      </c>
    </row>
    <row r="163" spans="1:7" hidden="1" x14ac:dyDescent="0.25">
      <c r="A163" t="s">
        <v>218</v>
      </c>
      <c r="B163" t="s">
        <v>677</v>
      </c>
      <c r="C163" t="str">
        <f>IFERROR(_xlfn.XLOOKUP(A163,'E-Mail BD'!B:B,'E-Mail BD'!A:A),"-")</f>
        <v>040.582.798/0001-41</v>
      </c>
      <c r="D163" s="2" t="str">
        <f t="shared" si="4"/>
        <v>40582798000141</v>
      </c>
      <c r="E163" s="2" t="str">
        <f t="shared" si="5"/>
        <v>40582798</v>
      </c>
      <c r="F163" s="8">
        <f>IF($A163=""," ",IF(_xlfn.MINIFS(tblDados[[Data do recebimento do e-mail]:[Data do recebimento do e-mail]],tblDados[[Razão Social]:[Razão Social]],$A163)=0,"NÃO APARECEU AINDA",_xlfn.MINIFS(tblDados[[Data do recebimento do e-mail]:[Data do recebimento do e-mail]],tblDados[[Razão Social]:[Razão Social]],$A163)))</f>
        <v>45682</v>
      </c>
      <c r="G163" s="8">
        <f>IF($A163=""," ",IF(_xlfn.MAXIFS(tblDados[[Data do recebimento do e-mail]:[Data do recebimento do e-mail]],tblDados[[Razão Social]:[Razão Social]],$A163)=0,"NÃO APARECEU AINDA",_xlfn.MAXIFS(tblDados[[Data do recebimento do e-mail]:[Data do recebimento do e-mail]],tblDados[[Razão Social]:[Razão Social]],$A163)))</f>
        <v>45959</v>
      </c>
    </row>
    <row r="164" spans="1:7" hidden="1" x14ac:dyDescent="0.25">
      <c r="A164" t="s">
        <v>595</v>
      </c>
      <c r="B164" t="s">
        <v>4</v>
      </c>
      <c r="C164" t="str">
        <f>IFERROR(_xlfn.XLOOKUP(A164,'E-Mail BD'!B:B,'E-Mail BD'!A:A),"-")</f>
        <v>-</v>
      </c>
      <c r="D164" s="2" t="str">
        <f t="shared" si="4"/>
        <v>-</v>
      </c>
      <c r="E164" s="2" t="str">
        <f t="shared" si="5"/>
        <v>-</v>
      </c>
      <c r="F164" s="8" t="str">
        <f>IF($A164=""," ",IF(_xlfn.MINIFS(tblDados[[Data do recebimento do e-mail]:[Data do recebimento do e-mail]],tblDados[[Razão Social]:[Razão Social]],$A164)=0,"NÃO APARECEU AINDA",_xlfn.MINIFS(tblDados[[Data do recebimento do e-mail]:[Data do recebimento do e-mail]],tblDados[[Razão Social]:[Razão Social]],$A164)))</f>
        <v>NÃO APARECEU AINDA</v>
      </c>
      <c r="G164" s="8" t="str">
        <f>IF($A164=""," ",IF(_xlfn.MAXIFS(tblDados[[Data do recebimento do e-mail]:[Data do recebimento do e-mail]],tblDados[[Razão Social]:[Razão Social]],$A164)=0,"NÃO APARECEU AINDA",_xlfn.MAXIFS(tblDados[[Data do recebimento do e-mail]:[Data do recebimento do e-mail]],tblDados[[Razão Social]:[Razão Social]],$A164)))</f>
        <v>NÃO APARECEU AINDA</v>
      </c>
    </row>
    <row r="165" spans="1:7" hidden="1" x14ac:dyDescent="0.25">
      <c r="A165" t="s">
        <v>179</v>
      </c>
      <c r="B165" t="s">
        <v>13</v>
      </c>
      <c r="C165" t="str">
        <f>IFERROR(_xlfn.XLOOKUP(A165,'E-Mail BD'!B:B,'E-Mail BD'!A:A),"-")</f>
        <v>035.165.246/0001-06</v>
      </c>
      <c r="D165" s="2" t="str">
        <f t="shared" si="4"/>
        <v>35165246000106</v>
      </c>
      <c r="E165" s="2" t="str">
        <f t="shared" si="5"/>
        <v>35165246</v>
      </c>
      <c r="F165" s="8">
        <f>IF($A165=""," ",IF(_xlfn.MINIFS(tblDados[[Data do recebimento do e-mail]:[Data do recebimento do e-mail]],tblDados[[Razão Social]:[Razão Social]],$A165)=0,"NÃO APARECEU AINDA",_xlfn.MINIFS(tblDados[[Data do recebimento do e-mail]:[Data do recebimento do e-mail]],tblDados[[Razão Social]:[Razão Social]],$A165)))</f>
        <v>45587</v>
      </c>
      <c r="G165" s="8">
        <f>IF($A165=""," ",IF(_xlfn.MAXIFS(tblDados[[Data do recebimento do e-mail]:[Data do recebimento do e-mail]],tblDados[[Razão Social]:[Razão Social]],$A165)=0,"NÃO APARECEU AINDA",_xlfn.MAXIFS(tblDados[[Data do recebimento do e-mail]:[Data do recebimento do e-mail]],tblDados[[Razão Social]:[Razão Social]],$A165)))</f>
        <v>45811</v>
      </c>
    </row>
    <row r="166" spans="1:7" hidden="1" x14ac:dyDescent="0.25">
      <c r="A166" t="s">
        <v>294</v>
      </c>
      <c r="B166" t="s">
        <v>24</v>
      </c>
      <c r="C166" t="str">
        <f>IFERROR(_xlfn.XLOOKUP(A166,'E-Mail BD'!B:B,'E-Mail BD'!A:A),"-")</f>
        <v>011.173.099/0001-40</v>
      </c>
      <c r="D166" s="2" t="str">
        <f t="shared" si="4"/>
        <v>11173099000140</v>
      </c>
      <c r="E166" s="2" t="str">
        <f t="shared" si="5"/>
        <v>11173099</v>
      </c>
      <c r="F166" s="8">
        <f>IF($A166=""," ",IF(_xlfn.MINIFS(tblDados[[Data do recebimento do e-mail]:[Data do recebimento do e-mail]],tblDados[[Razão Social]:[Razão Social]],$A166)=0,"NÃO APARECEU AINDA",_xlfn.MINIFS(tblDados[[Data do recebimento do e-mail]:[Data do recebimento do e-mail]],tblDados[[Razão Social]:[Razão Social]],$A166)))</f>
        <v>45800</v>
      </c>
      <c r="G166" s="8">
        <f>IF($A166=""," ",IF(_xlfn.MAXIFS(tblDados[[Data do recebimento do e-mail]:[Data do recebimento do e-mail]],tblDados[[Razão Social]:[Razão Social]],$A166)=0,"NÃO APARECEU AINDA",_xlfn.MAXIFS(tblDados[[Data do recebimento do e-mail]:[Data do recebimento do e-mail]],tblDados[[Razão Social]:[Razão Social]],$A166)))</f>
        <v>46002</v>
      </c>
    </row>
    <row r="167" spans="1:7" hidden="1" x14ac:dyDescent="0.25">
      <c r="A167" t="s">
        <v>207</v>
      </c>
      <c r="B167" t="s">
        <v>7</v>
      </c>
      <c r="C167" t="str">
        <f>IFERROR(_xlfn.XLOOKUP(A167,'E-Mail BD'!B:B,'E-Mail BD'!A:A),"-")</f>
        <v>036.726.274/0001-00</v>
      </c>
      <c r="D167" s="2" t="str">
        <f t="shared" si="4"/>
        <v>36726274000100</v>
      </c>
      <c r="E167" s="2" t="str">
        <f t="shared" si="5"/>
        <v>36726274</v>
      </c>
      <c r="F167" s="8">
        <f>IF($A167=""," ",IF(_xlfn.MINIFS(tblDados[[Data do recebimento do e-mail]:[Data do recebimento do e-mail]],tblDados[[Razão Social]:[Razão Social]],$A167)=0,"NÃO APARECEU AINDA",_xlfn.MINIFS(tblDados[[Data do recebimento do e-mail]:[Data do recebimento do e-mail]],tblDados[[Razão Social]:[Razão Social]],$A167)))</f>
        <v>45679</v>
      </c>
      <c r="G167" s="8">
        <f>IF($A167=""," ",IF(_xlfn.MAXIFS(tblDados[[Data do recebimento do e-mail]:[Data do recebimento do e-mail]],tblDados[[Razão Social]:[Razão Social]],$A167)=0,"NÃO APARECEU AINDA",_xlfn.MAXIFS(tblDados[[Data do recebimento do e-mail]:[Data do recebimento do e-mail]],tblDados[[Razão Social]:[Razão Social]],$A167)))</f>
        <v>45993</v>
      </c>
    </row>
    <row r="168" spans="1:7" hidden="1" x14ac:dyDescent="0.25">
      <c r="A168" t="s">
        <v>662</v>
      </c>
      <c r="B168" t="s">
        <v>17</v>
      </c>
      <c r="C168" t="str">
        <f>IFERROR(_xlfn.XLOOKUP(A168,'E-Mail BD'!B:B,'E-Mail BD'!A:A),"-")</f>
        <v>038.007.528/0001-65</v>
      </c>
      <c r="D168" s="2" t="str">
        <f t="shared" si="4"/>
        <v>38007528000165</v>
      </c>
      <c r="E168" s="2" t="str">
        <f t="shared" si="5"/>
        <v>38007528</v>
      </c>
      <c r="F168" s="8">
        <f>IF($A168=""," ",IF(_xlfn.MINIFS(tblDados[[Data do recebimento do e-mail]:[Data do recebimento do e-mail]],tblDados[[Razão Social]:[Razão Social]],$A168)=0,"NÃO APARECEU AINDA",_xlfn.MINIFS(tblDados[[Data do recebimento do e-mail]:[Data do recebimento do e-mail]],tblDados[[Razão Social]:[Razão Social]],$A168)))</f>
        <v>45910</v>
      </c>
      <c r="G168" s="8">
        <f>IF($A168=""," ",IF(_xlfn.MAXIFS(tblDados[[Data do recebimento do e-mail]:[Data do recebimento do e-mail]],tblDados[[Razão Social]:[Razão Social]],$A168)=0,"NÃO APARECEU AINDA",_xlfn.MAXIFS(tblDados[[Data do recebimento do e-mail]:[Data do recebimento do e-mail]],tblDados[[Razão Social]:[Razão Social]],$A168)))</f>
        <v>46003</v>
      </c>
    </row>
    <row r="169" spans="1:7" hidden="1" x14ac:dyDescent="0.25">
      <c r="A169" t="s">
        <v>301</v>
      </c>
      <c r="B169" t="s">
        <v>13</v>
      </c>
      <c r="C169" t="str">
        <f>IFERROR(_xlfn.XLOOKUP(A169,'E-Mail BD'!B:B,'E-Mail BD'!A:A),"-")</f>
        <v>015.638.029/0001-70</v>
      </c>
      <c r="D169" s="2" t="str">
        <f t="shared" si="4"/>
        <v>15638029000170</v>
      </c>
      <c r="E169" s="2" t="str">
        <f t="shared" si="5"/>
        <v>15638029</v>
      </c>
      <c r="F169" s="8">
        <f>IF($A169=""," ",IF(_xlfn.MINIFS(tblDados[[Data do recebimento do e-mail]:[Data do recebimento do e-mail]],tblDados[[Razão Social]:[Razão Social]],$A169)=0,"NÃO APARECEU AINDA",_xlfn.MINIFS(tblDados[[Data do recebimento do e-mail]:[Data do recebimento do e-mail]],tblDados[[Razão Social]:[Razão Social]],$A169)))</f>
        <v>45812</v>
      </c>
      <c r="G169" s="8">
        <f>IF($A169=""," ",IF(_xlfn.MAXIFS(tblDados[[Data do recebimento do e-mail]:[Data do recebimento do e-mail]],tblDados[[Razão Social]:[Razão Social]],$A169)=0,"NÃO APARECEU AINDA",_xlfn.MAXIFS(tblDados[[Data do recebimento do e-mail]:[Data do recebimento do e-mail]],tblDados[[Razão Social]:[Razão Social]],$A169)))</f>
        <v>45905</v>
      </c>
    </row>
    <row r="170" spans="1:7" hidden="1" x14ac:dyDescent="0.25">
      <c r="A170" t="s">
        <v>286</v>
      </c>
      <c r="B170" t="s">
        <v>7</v>
      </c>
      <c r="C170" t="str">
        <f>IFERROR(_xlfn.XLOOKUP(A170,'E-Mail BD'!B:B,'E-Mail BD'!A:A),"-")</f>
        <v>057.696.093/0001-58</v>
      </c>
      <c r="D170" s="2" t="str">
        <f t="shared" si="4"/>
        <v>57696093000158</v>
      </c>
      <c r="E170" s="2" t="str">
        <f t="shared" si="5"/>
        <v>57696093</v>
      </c>
      <c r="F170" s="8">
        <f>IF($A170=""," ",IF(_xlfn.MINIFS(tblDados[[Data do recebimento do e-mail]:[Data do recebimento do e-mail]],tblDados[[Razão Social]:[Razão Social]],$A170)=0,"NÃO APARECEU AINDA",_xlfn.MINIFS(tblDados[[Data do recebimento do e-mail]:[Data do recebimento do e-mail]],tblDados[[Razão Social]:[Razão Social]],$A170)))</f>
        <v>45794</v>
      </c>
      <c r="G170" s="8">
        <f>IF($A170=""," ",IF(_xlfn.MAXIFS(tblDados[[Data do recebimento do e-mail]:[Data do recebimento do e-mail]],tblDados[[Razão Social]:[Razão Social]],$A170)=0,"NÃO APARECEU AINDA",_xlfn.MAXIFS(tblDados[[Data do recebimento do e-mail]:[Data do recebimento do e-mail]],tblDados[[Razão Social]:[Razão Social]],$A170)))</f>
        <v>46000</v>
      </c>
    </row>
    <row r="171" spans="1:7" hidden="1" x14ac:dyDescent="0.25">
      <c r="A171" t="s">
        <v>178</v>
      </c>
      <c r="B171" t="s">
        <v>4</v>
      </c>
      <c r="C171" t="str">
        <f>IFERROR(_xlfn.XLOOKUP(A171,'E-Mail BD'!B:B,'E-Mail BD'!A:A),"-")</f>
        <v>033.803.691/0001-10</v>
      </c>
      <c r="D171" s="2" t="str">
        <f t="shared" si="4"/>
        <v>33803691000110</v>
      </c>
      <c r="E171" s="2" t="str">
        <f t="shared" si="5"/>
        <v>33803691</v>
      </c>
      <c r="F171" s="8">
        <f>IF($A171=""," ",IF(_xlfn.MINIFS(tblDados[[Data do recebimento do e-mail]:[Data do recebimento do e-mail]],tblDados[[Razão Social]:[Razão Social]],$A171)=0,"NÃO APARECEU AINDA",_xlfn.MINIFS(tblDados[[Data do recebimento do e-mail]:[Data do recebimento do e-mail]],tblDados[[Razão Social]:[Razão Social]],$A171)))</f>
        <v>45587</v>
      </c>
      <c r="G171" s="8">
        <f>IF($A171=""," ",IF(_xlfn.MAXIFS(tblDados[[Data do recebimento do e-mail]:[Data do recebimento do e-mail]],tblDados[[Razão Social]:[Razão Social]],$A171)=0,"NÃO APARECEU AINDA",_xlfn.MAXIFS(tblDados[[Data do recebimento do e-mail]:[Data do recebimento do e-mail]],tblDados[[Razão Social]:[Razão Social]],$A171)))</f>
        <v>45988</v>
      </c>
    </row>
    <row r="172" spans="1:7" hidden="1" x14ac:dyDescent="0.25">
      <c r="A172" t="s">
        <v>557</v>
      </c>
      <c r="B172" t="s">
        <v>7</v>
      </c>
      <c r="C172" t="str">
        <f>IFERROR(_xlfn.XLOOKUP(A172,'E-Mail BD'!B:B,'E-Mail BD'!A:A),"-")</f>
        <v>-</v>
      </c>
      <c r="D172" s="2" t="str">
        <f t="shared" si="4"/>
        <v>-</v>
      </c>
      <c r="E172" s="2" t="str">
        <f t="shared" si="5"/>
        <v>-</v>
      </c>
      <c r="F172" s="8" t="str">
        <f>IF($A172=""," ",IF(_xlfn.MINIFS(tblDados[[Data do recebimento do e-mail]:[Data do recebimento do e-mail]],tblDados[[Razão Social]:[Razão Social]],$A172)=0,"NÃO APARECEU AINDA",_xlfn.MINIFS(tblDados[[Data do recebimento do e-mail]:[Data do recebimento do e-mail]],tblDados[[Razão Social]:[Razão Social]],$A172)))</f>
        <v>NÃO APARECEU AINDA</v>
      </c>
      <c r="G172" s="8" t="str">
        <f>IF($A172=""," ",IF(_xlfn.MAXIFS(tblDados[[Data do recebimento do e-mail]:[Data do recebimento do e-mail]],tblDados[[Razão Social]:[Razão Social]],$A172)=0,"NÃO APARECEU AINDA",_xlfn.MAXIFS(tblDados[[Data do recebimento do e-mail]:[Data do recebimento do e-mail]],tblDados[[Razão Social]:[Razão Social]],$A172)))</f>
        <v>NÃO APARECEU AINDA</v>
      </c>
    </row>
    <row r="173" spans="1:7" hidden="1" x14ac:dyDescent="0.25">
      <c r="A173" t="s">
        <v>302</v>
      </c>
      <c r="B173" t="s">
        <v>7</v>
      </c>
      <c r="C173" t="str">
        <f>IFERROR(_xlfn.XLOOKUP(A173,'E-Mail BD'!B:B,'E-Mail BD'!A:A),"-")</f>
        <v>032.925.977/0001-06</v>
      </c>
      <c r="D173" s="2" t="str">
        <f t="shared" si="4"/>
        <v>32925977000106</v>
      </c>
      <c r="E173" s="2" t="str">
        <f t="shared" si="5"/>
        <v>32925977</v>
      </c>
      <c r="F173" s="8">
        <f>IF($A173=""," ",IF(_xlfn.MINIFS(tblDados[[Data do recebimento do e-mail]:[Data do recebimento do e-mail]],tblDados[[Razão Social]:[Razão Social]],$A173)=0,"NÃO APARECEU AINDA",_xlfn.MINIFS(tblDados[[Data do recebimento do e-mail]:[Data do recebimento do e-mail]],tblDados[[Razão Social]:[Razão Social]],$A173)))</f>
        <v>45818</v>
      </c>
      <c r="G173" s="8">
        <f>IF($A173=""," ",IF(_xlfn.MAXIFS(tblDados[[Data do recebimento do e-mail]:[Data do recebimento do e-mail]],tblDados[[Razão Social]:[Razão Social]],$A173)=0,"NÃO APARECEU AINDA",_xlfn.MAXIFS(tblDados[[Data do recebimento do e-mail]:[Data do recebimento do e-mail]],tblDados[[Razão Social]:[Razão Social]],$A173)))</f>
        <v>45976</v>
      </c>
    </row>
    <row r="174" spans="1:7" hidden="1" x14ac:dyDescent="0.25">
      <c r="A174" t="s">
        <v>283</v>
      </c>
      <c r="B174" t="s">
        <v>27</v>
      </c>
      <c r="C174" t="str">
        <f>IFERROR(_xlfn.XLOOKUP(A174,'E-Mail BD'!B:B,'E-Mail BD'!A:A),"-")</f>
        <v>027.508.008/0001-10</v>
      </c>
      <c r="D174" s="2" t="str">
        <f t="shared" si="4"/>
        <v>27508008000110</v>
      </c>
      <c r="E174" s="2" t="str">
        <f t="shared" si="5"/>
        <v>27508008</v>
      </c>
      <c r="F174" s="8">
        <f>IF($A174=""," ",IF(_xlfn.MINIFS(tblDados[[Data do recebimento do e-mail]:[Data do recebimento do e-mail]],tblDados[[Razão Social]:[Razão Social]],$A174)=0,"NÃO APARECEU AINDA",_xlfn.MINIFS(tblDados[[Data do recebimento do e-mail]:[Data do recebimento do e-mail]],tblDados[[Razão Social]:[Razão Social]],$A174)))</f>
        <v>45793</v>
      </c>
      <c r="G174" s="8">
        <f>IF($A174=""," ",IF(_xlfn.MAXIFS(tblDados[[Data do recebimento do e-mail]:[Data do recebimento do e-mail]],tblDados[[Razão Social]:[Razão Social]],$A174)=0,"NÃO APARECEU AINDA",_xlfn.MAXIFS(tblDados[[Data do recebimento do e-mail]:[Data do recebimento do e-mail]],tblDados[[Razão Social]:[Razão Social]],$A174)))</f>
        <v>45988</v>
      </c>
    </row>
    <row r="175" spans="1:7" hidden="1" x14ac:dyDescent="0.25">
      <c r="A175" t="s">
        <v>555</v>
      </c>
      <c r="B175" t="s">
        <v>22</v>
      </c>
      <c r="C175" t="str">
        <f>IFERROR(_xlfn.XLOOKUP(A175,'E-Mail BD'!B:B,'E-Mail BD'!A:A),"-")</f>
        <v>028.764.312/0001-90</v>
      </c>
      <c r="D175" s="2" t="str">
        <f t="shared" si="4"/>
        <v>28764312000190</v>
      </c>
      <c r="E175" s="2" t="str">
        <f t="shared" si="5"/>
        <v>28764312</v>
      </c>
      <c r="F175" s="8">
        <f>IF($A175=""," ",IF(_xlfn.MINIFS(tblDados[[Data do recebimento do e-mail]:[Data do recebimento do e-mail]],tblDados[[Razão Social]:[Razão Social]],$A175)=0,"NÃO APARECEU AINDA",_xlfn.MINIFS(tblDados[[Data do recebimento do e-mail]:[Data do recebimento do e-mail]],tblDados[[Razão Social]:[Razão Social]],$A175)))</f>
        <v>45920</v>
      </c>
      <c r="G175" s="8">
        <f>IF($A175=""," ",IF(_xlfn.MAXIFS(tblDados[[Data do recebimento do e-mail]:[Data do recebimento do e-mail]],tblDados[[Razão Social]:[Razão Social]],$A175)=0,"NÃO APARECEU AINDA",_xlfn.MAXIFS(tblDados[[Data do recebimento do e-mail]:[Data do recebimento do e-mail]],tblDados[[Razão Social]:[Razão Social]],$A175)))</f>
        <v>45941</v>
      </c>
    </row>
    <row r="176" spans="1:7" hidden="1" x14ac:dyDescent="0.25">
      <c r="A176" t="s">
        <v>166</v>
      </c>
      <c r="B176" t="s">
        <v>21</v>
      </c>
      <c r="C176" t="str">
        <f>IFERROR(_xlfn.XLOOKUP(A176,'E-Mail BD'!B:B,'E-Mail BD'!A:A),"-")</f>
        <v>038.634.242/0001-00</v>
      </c>
      <c r="D176" s="2" t="str">
        <f t="shared" si="4"/>
        <v>38634242000100</v>
      </c>
      <c r="E176" s="2" t="str">
        <f t="shared" si="5"/>
        <v>38634242</v>
      </c>
      <c r="F176" s="8">
        <f>IF($A176=""," ",IF(_xlfn.MINIFS(tblDados[[Data do recebimento do e-mail]:[Data do recebimento do e-mail]],tblDados[[Razão Social]:[Razão Social]],$A176)=0,"NÃO APARECEU AINDA",_xlfn.MINIFS(tblDados[[Data do recebimento do e-mail]:[Data do recebimento do e-mail]],tblDados[[Razão Social]:[Razão Social]],$A176)))</f>
        <v>45580</v>
      </c>
      <c r="G176" s="8">
        <f>IF($A176=""," ",IF(_xlfn.MAXIFS(tblDados[[Data do recebimento do e-mail]:[Data do recebimento do e-mail]],tblDados[[Razão Social]:[Razão Social]],$A176)=0,"NÃO APARECEU AINDA",_xlfn.MAXIFS(tblDados[[Data do recebimento do e-mail]:[Data do recebimento do e-mail]],tblDados[[Razão Social]:[Razão Social]],$A176)))</f>
        <v>45801</v>
      </c>
    </row>
    <row r="177" spans="1:7" hidden="1" x14ac:dyDescent="0.25">
      <c r="A177" t="s">
        <v>201</v>
      </c>
      <c r="B177" t="s">
        <v>17</v>
      </c>
      <c r="C177" t="str">
        <f>IFERROR(_xlfn.XLOOKUP(A177,'E-Mail BD'!B:B,'E-Mail BD'!A:A),"-")</f>
        <v>029.246.128/0001-11</v>
      </c>
      <c r="D177" s="2" t="str">
        <f t="shared" si="4"/>
        <v>29246128000111</v>
      </c>
      <c r="E177" s="2" t="str">
        <f t="shared" si="5"/>
        <v>29246128</v>
      </c>
      <c r="F177" s="8">
        <f>IF($A177=""," ",IF(_xlfn.MINIFS(tblDados[[Data do recebimento do e-mail]:[Data do recebimento do e-mail]],tblDados[[Razão Social]:[Razão Social]],$A177)=0,"NÃO APARECEU AINDA",_xlfn.MINIFS(tblDados[[Data do recebimento do e-mail]:[Data do recebimento do e-mail]],tblDados[[Razão Social]:[Razão Social]],$A177)))</f>
        <v>45672</v>
      </c>
      <c r="G177" s="8">
        <f>IF($A177=""," ",IF(_xlfn.MAXIFS(tblDados[[Data do recebimento do e-mail]:[Data do recebimento do e-mail]],tblDados[[Razão Social]:[Razão Social]],$A177)=0,"NÃO APARECEU AINDA",_xlfn.MAXIFS(tblDados[[Data do recebimento do e-mail]:[Data do recebimento do e-mail]],tblDados[[Razão Social]:[Razão Social]],$A177)))</f>
        <v>45990</v>
      </c>
    </row>
    <row r="178" spans="1:7" hidden="1" x14ac:dyDescent="0.25">
      <c r="A178" t="s">
        <v>168</v>
      </c>
      <c r="B178" t="s">
        <v>4</v>
      </c>
      <c r="C178" t="str">
        <f>IFERROR(_xlfn.XLOOKUP(A178,'E-Mail BD'!B:B,'E-Mail BD'!A:A),"-")</f>
        <v>035.665.211/0001-28</v>
      </c>
      <c r="D178" s="2" t="str">
        <f t="shared" si="4"/>
        <v>35665211000128</v>
      </c>
      <c r="E178" s="2" t="str">
        <f t="shared" si="5"/>
        <v>35665211</v>
      </c>
      <c r="F178" s="8">
        <f>IF($A178=""," ",IF(_xlfn.MINIFS(tblDados[[Data do recebimento do e-mail]:[Data do recebimento do e-mail]],tblDados[[Razão Social]:[Razão Social]],$A178)=0,"NÃO APARECEU AINDA",_xlfn.MINIFS(tblDados[[Data do recebimento do e-mail]:[Data do recebimento do e-mail]],tblDados[[Razão Social]:[Razão Social]],$A178)))</f>
        <v>45582</v>
      </c>
      <c r="G178" s="8">
        <f>IF($A178=""," ",IF(_xlfn.MAXIFS(tblDados[[Data do recebimento do e-mail]:[Data do recebimento do e-mail]],tblDados[[Razão Social]:[Razão Social]],$A178)=0,"NÃO APARECEU AINDA",_xlfn.MAXIFS(tblDados[[Data do recebimento do e-mail]:[Data do recebimento do e-mail]],tblDados[[Razão Social]:[Razão Social]],$A178)))</f>
        <v>45743</v>
      </c>
    </row>
    <row r="179" spans="1:7" hidden="1" x14ac:dyDescent="0.25">
      <c r="A179" t="s">
        <v>134</v>
      </c>
      <c r="B179" t="s">
        <v>18</v>
      </c>
      <c r="C179" t="str">
        <f>IFERROR(_xlfn.XLOOKUP(A179,'E-Mail BD'!B:B,'E-Mail BD'!A:A),"-")</f>
        <v>011.122.552/0001-99</v>
      </c>
      <c r="D179" s="2" t="str">
        <f t="shared" si="4"/>
        <v>11122552000199</v>
      </c>
      <c r="E179" s="2" t="str">
        <f t="shared" si="5"/>
        <v>11122552</v>
      </c>
      <c r="F179" s="8">
        <f>IF($A179=""," ",IF(_xlfn.MINIFS(tblDados[[Data do recebimento do e-mail]:[Data do recebimento do e-mail]],tblDados[[Razão Social]:[Razão Social]],$A179)=0,"NÃO APARECEU AINDA",_xlfn.MINIFS(tblDados[[Data do recebimento do e-mail]:[Data do recebimento do e-mail]],tblDados[[Razão Social]:[Razão Social]],$A179)))</f>
        <v>45551</v>
      </c>
      <c r="G179" s="8">
        <f>IF($A179=""," ",IF(_xlfn.MAXIFS(tblDados[[Data do recebimento do e-mail]:[Data do recebimento do e-mail]],tblDados[[Razão Social]:[Razão Social]],$A179)=0,"NÃO APARECEU AINDA",_xlfn.MAXIFS(tblDados[[Data do recebimento do e-mail]:[Data do recebimento do e-mail]],tblDados[[Razão Social]:[Razão Social]],$A179)))</f>
        <v>46003</v>
      </c>
    </row>
    <row r="180" spans="1:7" hidden="1" x14ac:dyDescent="0.25">
      <c r="A180" t="s">
        <v>212</v>
      </c>
      <c r="B180" t="s">
        <v>4</v>
      </c>
      <c r="C180" t="str">
        <f>IFERROR(_xlfn.XLOOKUP(A180,'E-Mail BD'!B:B,'E-Mail BD'!A:A),"-")</f>
        <v>029.795.190/0001-62</v>
      </c>
      <c r="D180" s="2" t="str">
        <f t="shared" si="4"/>
        <v>29795190000162</v>
      </c>
      <c r="E180" s="2" t="str">
        <f t="shared" si="5"/>
        <v>29795190</v>
      </c>
      <c r="F180" s="8">
        <f>IF($A180=""," ",IF(_xlfn.MINIFS(tblDados[[Data do recebimento do e-mail]:[Data do recebimento do e-mail]],tblDados[[Razão Social]:[Razão Social]],$A180)=0,"NÃO APARECEU AINDA",_xlfn.MINIFS(tblDados[[Data do recebimento do e-mail]:[Data do recebimento do e-mail]],tblDados[[Razão Social]:[Razão Social]],$A180)))</f>
        <v>45680</v>
      </c>
      <c r="G180" s="8">
        <f>IF($A180=""," ",IF(_xlfn.MAXIFS(tblDados[[Data do recebimento do e-mail]:[Data do recebimento do e-mail]],tblDados[[Razão Social]:[Razão Social]],$A180)=0,"NÃO APARECEU AINDA",_xlfn.MAXIFS(tblDados[[Data do recebimento do e-mail]:[Data do recebimento do e-mail]],tblDados[[Razão Social]:[Razão Social]],$A180)))</f>
        <v>46000</v>
      </c>
    </row>
    <row r="181" spans="1:7" hidden="1" x14ac:dyDescent="0.25">
      <c r="A181" t="s">
        <v>278</v>
      </c>
      <c r="B181" t="s">
        <v>26</v>
      </c>
      <c r="C181" t="str">
        <f>IFERROR(_xlfn.XLOOKUP(A181,'E-Mail BD'!B:B,'E-Mail BD'!A:A),"-")</f>
        <v>046.778.324/0001-56</v>
      </c>
      <c r="D181" s="2" t="str">
        <f t="shared" si="4"/>
        <v>46778324000156</v>
      </c>
      <c r="E181" s="2" t="str">
        <f t="shared" si="5"/>
        <v>46778324</v>
      </c>
      <c r="F181" s="8">
        <f>IF($A181=""," ",IF(_xlfn.MINIFS(tblDados[[Data do recebimento do e-mail]:[Data do recebimento do e-mail]],tblDados[[Razão Social]:[Razão Social]],$A181)=0,"NÃO APARECEU AINDA",_xlfn.MINIFS(tblDados[[Data do recebimento do e-mail]:[Data do recebimento do e-mail]],tblDados[[Razão Social]:[Razão Social]],$A181)))</f>
        <v>45790</v>
      </c>
      <c r="G181" s="8">
        <f>IF($A181=""," ",IF(_xlfn.MAXIFS(tblDados[[Data do recebimento do e-mail]:[Data do recebimento do e-mail]],tblDados[[Razão Social]:[Razão Social]],$A181)=0,"NÃO APARECEU AINDA",_xlfn.MAXIFS(tblDados[[Data do recebimento do e-mail]:[Data do recebimento do e-mail]],tblDados[[Razão Social]:[Razão Social]],$A181)))</f>
        <v>45799</v>
      </c>
    </row>
    <row r="182" spans="1:7" hidden="1" x14ac:dyDescent="0.25">
      <c r="A182" t="s">
        <v>103</v>
      </c>
      <c r="B182" t="s">
        <v>4</v>
      </c>
      <c r="C182" t="str">
        <f>IFERROR(_xlfn.XLOOKUP(A182,'E-Mail BD'!B:B,'E-Mail BD'!A:A),"-")</f>
        <v>031.584.294/0001-70</v>
      </c>
      <c r="D182" s="2" t="str">
        <f t="shared" si="4"/>
        <v>31584294000170</v>
      </c>
      <c r="E182" s="2" t="str">
        <f t="shared" si="5"/>
        <v>31584294</v>
      </c>
      <c r="F182" s="8">
        <f>IF($A182=""," ",IF(_xlfn.MINIFS(tblDados[[Data do recebimento do e-mail]:[Data do recebimento do e-mail]],tblDados[[Razão Social]:[Razão Social]],$A182)=0,"NÃO APARECEU AINDA",_xlfn.MINIFS(tblDados[[Data do recebimento do e-mail]:[Data do recebimento do e-mail]],tblDados[[Razão Social]:[Razão Social]],$A182)))</f>
        <v>45540</v>
      </c>
      <c r="G182" s="8">
        <f>IF($A182=""," ",IF(_xlfn.MAXIFS(tblDados[[Data do recebimento do e-mail]:[Data do recebimento do e-mail]],tblDados[[Razão Social]:[Razão Social]],$A182)=0,"NÃO APARECEU AINDA",_xlfn.MAXIFS(tblDados[[Data do recebimento do e-mail]:[Data do recebimento do e-mail]],tblDados[[Razão Social]:[Razão Social]],$A182)))</f>
        <v>45540</v>
      </c>
    </row>
    <row r="183" spans="1:7" hidden="1" x14ac:dyDescent="0.25">
      <c r="A183" t="s">
        <v>63</v>
      </c>
      <c r="B183" t="s">
        <v>22</v>
      </c>
      <c r="C183" t="str">
        <f>IFERROR(_xlfn.XLOOKUP(A183,'E-Mail BD'!B:B,'E-Mail BD'!A:A),"-")</f>
        <v>028.393.466/0001-13</v>
      </c>
      <c r="D183" s="2" t="str">
        <f t="shared" si="4"/>
        <v>28393466000113</v>
      </c>
      <c r="E183" s="2" t="str">
        <f t="shared" si="5"/>
        <v>28393466</v>
      </c>
      <c r="F183" s="8">
        <f>IF($A183=""," ",IF(_xlfn.MINIFS(tblDados[[Data do recebimento do e-mail]:[Data do recebimento do e-mail]],tblDados[[Razão Social]:[Razão Social]],$A183)=0,"NÃO APARECEU AINDA",_xlfn.MINIFS(tblDados[[Data do recebimento do e-mail]:[Data do recebimento do e-mail]],tblDados[[Razão Social]:[Razão Social]],$A183)))</f>
        <v>45738</v>
      </c>
      <c r="G183" s="8">
        <f>IF($A183=""," ",IF(_xlfn.MAXIFS(tblDados[[Data do recebimento do e-mail]:[Data do recebimento do e-mail]],tblDados[[Razão Social]:[Razão Social]],$A183)=0,"NÃO APARECEU AINDA",_xlfn.MAXIFS(tblDados[[Data do recebimento do e-mail]:[Data do recebimento do e-mail]],tblDados[[Razão Social]:[Razão Social]],$A183)))</f>
        <v>45993</v>
      </c>
    </row>
    <row r="184" spans="1:7" hidden="1" x14ac:dyDescent="0.25">
      <c r="A184" t="s">
        <v>185</v>
      </c>
      <c r="B184" t="s">
        <v>18</v>
      </c>
      <c r="C184" t="str">
        <f>IFERROR(_xlfn.XLOOKUP(A184,'E-Mail BD'!B:B,'E-Mail BD'!A:A),"-")</f>
        <v>014.385.825/0001-86</v>
      </c>
      <c r="D184" s="2" t="str">
        <f t="shared" si="4"/>
        <v>14385825000186</v>
      </c>
      <c r="E184" s="2" t="str">
        <f t="shared" si="5"/>
        <v>14385825</v>
      </c>
      <c r="F184" s="8">
        <f>IF($A184=""," ",IF(_xlfn.MINIFS(tblDados[[Data do recebimento do e-mail]:[Data do recebimento do e-mail]],tblDados[[Razão Social]:[Razão Social]],$A184)=0,"NÃO APARECEU AINDA",_xlfn.MINIFS(tblDados[[Data do recebimento do e-mail]:[Data do recebimento do e-mail]],tblDados[[Razão Social]:[Razão Social]],$A184)))</f>
        <v>45601</v>
      </c>
      <c r="G184" s="8">
        <f>IF($A184=""," ",IF(_xlfn.MAXIFS(tblDados[[Data do recebimento do e-mail]:[Data do recebimento do e-mail]],tblDados[[Razão Social]:[Razão Social]],$A184)=0,"NÃO APARECEU AINDA",_xlfn.MAXIFS(tblDados[[Data do recebimento do e-mail]:[Data do recebimento do e-mail]],tblDados[[Razão Social]:[Razão Social]],$A184)))</f>
        <v>45983</v>
      </c>
    </row>
    <row r="185" spans="1:7" hidden="1" x14ac:dyDescent="0.25">
      <c r="A185" t="s">
        <v>85</v>
      </c>
      <c r="B185" t="s">
        <v>15</v>
      </c>
      <c r="C185" t="str">
        <f>IFERROR(_xlfn.XLOOKUP(A185,'E-Mail BD'!B:B,'E-Mail BD'!A:A),"-")</f>
        <v>010.220.445/0001-30</v>
      </c>
      <c r="D185" s="2" t="str">
        <f t="shared" si="4"/>
        <v>10220445000130</v>
      </c>
      <c r="E185" s="2" t="str">
        <f t="shared" si="5"/>
        <v>10220445</v>
      </c>
      <c r="F185" s="8">
        <f>IF($A185=""," ",IF(_xlfn.MINIFS(tblDados[[Data do recebimento do e-mail]:[Data do recebimento do e-mail]],tblDados[[Razão Social]:[Razão Social]],$A185)=0,"NÃO APARECEU AINDA",_xlfn.MINIFS(tblDados[[Data do recebimento do e-mail]:[Data do recebimento do e-mail]],tblDados[[Razão Social]:[Razão Social]],$A185)))</f>
        <v>45537</v>
      </c>
      <c r="G185" s="8">
        <f>IF($A185=""," ",IF(_xlfn.MAXIFS(tblDados[[Data do recebimento do e-mail]:[Data do recebimento do e-mail]],tblDados[[Razão Social]:[Razão Social]],$A185)=0,"NÃO APARECEU AINDA",_xlfn.MAXIFS(tblDados[[Data do recebimento do e-mail]:[Data do recebimento do e-mail]],tblDados[[Razão Social]:[Razão Social]],$A185)))</f>
        <v>45540</v>
      </c>
    </row>
    <row r="186" spans="1:7" hidden="1" x14ac:dyDescent="0.25">
      <c r="A186" t="s">
        <v>81</v>
      </c>
      <c r="B186" t="s">
        <v>7</v>
      </c>
      <c r="C186" t="str">
        <f>IFERROR(_xlfn.XLOOKUP(A186,'E-Mail BD'!B:B,'E-Mail BD'!A:A),"-")</f>
        <v>003.590.360/0001-89</v>
      </c>
      <c r="D186" s="2" t="str">
        <f t="shared" si="4"/>
        <v>03590360000189</v>
      </c>
      <c r="E186" s="2" t="str">
        <f t="shared" si="5"/>
        <v>03590360</v>
      </c>
      <c r="F186" s="8">
        <f>IF($A186=""," ",IF(_xlfn.MINIFS(tblDados[[Data do recebimento do e-mail]:[Data do recebimento do e-mail]],tblDados[[Razão Social]:[Razão Social]],$A186)=0,"NÃO APARECEU AINDA",_xlfn.MINIFS(tblDados[[Data do recebimento do e-mail]:[Data do recebimento do e-mail]],tblDados[[Razão Social]:[Razão Social]],$A186)))</f>
        <v>45537</v>
      </c>
      <c r="G186" s="8">
        <f>IF($A186=""," ",IF(_xlfn.MAXIFS(tblDados[[Data do recebimento do e-mail]:[Data do recebimento do e-mail]],tblDados[[Razão Social]:[Razão Social]],$A186)=0,"NÃO APARECEU AINDA",_xlfn.MAXIFS(tblDados[[Data do recebimento do e-mail]:[Data do recebimento do e-mail]],tblDados[[Razão Social]:[Razão Social]],$A186)))</f>
        <v>46002</v>
      </c>
    </row>
    <row r="187" spans="1:7" hidden="1" x14ac:dyDescent="0.25">
      <c r="A187" t="s">
        <v>266</v>
      </c>
      <c r="B187" t="s">
        <v>24</v>
      </c>
      <c r="C187" t="str">
        <f>IFERROR(_xlfn.XLOOKUP(A187,'E-Mail BD'!B:B,'E-Mail BD'!A:A),"-")</f>
        <v>005.774.638/0001-01</v>
      </c>
      <c r="D187" s="2" t="str">
        <f t="shared" si="4"/>
        <v>05774638000101</v>
      </c>
      <c r="E187" s="2" t="str">
        <f t="shared" si="5"/>
        <v>05774638</v>
      </c>
      <c r="F187" s="8">
        <f>IF($A187=""," ",IF(_xlfn.MINIFS(tblDados[[Data do recebimento do e-mail]:[Data do recebimento do e-mail]],tblDados[[Razão Social]:[Razão Social]],$A187)=0,"NÃO APARECEU AINDA",_xlfn.MINIFS(tblDados[[Data do recebimento do e-mail]:[Data do recebimento do e-mail]],tblDados[[Razão Social]:[Razão Social]],$A187)))</f>
        <v>45777</v>
      </c>
      <c r="G187" s="8">
        <f>IF($A187=""," ",IF(_xlfn.MAXIFS(tblDados[[Data do recebimento do e-mail]:[Data do recebimento do e-mail]],tblDados[[Razão Social]:[Razão Social]],$A187)=0,"NÃO APARECEU AINDA",_xlfn.MAXIFS(tblDados[[Data do recebimento do e-mail]:[Data do recebimento do e-mail]],tblDados[[Razão Social]:[Razão Social]],$A187)))</f>
        <v>46001</v>
      </c>
    </row>
    <row r="188" spans="1:7" hidden="1" x14ac:dyDescent="0.25">
      <c r="A188" t="s">
        <v>145</v>
      </c>
      <c r="B188" t="s">
        <v>12</v>
      </c>
      <c r="C188" t="str">
        <f>IFERROR(_xlfn.XLOOKUP(A188,'E-Mail BD'!B:B,'E-Mail BD'!A:A),"-")</f>
        <v>019.450.138/0001-10</v>
      </c>
      <c r="D188" s="2" t="str">
        <f t="shared" si="4"/>
        <v>19450138000110</v>
      </c>
      <c r="E188" s="2" t="str">
        <f t="shared" si="5"/>
        <v>19450138</v>
      </c>
      <c r="F188" s="8">
        <f>IF($A188=""," ",IF(_xlfn.MINIFS(tblDados[[Data do recebimento do e-mail]:[Data do recebimento do e-mail]],tblDados[[Razão Social]:[Razão Social]],$A188)=0,"NÃO APARECEU AINDA",_xlfn.MINIFS(tblDados[[Data do recebimento do e-mail]:[Data do recebimento do e-mail]],tblDados[[Razão Social]:[Razão Social]],$A188)))</f>
        <v>45560</v>
      </c>
      <c r="G188" s="8">
        <f>IF($A188=""," ",IF(_xlfn.MAXIFS(tblDados[[Data do recebimento do e-mail]:[Data do recebimento do e-mail]],tblDados[[Razão Social]:[Razão Social]],$A188)=0,"NÃO APARECEU AINDA",_xlfn.MAXIFS(tblDados[[Data do recebimento do e-mail]:[Data do recebimento do e-mail]],tblDados[[Razão Social]:[Razão Social]],$A188)))</f>
        <v>45938</v>
      </c>
    </row>
    <row r="189" spans="1:7" hidden="1" x14ac:dyDescent="0.25">
      <c r="A189" t="s">
        <v>86</v>
      </c>
      <c r="B189" t="s">
        <v>15</v>
      </c>
      <c r="C189" t="str">
        <f>IFERROR(_xlfn.XLOOKUP(A189,'E-Mail BD'!B:B,'E-Mail BD'!A:A),"-")</f>
        <v>019.709.129/0001-00</v>
      </c>
      <c r="D189" s="2" t="str">
        <f t="shared" si="4"/>
        <v>19709129000100</v>
      </c>
      <c r="E189" s="2" t="str">
        <f t="shared" si="5"/>
        <v>19709129</v>
      </c>
      <c r="F189" s="8">
        <f>IF($A189=""," ",IF(_xlfn.MINIFS(tblDados[[Data do recebimento do e-mail]:[Data do recebimento do e-mail]],tblDados[[Razão Social]:[Razão Social]],$A189)=0,"NÃO APARECEU AINDA",_xlfn.MINIFS(tblDados[[Data do recebimento do e-mail]:[Data do recebimento do e-mail]],tblDados[[Razão Social]:[Razão Social]],$A189)))</f>
        <v>45537</v>
      </c>
      <c r="G189" s="8">
        <f>IF($A189=""," ",IF(_xlfn.MAXIFS(tblDados[[Data do recebimento do e-mail]:[Data do recebimento do e-mail]],tblDados[[Razão Social]:[Razão Social]],$A189)=0,"NÃO APARECEU AINDA",_xlfn.MAXIFS(tblDados[[Data do recebimento do e-mail]:[Data do recebimento do e-mail]],tblDados[[Razão Social]:[Razão Social]],$A189)))</f>
        <v>45597</v>
      </c>
    </row>
    <row r="190" spans="1:7" hidden="1" x14ac:dyDescent="0.25">
      <c r="A190" t="s">
        <v>94</v>
      </c>
      <c r="B190" t="s">
        <v>4</v>
      </c>
      <c r="C190" t="str">
        <f>IFERROR(_xlfn.XLOOKUP(A190,'E-Mail BD'!B:B,'E-Mail BD'!A:A),"-")</f>
        <v>007.786.648/0001-84</v>
      </c>
      <c r="D190" s="2" t="str">
        <f t="shared" si="4"/>
        <v>07786648000184</v>
      </c>
      <c r="E190" s="2" t="str">
        <f t="shared" si="5"/>
        <v>07786648</v>
      </c>
      <c r="F190" s="8">
        <f>IF($A190=""," ",IF(_xlfn.MINIFS(tblDados[[Data do recebimento do e-mail]:[Data do recebimento do e-mail]],tblDados[[Razão Social]:[Razão Social]],$A190)=0,"NÃO APARECEU AINDA",_xlfn.MINIFS(tblDados[[Data do recebimento do e-mail]:[Data do recebimento do e-mail]],tblDados[[Razão Social]:[Razão Social]],$A190)))</f>
        <v>45538</v>
      </c>
      <c r="G190" s="8">
        <f>IF($A190=""," ",IF(_xlfn.MAXIFS(tblDados[[Data do recebimento do e-mail]:[Data do recebimento do e-mail]],tblDados[[Razão Social]:[Razão Social]],$A190)=0,"NÃO APARECEU AINDA",_xlfn.MAXIFS(tblDados[[Data do recebimento do e-mail]:[Data do recebimento do e-mail]],tblDados[[Razão Social]:[Razão Social]],$A190)))</f>
        <v>45583</v>
      </c>
    </row>
    <row r="191" spans="1:7" hidden="1" x14ac:dyDescent="0.25">
      <c r="A191" t="s">
        <v>536</v>
      </c>
      <c r="B191" t="s">
        <v>25</v>
      </c>
      <c r="C191" t="str">
        <f>IFERROR(_xlfn.XLOOKUP(A191,'E-Mail BD'!B:B,'E-Mail BD'!A:A),"-")</f>
        <v>005.271.241/0001-99</v>
      </c>
      <c r="D191" s="2" t="str">
        <f t="shared" si="4"/>
        <v>05271241000199</v>
      </c>
      <c r="E191" s="2" t="str">
        <f t="shared" si="5"/>
        <v>05271241</v>
      </c>
      <c r="F191" s="8">
        <f>IF($A191=""," ",IF(_xlfn.MINIFS(tblDados[[Data do recebimento do e-mail]:[Data do recebimento do e-mail]],tblDados[[Razão Social]:[Razão Social]],$A191)=0,"NÃO APARECEU AINDA",_xlfn.MINIFS(tblDados[[Data do recebimento do e-mail]:[Data do recebimento do e-mail]],tblDados[[Razão Social]:[Razão Social]],$A191)))</f>
        <v>46000</v>
      </c>
      <c r="G191" s="8">
        <f>IF($A191=""," ",IF(_xlfn.MAXIFS(tblDados[[Data do recebimento do e-mail]:[Data do recebimento do e-mail]],tblDados[[Razão Social]:[Razão Social]],$A191)=0,"NÃO APARECEU AINDA",_xlfn.MAXIFS(tblDados[[Data do recebimento do e-mail]:[Data do recebimento do e-mail]],tblDados[[Razão Social]:[Razão Social]],$A191)))</f>
        <v>46000</v>
      </c>
    </row>
    <row r="192" spans="1:7" hidden="1" x14ac:dyDescent="0.25">
      <c r="A192" t="s">
        <v>214</v>
      </c>
      <c r="B192" t="s">
        <v>21</v>
      </c>
      <c r="C192" t="str">
        <f>IFERROR(_xlfn.XLOOKUP(A192,'E-Mail BD'!B:B,'E-Mail BD'!A:A),"-")</f>
        <v>046.674.060/0001-90</v>
      </c>
      <c r="D192" s="2" t="str">
        <f t="shared" si="4"/>
        <v>46674060000190</v>
      </c>
      <c r="E192" s="2" t="str">
        <f t="shared" si="5"/>
        <v>46674060</v>
      </c>
      <c r="F192" s="8">
        <f>IF($A192=""," ",IF(_xlfn.MINIFS(tblDados[[Data do recebimento do e-mail]:[Data do recebimento do e-mail]],tblDados[[Razão Social]:[Razão Social]],$A192)=0,"NÃO APARECEU AINDA",_xlfn.MINIFS(tblDados[[Data do recebimento do e-mail]:[Data do recebimento do e-mail]],tblDados[[Razão Social]:[Razão Social]],$A192)))</f>
        <v>45680</v>
      </c>
      <c r="G192" s="8">
        <f>IF($A192=""," ",IF(_xlfn.MAXIFS(tblDados[[Data do recebimento do e-mail]:[Data do recebimento do e-mail]],tblDados[[Razão Social]:[Razão Social]],$A192)=0,"NÃO APARECEU AINDA",_xlfn.MAXIFS(tblDados[[Data do recebimento do e-mail]:[Data do recebimento do e-mail]],tblDados[[Razão Social]:[Razão Social]],$A192)))</f>
        <v>46003</v>
      </c>
    </row>
    <row r="193" spans="1:7" hidden="1" x14ac:dyDescent="0.25">
      <c r="A193" t="s">
        <v>594</v>
      </c>
      <c r="B193" t="s">
        <v>21</v>
      </c>
      <c r="C193" t="str">
        <f>IFERROR(_xlfn.XLOOKUP(A193,'E-Mail BD'!B:B,'E-Mail BD'!A:A),"-")</f>
        <v>041.397.377/0001-03</v>
      </c>
      <c r="D193" s="2" t="str">
        <f t="shared" ref="D193:D256" si="6">IF(RIGHT(SUBSTITUTE(SUBSTITUTE(SUBSTITUTE(C193,".",""),"/",""),"-",""),14)="","-",RIGHT(SUBSTITUTE(SUBSTITUTE(SUBSTITUTE(C193,".",""),"/",""),"-",""),14))</f>
        <v>41397377000103</v>
      </c>
      <c r="E193" s="2" t="str">
        <f t="shared" si="5"/>
        <v>41397377</v>
      </c>
      <c r="F193" s="8">
        <f>IF($A193=""," ",IF(_xlfn.MINIFS(tblDados[[Data do recebimento do e-mail]:[Data do recebimento do e-mail]],tblDados[[Razão Social]:[Razão Social]],$A193)=0,"NÃO APARECEU AINDA",_xlfn.MINIFS(tblDados[[Data do recebimento do e-mail]:[Data do recebimento do e-mail]],tblDados[[Razão Social]:[Razão Social]],$A193)))</f>
        <v>45826</v>
      </c>
      <c r="G193" s="8">
        <f>IF($A193=""," ",IF(_xlfn.MAXIFS(tblDados[[Data do recebimento do e-mail]:[Data do recebimento do e-mail]],tblDados[[Razão Social]:[Razão Social]],$A193)=0,"NÃO APARECEU AINDA",_xlfn.MAXIFS(tblDados[[Data do recebimento do e-mail]:[Data do recebimento do e-mail]],tblDados[[Razão Social]:[Razão Social]],$A193)))</f>
        <v>45934</v>
      </c>
    </row>
    <row r="194" spans="1:7" hidden="1" x14ac:dyDescent="0.25">
      <c r="A194" t="s">
        <v>264</v>
      </c>
      <c r="B194" t="s">
        <v>18</v>
      </c>
      <c r="C194" t="str">
        <f>IFERROR(_xlfn.XLOOKUP(A194,'E-Mail BD'!B:B,'E-Mail BD'!A:A),"-")</f>
        <v>013.749.701/0001-70</v>
      </c>
      <c r="D194" s="2" t="str">
        <f t="shared" si="6"/>
        <v>13749701000170</v>
      </c>
      <c r="E194" s="2" t="str">
        <f t="shared" si="5"/>
        <v>13749701</v>
      </c>
      <c r="F194" s="8">
        <f>IF($A194=""," ",IF(_xlfn.MINIFS(tblDados[[Data do recebimento do e-mail]:[Data do recebimento do e-mail]],tblDados[[Razão Social]:[Razão Social]],$A194)=0,"NÃO APARECEU AINDA",_xlfn.MINIFS(tblDados[[Data do recebimento do e-mail]:[Data do recebimento do e-mail]],tblDados[[Razão Social]:[Razão Social]],$A194)))</f>
        <v>45772</v>
      </c>
      <c r="G194" s="8">
        <f>IF($A194=""," ",IF(_xlfn.MAXIFS(tblDados[[Data do recebimento do e-mail]:[Data do recebimento do e-mail]],tblDados[[Razão Social]:[Razão Social]],$A194)=0,"NÃO APARECEU AINDA",_xlfn.MAXIFS(tblDados[[Data do recebimento do e-mail]:[Data do recebimento do e-mail]],tblDados[[Razão Social]:[Razão Social]],$A194)))</f>
        <v>45951</v>
      </c>
    </row>
    <row r="195" spans="1:7" hidden="1" x14ac:dyDescent="0.25">
      <c r="A195" t="s">
        <v>127</v>
      </c>
      <c r="B195" t="s">
        <v>4</v>
      </c>
      <c r="C195" t="str">
        <f>IFERROR(_xlfn.XLOOKUP(A195,'E-Mail BD'!B:B,'E-Mail BD'!A:A),"-")</f>
        <v>048.144.853/0001-23</v>
      </c>
      <c r="D195" s="2" t="str">
        <f t="shared" si="6"/>
        <v>48144853000123</v>
      </c>
      <c r="E195" s="2" t="str">
        <f t="shared" ref="E195:E258" si="7">LEFT($D195,8)</f>
        <v>48144853</v>
      </c>
      <c r="F195" s="8">
        <f>IF($A195=""," ",IF(_xlfn.MINIFS(tblDados[[Data do recebimento do e-mail]:[Data do recebimento do e-mail]],tblDados[[Razão Social]:[Razão Social]],$A195)=0,"NÃO APARECEU AINDA",_xlfn.MINIFS(tblDados[[Data do recebimento do e-mail]:[Data do recebimento do e-mail]],tblDados[[Razão Social]:[Razão Social]],$A195)))</f>
        <v>45551</v>
      </c>
      <c r="G195" s="8">
        <f>IF($A195=""," ",IF(_xlfn.MAXIFS(tblDados[[Data do recebimento do e-mail]:[Data do recebimento do e-mail]],tblDados[[Razão Social]:[Razão Social]],$A195)=0,"NÃO APARECEU AINDA",_xlfn.MAXIFS(tblDados[[Data do recebimento do e-mail]:[Data do recebimento do e-mail]],tblDados[[Razão Social]:[Razão Social]],$A195)))</f>
        <v>45597</v>
      </c>
    </row>
    <row r="196" spans="1:7" hidden="1" x14ac:dyDescent="0.25">
      <c r="A196" t="s">
        <v>636</v>
      </c>
      <c r="B196" t="s">
        <v>612</v>
      </c>
      <c r="C196" t="str">
        <f>IFERROR(_xlfn.XLOOKUP(A196,'E-Mail BD'!B:B,'E-Mail BD'!A:A),"-")</f>
        <v>033.028.017/0001-06</v>
      </c>
      <c r="D196" s="2" t="str">
        <f t="shared" si="6"/>
        <v>33028017000106</v>
      </c>
      <c r="E196" s="2" t="str">
        <f t="shared" si="7"/>
        <v>33028017</v>
      </c>
      <c r="F196" s="8">
        <f>IF($A196=""," ",IF(_xlfn.MINIFS(tblDados[[Data do recebimento do e-mail]:[Data do recebimento do e-mail]],tblDados[[Razão Social]:[Razão Social]],$A196)=0,"NÃO APARECEU AINDA",_xlfn.MINIFS(tblDados[[Data do recebimento do e-mail]:[Data do recebimento do e-mail]],tblDados[[Razão Social]:[Razão Social]],$A196)))</f>
        <v>45847</v>
      </c>
      <c r="G196" s="8">
        <f>IF($A196=""," ",IF(_xlfn.MAXIFS(tblDados[[Data do recebimento do e-mail]:[Data do recebimento do e-mail]],tblDados[[Razão Social]:[Razão Social]],$A196)=0,"NÃO APARECEU AINDA",_xlfn.MAXIFS(tblDados[[Data do recebimento do e-mail]:[Data do recebimento do e-mail]],tblDados[[Razão Social]:[Razão Social]],$A196)))</f>
        <v>46000</v>
      </c>
    </row>
    <row r="197" spans="1:7" hidden="1" x14ac:dyDescent="0.25">
      <c r="A197" t="s">
        <v>566</v>
      </c>
      <c r="B197" t="s">
        <v>8</v>
      </c>
      <c r="C197" t="str">
        <f>IFERROR(_xlfn.XLOOKUP(A197,'E-Mail BD'!B:B,'E-Mail BD'!A:A),"-")</f>
        <v>046.848.165/0001-19</v>
      </c>
      <c r="D197" s="2" t="str">
        <f t="shared" si="6"/>
        <v>46848165000119</v>
      </c>
      <c r="E197" s="2" t="str">
        <f t="shared" si="7"/>
        <v>46848165</v>
      </c>
      <c r="F197" s="8">
        <f>IF($A197=""," ",IF(_xlfn.MINIFS(tblDados[[Data do recebimento do e-mail]:[Data do recebimento do e-mail]],tblDados[[Razão Social]:[Razão Social]],$A197)=0,"NÃO APARECEU AINDA",_xlfn.MINIFS(tblDados[[Data do recebimento do e-mail]:[Data do recebimento do e-mail]],tblDados[[Razão Social]:[Razão Social]],$A197)))</f>
        <v>45878</v>
      </c>
      <c r="G197" s="8">
        <f>IF($A197=""," ",IF(_xlfn.MAXIFS(tblDados[[Data do recebimento do e-mail]:[Data do recebimento do e-mail]],tblDados[[Razão Social]:[Razão Social]],$A197)=0,"NÃO APARECEU AINDA",_xlfn.MAXIFS(tblDados[[Data do recebimento do e-mail]:[Data do recebimento do e-mail]],tblDados[[Razão Social]:[Razão Social]],$A197)))</f>
        <v>46003</v>
      </c>
    </row>
    <row r="198" spans="1:7" hidden="1" x14ac:dyDescent="0.25">
      <c r="A198" t="s">
        <v>118</v>
      </c>
      <c r="B198" t="s">
        <v>7</v>
      </c>
      <c r="C198" t="str">
        <f>IFERROR(_xlfn.XLOOKUP(A198,'E-Mail BD'!B:B,'E-Mail BD'!A:A),"-")</f>
        <v>029.030.307/0001-17</v>
      </c>
      <c r="D198" s="2" t="str">
        <f t="shared" si="6"/>
        <v>29030307000117</v>
      </c>
      <c r="E198" s="2" t="str">
        <f t="shared" si="7"/>
        <v>29030307</v>
      </c>
      <c r="F198" s="8">
        <f>IF($A198=""," ",IF(_xlfn.MINIFS(tblDados[[Data do recebimento do e-mail]:[Data do recebimento do e-mail]],tblDados[[Razão Social]:[Razão Social]],$A198)=0,"NÃO APARECEU AINDA",_xlfn.MINIFS(tblDados[[Data do recebimento do e-mail]:[Data do recebimento do e-mail]],tblDados[[Razão Social]:[Razão Social]],$A198)))</f>
        <v>45545</v>
      </c>
      <c r="G198" s="8">
        <f>IF($A198=""," ",IF(_xlfn.MAXIFS(tblDados[[Data do recebimento do e-mail]:[Data do recebimento do e-mail]],tblDados[[Razão Social]:[Razão Social]],$A198)=0,"NÃO APARECEU AINDA",_xlfn.MAXIFS(tblDados[[Data do recebimento do e-mail]:[Data do recebimento do e-mail]],tblDados[[Razão Social]:[Razão Social]],$A198)))</f>
        <v>45765</v>
      </c>
    </row>
    <row r="199" spans="1:7" hidden="1" x14ac:dyDescent="0.25">
      <c r="A199" t="s">
        <v>572</v>
      </c>
      <c r="B199" t="s">
        <v>618</v>
      </c>
      <c r="C199" t="str">
        <f>IFERROR(_xlfn.XLOOKUP(A199,'E-Mail BD'!B:B,'E-Mail BD'!A:A),"-")</f>
        <v>-</v>
      </c>
      <c r="D199" s="2" t="str">
        <f t="shared" si="6"/>
        <v>-</v>
      </c>
      <c r="E199" s="2" t="str">
        <f t="shared" si="7"/>
        <v>-</v>
      </c>
      <c r="F199" s="8" t="str">
        <f>IF($A199=""," ",IF(_xlfn.MINIFS(tblDados[[Data do recebimento do e-mail]:[Data do recebimento do e-mail]],tblDados[[Razão Social]:[Razão Social]],$A199)=0,"NÃO APARECEU AINDA",_xlfn.MINIFS(tblDados[[Data do recebimento do e-mail]:[Data do recebimento do e-mail]],tblDados[[Razão Social]:[Razão Social]],$A199)))</f>
        <v>NÃO APARECEU AINDA</v>
      </c>
      <c r="G199" s="8" t="str">
        <f>IF($A199=""," ",IF(_xlfn.MAXIFS(tblDados[[Data do recebimento do e-mail]:[Data do recebimento do e-mail]],tblDados[[Razão Social]:[Razão Social]],$A199)=0,"NÃO APARECEU AINDA",_xlfn.MAXIFS(tblDados[[Data do recebimento do e-mail]:[Data do recebimento do e-mail]],tblDados[[Razão Social]:[Razão Social]],$A199)))</f>
        <v>NÃO APARECEU AINDA</v>
      </c>
    </row>
    <row r="200" spans="1:7" hidden="1" x14ac:dyDescent="0.25">
      <c r="A200" t="s">
        <v>217</v>
      </c>
      <c r="B200" t="s">
        <v>7</v>
      </c>
      <c r="C200" t="str">
        <f>IFERROR(_xlfn.XLOOKUP(A200,'E-Mail BD'!B:B,'E-Mail BD'!A:A),"-")</f>
        <v>047.635.671/0001-92</v>
      </c>
      <c r="D200" s="2" t="str">
        <f t="shared" si="6"/>
        <v>47635671000192</v>
      </c>
      <c r="E200" s="2" t="str">
        <f t="shared" si="7"/>
        <v>47635671</v>
      </c>
      <c r="F200" s="8">
        <f>IF($A200=""," ",IF(_xlfn.MINIFS(tblDados[[Data do recebimento do e-mail]:[Data do recebimento do e-mail]],tblDados[[Razão Social]:[Razão Social]],$A200)=0,"NÃO APARECEU AINDA",_xlfn.MINIFS(tblDados[[Data do recebimento do e-mail]:[Data do recebimento do e-mail]],tblDados[[Razão Social]:[Razão Social]],$A200)))</f>
        <v>45682</v>
      </c>
      <c r="G200" s="8">
        <f>IF($A200=""," ",IF(_xlfn.MAXIFS(tblDados[[Data do recebimento do e-mail]:[Data do recebimento do e-mail]],tblDados[[Razão Social]:[Razão Social]],$A200)=0,"NÃO APARECEU AINDA",_xlfn.MAXIFS(tblDados[[Data do recebimento do e-mail]:[Data do recebimento do e-mail]],tblDados[[Razão Social]:[Razão Social]],$A200)))</f>
        <v>46003</v>
      </c>
    </row>
    <row r="201" spans="1:7" hidden="1" x14ac:dyDescent="0.25">
      <c r="A201" t="s">
        <v>643</v>
      </c>
      <c r="B201" t="s">
        <v>27</v>
      </c>
      <c r="C201" t="str">
        <f>IFERROR(_xlfn.XLOOKUP(A201,'E-Mail BD'!B:B,'E-Mail BD'!A:A),"-")</f>
        <v>016.743.404/0001-05</v>
      </c>
      <c r="D201" s="2" t="str">
        <f t="shared" si="6"/>
        <v>16743404000105</v>
      </c>
      <c r="E201" s="2" t="str">
        <f t="shared" si="7"/>
        <v>16743404</v>
      </c>
      <c r="F201" s="8">
        <f>IF($A201=""," ",IF(_xlfn.MINIFS(tblDados[[Data do recebimento do e-mail]:[Data do recebimento do e-mail]],tblDados[[Razão Social]:[Razão Social]],$A201)=0,"NÃO APARECEU AINDA",_xlfn.MINIFS(tblDados[[Data do recebimento do e-mail]:[Data do recebimento do e-mail]],tblDados[[Razão Social]:[Razão Social]],$A201)))</f>
        <v>45860</v>
      </c>
      <c r="G201" s="8">
        <f>IF($A201=""," ",IF(_xlfn.MAXIFS(tblDados[[Data do recebimento do e-mail]:[Data do recebimento do e-mail]],tblDados[[Razão Social]:[Razão Social]],$A201)=0,"NÃO APARECEU AINDA",_xlfn.MAXIFS(tblDados[[Data do recebimento do e-mail]:[Data do recebimento do e-mail]],tblDados[[Razão Social]:[Razão Social]],$A201)))</f>
        <v>45993</v>
      </c>
    </row>
    <row r="202" spans="1:7" hidden="1" x14ac:dyDescent="0.25">
      <c r="A202" t="s">
        <v>300</v>
      </c>
      <c r="B202" t="s">
        <v>18</v>
      </c>
      <c r="C202" t="str">
        <f>IFERROR(_xlfn.XLOOKUP(A202,'E-Mail BD'!B:B,'E-Mail BD'!A:A),"-")</f>
        <v>009.674.456/0001-01</v>
      </c>
      <c r="D202" s="2" t="str">
        <f t="shared" si="6"/>
        <v>09674456000101</v>
      </c>
      <c r="E202" s="2" t="str">
        <f t="shared" si="7"/>
        <v>09674456</v>
      </c>
      <c r="F202" s="8">
        <f>IF($A202=""," ",IF(_xlfn.MINIFS(tblDados[[Data do recebimento do e-mail]:[Data do recebimento do e-mail]],tblDados[[Razão Social]:[Razão Social]],$A202)=0,"NÃO APARECEU AINDA",_xlfn.MINIFS(tblDados[[Data do recebimento do e-mail]:[Data do recebimento do e-mail]],tblDados[[Razão Social]:[Razão Social]],$A202)))</f>
        <v>45811</v>
      </c>
      <c r="G202" s="8">
        <f>IF($A202=""," ",IF(_xlfn.MAXIFS(tblDados[[Data do recebimento do e-mail]:[Data do recebimento do e-mail]],tblDados[[Razão Social]:[Razão Social]],$A202)=0,"NÃO APARECEU AINDA",_xlfn.MAXIFS(tblDados[[Data do recebimento do e-mail]:[Data do recebimento do e-mail]],tblDados[[Razão Social]:[Razão Social]],$A202)))</f>
        <v>45931</v>
      </c>
    </row>
    <row r="203" spans="1:7" hidden="1" x14ac:dyDescent="0.25">
      <c r="A203" t="s">
        <v>152</v>
      </c>
      <c r="B203" t="s">
        <v>22</v>
      </c>
      <c r="C203" t="str">
        <f>IFERROR(_xlfn.XLOOKUP(A203,'E-Mail BD'!B:B,'E-Mail BD'!A:A),"-")</f>
        <v>001.636.335/0001-63</v>
      </c>
      <c r="D203" s="2" t="str">
        <f t="shared" si="6"/>
        <v>01636335000163</v>
      </c>
      <c r="E203" s="2" t="str">
        <f t="shared" si="7"/>
        <v>01636335</v>
      </c>
      <c r="F203" s="8">
        <f>IF($A203=""," ",IF(_xlfn.MINIFS(tblDados[[Data do recebimento do e-mail]:[Data do recebimento do e-mail]],tblDados[[Razão Social]:[Razão Social]],$A203)=0,"NÃO APARECEU AINDA",_xlfn.MINIFS(tblDados[[Data do recebimento do e-mail]:[Data do recebimento do e-mail]],tblDados[[Razão Social]:[Razão Social]],$A203)))</f>
        <v>45567</v>
      </c>
      <c r="G203" s="8">
        <f>IF($A203=""," ",IF(_xlfn.MAXIFS(tblDados[[Data do recebimento do e-mail]:[Data do recebimento do e-mail]],tblDados[[Razão Social]:[Razão Social]],$A203)=0,"NÃO APARECEU AINDA",_xlfn.MAXIFS(tblDados[[Data do recebimento do e-mail]:[Data do recebimento do e-mail]],tblDados[[Razão Social]:[Razão Social]],$A203)))</f>
        <v>45773</v>
      </c>
    </row>
    <row r="204" spans="1:7" hidden="1" x14ac:dyDescent="0.25">
      <c r="A204" t="s">
        <v>128</v>
      </c>
      <c r="B204" t="s">
        <v>4</v>
      </c>
      <c r="C204" t="str">
        <f>IFERROR(_xlfn.XLOOKUP(A204,'E-Mail BD'!B:B,'E-Mail BD'!A:A),"-")</f>
        <v>010.497.973/0001-31</v>
      </c>
      <c r="D204" s="2" t="str">
        <f t="shared" si="6"/>
        <v>10497973000131</v>
      </c>
      <c r="E204" s="2" t="str">
        <f t="shared" si="7"/>
        <v>10497973</v>
      </c>
      <c r="F204" s="8">
        <f>IF($A204=""," ",IF(_xlfn.MINIFS(tblDados[[Data do recebimento do e-mail]:[Data do recebimento do e-mail]],tblDados[[Razão Social]:[Razão Social]],$A204)=0,"NÃO APARECEU AINDA",_xlfn.MINIFS(tblDados[[Data do recebimento do e-mail]:[Data do recebimento do e-mail]],tblDados[[Razão Social]:[Razão Social]],$A204)))</f>
        <v>45551</v>
      </c>
      <c r="G204" s="8">
        <f>IF($A204=""," ",IF(_xlfn.MAXIFS(tblDados[[Data do recebimento do e-mail]:[Data do recebimento do e-mail]],tblDados[[Razão Social]:[Razão Social]],$A204)=0,"NÃO APARECEU AINDA",_xlfn.MAXIFS(tblDados[[Data do recebimento do e-mail]:[Data do recebimento do e-mail]],tblDados[[Razão Social]:[Razão Social]],$A204)))</f>
        <v>45861</v>
      </c>
    </row>
    <row r="205" spans="1:7" hidden="1" x14ac:dyDescent="0.25">
      <c r="A205" t="s">
        <v>142</v>
      </c>
      <c r="B205" t="s">
        <v>4</v>
      </c>
      <c r="C205" t="str">
        <f>IFERROR(_xlfn.XLOOKUP(A205,'E-Mail BD'!B:B,'E-Mail BD'!A:A),"-")</f>
        <v>012.804.762/0001-20</v>
      </c>
      <c r="D205" s="2" t="str">
        <f t="shared" si="6"/>
        <v>12804762000120</v>
      </c>
      <c r="E205" s="2" t="str">
        <f t="shared" si="7"/>
        <v>12804762</v>
      </c>
      <c r="F205" s="8">
        <f>IF($A205=""," ",IF(_xlfn.MINIFS(tblDados[[Data do recebimento do e-mail]:[Data do recebimento do e-mail]],tblDados[[Razão Social]:[Razão Social]],$A205)=0,"NÃO APARECEU AINDA",_xlfn.MINIFS(tblDados[[Data do recebimento do e-mail]:[Data do recebimento do e-mail]],tblDados[[Razão Social]:[Razão Social]],$A205)))</f>
        <v>45556</v>
      </c>
      <c r="G205" s="8">
        <f>IF($A205=""," ",IF(_xlfn.MAXIFS(tblDados[[Data do recebimento do e-mail]:[Data do recebimento do e-mail]],tblDados[[Razão Social]:[Razão Social]],$A205)=0,"NÃO APARECEU AINDA",_xlfn.MAXIFS(tblDados[[Data do recebimento do e-mail]:[Data do recebimento do e-mail]],tblDados[[Razão Social]:[Razão Social]],$A205)))</f>
        <v>45875</v>
      </c>
    </row>
    <row r="206" spans="1:7" hidden="1" x14ac:dyDescent="0.25">
      <c r="A206" t="s">
        <v>162</v>
      </c>
      <c r="B206" t="s">
        <v>22</v>
      </c>
      <c r="C206" t="str">
        <f>IFERROR(_xlfn.XLOOKUP(A206,'E-Mail BD'!B:B,'E-Mail BD'!A:A),"-")</f>
        <v>024.331.138/0001-31</v>
      </c>
      <c r="D206" s="2" t="str">
        <f t="shared" si="6"/>
        <v>24331138000131</v>
      </c>
      <c r="E206" s="2" t="str">
        <f t="shared" si="7"/>
        <v>24331138</v>
      </c>
      <c r="F206" s="8">
        <f>IF($A206=""," ",IF(_xlfn.MINIFS(tblDados[[Data do recebimento do e-mail]:[Data do recebimento do e-mail]],tblDados[[Razão Social]:[Razão Social]],$A206)=0,"NÃO APARECEU AINDA",_xlfn.MINIFS(tblDados[[Data do recebimento do e-mail]:[Data do recebimento do e-mail]],tblDados[[Razão Social]:[Razão Social]],$A206)))</f>
        <v>45575</v>
      </c>
      <c r="G206" s="8">
        <f>IF($A206=""," ",IF(_xlfn.MAXIFS(tblDados[[Data do recebimento do e-mail]:[Data do recebimento do e-mail]],tblDados[[Razão Social]:[Razão Social]],$A206)=0,"NÃO APARECEU AINDA",_xlfn.MAXIFS(tblDados[[Data do recebimento do e-mail]:[Data do recebimento do e-mail]],tblDados[[Razão Social]:[Razão Social]],$A206)))</f>
        <v>45799</v>
      </c>
    </row>
    <row r="207" spans="1:7" hidden="1" x14ac:dyDescent="0.25">
      <c r="A207" t="s">
        <v>244</v>
      </c>
      <c r="B207" t="s">
        <v>21</v>
      </c>
      <c r="C207" t="str">
        <f>IFERROR(_xlfn.XLOOKUP(A207,'E-Mail BD'!B:B,'E-Mail BD'!A:A),"-")</f>
        <v>051.980.425/0001-45</v>
      </c>
      <c r="D207" s="2" t="str">
        <f t="shared" si="6"/>
        <v>51980425000145</v>
      </c>
      <c r="E207" s="2" t="str">
        <f t="shared" si="7"/>
        <v>51980425</v>
      </c>
      <c r="F207" s="8">
        <f>IF($A207=""," ",IF(_xlfn.MINIFS(tblDados[[Data do recebimento do e-mail]:[Data do recebimento do e-mail]],tblDados[[Razão Social]:[Razão Social]],$A207)=0,"NÃO APARECEU AINDA",_xlfn.MINIFS(tblDados[[Data do recebimento do e-mail]:[Data do recebimento do e-mail]],tblDados[[Razão Social]:[Razão Social]],$A207)))</f>
        <v>45741</v>
      </c>
      <c r="G207" s="8">
        <f>IF($A207=""," ",IF(_xlfn.MAXIFS(tblDados[[Data do recebimento do e-mail]:[Data do recebimento do e-mail]],tblDados[[Razão Social]:[Razão Social]],$A207)=0,"NÃO APARECEU AINDA",_xlfn.MAXIFS(tblDados[[Data do recebimento do e-mail]:[Data do recebimento do e-mail]],tblDados[[Razão Social]:[Razão Social]],$A207)))</f>
        <v>46000</v>
      </c>
    </row>
    <row r="208" spans="1:7" hidden="1" x14ac:dyDescent="0.25">
      <c r="A208" t="s">
        <v>279</v>
      </c>
      <c r="B208" t="s">
        <v>21</v>
      </c>
      <c r="C208" t="str">
        <f>IFERROR(_xlfn.XLOOKUP(A208,'E-Mail BD'!B:B,'E-Mail BD'!A:A),"-")</f>
        <v>033.611.837/0001-26</v>
      </c>
      <c r="D208" s="2" t="str">
        <f t="shared" si="6"/>
        <v>33611837000126</v>
      </c>
      <c r="E208" s="2" t="str">
        <f t="shared" si="7"/>
        <v>33611837</v>
      </c>
      <c r="F208" s="8">
        <f>IF($A208=""," ",IF(_xlfn.MINIFS(tblDados[[Data do recebimento do e-mail]:[Data do recebimento do e-mail]],tblDados[[Razão Social]:[Razão Social]],$A208)=0,"NÃO APARECEU AINDA",_xlfn.MINIFS(tblDados[[Data do recebimento do e-mail]:[Data do recebimento do e-mail]],tblDados[[Razão Social]:[Razão Social]],$A208)))</f>
        <v>45791</v>
      </c>
      <c r="G208" s="8">
        <f>IF($A208=""," ",IF(_xlfn.MAXIFS(tblDados[[Data do recebimento do e-mail]:[Data do recebimento do e-mail]],tblDados[[Razão Social]:[Razão Social]],$A208)=0,"NÃO APARECEU AINDA",_xlfn.MAXIFS(tblDados[[Data do recebimento do e-mail]:[Data do recebimento do e-mail]],tblDados[[Razão Social]:[Razão Social]],$A208)))</f>
        <v>45920</v>
      </c>
    </row>
    <row r="209" spans="1:7" hidden="1" x14ac:dyDescent="0.25">
      <c r="A209" t="s">
        <v>246</v>
      </c>
      <c r="B209" t="s">
        <v>21</v>
      </c>
      <c r="C209" t="str">
        <f>IFERROR(_xlfn.XLOOKUP(A209,'E-Mail BD'!B:B,'E-Mail BD'!A:A),"-")</f>
        <v>043.515.558/0001-12</v>
      </c>
      <c r="D209" s="2" t="str">
        <f t="shared" si="6"/>
        <v>43515558000112</v>
      </c>
      <c r="E209" s="2" t="str">
        <f t="shared" si="7"/>
        <v>43515558</v>
      </c>
      <c r="F209" s="8">
        <f>IF($A209=""," ",IF(_xlfn.MINIFS(tblDados[[Data do recebimento do e-mail]:[Data do recebimento do e-mail]],tblDados[[Razão Social]:[Razão Social]],$A209)=0,"NÃO APARECEU AINDA",_xlfn.MINIFS(tblDados[[Data do recebimento do e-mail]:[Data do recebimento do e-mail]],tblDados[[Razão Social]:[Razão Social]],$A209)))</f>
        <v>45743</v>
      </c>
      <c r="G209" s="8">
        <f>IF($A209=""," ",IF(_xlfn.MAXIFS(tblDados[[Data do recebimento do e-mail]:[Data do recebimento do e-mail]],tblDados[[Razão Social]:[Razão Social]],$A209)=0,"NÃO APARECEU AINDA",_xlfn.MAXIFS(tblDados[[Data do recebimento do e-mail]:[Data do recebimento do e-mail]],tblDados[[Razão Social]:[Razão Social]],$A209)))</f>
        <v>46003</v>
      </c>
    </row>
    <row r="210" spans="1:7" hidden="1" x14ac:dyDescent="0.25">
      <c r="A210" t="s">
        <v>98</v>
      </c>
      <c r="B210" t="s">
        <v>21</v>
      </c>
      <c r="C210" t="str">
        <f>IFERROR(_xlfn.XLOOKUP(A210,'E-Mail BD'!B:B,'E-Mail BD'!A:A),"-")</f>
        <v>043.515.558/0001-12</v>
      </c>
      <c r="D210" s="2" t="str">
        <f t="shared" si="6"/>
        <v>43515558000112</v>
      </c>
      <c r="E210" s="2" t="str">
        <f t="shared" si="7"/>
        <v>43515558</v>
      </c>
      <c r="F210" s="8">
        <f>IF($A210=""," ",IF(_xlfn.MINIFS(tblDados[[Data do recebimento do e-mail]:[Data do recebimento do e-mail]],tblDados[[Razão Social]:[Razão Social]],$A210)=0,"NÃO APARECEU AINDA",_xlfn.MINIFS(tblDados[[Data do recebimento do e-mail]:[Data do recebimento do e-mail]],tblDados[[Razão Social]:[Razão Social]],$A210)))</f>
        <v>45538</v>
      </c>
      <c r="G210" s="8">
        <f>IF($A210=""," ",IF(_xlfn.MAXIFS(tblDados[[Data do recebimento do e-mail]:[Data do recebimento do e-mail]],tblDados[[Razão Social]:[Razão Social]],$A210)=0,"NÃO APARECEU AINDA",_xlfn.MAXIFS(tblDados[[Data do recebimento do e-mail]:[Data do recebimento do e-mail]],tblDados[[Razão Social]:[Razão Social]],$A210)))</f>
        <v>45697</v>
      </c>
    </row>
    <row r="211" spans="1:7" hidden="1" x14ac:dyDescent="0.25">
      <c r="A211" t="s">
        <v>657</v>
      </c>
      <c r="B211" t="s">
        <v>4</v>
      </c>
      <c r="C211" t="str">
        <f>IFERROR(_xlfn.XLOOKUP(A211,'E-Mail BD'!B:B,'E-Mail BD'!A:A),"-")</f>
        <v>005.136.389/0001-10</v>
      </c>
      <c r="D211" s="2" t="str">
        <f t="shared" si="6"/>
        <v>05136389000110</v>
      </c>
      <c r="E211" s="2" t="str">
        <f t="shared" si="7"/>
        <v>05136389</v>
      </c>
      <c r="F211" s="8">
        <f>IF($A211=""," ",IF(_xlfn.MINIFS(tblDados[[Data do recebimento do e-mail]:[Data do recebimento do e-mail]],tblDados[[Razão Social]:[Razão Social]],$A211)=0,"NÃO APARECEU AINDA",_xlfn.MINIFS(tblDados[[Data do recebimento do e-mail]:[Data do recebimento do e-mail]],tblDados[[Razão Social]:[Razão Social]],$A211)))</f>
        <v>45883</v>
      </c>
      <c r="G211" s="8">
        <f>IF($A211=""," ",IF(_xlfn.MAXIFS(tblDados[[Data do recebimento do e-mail]:[Data do recebimento do e-mail]],tblDados[[Razão Social]:[Razão Social]],$A211)=0,"NÃO APARECEU AINDA",_xlfn.MAXIFS(tblDados[[Data do recebimento do e-mail]:[Data do recebimento do e-mail]],tblDados[[Razão Social]:[Razão Social]],$A211)))</f>
        <v>46001</v>
      </c>
    </row>
    <row r="212" spans="1:7" hidden="1" x14ac:dyDescent="0.25">
      <c r="A212" t="s">
        <v>570</v>
      </c>
      <c r="B212" t="s">
        <v>18</v>
      </c>
      <c r="C212" t="str">
        <f>IFERROR(_xlfn.XLOOKUP(A212,'E-Mail BD'!B:B,'E-Mail BD'!A:A),"-")</f>
        <v>030.030.642/0001-02</v>
      </c>
      <c r="D212" s="2" t="str">
        <f t="shared" si="6"/>
        <v>30030642000102</v>
      </c>
      <c r="E212" s="2" t="str">
        <f t="shared" si="7"/>
        <v>30030642</v>
      </c>
      <c r="F212" s="8">
        <f>IF($A212=""," ",IF(_xlfn.MINIFS(tblDados[[Data do recebimento do e-mail]:[Data do recebimento do e-mail]],tblDados[[Razão Social]:[Razão Social]],$A212)=0,"NÃO APARECEU AINDA",_xlfn.MINIFS(tblDados[[Data do recebimento do e-mail]:[Data do recebimento do e-mail]],tblDados[[Razão Social]:[Razão Social]],$A212)))</f>
        <v>45948</v>
      </c>
      <c r="G212" s="8">
        <f>IF($A212=""," ",IF(_xlfn.MAXIFS(tblDados[[Data do recebimento do e-mail]:[Data do recebimento do e-mail]],tblDados[[Razão Social]:[Razão Social]],$A212)=0,"NÃO APARECEU AINDA",_xlfn.MAXIFS(tblDados[[Data do recebimento do e-mail]:[Data do recebimento do e-mail]],tblDados[[Razão Social]:[Razão Social]],$A212)))</f>
        <v>46003</v>
      </c>
    </row>
    <row r="213" spans="1:7" hidden="1" x14ac:dyDescent="0.25">
      <c r="A213" t="s">
        <v>552</v>
      </c>
      <c r="B213" t="s">
        <v>27</v>
      </c>
      <c r="C213" t="str">
        <f>IFERROR(_xlfn.XLOOKUP(A213,'E-Mail BD'!B:B,'E-Mail BD'!A:A),"-")</f>
        <v>033.281.410/0001-07</v>
      </c>
      <c r="D213" s="2" t="str">
        <f t="shared" si="6"/>
        <v>33281410000107</v>
      </c>
      <c r="E213" s="2" t="str">
        <f t="shared" si="7"/>
        <v>33281410</v>
      </c>
      <c r="F213" s="8">
        <f>IF($A213=""," ",IF(_xlfn.MINIFS(tblDados[[Data do recebimento do e-mail]:[Data do recebimento do e-mail]],tblDados[[Razão Social]:[Razão Social]],$A213)=0,"NÃO APARECEU AINDA",_xlfn.MINIFS(tblDados[[Data do recebimento do e-mail]:[Data do recebimento do e-mail]],tblDados[[Razão Social]:[Razão Social]],$A213)))</f>
        <v>45827</v>
      </c>
      <c r="G213" s="8">
        <f>IF($A213=""," ",IF(_xlfn.MAXIFS(tblDados[[Data do recebimento do e-mail]:[Data do recebimento do e-mail]],tblDados[[Razão Social]:[Razão Social]],$A213)=0,"NÃO APARECEU AINDA",_xlfn.MAXIFS(tblDados[[Data do recebimento do e-mail]:[Data do recebimento do e-mail]],tblDados[[Razão Social]:[Razão Social]],$A213)))</f>
        <v>45939</v>
      </c>
    </row>
    <row r="214" spans="1:7" hidden="1" x14ac:dyDescent="0.25">
      <c r="A214" t="s">
        <v>121</v>
      </c>
      <c r="B214" t="s">
        <v>17</v>
      </c>
      <c r="C214" t="str">
        <f>IFERROR(_xlfn.XLOOKUP(A214,'E-Mail BD'!B:B,'E-Mail BD'!A:A),"-")</f>
        <v>046.700.220/0001-29</v>
      </c>
      <c r="D214" s="2" t="str">
        <f t="shared" si="6"/>
        <v>46700220000129</v>
      </c>
      <c r="E214" s="2" t="str">
        <f t="shared" si="7"/>
        <v>46700220</v>
      </c>
      <c r="F214" s="8">
        <f>IF($A214=""," ",IF(_xlfn.MINIFS(tblDados[[Data do recebimento do e-mail]:[Data do recebimento do e-mail]],tblDados[[Razão Social]:[Razão Social]],$A214)=0,"NÃO APARECEU AINDA",_xlfn.MINIFS(tblDados[[Data do recebimento do e-mail]:[Data do recebimento do e-mail]],tblDados[[Razão Social]:[Razão Social]],$A214)))</f>
        <v>45545</v>
      </c>
      <c r="G214" s="8">
        <f>IF($A214=""," ",IF(_xlfn.MAXIFS(tblDados[[Data do recebimento do e-mail]:[Data do recebimento do e-mail]],tblDados[[Razão Social]:[Razão Social]],$A214)=0,"NÃO APARECEU AINDA",_xlfn.MAXIFS(tblDados[[Data do recebimento do e-mail]:[Data do recebimento do e-mail]],tblDados[[Razão Social]:[Razão Social]],$A214)))</f>
        <v>45650</v>
      </c>
    </row>
    <row r="215" spans="1:7" hidden="1" x14ac:dyDescent="0.25">
      <c r="A215" t="s">
        <v>285</v>
      </c>
      <c r="B215" t="s">
        <v>22</v>
      </c>
      <c r="C215" t="str">
        <f>IFERROR(_xlfn.XLOOKUP(A215,'E-Mail BD'!B:B,'E-Mail BD'!A:A),"-")</f>
        <v>041.921.772/0001-43</v>
      </c>
      <c r="D215" s="2" t="str">
        <f t="shared" si="6"/>
        <v>41921772000143</v>
      </c>
      <c r="E215" s="2" t="str">
        <f t="shared" si="7"/>
        <v>41921772</v>
      </c>
      <c r="F215" s="8">
        <f>IF($A215=""," ",IF(_xlfn.MINIFS(tblDados[[Data do recebimento do e-mail]:[Data do recebimento do e-mail]],tblDados[[Razão Social]:[Razão Social]],$A215)=0,"NÃO APARECEU AINDA",_xlfn.MINIFS(tblDados[[Data do recebimento do e-mail]:[Data do recebimento do e-mail]],tblDados[[Razão Social]:[Razão Social]],$A215)))</f>
        <v>45793</v>
      </c>
      <c r="G215" s="8">
        <f>IF($A215=""," ",IF(_xlfn.MAXIFS(tblDados[[Data do recebimento do e-mail]:[Data do recebimento do e-mail]],tblDados[[Razão Social]:[Razão Social]],$A215)=0,"NÃO APARECEU AINDA",_xlfn.MAXIFS(tblDados[[Data do recebimento do e-mail]:[Data do recebimento do e-mail]],tblDados[[Razão Social]:[Razão Social]],$A215)))</f>
        <v>45829</v>
      </c>
    </row>
    <row r="216" spans="1:7" hidden="1" x14ac:dyDescent="0.25">
      <c r="A216" t="s">
        <v>235</v>
      </c>
      <c r="B216" t="s">
        <v>22</v>
      </c>
      <c r="C216" t="str">
        <f>IFERROR(_xlfn.XLOOKUP(A216,'E-Mail BD'!B:B,'E-Mail BD'!A:A),"-")</f>
        <v>040.938.741/0001-32</v>
      </c>
      <c r="D216" s="2" t="str">
        <f t="shared" si="6"/>
        <v>40938741000132</v>
      </c>
      <c r="E216" s="2" t="str">
        <f t="shared" si="7"/>
        <v>40938741</v>
      </c>
      <c r="F216" s="8">
        <f>IF($A216=""," ",IF(_xlfn.MINIFS(tblDados[[Data do recebimento do e-mail]:[Data do recebimento do e-mail]],tblDados[[Razão Social]:[Razão Social]],$A216)=0,"NÃO APARECEU AINDA",_xlfn.MINIFS(tblDados[[Data do recebimento do e-mail]:[Data do recebimento do e-mail]],tblDados[[Razão Social]:[Razão Social]],$A216)))</f>
        <v>45737</v>
      </c>
      <c r="G216" s="8">
        <f>IF($A216=""," ",IF(_xlfn.MAXIFS(tblDados[[Data do recebimento do e-mail]:[Data do recebimento do e-mail]],tblDados[[Razão Social]:[Razão Social]],$A216)=0,"NÃO APARECEU AINDA",_xlfn.MAXIFS(tblDados[[Data do recebimento do e-mail]:[Data do recebimento do e-mail]],tblDados[[Razão Social]:[Razão Social]],$A216)))</f>
        <v>45986</v>
      </c>
    </row>
    <row r="217" spans="1:7" hidden="1" x14ac:dyDescent="0.25">
      <c r="A217" t="s">
        <v>188</v>
      </c>
      <c r="B217" t="s">
        <v>21</v>
      </c>
      <c r="C217" t="str">
        <f>IFERROR(_xlfn.XLOOKUP(A217,'E-Mail BD'!B:B,'E-Mail BD'!A:A),"-")</f>
        <v>005.355.135/0001-93</v>
      </c>
      <c r="D217" s="2" t="str">
        <f t="shared" si="6"/>
        <v>05355135000193</v>
      </c>
      <c r="E217" s="2" t="str">
        <f t="shared" si="7"/>
        <v>05355135</v>
      </c>
      <c r="F217" s="8">
        <f>IF($A217=""," ",IF(_xlfn.MINIFS(tblDados[[Data do recebimento do e-mail]:[Data do recebimento do e-mail]],tblDados[[Razão Social]:[Razão Social]],$A217)=0,"NÃO APARECEU AINDA",_xlfn.MINIFS(tblDados[[Data do recebimento do e-mail]:[Data do recebimento do e-mail]],tblDados[[Razão Social]:[Razão Social]],$A217)))</f>
        <v>45612</v>
      </c>
      <c r="G217" s="8">
        <f>IF($A217=""," ",IF(_xlfn.MAXIFS(tblDados[[Data do recebimento do e-mail]:[Data do recebimento do e-mail]],tblDados[[Razão Social]:[Razão Social]],$A217)=0,"NÃO APARECEU AINDA",_xlfn.MAXIFS(tblDados[[Data do recebimento do e-mail]:[Data do recebimento do e-mail]],tblDados[[Razão Social]:[Razão Social]],$A217)))</f>
        <v>45678</v>
      </c>
    </row>
    <row r="218" spans="1:7" hidden="1" x14ac:dyDescent="0.25">
      <c r="A218" t="s">
        <v>146</v>
      </c>
      <c r="B218" t="s">
        <v>13</v>
      </c>
      <c r="C218" t="str">
        <f>IFERROR(_xlfn.XLOOKUP(A218,'E-Mail BD'!B:B,'E-Mail BD'!A:A),"-")</f>
        <v>045.871.536/0001-10</v>
      </c>
      <c r="D218" s="2" t="str">
        <f t="shared" si="6"/>
        <v>45871536000110</v>
      </c>
      <c r="E218" s="2" t="str">
        <f t="shared" si="7"/>
        <v>45871536</v>
      </c>
      <c r="F218" s="8">
        <f>IF($A218=""," ",IF(_xlfn.MINIFS(tblDados[[Data do recebimento do e-mail]:[Data do recebimento do e-mail]],tblDados[[Razão Social]:[Razão Social]],$A218)=0,"NÃO APARECEU AINDA",_xlfn.MINIFS(tblDados[[Data do recebimento do e-mail]:[Data do recebimento do e-mail]],tblDados[[Razão Social]:[Razão Social]],$A218)))</f>
        <v>45562</v>
      </c>
      <c r="G218" s="8">
        <f>IF($A218=""," ",IF(_xlfn.MAXIFS(tblDados[[Data do recebimento do e-mail]:[Data do recebimento do e-mail]],tblDados[[Razão Social]:[Razão Social]],$A218)=0,"NÃO APARECEU AINDA",_xlfn.MAXIFS(tblDados[[Data do recebimento do e-mail]:[Data do recebimento do e-mail]],tblDados[[Razão Social]:[Razão Social]],$A218)))</f>
        <v>45962</v>
      </c>
    </row>
    <row r="219" spans="1:7" hidden="1" x14ac:dyDescent="0.25">
      <c r="A219" t="s">
        <v>257</v>
      </c>
      <c r="B219" t="s">
        <v>19</v>
      </c>
      <c r="C219" t="str">
        <f>IFERROR(_xlfn.XLOOKUP(A219,'E-Mail BD'!B:B,'E-Mail BD'!A:A),"-")</f>
        <v>040.828.273/0001-43</v>
      </c>
      <c r="D219" s="2" t="str">
        <f t="shared" si="6"/>
        <v>40828273000143</v>
      </c>
      <c r="E219" s="2" t="str">
        <f t="shared" si="7"/>
        <v>40828273</v>
      </c>
      <c r="F219" s="8">
        <f>IF($A219=""," ",IF(_xlfn.MINIFS(tblDados[[Data do recebimento do e-mail]:[Data do recebimento do e-mail]],tblDados[[Razão Social]:[Razão Social]],$A219)=0,"NÃO APARECEU AINDA",_xlfn.MINIFS(tblDados[[Data do recebimento do e-mail]:[Data do recebimento do e-mail]],tblDados[[Razão Social]:[Razão Social]],$A219)))</f>
        <v>45762</v>
      </c>
      <c r="G219" s="8">
        <f>IF($A219=""," ",IF(_xlfn.MAXIFS(tblDados[[Data do recebimento do e-mail]:[Data do recebimento do e-mail]],tblDados[[Razão Social]:[Razão Social]],$A219)=0,"NÃO APARECEU AINDA",_xlfn.MAXIFS(tblDados[[Data do recebimento do e-mail]:[Data do recebimento do e-mail]],tblDados[[Razão Social]:[Razão Social]],$A219)))</f>
        <v>45773</v>
      </c>
    </row>
    <row r="220" spans="1:7" hidden="1" x14ac:dyDescent="0.25">
      <c r="A220" t="s">
        <v>236</v>
      </c>
      <c r="B220" t="s">
        <v>22</v>
      </c>
      <c r="C220" t="str">
        <f>IFERROR(_xlfn.XLOOKUP(A220,'E-Mail BD'!B:B,'E-Mail BD'!A:A),"-")</f>
        <v>045.501.529/0001-27</v>
      </c>
      <c r="D220" s="2" t="str">
        <f t="shared" si="6"/>
        <v>45501529000127</v>
      </c>
      <c r="E220" s="2" t="str">
        <f t="shared" si="7"/>
        <v>45501529</v>
      </c>
      <c r="F220" s="8">
        <f>IF($A220=""," ",IF(_xlfn.MINIFS(tblDados[[Data do recebimento do e-mail]:[Data do recebimento do e-mail]],tblDados[[Razão Social]:[Razão Social]],$A220)=0,"NÃO APARECEU AINDA",_xlfn.MINIFS(tblDados[[Data do recebimento do e-mail]:[Data do recebimento do e-mail]],tblDados[[Razão Social]:[Razão Social]],$A220)))</f>
        <v>45737</v>
      </c>
      <c r="G220" s="8">
        <f>IF($A220=""," ",IF(_xlfn.MAXIFS(tblDados[[Data do recebimento do e-mail]:[Data do recebimento do e-mail]],tblDados[[Razão Social]:[Razão Social]],$A220)=0,"NÃO APARECEU AINDA",_xlfn.MAXIFS(tblDados[[Data do recebimento do e-mail]:[Data do recebimento do e-mail]],tblDados[[Razão Social]:[Razão Social]],$A220)))</f>
        <v>45794</v>
      </c>
    </row>
    <row r="221" spans="1:7" hidden="1" x14ac:dyDescent="0.25">
      <c r="A221" t="s">
        <v>213</v>
      </c>
      <c r="B221" t="s">
        <v>18</v>
      </c>
      <c r="C221" t="str">
        <f>IFERROR(_xlfn.XLOOKUP(A221,'E-Mail BD'!B:B,'E-Mail BD'!A:A),"-")</f>
        <v>050.850.666/0001-07</v>
      </c>
      <c r="D221" s="2" t="str">
        <f t="shared" si="6"/>
        <v>50850666000107</v>
      </c>
      <c r="E221" s="2" t="str">
        <f t="shared" si="7"/>
        <v>50850666</v>
      </c>
      <c r="F221" s="8">
        <f>IF($A221=""," ",IF(_xlfn.MINIFS(tblDados[[Data do recebimento do e-mail]:[Data do recebimento do e-mail]],tblDados[[Razão Social]:[Razão Social]],$A221)=0,"NÃO APARECEU AINDA",_xlfn.MINIFS(tblDados[[Data do recebimento do e-mail]:[Data do recebimento do e-mail]],tblDados[[Razão Social]:[Razão Social]],$A221)))</f>
        <v>45680</v>
      </c>
      <c r="G221" s="8">
        <f>IF($A221=""," ",IF(_xlfn.MAXIFS(tblDados[[Data do recebimento do e-mail]:[Data do recebimento do e-mail]],tblDados[[Razão Social]:[Razão Social]],$A221)=0,"NÃO APARECEU AINDA",_xlfn.MAXIFS(tblDados[[Data do recebimento do e-mail]:[Data do recebimento do e-mail]],tblDados[[Razão Social]:[Razão Social]],$A221)))</f>
        <v>45962</v>
      </c>
    </row>
    <row r="222" spans="1:7" hidden="1" x14ac:dyDescent="0.25">
      <c r="A222" t="s">
        <v>228</v>
      </c>
      <c r="B222" t="s">
        <v>18</v>
      </c>
      <c r="C222" t="str">
        <f>IFERROR(_xlfn.XLOOKUP(A222,'E-Mail BD'!B:B,'E-Mail BD'!A:A),"-")</f>
        <v>039.822.835/0001-62</v>
      </c>
      <c r="D222" s="2" t="str">
        <f t="shared" si="6"/>
        <v>39822835000162</v>
      </c>
      <c r="E222" s="2" t="str">
        <f t="shared" si="7"/>
        <v>39822835</v>
      </c>
      <c r="F222" s="8">
        <f>IF($A222=""," ",IF(_xlfn.MINIFS(tblDados[[Data do recebimento do e-mail]:[Data do recebimento do e-mail]],tblDados[[Razão Social]:[Razão Social]],$A222)=0,"NÃO APARECEU AINDA",_xlfn.MINIFS(tblDados[[Data do recebimento do e-mail]:[Data do recebimento do e-mail]],tblDados[[Razão Social]:[Razão Social]],$A222)))</f>
        <v>45693</v>
      </c>
      <c r="G222" s="8">
        <f>IF($A222=""," ",IF(_xlfn.MAXIFS(tblDados[[Data do recebimento do e-mail]:[Data do recebimento do e-mail]],tblDados[[Razão Social]:[Razão Social]],$A222)=0,"NÃO APARECEU AINDA",_xlfn.MAXIFS(tblDados[[Data do recebimento do e-mail]:[Data do recebimento do e-mail]],tblDados[[Razão Social]:[Razão Social]],$A222)))</f>
        <v>45765</v>
      </c>
    </row>
    <row r="223" spans="1:7" hidden="1" x14ac:dyDescent="0.25">
      <c r="A223" t="s">
        <v>200</v>
      </c>
      <c r="B223" t="s">
        <v>21</v>
      </c>
      <c r="C223" t="str">
        <f>IFERROR(_xlfn.XLOOKUP(A223,'E-Mail BD'!B:B,'E-Mail BD'!A:A),"-")</f>
        <v>050.901.671/0001-00</v>
      </c>
      <c r="D223" s="2" t="str">
        <f t="shared" si="6"/>
        <v>50901671000100</v>
      </c>
      <c r="E223" s="2" t="str">
        <f t="shared" si="7"/>
        <v>50901671</v>
      </c>
      <c r="F223" s="8">
        <f>IF($A223=""," ",IF(_xlfn.MINIFS(tblDados[[Data do recebimento do e-mail]:[Data do recebimento do e-mail]],tblDados[[Razão Social]:[Razão Social]],$A223)=0,"NÃO APARECEU AINDA",_xlfn.MINIFS(tblDados[[Data do recebimento do e-mail]:[Data do recebimento do e-mail]],tblDados[[Razão Social]:[Razão Social]],$A223)))</f>
        <v>45669</v>
      </c>
      <c r="G223" s="8">
        <f>IF($A223=""," ",IF(_xlfn.MAXIFS(tblDados[[Data do recebimento do e-mail]:[Data do recebimento do e-mail]],tblDados[[Razão Social]:[Razão Social]],$A223)=0,"NÃO APARECEU AINDA",_xlfn.MAXIFS(tblDados[[Data do recebimento do e-mail]:[Data do recebimento do e-mail]],tblDados[[Razão Social]:[Razão Social]],$A223)))</f>
        <v>45815</v>
      </c>
    </row>
    <row r="224" spans="1:7" hidden="1" x14ac:dyDescent="0.25">
      <c r="A224" t="s">
        <v>159</v>
      </c>
      <c r="B224" t="s">
        <v>18</v>
      </c>
      <c r="C224" t="str">
        <f>IFERROR(_xlfn.XLOOKUP(A224,'E-Mail BD'!B:B,'E-Mail BD'!A:A),"-")</f>
        <v>000.810.852/0001-44</v>
      </c>
      <c r="D224" s="2" t="str">
        <f t="shared" si="6"/>
        <v>00810852000144</v>
      </c>
      <c r="E224" s="2" t="str">
        <f t="shared" si="7"/>
        <v>00810852</v>
      </c>
      <c r="F224" s="8">
        <f>IF($A224=""," ",IF(_xlfn.MINIFS(tblDados[[Data do recebimento do e-mail]:[Data do recebimento do e-mail]],tblDados[[Razão Social]:[Razão Social]],$A224)=0,"NÃO APARECEU AINDA",_xlfn.MINIFS(tblDados[[Data do recebimento do e-mail]:[Data do recebimento do e-mail]],tblDados[[Razão Social]:[Razão Social]],$A224)))</f>
        <v>45574</v>
      </c>
      <c r="G224" s="8">
        <f>IF($A224=""," ",IF(_xlfn.MAXIFS(tblDados[[Data do recebimento do e-mail]:[Data do recebimento do e-mail]],tblDados[[Razão Social]:[Razão Social]],$A224)=0,"NÃO APARECEU AINDA",_xlfn.MAXIFS(tblDados[[Data do recebimento do e-mail]:[Data do recebimento do e-mail]],tblDados[[Razão Social]:[Razão Social]],$A224)))</f>
        <v>45689</v>
      </c>
    </row>
    <row r="225" spans="1:7" hidden="1" x14ac:dyDescent="0.25">
      <c r="A225" t="s">
        <v>206</v>
      </c>
      <c r="B225" t="s">
        <v>4</v>
      </c>
      <c r="C225" t="str">
        <f>IFERROR(_xlfn.XLOOKUP(A225,'E-Mail BD'!B:B,'E-Mail BD'!A:A),"-")</f>
        <v>001.831.532/0001-33</v>
      </c>
      <c r="D225" s="2" t="str">
        <f t="shared" si="6"/>
        <v>01831532000133</v>
      </c>
      <c r="E225" s="2" t="str">
        <f t="shared" si="7"/>
        <v>01831532</v>
      </c>
      <c r="F225" s="8">
        <f>IF($A225=""," ",IF(_xlfn.MINIFS(tblDados[[Data do recebimento do e-mail]:[Data do recebimento do e-mail]],tblDados[[Razão Social]:[Razão Social]],$A225)=0,"NÃO APARECEU AINDA",_xlfn.MINIFS(tblDados[[Data do recebimento do e-mail]:[Data do recebimento do e-mail]],tblDados[[Razão Social]:[Razão Social]],$A225)))</f>
        <v>45679</v>
      </c>
      <c r="G225" s="8">
        <f>IF($A225=""," ",IF(_xlfn.MAXIFS(tblDados[[Data do recebimento do e-mail]:[Data do recebimento do e-mail]],tblDados[[Razão Social]:[Razão Social]],$A225)=0,"NÃO APARECEU AINDA",_xlfn.MAXIFS(tblDados[[Data do recebimento do e-mail]:[Data do recebimento do e-mail]],tblDados[[Razão Social]:[Razão Social]],$A225)))</f>
        <v>45867</v>
      </c>
    </row>
    <row r="226" spans="1:7" hidden="1" x14ac:dyDescent="0.25">
      <c r="A226" t="s">
        <v>131</v>
      </c>
      <c r="B226" t="s">
        <v>13</v>
      </c>
      <c r="C226" t="str">
        <f>IFERROR(_xlfn.XLOOKUP(A226,'E-Mail BD'!B:B,'E-Mail BD'!A:A),"-")</f>
        <v>002.246.382/0001-63</v>
      </c>
      <c r="D226" s="2" t="str">
        <f t="shared" si="6"/>
        <v>02246382000163</v>
      </c>
      <c r="E226" s="2" t="str">
        <f t="shared" si="7"/>
        <v>02246382</v>
      </c>
      <c r="F226" s="8">
        <f>IF($A226=""," ",IF(_xlfn.MINIFS(tblDados[[Data do recebimento do e-mail]:[Data do recebimento do e-mail]],tblDados[[Razão Social]:[Razão Social]],$A226)=0,"NÃO APARECEU AINDA",_xlfn.MINIFS(tblDados[[Data do recebimento do e-mail]:[Data do recebimento do e-mail]],tblDados[[Razão Social]:[Razão Social]],$A226)))</f>
        <v>45551</v>
      </c>
      <c r="G226" s="8">
        <f>IF($A226=""," ",IF(_xlfn.MAXIFS(tblDados[[Data do recebimento do e-mail]:[Data do recebimento do e-mail]],tblDados[[Razão Social]:[Razão Social]],$A226)=0,"NÃO APARECEU AINDA",_xlfn.MAXIFS(tblDados[[Data do recebimento do e-mail]:[Data do recebimento do e-mail]],tblDados[[Razão Social]:[Razão Social]],$A226)))</f>
        <v>45697</v>
      </c>
    </row>
    <row r="227" spans="1:7" hidden="1" x14ac:dyDescent="0.25">
      <c r="A227" t="s">
        <v>237</v>
      </c>
      <c r="B227" t="s">
        <v>16</v>
      </c>
      <c r="C227" t="str">
        <f>IFERROR(_xlfn.XLOOKUP(A227,'E-Mail BD'!B:B,'E-Mail BD'!A:A),"-")</f>
        <v>018.868.117/0001-57</v>
      </c>
      <c r="D227" s="2" t="str">
        <f t="shared" si="6"/>
        <v>18868117000157</v>
      </c>
      <c r="E227" s="2" t="str">
        <f t="shared" si="7"/>
        <v>18868117</v>
      </c>
      <c r="F227" s="8">
        <f>IF($A227=""," ",IF(_xlfn.MINIFS(tblDados[[Data do recebimento do e-mail]:[Data do recebimento do e-mail]],tblDados[[Razão Social]:[Razão Social]],$A227)=0,"NÃO APARECEU AINDA",_xlfn.MINIFS(tblDados[[Data do recebimento do e-mail]:[Data do recebimento do e-mail]],tblDados[[Razão Social]:[Razão Social]],$A227)))</f>
        <v>45737</v>
      </c>
      <c r="G227" s="8">
        <f>IF($A227=""," ",IF(_xlfn.MAXIFS(tblDados[[Data do recebimento do e-mail]:[Data do recebimento do e-mail]],tblDados[[Razão Social]:[Razão Social]],$A227)=0,"NÃO APARECEU AINDA",_xlfn.MAXIFS(tblDados[[Data do recebimento do e-mail]:[Data do recebimento do e-mail]],tblDados[[Razão Social]:[Razão Social]],$A227)))</f>
        <v>45941</v>
      </c>
    </row>
    <row r="228" spans="1:7" hidden="1" x14ac:dyDescent="0.25">
      <c r="A228" t="s">
        <v>549</v>
      </c>
      <c r="B228" t="s">
        <v>4</v>
      </c>
      <c r="C228" t="str">
        <f>IFERROR(_xlfn.XLOOKUP(A228,'E-Mail BD'!B:B,'E-Mail BD'!A:A),"-")</f>
        <v>-</v>
      </c>
      <c r="D228" s="2" t="str">
        <f t="shared" si="6"/>
        <v>-</v>
      </c>
      <c r="E228" s="2" t="str">
        <f t="shared" si="7"/>
        <v>-</v>
      </c>
      <c r="F228" s="8" t="str">
        <f>IF($A228=""," ",IF(_xlfn.MINIFS(tblDados[[Data do recebimento do e-mail]:[Data do recebimento do e-mail]],tblDados[[Razão Social]:[Razão Social]],$A228)=0,"NÃO APARECEU AINDA",_xlfn.MINIFS(tblDados[[Data do recebimento do e-mail]:[Data do recebimento do e-mail]],tblDados[[Razão Social]:[Razão Social]],$A228)))</f>
        <v>NÃO APARECEU AINDA</v>
      </c>
      <c r="G228" s="8" t="str">
        <f>IF($A228=""," ",IF(_xlfn.MAXIFS(tblDados[[Data do recebimento do e-mail]:[Data do recebimento do e-mail]],tblDados[[Razão Social]:[Razão Social]],$A228)=0,"NÃO APARECEU AINDA",_xlfn.MAXIFS(tblDados[[Data do recebimento do e-mail]:[Data do recebimento do e-mail]],tblDados[[Razão Social]:[Razão Social]],$A228)))</f>
        <v>NÃO APARECEU AINDA</v>
      </c>
    </row>
    <row r="229" spans="1:7" hidden="1" x14ac:dyDescent="0.25">
      <c r="A229" t="s">
        <v>155</v>
      </c>
      <c r="B229" t="s">
        <v>4</v>
      </c>
      <c r="C229" t="str">
        <f>IFERROR(_xlfn.XLOOKUP(A229,'E-Mail BD'!B:B,'E-Mail BD'!A:A),"-")</f>
        <v>012.817.803/0001-12</v>
      </c>
      <c r="D229" s="2" t="str">
        <f t="shared" si="6"/>
        <v>12817803000112</v>
      </c>
      <c r="E229" s="2" t="str">
        <f t="shared" si="7"/>
        <v>12817803</v>
      </c>
      <c r="F229" s="8">
        <f>IF($A229=""," ",IF(_xlfn.MINIFS(tblDados[[Data do recebimento do e-mail]:[Data do recebimento do e-mail]],tblDados[[Razão Social]:[Razão Social]],$A229)=0,"NÃO APARECEU AINDA",_xlfn.MINIFS(tblDados[[Data do recebimento do e-mail]:[Data do recebimento do e-mail]],tblDados[[Razão Social]:[Razão Social]],$A229)))</f>
        <v>45573</v>
      </c>
      <c r="G229" s="8">
        <f>IF($A229=""," ",IF(_xlfn.MAXIFS(tblDados[[Data do recebimento do e-mail]:[Data do recebimento do e-mail]],tblDados[[Razão Social]:[Razão Social]],$A229)=0,"NÃO APARECEU AINDA",_xlfn.MAXIFS(tblDados[[Data do recebimento do e-mail]:[Data do recebimento do e-mail]],tblDados[[Razão Social]:[Razão Social]],$A229)))</f>
        <v>45590</v>
      </c>
    </row>
    <row r="230" spans="1:7" hidden="1" x14ac:dyDescent="0.25">
      <c r="A230" t="s">
        <v>198</v>
      </c>
      <c r="B230" t="s">
        <v>4</v>
      </c>
      <c r="C230" t="str">
        <f>IFERROR(_xlfn.XLOOKUP(A230,'E-Mail BD'!B:B,'E-Mail BD'!A:A),"-")</f>
        <v>023.083.383/0001-04</v>
      </c>
      <c r="D230" s="2" t="str">
        <f t="shared" si="6"/>
        <v>23083383000104</v>
      </c>
      <c r="E230" s="2" t="str">
        <f t="shared" si="7"/>
        <v>23083383</v>
      </c>
      <c r="F230" s="8">
        <f>IF($A230=""," ",IF(_xlfn.MINIFS(tblDados[[Data do recebimento do e-mail]:[Data do recebimento do e-mail]],tblDados[[Razão Social]:[Razão Social]],$A230)=0,"NÃO APARECEU AINDA",_xlfn.MINIFS(tblDados[[Data do recebimento do e-mail]:[Data do recebimento do e-mail]],tblDados[[Razão Social]:[Razão Social]],$A230)))</f>
        <v>45651</v>
      </c>
      <c r="G230" s="8">
        <f>IF($A230=""," ",IF(_xlfn.MAXIFS(tblDados[[Data do recebimento do e-mail]:[Data do recebimento do e-mail]],tblDados[[Razão Social]:[Razão Social]],$A230)=0,"NÃO APARECEU AINDA",_xlfn.MAXIFS(tblDados[[Data do recebimento do e-mail]:[Data do recebimento do e-mail]],tblDados[[Razão Social]:[Razão Social]],$A230)))</f>
        <v>45651</v>
      </c>
    </row>
    <row r="231" spans="1:7" hidden="1" x14ac:dyDescent="0.25">
      <c r="A231" t="s">
        <v>571</v>
      </c>
      <c r="B231" t="s">
        <v>618</v>
      </c>
      <c r="C231" t="str">
        <f>IFERROR(_xlfn.XLOOKUP(A231,'E-Mail BD'!B:B,'E-Mail BD'!A:A),"-")</f>
        <v>-</v>
      </c>
      <c r="D231" s="2" t="str">
        <f t="shared" si="6"/>
        <v>-</v>
      </c>
      <c r="E231" s="2" t="str">
        <f t="shared" si="7"/>
        <v>-</v>
      </c>
      <c r="F231" s="8" t="str">
        <f>IF($A231=""," ",IF(_xlfn.MINIFS(tblDados[[Data do recebimento do e-mail]:[Data do recebimento do e-mail]],tblDados[[Razão Social]:[Razão Social]],$A231)=0,"NÃO APARECEU AINDA",_xlfn.MINIFS(tblDados[[Data do recebimento do e-mail]:[Data do recebimento do e-mail]],tblDados[[Razão Social]:[Razão Social]],$A231)))</f>
        <v>NÃO APARECEU AINDA</v>
      </c>
      <c r="G231" s="8" t="str">
        <f>IF($A231=""," ",IF(_xlfn.MAXIFS(tblDados[[Data do recebimento do e-mail]:[Data do recebimento do e-mail]],tblDados[[Razão Social]:[Razão Social]],$A231)=0,"NÃO APARECEU AINDA",_xlfn.MAXIFS(tblDados[[Data do recebimento do e-mail]:[Data do recebimento do e-mail]],tblDados[[Razão Social]:[Razão Social]],$A231)))</f>
        <v>NÃO APARECEU AINDA</v>
      </c>
    </row>
    <row r="232" spans="1:7" hidden="1" x14ac:dyDescent="0.25">
      <c r="A232" t="s">
        <v>125</v>
      </c>
      <c r="B232" t="s">
        <v>7</v>
      </c>
      <c r="C232" t="str">
        <f>IFERROR(_xlfn.XLOOKUP(A232,'E-Mail BD'!B:B,'E-Mail BD'!A:A),"-")</f>
        <v>025.236.865/0001-82</v>
      </c>
      <c r="D232" s="2" t="str">
        <f t="shared" si="6"/>
        <v>25236865000182</v>
      </c>
      <c r="E232" s="2" t="str">
        <f t="shared" si="7"/>
        <v>25236865</v>
      </c>
      <c r="F232" s="8">
        <f>IF($A232=""," ",IF(_xlfn.MINIFS(tblDados[[Data do recebimento do e-mail]:[Data do recebimento do e-mail]],tblDados[[Razão Social]:[Razão Social]],$A232)=0,"NÃO APARECEU AINDA",_xlfn.MINIFS(tblDados[[Data do recebimento do e-mail]:[Data do recebimento do e-mail]],tblDados[[Razão Social]:[Razão Social]],$A232)))</f>
        <v>45548</v>
      </c>
      <c r="G232" s="8">
        <f>IF($A232=""," ",IF(_xlfn.MAXIFS(tblDados[[Data do recebimento do e-mail]:[Data do recebimento do e-mail]],tblDados[[Razão Social]:[Razão Social]],$A232)=0,"NÃO APARECEU AINDA",_xlfn.MAXIFS(tblDados[[Data do recebimento do e-mail]:[Data do recebimento do e-mail]],tblDados[[Razão Social]:[Razão Social]],$A232)))</f>
        <v>45801</v>
      </c>
    </row>
    <row r="233" spans="1:7" hidden="1" x14ac:dyDescent="0.25">
      <c r="A233" t="s">
        <v>577</v>
      </c>
      <c r="B233" t="s">
        <v>7</v>
      </c>
      <c r="C233" t="str">
        <f>IFERROR(_xlfn.XLOOKUP(A233,'E-Mail BD'!B:B,'E-Mail BD'!A:A),"-")</f>
        <v>-</v>
      </c>
      <c r="D233" s="2" t="str">
        <f t="shared" si="6"/>
        <v>-</v>
      </c>
      <c r="E233" s="2" t="str">
        <f t="shared" si="7"/>
        <v>-</v>
      </c>
      <c r="F233" s="8" t="str">
        <f>IF($A233=""," ",IF(_xlfn.MINIFS(tblDados[[Data do recebimento do e-mail]:[Data do recebimento do e-mail]],tblDados[[Razão Social]:[Razão Social]],$A233)=0,"NÃO APARECEU AINDA",_xlfn.MINIFS(tblDados[[Data do recebimento do e-mail]:[Data do recebimento do e-mail]],tblDados[[Razão Social]:[Razão Social]],$A233)))</f>
        <v>NÃO APARECEU AINDA</v>
      </c>
      <c r="G233" s="8" t="str">
        <f>IF($A233=""," ",IF(_xlfn.MAXIFS(tblDados[[Data do recebimento do e-mail]:[Data do recebimento do e-mail]],tblDados[[Razão Social]:[Razão Social]],$A233)=0,"NÃO APARECEU AINDA",_xlfn.MAXIFS(tblDados[[Data do recebimento do e-mail]:[Data do recebimento do e-mail]],tblDados[[Razão Social]:[Razão Social]],$A233)))</f>
        <v>NÃO APARECEU AINDA</v>
      </c>
    </row>
    <row r="234" spans="1:7" hidden="1" x14ac:dyDescent="0.25">
      <c r="A234" t="s">
        <v>258</v>
      </c>
      <c r="B234" t="s">
        <v>17</v>
      </c>
      <c r="C234" t="str">
        <f>IFERROR(_xlfn.XLOOKUP(A234,'E-Mail BD'!B:B,'E-Mail BD'!A:A),"-")</f>
        <v>027.180.131/0001-54</v>
      </c>
      <c r="D234" s="2" t="str">
        <f t="shared" si="6"/>
        <v>27180131000154</v>
      </c>
      <c r="E234" s="2" t="str">
        <f t="shared" si="7"/>
        <v>27180131</v>
      </c>
      <c r="F234" s="8">
        <f>IF($A234=""," ",IF(_xlfn.MINIFS(tblDados[[Data do recebimento do e-mail]:[Data do recebimento do e-mail]],tblDados[[Razão Social]:[Razão Social]],$A234)=0,"NÃO APARECEU AINDA",_xlfn.MINIFS(tblDados[[Data do recebimento do e-mail]:[Data do recebimento do e-mail]],tblDados[[Razão Social]:[Razão Social]],$A234)))</f>
        <v>45763</v>
      </c>
      <c r="G234" s="8">
        <f>IF($A234=""," ",IF(_xlfn.MAXIFS(tblDados[[Data do recebimento do e-mail]:[Data do recebimento do e-mail]],tblDados[[Razão Social]:[Razão Social]],$A234)=0,"NÃO APARECEU AINDA",_xlfn.MAXIFS(tblDados[[Data do recebimento do e-mail]:[Data do recebimento do e-mail]],tblDados[[Razão Social]:[Razão Social]],$A234)))</f>
        <v>46003</v>
      </c>
    </row>
    <row r="235" spans="1:7" hidden="1" x14ac:dyDescent="0.25">
      <c r="A235" t="s">
        <v>95</v>
      </c>
      <c r="B235" t="s">
        <v>37</v>
      </c>
      <c r="C235" t="str">
        <f>IFERROR(_xlfn.XLOOKUP(A235,'E-Mail BD'!B:B,'E-Mail BD'!A:A),"-")</f>
        <v>015.414.962/0001-64</v>
      </c>
      <c r="D235" s="2" t="str">
        <f t="shared" si="6"/>
        <v>15414962000164</v>
      </c>
      <c r="E235" s="2" t="str">
        <f t="shared" si="7"/>
        <v>15414962</v>
      </c>
      <c r="F235" s="8">
        <f>IF($A235=""," ",IF(_xlfn.MINIFS(tblDados[[Data do recebimento do e-mail]:[Data do recebimento do e-mail]],tblDados[[Razão Social]:[Razão Social]],$A235)=0,"NÃO APARECEU AINDA",_xlfn.MINIFS(tblDados[[Data do recebimento do e-mail]:[Data do recebimento do e-mail]],tblDados[[Razão Social]:[Razão Social]],$A235)))</f>
        <v>45538</v>
      </c>
      <c r="G235" s="8">
        <f>IF($A235=""," ",IF(_xlfn.MAXIFS(tblDados[[Data do recebimento do e-mail]:[Data do recebimento do e-mail]],tblDados[[Razão Social]:[Razão Social]],$A235)=0,"NÃO APARECEU AINDA",_xlfn.MAXIFS(tblDados[[Data do recebimento do e-mail]:[Data do recebimento do e-mail]],tblDados[[Razão Social]:[Razão Social]],$A235)))</f>
        <v>45682</v>
      </c>
    </row>
    <row r="236" spans="1:7" hidden="1" x14ac:dyDescent="0.25">
      <c r="A236" t="s">
        <v>150</v>
      </c>
      <c r="B236" t="s">
        <v>15</v>
      </c>
      <c r="C236" t="str">
        <f>IFERROR(_xlfn.XLOOKUP(A236,'E-Mail BD'!B:B,'E-Mail BD'!A:A),"-")</f>
        <v>036.906.058/0001-46</v>
      </c>
      <c r="D236" s="2" t="str">
        <f t="shared" si="6"/>
        <v>36906058000146</v>
      </c>
      <c r="E236" s="2" t="str">
        <f t="shared" si="7"/>
        <v>36906058</v>
      </c>
      <c r="F236" s="8">
        <f>IF($A236=""," ",IF(_xlfn.MINIFS(tblDados[[Data do recebimento do e-mail]:[Data do recebimento do e-mail]],tblDados[[Razão Social]:[Razão Social]],$A236)=0,"NÃO APARECEU AINDA",_xlfn.MINIFS(tblDados[[Data do recebimento do e-mail]:[Data do recebimento do e-mail]],tblDados[[Razão Social]:[Razão Social]],$A236)))</f>
        <v>45566</v>
      </c>
      <c r="G236" s="8">
        <f>IF($A236=""," ",IF(_xlfn.MAXIFS(tblDados[[Data do recebimento do e-mail]:[Data do recebimento do e-mail]],tblDados[[Razão Social]:[Razão Social]],$A236)=0,"NÃO APARECEU AINDA",_xlfn.MAXIFS(tblDados[[Data do recebimento do e-mail]:[Data do recebimento do e-mail]],tblDados[[Razão Social]:[Razão Social]],$A236)))</f>
        <v>45771</v>
      </c>
    </row>
    <row r="237" spans="1:7" hidden="1" x14ac:dyDescent="0.25">
      <c r="A237" t="s">
        <v>273</v>
      </c>
      <c r="B237" t="s">
        <v>7</v>
      </c>
      <c r="C237" t="str">
        <f>IFERROR(_xlfn.XLOOKUP(A237,'E-Mail BD'!B:B,'E-Mail BD'!A:A),"-")</f>
        <v>057.698.087/0001-30</v>
      </c>
      <c r="D237" s="2" t="str">
        <f t="shared" si="6"/>
        <v>57698087000130</v>
      </c>
      <c r="E237" s="2" t="str">
        <f t="shared" si="7"/>
        <v>57698087</v>
      </c>
      <c r="F237" s="8">
        <f>IF($A237=""," ",IF(_xlfn.MINIFS(tblDados[[Data do recebimento do e-mail]:[Data do recebimento do e-mail]],tblDados[[Razão Social]:[Razão Social]],$A237)=0,"NÃO APARECEU AINDA",_xlfn.MINIFS(tblDados[[Data do recebimento do e-mail]:[Data do recebimento do e-mail]],tblDados[[Razão Social]:[Razão Social]],$A237)))</f>
        <v>45784</v>
      </c>
      <c r="G237" s="8">
        <f>IF($A237=""," ",IF(_xlfn.MAXIFS(tblDados[[Data do recebimento do e-mail]:[Data do recebimento do e-mail]],tblDados[[Razão Social]:[Razão Social]],$A237)=0,"NÃO APARECEU AINDA",_xlfn.MAXIFS(tblDados[[Data do recebimento do e-mail]:[Data do recebimento do e-mail]],tblDados[[Razão Social]:[Razão Social]],$A237)))</f>
        <v>46003</v>
      </c>
    </row>
    <row r="238" spans="1:7" hidden="1" x14ac:dyDescent="0.25">
      <c r="A238" t="s">
        <v>139</v>
      </c>
      <c r="B238" t="s">
        <v>21</v>
      </c>
      <c r="C238" t="str">
        <f>IFERROR(_xlfn.XLOOKUP(A238,'E-Mail BD'!B:B,'E-Mail BD'!A:A),"-")</f>
        <v>032.621.233/0001-06</v>
      </c>
      <c r="D238" s="2" t="str">
        <f t="shared" si="6"/>
        <v>32621233000106</v>
      </c>
      <c r="E238" s="2" t="str">
        <f t="shared" si="7"/>
        <v>32621233</v>
      </c>
      <c r="F238" s="8">
        <f>IF($A238=""," ",IF(_xlfn.MINIFS(tblDados[[Data do recebimento do e-mail]:[Data do recebimento do e-mail]],tblDados[[Razão Social]:[Razão Social]],$A238)=0,"NÃO APARECEU AINDA",_xlfn.MINIFS(tblDados[[Data do recebimento do e-mail]:[Data do recebimento do e-mail]],tblDados[[Razão Social]:[Razão Social]],$A238)))</f>
        <v>45554</v>
      </c>
      <c r="G238" s="8">
        <f>IF($A238=""," ",IF(_xlfn.MAXIFS(tblDados[[Data do recebimento do e-mail]:[Data do recebimento do e-mail]],tblDados[[Razão Social]:[Razão Social]],$A238)=0,"NÃO APARECEU AINDA",_xlfn.MAXIFS(tblDados[[Data do recebimento do e-mail]:[Data do recebimento do e-mail]],tblDados[[Razão Social]:[Razão Social]],$A238)))</f>
        <v>45554</v>
      </c>
    </row>
    <row r="239" spans="1:7" hidden="1" x14ac:dyDescent="0.25">
      <c r="A239" t="s">
        <v>116</v>
      </c>
      <c r="B239" t="s">
        <v>4</v>
      </c>
      <c r="C239" t="str">
        <f>IFERROR(_xlfn.XLOOKUP(A239,'E-Mail BD'!B:B,'E-Mail BD'!A:A),"-")</f>
        <v>021.734.108/0001-88</v>
      </c>
      <c r="D239" s="2" t="str">
        <f t="shared" si="6"/>
        <v>21734108000188</v>
      </c>
      <c r="E239" s="2" t="str">
        <f t="shared" si="7"/>
        <v>21734108</v>
      </c>
      <c r="F239" s="8">
        <f>IF($A239=""," ",IF(_xlfn.MINIFS(tblDados[[Data do recebimento do e-mail]:[Data do recebimento do e-mail]],tblDados[[Razão Social]:[Razão Social]],$A239)=0,"NÃO APARECEU AINDA",_xlfn.MINIFS(tblDados[[Data do recebimento do e-mail]:[Data do recebimento do e-mail]],tblDados[[Razão Social]:[Razão Social]],$A239)))</f>
        <v>45545</v>
      </c>
      <c r="G239" s="8">
        <f>IF($A239=""," ",IF(_xlfn.MAXIFS(tblDados[[Data do recebimento do e-mail]:[Data do recebimento do e-mail]],tblDados[[Razão Social]:[Razão Social]],$A239)=0,"NÃO APARECEU AINDA",_xlfn.MAXIFS(tblDados[[Data do recebimento do e-mail]:[Data do recebimento do e-mail]],tblDados[[Razão Social]:[Razão Social]],$A239)))</f>
        <v>45990</v>
      </c>
    </row>
    <row r="240" spans="1:7" hidden="1" x14ac:dyDescent="0.25">
      <c r="A240" t="s">
        <v>586</v>
      </c>
      <c r="B240" t="s">
        <v>4</v>
      </c>
      <c r="C240" t="str">
        <f>IFERROR(_xlfn.XLOOKUP(A240,'E-Mail BD'!B:B,'E-Mail BD'!A:A),"-")</f>
        <v>-</v>
      </c>
      <c r="D240" s="2" t="str">
        <f t="shared" si="6"/>
        <v>-</v>
      </c>
      <c r="E240" s="2" t="str">
        <f t="shared" si="7"/>
        <v>-</v>
      </c>
      <c r="F240" s="8" t="str">
        <f>IF($A240=""," ",IF(_xlfn.MINIFS(tblDados[[Data do recebimento do e-mail]:[Data do recebimento do e-mail]],tblDados[[Razão Social]:[Razão Social]],$A240)=0,"NÃO APARECEU AINDA",_xlfn.MINIFS(tblDados[[Data do recebimento do e-mail]:[Data do recebimento do e-mail]],tblDados[[Razão Social]:[Razão Social]],$A240)))</f>
        <v>NÃO APARECEU AINDA</v>
      </c>
      <c r="G240" s="8" t="str">
        <f>IF($A240=""," ",IF(_xlfn.MAXIFS(tblDados[[Data do recebimento do e-mail]:[Data do recebimento do e-mail]],tblDados[[Razão Social]:[Razão Social]],$A240)=0,"NÃO APARECEU AINDA",_xlfn.MAXIFS(tblDados[[Data do recebimento do e-mail]:[Data do recebimento do e-mail]],tblDados[[Razão Social]:[Razão Social]],$A240)))</f>
        <v>NÃO APARECEU AINDA</v>
      </c>
    </row>
    <row r="241" spans="1:7" hidden="1" x14ac:dyDescent="0.25">
      <c r="A241" t="s">
        <v>154</v>
      </c>
      <c r="B241" t="s">
        <v>4</v>
      </c>
      <c r="C241" t="str">
        <f>IFERROR(_xlfn.XLOOKUP(A241,'E-Mail BD'!B:B,'E-Mail BD'!A:A),"-")</f>
        <v>038.082.538/0001-65</v>
      </c>
      <c r="D241" s="2" t="str">
        <f t="shared" si="6"/>
        <v>38082538000165</v>
      </c>
      <c r="E241" s="2" t="str">
        <f t="shared" si="7"/>
        <v>38082538</v>
      </c>
      <c r="F241" s="8">
        <f>IF($A241=""," ",IF(_xlfn.MINIFS(tblDados[[Data do recebimento do e-mail]:[Data do recebimento do e-mail]],tblDados[[Razão Social]:[Razão Social]],$A241)=0,"NÃO APARECEU AINDA",_xlfn.MINIFS(tblDados[[Data do recebimento do e-mail]:[Data do recebimento do e-mail]],tblDados[[Razão Social]:[Razão Social]],$A241)))</f>
        <v>45573</v>
      </c>
      <c r="G241" s="8">
        <f>IF($A241=""," ",IF(_xlfn.MAXIFS(tblDados[[Data do recebimento do e-mail]:[Data do recebimento do e-mail]],tblDados[[Razão Social]:[Razão Social]],$A241)=0,"NÃO APARECEU AINDA",_xlfn.MAXIFS(tblDados[[Data do recebimento do e-mail]:[Data do recebimento do e-mail]],tblDados[[Razão Social]:[Razão Social]],$A241)))</f>
        <v>46000</v>
      </c>
    </row>
    <row r="242" spans="1:7" hidden="1" x14ac:dyDescent="0.25">
      <c r="A242" t="s">
        <v>248</v>
      </c>
      <c r="B242" t="s">
        <v>22</v>
      </c>
      <c r="C242" t="str">
        <f>IFERROR(_xlfn.XLOOKUP(A242,'E-Mail BD'!B:B,'E-Mail BD'!A:A),"-")</f>
        <v>048.956.491/0001-75</v>
      </c>
      <c r="D242" s="2" t="str">
        <f t="shared" si="6"/>
        <v>48956491000175</v>
      </c>
      <c r="E242" s="2" t="str">
        <f t="shared" si="7"/>
        <v>48956491</v>
      </c>
      <c r="F242" s="8">
        <f>IF($A242=""," ",IF(_xlfn.MINIFS(tblDados[[Data do recebimento do e-mail]:[Data do recebimento do e-mail]],tblDados[[Razão Social]:[Razão Social]],$A242)=0,"NÃO APARECEU AINDA",_xlfn.MINIFS(tblDados[[Data do recebimento do e-mail]:[Data do recebimento do e-mail]],tblDados[[Razão Social]:[Razão Social]],$A242)))</f>
        <v>45745</v>
      </c>
      <c r="G242" s="8">
        <f>IF($A242=""," ",IF(_xlfn.MAXIFS(tblDados[[Data do recebimento do e-mail]:[Data do recebimento do e-mail]],tblDados[[Razão Social]:[Razão Social]],$A242)=0,"NÃO APARECEU AINDA",_xlfn.MAXIFS(tblDados[[Data do recebimento do e-mail]:[Data do recebimento do e-mail]],tblDados[[Razão Social]:[Razão Social]],$A242)))</f>
        <v>45883</v>
      </c>
    </row>
    <row r="243" spans="1:7" hidden="1" x14ac:dyDescent="0.25">
      <c r="A243" t="s">
        <v>49</v>
      </c>
      <c r="B243" t="s">
        <v>13</v>
      </c>
      <c r="C243" t="str">
        <f>IFERROR(_xlfn.XLOOKUP(A243,'E-Mail BD'!B:B,'E-Mail BD'!A:A),"-")</f>
        <v>003.603.516/0001-19</v>
      </c>
      <c r="D243" s="2" t="str">
        <f t="shared" si="6"/>
        <v>03603516000119</v>
      </c>
      <c r="E243" s="2" t="str">
        <f t="shared" si="7"/>
        <v>03603516</v>
      </c>
      <c r="F243" s="8">
        <f>IF($A243=""," ",IF(_xlfn.MINIFS(tblDados[[Data do recebimento do e-mail]:[Data do recebimento do e-mail]],tblDados[[Razão Social]:[Razão Social]],$A243)=0,"NÃO APARECEU AINDA",_xlfn.MINIFS(tblDados[[Data do recebimento do e-mail]:[Data do recebimento do e-mail]],tblDados[[Razão Social]:[Razão Social]],$A243)))</f>
        <v>45818</v>
      </c>
      <c r="G243" s="8">
        <f>IF($A243=""," ",IF(_xlfn.MAXIFS(tblDados[[Data do recebimento do e-mail]:[Data do recebimento do e-mail]],tblDados[[Razão Social]:[Razão Social]],$A243)=0,"NÃO APARECEU AINDA",_xlfn.MAXIFS(tblDados[[Data do recebimento do e-mail]:[Data do recebimento do e-mail]],tblDados[[Razão Social]:[Razão Social]],$A243)))</f>
        <v>45917</v>
      </c>
    </row>
    <row r="244" spans="1:7" hidden="1" x14ac:dyDescent="0.25">
      <c r="A244" t="s">
        <v>164</v>
      </c>
      <c r="B244" t="s">
        <v>4</v>
      </c>
      <c r="C244" t="str">
        <f>IFERROR(_xlfn.XLOOKUP(A244,'E-Mail BD'!B:B,'E-Mail BD'!A:A),"-")</f>
        <v>022.982.925/0001-18</v>
      </c>
      <c r="D244" s="2" t="str">
        <f t="shared" si="6"/>
        <v>22982925000118</v>
      </c>
      <c r="E244" s="2" t="str">
        <f t="shared" si="7"/>
        <v>22982925</v>
      </c>
      <c r="F244" s="8">
        <f>IF($A244=""," ",IF(_xlfn.MINIFS(tblDados[[Data do recebimento do e-mail]:[Data do recebimento do e-mail]],tblDados[[Razão Social]:[Razão Social]],$A244)=0,"NÃO APARECEU AINDA",_xlfn.MINIFS(tblDados[[Data do recebimento do e-mail]:[Data do recebimento do e-mail]],tblDados[[Razão Social]:[Razão Social]],$A244)))</f>
        <v>45580</v>
      </c>
      <c r="G244" s="8">
        <f>IF($A244=""," ",IF(_xlfn.MAXIFS(tblDados[[Data do recebimento do e-mail]:[Data do recebimento do e-mail]],tblDados[[Razão Social]:[Razão Social]],$A244)=0,"NÃO APARECEU AINDA",_xlfn.MAXIFS(tblDados[[Data do recebimento do e-mail]:[Data do recebimento do e-mail]],tblDados[[Razão Social]:[Razão Social]],$A244)))</f>
        <v>45580</v>
      </c>
    </row>
    <row r="245" spans="1:7" hidden="1" x14ac:dyDescent="0.25">
      <c r="A245" t="s">
        <v>215</v>
      </c>
      <c r="B245" t="s">
        <v>21</v>
      </c>
      <c r="C245" t="str">
        <f>IFERROR(_xlfn.XLOOKUP(A245,'E-Mail BD'!B:B,'E-Mail BD'!A:A),"-")</f>
        <v>051.362.368/0001-30</v>
      </c>
      <c r="D245" s="2" t="str">
        <f t="shared" si="6"/>
        <v>51362368000130</v>
      </c>
      <c r="E245" s="2" t="str">
        <f t="shared" si="7"/>
        <v>51362368</v>
      </c>
      <c r="F245" s="8">
        <f>IF($A245=""," ",IF(_xlfn.MINIFS(tblDados[[Data do recebimento do e-mail]:[Data do recebimento do e-mail]],tblDados[[Razão Social]:[Razão Social]],$A245)=0,"NÃO APARECEU AINDA",_xlfn.MINIFS(tblDados[[Data do recebimento do e-mail]:[Data do recebimento do e-mail]],tblDados[[Razão Social]:[Razão Social]],$A245)))</f>
        <v>45680</v>
      </c>
      <c r="G245" s="8">
        <f>IF($A245=""," ",IF(_xlfn.MAXIFS(tblDados[[Data do recebimento do e-mail]:[Data do recebimento do e-mail]],tblDados[[Razão Social]:[Razão Social]],$A245)=0,"NÃO APARECEU AINDA",_xlfn.MAXIFS(tblDados[[Data do recebimento do e-mail]:[Data do recebimento do e-mail]],tblDados[[Razão Social]:[Razão Social]],$A245)))</f>
        <v>45680</v>
      </c>
    </row>
    <row r="246" spans="1:7" hidden="1" x14ac:dyDescent="0.25">
      <c r="A246" t="s">
        <v>607</v>
      </c>
      <c r="B246" t="s">
        <v>13</v>
      </c>
      <c r="C246" t="str">
        <f>IFERROR(_xlfn.XLOOKUP(A246,'E-Mail BD'!B:B,'E-Mail BD'!A:A),"-")</f>
        <v>029.258.293/0001-93</v>
      </c>
      <c r="D246" s="2" t="str">
        <f t="shared" si="6"/>
        <v>29258293000193</v>
      </c>
      <c r="E246" s="2" t="str">
        <f t="shared" si="7"/>
        <v>29258293</v>
      </c>
      <c r="F246" s="8">
        <f>IF($A246=""," ",IF(_xlfn.MINIFS(tblDados[[Data do recebimento do e-mail]:[Data do recebimento do e-mail]],tblDados[[Razão Social]:[Razão Social]],$A246)=0,"NÃO APARECEU AINDA",_xlfn.MINIFS(tblDados[[Data do recebimento do e-mail]:[Data do recebimento do e-mail]],tblDados[[Razão Social]:[Razão Social]],$A246)))</f>
        <v>45827</v>
      </c>
      <c r="G246" s="8">
        <f>IF($A246=""," ",IF(_xlfn.MAXIFS(tblDados[[Data do recebimento do e-mail]:[Data do recebimento do e-mail]],tblDados[[Razão Social]:[Razão Social]],$A246)=0,"NÃO APARECEU AINDA",_xlfn.MAXIFS(tblDados[[Data do recebimento do e-mail]:[Data do recebimento do e-mail]],tblDados[[Razão Social]:[Razão Social]],$A246)))</f>
        <v>45918</v>
      </c>
    </row>
    <row r="247" spans="1:7" hidden="1" x14ac:dyDescent="0.25">
      <c r="A247" t="s">
        <v>267</v>
      </c>
      <c r="B247" t="s">
        <v>17</v>
      </c>
      <c r="C247" t="str">
        <f>IFERROR(_xlfn.XLOOKUP(A247,'E-Mail BD'!B:B,'E-Mail BD'!A:A),"-")</f>
        <v>032.213.847/0001-40</v>
      </c>
      <c r="D247" s="2" t="str">
        <f t="shared" si="6"/>
        <v>32213847000140</v>
      </c>
      <c r="E247" s="2" t="str">
        <f t="shared" si="7"/>
        <v>32213847</v>
      </c>
      <c r="F247" s="8">
        <f>IF($A247=""," ",IF(_xlfn.MINIFS(tblDados[[Data do recebimento do e-mail]:[Data do recebimento do e-mail]],tblDados[[Razão Social]:[Razão Social]],$A247)=0,"NÃO APARECEU AINDA",_xlfn.MINIFS(tblDados[[Data do recebimento do e-mail]:[Data do recebimento do e-mail]],tblDados[[Razão Social]:[Razão Social]],$A247)))</f>
        <v>45777</v>
      </c>
      <c r="G247" s="8">
        <f>IF($A247=""," ",IF(_xlfn.MAXIFS(tblDados[[Data do recebimento do e-mail]:[Data do recebimento do e-mail]],tblDados[[Razão Social]:[Razão Social]],$A247)=0,"NÃO APARECEU AINDA",_xlfn.MAXIFS(tblDados[[Data do recebimento do e-mail]:[Data do recebimento do e-mail]],tblDados[[Razão Social]:[Razão Social]],$A247)))</f>
        <v>46000</v>
      </c>
    </row>
    <row r="248" spans="1:7" hidden="1" x14ac:dyDescent="0.25">
      <c r="A248" t="s">
        <v>183</v>
      </c>
      <c r="B248" t="s">
        <v>19</v>
      </c>
      <c r="C248" t="str">
        <f>IFERROR(_xlfn.XLOOKUP(A248,'E-Mail BD'!B:B,'E-Mail BD'!A:A),"-")</f>
        <v>002.265.872/0001-07</v>
      </c>
      <c r="D248" s="2" t="str">
        <f t="shared" si="6"/>
        <v>02265872000107</v>
      </c>
      <c r="E248" s="2" t="str">
        <f t="shared" si="7"/>
        <v>02265872</v>
      </c>
      <c r="F248" s="8">
        <f>IF($A248=""," ",IF(_xlfn.MINIFS(tblDados[[Data do recebimento do e-mail]:[Data do recebimento do e-mail]],tblDados[[Razão Social]:[Razão Social]],$A248)=0,"NÃO APARECEU AINDA",_xlfn.MINIFS(tblDados[[Data do recebimento do e-mail]:[Data do recebimento do e-mail]],tblDados[[Razão Social]:[Razão Social]],$A248)))</f>
        <v>45597</v>
      </c>
      <c r="G248" s="8">
        <f>IF($A248=""," ",IF(_xlfn.MAXIFS(tblDados[[Data do recebimento do e-mail]:[Data do recebimento do e-mail]],tblDados[[Razão Social]:[Razão Social]],$A248)=0,"NÃO APARECEU AINDA",_xlfn.MAXIFS(tblDados[[Data do recebimento do e-mail]:[Data do recebimento do e-mail]],tblDados[[Razão Social]:[Razão Social]],$A248)))</f>
        <v>45597</v>
      </c>
    </row>
    <row r="249" spans="1:7" hidden="1" x14ac:dyDescent="0.25">
      <c r="A249" t="s">
        <v>245</v>
      </c>
      <c r="B249" t="s">
        <v>4</v>
      </c>
      <c r="C249" t="str">
        <f>IFERROR(_xlfn.XLOOKUP(A249,'E-Mail BD'!B:B,'E-Mail BD'!A:A),"-")</f>
        <v>004.962.112/0001-84</v>
      </c>
      <c r="D249" s="2" t="str">
        <f t="shared" si="6"/>
        <v>04962112000184</v>
      </c>
      <c r="E249" s="2" t="str">
        <f t="shared" si="7"/>
        <v>04962112</v>
      </c>
      <c r="F249" s="8">
        <f>IF($A249=""," ",IF(_xlfn.MINIFS(tblDados[[Data do recebimento do e-mail]:[Data do recebimento do e-mail]],tblDados[[Razão Social]:[Razão Social]],$A249)=0,"NÃO APARECEU AINDA",_xlfn.MINIFS(tblDados[[Data do recebimento do e-mail]:[Data do recebimento do e-mail]],tblDados[[Razão Social]:[Razão Social]],$A249)))</f>
        <v>45743</v>
      </c>
      <c r="G249" s="8">
        <f>IF($A249=""," ",IF(_xlfn.MAXIFS(tblDados[[Data do recebimento do e-mail]:[Data do recebimento do e-mail]],tblDados[[Razão Social]:[Razão Social]],$A249)=0,"NÃO APARECEU AINDA",_xlfn.MAXIFS(tblDados[[Data do recebimento do e-mail]:[Data do recebimento do e-mail]],tblDados[[Razão Social]:[Razão Social]],$A249)))</f>
        <v>45772</v>
      </c>
    </row>
    <row r="250" spans="1:7" hidden="1" x14ac:dyDescent="0.25">
      <c r="A250" t="s">
        <v>241</v>
      </c>
      <c r="B250" t="s">
        <v>4</v>
      </c>
      <c r="C250" t="str">
        <f>IFERROR(_xlfn.XLOOKUP(A250,'E-Mail BD'!B:B,'E-Mail BD'!A:A),"-")</f>
        <v>004.962.112/0001-84</v>
      </c>
      <c r="D250" s="2" t="str">
        <f t="shared" si="6"/>
        <v>04962112000184</v>
      </c>
      <c r="E250" s="2" t="str">
        <f t="shared" si="7"/>
        <v>04962112</v>
      </c>
      <c r="F250" s="8">
        <f>IF($A250=""," ",IF(_xlfn.MINIFS(tblDados[[Data do recebimento do e-mail]:[Data do recebimento do e-mail]],tblDados[[Razão Social]:[Razão Social]],$A250)=0,"NÃO APARECEU AINDA",_xlfn.MINIFS(tblDados[[Data do recebimento do e-mail]:[Data do recebimento do e-mail]],tblDados[[Razão Social]:[Razão Social]],$A250)))</f>
        <v>45741</v>
      </c>
      <c r="G250" s="8">
        <f>IF($A250=""," ",IF(_xlfn.MAXIFS(tblDados[[Data do recebimento do e-mail]:[Data do recebimento do e-mail]],tblDados[[Razão Social]:[Razão Social]],$A250)=0,"NÃO APARECEU AINDA",_xlfn.MAXIFS(tblDados[[Data do recebimento do e-mail]:[Data do recebimento do e-mail]],tblDados[[Razão Social]:[Razão Social]],$A250)))</f>
        <v>45743</v>
      </c>
    </row>
    <row r="251" spans="1:7" hidden="1" x14ac:dyDescent="0.25">
      <c r="A251" t="s">
        <v>151</v>
      </c>
      <c r="B251" t="s">
        <v>21</v>
      </c>
      <c r="C251" t="str">
        <f>IFERROR(_xlfn.XLOOKUP(A251,'E-Mail BD'!B:B,'E-Mail BD'!A:A),"-")</f>
        <v>032.090.744/0001-30</v>
      </c>
      <c r="D251" s="2" t="str">
        <f t="shared" si="6"/>
        <v>32090744000130</v>
      </c>
      <c r="E251" s="2" t="str">
        <f t="shared" si="7"/>
        <v>32090744</v>
      </c>
      <c r="F251" s="8">
        <f>IF($A251=""," ",IF(_xlfn.MINIFS(tblDados[[Data do recebimento do e-mail]:[Data do recebimento do e-mail]],tblDados[[Razão Social]:[Razão Social]],$A251)=0,"NÃO APARECEU AINDA",_xlfn.MINIFS(tblDados[[Data do recebimento do e-mail]:[Data do recebimento do e-mail]],tblDados[[Razão Social]:[Razão Social]],$A251)))</f>
        <v>45567</v>
      </c>
      <c r="G251" s="8">
        <f>IF($A251=""," ",IF(_xlfn.MAXIFS(tblDados[[Data do recebimento do e-mail]:[Data do recebimento do e-mail]],tblDados[[Razão Social]:[Razão Social]],$A251)=0,"NÃO APARECEU AINDA",_xlfn.MAXIFS(tblDados[[Data do recebimento do e-mail]:[Data do recebimento do e-mail]],tblDados[[Razão Social]:[Razão Social]],$A251)))</f>
        <v>45570</v>
      </c>
    </row>
    <row r="252" spans="1:7" hidden="1" x14ac:dyDescent="0.25">
      <c r="A252" t="s">
        <v>288</v>
      </c>
      <c r="B252" t="s">
        <v>4</v>
      </c>
      <c r="C252" t="str">
        <f>IFERROR(_xlfn.XLOOKUP(A252,'E-Mail BD'!B:B,'E-Mail BD'!A:A),"-")</f>
        <v>004.323.643/0001-27</v>
      </c>
      <c r="D252" s="2" t="str">
        <f t="shared" si="6"/>
        <v>04323643000127</v>
      </c>
      <c r="E252" s="2" t="str">
        <f t="shared" si="7"/>
        <v>04323643</v>
      </c>
      <c r="F252" s="8">
        <f>IF($A252=""," ",IF(_xlfn.MINIFS(tblDados[[Data do recebimento do e-mail]:[Data do recebimento do e-mail]],tblDados[[Razão Social]:[Razão Social]],$A252)=0,"NÃO APARECEU AINDA",_xlfn.MINIFS(tblDados[[Data do recebimento do e-mail]:[Data do recebimento do e-mail]],tblDados[[Razão Social]:[Razão Social]],$A252)))</f>
        <v>45797</v>
      </c>
      <c r="G252" s="8">
        <f>IF($A252=""," ",IF(_xlfn.MAXIFS(tblDados[[Data do recebimento do e-mail]:[Data do recebimento do e-mail]],tblDados[[Razão Social]:[Razão Social]],$A252)=0,"NÃO APARECEU AINDA",_xlfn.MAXIFS(tblDados[[Data do recebimento do e-mail]:[Data do recebimento do e-mail]],tblDados[[Razão Social]:[Razão Social]],$A252)))</f>
        <v>45937</v>
      </c>
    </row>
    <row r="253" spans="1:7" hidden="1" x14ac:dyDescent="0.25">
      <c r="A253" t="s">
        <v>153</v>
      </c>
      <c r="B253" t="s">
        <v>17</v>
      </c>
      <c r="C253" t="str">
        <f>IFERROR(_xlfn.XLOOKUP(A253,'E-Mail BD'!B:B,'E-Mail BD'!A:A),"-")</f>
        <v>043.729.125/0001-60</v>
      </c>
      <c r="D253" s="2" t="str">
        <f t="shared" si="6"/>
        <v>43729125000160</v>
      </c>
      <c r="E253" s="2" t="str">
        <f t="shared" si="7"/>
        <v>43729125</v>
      </c>
      <c r="F253" s="8">
        <f>IF($A253=""," ",IF(_xlfn.MINIFS(tblDados[[Data do recebimento do e-mail]:[Data do recebimento do e-mail]],tblDados[[Razão Social]:[Razão Social]],$A253)=0,"NÃO APARECEU AINDA",_xlfn.MINIFS(tblDados[[Data do recebimento do e-mail]:[Data do recebimento do e-mail]],tblDados[[Razão Social]:[Razão Social]],$A253)))</f>
        <v>45567</v>
      </c>
      <c r="G253" s="8">
        <f>IF($A253=""," ",IF(_xlfn.MAXIFS(tblDados[[Data do recebimento do e-mail]:[Data do recebimento do e-mail]],tblDados[[Razão Social]:[Razão Social]],$A253)=0,"NÃO APARECEU AINDA",_xlfn.MAXIFS(tblDados[[Data do recebimento do e-mail]:[Data do recebimento do e-mail]],tblDados[[Razão Social]:[Razão Social]],$A253)))</f>
        <v>45595</v>
      </c>
    </row>
    <row r="254" spans="1:7" hidden="1" x14ac:dyDescent="0.25">
      <c r="A254" t="s">
        <v>239</v>
      </c>
      <c r="B254" t="s">
        <v>18</v>
      </c>
      <c r="C254" t="str">
        <f>IFERROR(_xlfn.XLOOKUP(A254,'E-Mail BD'!B:B,'E-Mail BD'!A:A),"-")</f>
        <v>005.997.418/0001-39</v>
      </c>
      <c r="D254" s="2" t="str">
        <f t="shared" si="6"/>
        <v>05997418000139</v>
      </c>
      <c r="E254" s="2" t="str">
        <f t="shared" si="7"/>
        <v>05997418</v>
      </c>
      <c r="F254" s="8">
        <f>IF($A254=""," ",IF(_xlfn.MINIFS(tblDados[[Data do recebimento do e-mail]:[Data do recebimento do e-mail]],tblDados[[Razão Social]:[Razão Social]],$A254)=0,"NÃO APARECEU AINDA",_xlfn.MINIFS(tblDados[[Data do recebimento do e-mail]:[Data do recebimento do e-mail]],tblDados[[Razão Social]:[Razão Social]],$A254)))</f>
        <v>45737</v>
      </c>
      <c r="G254" s="8">
        <f>IF($A254=""," ",IF(_xlfn.MAXIFS(tblDados[[Data do recebimento do e-mail]:[Data do recebimento do e-mail]],tblDados[[Razão Social]:[Razão Social]],$A254)=0,"NÃO APARECEU AINDA",_xlfn.MAXIFS(tblDados[[Data do recebimento do e-mail]:[Data do recebimento do e-mail]],tblDados[[Razão Social]:[Razão Social]],$A254)))</f>
        <v>46003</v>
      </c>
    </row>
    <row r="255" spans="1:7" hidden="1" x14ac:dyDescent="0.25">
      <c r="A255" t="s">
        <v>176</v>
      </c>
      <c r="B255" t="s">
        <v>19</v>
      </c>
      <c r="C255" t="str">
        <f>IFERROR(_xlfn.XLOOKUP(A255,'E-Mail BD'!B:B,'E-Mail BD'!A:A),"-")</f>
        <v>014.619.667/0001-81</v>
      </c>
      <c r="D255" s="2" t="str">
        <f t="shared" si="6"/>
        <v>14619667000181</v>
      </c>
      <c r="E255" s="2" t="str">
        <f t="shared" si="7"/>
        <v>14619667</v>
      </c>
      <c r="F255" s="8">
        <f>IF($A255=""," ",IF(_xlfn.MINIFS(tblDados[[Data do recebimento do e-mail]:[Data do recebimento do e-mail]],tblDados[[Razão Social]:[Razão Social]],$A255)=0,"NÃO APARECEU AINDA",_xlfn.MINIFS(tblDados[[Data do recebimento do e-mail]:[Data do recebimento do e-mail]],tblDados[[Razão Social]:[Razão Social]],$A255)))</f>
        <v>45586</v>
      </c>
      <c r="G255" s="8">
        <f>IF($A255=""," ",IF(_xlfn.MAXIFS(tblDados[[Data do recebimento do e-mail]:[Data do recebimento do e-mail]],tblDados[[Razão Social]:[Razão Social]],$A255)=0,"NÃO APARECEU AINDA",_xlfn.MAXIFS(tblDados[[Data do recebimento do e-mail]:[Data do recebimento do e-mail]],tblDados[[Razão Social]:[Razão Social]],$A255)))</f>
        <v>45586</v>
      </c>
    </row>
    <row r="256" spans="1:7" hidden="1" x14ac:dyDescent="0.25">
      <c r="A256" t="s">
        <v>297</v>
      </c>
      <c r="B256" t="s">
        <v>28</v>
      </c>
      <c r="C256" t="str">
        <f>IFERROR(_xlfn.XLOOKUP(A256,'E-Mail BD'!B:B,'E-Mail BD'!A:A),"-")</f>
        <v>003.524.760/0001-96</v>
      </c>
      <c r="D256" s="2" t="str">
        <f t="shared" si="6"/>
        <v>03524760000196</v>
      </c>
      <c r="E256" s="2" t="str">
        <f t="shared" si="7"/>
        <v>03524760</v>
      </c>
      <c r="F256" s="8">
        <f>IF($A256=""," ",IF(_xlfn.MINIFS(tblDados[[Data do recebimento do e-mail]:[Data do recebimento do e-mail]],tblDados[[Razão Social]:[Razão Social]],$A256)=0,"NÃO APARECEU AINDA",_xlfn.MINIFS(tblDados[[Data do recebimento do e-mail]:[Data do recebimento do e-mail]],tblDados[[Razão Social]:[Razão Social]],$A256)))</f>
        <v>45804</v>
      </c>
      <c r="G256" s="8">
        <f>IF($A256=""," ",IF(_xlfn.MAXIFS(tblDados[[Data do recebimento do e-mail]:[Data do recebimento do e-mail]],tblDados[[Razão Social]:[Razão Social]],$A256)=0,"NÃO APARECEU AINDA",_xlfn.MAXIFS(tblDados[[Data do recebimento do e-mail]:[Data do recebimento do e-mail]],tblDados[[Razão Social]:[Razão Social]],$A256)))</f>
        <v>46003</v>
      </c>
    </row>
    <row r="257" spans="1:7" hidden="1" x14ac:dyDescent="0.25">
      <c r="A257" t="s">
        <v>538</v>
      </c>
      <c r="B257" t="s">
        <v>7</v>
      </c>
      <c r="C257" t="str">
        <f>IFERROR(_xlfn.XLOOKUP(A257,'E-Mail BD'!B:B,'E-Mail BD'!A:A),"-")</f>
        <v>-</v>
      </c>
      <c r="D257" s="2" t="str">
        <f t="shared" ref="D257:D320" si="8">IF(RIGHT(SUBSTITUTE(SUBSTITUTE(SUBSTITUTE(C257,".",""),"/",""),"-",""),14)="","-",RIGHT(SUBSTITUTE(SUBSTITUTE(SUBSTITUTE(C257,".",""),"/",""),"-",""),14))</f>
        <v>-</v>
      </c>
      <c r="E257" s="2" t="str">
        <f t="shared" si="7"/>
        <v>-</v>
      </c>
      <c r="F257" s="8" t="str">
        <f>IF($A257=""," ",IF(_xlfn.MINIFS(tblDados[[Data do recebimento do e-mail]:[Data do recebimento do e-mail]],tblDados[[Razão Social]:[Razão Social]],$A257)=0,"NÃO APARECEU AINDA",_xlfn.MINIFS(tblDados[[Data do recebimento do e-mail]:[Data do recebimento do e-mail]],tblDados[[Razão Social]:[Razão Social]],$A257)))</f>
        <v>NÃO APARECEU AINDA</v>
      </c>
      <c r="G257" s="8" t="str">
        <f>IF($A257=""," ",IF(_xlfn.MAXIFS(tblDados[[Data do recebimento do e-mail]:[Data do recebimento do e-mail]],tblDados[[Razão Social]:[Razão Social]],$A257)=0,"NÃO APARECEU AINDA",_xlfn.MAXIFS(tblDados[[Data do recebimento do e-mail]:[Data do recebimento do e-mail]],tblDados[[Razão Social]:[Razão Social]],$A257)))</f>
        <v>NÃO APARECEU AINDA</v>
      </c>
    </row>
    <row r="258" spans="1:7" hidden="1" x14ac:dyDescent="0.25">
      <c r="A258" t="s">
        <v>156</v>
      </c>
      <c r="B258" t="s">
        <v>4</v>
      </c>
      <c r="C258" t="str">
        <f>IFERROR(_xlfn.XLOOKUP(A258,'E-Mail BD'!B:B,'E-Mail BD'!A:A),"-")</f>
        <v>036.775.092/0001-29</v>
      </c>
      <c r="D258" s="2" t="str">
        <f t="shared" si="8"/>
        <v>36775092000129</v>
      </c>
      <c r="E258" s="2" t="str">
        <f t="shared" si="7"/>
        <v>36775092</v>
      </c>
      <c r="F258" s="8">
        <f>IF($A258=""," ",IF(_xlfn.MINIFS(tblDados[[Data do recebimento do e-mail]:[Data do recebimento do e-mail]],tblDados[[Razão Social]:[Razão Social]],$A258)=0,"NÃO APARECEU AINDA",_xlfn.MINIFS(tblDados[[Data do recebimento do e-mail]:[Data do recebimento do e-mail]],tblDados[[Razão Social]:[Razão Social]],$A258)))</f>
        <v>45574</v>
      </c>
      <c r="G258" s="8">
        <f>IF($A258=""," ",IF(_xlfn.MAXIFS(tblDados[[Data do recebimento do e-mail]:[Data do recebimento do e-mail]],tblDados[[Razão Social]:[Razão Social]],$A258)=0,"NÃO APARECEU AINDA",_xlfn.MAXIFS(tblDados[[Data do recebimento do e-mail]:[Data do recebimento do e-mail]],tblDados[[Razão Social]:[Razão Social]],$A258)))</f>
        <v>45594</v>
      </c>
    </row>
    <row r="259" spans="1:7" hidden="1" x14ac:dyDescent="0.25">
      <c r="A259" t="s">
        <v>546</v>
      </c>
      <c r="B259" t="s">
        <v>21</v>
      </c>
      <c r="C259" t="str">
        <f>IFERROR(_xlfn.XLOOKUP(A259,'E-Mail BD'!B:B,'E-Mail BD'!A:A),"-")</f>
        <v>-</v>
      </c>
      <c r="D259" s="2" t="str">
        <f t="shared" si="8"/>
        <v>-</v>
      </c>
      <c r="E259" s="2" t="str">
        <f t="shared" ref="E259:E322" si="9">LEFT($D259,8)</f>
        <v>-</v>
      </c>
      <c r="F259" s="8" t="str">
        <f>IF($A259=""," ",IF(_xlfn.MINIFS(tblDados[[Data do recebimento do e-mail]:[Data do recebimento do e-mail]],tblDados[[Razão Social]:[Razão Social]],$A259)=0,"NÃO APARECEU AINDA",_xlfn.MINIFS(tblDados[[Data do recebimento do e-mail]:[Data do recebimento do e-mail]],tblDados[[Razão Social]:[Razão Social]],$A259)))</f>
        <v>NÃO APARECEU AINDA</v>
      </c>
      <c r="G259" s="8" t="str">
        <f>IF($A259=""," ",IF(_xlfn.MAXIFS(tblDados[[Data do recebimento do e-mail]:[Data do recebimento do e-mail]],tblDados[[Razão Social]:[Razão Social]],$A259)=0,"NÃO APARECEU AINDA",_xlfn.MAXIFS(tblDados[[Data do recebimento do e-mail]:[Data do recebimento do e-mail]],tblDados[[Razão Social]:[Razão Social]],$A259)))</f>
        <v>NÃO APARECEU AINDA</v>
      </c>
    </row>
    <row r="260" spans="1:7" hidden="1" x14ac:dyDescent="0.25">
      <c r="A260" t="s">
        <v>132</v>
      </c>
      <c r="B260" t="s">
        <v>13</v>
      </c>
      <c r="C260" t="str">
        <f>IFERROR(_xlfn.XLOOKUP(A260,'E-Mail BD'!B:B,'E-Mail BD'!A:A),"-")</f>
        <v>008.991.603/0001-04</v>
      </c>
      <c r="D260" s="2" t="str">
        <f t="shared" si="8"/>
        <v>08991603000104</v>
      </c>
      <c r="E260" s="2" t="str">
        <f t="shared" si="9"/>
        <v>08991603</v>
      </c>
      <c r="F260" s="8">
        <f>IF($A260=""," ",IF(_xlfn.MINIFS(tblDados[[Data do recebimento do e-mail]:[Data do recebimento do e-mail]],tblDados[[Razão Social]:[Razão Social]],$A260)=0,"NÃO APARECEU AINDA",_xlfn.MINIFS(tblDados[[Data do recebimento do e-mail]:[Data do recebimento do e-mail]],tblDados[[Razão Social]:[Razão Social]],$A260)))</f>
        <v>45551</v>
      </c>
      <c r="G260" s="8">
        <f>IF($A260=""," ",IF(_xlfn.MAXIFS(tblDados[[Data do recebimento do e-mail]:[Data do recebimento do e-mail]],tblDados[[Razão Social]:[Razão Social]],$A260)=0,"NÃO APARECEU AINDA",_xlfn.MAXIFS(tblDados[[Data do recebimento do e-mail]:[Data do recebimento do e-mail]],tblDados[[Razão Social]:[Razão Social]],$A260)))</f>
        <v>45867</v>
      </c>
    </row>
    <row r="261" spans="1:7" hidden="1" x14ac:dyDescent="0.25">
      <c r="A261" t="s">
        <v>87</v>
      </c>
      <c r="B261" t="s">
        <v>15</v>
      </c>
      <c r="C261" t="str">
        <f>IFERROR(_xlfn.XLOOKUP(A261,'E-Mail BD'!B:B,'E-Mail BD'!A:A),"-")</f>
        <v>014.763.606/0001-93</v>
      </c>
      <c r="D261" s="2" t="str">
        <f t="shared" si="8"/>
        <v>14763606000193</v>
      </c>
      <c r="E261" s="2" t="str">
        <f t="shared" si="9"/>
        <v>14763606</v>
      </c>
      <c r="F261" s="8">
        <f>IF($A261=""," ",IF(_xlfn.MINIFS(tblDados[[Data do recebimento do e-mail]:[Data do recebimento do e-mail]],tblDados[[Razão Social]:[Razão Social]],$A261)=0,"NÃO APARECEU AINDA",_xlfn.MINIFS(tblDados[[Data do recebimento do e-mail]:[Data do recebimento do e-mail]],tblDados[[Razão Social]:[Razão Social]],$A261)))</f>
        <v>45537</v>
      </c>
      <c r="G261" s="8">
        <f>IF($A261=""," ",IF(_xlfn.MAXIFS(tblDados[[Data do recebimento do e-mail]:[Data do recebimento do e-mail]],tblDados[[Razão Social]:[Razão Social]],$A261)=0,"NÃO APARECEU AINDA",_xlfn.MAXIFS(tblDados[[Data do recebimento do e-mail]:[Data do recebimento do e-mail]],tblDados[[Razão Social]:[Razão Social]],$A261)))</f>
        <v>45685</v>
      </c>
    </row>
    <row r="262" spans="1:7" hidden="1" x14ac:dyDescent="0.25">
      <c r="A262" t="s">
        <v>593</v>
      </c>
      <c r="B262" t="s">
        <v>16</v>
      </c>
      <c r="C262" t="str">
        <f>IFERROR(_xlfn.XLOOKUP(A262,'E-Mail BD'!B:B,'E-Mail BD'!A:A),"-")</f>
        <v>-</v>
      </c>
      <c r="D262" s="2" t="str">
        <f t="shared" si="8"/>
        <v>-</v>
      </c>
      <c r="E262" s="2" t="str">
        <f t="shared" si="9"/>
        <v>-</v>
      </c>
      <c r="F262" s="8" t="str">
        <f>IF($A262=""," ",IF(_xlfn.MINIFS(tblDados[[Data do recebimento do e-mail]:[Data do recebimento do e-mail]],tblDados[[Razão Social]:[Razão Social]],$A262)=0,"NÃO APARECEU AINDA",_xlfn.MINIFS(tblDados[[Data do recebimento do e-mail]:[Data do recebimento do e-mail]],tblDados[[Razão Social]:[Razão Social]],$A262)))</f>
        <v>NÃO APARECEU AINDA</v>
      </c>
      <c r="G262" s="8" t="str">
        <f>IF($A262=""," ",IF(_xlfn.MAXIFS(tblDados[[Data do recebimento do e-mail]:[Data do recebimento do e-mail]],tblDados[[Razão Social]:[Razão Social]],$A262)=0,"NÃO APARECEU AINDA",_xlfn.MAXIFS(tblDados[[Data do recebimento do e-mail]:[Data do recebimento do e-mail]],tblDados[[Razão Social]:[Razão Social]],$A262)))</f>
        <v>NÃO APARECEU AINDA</v>
      </c>
    </row>
    <row r="263" spans="1:7" hidden="1" x14ac:dyDescent="0.25">
      <c r="A263" t="s">
        <v>57</v>
      </c>
      <c r="B263" t="s">
        <v>21</v>
      </c>
      <c r="C263" t="str">
        <f>IFERROR(_xlfn.XLOOKUP(A263,'E-Mail BD'!B:B,'E-Mail BD'!A:A),"-")</f>
        <v>020.024.081/0001-77</v>
      </c>
      <c r="D263" s="2" t="str">
        <f t="shared" si="8"/>
        <v>20024081000177</v>
      </c>
      <c r="E263" s="2" t="str">
        <f t="shared" si="9"/>
        <v>20024081</v>
      </c>
      <c r="F263" s="8">
        <f>IF($A263=""," ",IF(_xlfn.MINIFS(tblDados[[Data do recebimento do e-mail]:[Data do recebimento do e-mail]],tblDados[[Razão Social]:[Razão Social]],$A263)=0,"NÃO APARECEU AINDA",_xlfn.MINIFS(tblDados[[Data do recebimento do e-mail]:[Data do recebimento do e-mail]],tblDados[[Razão Social]:[Razão Social]],$A263)))</f>
        <v>45744</v>
      </c>
      <c r="G263" s="8">
        <f>IF($A263=""," ",IF(_xlfn.MAXIFS(tblDados[[Data do recebimento do e-mail]:[Data do recebimento do e-mail]],tblDados[[Razão Social]:[Razão Social]],$A263)=0,"NÃO APARECEU AINDA",_xlfn.MAXIFS(tblDados[[Data do recebimento do e-mail]:[Data do recebimento do e-mail]],tblDados[[Razão Social]:[Razão Social]],$A263)))</f>
        <v>45979</v>
      </c>
    </row>
    <row r="264" spans="1:7" hidden="1" x14ac:dyDescent="0.25">
      <c r="A264" t="s">
        <v>101</v>
      </c>
      <c r="B264" t="s">
        <v>4</v>
      </c>
      <c r="C264" t="str">
        <f>IFERROR(_xlfn.XLOOKUP(A264,'E-Mail BD'!B:B,'E-Mail BD'!A:A),"-")</f>
        <v>004.800.789/0001-16</v>
      </c>
      <c r="D264" s="2" t="str">
        <f t="shared" si="8"/>
        <v>04800789000116</v>
      </c>
      <c r="E264" s="2" t="str">
        <f t="shared" si="9"/>
        <v>04800789</v>
      </c>
      <c r="F264" s="8">
        <f>IF($A264=""," ",IF(_xlfn.MINIFS(tblDados[[Data do recebimento do e-mail]:[Data do recebimento do e-mail]],tblDados[[Razão Social]:[Razão Social]],$A264)=0,"NÃO APARECEU AINDA",_xlfn.MINIFS(tblDados[[Data do recebimento do e-mail]:[Data do recebimento do e-mail]],tblDados[[Razão Social]:[Razão Social]],$A264)))</f>
        <v>45539</v>
      </c>
      <c r="G264" s="8">
        <f>IF($A264=""," ",IF(_xlfn.MAXIFS(tblDados[[Data do recebimento do e-mail]:[Data do recebimento do e-mail]],tblDados[[Razão Social]:[Razão Social]],$A264)=0,"NÃO APARECEU AINDA",_xlfn.MAXIFS(tblDados[[Data do recebimento do e-mail]:[Data do recebimento do e-mail]],tblDados[[Razão Social]:[Razão Social]],$A264)))</f>
        <v>45586</v>
      </c>
    </row>
    <row r="265" spans="1:7" hidden="1" x14ac:dyDescent="0.25">
      <c r="A265" t="s">
        <v>226</v>
      </c>
      <c r="B265" t="s">
        <v>24</v>
      </c>
      <c r="C265" t="str">
        <f>IFERROR(_xlfn.XLOOKUP(A265,'E-Mail BD'!B:B,'E-Mail BD'!A:A),"-")</f>
        <v>043.564.107/0001-75</v>
      </c>
      <c r="D265" s="2" t="str">
        <f t="shared" si="8"/>
        <v>43564107000175</v>
      </c>
      <c r="E265" s="2" t="str">
        <f t="shared" si="9"/>
        <v>43564107</v>
      </c>
      <c r="F265" s="8">
        <f>IF($A265=""," ",IF(_xlfn.MINIFS(tblDados[[Data do recebimento do e-mail]:[Data do recebimento do e-mail]],tblDados[[Razão Social]:[Razão Social]],$A265)=0,"NÃO APARECEU AINDA",_xlfn.MINIFS(tblDados[[Data do recebimento do e-mail]:[Data do recebimento do e-mail]],tblDados[[Razão Social]:[Razão Social]],$A265)))</f>
        <v>45690</v>
      </c>
      <c r="G265" s="8">
        <f>IF($A265=""," ",IF(_xlfn.MAXIFS(tblDados[[Data do recebimento do e-mail]:[Data do recebimento do e-mail]],tblDados[[Razão Social]:[Razão Social]],$A265)=0,"NÃO APARECEU AINDA",_xlfn.MAXIFS(tblDados[[Data do recebimento do e-mail]:[Data do recebimento do e-mail]],tblDados[[Razão Social]:[Razão Social]],$A265)))</f>
        <v>45696</v>
      </c>
    </row>
    <row r="266" spans="1:7" hidden="1" x14ac:dyDescent="0.25">
      <c r="A266" t="s">
        <v>589</v>
      </c>
      <c r="B266" t="s">
        <v>11</v>
      </c>
      <c r="C266" t="str">
        <f>IFERROR(_xlfn.XLOOKUP(A266,'E-Mail BD'!B:B,'E-Mail BD'!A:A),"-")</f>
        <v>-</v>
      </c>
      <c r="D266" s="2" t="str">
        <f t="shared" si="8"/>
        <v>-</v>
      </c>
      <c r="E266" s="2" t="str">
        <f t="shared" si="9"/>
        <v>-</v>
      </c>
      <c r="F266" s="8" t="str">
        <f>IF($A266=""," ",IF(_xlfn.MINIFS(tblDados[[Data do recebimento do e-mail]:[Data do recebimento do e-mail]],tblDados[[Razão Social]:[Razão Social]],$A266)=0,"NÃO APARECEU AINDA",_xlfn.MINIFS(tblDados[[Data do recebimento do e-mail]:[Data do recebimento do e-mail]],tblDados[[Razão Social]:[Razão Social]],$A266)))</f>
        <v>NÃO APARECEU AINDA</v>
      </c>
      <c r="G266" s="8" t="str">
        <f>IF($A266=""," ",IF(_xlfn.MAXIFS(tblDados[[Data do recebimento do e-mail]:[Data do recebimento do e-mail]],tblDados[[Razão Social]:[Razão Social]],$A266)=0,"NÃO APARECEU AINDA",_xlfn.MAXIFS(tblDados[[Data do recebimento do e-mail]:[Data do recebimento do e-mail]],tblDados[[Razão Social]:[Razão Social]],$A266)))</f>
        <v>NÃO APARECEU AINDA</v>
      </c>
    </row>
    <row r="267" spans="1:7" hidden="1" x14ac:dyDescent="0.25">
      <c r="A267" t="s">
        <v>287</v>
      </c>
      <c r="B267" t="s">
        <v>22</v>
      </c>
      <c r="C267" t="str">
        <f>IFERROR(_xlfn.XLOOKUP(A267,'E-Mail BD'!B:B,'E-Mail BD'!A:A),"-")</f>
        <v>006.315.490/0001-00</v>
      </c>
      <c r="D267" s="2" t="str">
        <f t="shared" si="8"/>
        <v>06315490000100</v>
      </c>
      <c r="E267" s="2" t="str">
        <f t="shared" si="9"/>
        <v>06315490</v>
      </c>
      <c r="F267" s="8">
        <f>IF($A267=""," ",IF(_xlfn.MINIFS(tblDados[[Data do recebimento do e-mail]:[Data do recebimento do e-mail]],tblDados[[Razão Social]:[Razão Social]],$A267)=0,"NÃO APARECEU AINDA",_xlfn.MINIFS(tblDados[[Data do recebimento do e-mail]:[Data do recebimento do e-mail]],tblDados[[Razão Social]:[Razão Social]],$A267)))</f>
        <v>45796</v>
      </c>
      <c r="G267" s="8">
        <f>IF($A267=""," ",IF(_xlfn.MAXIFS(tblDados[[Data do recebimento do e-mail]:[Data do recebimento do e-mail]],tblDados[[Razão Social]:[Razão Social]],$A267)=0,"NÃO APARECEU AINDA",_xlfn.MAXIFS(tblDados[[Data do recebimento do e-mail]:[Data do recebimento do e-mail]],tblDados[[Razão Social]:[Razão Social]],$A267)))</f>
        <v>45796</v>
      </c>
    </row>
    <row r="268" spans="1:7" hidden="1" x14ac:dyDescent="0.25">
      <c r="A268" t="s">
        <v>249</v>
      </c>
      <c r="B268" t="s">
        <v>22</v>
      </c>
      <c r="C268" t="str">
        <f>IFERROR(_xlfn.XLOOKUP(A268,'E-Mail BD'!B:B,'E-Mail BD'!A:A),"-")</f>
        <v>006.315.490/0001-00</v>
      </c>
      <c r="D268" s="2" t="str">
        <f t="shared" si="8"/>
        <v>06315490000100</v>
      </c>
      <c r="E268" s="2" t="str">
        <f t="shared" si="9"/>
        <v>06315490</v>
      </c>
      <c r="F268" s="8">
        <f>IF($A268=""," ",IF(_xlfn.MINIFS(tblDados[[Data do recebimento do e-mail]:[Data do recebimento do e-mail]],tblDados[[Razão Social]:[Razão Social]],$A268)=0,"NÃO APARECEU AINDA",_xlfn.MINIFS(tblDados[[Data do recebimento do e-mail]:[Data do recebimento do e-mail]],tblDados[[Razão Social]:[Razão Social]],$A268)))</f>
        <v>45745</v>
      </c>
      <c r="G268" s="8">
        <f>IF($A268=""," ",IF(_xlfn.MAXIFS(tblDados[[Data do recebimento do e-mail]:[Data do recebimento do e-mail]],tblDados[[Razão Social]:[Razão Social]],$A268)=0,"NÃO APARECEU AINDA",_xlfn.MAXIFS(tblDados[[Data do recebimento do e-mail]:[Data do recebimento do e-mail]],tblDados[[Razão Social]:[Razão Social]],$A268)))</f>
        <v>45745</v>
      </c>
    </row>
    <row r="269" spans="1:7" hidden="1" x14ac:dyDescent="0.25">
      <c r="A269" t="s">
        <v>191</v>
      </c>
      <c r="B269" t="s">
        <v>22</v>
      </c>
      <c r="C269" t="str">
        <f>IFERROR(_xlfn.XLOOKUP(A269,'E-Mail BD'!B:B,'E-Mail BD'!A:A),"-")</f>
        <v>044.570.311/0001-61</v>
      </c>
      <c r="D269" s="2" t="str">
        <f t="shared" si="8"/>
        <v>44570311000161</v>
      </c>
      <c r="E269" s="2" t="str">
        <f t="shared" si="9"/>
        <v>44570311</v>
      </c>
      <c r="F269" s="8">
        <f>IF($A269=""," ",IF(_xlfn.MINIFS(tblDados[[Data do recebimento do e-mail]:[Data do recebimento do e-mail]],tblDados[[Razão Social]:[Razão Social]],$A269)=0,"NÃO APARECEU AINDA",_xlfn.MINIFS(tblDados[[Data do recebimento do e-mail]:[Data do recebimento do e-mail]],tblDados[[Razão Social]:[Razão Social]],$A269)))</f>
        <v>45636</v>
      </c>
      <c r="G269" s="8">
        <f>IF($A269=""," ",IF(_xlfn.MAXIFS(tblDados[[Data do recebimento do e-mail]:[Data do recebimento do e-mail]],tblDados[[Razão Social]:[Razão Social]],$A269)=0,"NÃO APARECEU AINDA",_xlfn.MAXIFS(tblDados[[Data do recebimento do e-mail]:[Data do recebimento do e-mail]],tblDados[[Razão Social]:[Razão Social]],$A269)))</f>
        <v>45937</v>
      </c>
    </row>
    <row r="270" spans="1:7" hidden="1" x14ac:dyDescent="0.25">
      <c r="A270" t="s">
        <v>615</v>
      </c>
      <c r="B270" t="s">
        <v>18</v>
      </c>
      <c r="C270" t="str">
        <f>IFERROR(_xlfn.XLOOKUP(A270,'E-Mail BD'!B:B,'E-Mail BD'!A:A),"-")</f>
        <v>028.514.938/0001-49</v>
      </c>
      <c r="D270" s="2" t="str">
        <f t="shared" si="8"/>
        <v>28514938000149</v>
      </c>
      <c r="E270" s="2" t="str">
        <f t="shared" si="9"/>
        <v>28514938</v>
      </c>
      <c r="F270" s="8">
        <f>IF($A270=""," ",IF(_xlfn.MINIFS(tblDados[[Data do recebimento do e-mail]:[Data do recebimento do e-mail]],tblDados[[Razão Social]:[Razão Social]],$A270)=0,"NÃO APARECEU AINDA",_xlfn.MINIFS(tblDados[[Data do recebimento do e-mail]:[Data do recebimento do e-mail]],tblDados[[Razão Social]:[Razão Social]],$A270)))</f>
        <v>45832</v>
      </c>
      <c r="G270" s="8">
        <f>IF($A270=""," ",IF(_xlfn.MAXIFS(tblDados[[Data do recebimento do e-mail]:[Data do recebimento do e-mail]],tblDados[[Razão Social]:[Razão Social]],$A270)=0,"NÃO APARECEU AINDA",_xlfn.MAXIFS(tblDados[[Data do recebimento do e-mail]:[Data do recebimento do e-mail]],tblDados[[Razão Social]:[Razão Social]],$A270)))</f>
        <v>46003</v>
      </c>
    </row>
    <row r="271" spans="1:7" hidden="1" x14ac:dyDescent="0.25">
      <c r="A271" t="s">
        <v>588</v>
      </c>
      <c r="B271" t="s">
        <v>22</v>
      </c>
      <c r="C271" t="str">
        <f>IFERROR(_xlfn.XLOOKUP(A271,'E-Mail BD'!B:B,'E-Mail BD'!A:A),"-")</f>
        <v>-</v>
      </c>
      <c r="D271" s="2" t="str">
        <f t="shared" si="8"/>
        <v>-</v>
      </c>
      <c r="E271" s="2" t="str">
        <f t="shared" si="9"/>
        <v>-</v>
      </c>
      <c r="F271" s="8" t="str">
        <f>IF($A271=""," ",IF(_xlfn.MINIFS(tblDados[[Data do recebimento do e-mail]:[Data do recebimento do e-mail]],tblDados[[Razão Social]:[Razão Social]],$A271)=0,"NÃO APARECEU AINDA",_xlfn.MINIFS(tblDados[[Data do recebimento do e-mail]:[Data do recebimento do e-mail]],tblDados[[Razão Social]:[Razão Social]],$A271)))</f>
        <v>NÃO APARECEU AINDA</v>
      </c>
      <c r="G271" s="8" t="str">
        <f>IF($A271=""," ",IF(_xlfn.MAXIFS(tblDados[[Data do recebimento do e-mail]:[Data do recebimento do e-mail]],tblDados[[Razão Social]:[Razão Social]],$A271)=0,"NÃO APARECEU AINDA",_xlfn.MAXIFS(tblDados[[Data do recebimento do e-mail]:[Data do recebimento do e-mail]],tblDados[[Razão Social]:[Razão Social]],$A271)))</f>
        <v>NÃO APARECEU AINDA</v>
      </c>
    </row>
    <row r="272" spans="1:7" hidden="1" x14ac:dyDescent="0.25">
      <c r="A272" t="s">
        <v>609</v>
      </c>
      <c r="B272" t="s">
        <v>22</v>
      </c>
      <c r="C272" t="str">
        <f>IFERROR(_xlfn.XLOOKUP(A272,'E-Mail BD'!B:B,'E-Mail BD'!A:A),"-")</f>
        <v>052.432.693/0001-95</v>
      </c>
      <c r="D272" s="2" t="str">
        <f t="shared" si="8"/>
        <v>52432693000195</v>
      </c>
      <c r="E272" s="2" t="str">
        <f t="shared" si="9"/>
        <v>52432693</v>
      </c>
      <c r="F272" s="8">
        <f>IF($A272=""," ",IF(_xlfn.MINIFS(tblDados[[Data do recebimento do e-mail]:[Data do recebimento do e-mail]],tblDados[[Razão Social]:[Razão Social]],$A272)=0,"NÃO APARECEU AINDA",_xlfn.MINIFS(tblDados[[Data do recebimento do e-mail]:[Data do recebimento do e-mail]],tblDados[[Razão Social]:[Razão Social]],$A272)))</f>
        <v>45827</v>
      </c>
      <c r="G272" s="8">
        <f>IF($A272=""," ",IF(_xlfn.MAXIFS(tblDados[[Data do recebimento do e-mail]:[Data do recebimento do e-mail]],tblDados[[Razão Social]:[Razão Social]],$A272)=0,"NÃO APARECEU AINDA",_xlfn.MAXIFS(tblDados[[Data do recebimento do e-mail]:[Data do recebimento do e-mail]],tblDados[[Razão Social]:[Razão Social]],$A272)))</f>
        <v>45869</v>
      </c>
    </row>
    <row r="273" spans="1:7" hidden="1" x14ac:dyDescent="0.25">
      <c r="A273" t="s">
        <v>544</v>
      </c>
      <c r="B273" t="s">
        <v>22</v>
      </c>
      <c r="C273" t="str">
        <f>IFERROR(_xlfn.XLOOKUP(A273,'E-Mail BD'!B:B,'E-Mail BD'!A:A),"-")</f>
        <v>050.208.429/0001-47</v>
      </c>
      <c r="D273" s="2" t="str">
        <f t="shared" si="8"/>
        <v>50208429000147</v>
      </c>
      <c r="E273" s="2" t="str">
        <f t="shared" si="9"/>
        <v>50208429</v>
      </c>
      <c r="F273" s="8">
        <f>IF($A273=""," ",IF(_xlfn.MINIFS(tblDados[[Data do recebimento do e-mail]:[Data do recebimento do e-mail]],tblDados[[Razão Social]:[Razão Social]],$A273)=0,"NÃO APARECEU AINDA",_xlfn.MINIFS(tblDados[[Data do recebimento do e-mail]:[Data do recebimento do e-mail]],tblDados[[Razão Social]:[Razão Social]],$A273)))</f>
        <v>45881</v>
      </c>
      <c r="G273" s="8">
        <f>IF($A273=""," ",IF(_xlfn.MAXIFS(tblDados[[Data do recebimento do e-mail]:[Data do recebimento do e-mail]],tblDados[[Razão Social]:[Razão Social]],$A273)=0,"NÃO APARECEU AINDA",_xlfn.MAXIFS(tblDados[[Data do recebimento do e-mail]:[Data do recebimento do e-mail]],tblDados[[Razão Social]:[Razão Social]],$A273)))</f>
        <v>45891</v>
      </c>
    </row>
    <row r="274" spans="1:7" hidden="1" x14ac:dyDescent="0.25">
      <c r="A274" t="s">
        <v>170</v>
      </c>
      <c r="B274" t="s">
        <v>16</v>
      </c>
      <c r="C274" t="str">
        <f>IFERROR(_xlfn.XLOOKUP(A274,'E-Mail BD'!B:B,'E-Mail BD'!A:A),"-")</f>
        <v>028.477.685/0001-80</v>
      </c>
      <c r="D274" s="2" t="str">
        <f t="shared" si="8"/>
        <v>28477685000180</v>
      </c>
      <c r="E274" s="2" t="str">
        <f t="shared" si="9"/>
        <v>28477685</v>
      </c>
      <c r="F274" s="8">
        <f>IF($A274=""," ",IF(_xlfn.MINIFS(tblDados[[Data do recebimento do e-mail]:[Data do recebimento do e-mail]],tblDados[[Razão Social]:[Razão Social]],$A274)=0,"NÃO APARECEU AINDA",_xlfn.MINIFS(tblDados[[Data do recebimento do e-mail]:[Data do recebimento do e-mail]],tblDados[[Razão Social]:[Razão Social]],$A274)))</f>
        <v>45583</v>
      </c>
      <c r="G274" s="8">
        <f>IF($A274=""," ",IF(_xlfn.MAXIFS(tblDados[[Data do recebimento do e-mail]:[Data do recebimento do e-mail]],tblDados[[Razão Social]:[Razão Social]],$A274)=0,"NÃO APARECEU AINDA",_xlfn.MAXIFS(tblDados[[Data do recebimento do e-mail]:[Data do recebimento do e-mail]],tblDados[[Razão Social]:[Razão Social]],$A274)))</f>
        <v>45847</v>
      </c>
    </row>
    <row r="275" spans="1:7" hidden="1" x14ac:dyDescent="0.25">
      <c r="A275" t="s">
        <v>565</v>
      </c>
      <c r="B275" t="s">
        <v>27</v>
      </c>
      <c r="C275" t="str">
        <f>IFERROR(_xlfn.XLOOKUP(A275,'E-Mail BD'!B:B,'E-Mail BD'!A:A),"-")</f>
        <v>035.298.171/0001-23</v>
      </c>
      <c r="D275" s="2" t="str">
        <f t="shared" si="8"/>
        <v>35298171000123</v>
      </c>
      <c r="E275" s="2" t="str">
        <f t="shared" si="9"/>
        <v>35298171</v>
      </c>
      <c r="F275" s="8">
        <f>IF($A275=""," ",IF(_xlfn.MINIFS(tblDados[[Data do recebimento do e-mail]:[Data do recebimento do e-mail]],tblDados[[Razão Social]:[Razão Social]],$A275)=0,"NÃO APARECEU AINDA",_xlfn.MINIFS(tblDados[[Data do recebimento do e-mail]:[Data do recebimento do e-mail]],tblDados[[Razão Social]:[Razão Social]],$A275)))</f>
        <v>45832</v>
      </c>
      <c r="G275" s="8">
        <f>IF($A275=""," ",IF(_xlfn.MAXIFS(tblDados[[Data do recebimento do e-mail]:[Data do recebimento do e-mail]],tblDados[[Razão Social]:[Razão Social]],$A275)=0,"NÃO APARECEU AINDA",_xlfn.MAXIFS(tblDados[[Data do recebimento do e-mail]:[Data do recebimento do e-mail]],tblDados[[Razão Social]:[Razão Social]],$A275)))</f>
        <v>45987</v>
      </c>
    </row>
    <row r="276" spans="1:7" hidden="1" x14ac:dyDescent="0.25">
      <c r="A276" t="s">
        <v>256</v>
      </c>
      <c r="B276" t="s">
        <v>7</v>
      </c>
      <c r="C276" t="str">
        <f>IFERROR(_xlfn.XLOOKUP(A276,'E-Mail BD'!B:B,'E-Mail BD'!A:A),"-")</f>
        <v>044.126.379/0001-56</v>
      </c>
      <c r="D276" s="2" t="str">
        <f t="shared" si="8"/>
        <v>44126379000156</v>
      </c>
      <c r="E276" s="2" t="str">
        <f t="shared" si="9"/>
        <v>44126379</v>
      </c>
      <c r="F276" s="8">
        <f>IF($A276=""," ",IF(_xlfn.MINIFS(tblDados[[Data do recebimento do e-mail]:[Data do recebimento do e-mail]],tblDados[[Razão Social]:[Razão Social]],$A276)=0,"NÃO APARECEU AINDA",_xlfn.MINIFS(tblDados[[Data do recebimento do e-mail]:[Data do recebimento do e-mail]],tblDados[[Razão Social]:[Razão Social]],$A276)))</f>
        <v>45762</v>
      </c>
      <c r="G276" s="8">
        <f>IF($A276=""," ",IF(_xlfn.MAXIFS(tblDados[[Data do recebimento do e-mail]:[Data do recebimento do e-mail]],tblDados[[Razão Social]:[Razão Social]],$A276)=0,"NÃO APARECEU AINDA",_xlfn.MAXIFS(tblDados[[Data do recebimento do e-mail]:[Data do recebimento do e-mail]],tblDados[[Razão Social]:[Razão Social]],$A276)))</f>
        <v>45993</v>
      </c>
    </row>
    <row r="277" spans="1:7" hidden="1" x14ac:dyDescent="0.25">
      <c r="A277" t="s">
        <v>157</v>
      </c>
      <c r="B277" t="s">
        <v>15</v>
      </c>
      <c r="C277" t="str">
        <f>IFERROR(_xlfn.XLOOKUP(A277,'E-Mail BD'!B:B,'E-Mail BD'!A:A),"-")</f>
        <v>093.274.124/0001-46</v>
      </c>
      <c r="D277" s="2" t="str">
        <f t="shared" si="8"/>
        <v>93274124000146</v>
      </c>
      <c r="E277" s="2" t="str">
        <f t="shared" si="9"/>
        <v>93274124</v>
      </c>
      <c r="F277" s="8">
        <f>IF($A277=""," ",IF(_xlfn.MINIFS(tblDados[[Data do recebimento do e-mail]:[Data do recebimento do e-mail]],tblDados[[Razão Social]:[Razão Social]],$A277)=0,"NÃO APARECEU AINDA",_xlfn.MINIFS(tblDados[[Data do recebimento do e-mail]:[Data do recebimento do e-mail]],tblDados[[Razão Social]:[Razão Social]],$A277)))</f>
        <v>45574</v>
      </c>
      <c r="G277" s="8">
        <f>IF($A277=""," ",IF(_xlfn.MAXIFS(tblDados[[Data do recebimento do e-mail]:[Data do recebimento do e-mail]],tblDados[[Razão Social]:[Razão Social]],$A277)=0,"NÃO APARECEU AINDA",_xlfn.MAXIFS(tblDados[[Data do recebimento do e-mail]:[Data do recebimento do e-mail]],tblDados[[Razão Social]:[Razão Social]],$A277)))</f>
        <v>45938</v>
      </c>
    </row>
    <row r="278" spans="1:7" hidden="1" x14ac:dyDescent="0.25">
      <c r="A278" t="s">
        <v>227</v>
      </c>
      <c r="B278" t="s">
        <v>16</v>
      </c>
      <c r="C278" t="str">
        <f>IFERROR(_xlfn.XLOOKUP(A278,'E-Mail BD'!B:B,'E-Mail BD'!A:A),"-")</f>
        <v>041.757.407/0001-45</v>
      </c>
      <c r="D278" s="2" t="str">
        <f t="shared" si="8"/>
        <v>41757407000145</v>
      </c>
      <c r="E278" s="2" t="str">
        <f t="shared" si="9"/>
        <v>41757407</v>
      </c>
      <c r="F278" s="8">
        <f>IF($A278=""," ",IF(_xlfn.MINIFS(tblDados[[Data do recebimento do e-mail]:[Data do recebimento do e-mail]],tblDados[[Razão Social]:[Razão Social]],$A278)=0,"NÃO APARECEU AINDA",_xlfn.MINIFS(tblDados[[Data do recebimento do e-mail]:[Data do recebimento do e-mail]],tblDados[[Razão Social]:[Razão Social]],$A278)))</f>
        <v>45693</v>
      </c>
      <c r="G278" s="8">
        <f>IF($A278=""," ",IF(_xlfn.MAXIFS(tblDados[[Data do recebimento do e-mail]:[Data do recebimento do e-mail]],tblDados[[Razão Social]:[Razão Social]],$A278)=0,"NÃO APARECEU AINDA",_xlfn.MAXIFS(tblDados[[Data do recebimento do e-mail]:[Data do recebimento do e-mail]],tblDados[[Razão Social]:[Razão Social]],$A278)))</f>
        <v>45976</v>
      </c>
    </row>
    <row r="279" spans="1:7" hidden="1" x14ac:dyDescent="0.25">
      <c r="A279" t="s">
        <v>109</v>
      </c>
      <c r="B279" t="s">
        <v>22</v>
      </c>
      <c r="C279" t="str">
        <f>IFERROR(_xlfn.XLOOKUP(A279,'E-Mail BD'!B:B,'E-Mail BD'!A:A),"-")</f>
        <v>007.561.436/0001-07</v>
      </c>
      <c r="D279" s="2" t="str">
        <f t="shared" si="8"/>
        <v>07561436000107</v>
      </c>
      <c r="E279" s="2" t="str">
        <f t="shared" si="9"/>
        <v>07561436</v>
      </c>
      <c r="F279" s="8">
        <f>IF($A279=""," ",IF(_xlfn.MINIFS(tblDados[[Data do recebimento do e-mail]:[Data do recebimento do e-mail]],tblDados[[Razão Social]:[Razão Social]],$A279)=0,"NÃO APARECEU AINDA",_xlfn.MINIFS(tblDados[[Data do recebimento do e-mail]:[Data do recebimento do e-mail]],tblDados[[Razão Social]:[Razão Social]],$A279)))</f>
        <v>45541</v>
      </c>
      <c r="G279" s="8">
        <f>IF($A279=""," ",IF(_xlfn.MAXIFS(tblDados[[Data do recebimento do e-mail]:[Data do recebimento do e-mail]],tblDados[[Razão Social]:[Razão Social]],$A279)=0,"NÃO APARECEU AINDA",_xlfn.MAXIFS(tblDados[[Data do recebimento do e-mail]:[Data do recebimento do e-mail]],tblDados[[Razão Social]:[Razão Social]],$A279)))</f>
        <v>46003</v>
      </c>
    </row>
    <row r="280" spans="1:7" hidden="1" x14ac:dyDescent="0.25">
      <c r="A280" t="s">
        <v>646</v>
      </c>
      <c r="B280" t="s">
        <v>18</v>
      </c>
      <c r="C280" t="str">
        <f>IFERROR(_xlfn.XLOOKUP(A280,'E-Mail BD'!B:B,'E-Mail BD'!A:A),"-")</f>
        <v>040.520.193/0001-26</v>
      </c>
      <c r="D280" s="2" t="str">
        <f t="shared" si="8"/>
        <v>40520193000126</v>
      </c>
      <c r="E280" s="2" t="str">
        <f t="shared" si="9"/>
        <v>40520193</v>
      </c>
      <c r="F280" s="8">
        <f>IF($A280=""," ",IF(_xlfn.MINIFS(tblDados[[Data do recebimento do e-mail]:[Data do recebimento do e-mail]],tblDados[[Razão Social]:[Razão Social]],$A280)=0,"NÃO APARECEU AINDA",_xlfn.MINIFS(tblDados[[Data do recebimento do e-mail]:[Data do recebimento do e-mail]],tblDados[[Razão Social]:[Razão Social]],$A280)))</f>
        <v>45863</v>
      </c>
      <c r="G280" s="8">
        <f>IF($A280=""," ",IF(_xlfn.MAXIFS(tblDados[[Data do recebimento do e-mail]:[Data do recebimento do e-mail]],tblDados[[Razão Social]:[Razão Social]],$A280)=0,"NÃO APARECEU AINDA",_xlfn.MAXIFS(tblDados[[Data do recebimento do e-mail]:[Data do recebimento do e-mail]],tblDados[[Razão Social]:[Razão Social]],$A280)))</f>
        <v>46003</v>
      </c>
    </row>
    <row r="281" spans="1:7" hidden="1" x14ac:dyDescent="0.25">
      <c r="A281" t="s">
        <v>181</v>
      </c>
      <c r="B281" t="s">
        <v>22</v>
      </c>
      <c r="C281" t="str">
        <f>IFERROR(_xlfn.XLOOKUP(A281,'E-Mail BD'!B:B,'E-Mail BD'!A:A),"-")</f>
        <v>044.888.871/0001-69</v>
      </c>
      <c r="D281" s="2" t="str">
        <f t="shared" si="8"/>
        <v>44888871000169</v>
      </c>
      <c r="E281" s="2" t="str">
        <f t="shared" si="9"/>
        <v>44888871</v>
      </c>
      <c r="F281" s="8">
        <f>IF($A281=""," ",IF(_xlfn.MINIFS(tblDados[[Data do recebimento do e-mail]:[Data do recebimento do e-mail]],tblDados[[Razão Social]:[Razão Social]],$A281)=0,"NÃO APARECEU AINDA",_xlfn.MINIFS(tblDados[[Data do recebimento do e-mail]:[Data do recebimento do e-mail]],tblDados[[Razão Social]:[Razão Social]],$A281)))</f>
        <v>45595</v>
      </c>
      <c r="G281" s="8">
        <f>IF($A281=""," ",IF(_xlfn.MAXIFS(tblDados[[Data do recebimento do e-mail]:[Data do recebimento do e-mail]],tblDados[[Razão Social]:[Razão Social]],$A281)=0,"NÃO APARECEU AINDA",_xlfn.MAXIFS(tblDados[[Data do recebimento do e-mail]:[Data do recebimento do e-mail]],tblDados[[Razão Social]:[Razão Social]],$A281)))</f>
        <v>45931</v>
      </c>
    </row>
    <row r="282" spans="1:7" hidden="1" x14ac:dyDescent="0.25">
      <c r="A282" t="s">
        <v>626</v>
      </c>
      <c r="B282" t="s">
        <v>627</v>
      </c>
      <c r="C282" t="str">
        <f>IFERROR(_xlfn.XLOOKUP(A282,'E-Mail BD'!B:B,'E-Mail BD'!A:A),"-")</f>
        <v>027.647.097/0001-85</v>
      </c>
      <c r="D282" s="2" t="str">
        <f t="shared" si="8"/>
        <v>27647097000185</v>
      </c>
      <c r="E282" s="2" t="str">
        <f t="shared" si="9"/>
        <v>27647097</v>
      </c>
      <c r="F282" s="8">
        <f>IF($A282=""," ",IF(_xlfn.MINIFS(tblDados[[Data do recebimento do e-mail]:[Data do recebimento do e-mail]],tblDados[[Razão Social]:[Razão Social]],$A282)=0,"NÃO APARECEU AINDA",_xlfn.MINIFS(tblDados[[Data do recebimento do e-mail]:[Data do recebimento do e-mail]],tblDados[[Razão Social]:[Razão Social]],$A282)))</f>
        <v>45839</v>
      </c>
      <c r="G282" s="8">
        <f>IF($A282=""," ",IF(_xlfn.MAXIFS(tblDados[[Data do recebimento do e-mail]:[Data do recebimento do e-mail]],tblDados[[Razão Social]:[Razão Social]],$A282)=0,"NÃO APARECEU AINDA",_xlfn.MAXIFS(tblDados[[Data do recebimento do e-mail]:[Data do recebimento do e-mail]],tblDados[[Razão Social]:[Razão Social]],$A282)))</f>
        <v>45902</v>
      </c>
    </row>
    <row r="283" spans="1:7" hidden="1" x14ac:dyDescent="0.25">
      <c r="A283" t="s">
        <v>626</v>
      </c>
      <c r="B283" t="s">
        <v>627</v>
      </c>
      <c r="C283" t="str">
        <f>IFERROR(_xlfn.XLOOKUP(A283,'E-Mail BD'!B:B,'E-Mail BD'!A:A),"-")</f>
        <v>027.647.097/0001-85</v>
      </c>
      <c r="D283" s="2" t="str">
        <f t="shared" si="8"/>
        <v>27647097000185</v>
      </c>
      <c r="E283" s="2" t="str">
        <f t="shared" si="9"/>
        <v>27647097</v>
      </c>
      <c r="F283" s="8">
        <f>IF($A283=""," ",IF(_xlfn.MINIFS(tblDados[[Data do recebimento do e-mail]:[Data do recebimento do e-mail]],tblDados[[Razão Social]:[Razão Social]],$A283)=0,"NÃO APARECEU AINDA",_xlfn.MINIFS(tblDados[[Data do recebimento do e-mail]:[Data do recebimento do e-mail]],tblDados[[Razão Social]:[Razão Social]],$A283)))</f>
        <v>45839</v>
      </c>
      <c r="G283" s="8">
        <f>IF($A283=""," ",IF(_xlfn.MAXIFS(tblDados[[Data do recebimento do e-mail]:[Data do recebimento do e-mail]],tblDados[[Razão Social]:[Razão Social]],$A283)=0,"NÃO APARECEU AINDA",_xlfn.MAXIFS(tblDados[[Data do recebimento do e-mail]:[Data do recebimento do e-mail]],tblDados[[Razão Social]:[Razão Social]],$A283)))</f>
        <v>45902</v>
      </c>
    </row>
    <row r="284" spans="1:7" hidden="1" x14ac:dyDescent="0.25">
      <c r="A284" t="s">
        <v>596</v>
      </c>
      <c r="B284" t="s">
        <v>27</v>
      </c>
      <c r="C284" t="str">
        <f>IFERROR(_xlfn.XLOOKUP(A284,'E-Mail BD'!B:B,'E-Mail BD'!A:A),"-")</f>
        <v>-</v>
      </c>
      <c r="D284" s="2" t="str">
        <f t="shared" si="8"/>
        <v>-</v>
      </c>
      <c r="E284" s="2" t="str">
        <f t="shared" si="9"/>
        <v>-</v>
      </c>
      <c r="F284" s="8" t="str">
        <f>IF($A284=""," ",IF(_xlfn.MINIFS(tblDados[[Data do recebimento do e-mail]:[Data do recebimento do e-mail]],tblDados[[Razão Social]:[Razão Social]],$A284)=0,"NÃO APARECEU AINDA",_xlfn.MINIFS(tblDados[[Data do recebimento do e-mail]:[Data do recebimento do e-mail]],tblDados[[Razão Social]:[Razão Social]],$A284)))</f>
        <v>NÃO APARECEU AINDA</v>
      </c>
      <c r="G284" s="8" t="str">
        <f>IF($A284=""," ",IF(_xlfn.MAXIFS(tblDados[[Data do recebimento do e-mail]:[Data do recebimento do e-mail]],tblDados[[Razão Social]:[Razão Social]],$A284)=0,"NÃO APARECEU AINDA",_xlfn.MAXIFS(tblDados[[Data do recebimento do e-mail]:[Data do recebimento do e-mail]],tblDados[[Razão Social]:[Razão Social]],$A284)))</f>
        <v>NÃO APARECEU AINDA</v>
      </c>
    </row>
    <row r="285" spans="1:7" hidden="1" x14ac:dyDescent="0.25">
      <c r="A285" t="s">
        <v>73</v>
      </c>
      <c r="B285" t="s">
        <v>15</v>
      </c>
      <c r="C285" t="str">
        <f>IFERROR(_xlfn.XLOOKUP(A285,'E-Mail BD'!B:B,'E-Mail BD'!A:A),"-")</f>
        <v>035.679.705/0001-61</v>
      </c>
      <c r="D285" s="2" t="str">
        <f t="shared" si="8"/>
        <v>35679705000161</v>
      </c>
      <c r="E285" s="2" t="str">
        <f t="shared" si="9"/>
        <v>35679705</v>
      </c>
      <c r="F285" s="8">
        <f>IF($A285=""," ",IF(_xlfn.MINIFS(tblDados[[Data do recebimento do e-mail]:[Data do recebimento do e-mail]],tblDados[[Razão Social]:[Razão Social]],$A285)=0,"NÃO APARECEU AINDA",_xlfn.MINIFS(tblDados[[Data do recebimento do e-mail]:[Data do recebimento do e-mail]],tblDados[[Razão Social]:[Razão Social]],$A285)))</f>
        <v>45741</v>
      </c>
      <c r="G285" s="8">
        <f>IF($A285=""," ",IF(_xlfn.MAXIFS(tblDados[[Data do recebimento do e-mail]:[Data do recebimento do e-mail]],tblDados[[Razão Social]:[Razão Social]],$A285)=0,"NÃO APARECEU AINDA",_xlfn.MAXIFS(tblDados[[Data do recebimento do e-mail]:[Data do recebimento do e-mail]],tblDados[[Razão Social]:[Razão Social]],$A285)))</f>
        <v>45819</v>
      </c>
    </row>
    <row r="286" spans="1:7" hidden="1" x14ac:dyDescent="0.25">
      <c r="A286" t="s">
        <v>243</v>
      </c>
      <c r="B286" t="s">
        <v>15</v>
      </c>
      <c r="C286" t="str">
        <f>IFERROR(_xlfn.XLOOKUP(A286,'E-Mail BD'!B:B,'E-Mail BD'!A:A),"-")</f>
        <v>045.452.509/0001-03</v>
      </c>
      <c r="D286" s="2" t="str">
        <f t="shared" si="8"/>
        <v>45452509000103</v>
      </c>
      <c r="E286" s="2" t="str">
        <f t="shared" si="9"/>
        <v>45452509</v>
      </c>
      <c r="F286" s="8">
        <f>IF($A286=""," ",IF(_xlfn.MINIFS(tblDados[[Data do recebimento do e-mail]:[Data do recebimento do e-mail]],tblDados[[Razão Social]:[Razão Social]],$A286)=0,"NÃO APARECEU AINDA",_xlfn.MINIFS(tblDados[[Data do recebimento do e-mail]:[Data do recebimento do e-mail]],tblDados[[Razão Social]:[Razão Social]],$A286)))</f>
        <v>45741</v>
      </c>
      <c r="G286" s="8">
        <f>IF($A286=""," ",IF(_xlfn.MAXIFS(tblDados[[Data do recebimento do e-mail]:[Data do recebimento do e-mail]],tblDados[[Razão Social]:[Razão Social]],$A286)=0,"NÃO APARECEU AINDA",_xlfn.MAXIFS(tblDados[[Data do recebimento do e-mail]:[Data do recebimento do e-mail]],tblDados[[Razão Social]:[Razão Social]],$A286)))</f>
        <v>45801</v>
      </c>
    </row>
    <row r="287" spans="1:7" hidden="1" x14ac:dyDescent="0.25">
      <c r="A287" t="s">
        <v>569</v>
      </c>
      <c r="B287" t="s">
        <v>8</v>
      </c>
      <c r="C287" t="str">
        <f>IFERROR(_xlfn.XLOOKUP(A287,'E-Mail BD'!B:B,'E-Mail BD'!A:A),"-")</f>
        <v>-</v>
      </c>
      <c r="D287" s="2" t="str">
        <f t="shared" si="8"/>
        <v>-</v>
      </c>
      <c r="E287" s="2" t="str">
        <f t="shared" si="9"/>
        <v>-</v>
      </c>
      <c r="F287" s="8" t="str">
        <f>IF($A287=""," ",IF(_xlfn.MINIFS(tblDados[[Data do recebimento do e-mail]:[Data do recebimento do e-mail]],tblDados[[Razão Social]:[Razão Social]],$A287)=0,"NÃO APARECEU AINDA",_xlfn.MINIFS(tblDados[[Data do recebimento do e-mail]:[Data do recebimento do e-mail]],tblDados[[Razão Social]:[Razão Social]],$A287)))</f>
        <v>NÃO APARECEU AINDA</v>
      </c>
      <c r="G287" s="8" t="str">
        <f>IF($A287=""," ",IF(_xlfn.MAXIFS(tblDados[[Data do recebimento do e-mail]:[Data do recebimento do e-mail]],tblDados[[Razão Social]:[Razão Social]],$A287)=0,"NÃO APARECEU AINDA",_xlfn.MAXIFS(tblDados[[Data do recebimento do e-mail]:[Data do recebimento do e-mail]],tblDados[[Razão Social]:[Razão Social]],$A287)))</f>
        <v>NÃO APARECEU AINDA</v>
      </c>
    </row>
    <row r="288" spans="1:7" hidden="1" x14ac:dyDescent="0.25">
      <c r="A288" t="s">
        <v>65</v>
      </c>
      <c r="B288" t="s">
        <v>4</v>
      </c>
      <c r="C288" t="str">
        <f>IFERROR(_xlfn.XLOOKUP(A288,'E-Mail BD'!B:B,'E-Mail BD'!A:A),"-")</f>
        <v>028.511.223/0001-32</v>
      </c>
      <c r="D288" s="2" t="str">
        <f t="shared" si="8"/>
        <v>28511223000132</v>
      </c>
      <c r="E288" s="2" t="str">
        <f t="shared" si="9"/>
        <v>28511223</v>
      </c>
      <c r="F288" s="8">
        <f>IF($A288=""," ",IF(_xlfn.MINIFS(tblDados[[Data do recebimento do e-mail]:[Data do recebimento do e-mail]],tblDados[[Razão Social]:[Razão Social]],$A288)=0,"NÃO APARECEU AINDA",_xlfn.MINIFS(tblDados[[Data do recebimento do e-mail]:[Data do recebimento do e-mail]],tblDados[[Razão Social]:[Razão Social]],$A288)))</f>
        <v>45763</v>
      </c>
      <c r="G288" s="8">
        <f>IF($A288=""," ",IF(_xlfn.MAXIFS(tblDados[[Data do recebimento do e-mail]:[Data do recebimento do e-mail]],tblDados[[Razão Social]:[Razão Social]],$A288)=0,"NÃO APARECEU AINDA",_xlfn.MAXIFS(tblDados[[Data do recebimento do e-mail]:[Data do recebimento do e-mail]],tblDados[[Razão Social]:[Razão Social]],$A288)))</f>
        <v>46003</v>
      </c>
    </row>
    <row r="289" spans="1:7" hidden="1" x14ac:dyDescent="0.25">
      <c r="A289" t="s">
        <v>165</v>
      </c>
      <c r="B289" t="s">
        <v>22</v>
      </c>
      <c r="C289" t="str">
        <f>IFERROR(_xlfn.XLOOKUP(A289,'E-Mail BD'!B:B,'E-Mail BD'!A:A),"-")</f>
        <v>005.363.690/0001-67</v>
      </c>
      <c r="D289" s="2" t="str">
        <f t="shared" si="8"/>
        <v>05363690000167</v>
      </c>
      <c r="E289" s="2" t="str">
        <f t="shared" si="9"/>
        <v>05363690</v>
      </c>
      <c r="F289" s="8">
        <f>IF($A289=""," ",IF(_xlfn.MINIFS(tblDados[[Data do recebimento do e-mail]:[Data do recebimento do e-mail]],tblDados[[Razão Social]:[Razão Social]],$A289)=0,"NÃO APARECEU AINDA",_xlfn.MINIFS(tblDados[[Data do recebimento do e-mail]:[Data do recebimento do e-mail]],tblDados[[Razão Social]:[Razão Social]],$A289)))</f>
        <v>45580</v>
      </c>
      <c r="G289" s="8">
        <f>IF($A289=""," ",IF(_xlfn.MAXIFS(tblDados[[Data do recebimento do e-mail]:[Data do recebimento do e-mail]],tblDados[[Razão Social]:[Razão Social]],$A289)=0,"NÃO APARECEU AINDA",_xlfn.MAXIFS(tblDados[[Data do recebimento do e-mail]:[Data do recebimento do e-mail]],tblDados[[Razão Social]:[Razão Social]],$A289)))</f>
        <v>46002</v>
      </c>
    </row>
    <row r="290" spans="1:7" hidden="1" x14ac:dyDescent="0.25">
      <c r="A290" t="s">
        <v>280</v>
      </c>
      <c r="B290" t="s">
        <v>22</v>
      </c>
      <c r="C290" t="str">
        <f>IFERROR(_xlfn.XLOOKUP(A290,'E-Mail BD'!B:B,'E-Mail BD'!A:A),"-")</f>
        <v>025.094.292/0001-08</v>
      </c>
      <c r="D290" s="2" t="str">
        <f t="shared" si="8"/>
        <v>25094292000108</v>
      </c>
      <c r="E290" s="2" t="str">
        <f t="shared" si="9"/>
        <v>25094292</v>
      </c>
      <c r="F290" s="8">
        <f>IF($A290=""," ",IF(_xlfn.MINIFS(tblDados[[Data do recebimento do e-mail]:[Data do recebimento do e-mail]],tblDados[[Razão Social]:[Razão Social]],$A290)=0,"NÃO APARECEU AINDA",_xlfn.MINIFS(tblDados[[Data do recebimento do e-mail]:[Data do recebimento do e-mail]],tblDados[[Razão Social]:[Razão Social]],$A290)))</f>
        <v>45791</v>
      </c>
      <c r="G290" s="8">
        <f>IF($A290=""," ",IF(_xlfn.MAXIFS(tblDados[[Data do recebimento do e-mail]:[Data do recebimento do e-mail]],tblDados[[Razão Social]:[Razão Social]],$A290)=0,"NÃO APARECEU AINDA",_xlfn.MAXIFS(tblDados[[Data do recebimento do e-mail]:[Data do recebimento do e-mail]],tblDados[[Razão Social]:[Razão Social]],$A290)))</f>
        <v>46000</v>
      </c>
    </row>
    <row r="291" spans="1:7" hidden="1" x14ac:dyDescent="0.25">
      <c r="A291" t="s">
        <v>124</v>
      </c>
      <c r="B291" t="s">
        <v>35</v>
      </c>
      <c r="C291" t="str">
        <f>IFERROR(_xlfn.XLOOKUP(A291,'E-Mail BD'!B:B,'E-Mail BD'!A:A),"-")</f>
        <v>028.842.753/0001-63</v>
      </c>
      <c r="D291" s="2" t="str">
        <f t="shared" si="8"/>
        <v>28842753000163</v>
      </c>
      <c r="E291" s="2" t="str">
        <f t="shared" si="9"/>
        <v>28842753</v>
      </c>
      <c r="F291" s="8">
        <f>IF($A291=""," ",IF(_xlfn.MINIFS(tblDados[[Data do recebimento do e-mail]:[Data do recebimento do e-mail]],tblDados[[Razão Social]:[Razão Social]],$A291)=0,"NÃO APARECEU AINDA",_xlfn.MINIFS(tblDados[[Data do recebimento do e-mail]:[Data do recebimento do e-mail]],tblDados[[Razão Social]:[Razão Social]],$A291)))</f>
        <v>45547</v>
      </c>
      <c r="G291" s="8">
        <f>IF($A291=""," ",IF(_xlfn.MAXIFS(tblDados[[Data do recebimento do e-mail]:[Data do recebimento do e-mail]],tblDados[[Razão Social]:[Razão Social]],$A291)=0,"NÃO APARECEU AINDA",_xlfn.MAXIFS(tblDados[[Data do recebimento do e-mail]:[Data do recebimento do e-mail]],tblDados[[Razão Social]:[Razão Social]],$A291)))</f>
        <v>45685</v>
      </c>
    </row>
    <row r="292" spans="1:7" hidden="1" x14ac:dyDescent="0.25">
      <c r="A292" t="s">
        <v>669</v>
      </c>
      <c r="B292" t="s">
        <v>4</v>
      </c>
      <c r="C292" t="str">
        <f>IFERROR(_xlfn.XLOOKUP(A292,'E-Mail BD'!B:B,'E-Mail BD'!A:A),"-")</f>
        <v>013.258.863/0001-05</v>
      </c>
      <c r="D292" s="2" t="str">
        <f t="shared" si="8"/>
        <v>13258863000105</v>
      </c>
      <c r="E292" s="2" t="str">
        <f t="shared" si="9"/>
        <v>13258863</v>
      </c>
      <c r="F292" s="8">
        <f>IF($A292=""," ",IF(_xlfn.MINIFS(tblDados[[Data do recebimento do e-mail]:[Data do recebimento do e-mail]],tblDados[[Razão Social]:[Razão Social]],$A292)=0,"NÃO APARECEU AINDA",_xlfn.MINIFS(tblDados[[Data do recebimento do e-mail]:[Data do recebimento do e-mail]],tblDados[[Razão Social]:[Razão Social]],$A292)))</f>
        <v>45916</v>
      </c>
      <c r="G292" s="8">
        <f>IF($A292=""," ",IF(_xlfn.MAXIFS(tblDados[[Data do recebimento do e-mail]:[Data do recebimento do e-mail]],tblDados[[Razão Social]:[Razão Social]],$A292)=0,"NÃO APARECEU AINDA",_xlfn.MAXIFS(tblDados[[Data do recebimento do e-mail]:[Data do recebimento do e-mail]],tblDados[[Razão Social]:[Razão Social]],$A292)))</f>
        <v>45962</v>
      </c>
    </row>
    <row r="293" spans="1:7" hidden="1" x14ac:dyDescent="0.25">
      <c r="A293" t="s">
        <v>96</v>
      </c>
      <c r="B293" t="s">
        <v>16</v>
      </c>
      <c r="C293" t="str">
        <f>IFERROR(_xlfn.XLOOKUP(A293,'E-Mail BD'!B:B,'E-Mail BD'!A:A),"-")</f>
        <v>023.637.987/0001-55</v>
      </c>
      <c r="D293" s="2" t="str">
        <f t="shared" si="8"/>
        <v>23637987000155</v>
      </c>
      <c r="E293" s="2" t="str">
        <f t="shared" si="9"/>
        <v>23637987</v>
      </c>
      <c r="F293" s="8">
        <f>IF($A293=""," ",IF(_xlfn.MINIFS(tblDados[[Data do recebimento do e-mail]:[Data do recebimento do e-mail]],tblDados[[Razão Social]:[Razão Social]],$A293)=0,"NÃO APARECEU AINDA",_xlfn.MINIFS(tblDados[[Data do recebimento do e-mail]:[Data do recebimento do e-mail]],tblDados[[Razão Social]:[Razão Social]],$A293)))</f>
        <v>45538</v>
      </c>
      <c r="G293" s="8">
        <f>IF($A293=""," ",IF(_xlfn.MAXIFS(tblDados[[Data do recebimento do e-mail]:[Data do recebimento do e-mail]],tblDados[[Razão Social]:[Razão Social]],$A293)=0,"NÃO APARECEU AINDA",_xlfn.MAXIFS(tblDados[[Data do recebimento do e-mail]:[Data do recebimento do e-mail]],tblDados[[Razão Social]:[Razão Social]],$A293)))</f>
        <v>46000</v>
      </c>
    </row>
    <row r="294" spans="1:7" hidden="1" x14ac:dyDescent="0.25">
      <c r="A294" t="s">
        <v>254</v>
      </c>
      <c r="B294" t="s">
        <v>19</v>
      </c>
      <c r="C294" t="str">
        <f>IFERROR(_xlfn.XLOOKUP(A294,'E-Mail BD'!B:B,'E-Mail BD'!A:A),"-")</f>
        <v>046.865.282/0001-90</v>
      </c>
      <c r="D294" s="2" t="str">
        <f t="shared" si="8"/>
        <v>46865282000190</v>
      </c>
      <c r="E294" s="2" t="str">
        <f t="shared" si="9"/>
        <v>46865282</v>
      </c>
      <c r="F294" s="8">
        <f>IF($A294=""," ",IF(_xlfn.MINIFS(tblDados[[Data do recebimento do e-mail]:[Data do recebimento do e-mail]],tblDados[[Razão Social]:[Razão Social]],$A294)=0,"NÃO APARECEU AINDA",_xlfn.MINIFS(tblDados[[Data do recebimento do e-mail]:[Data do recebimento do e-mail]],tblDados[[Razão Social]:[Razão Social]],$A294)))</f>
        <v>45755</v>
      </c>
      <c r="G294" s="8">
        <f>IF($A294=""," ",IF(_xlfn.MAXIFS(tblDados[[Data do recebimento do e-mail]:[Data do recebimento do e-mail]],tblDados[[Razão Social]:[Razão Social]],$A294)=0,"NÃO APARECEU AINDA",_xlfn.MAXIFS(tblDados[[Data do recebimento do e-mail]:[Data do recebimento do e-mail]],tblDados[[Razão Social]:[Razão Social]],$A294)))</f>
        <v>45755</v>
      </c>
    </row>
    <row r="295" spans="1:7" hidden="1" x14ac:dyDescent="0.25">
      <c r="A295" t="s">
        <v>52</v>
      </c>
      <c r="B295" t="s">
        <v>18</v>
      </c>
      <c r="C295" t="str">
        <f>IFERROR(_xlfn.XLOOKUP(A295,'E-Mail BD'!B:B,'E-Mail BD'!A:A),"-")</f>
        <v>008.250.872/0001-10</v>
      </c>
      <c r="D295" s="2" t="str">
        <f t="shared" si="8"/>
        <v>08250872000110</v>
      </c>
      <c r="E295" s="2" t="str">
        <f t="shared" si="9"/>
        <v>08250872</v>
      </c>
      <c r="F295" s="8">
        <f>IF($A295=""," ",IF(_xlfn.MINIFS(tblDados[[Data do recebimento do e-mail]:[Data do recebimento do e-mail]],tblDados[[Razão Social]:[Razão Social]],$A295)=0,"NÃO APARECEU AINDA",_xlfn.MINIFS(tblDados[[Data do recebimento do e-mail]:[Data do recebimento do e-mail]],tblDados[[Razão Social]:[Razão Social]],$A295)))</f>
        <v>45650</v>
      </c>
      <c r="G295" s="8">
        <f>IF($A295=""," ",IF(_xlfn.MAXIFS(tblDados[[Data do recebimento do e-mail]:[Data do recebimento do e-mail]],tblDados[[Razão Social]:[Razão Social]],$A295)=0,"NÃO APARECEU AINDA",_xlfn.MAXIFS(tblDados[[Data do recebimento do e-mail]:[Data do recebimento do e-mail]],tblDados[[Razão Social]:[Razão Social]],$A295)))</f>
        <v>46003</v>
      </c>
    </row>
    <row r="296" spans="1:7" hidden="1" x14ac:dyDescent="0.25">
      <c r="A296" t="s">
        <v>535</v>
      </c>
      <c r="B296" t="s">
        <v>25</v>
      </c>
      <c r="C296" t="str">
        <f>IFERROR(_xlfn.XLOOKUP(A296,'E-Mail BD'!B:B,'E-Mail BD'!A:A),"-")</f>
        <v>-</v>
      </c>
      <c r="D296" s="2" t="str">
        <f t="shared" si="8"/>
        <v>-</v>
      </c>
      <c r="E296" s="2" t="str">
        <f t="shared" si="9"/>
        <v>-</v>
      </c>
      <c r="F296" s="8" t="str">
        <f>IF($A296=""," ",IF(_xlfn.MINIFS(tblDados[[Data do recebimento do e-mail]:[Data do recebimento do e-mail]],tblDados[[Razão Social]:[Razão Social]],$A296)=0,"NÃO APARECEU AINDA",_xlfn.MINIFS(tblDados[[Data do recebimento do e-mail]:[Data do recebimento do e-mail]],tblDados[[Razão Social]:[Razão Social]],$A296)))</f>
        <v>NÃO APARECEU AINDA</v>
      </c>
      <c r="G296" s="8" t="str">
        <f>IF($A296=""," ",IF(_xlfn.MAXIFS(tblDados[[Data do recebimento do e-mail]:[Data do recebimento do e-mail]],tblDados[[Razão Social]:[Razão Social]],$A296)=0,"NÃO APARECEU AINDA",_xlfn.MAXIFS(tblDados[[Data do recebimento do e-mail]:[Data do recebimento do e-mail]],tblDados[[Razão Social]:[Razão Social]],$A296)))</f>
        <v>NÃO APARECEU AINDA</v>
      </c>
    </row>
    <row r="297" spans="1:7" hidden="1" x14ac:dyDescent="0.25">
      <c r="A297" t="s">
        <v>296</v>
      </c>
      <c r="B297" t="s">
        <v>24</v>
      </c>
      <c r="C297" t="str">
        <f>IFERROR(_xlfn.XLOOKUP(A297,'E-Mail BD'!B:B,'E-Mail BD'!A:A),"-")</f>
        <v>010.672.840/0001-54</v>
      </c>
      <c r="D297" s="2" t="str">
        <f t="shared" si="8"/>
        <v>10672840000154</v>
      </c>
      <c r="E297" s="2" t="str">
        <f t="shared" si="9"/>
        <v>10672840</v>
      </c>
      <c r="F297" s="8">
        <f>IF($A297=""," ",IF(_xlfn.MINIFS(tblDados[[Data do recebimento do e-mail]:[Data do recebimento do e-mail]],tblDados[[Razão Social]:[Razão Social]],$A297)=0,"NÃO APARECEU AINDA",_xlfn.MINIFS(tblDados[[Data do recebimento do e-mail]:[Data do recebimento do e-mail]],tblDados[[Razão Social]:[Razão Social]],$A297)))</f>
        <v>45800</v>
      </c>
      <c r="G297" s="8">
        <f>IF($A297=""," ",IF(_xlfn.MAXIFS(tblDados[[Data do recebimento do e-mail]:[Data do recebimento do e-mail]],tblDados[[Razão Social]:[Razão Social]],$A297)=0,"NÃO APARECEU AINDA",_xlfn.MAXIFS(tblDados[[Data do recebimento do e-mail]:[Data do recebimento do e-mail]],tblDados[[Razão Social]:[Razão Social]],$A297)))</f>
        <v>45988</v>
      </c>
    </row>
    <row r="298" spans="1:7" hidden="1" x14ac:dyDescent="0.25">
      <c r="A298" t="s">
        <v>233</v>
      </c>
      <c r="B298" t="s">
        <v>17</v>
      </c>
      <c r="C298" t="str">
        <f>IFERROR(_xlfn.XLOOKUP(A298,'E-Mail BD'!B:B,'E-Mail BD'!A:A),"-")</f>
        <v>004.067.472/0001-12</v>
      </c>
      <c r="D298" s="2" t="str">
        <f t="shared" si="8"/>
        <v>04067472000112</v>
      </c>
      <c r="E298" s="2" t="str">
        <f t="shared" si="9"/>
        <v>04067472</v>
      </c>
      <c r="F298" s="8">
        <f>IF($A298=""," ",IF(_xlfn.MINIFS(tblDados[[Data do recebimento do e-mail]:[Data do recebimento do e-mail]],tblDados[[Razão Social]:[Razão Social]],$A298)=0,"NÃO APARECEU AINDA",_xlfn.MINIFS(tblDados[[Data do recebimento do e-mail]:[Data do recebimento do e-mail]],tblDados[[Razão Social]:[Razão Social]],$A298)))</f>
        <v>45697</v>
      </c>
      <c r="G298" s="8">
        <f>IF($A298=""," ",IF(_xlfn.MAXIFS(tblDados[[Data do recebimento do e-mail]:[Data do recebimento do e-mail]],tblDados[[Razão Social]:[Razão Social]],$A298)=0,"NÃO APARECEU AINDA",_xlfn.MAXIFS(tblDados[[Data do recebimento do e-mail]:[Data do recebimento do e-mail]],tblDados[[Razão Social]:[Razão Social]],$A298)))</f>
        <v>45981</v>
      </c>
    </row>
    <row r="299" spans="1:7" hidden="1" x14ac:dyDescent="0.25">
      <c r="A299" t="s">
        <v>225</v>
      </c>
      <c r="B299" t="s">
        <v>21</v>
      </c>
      <c r="C299" t="str">
        <f>IFERROR(_xlfn.XLOOKUP(A299,'E-Mail BD'!B:B,'E-Mail BD'!A:A),"-")</f>
        <v>038.407.341/0001-59</v>
      </c>
      <c r="D299" s="2" t="str">
        <f t="shared" si="8"/>
        <v>38407341000159</v>
      </c>
      <c r="E299" s="2" t="str">
        <f t="shared" si="9"/>
        <v>38407341</v>
      </c>
      <c r="F299" s="8">
        <f>IF($A299=""," ",IF(_xlfn.MINIFS(tblDados[[Data do recebimento do e-mail]:[Data do recebimento do e-mail]],tblDados[[Razão Social]:[Razão Social]],$A299)=0,"NÃO APARECEU AINDA",_xlfn.MINIFS(tblDados[[Data do recebimento do e-mail]:[Data do recebimento do e-mail]],tblDados[[Razão Social]:[Razão Social]],$A299)))</f>
        <v>45688</v>
      </c>
      <c r="G299" s="8">
        <f>IF($A299=""," ",IF(_xlfn.MAXIFS(tblDados[[Data do recebimento do e-mail]:[Data do recebimento do e-mail]],tblDados[[Razão Social]:[Razão Social]],$A299)=0,"NÃO APARECEU AINDA",_xlfn.MAXIFS(tblDados[[Data do recebimento do e-mail]:[Data do recebimento do e-mail]],tblDados[[Razão Social]:[Razão Social]],$A299)))</f>
        <v>45743</v>
      </c>
    </row>
    <row r="300" spans="1:7" hidden="1" x14ac:dyDescent="0.25">
      <c r="A300" t="s">
        <v>591</v>
      </c>
      <c r="B300" t="s">
        <v>21</v>
      </c>
      <c r="C300" t="str">
        <f>IFERROR(_xlfn.XLOOKUP(A300,'E-Mail BD'!B:B,'E-Mail BD'!A:A),"-")</f>
        <v>-</v>
      </c>
      <c r="D300" s="2" t="str">
        <f t="shared" si="8"/>
        <v>-</v>
      </c>
      <c r="E300" s="2" t="str">
        <f t="shared" si="9"/>
        <v>-</v>
      </c>
      <c r="F300" s="8" t="str">
        <f>IF($A300=""," ",IF(_xlfn.MINIFS(tblDados[[Data do recebimento do e-mail]:[Data do recebimento do e-mail]],tblDados[[Razão Social]:[Razão Social]],$A300)=0,"NÃO APARECEU AINDA",_xlfn.MINIFS(tblDados[[Data do recebimento do e-mail]:[Data do recebimento do e-mail]],tblDados[[Razão Social]:[Razão Social]],$A300)))</f>
        <v>NÃO APARECEU AINDA</v>
      </c>
      <c r="G300" s="8" t="str">
        <f>IF($A300=""," ",IF(_xlfn.MAXIFS(tblDados[[Data do recebimento do e-mail]:[Data do recebimento do e-mail]],tblDados[[Razão Social]:[Razão Social]],$A300)=0,"NÃO APARECEU AINDA",_xlfn.MAXIFS(tblDados[[Data do recebimento do e-mail]:[Data do recebimento do e-mail]],tblDados[[Razão Social]:[Razão Social]],$A300)))</f>
        <v>NÃO APARECEU AINDA</v>
      </c>
    </row>
    <row r="301" spans="1:7" hidden="1" x14ac:dyDescent="0.25">
      <c r="A301" t="s">
        <v>163</v>
      </c>
      <c r="B301" t="s">
        <v>7</v>
      </c>
      <c r="C301" t="str">
        <f>IFERROR(_xlfn.XLOOKUP(A301,'E-Mail BD'!B:B,'E-Mail BD'!A:A),"-")</f>
        <v>001.113.219/0001-60</v>
      </c>
      <c r="D301" s="2" t="str">
        <f t="shared" si="8"/>
        <v>01113219000160</v>
      </c>
      <c r="E301" s="2" t="str">
        <f t="shared" si="9"/>
        <v>01113219</v>
      </c>
      <c r="F301" s="8">
        <f>IF($A301=""," ",IF(_xlfn.MINIFS(tblDados[[Data do recebimento do e-mail]:[Data do recebimento do e-mail]],tblDados[[Razão Social]:[Razão Social]],$A301)=0,"NÃO APARECEU AINDA",_xlfn.MINIFS(tblDados[[Data do recebimento do e-mail]:[Data do recebimento do e-mail]],tblDados[[Razão Social]:[Razão Social]],$A301)))</f>
        <v>45576</v>
      </c>
      <c r="G301" s="8">
        <f>IF($A301=""," ",IF(_xlfn.MAXIFS(tblDados[[Data do recebimento do e-mail]:[Data do recebimento do e-mail]],tblDados[[Razão Social]:[Razão Social]],$A301)=0,"NÃO APARECEU AINDA",_xlfn.MAXIFS(tblDados[[Data do recebimento do e-mail]:[Data do recebimento do e-mail]],tblDados[[Razão Social]:[Razão Social]],$A301)))</f>
        <v>46003</v>
      </c>
    </row>
    <row r="302" spans="1:7" hidden="1" x14ac:dyDescent="0.25">
      <c r="A302" t="s">
        <v>75</v>
      </c>
      <c r="B302" t="s">
        <v>24</v>
      </c>
      <c r="C302" t="str">
        <f>IFERROR(_xlfn.XLOOKUP(A302,'E-Mail BD'!B:B,'E-Mail BD'!A:A),"-")</f>
        <v>037.599.774/0001-90</v>
      </c>
      <c r="D302" s="2" t="str">
        <f t="shared" si="8"/>
        <v>37599774000190</v>
      </c>
      <c r="E302" s="2" t="str">
        <f t="shared" si="9"/>
        <v>37599774</v>
      </c>
      <c r="F302" s="8">
        <f>IF($A302=""," ",IF(_xlfn.MINIFS(tblDados[[Data do recebimento do e-mail]:[Data do recebimento do e-mail]],tblDados[[Razão Social]:[Razão Social]],$A302)=0,"NÃO APARECEU AINDA",_xlfn.MINIFS(tblDados[[Data do recebimento do e-mail]:[Data do recebimento do e-mail]],tblDados[[Razão Social]:[Razão Social]],$A302)))</f>
        <v>45780</v>
      </c>
      <c r="G302" s="8">
        <f>IF($A302=""," ",IF(_xlfn.MAXIFS(tblDados[[Data do recebimento do e-mail]:[Data do recebimento do e-mail]],tblDados[[Razão Social]:[Razão Social]],$A302)=0,"NÃO APARECEU AINDA",_xlfn.MAXIFS(tblDados[[Data do recebimento do e-mail]:[Data do recebimento do e-mail]],tblDados[[Razão Social]:[Razão Social]],$A302)))</f>
        <v>45986</v>
      </c>
    </row>
    <row r="303" spans="1:7" hidden="1" x14ac:dyDescent="0.25">
      <c r="A303" t="s">
        <v>119</v>
      </c>
      <c r="B303" t="s">
        <v>22</v>
      </c>
      <c r="C303" t="str">
        <f>IFERROR(_xlfn.XLOOKUP(A303,'E-Mail BD'!B:B,'E-Mail BD'!A:A),"-")</f>
        <v>007.102.721/0001-51</v>
      </c>
      <c r="D303" s="2" t="str">
        <f t="shared" si="8"/>
        <v>07102721000151</v>
      </c>
      <c r="E303" s="2" t="str">
        <f t="shared" si="9"/>
        <v>07102721</v>
      </c>
      <c r="F303" s="8">
        <f>IF($A303=""," ",IF(_xlfn.MINIFS(tblDados[[Data do recebimento do e-mail]:[Data do recebimento do e-mail]],tblDados[[Razão Social]:[Razão Social]],$A303)=0,"NÃO APARECEU AINDA",_xlfn.MINIFS(tblDados[[Data do recebimento do e-mail]:[Data do recebimento do e-mail]],tblDados[[Razão Social]:[Razão Social]],$A303)))</f>
        <v>45545</v>
      </c>
      <c r="G303" s="8">
        <f>IF($A303=""," ",IF(_xlfn.MAXIFS(tblDados[[Data do recebimento do e-mail]:[Data do recebimento do e-mail]],tblDados[[Razão Social]:[Razão Social]],$A303)=0,"NÃO APARECEU AINDA",_xlfn.MAXIFS(tblDados[[Data do recebimento do e-mail]:[Data do recebimento do e-mail]],tblDados[[Razão Social]:[Razão Social]],$A303)))</f>
        <v>45938</v>
      </c>
    </row>
    <row r="304" spans="1:7" hidden="1" x14ac:dyDescent="0.25">
      <c r="A304" t="s">
        <v>88</v>
      </c>
      <c r="B304" t="s">
        <v>15</v>
      </c>
      <c r="C304" t="str">
        <f>IFERROR(_xlfn.XLOOKUP(A304,'E-Mail BD'!B:B,'E-Mail BD'!A:A),"-")</f>
        <v>007.556.817/0001-90</v>
      </c>
      <c r="D304" s="2" t="str">
        <f t="shared" si="8"/>
        <v>07556817000190</v>
      </c>
      <c r="E304" s="2" t="str">
        <f t="shared" si="9"/>
        <v>07556817</v>
      </c>
      <c r="F304" s="8">
        <f>IF($A304=""," ",IF(_xlfn.MINIFS(tblDados[[Data do recebimento do e-mail]:[Data do recebimento do e-mail]],tblDados[[Razão Social]:[Razão Social]],$A304)=0,"NÃO APARECEU AINDA",_xlfn.MINIFS(tblDados[[Data do recebimento do e-mail]:[Data do recebimento do e-mail]],tblDados[[Razão Social]:[Razão Social]],$A304)))</f>
        <v>45537</v>
      </c>
      <c r="G304" s="8">
        <f>IF($A304=""," ",IF(_xlfn.MAXIFS(tblDados[[Data do recebimento do e-mail]:[Data do recebimento do e-mail]],tblDados[[Razão Social]:[Razão Social]],$A304)=0,"NÃO APARECEU AINDA",_xlfn.MAXIFS(tblDados[[Data do recebimento do e-mail]:[Data do recebimento do e-mail]],tblDados[[Razão Social]:[Razão Social]],$A304)))</f>
        <v>45544</v>
      </c>
    </row>
    <row r="305" spans="1:7" hidden="1" x14ac:dyDescent="0.25">
      <c r="A305" t="s">
        <v>561</v>
      </c>
      <c r="B305" t="s">
        <v>618</v>
      </c>
      <c r="C305" t="str">
        <f>IFERROR(_xlfn.XLOOKUP(A305,'E-Mail BD'!B:B,'E-Mail BD'!A:A),"-")</f>
        <v>022.457.202/0001-08</v>
      </c>
      <c r="D305" s="2" t="str">
        <f t="shared" si="8"/>
        <v>22457202000108</v>
      </c>
      <c r="E305" s="2" t="str">
        <f t="shared" si="9"/>
        <v>22457202</v>
      </c>
      <c r="F305" s="8">
        <f>IF($A305=""," ",IF(_xlfn.MINIFS(tblDados[[Data do recebimento do e-mail]:[Data do recebimento do e-mail]],tblDados[[Razão Social]:[Razão Social]],$A305)=0,"NÃO APARECEU AINDA",_xlfn.MINIFS(tblDados[[Data do recebimento do e-mail]:[Data do recebimento do e-mail]],tblDados[[Razão Social]:[Razão Social]],$A305)))</f>
        <v>45840</v>
      </c>
      <c r="G305" s="8">
        <f>IF($A305=""," ",IF(_xlfn.MAXIFS(tblDados[[Data do recebimento do e-mail]:[Data do recebimento do e-mail]],tblDados[[Razão Social]:[Razão Social]],$A305)=0,"NÃO APARECEU AINDA",_xlfn.MAXIFS(tblDados[[Data do recebimento do e-mail]:[Data do recebimento do e-mail]],tblDados[[Razão Social]:[Razão Social]],$A305)))</f>
        <v>45910</v>
      </c>
    </row>
    <row r="306" spans="1:7" hidden="1" x14ac:dyDescent="0.25">
      <c r="A306" t="s">
        <v>265</v>
      </c>
      <c r="B306" t="s">
        <v>15</v>
      </c>
      <c r="C306" t="str">
        <f>IFERROR(_xlfn.XLOOKUP(A306,'E-Mail BD'!B:B,'E-Mail BD'!A:A),"-")</f>
        <v>092.279.363/0001-26</v>
      </c>
      <c r="D306" s="2" t="str">
        <f t="shared" si="8"/>
        <v>92279363000126</v>
      </c>
      <c r="E306" s="2" t="str">
        <f t="shared" si="9"/>
        <v>92279363</v>
      </c>
      <c r="F306" s="8">
        <f>IF($A306=""," ",IF(_xlfn.MINIFS(tblDados[[Data do recebimento do e-mail]:[Data do recebimento do e-mail]],tblDados[[Razão Social]:[Razão Social]],$A306)=0,"NÃO APARECEU AINDA",_xlfn.MINIFS(tblDados[[Data do recebimento do e-mail]:[Data do recebimento do e-mail]],tblDados[[Razão Social]:[Razão Social]],$A306)))</f>
        <v>45776</v>
      </c>
      <c r="G306" s="8">
        <f>IF($A306=""," ",IF(_xlfn.MAXIFS(tblDados[[Data do recebimento do e-mail]:[Data do recebimento do e-mail]],tblDados[[Razão Social]:[Razão Social]],$A306)=0,"NÃO APARECEU AINDA",_xlfn.MAXIFS(tblDados[[Data do recebimento do e-mail]:[Data do recebimento do e-mail]],tblDados[[Razão Social]:[Razão Social]],$A306)))</f>
        <v>45871</v>
      </c>
    </row>
    <row r="307" spans="1:7" hidden="1" x14ac:dyDescent="0.25">
      <c r="A307" t="s">
        <v>611</v>
      </c>
      <c r="B307" t="s">
        <v>612</v>
      </c>
      <c r="C307" t="str">
        <f>IFERROR(_xlfn.XLOOKUP(A307,'E-Mail BD'!B:B,'E-Mail BD'!A:A),"-")</f>
        <v>042.119.428/0001-06</v>
      </c>
      <c r="D307" s="2" t="str">
        <f t="shared" si="8"/>
        <v>42119428000106</v>
      </c>
      <c r="E307" s="2" t="str">
        <f t="shared" si="9"/>
        <v>42119428</v>
      </c>
      <c r="F307" s="8">
        <f>IF($A307=""," ",IF(_xlfn.MINIFS(tblDados[[Data do recebimento do e-mail]:[Data do recebimento do e-mail]],tblDados[[Razão Social]:[Razão Social]],$A307)=0,"NÃO APARECEU AINDA",_xlfn.MINIFS(tblDados[[Data do recebimento do e-mail]:[Data do recebimento do e-mail]],tblDados[[Razão Social]:[Razão Social]],$A307)))</f>
        <v>45829</v>
      </c>
      <c r="G307" s="8">
        <f>IF($A307=""," ",IF(_xlfn.MAXIFS(tblDados[[Data do recebimento do e-mail]:[Data do recebimento do e-mail]],tblDados[[Razão Social]:[Razão Social]],$A307)=0,"NÃO APARECEU AINDA",_xlfn.MAXIFS(tblDados[[Data do recebimento do e-mail]:[Data do recebimento do e-mail]],tblDados[[Razão Social]:[Razão Social]],$A307)))</f>
        <v>46003</v>
      </c>
    </row>
    <row r="308" spans="1:7" hidden="1" x14ac:dyDescent="0.25">
      <c r="A308" t="s">
        <v>211</v>
      </c>
      <c r="B308" t="s">
        <v>18</v>
      </c>
      <c r="C308" t="str">
        <f>IFERROR(_xlfn.XLOOKUP(A308,'E-Mail BD'!B:B,'E-Mail BD'!A:A),"-")</f>
        <v>041.421.379/0001-90</v>
      </c>
      <c r="D308" s="2" t="str">
        <f t="shared" si="8"/>
        <v>41421379000190</v>
      </c>
      <c r="E308" s="2" t="str">
        <f t="shared" si="9"/>
        <v>41421379</v>
      </c>
      <c r="F308" s="8">
        <f>IF($A308=""," ",IF(_xlfn.MINIFS(tblDados[[Data do recebimento do e-mail]:[Data do recebimento do e-mail]],tblDados[[Razão Social]:[Razão Social]],$A308)=0,"NÃO APARECEU AINDA",_xlfn.MINIFS(tblDados[[Data do recebimento do e-mail]:[Data do recebimento do e-mail]],tblDados[[Razão Social]:[Razão Social]],$A308)))</f>
        <v>45679</v>
      </c>
      <c r="G308" s="8">
        <f>IF($A308=""," ",IF(_xlfn.MAXIFS(tblDados[[Data do recebimento do e-mail]:[Data do recebimento do e-mail]],tblDados[[Razão Social]:[Razão Social]],$A308)=0,"NÃO APARECEU AINDA",_xlfn.MAXIFS(tblDados[[Data do recebimento do e-mail]:[Data do recebimento do e-mail]],tblDados[[Razão Social]:[Razão Social]],$A308)))</f>
        <v>45773</v>
      </c>
    </row>
    <row r="309" spans="1:7" hidden="1" x14ac:dyDescent="0.25">
      <c r="A309" t="s">
        <v>271</v>
      </c>
      <c r="B309" t="s">
        <v>17</v>
      </c>
      <c r="C309" t="str">
        <f>IFERROR(_xlfn.XLOOKUP(A309,'E-Mail BD'!B:B,'E-Mail BD'!A:A),"-")</f>
        <v>044.470.678/0001-03</v>
      </c>
      <c r="D309" s="2" t="str">
        <f t="shared" si="8"/>
        <v>44470678000103</v>
      </c>
      <c r="E309" s="2" t="str">
        <f t="shared" si="9"/>
        <v>44470678</v>
      </c>
      <c r="F309" s="8">
        <f>IF($A309=""," ",IF(_xlfn.MINIFS(tblDados[[Data do recebimento do e-mail]:[Data do recebimento do e-mail]],tblDados[[Razão Social]:[Razão Social]],$A309)=0,"NÃO APARECEU AINDA",_xlfn.MINIFS(tblDados[[Data do recebimento do e-mail]:[Data do recebimento do e-mail]],tblDados[[Razão Social]:[Razão Social]],$A309)))</f>
        <v>45782</v>
      </c>
      <c r="G309" s="8">
        <f>IF($A309=""," ",IF(_xlfn.MAXIFS(tblDados[[Data do recebimento do e-mail]:[Data do recebimento do e-mail]],tblDados[[Razão Social]:[Razão Social]],$A309)=0,"NÃO APARECEU AINDA",_xlfn.MAXIFS(tblDados[[Data do recebimento do e-mail]:[Data do recebimento do e-mail]],tblDados[[Razão Social]:[Razão Social]],$A309)))</f>
        <v>46000</v>
      </c>
    </row>
    <row r="310" spans="1:7" hidden="1" x14ac:dyDescent="0.25">
      <c r="A310" t="s">
        <v>91</v>
      </c>
      <c r="B310" t="s">
        <v>16</v>
      </c>
      <c r="C310" t="str">
        <f>IFERROR(_xlfn.XLOOKUP(A310,'E-Mail BD'!B:B,'E-Mail BD'!A:A),"-")</f>
        <v>013.746.252/0001-06</v>
      </c>
      <c r="D310" s="2" t="str">
        <f t="shared" si="8"/>
        <v>13746252000106</v>
      </c>
      <c r="E310" s="2" t="str">
        <f t="shared" si="9"/>
        <v>13746252</v>
      </c>
      <c r="F310" s="8">
        <f>IF($A310=""," ",IF(_xlfn.MINIFS(tblDados[[Data do recebimento do e-mail]:[Data do recebimento do e-mail]],tblDados[[Razão Social]:[Razão Social]],$A310)=0,"NÃO APARECEU AINDA",_xlfn.MINIFS(tblDados[[Data do recebimento do e-mail]:[Data do recebimento do e-mail]],tblDados[[Razão Social]:[Razão Social]],$A310)))</f>
        <v>45537</v>
      </c>
      <c r="G310" s="8">
        <f>IF($A310=""," ",IF(_xlfn.MAXIFS(tblDados[[Data do recebimento do e-mail]:[Data do recebimento do e-mail]],tblDados[[Razão Social]:[Razão Social]],$A310)=0,"NÃO APARECEU AINDA",_xlfn.MAXIFS(tblDados[[Data do recebimento do e-mail]:[Data do recebimento do e-mail]],tblDados[[Razão Social]:[Razão Social]],$A310)))</f>
        <v>45743</v>
      </c>
    </row>
    <row r="311" spans="1:7" hidden="1" x14ac:dyDescent="0.25">
      <c r="A311" t="s">
        <v>77</v>
      </c>
      <c r="B311" t="s">
        <v>18</v>
      </c>
      <c r="C311" t="str">
        <f>IFERROR(_xlfn.XLOOKUP(A311,'E-Mail BD'!B:B,'E-Mail BD'!A:A),"-")</f>
        <v>038.110.780/0001-03</v>
      </c>
      <c r="D311" s="2" t="str">
        <f t="shared" si="8"/>
        <v>38110780000103</v>
      </c>
      <c r="E311" s="2" t="str">
        <f t="shared" si="9"/>
        <v>38110780</v>
      </c>
      <c r="F311" s="8">
        <f>IF($A311=""," ",IF(_xlfn.MINIFS(tblDados[[Data do recebimento do e-mail]:[Data do recebimento do e-mail]],tblDados[[Razão Social]:[Razão Social]],$A311)=0,"NÃO APARECEU AINDA",_xlfn.MINIFS(tblDados[[Data do recebimento do e-mail]:[Data do recebimento do e-mail]],tblDados[[Razão Social]:[Razão Social]],$A311)))</f>
        <v>45545</v>
      </c>
      <c r="G311" s="8">
        <f>IF($A311=""," ",IF(_xlfn.MAXIFS(tblDados[[Data do recebimento do e-mail]:[Data do recebimento do e-mail]],tblDados[[Razão Social]:[Razão Social]],$A311)=0,"NÃO APARECEU AINDA",_xlfn.MAXIFS(tblDados[[Data do recebimento do e-mail]:[Data do recebimento do e-mail]],tblDados[[Razão Social]:[Razão Social]],$A311)))</f>
        <v>45819</v>
      </c>
    </row>
    <row r="312" spans="1:7" hidden="1" x14ac:dyDescent="0.25">
      <c r="A312" t="s">
        <v>147</v>
      </c>
      <c r="B312" t="s">
        <v>13</v>
      </c>
      <c r="C312" t="str">
        <f>IFERROR(_xlfn.XLOOKUP(A312,'E-Mail BD'!B:B,'E-Mail BD'!A:A),"-")</f>
        <v>005.350.235/0001-27</v>
      </c>
      <c r="D312" s="2" t="str">
        <f t="shared" si="8"/>
        <v>05350235000127</v>
      </c>
      <c r="E312" s="2" t="str">
        <f t="shared" si="9"/>
        <v>05350235</v>
      </c>
      <c r="F312" s="8">
        <f>IF($A312=""," ",IF(_xlfn.MINIFS(tblDados[[Data do recebimento do e-mail]:[Data do recebimento do e-mail]],tblDados[[Razão Social]:[Razão Social]],$A312)=0,"NÃO APARECEU AINDA",_xlfn.MINIFS(tblDados[[Data do recebimento do e-mail]:[Data do recebimento do e-mail]],tblDados[[Razão Social]:[Razão Social]],$A312)))</f>
        <v>45562</v>
      </c>
      <c r="G312" s="8">
        <f>IF($A312=""," ",IF(_xlfn.MAXIFS(tblDados[[Data do recebimento do e-mail]:[Data do recebimento do e-mail]],tblDados[[Razão Social]:[Razão Social]],$A312)=0,"NÃO APARECEU AINDA",_xlfn.MAXIFS(tblDados[[Data do recebimento do e-mail]:[Data do recebimento do e-mail]],tblDados[[Razão Social]:[Razão Social]],$A312)))</f>
        <v>45962</v>
      </c>
    </row>
    <row r="313" spans="1:7" hidden="1" x14ac:dyDescent="0.25">
      <c r="A313" t="s">
        <v>208</v>
      </c>
      <c r="B313" t="s">
        <v>15</v>
      </c>
      <c r="C313" t="str">
        <f>IFERROR(_xlfn.XLOOKUP(A313,'E-Mail BD'!B:B,'E-Mail BD'!A:A),"-")</f>
        <v>037.143.334/0001-24</v>
      </c>
      <c r="D313" s="2" t="str">
        <f t="shared" si="8"/>
        <v>37143334000124</v>
      </c>
      <c r="E313" s="2" t="str">
        <f t="shared" si="9"/>
        <v>37143334</v>
      </c>
      <c r="F313" s="8">
        <f>IF($A313=""," ",IF(_xlfn.MINIFS(tblDados[[Data do recebimento do e-mail]:[Data do recebimento do e-mail]],tblDados[[Razão Social]:[Razão Social]],$A313)=0,"NÃO APARECEU AINDA",_xlfn.MINIFS(tblDados[[Data do recebimento do e-mail]:[Data do recebimento do e-mail]],tblDados[[Razão Social]:[Razão Social]],$A313)))</f>
        <v>45679</v>
      </c>
      <c r="G313" s="8">
        <f>IF($A313=""," ",IF(_xlfn.MAXIFS(tblDados[[Data do recebimento do e-mail]:[Data do recebimento do e-mail]],tblDados[[Razão Social]:[Razão Social]],$A313)=0,"NÃO APARECEU AINDA",_xlfn.MAXIFS(tblDados[[Data do recebimento do e-mail]:[Data do recebimento do e-mail]],tblDados[[Razão Social]:[Razão Social]],$A313)))</f>
        <v>45691</v>
      </c>
    </row>
    <row r="314" spans="1:7" hidden="1" x14ac:dyDescent="0.25">
      <c r="A314" t="s">
        <v>172</v>
      </c>
      <c r="B314" t="s">
        <v>4</v>
      </c>
      <c r="C314" t="str">
        <f>IFERROR(_xlfn.XLOOKUP(A314,'E-Mail BD'!B:B,'E-Mail BD'!A:A),"-")</f>
        <v>020.628.376/0001-52</v>
      </c>
      <c r="D314" s="2" t="str">
        <f t="shared" si="8"/>
        <v>20628376000152</v>
      </c>
      <c r="E314" s="2" t="str">
        <f t="shared" si="9"/>
        <v>20628376</v>
      </c>
      <c r="F314" s="8">
        <f>IF($A314=""," ",IF(_xlfn.MINIFS(tblDados[[Data do recebimento do e-mail]:[Data do recebimento do e-mail]],tblDados[[Razão Social]:[Razão Social]],$A314)=0,"NÃO APARECEU AINDA",_xlfn.MINIFS(tblDados[[Data do recebimento do e-mail]:[Data do recebimento do e-mail]],tblDados[[Razão Social]:[Razão Social]],$A314)))</f>
        <v>45586</v>
      </c>
      <c r="G314" s="8">
        <f>IF($A314=""," ",IF(_xlfn.MAXIFS(tblDados[[Data do recebimento do e-mail]:[Data do recebimento do e-mail]],tblDados[[Razão Social]:[Razão Social]],$A314)=0,"NÃO APARECEU AINDA",_xlfn.MAXIFS(tblDados[[Data do recebimento do e-mail]:[Data do recebimento do e-mail]],tblDados[[Razão Social]:[Razão Social]],$A314)))</f>
        <v>45586</v>
      </c>
    </row>
    <row r="315" spans="1:7" hidden="1" x14ac:dyDescent="0.25">
      <c r="A315" t="s">
        <v>140</v>
      </c>
      <c r="B315" t="s">
        <v>4</v>
      </c>
      <c r="C315" t="str">
        <f>IFERROR(_xlfn.XLOOKUP(A315,'E-Mail BD'!B:B,'E-Mail BD'!A:A),"-")</f>
        <v>020.628.376/0001-52</v>
      </c>
      <c r="D315" s="2" t="str">
        <f t="shared" si="8"/>
        <v>20628376000152</v>
      </c>
      <c r="E315" s="2" t="str">
        <f t="shared" si="9"/>
        <v>20628376</v>
      </c>
      <c r="F315" s="8">
        <f>IF($A315=""," ",IF(_xlfn.MINIFS(tblDados[[Data do recebimento do e-mail]:[Data do recebimento do e-mail]],tblDados[[Razão Social]:[Razão Social]],$A315)=0,"NÃO APARECEU AINDA",_xlfn.MINIFS(tblDados[[Data do recebimento do e-mail]:[Data do recebimento do e-mail]],tblDados[[Razão Social]:[Razão Social]],$A315)))</f>
        <v>45555</v>
      </c>
      <c r="G315" s="8">
        <f>IF($A315=""," ",IF(_xlfn.MAXIFS(tblDados[[Data do recebimento do e-mail]:[Data do recebimento do e-mail]],tblDados[[Razão Social]:[Razão Social]],$A315)=0,"NÃO APARECEU AINDA",_xlfn.MAXIFS(tblDados[[Data do recebimento do e-mail]:[Data do recebimento do e-mail]],tblDados[[Razão Social]:[Razão Social]],$A315)))</f>
        <v>45555</v>
      </c>
    </row>
    <row r="316" spans="1:7" hidden="1" x14ac:dyDescent="0.25">
      <c r="A316" t="s">
        <v>110</v>
      </c>
      <c r="B316" t="s">
        <v>39</v>
      </c>
      <c r="C316" t="str">
        <f>IFERROR(_xlfn.XLOOKUP(A316,'E-Mail BD'!B:B,'E-Mail BD'!A:A),"-")</f>
        <v>041.768.583/0001-82</v>
      </c>
      <c r="D316" s="2" t="str">
        <f t="shared" si="8"/>
        <v>41768583000182</v>
      </c>
      <c r="E316" s="2" t="str">
        <f t="shared" si="9"/>
        <v>41768583</v>
      </c>
      <c r="F316" s="8">
        <f>IF($A316=""," ",IF(_xlfn.MINIFS(tblDados[[Data do recebimento do e-mail]:[Data do recebimento do e-mail]],tblDados[[Razão Social]:[Razão Social]],$A316)=0,"NÃO APARECEU AINDA",_xlfn.MINIFS(tblDados[[Data do recebimento do e-mail]:[Data do recebimento do e-mail]],tblDados[[Razão Social]:[Razão Social]],$A316)))</f>
        <v>45541</v>
      </c>
      <c r="G316" s="8">
        <f>IF($A316=""," ",IF(_xlfn.MAXIFS(tblDados[[Data do recebimento do e-mail]:[Data do recebimento do e-mail]],tblDados[[Razão Social]:[Razão Social]],$A316)=0,"NÃO APARECEU AINDA",_xlfn.MAXIFS(tblDados[[Data do recebimento do e-mail]:[Data do recebimento do e-mail]],tblDados[[Razão Social]:[Razão Social]],$A316)))</f>
        <v>45587</v>
      </c>
    </row>
    <row r="317" spans="1:7" hidden="1" x14ac:dyDescent="0.25">
      <c r="A317" t="s">
        <v>224</v>
      </c>
      <c r="B317" t="s">
        <v>8</v>
      </c>
      <c r="C317" t="str">
        <f>IFERROR(_xlfn.XLOOKUP(A317,'E-Mail BD'!B:B,'E-Mail BD'!A:A),"-")</f>
        <v>049.218.819/0001-19</v>
      </c>
      <c r="D317" s="2" t="str">
        <f t="shared" si="8"/>
        <v>49218819000119</v>
      </c>
      <c r="E317" s="2" t="str">
        <f t="shared" si="9"/>
        <v>49218819</v>
      </c>
      <c r="F317" s="8">
        <f>IF($A317=""," ",IF(_xlfn.MINIFS(tblDados[[Data do recebimento do e-mail]:[Data do recebimento do e-mail]],tblDados[[Razão Social]:[Razão Social]],$A317)=0,"NÃO APARECEU AINDA",_xlfn.MINIFS(tblDados[[Data do recebimento do e-mail]:[Data do recebimento do e-mail]],tblDados[[Razão Social]:[Razão Social]],$A317)))</f>
        <v>45686</v>
      </c>
      <c r="G317" s="8">
        <f>IF($A317=""," ",IF(_xlfn.MAXIFS(tblDados[[Data do recebimento do e-mail]:[Data do recebimento do e-mail]],tblDados[[Razão Social]:[Razão Social]],$A317)=0,"NÃO APARECEU AINDA",_xlfn.MAXIFS(tblDados[[Data do recebimento do e-mail]:[Data do recebimento do e-mail]],tblDados[[Razão Social]:[Razão Social]],$A317)))</f>
        <v>45946</v>
      </c>
    </row>
    <row r="318" spans="1:7" hidden="1" x14ac:dyDescent="0.25">
      <c r="A318" t="s">
        <v>123</v>
      </c>
      <c r="B318" t="s">
        <v>4</v>
      </c>
      <c r="C318" t="str">
        <f>IFERROR(_xlfn.XLOOKUP(A318,'E-Mail BD'!B:B,'E-Mail BD'!A:A),"-")</f>
        <v>004.126.524/0001-84</v>
      </c>
      <c r="D318" s="2" t="str">
        <f t="shared" si="8"/>
        <v>04126524000184</v>
      </c>
      <c r="E318" s="2" t="str">
        <f t="shared" si="9"/>
        <v>04126524</v>
      </c>
      <c r="F318" s="8">
        <f>IF($A318=""," ",IF(_xlfn.MINIFS(tblDados[[Data do recebimento do e-mail]:[Data do recebimento do e-mail]],tblDados[[Razão Social]:[Razão Social]],$A318)=0,"NÃO APARECEU AINDA",_xlfn.MINIFS(tblDados[[Data do recebimento do e-mail]:[Data do recebimento do e-mail]],tblDados[[Razão Social]:[Razão Social]],$A318)))</f>
        <v>45540</v>
      </c>
      <c r="G318" s="8">
        <f>IF($A318=""," ",IF(_xlfn.MAXIFS(tblDados[[Data do recebimento do e-mail]:[Data do recebimento do e-mail]],tblDados[[Razão Social]:[Razão Social]],$A318)=0,"NÃO APARECEU AINDA",_xlfn.MAXIFS(tblDados[[Data do recebimento do e-mail]:[Data do recebimento do e-mail]],tblDados[[Razão Social]:[Razão Social]],$A318)))</f>
        <v>45926</v>
      </c>
    </row>
    <row r="319" spans="1:7" hidden="1" x14ac:dyDescent="0.25">
      <c r="A319" t="s">
        <v>117</v>
      </c>
      <c r="B319" t="s">
        <v>4</v>
      </c>
      <c r="C319" t="str">
        <f>IFERROR(_xlfn.XLOOKUP(A319,'E-Mail BD'!B:B,'E-Mail BD'!A:A),"-")</f>
        <v>006.107.454/0001-42</v>
      </c>
      <c r="D319" s="2" t="str">
        <f t="shared" si="8"/>
        <v>06107454000142</v>
      </c>
      <c r="E319" s="2" t="str">
        <f t="shared" si="9"/>
        <v>06107454</v>
      </c>
      <c r="F319" s="8">
        <f>IF($A319=""," ",IF(_xlfn.MINIFS(tblDados[[Data do recebimento do e-mail]:[Data do recebimento do e-mail]],tblDados[[Razão Social]:[Razão Social]],$A319)=0,"NÃO APARECEU AINDA",_xlfn.MINIFS(tblDados[[Data do recebimento do e-mail]:[Data do recebimento do e-mail]],tblDados[[Razão Social]:[Razão Social]],$A319)))</f>
        <v>45545</v>
      </c>
      <c r="G319" s="8">
        <f>IF($A319=""," ",IF(_xlfn.MAXIFS(tblDados[[Data do recebimento do e-mail]:[Data do recebimento do e-mail]],tblDados[[Razão Social]:[Razão Social]],$A319)=0,"NÃO APARECEU AINDA",_xlfn.MAXIFS(tblDados[[Data do recebimento do e-mail]:[Data do recebimento do e-mail]],tblDados[[Razão Social]:[Razão Social]],$A319)))</f>
        <v>45917</v>
      </c>
    </row>
    <row r="320" spans="1:7" hidden="1" x14ac:dyDescent="0.25">
      <c r="A320" t="s">
        <v>137</v>
      </c>
      <c r="B320" t="s">
        <v>17</v>
      </c>
      <c r="C320" t="str">
        <f>IFERROR(_xlfn.XLOOKUP(A320,'E-Mail BD'!B:B,'E-Mail BD'!A:A),"-")</f>
        <v>021.473.575/0001-00</v>
      </c>
      <c r="D320" s="2" t="str">
        <f t="shared" si="8"/>
        <v>21473575000100</v>
      </c>
      <c r="E320" s="2" t="str">
        <f t="shared" si="9"/>
        <v>21473575</v>
      </c>
      <c r="F320" s="8">
        <f>IF($A320=""," ",IF(_xlfn.MINIFS(tblDados[[Data do recebimento do e-mail]:[Data do recebimento do e-mail]],tblDados[[Razão Social]:[Razão Social]],$A320)=0,"NÃO APARECEU AINDA",_xlfn.MINIFS(tblDados[[Data do recebimento do e-mail]:[Data do recebimento do e-mail]],tblDados[[Razão Social]:[Razão Social]],$A320)))</f>
        <v>45553</v>
      </c>
      <c r="G320" s="8">
        <f>IF($A320=""," ",IF(_xlfn.MAXIFS(tblDados[[Data do recebimento do e-mail]:[Data do recebimento do e-mail]],tblDados[[Razão Social]:[Razão Social]],$A320)=0,"NÃO APARECEU AINDA",_xlfn.MAXIFS(tblDados[[Data do recebimento do e-mail]:[Data do recebimento do e-mail]],tblDados[[Razão Social]:[Razão Social]],$A320)))</f>
        <v>45743</v>
      </c>
    </row>
    <row r="321" spans="1:7" hidden="1" x14ac:dyDescent="0.25">
      <c r="A321" t="s">
        <v>550</v>
      </c>
      <c r="B321" t="s">
        <v>621</v>
      </c>
      <c r="C321" t="str">
        <f>IFERROR(_xlfn.XLOOKUP(A321,'E-Mail BD'!B:B,'E-Mail BD'!A:A),"-")</f>
        <v>008.196.295/0001-25</v>
      </c>
      <c r="D321" s="2" t="str">
        <f t="shared" ref="D321:D324" si="10">IF(RIGHT(SUBSTITUTE(SUBSTITUTE(SUBSTITUTE(C321,".",""),"/",""),"-",""),14)="","-",RIGHT(SUBSTITUTE(SUBSTITUTE(SUBSTITUTE(C321,".",""),"/",""),"-",""),14))</f>
        <v>08196295000125</v>
      </c>
      <c r="E321" s="2" t="str">
        <f t="shared" si="9"/>
        <v>08196295</v>
      </c>
      <c r="F321" s="8">
        <f>IF($A321=""," ",IF(_xlfn.MINIFS(tblDados[[Data do recebimento do e-mail]:[Data do recebimento do e-mail]],tblDados[[Razão Social]:[Razão Social]],$A321)=0,"NÃO APARECEU AINDA",_xlfn.MINIFS(tblDados[[Data do recebimento do e-mail]:[Data do recebimento do e-mail]],tblDados[[Razão Social]:[Razão Social]],$A321)))</f>
        <v>45839</v>
      </c>
      <c r="G321" s="8">
        <f>IF($A321=""," ",IF(_xlfn.MAXIFS(tblDados[[Data do recebimento do e-mail]:[Data do recebimento do e-mail]],tblDados[[Razão Social]:[Razão Social]],$A321)=0,"NÃO APARECEU AINDA",_xlfn.MAXIFS(tblDados[[Data do recebimento do e-mail]:[Data do recebimento do e-mail]],tblDados[[Razão Social]:[Razão Social]],$A321)))</f>
        <v>45933</v>
      </c>
    </row>
    <row r="322" spans="1:7" hidden="1" x14ac:dyDescent="0.25">
      <c r="A322" t="s">
        <v>55</v>
      </c>
      <c r="B322" t="s">
        <v>7</v>
      </c>
      <c r="C322" t="str">
        <f>IFERROR(_xlfn.XLOOKUP(A322,'E-Mail BD'!B:B,'E-Mail BD'!A:A),"-")</f>
        <v>012.520.791/0001-60</v>
      </c>
      <c r="D322" s="2" t="str">
        <f t="shared" si="10"/>
        <v>12520791000160</v>
      </c>
      <c r="E322" s="2" t="str">
        <f t="shared" si="9"/>
        <v>12520791</v>
      </c>
      <c r="F322" s="8">
        <f>IF($A322=""," ",IF(_xlfn.MINIFS(tblDados[[Data do recebimento do e-mail]:[Data do recebimento do e-mail]],tblDados[[Razão Social]:[Razão Social]],$A322)=0,"NÃO APARECEU AINDA",_xlfn.MINIFS(tblDados[[Data do recebimento do e-mail]:[Data do recebimento do e-mail]],tblDados[[Razão Social]:[Razão Social]],$A322)))</f>
        <v>45537</v>
      </c>
      <c r="G322" s="8">
        <f>IF($A322=""," ",IF(_xlfn.MAXIFS(tblDados[[Data do recebimento do e-mail]:[Data do recebimento do e-mail]],tblDados[[Razão Social]:[Razão Social]],$A322)=0,"NÃO APARECEU AINDA",_xlfn.MAXIFS(tblDados[[Data do recebimento do e-mail]:[Data do recebimento do e-mail]],tblDados[[Razão Social]:[Razão Social]],$A322)))</f>
        <v>45959</v>
      </c>
    </row>
    <row r="323" spans="1:7" hidden="1" x14ac:dyDescent="0.25">
      <c r="A323" t="s">
        <v>129</v>
      </c>
      <c r="B323" t="s">
        <v>4</v>
      </c>
      <c r="C323" t="str">
        <f>IFERROR(_xlfn.XLOOKUP(A323,'E-Mail BD'!B:B,'E-Mail BD'!A:A),"-")</f>
        <v>023.911.356/0001-82</v>
      </c>
      <c r="D323" s="2" t="str">
        <f t="shared" si="10"/>
        <v>23911356000182</v>
      </c>
      <c r="E323" s="2" t="str">
        <f t="shared" ref="E323:E360" si="11">LEFT($D323,8)</f>
        <v>23911356</v>
      </c>
      <c r="F323" s="8">
        <f>IF($A323=""," ",IF(_xlfn.MINIFS(tblDados[[Data do recebimento do e-mail]:[Data do recebimento do e-mail]],tblDados[[Razão Social]:[Razão Social]],$A323)=0,"NÃO APARECEU AINDA",_xlfn.MINIFS(tblDados[[Data do recebimento do e-mail]:[Data do recebimento do e-mail]],tblDados[[Razão Social]:[Razão Social]],$A323)))</f>
        <v>45551</v>
      </c>
      <c r="G323" s="8">
        <f>IF($A323=""," ",IF(_xlfn.MAXIFS(tblDados[[Data do recebimento do e-mail]:[Data do recebimento do e-mail]],tblDados[[Razão Social]:[Razão Social]],$A323)=0,"NÃO APARECEU AINDA",_xlfn.MAXIFS(tblDados[[Data do recebimento do e-mail]:[Data do recebimento do e-mail]],tblDados[[Razão Social]:[Razão Social]],$A323)))</f>
        <v>45745</v>
      </c>
    </row>
    <row r="324" spans="1:7" hidden="1" x14ac:dyDescent="0.25">
      <c r="A324" t="s">
        <v>558</v>
      </c>
      <c r="B324" t="s">
        <v>25</v>
      </c>
      <c r="C324" t="str">
        <f>IFERROR(_xlfn.XLOOKUP(A324,'E-Mail BD'!B:B,'E-Mail BD'!A:A),"-")</f>
        <v>081.081.028/0001-00</v>
      </c>
      <c r="D324" s="2" t="str">
        <f t="shared" si="10"/>
        <v>81081028000100</v>
      </c>
      <c r="E324" s="2" t="str">
        <f t="shared" si="11"/>
        <v>81081028</v>
      </c>
      <c r="F324" s="8">
        <f>IF($A324=""," ",IF(_xlfn.MINIFS(tblDados[[Data do recebimento do e-mail]:[Data do recebimento do e-mail]],tblDados[[Razão Social]:[Razão Social]],$A324)=0,"NÃO APARECEU AINDA",_xlfn.MINIFS(tblDados[[Data do recebimento do e-mail]:[Data do recebimento do e-mail]],tblDados[[Razão Social]:[Razão Social]],$A324)))</f>
        <v>45853</v>
      </c>
      <c r="G324" s="8">
        <f>IF($A324=""," ",IF(_xlfn.MAXIFS(tblDados[[Data do recebimento do e-mail]:[Data do recebimento do e-mail]],tblDados[[Razão Social]:[Razão Social]],$A324)=0,"NÃO APARECEU AINDA",_xlfn.MAXIFS(tblDados[[Data do recebimento do e-mail]:[Data do recebimento do e-mail]],tblDados[[Razão Social]:[Razão Social]],$A324)))</f>
        <v>45853</v>
      </c>
    </row>
    <row r="325" spans="1:7" hidden="1" x14ac:dyDescent="0.25">
      <c r="A325" t="s">
        <v>659</v>
      </c>
      <c r="B325" t="s">
        <v>4</v>
      </c>
      <c r="C325" t="str">
        <f>IFERROR(_xlfn.XLOOKUP(A325,'E-Mail BD'!B:B,'E-Mail BD'!A:A),"-")</f>
        <v>038.161.686/0001-75</v>
      </c>
      <c r="D325" s="2" t="str">
        <f t="shared" ref="D325:D326" si="12">IF(RIGHT(SUBSTITUTE(SUBSTITUTE(SUBSTITUTE(C325,".",""),"/",""),"-",""),14)="","-",RIGHT(SUBSTITUTE(SUBSTITUTE(SUBSTITUTE(C325,".",""),"/",""),"-",""),14))</f>
        <v>38161686000175</v>
      </c>
      <c r="E325" s="2" t="str">
        <f t="shared" si="11"/>
        <v>38161686</v>
      </c>
      <c r="F325" s="8">
        <f>IF($A325=""," ",IF(_xlfn.MINIFS(tblDados[[Data do recebimento do e-mail]:[Data do recebimento do e-mail]],tblDados[[Razão Social]:[Razão Social]],$A325)=0,"NÃO APARECEU AINDA",_xlfn.MINIFS(tblDados[[Data do recebimento do e-mail]:[Data do recebimento do e-mail]],tblDados[[Razão Social]:[Razão Social]],$A325)))</f>
        <v>45895</v>
      </c>
      <c r="G325" s="8">
        <f>IF($A325=""," ",IF(_xlfn.MAXIFS(tblDados[[Data do recebimento do e-mail]:[Data do recebimento do e-mail]],tblDados[[Razão Social]:[Razão Social]],$A325)=0,"NÃO APARECEU AINDA",_xlfn.MAXIFS(tblDados[[Data do recebimento do e-mail]:[Data do recebimento do e-mail]],tblDados[[Razão Social]:[Razão Social]],$A325)))</f>
        <v>45997</v>
      </c>
    </row>
    <row r="326" spans="1:7" hidden="1" x14ac:dyDescent="0.25">
      <c r="A326" t="s">
        <v>664</v>
      </c>
      <c r="B326" t="s">
        <v>4</v>
      </c>
      <c r="C326" t="str">
        <f>IFERROR(_xlfn.XLOOKUP(A326,'E-Mail BD'!B:B,'E-Mail BD'!A:A),"-")</f>
        <v>013.285.987/0001-80</v>
      </c>
      <c r="D326" s="2" t="str">
        <f t="shared" si="12"/>
        <v>13285987000180</v>
      </c>
      <c r="E326" s="2" t="str">
        <f t="shared" si="11"/>
        <v>13285987</v>
      </c>
      <c r="F326" s="8">
        <f>IF($A326=""," ",IF(_xlfn.MINIFS(tblDados[[Data do recebimento do e-mail]:[Data do recebimento do e-mail]],tblDados[[Razão Social]:[Razão Social]],$A326)=0,"NÃO APARECEU AINDA",_xlfn.MINIFS(tblDados[[Data do recebimento do e-mail]:[Data do recebimento do e-mail]],tblDados[[Razão Social]:[Razão Social]],$A326)))</f>
        <v>45911</v>
      </c>
      <c r="G326" s="8">
        <f>IF($A326=""," ",IF(_xlfn.MAXIFS(tblDados[[Data do recebimento do e-mail]:[Data do recebimento do e-mail]],tblDados[[Razão Social]:[Razão Social]],$A326)=0,"NÃO APARECEU AINDA",_xlfn.MAXIFS(tblDados[[Data do recebimento do e-mail]:[Data do recebimento do e-mail]],tblDados[[Razão Social]:[Razão Social]],$A326)))</f>
        <v>45987</v>
      </c>
    </row>
    <row r="327" spans="1:7" x14ac:dyDescent="0.25">
      <c r="A327" t="s">
        <v>666</v>
      </c>
      <c r="B327" t="s">
        <v>22</v>
      </c>
      <c r="C327" t="str">
        <f>IFERROR(_xlfn.XLOOKUP(A327,'E-Mail BD'!B:B,'E-Mail BD'!A:A),"-")</f>
        <v>000.482.073/0001-67</v>
      </c>
      <c r="D327" s="2" t="str">
        <f t="shared" ref="D327" si="13">IF(RIGHT(SUBSTITUTE(SUBSTITUTE(SUBSTITUTE(C327,".",""),"/",""),"-",""),14)="","-",RIGHT(SUBSTITUTE(SUBSTITUTE(SUBSTITUTE(C327,".",""),"/",""),"-",""),14))</f>
        <v>00482073000167</v>
      </c>
      <c r="E327" s="2" t="str">
        <f t="shared" si="11"/>
        <v>00482073</v>
      </c>
      <c r="F327" s="8">
        <f>IF($A327=""," ",IF(_xlfn.MINIFS(tblDados[[Data do recebimento do e-mail]:[Data do recebimento do e-mail]],tblDados[[Razão Social]:[Razão Social]],$A327)=0,"NÃO APARECEU AINDA",_xlfn.MINIFS(tblDados[[Data do recebimento do e-mail]:[Data do recebimento do e-mail]],tblDados[[Razão Social]:[Razão Social]],$A327)))</f>
        <v>45912</v>
      </c>
      <c r="G327" s="8">
        <f>IF($A327=""," ",IF(_xlfn.MAXIFS(tblDados[[Data do recebimento do e-mail]:[Data do recebimento do e-mail]],tblDados[[Razão Social]:[Razão Social]],$A327)=0,"NÃO APARECEU AINDA",_xlfn.MAXIFS(tblDados[[Data do recebimento do e-mail]:[Data do recebimento do e-mail]],tblDados[[Razão Social]:[Razão Social]],$A327)))</f>
        <v>46002</v>
      </c>
    </row>
    <row r="328" spans="1:7" hidden="1" x14ac:dyDescent="0.25">
      <c r="A328" t="s">
        <v>671</v>
      </c>
      <c r="B328" t="s">
        <v>672</v>
      </c>
      <c r="C328" t="str">
        <f>IFERROR(_xlfn.XLOOKUP(A328,'E-Mail BD'!B:B,'E-Mail BD'!A:A),"-")</f>
        <v>008.235.193/0001-71</v>
      </c>
      <c r="D328" s="2" t="str">
        <f t="shared" ref="D328:D330" si="14">IF(RIGHT(SUBSTITUTE(SUBSTITUTE(SUBSTITUTE(C328,".",""),"/",""),"-",""),14)="","-",RIGHT(SUBSTITUTE(SUBSTITUTE(SUBSTITUTE(C328,".",""),"/",""),"-",""),14))</f>
        <v>08235193000171</v>
      </c>
      <c r="E328" s="2" t="str">
        <f t="shared" si="11"/>
        <v>08235193</v>
      </c>
      <c r="F328" s="8">
        <f>IF($A328=""," ",IF(_xlfn.MINIFS(tblDados[[Data do recebimento do e-mail]:[Data do recebimento do e-mail]],tblDados[[Razão Social]:[Razão Social]],$A328)=0,"NÃO APARECEU AINDA",_xlfn.MINIFS(tblDados[[Data do recebimento do e-mail]:[Data do recebimento do e-mail]],tblDados[[Razão Social]:[Razão Social]],$A328)))</f>
        <v>45917</v>
      </c>
      <c r="G328" s="8">
        <f>IF($A328=""," ",IF(_xlfn.MAXIFS(tblDados[[Data do recebimento do e-mail]:[Data do recebimento do e-mail]],tblDados[[Razão Social]:[Razão Social]],$A328)=0,"NÃO APARECEU AINDA",_xlfn.MAXIFS(tblDados[[Data do recebimento do e-mail]:[Data do recebimento do e-mail]],tblDados[[Razão Social]:[Razão Social]],$A328)))</f>
        <v>45925</v>
      </c>
    </row>
    <row r="329" spans="1:7" hidden="1" x14ac:dyDescent="0.25">
      <c r="A329" t="s">
        <v>673</v>
      </c>
      <c r="B329" t="s">
        <v>24</v>
      </c>
      <c r="C329" t="str">
        <f>IFERROR(_xlfn.XLOOKUP(A329,'E-Mail BD'!B:B,'E-Mail BD'!A:A),"-")</f>
        <v>043.564.107/0001-75</v>
      </c>
      <c r="D329" s="2" t="str">
        <f t="shared" si="14"/>
        <v>43564107000175</v>
      </c>
      <c r="E329" s="2" t="str">
        <f t="shared" si="11"/>
        <v>43564107</v>
      </c>
      <c r="F329" s="8">
        <f>IF($A329=""," ",IF(_xlfn.MINIFS(tblDados[[Data do recebimento do e-mail]:[Data do recebimento do e-mail]],tblDados[[Razão Social]:[Razão Social]],$A329)=0,"NÃO APARECEU AINDA",_xlfn.MINIFS(tblDados[[Data do recebimento do e-mail]:[Data do recebimento do e-mail]],tblDados[[Razão Social]:[Razão Social]],$A329)))</f>
        <v>45918</v>
      </c>
      <c r="G329" s="8">
        <f>IF($A329=""," ",IF(_xlfn.MAXIFS(tblDados[[Data do recebimento do e-mail]:[Data do recebimento do e-mail]],tblDados[[Razão Social]:[Razão Social]],$A329)=0,"NÃO APARECEU AINDA",_xlfn.MAXIFS(tblDados[[Data do recebimento do e-mail]:[Data do recebimento do e-mail]],tblDados[[Razão Social]:[Razão Social]],$A329)))</f>
        <v>45918</v>
      </c>
    </row>
    <row r="330" spans="1:7" hidden="1" x14ac:dyDescent="0.25">
      <c r="A330" t="s">
        <v>675</v>
      </c>
      <c r="B330" t="s">
        <v>4</v>
      </c>
      <c r="C330" t="str">
        <f>IFERROR(_xlfn.XLOOKUP(A330,'E-Mail BD'!B:B,'E-Mail BD'!A:A),"-")</f>
        <v>058.450.437/0001-07</v>
      </c>
      <c r="D330" s="2" t="str">
        <f t="shared" si="14"/>
        <v>58450437000107</v>
      </c>
      <c r="E330" s="2" t="str">
        <f t="shared" si="11"/>
        <v>58450437</v>
      </c>
      <c r="F330" s="8">
        <f>IF($A330=""," ",IF(_xlfn.MINIFS(tblDados[[Data do recebimento do e-mail]:[Data do recebimento do e-mail]],tblDados[[Razão Social]:[Razão Social]],$A330)=0,"NÃO APARECEU AINDA",_xlfn.MINIFS(tblDados[[Data do recebimento do e-mail]:[Data do recebimento do e-mail]],tblDados[[Razão Social]:[Razão Social]],$A330)))</f>
        <v>45918</v>
      </c>
      <c r="G330" s="8">
        <f>IF($A330=""," ",IF(_xlfn.MAXIFS(tblDados[[Data do recebimento do e-mail]:[Data do recebimento do e-mail]],tblDados[[Razão Social]:[Razão Social]],$A330)=0,"NÃO APARECEU AINDA",_xlfn.MAXIFS(tblDados[[Data do recebimento do e-mail]:[Data do recebimento do e-mail]],tblDados[[Razão Social]:[Razão Social]],$A330)))</f>
        <v>45918</v>
      </c>
    </row>
    <row r="331" spans="1:7" hidden="1" x14ac:dyDescent="0.25">
      <c r="A331" t="s">
        <v>684</v>
      </c>
      <c r="B331" t="s">
        <v>27</v>
      </c>
      <c r="C331" t="str">
        <f>IFERROR(_xlfn.XLOOKUP(A331,'E-Mail BD'!B:B,'E-Mail BD'!A:A),"-")</f>
        <v>061.008.540/0001-06</v>
      </c>
      <c r="D331" s="2" t="str">
        <f t="shared" ref="D331" si="15">IF(RIGHT(SUBSTITUTE(SUBSTITUTE(SUBSTITUTE(C331,".",""),"/",""),"-",""),14)="","-",RIGHT(SUBSTITUTE(SUBSTITUTE(SUBSTITUTE(C331,".",""),"/",""),"-",""),14))</f>
        <v>61008540000106</v>
      </c>
      <c r="E331" s="2" t="str">
        <f t="shared" si="11"/>
        <v>61008540</v>
      </c>
      <c r="F331" s="8">
        <f>IF($A331=""," ",IF(_xlfn.MINIFS(tblDados[[Data do recebimento do e-mail]:[Data do recebimento do e-mail]],tblDados[[Razão Social]:[Razão Social]],$A331)=0,"NÃO APARECEU AINDA",_xlfn.MINIFS(tblDados[[Data do recebimento do e-mail]:[Data do recebimento do e-mail]],tblDados[[Razão Social]:[Razão Social]],$A331)))</f>
        <v>45930</v>
      </c>
      <c r="G331" s="8">
        <f>IF($A331=""," ",IF(_xlfn.MAXIFS(tblDados[[Data do recebimento do e-mail]:[Data do recebimento do e-mail]],tblDados[[Razão Social]:[Razão Social]],$A331)=0,"NÃO APARECEU AINDA",_xlfn.MAXIFS(tblDados[[Data do recebimento do e-mail]:[Data do recebimento do e-mail]],tblDados[[Razão Social]:[Razão Social]],$A331)))</f>
        <v>46003</v>
      </c>
    </row>
    <row r="332" spans="1:7" hidden="1" x14ac:dyDescent="0.25">
      <c r="A332" t="s">
        <v>685</v>
      </c>
      <c r="B332" t="s">
        <v>22</v>
      </c>
      <c r="C332" t="str">
        <f>IFERROR(_xlfn.XLOOKUP(A332,'E-Mail BD'!B:B,'E-Mail BD'!A:A),"-")</f>
        <v>007.181.473/0001-81</v>
      </c>
      <c r="D332" s="2" t="str">
        <f t="shared" ref="D332:D333" si="16">IF(RIGHT(SUBSTITUTE(SUBSTITUTE(SUBSTITUTE(C332,".",""),"/",""),"-",""),14)="","-",RIGHT(SUBSTITUTE(SUBSTITUTE(SUBSTITUTE(C332,".",""),"/",""),"-",""),14))</f>
        <v>07181473000181</v>
      </c>
      <c r="E332" s="2" t="str">
        <f t="shared" si="11"/>
        <v>07181473</v>
      </c>
      <c r="F332" s="8">
        <f>IF($A332=""," ",IF(_xlfn.MINIFS(tblDados[[Data do recebimento do e-mail]:[Data do recebimento do e-mail]],tblDados[[Razão Social]:[Razão Social]],$A332)=0,"NÃO APARECEU AINDA",_xlfn.MINIFS(tblDados[[Data do recebimento do e-mail]:[Data do recebimento do e-mail]],tblDados[[Razão Social]:[Razão Social]],$A332)))</f>
        <v>45931</v>
      </c>
      <c r="G332" s="8">
        <f>IF($A332=""," ",IF(_xlfn.MAXIFS(tblDados[[Data do recebimento do e-mail]:[Data do recebimento do e-mail]],tblDados[[Razão Social]:[Razão Social]],$A332)=0,"NÃO APARECEU AINDA",_xlfn.MAXIFS(tblDados[[Data do recebimento do e-mail]:[Data do recebimento do e-mail]],tblDados[[Razão Social]:[Razão Social]],$A332)))</f>
        <v>45983</v>
      </c>
    </row>
    <row r="333" spans="1:7" hidden="1" x14ac:dyDescent="0.25">
      <c r="A333" t="s">
        <v>689</v>
      </c>
      <c r="B333" t="s">
        <v>4</v>
      </c>
      <c r="C333" t="str">
        <f>IFERROR(_xlfn.XLOOKUP(A333,'E-Mail BD'!B:B,'E-Mail BD'!A:A),"-")</f>
        <v>004.126.524/0001-84</v>
      </c>
      <c r="D333" s="2" t="str">
        <f t="shared" si="16"/>
        <v>04126524000184</v>
      </c>
      <c r="E333" s="2" t="str">
        <f t="shared" si="11"/>
        <v>04126524</v>
      </c>
      <c r="F333" s="8">
        <f>IF($A333=""," ",IF(_xlfn.MINIFS(tblDados[[Data do recebimento do e-mail]:[Data do recebimento do e-mail]],tblDados[[Razão Social]:[Razão Social]],$A333)=0,"NÃO APARECEU AINDA",_xlfn.MINIFS(tblDados[[Data do recebimento do e-mail]:[Data do recebimento do e-mail]],tblDados[[Razão Social]:[Razão Social]],$A333)))</f>
        <v>45934</v>
      </c>
      <c r="G333" s="8">
        <f>IF($A333=""," ",IF(_xlfn.MAXIFS(tblDados[[Data do recebimento do e-mail]:[Data do recebimento do e-mail]],tblDados[[Razão Social]:[Razão Social]],$A333)=0,"NÃO APARECEU AINDA",_xlfn.MAXIFS(tblDados[[Data do recebimento do e-mail]:[Data do recebimento do e-mail]],tblDados[[Razão Social]:[Razão Social]],$A333)))</f>
        <v>45990</v>
      </c>
    </row>
    <row r="334" spans="1:7" hidden="1" x14ac:dyDescent="0.25">
      <c r="A334" t="s">
        <v>683</v>
      </c>
      <c r="B334" t="s">
        <v>24</v>
      </c>
      <c r="C334" t="str">
        <f>IFERROR(_xlfn.XLOOKUP(A334,'E-Mail BD'!B:B,'E-Mail BD'!A:A),"-")</f>
        <v>021.090.123/0001-30</v>
      </c>
      <c r="D334" s="2" t="str">
        <f t="shared" ref="D334" si="17">IF(RIGHT(SUBSTITUTE(SUBSTITUTE(SUBSTITUTE(C334,".",""),"/",""),"-",""),14)="","-",RIGHT(SUBSTITUTE(SUBSTITUTE(SUBSTITUTE(C334,".",""),"/",""),"-",""),14))</f>
        <v>21090123000130</v>
      </c>
      <c r="E334" s="2" t="str">
        <f t="shared" si="11"/>
        <v>21090123</v>
      </c>
      <c r="F334" s="8">
        <f>IF($A334=""," ",IF(_xlfn.MINIFS(tblDados[[Data do recebimento do e-mail]:[Data do recebimento do e-mail]],tblDados[[Razão Social]:[Razão Social]],$A334)=0,"NÃO APARECEU AINDA",_xlfn.MINIFS(tblDados[[Data do recebimento do e-mail]:[Data do recebimento do e-mail]],tblDados[[Razão Social]:[Razão Social]],$A334)))</f>
        <v>45934</v>
      </c>
      <c r="G334" s="8">
        <f>IF($A334=""," ",IF(_xlfn.MAXIFS(tblDados[[Data do recebimento do e-mail]:[Data do recebimento do e-mail]],tblDados[[Razão Social]:[Razão Social]],$A334)=0,"NÃO APARECEU AINDA",_xlfn.MAXIFS(tblDados[[Data do recebimento do e-mail]:[Data do recebimento do e-mail]],tblDados[[Razão Social]:[Razão Social]],$A334)))</f>
        <v>45960</v>
      </c>
    </row>
    <row r="335" spans="1:7" hidden="1" x14ac:dyDescent="0.25">
      <c r="A335" t="s">
        <v>682</v>
      </c>
      <c r="B335" t="s">
        <v>5</v>
      </c>
      <c r="C335" t="str">
        <f>IFERROR(_xlfn.XLOOKUP(A335,'E-Mail BD'!B:B,'E-Mail BD'!A:A),"-")</f>
        <v>001.542.005/0001-09</v>
      </c>
      <c r="D335" s="2" t="str">
        <f t="shared" ref="D335:D336" si="18">IF(RIGHT(SUBSTITUTE(SUBSTITUTE(SUBSTITUTE(C335,".",""),"/",""),"-",""),14)="","-",RIGHT(SUBSTITUTE(SUBSTITUTE(SUBSTITUTE(C335,".",""),"/",""),"-",""),14))</f>
        <v>01542005000109</v>
      </c>
      <c r="E335" s="2" t="str">
        <f t="shared" si="11"/>
        <v>01542005</v>
      </c>
      <c r="F335" s="8">
        <f>IF($A335=""," ",IF(_xlfn.MINIFS(tblDados[[Data do recebimento do e-mail]:[Data do recebimento do e-mail]],tblDados[[Razão Social]:[Razão Social]],$A335)=0,"NÃO APARECEU AINDA",_xlfn.MINIFS(tblDados[[Data do recebimento do e-mail]:[Data do recebimento do e-mail]],tblDados[[Razão Social]:[Razão Social]],$A335)))</f>
        <v>45937</v>
      </c>
      <c r="G335" s="8">
        <f>IF($A335=""," ",IF(_xlfn.MAXIFS(tblDados[[Data do recebimento do e-mail]:[Data do recebimento do e-mail]],tblDados[[Razão Social]:[Razão Social]],$A335)=0,"NÃO APARECEU AINDA",_xlfn.MAXIFS(tblDados[[Data do recebimento do e-mail]:[Data do recebimento do e-mail]],tblDados[[Razão Social]:[Razão Social]],$A335)))</f>
        <v>45976</v>
      </c>
    </row>
    <row r="336" spans="1:7" hidden="1" x14ac:dyDescent="0.25">
      <c r="A336" t="s">
        <v>679</v>
      </c>
      <c r="B336" t="s">
        <v>12</v>
      </c>
      <c r="C336" t="str">
        <f>IFERROR(_xlfn.XLOOKUP(A336,'E-Mail BD'!B:B,'E-Mail BD'!A:A),"-")</f>
        <v>-</v>
      </c>
      <c r="D336" s="2" t="str">
        <f t="shared" si="18"/>
        <v>-</v>
      </c>
      <c r="E336" s="2" t="str">
        <f t="shared" si="11"/>
        <v>-</v>
      </c>
      <c r="F336" s="8" t="str">
        <f>IF($A336=""," ",IF(_xlfn.MINIFS(tblDados[[Data do recebimento do e-mail]:[Data do recebimento do e-mail]],tblDados[[Razão Social]:[Razão Social]],$A336)=0,"NÃO APARECEU AINDA",_xlfn.MINIFS(tblDados[[Data do recebimento do e-mail]:[Data do recebimento do e-mail]],tblDados[[Razão Social]:[Razão Social]],$A336)))</f>
        <v>NÃO APARECEU AINDA</v>
      </c>
      <c r="G336" s="8" t="str">
        <f>IF($A336=""," ",IF(_xlfn.MAXIFS(tblDados[[Data do recebimento do e-mail]:[Data do recebimento do e-mail]],tblDados[[Razão Social]:[Razão Social]],$A336)=0,"NÃO APARECEU AINDA",_xlfn.MAXIFS(tblDados[[Data do recebimento do e-mail]:[Data do recebimento do e-mail]],tblDados[[Razão Social]:[Razão Social]],$A336)))</f>
        <v>NÃO APARECEU AINDA</v>
      </c>
    </row>
    <row r="337" spans="1:7" hidden="1" x14ac:dyDescent="0.25">
      <c r="A337" t="s">
        <v>695</v>
      </c>
      <c r="B337" t="s">
        <v>22</v>
      </c>
      <c r="C337" t="str">
        <f>IFERROR(_xlfn.XLOOKUP(A337,'E-Mail BD'!B:B,'E-Mail BD'!A:A),"-")</f>
        <v>001.866.592/0001-91</v>
      </c>
      <c r="D337" s="2" t="str">
        <f t="shared" ref="D337:D338" si="19">IF(RIGHT(SUBSTITUTE(SUBSTITUTE(SUBSTITUTE(C337,".",""),"/",""),"-",""),14)="","-",RIGHT(SUBSTITUTE(SUBSTITUTE(SUBSTITUTE(C337,".",""),"/",""),"-",""),14))</f>
        <v>01866592000191</v>
      </c>
      <c r="E337" s="2" t="str">
        <f t="shared" si="11"/>
        <v>01866592</v>
      </c>
      <c r="F337" s="8">
        <f>IF($A337=""," ",IF(_xlfn.MINIFS(tblDados[[Data do recebimento do e-mail]:[Data do recebimento do e-mail]],tblDados[[Razão Social]:[Razão Social]],$A337)=0,"NÃO APARECEU AINDA",_xlfn.MINIFS(tblDados[[Data do recebimento do e-mail]:[Data do recebimento do e-mail]],tblDados[[Razão Social]:[Razão Social]],$A337)))</f>
        <v>45940</v>
      </c>
      <c r="G337" s="8">
        <f>IF($A337=""," ",IF(_xlfn.MAXIFS(tblDados[[Data do recebimento do e-mail]:[Data do recebimento do e-mail]],tblDados[[Razão Social]:[Razão Social]],$A337)=0,"NÃO APARECEU AINDA",_xlfn.MAXIFS(tblDados[[Data do recebimento do e-mail]:[Data do recebimento do e-mail]],tblDados[[Razão Social]:[Razão Social]],$A337)))</f>
        <v>45986</v>
      </c>
    </row>
    <row r="338" spans="1:7" hidden="1" x14ac:dyDescent="0.25">
      <c r="A338" t="s">
        <v>699</v>
      </c>
      <c r="B338" t="s">
        <v>618</v>
      </c>
      <c r="C338" t="str">
        <f>IFERROR(_xlfn.XLOOKUP(A338,'E-Mail BD'!B:B,'E-Mail BD'!A:A),"-")</f>
        <v>012.520.929/0001-20</v>
      </c>
      <c r="D338" s="2" t="str">
        <f t="shared" si="19"/>
        <v>12520929000120</v>
      </c>
      <c r="E338" s="2" t="str">
        <f t="shared" si="11"/>
        <v>12520929</v>
      </c>
      <c r="F338" s="8">
        <f>IF($A338=""," ",IF(_xlfn.MINIFS(tblDados[[Data do recebimento do e-mail]:[Data do recebimento do e-mail]],tblDados[[Razão Social]:[Razão Social]],$A338)=0,"NÃO APARECEU AINDA",_xlfn.MINIFS(tblDados[[Data do recebimento do e-mail]:[Data do recebimento do e-mail]],tblDados[[Razão Social]:[Razão Social]],$A338)))</f>
        <v>45941</v>
      </c>
      <c r="G338" s="8">
        <f>IF($A338=""," ",IF(_xlfn.MAXIFS(tblDados[[Data do recebimento do e-mail]:[Data do recebimento do e-mail]],tblDados[[Razão Social]:[Razão Social]],$A338)=0,"NÃO APARECEU AINDA",_xlfn.MAXIFS(tblDados[[Data do recebimento do e-mail]:[Data do recebimento do e-mail]],tblDados[[Razão Social]:[Razão Social]],$A338)))</f>
        <v>46001</v>
      </c>
    </row>
    <row r="339" spans="1:7" hidden="1" x14ac:dyDescent="0.25">
      <c r="A339" t="s">
        <v>680</v>
      </c>
      <c r="B339" t="s">
        <v>16</v>
      </c>
      <c r="C339" t="str">
        <f>IFERROR(_xlfn.XLOOKUP(A339,'E-Mail BD'!B:B,'E-Mail BD'!A:A),"-")</f>
        <v>008.641.174/0001-45</v>
      </c>
      <c r="D339" s="2" t="str">
        <f t="shared" ref="D339" si="20">IF(RIGHT(SUBSTITUTE(SUBSTITUTE(SUBSTITUTE(C339,".",""),"/",""),"-",""),14)="","-",RIGHT(SUBSTITUTE(SUBSTITUTE(SUBSTITUTE(C339,".",""),"/",""),"-",""),14))</f>
        <v>08641174000145</v>
      </c>
      <c r="E339" s="2" t="str">
        <f t="shared" si="11"/>
        <v>08641174</v>
      </c>
      <c r="F339" s="8">
        <f>IF($A339=""," ",IF(_xlfn.MINIFS(tblDados[[Data do recebimento do e-mail]:[Data do recebimento do e-mail]],tblDados[[Razão Social]:[Razão Social]],$A339)=0,"NÃO APARECEU AINDA",_xlfn.MINIFS(tblDados[[Data do recebimento do e-mail]:[Data do recebimento do e-mail]],tblDados[[Razão Social]:[Razão Social]],$A339)))</f>
        <v>45941</v>
      </c>
      <c r="G339" s="8">
        <f>IF($A339=""," ",IF(_xlfn.MAXIFS(tblDados[[Data do recebimento do e-mail]:[Data do recebimento do e-mail]],tblDados[[Razão Social]:[Razão Social]],$A339)=0,"NÃO APARECEU AINDA",_xlfn.MAXIFS(tblDados[[Data do recebimento do e-mail]:[Data do recebimento do e-mail]],tblDados[[Razão Social]:[Razão Social]],$A339)))</f>
        <v>46003</v>
      </c>
    </row>
    <row r="340" spans="1:7" hidden="1" x14ac:dyDescent="0.25">
      <c r="A340" t="s">
        <v>696</v>
      </c>
      <c r="B340" t="s">
        <v>21</v>
      </c>
      <c r="C340" t="str">
        <f>IFERROR(_xlfn.XLOOKUP(A340,'E-Mail BD'!B:B,'E-Mail BD'!A:A),"-")</f>
        <v>030.646.968/0001-50</v>
      </c>
      <c r="D340" s="2" t="str">
        <f t="shared" ref="D340" si="21">IF(RIGHT(SUBSTITUTE(SUBSTITUTE(SUBSTITUTE(C340,".",""),"/",""),"-",""),14)="","-",RIGHT(SUBSTITUTE(SUBSTITUTE(SUBSTITUTE(C340,".",""),"/",""),"-",""),14))</f>
        <v>30646968000150</v>
      </c>
      <c r="E340" s="2" t="str">
        <f t="shared" si="11"/>
        <v>30646968</v>
      </c>
      <c r="F340" s="8">
        <f>IF($A340=""," ",IF(_xlfn.MINIFS(tblDados[[Data do recebimento do e-mail]:[Data do recebimento do e-mail]],tblDados[[Razão Social]:[Razão Social]],$A340)=0,"NÃO APARECEU AINDA",_xlfn.MINIFS(tblDados[[Data do recebimento do e-mail]:[Data do recebimento do e-mail]],tblDados[[Razão Social]:[Razão Social]],$A340)))</f>
        <v>45944</v>
      </c>
      <c r="G340" s="8">
        <f>IF($A340=""," ",IF(_xlfn.MAXIFS(tblDados[[Data do recebimento do e-mail]:[Data do recebimento do e-mail]],tblDados[[Razão Social]:[Razão Social]],$A340)=0,"NÃO APARECEU AINDA",_xlfn.MAXIFS(tblDados[[Data do recebimento do e-mail]:[Data do recebimento do e-mail]],tblDados[[Razão Social]:[Razão Social]],$A340)))</f>
        <v>46003</v>
      </c>
    </row>
    <row r="341" spans="1:7" hidden="1" x14ac:dyDescent="0.25">
      <c r="A341" t="s">
        <v>693</v>
      </c>
      <c r="B341" t="s">
        <v>22</v>
      </c>
      <c r="C341" t="str">
        <f>IFERROR(_xlfn.XLOOKUP(A341,'E-Mail BD'!B:B,'E-Mail BD'!A:A),"-")</f>
        <v>017.604.060/0001-16</v>
      </c>
      <c r="D341" s="2" t="str">
        <f t="shared" ref="D341" si="22">IF(RIGHT(SUBSTITUTE(SUBSTITUTE(SUBSTITUTE(C341,".",""),"/",""),"-",""),14)="","-",RIGHT(SUBSTITUTE(SUBSTITUTE(SUBSTITUTE(C341,".",""),"/",""),"-",""),14))</f>
        <v>17604060000116</v>
      </c>
      <c r="E341" s="2" t="str">
        <f t="shared" si="11"/>
        <v>17604060</v>
      </c>
      <c r="F341" s="8">
        <f>IF($A341=""," ",IF(_xlfn.MINIFS(tblDados[[Data do recebimento do e-mail]:[Data do recebimento do e-mail]],tblDados[[Razão Social]:[Razão Social]],$A341)=0,"NÃO APARECEU AINDA",_xlfn.MINIFS(tblDados[[Data do recebimento do e-mail]:[Data do recebimento do e-mail]],tblDados[[Razão Social]:[Razão Social]],$A341)))</f>
        <v>45944</v>
      </c>
      <c r="G341" s="8">
        <f>IF($A341=""," ",IF(_xlfn.MAXIFS(tblDados[[Data do recebimento do e-mail]:[Data do recebimento do e-mail]],tblDados[[Razão Social]:[Razão Social]],$A341)=0,"NÃO APARECEU AINDA",_xlfn.MAXIFS(tblDados[[Data do recebimento do e-mail]:[Data do recebimento do e-mail]],tblDados[[Razão Social]:[Razão Social]],$A341)))</f>
        <v>46003</v>
      </c>
    </row>
    <row r="342" spans="1:7" hidden="1" x14ac:dyDescent="0.25">
      <c r="A342" t="s">
        <v>681</v>
      </c>
      <c r="B342" t="s">
        <v>4</v>
      </c>
      <c r="C342" t="str">
        <f>IFERROR(_xlfn.XLOOKUP(A342,'E-Mail BD'!B:B,'E-Mail BD'!A:A),"-")</f>
        <v>020.693.553/0001-84</v>
      </c>
      <c r="D342" s="2" t="str">
        <f t="shared" ref="D342" si="23">IF(RIGHT(SUBSTITUTE(SUBSTITUTE(SUBSTITUTE(C342,".",""),"/",""),"-",""),14)="","-",RIGHT(SUBSTITUTE(SUBSTITUTE(SUBSTITUTE(C342,".",""),"/",""),"-",""),14))</f>
        <v>20693553000184</v>
      </c>
      <c r="E342" s="2" t="str">
        <f t="shared" si="11"/>
        <v>20693553</v>
      </c>
      <c r="F342" s="8">
        <f>IF($A342=""," ",IF(_xlfn.MINIFS(tblDados[[Data do recebimento do e-mail]:[Data do recebimento do e-mail]],tblDados[[Razão Social]:[Razão Social]],$A342)=0,"NÃO APARECEU AINDA",_xlfn.MINIFS(tblDados[[Data do recebimento do e-mail]:[Data do recebimento do e-mail]],tblDados[[Razão Social]:[Razão Social]],$A342)))</f>
        <v>45946</v>
      </c>
      <c r="G342" s="8">
        <f>IF($A342=""," ",IF(_xlfn.MAXIFS(tblDados[[Data do recebimento do e-mail]:[Data do recebimento do e-mail]],tblDados[[Razão Social]:[Razão Social]],$A342)=0,"NÃO APARECEU AINDA",_xlfn.MAXIFS(tblDados[[Data do recebimento do e-mail]:[Data do recebimento do e-mail]],tblDados[[Razão Social]:[Razão Social]],$A342)))</f>
        <v>45947</v>
      </c>
    </row>
    <row r="343" spans="1:7" hidden="1" x14ac:dyDescent="0.25">
      <c r="A343" t="s">
        <v>705</v>
      </c>
      <c r="B343" t="s">
        <v>711</v>
      </c>
      <c r="C343" t="str">
        <f>IFERROR(_xlfn.XLOOKUP(A343,'E-Mail BD'!B:B,'E-Mail BD'!A:A),"-")</f>
        <v>041.868.686/0001-14</v>
      </c>
      <c r="D343" s="2" t="str">
        <f t="shared" ref="D343" si="24">IF(RIGHT(SUBSTITUTE(SUBSTITUTE(SUBSTITUTE(C343,".",""),"/",""),"-",""),14)="","-",RIGHT(SUBSTITUTE(SUBSTITUTE(SUBSTITUTE(C343,".",""),"/",""),"-",""),14))</f>
        <v>41868686000114</v>
      </c>
      <c r="E343" s="2" t="str">
        <f t="shared" si="11"/>
        <v>41868686</v>
      </c>
      <c r="F343" s="8">
        <f>IF($A343=""," ",IF(_xlfn.MINIFS(tblDados[[Data do recebimento do e-mail]:[Data do recebimento do e-mail]],tblDados[[Razão Social]:[Razão Social]],$A343)=0,"NÃO APARECEU AINDA",_xlfn.MINIFS(tblDados[[Data do recebimento do e-mail]:[Data do recebimento do e-mail]],tblDados[[Razão Social]:[Razão Social]],$A343)))</f>
        <v>45947</v>
      </c>
      <c r="G343" s="8">
        <f>IF($A343=""," ",IF(_xlfn.MAXIFS(tblDados[[Data do recebimento do e-mail]:[Data do recebimento do e-mail]],tblDados[[Razão Social]:[Razão Social]],$A343)=0,"NÃO APARECEU AINDA",_xlfn.MAXIFS(tblDados[[Data do recebimento do e-mail]:[Data do recebimento do e-mail]],tblDados[[Razão Social]:[Razão Social]],$A343)))</f>
        <v>45987</v>
      </c>
    </row>
    <row r="344" spans="1:7" hidden="1" x14ac:dyDescent="0.25">
      <c r="A344" t="s">
        <v>706</v>
      </c>
      <c r="B344" t="s">
        <v>4</v>
      </c>
      <c r="C344" t="str">
        <f>IFERROR(_xlfn.XLOOKUP(A344,'E-Mail BD'!B:B,'E-Mail BD'!A:A),"-")</f>
        <v>035.345.406/0001-90</v>
      </c>
      <c r="D344" s="2" t="str">
        <f t="shared" ref="D344" si="25">IF(RIGHT(SUBSTITUTE(SUBSTITUTE(SUBSTITUTE(C344,".",""),"/",""),"-",""),14)="","-",RIGHT(SUBSTITUTE(SUBSTITUTE(SUBSTITUTE(C344,".",""),"/",""),"-",""),14))</f>
        <v>35345406000190</v>
      </c>
      <c r="E344" s="2" t="str">
        <f t="shared" si="11"/>
        <v>35345406</v>
      </c>
      <c r="F344" s="8">
        <f>IF($A344=""," ",IF(_xlfn.MINIFS(tblDados[[Data do recebimento do e-mail]:[Data do recebimento do e-mail]],tblDados[[Razão Social]:[Razão Social]],$A344)=0,"NÃO APARECEU AINDA",_xlfn.MINIFS(tblDados[[Data do recebimento do e-mail]:[Data do recebimento do e-mail]],tblDados[[Razão Social]:[Razão Social]],$A344)))</f>
        <v>45948</v>
      </c>
      <c r="G344" s="8">
        <f>IF($A344=""," ",IF(_xlfn.MAXIFS(tblDados[[Data do recebimento do e-mail]:[Data do recebimento do e-mail]],tblDados[[Razão Social]:[Razão Social]],$A344)=0,"NÃO APARECEU AINDA",_xlfn.MAXIFS(tblDados[[Data do recebimento do e-mail]:[Data do recebimento do e-mail]],tblDados[[Razão Social]:[Razão Social]],$A344)))</f>
        <v>45951</v>
      </c>
    </row>
    <row r="345" spans="1:7" hidden="1" x14ac:dyDescent="0.25">
      <c r="A345" t="s">
        <v>707</v>
      </c>
      <c r="B345" t="s">
        <v>22</v>
      </c>
      <c r="C345" t="str">
        <f>IFERROR(_xlfn.XLOOKUP(A345,'E-Mail BD'!B:B,'E-Mail BD'!A:A),"-")</f>
        <v>052.432.693/0001-95</v>
      </c>
      <c r="D345" s="2" t="str">
        <f t="shared" ref="D345:D346" si="26">IF(RIGHT(SUBSTITUTE(SUBSTITUTE(SUBSTITUTE(C345,".",""),"/",""),"-",""),14)="","-",RIGHT(SUBSTITUTE(SUBSTITUTE(SUBSTITUTE(C345,".",""),"/",""),"-",""),14))</f>
        <v>52432693000195</v>
      </c>
      <c r="E345" s="2" t="str">
        <f t="shared" si="11"/>
        <v>52432693</v>
      </c>
      <c r="F345" s="8">
        <f>IF($A345=""," ",IF(_xlfn.MINIFS(tblDados[[Data do recebimento do e-mail]:[Data do recebimento do e-mail]],tblDados[[Razão Social]:[Razão Social]],$A345)=0,"NÃO APARECEU AINDA",_xlfn.MINIFS(tblDados[[Data do recebimento do e-mail]:[Data do recebimento do e-mail]],tblDados[[Razão Social]:[Razão Social]],$A345)))</f>
        <v>45948</v>
      </c>
      <c r="G345" s="8">
        <f>IF($A345=""," ",IF(_xlfn.MAXIFS(tblDados[[Data do recebimento do e-mail]:[Data do recebimento do e-mail]],tblDados[[Razão Social]:[Razão Social]],$A345)=0,"NÃO APARECEU AINDA",_xlfn.MAXIFS(tblDados[[Data do recebimento do e-mail]:[Data do recebimento do e-mail]],tblDados[[Razão Social]:[Razão Social]],$A345)))</f>
        <v>45948</v>
      </c>
    </row>
    <row r="346" spans="1:7" hidden="1" x14ac:dyDescent="0.25">
      <c r="A346" t="s">
        <v>709</v>
      </c>
      <c r="B346" t="s">
        <v>612</v>
      </c>
      <c r="C346" t="str">
        <f>IFERROR(_xlfn.XLOOKUP(A346,'E-Mail BD'!B:B,'E-Mail BD'!A:A),"-")</f>
        <v>025.788.035/0001-68</v>
      </c>
      <c r="D346" s="2" t="str">
        <f t="shared" si="26"/>
        <v>25788035000168</v>
      </c>
      <c r="E346" s="2" t="str">
        <f t="shared" si="11"/>
        <v>25788035</v>
      </c>
      <c r="F346" s="8">
        <f>IF($A346=""," ",IF(_xlfn.MINIFS(tblDados[[Data do recebimento do e-mail]:[Data do recebimento do e-mail]],tblDados[[Razão Social]:[Razão Social]],$A346)=0,"NÃO APARECEU AINDA",_xlfn.MINIFS(tblDados[[Data do recebimento do e-mail]:[Data do recebimento do e-mail]],tblDados[[Razão Social]:[Razão Social]],$A346)))</f>
        <v>45948</v>
      </c>
      <c r="G346" s="8">
        <f>IF($A346=""," ",IF(_xlfn.MAXIFS(tblDados[[Data do recebimento do e-mail]:[Data do recebimento do e-mail]],tblDados[[Razão Social]:[Razão Social]],$A346)=0,"NÃO APARECEU AINDA",_xlfn.MAXIFS(tblDados[[Data do recebimento do e-mail]:[Data do recebimento do e-mail]],tblDados[[Razão Social]:[Razão Social]],$A346)))</f>
        <v>46002</v>
      </c>
    </row>
    <row r="347" spans="1:7" hidden="1" x14ac:dyDescent="0.25">
      <c r="A347" t="s">
        <v>694</v>
      </c>
      <c r="B347" t="s">
        <v>24</v>
      </c>
      <c r="C347" t="str">
        <f>IFERROR(_xlfn.XLOOKUP(A347,'E-Mail BD'!B:B,'E-Mail BD'!A:A),"-")</f>
        <v>032.677.058/0001-60</v>
      </c>
      <c r="D347" s="2" t="str">
        <f t="shared" ref="D347" si="27">IF(RIGHT(SUBSTITUTE(SUBSTITUTE(SUBSTITUTE(C347,".",""),"/",""),"-",""),14)="","-",RIGHT(SUBSTITUTE(SUBSTITUTE(SUBSTITUTE(C347,".",""),"/",""),"-",""),14))</f>
        <v>32677058000160</v>
      </c>
      <c r="E347" s="2" t="str">
        <f t="shared" si="11"/>
        <v>32677058</v>
      </c>
      <c r="F347" s="8">
        <f>IF($A347=""," ",IF(_xlfn.MINIFS(tblDados[[Data do recebimento do e-mail]:[Data do recebimento do e-mail]],tblDados[[Razão Social]:[Razão Social]],$A347)=0,"NÃO APARECEU AINDA",_xlfn.MINIFS(tblDados[[Data do recebimento do e-mail]:[Data do recebimento do e-mail]],tblDados[[Razão Social]:[Razão Social]],$A347)))</f>
        <v>45953</v>
      </c>
      <c r="G347" s="8">
        <f>IF($A347=""," ",IF(_xlfn.MAXIFS(tblDados[[Data do recebimento do e-mail]:[Data do recebimento do e-mail]],tblDados[[Razão Social]:[Razão Social]],$A347)=0,"NÃO APARECEU AINDA",_xlfn.MAXIFS(tblDados[[Data do recebimento do e-mail]:[Data do recebimento do e-mail]],tblDados[[Razão Social]:[Razão Social]],$A347)))</f>
        <v>45995</v>
      </c>
    </row>
    <row r="348" spans="1:7" hidden="1" x14ac:dyDescent="0.25">
      <c r="A348" t="s">
        <v>715</v>
      </c>
      <c r="B348" t="s">
        <v>16</v>
      </c>
      <c r="C348" t="str">
        <f>IFERROR(_xlfn.XLOOKUP(A348,'E-Mail BD'!B:B,'E-Mail BD'!A:A),"-")</f>
        <v>007.345.063/0001-29</v>
      </c>
      <c r="D348" s="2" t="str">
        <f t="shared" ref="D348" si="28">IF(RIGHT(SUBSTITUTE(SUBSTITUTE(SUBSTITUTE(C348,".",""),"/",""),"-",""),14)="","-",RIGHT(SUBSTITUTE(SUBSTITUTE(SUBSTITUTE(C348,".",""),"/",""),"-",""),14))</f>
        <v>07345063000129</v>
      </c>
      <c r="E348" s="2" t="str">
        <f t="shared" si="11"/>
        <v>07345063</v>
      </c>
      <c r="F348" s="8">
        <f>IF($A348=""," ",IF(_xlfn.MINIFS(tblDados[[Data do recebimento do e-mail]:[Data do recebimento do e-mail]],tblDados[[Razão Social]:[Razão Social]],$A348)=0,"NÃO APARECEU AINDA",_xlfn.MINIFS(tblDados[[Data do recebimento do e-mail]:[Data do recebimento do e-mail]],tblDados[[Razão Social]:[Razão Social]],$A348)))</f>
        <v>45959</v>
      </c>
      <c r="G348" s="8">
        <f>IF($A348=""," ",IF(_xlfn.MAXIFS(tblDados[[Data do recebimento do e-mail]:[Data do recebimento do e-mail]],tblDados[[Razão Social]:[Razão Social]],$A348)=0,"NÃO APARECEU AINDA",_xlfn.MAXIFS(tblDados[[Data do recebimento do e-mail]:[Data do recebimento do e-mail]],tblDados[[Razão Social]:[Razão Social]],$A348)))</f>
        <v>46002</v>
      </c>
    </row>
    <row r="349" spans="1:7" hidden="1" x14ac:dyDescent="0.25">
      <c r="A349" t="s">
        <v>719</v>
      </c>
      <c r="B349" t="s">
        <v>24</v>
      </c>
      <c r="C349" t="str">
        <f>IFERROR(_xlfn.XLOOKUP(A349,'E-Mail BD'!B:B,'E-Mail BD'!A:A),"-")</f>
        <v>023.768.603/0001-33</v>
      </c>
      <c r="D349" s="2" t="str">
        <f t="shared" ref="D349" si="29">IF(RIGHT(SUBSTITUTE(SUBSTITUTE(SUBSTITUTE(C349,".",""),"/",""),"-",""),14)="","-",RIGHT(SUBSTITUTE(SUBSTITUTE(SUBSTITUTE(C349,".",""),"/",""),"-",""),14))</f>
        <v>23768603000133</v>
      </c>
      <c r="E349" s="2" t="str">
        <f t="shared" si="11"/>
        <v>23768603</v>
      </c>
      <c r="F349" s="8">
        <f>IF($A349=""," ",IF(_xlfn.MINIFS(tblDados[[Data do recebimento do e-mail]:[Data do recebimento do e-mail]],tblDados[[Razão Social]:[Razão Social]],$A349)=0,"NÃO APARECEU AINDA",_xlfn.MINIFS(tblDados[[Data do recebimento do e-mail]:[Data do recebimento do e-mail]],tblDados[[Razão Social]:[Razão Social]],$A349)))</f>
        <v>45965</v>
      </c>
      <c r="G349" s="8">
        <f>IF($A349=""," ",IF(_xlfn.MAXIFS(tblDados[[Data do recebimento do e-mail]:[Data do recebimento do e-mail]],tblDados[[Razão Social]:[Razão Social]],$A349)=0,"NÃO APARECEU AINDA",_xlfn.MAXIFS(tblDados[[Data do recebimento do e-mail]:[Data do recebimento do e-mail]],tblDados[[Razão Social]:[Razão Social]],$A349)))</f>
        <v>46001</v>
      </c>
    </row>
    <row r="350" spans="1:7" hidden="1" x14ac:dyDescent="0.25">
      <c r="A350" t="s">
        <v>717</v>
      </c>
      <c r="B350" t="s">
        <v>21</v>
      </c>
      <c r="C350" t="str">
        <f>IFERROR(_xlfn.XLOOKUP(A350,'E-Mail BD'!B:B,'E-Mail BD'!A:A),"-")</f>
        <v>030.642.101/0001-27</v>
      </c>
      <c r="D350" s="2" t="str">
        <f t="shared" ref="D350" si="30">IF(RIGHT(SUBSTITUTE(SUBSTITUTE(SUBSTITUTE(C350,".",""),"/",""),"-",""),14)="","-",RIGHT(SUBSTITUTE(SUBSTITUTE(SUBSTITUTE(C350,".",""),"/",""),"-",""),14))</f>
        <v>30642101000127</v>
      </c>
      <c r="E350" s="2" t="str">
        <f t="shared" si="11"/>
        <v>30642101</v>
      </c>
      <c r="F350" s="8">
        <f>IF($A350=""," ",IF(_xlfn.MINIFS(tblDados[[Data do recebimento do e-mail]:[Data do recebimento do e-mail]],tblDados[[Razão Social]:[Razão Social]],$A350)=0,"NÃO APARECEU AINDA",_xlfn.MINIFS(tblDados[[Data do recebimento do e-mail]:[Data do recebimento do e-mail]],tblDados[[Razão Social]:[Razão Social]],$A350)))</f>
        <v>45965</v>
      </c>
      <c r="G350" s="8">
        <f>IF($A350=""," ",IF(_xlfn.MAXIFS(tblDados[[Data do recebimento do e-mail]:[Data do recebimento do e-mail]],tblDados[[Razão Social]:[Razão Social]],$A350)=0,"NÃO APARECEU AINDA",_xlfn.MAXIFS(tblDados[[Data do recebimento do e-mail]:[Data do recebimento do e-mail]],tblDados[[Razão Social]:[Razão Social]],$A350)))</f>
        <v>46003</v>
      </c>
    </row>
    <row r="351" spans="1:7" hidden="1" x14ac:dyDescent="0.25">
      <c r="A351" t="s">
        <v>721</v>
      </c>
      <c r="B351" t="s">
        <v>16</v>
      </c>
      <c r="C351" t="str">
        <f>IFERROR(_xlfn.XLOOKUP(A351,'E-Mail BD'!B:B,'E-Mail BD'!A:A),"-")</f>
        <v>010.872.600/0001-01</v>
      </c>
      <c r="D351" s="2" t="str">
        <f t="shared" ref="D351" si="31">IF(RIGHT(SUBSTITUTE(SUBSTITUTE(SUBSTITUTE(C351,".",""),"/",""),"-",""),14)="","-",RIGHT(SUBSTITUTE(SUBSTITUTE(SUBSTITUTE(C351,".",""),"/",""),"-",""),14))</f>
        <v>10872600000101</v>
      </c>
      <c r="E351" s="2" t="str">
        <f t="shared" si="11"/>
        <v>10872600</v>
      </c>
      <c r="F351" s="8">
        <f>IF($A351=""," ",IF(_xlfn.MINIFS(tblDados[[Data do recebimento do e-mail]:[Data do recebimento do e-mail]],tblDados[[Razão Social]:[Razão Social]],$A351)=0,"NÃO APARECEU AINDA",_xlfn.MINIFS(tblDados[[Data do recebimento do e-mail]:[Data do recebimento do e-mail]],tblDados[[Razão Social]:[Razão Social]],$A351)))</f>
        <v>45965</v>
      </c>
      <c r="G351" s="8">
        <f>IF($A351=""," ",IF(_xlfn.MAXIFS(tblDados[[Data do recebimento do e-mail]:[Data do recebimento do e-mail]],tblDados[[Razão Social]:[Razão Social]],$A351)=0,"NÃO APARECEU AINDA",_xlfn.MAXIFS(tblDados[[Data do recebimento do e-mail]:[Data do recebimento do e-mail]],tblDados[[Razão Social]:[Razão Social]],$A351)))</f>
        <v>45972</v>
      </c>
    </row>
    <row r="352" spans="1:7" hidden="1" x14ac:dyDescent="0.25">
      <c r="A352" t="s">
        <v>723</v>
      </c>
      <c r="B352" t="s">
        <v>16</v>
      </c>
      <c r="C352" t="str">
        <f>IFERROR(_xlfn.XLOOKUP(A352,'E-Mail BD'!B:B,'E-Mail BD'!A:A),"-")</f>
        <v>023.007.673/0001-79</v>
      </c>
      <c r="D352" s="2" t="str">
        <f t="shared" ref="D352" si="32">IF(RIGHT(SUBSTITUTE(SUBSTITUTE(SUBSTITUTE(C352,".",""),"/",""),"-",""),14)="","-",RIGHT(SUBSTITUTE(SUBSTITUTE(SUBSTITUTE(C352,".",""),"/",""),"-",""),14))</f>
        <v>23007673000179</v>
      </c>
      <c r="E352" s="2" t="str">
        <f t="shared" si="11"/>
        <v>23007673</v>
      </c>
      <c r="F352" s="8">
        <f>IF($A352=""," ",IF(_xlfn.MINIFS(tblDados[[Data do recebimento do e-mail]:[Data do recebimento do e-mail]],tblDados[[Razão Social]:[Razão Social]],$A352)=0,"NÃO APARECEU AINDA",_xlfn.MINIFS(tblDados[[Data do recebimento do e-mail]:[Data do recebimento do e-mail]],tblDados[[Razão Social]:[Razão Social]],$A352)))</f>
        <v>45966</v>
      </c>
      <c r="G352" s="8">
        <f>IF($A352=""," ",IF(_xlfn.MAXIFS(tblDados[[Data do recebimento do e-mail]:[Data do recebimento do e-mail]],tblDados[[Razão Social]:[Razão Social]],$A352)=0,"NÃO APARECEU AINDA",_xlfn.MAXIFS(tblDados[[Data do recebimento do e-mail]:[Data do recebimento do e-mail]],tblDados[[Razão Social]:[Razão Social]],$A352)))</f>
        <v>46003</v>
      </c>
    </row>
    <row r="353" spans="1:7" hidden="1" x14ac:dyDescent="0.25">
      <c r="A353" t="s">
        <v>725</v>
      </c>
      <c r="B353" t="s">
        <v>21</v>
      </c>
      <c r="C353" t="str">
        <f>IFERROR(_xlfn.XLOOKUP(A353,'E-Mail BD'!B:B,'E-Mail BD'!A:A),"-")</f>
        <v>004.646.495/0001-81</v>
      </c>
      <c r="D353" s="2" t="str">
        <f t="shared" ref="D353" si="33">IF(RIGHT(SUBSTITUTE(SUBSTITUTE(SUBSTITUTE(C353,".",""),"/",""),"-",""),14)="","-",RIGHT(SUBSTITUTE(SUBSTITUTE(SUBSTITUTE(C353,".",""),"/",""),"-",""),14))</f>
        <v>04646495000181</v>
      </c>
      <c r="E353" s="2" t="str">
        <f t="shared" si="11"/>
        <v>04646495</v>
      </c>
      <c r="F353" s="8">
        <f>IF($A353=""," ",IF(_xlfn.MINIFS(tblDados[[Data do recebimento do e-mail]:[Data do recebimento do e-mail]],tblDados[[Razão Social]:[Razão Social]],$A353)=0,"NÃO APARECEU AINDA",_xlfn.MINIFS(tblDados[[Data do recebimento do e-mail]:[Data do recebimento do e-mail]],tblDados[[Razão Social]:[Razão Social]],$A353)))</f>
        <v>45972</v>
      </c>
      <c r="G353" s="8">
        <f>IF($A353=""," ",IF(_xlfn.MAXIFS(tblDados[[Data do recebimento do e-mail]:[Data do recebimento do e-mail]],tblDados[[Razão Social]:[Razão Social]],$A353)=0,"NÃO APARECEU AINDA",_xlfn.MAXIFS(tblDados[[Data do recebimento do e-mail]:[Data do recebimento do e-mail]],tblDados[[Razão Social]:[Razão Social]],$A353)))</f>
        <v>46001</v>
      </c>
    </row>
    <row r="354" spans="1:7" hidden="1" x14ac:dyDescent="0.25">
      <c r="A354" t="s">
        <v>727</v>
      </c>
      <c r="B354" t="s">
        <v>16</v>
      </c>
      <c r="C354" t="str">
        <f>IFERROR(_xlfn.XLOOKUP(A354,'E-Mail BD'!B:B,'E-Mail BD'!A:A),"-")</f>
        <v>012.915.648/0001-77</v>
      </c>
      <c r="D354" s="2" t="str">
        <f t="shared" ref="D354" si="34">IF(RIGHT(SUBSTITUTE(SUBSTITUTE(SUBSTITUTE(C354,".",""),"/",""),"-",""),14)="","-",RIGHT(SUBSTITUTE(SUBSTITUTE(SUBSTITUTE(C354,".",""),"/",""),"-",""),14))</f>
        <v>12915648000177</v>
      </c>
      <c r="E354" s="2" t="str">
        <f t="shared" si="11"/>
        <v>12915648</v>
      </c>
      <c r="F354" s="8">
        <f>IF($A354=""," ",IF(_xlfn.MINIFS(tblDados[[Data do recebimento do e-mail]:[Data do recebimento do e-mail]],tblDados[[Razão Social]:[Razão Social]],$A354)=0,"NÃO APARECEU AINDA",_xlfn.MINIFS(tblDados[[Data do recebimento do e-mail]:[Data do recebimento do e-mail]],tblDados[[Razão Social]:[Razão Social]],$A354)))</f>
        <v>45976</v>
      </c>
      <c r="G354" s="8">
        <f>IF($A354=""," ",IF(_xlfn.MAXIFS(tblDados[[Data do recebimento do e-mail]:[Data do recebimento do e-mail]],tblDados[[Razão Social]:[Razão Social]],$A354)=0,"NÃO APARECEU AINDA",_xlfn.MAXIFS(tblDados[[Data do recebimento do e-mail]:[Data do recebimento do e-mail]],tblDados[[Razão Social]:[Razão Social]],$A354)))</f>
        <v>46003</v>
      </c>
    </row>
    <row r="355" spans="1:7" hidden="1" x14ac:dyDescent="0.25">
      <c r="A355" t="s">
        <v>729</v>
      </c>
      <c r="B355" t="s">
        <v>4</v>
      </c>
      <c r="C355" t="str">
        <f>IFERROR(_xlfn.XLOOKUP(A355,'E-Mail BD'!B:B,'E-Mail BD'!A:A),"-")</f>
        <v>052.718.364/0001-05</v>
      </c>
      <c r="D355" s="2" t="str">
        <f t="shared" ref="D355" si="35">IF(RIGHT(SUBSTITUTE(SUBSTITUTE(SUBSTITUTE(C355,".",""),"/",""),"-",""),14)="","-",RIGHT(SUBSTITUTE(SUBSTITUTE(SUBSTITUTE(C355,".",""),"/",""),"-",""),14))</f>
        <v>52718364000105</v>
      </c>
      <c r="E355" s="2" t="str">
        <f t="shared" si="11"/>
        <v>52718364</v>
      </c>
      <c r="F355" s="8">
        <f>IF($A355=""," ",IF(_xlfn.MINIFS(tblDados[[Data do recebimento do e-mail]:[Data do recebimento do e-mail]],tblDados[[Razão Social]:[Razão Social]],$A355)=0,"NÃO APARECEU AINDA",_xlfn.MINIFS(tblDados[[Data do recebimento do e-mail]:[Data do recebimento do e-mail]],tblDados[[Razão Social]:[Razão Social]],$A355)))</f>
        <v>45976</v>
      </c>
      <c r="G355" s="8">
        <f>IF($A355=""," ",IF(_xlfn.MAXIFS(tblDados[[Data do recebimento do e-mail]:[Data do recebimento do e-mail]],tblDados[[Razão Social]:[Razão Social]],$A355)=0,"NÃO APARECEU AINDA",_xlfn.MAXIFS(tblDados[[Data do recebimento do e-mail]:[Data do recebimento do e-mail]],tblDados[[Razão Social]:[Razão Social]],$A355)))</f>
        <v>46002</v>
      </c>
    </row>
    <row r="356" spans="1:7" hidden="1" x14ac:dyDescent="0.25">
      <c r="A356" t="s">
        <v>731</v>
      </c>
      <c r="B356" t="s">
        <v>618</v>
      </c>
      <c r="C356" t="str">
        <f>IFERROR(_xlfn.XLOOKUP(A356,'E-Mail BD'!B:B,'E-Mail BD'!A:A),"-")</f>
        <v>011.261.574/0001-30</v>
      </c>
      <c r="D356" s="2" t="str">
        <f t="shared" ref="D356" si="36">IF(RIGHT(SUBSTITUTE(SUBSTITUTE(SUBSTITUTE(C356,".",""),"/",""),"-",""),14)="","-",RIGHT(SUBSTITUTE(SUBSTITUTE(SUBSTITUTE(C356,".",""),"/",""),"-",""),14))</f>
        <v>11261574000130</v>
      </c>
      <c r="E356" s="2" t="str">
        <f t="shared" si="11"/>
        <v>11261574</v>
      </c>
      <c r="F356" s="8">
        <f>IF($A356=""," ",IF(_xlfn.MINIFS(tblDados[[Data do recebimento do e-mail]:[Data do recebimento do e-mail]],tblDados[[Razão Social]:[Razão Social]],$A356)=0,"NÃO APARECEU AINDA",_xlfn.MINIFS(tblDados[[Data do recebimento do e-mail]:[Data do recebimento do e-mail]],tblDados[[Razão Social]:[Razão Social]],$A356)))</f>
        <v>45981</v>
      </c>
      <c r="G356" s="8">
        <f>IF($A356=""," ",IF(_xlfn.MAXIFS(tblDados[[Data do recebimento do e-mail]:[Data do recebimento do e-mail]],tblDados[[Razão Social]:[Razão Social]],$A356)=0,"NÃO APARECEU AINDA",_xlfn.MAXIFS(tblDados[[Data do recebimento do e-mail]:[Data do recebimento do e-mail]],tblDados[[Razão Social]:[Razão Social]],$A356)))</f>
        <v>45981</v>
      </c>
    </row>
    <row r="357" spans="1:7" hidden="1" x14ac:dyDescent="0.25">
      <c r="A357" t="s">
        <v>733</v>
      </c>
      <c r="B357" t="s">
        <v>21</v>
      </c>
      <c r="C357" t="str">
        <f>IFERROR(_xlfn.XLOOKUP(A357,'E-Mail BD'!B:B,'E-Mail BD'!A:A),"-")</f>
        <v>018.068.347/0001-31</v>
      </c>
      <c r="D357" s="2" t="str">
        <f t="shared" ref="D357" si="37">IF(RIGHT(SUBSTITUTE(SUBSTITUTE(SUBSTITUTE(C357,".",""),"/",""),"-",""),14)="","-",RIGHT(SUBSTITUTE(SUBSTITUTE(SUBSTITUTE(C357,".",""),"/",""),"-",""),14))</f>
        <v>18068347000131</v>
      </c>
      <c r="E357" s="2" t="str">
        <f t="shared" si="11"/>
        <v>18068347</v>
      </c>
      <c r="F357" s="8">
        <f>IF($A357=""," ",IF(_xlfn.MINIFS(tblDados[[Data do recebimento do e-mail]:[Data do recebimento do e-mail]],tblDados[[Razão Social]:[Razão Social]],$A357)=0,"NÃO APARECEU AINDA",_xlfn.MINIFS(tblDados[[Data do recebimento do e-mail]:[Data do recebimento do e-mail]],tblDados[[Razão Social]:[Razão Social]],$A357)))</f>
        <v>45983</v>
      </c>
      <c r="G357" s="8">
        <f>IF($A357=""," ",IF(_xlfn.MAXIFS(tblDados[[Data do recebimento do e-mail]:[Data do recebimento do e-mail]],tblDados[[Razão Social]:[Razão Social]],$A357)=0,"NÃO APARECEU AINDA",_xlfn.MAXIFS(tblDados[[Data do recebimento do e-mail]:[Data do recebimento do e-mail]],tblDados[[Razão Social]:[Razão Social]],$A357)))</f>
        <v>45993</v>
      </c>
    </row>
    <row r="358" spans="1:7" hidden="1" x14ac:dyDescent="0.25">
      <c r="A358" t="s">
        <v>735</v>
      </c>
      <c r="B358" t="s">
        <v>16</v>
      </c>
      <c r="C358" t="str">
        <f>IFERROR(_xlfn.XLOOKUP(A358,'E-Mail BD'!B:B,'E-Mail BD'!A:A),"-")</f>
        <v>037.830.104/0001-33</v>
      </c>
      <c r="D358" s="2" t="str">
        <f t="shared" ref="D358" si="38">IF(RIGHT(SUBSTITUTE(SUBSTITUTE(SUBSTITUTE(C358,".",""),"/",""),"-",""),14)="","-",RIGHT(SUBSTITUTE(SUBSTITUTE(SUBSTITUTE(C358,".",""),"/",""),"-",""),14))</f>
        <v>37830104000133</v>
      </c>
      <c r="E358" s="2" t="str">
        <f t="shared" si="11"/>
        <v>37830104</v>
      </c>
      <c r="F358" s="8">
        <f>IF($A358=""," ",IF(_xlfn.MINIFS(tblDados[[Data do recebimento do e-mail]:[Data do recebimento do e-mail]],tblDados[[Razão Social]:[Razão Social]],$A358)=0,"NÃO APARECEU AINDA",_xlfn.MINIFS(tblDados[[Data do recebimento do e-mail]:[Data do recebimento do e-mail]],tblDados[[Razão Social]:[Razão Social]],$A358)))</f>
        <v>45987</v>
      </c>
      <c r="G358" s="8">
        <f>IF($A358=""," ",IF(_xlfn.MAXIFS(tblDados[[Data do recebimento do e-mail]:[Data do recebimento do e-mail]],tblDados[[Razão Social]:[Razão Social]],$A358)=0,"NÃO APARECEU AINDA",_xlfn.MAXIFS(tblDados[[Data do recebimento do e-mail]:[Data do recebimento do e-mail]],tblDados[[Razão Social]:[Razão Social]],$A358)))</f>
        <v>45993</v>
      </c>
    </row>
    <row r="359" spans="1:7" hidden="1" x14ac:dyDescent="0.25">
      <c r="A359" t="s">
        <v>737</v>
      </c>
      <c r="B359" t="s">
        <v>677</v>
      </c>
      <c r="C359" t="str">
        <f>IFERROR(_xlfn.XLOOKUP(A359,'E-Mail BD'!B:B,'E-Mail BD'!A:A),"-")</f>
        <v>061.310.256/0001-90</v>
      </c>
      <c r="D359" s="2" t="str">
        <f t="shared" ref="D359" si="39">IF(RIGHT(SUBSTITUTE(SUBSTITUTE(SUBSTITUTE(C359,".",""),"/",""),"-",""),14)="","-",RIGHT(SUBSTITUTE(SUBSTITUTE(SUBSTITUTE(C359,".",""),"/",""),"-",""),14))</f>
        <v>61310256000190</v>
      </c>
      <c r="E359" s="2" t="str">
        <f t="shared" si="11"/>
        <v>61310256</v>
      </c>
      <c r="F359" s="8">
        <f>IF($A359=""," ",IF(_xlfn.MINIFS(tblDados[[Data do recebimento do e-mail]:[Data do recebimento do e-mail]],tblDados[[Razão Social]:[Razão Social]],$A359)=0,"NÃO APARECEU AINDA",_xlfn.MINIFS(tblDados[[Data do recebimento do e-mail]:[Data do recebimento do e-mail]],tblDados[[Razão Social]:[Razão Social]],$A359)))</f>
        <v>45988</v>
      </c>
      <c r="G359" s="8">
        <f>IF($A359=""," ",IF(_xlfn.MAXIFS(tblDados[[Data do recebimento do e-mail]:[Data do recebimento do e-mail]],tblDados[[Razão Social]:[Razão Social]],$A359)=0,"NÃO APARECEU AINDA",_xlfn.MAXIFS(tblDados[[Data do recebimento do e-mail]:[Data do recebimento do e-mail]],tblDados[[Razão Social]:[Razão Social]],$A359)))</f>
        <v>45988</v>
      </c>
    </row>
    <row r="360" spans="1:7" hidden="1" x14ac:dyDescent="0.25">
      <c r="A360" t="s">
        <v>740</v>
      </c>
      <c r="B360" t="s">
        <v>17</v>
      </c>
      <c r="C360" t="str">
        <f>IFERROR(_xlfn.XLOOKUP(A360,'E-Mail BD'!B:B,'E-Mail BD'!A:A),"-")</f>
        <v>012.503.608/0001-18</v>
      </c>
      <c r="D360" s="2" t="str">
        <f t="shared" ref="D360" si="40">IF(RIGHT(SUBSTITUTE(SUBSTITUTE(SUBSTITUTE(C360,".",""),"/",""),"-",""),14)="","-",RIGHT(SUBSTITUTE(SUBSTITUTE(SUBSTITUTE(C360,".",""),"/",""),"-",""),14))</f>
        <v>12503608000118</v>
      </c>
      <c r="E360" s="2" t="str">
        <f t="shared" si="11"/>
        <v>12503608</v>
      </c>
      <c r="F360" s="8">
        <f>IF($A360=""," ",IF(_xlfn.MINIFS(tblDados[[Data do recebimento do e-mail]:[Data do recebimento do e-mail]],tblDados[[Razão Social]:[Razão Social]],$A360)=0,"NÃO APARECEU AINDA",_xlfn.MINIFS(tblDados[[Data do recebimento do e-mail]:[Data do recebimento do e-mail]],tblDados[[Razão Social]:[Razão Social]],$A360)))</f>
        <v>46000</v>
      </c>
      <c r="G360" s="8">
        <f>IF($A360=""," ",IF(_xlfn.MAXIFS(tblDados[[Data do recebimento do e-mail]:[Data do recebimento do e-mail]],tblDados[[Razão Social]:[Razão Social]],$A360)=0,"NÃO APARECEU AINDA",_xlfn.MAXIFS(tblDados[[Data do recebimento do e-mail]:[Data do recebimento do e-mail]],tblDados[[Razão Social]:[Razão Social]],$A360)))</f>
        <v>46003</v>
      </c>
    </row>
  </sheetData>
  <autoFilter ref="A1:G360" xr:uid="{00000000-0001-0000-0300-000000000000}">
    <filterColumn colId="0">
      <filters>
        <filter val="CENTROAIDAR INDUSTRIA E COMERCIO DE BEBIDAS LTDA"/>
      </filters>
    </filterColumn>
  </autoFilter>
  <phoneticPr fontId="2" type="noConversion"/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CCC6770B-CFF7-4F3C-94EE-B98F6CE17EB2}">
  <ds:schemaRefs/>
</ds:datastoreItem>
</file>

<file path=customXml/itemProps2.xml><?xml version="1.0" encoding="utf-8"?>
<ds:datastoreItem xmlns:ds="http://schemas.openxmlformats.org/officeDocument/2006/customXml" ds:itemID="{4AA74F9D-97EB-4100-903B-380D31420ADA}">
  <ds:schemaRefs/>
</ds:datastoreItem>
</file>

<file path=customXml/itemProps3.xml><?xml version="1.0" encoding="utf-8"?>
<ds:datastoreItem xmlns:ds="http://schemas.openxmlformats.org/officeDocument/2006/customXml" ds:itemID="{A1D5FD6B-69EC-4EDD-89DB-AC9BDCA90A64}">
  <ds:schemaRefs/>
</ds:datastoreItem>
</file>

<file path=customXml/itemProps4.xml><?xml version="1.0" encoding="utf-8"?>
<ds:datastoreItem xmlns:ds="http://schemas.openxmlformats.org/officeDocument/2006/customXml" ds:itemID="{AE54035E-CF45-4551-8CE8-A6A99A604504}">
  <ds:schemaRefs/>
</ds:datastoreItem>
</file>

<file path=customXml/itemProps5.xml><?xml version="1.0" encoding="utf-8"?>
<ds:datastoreItem xmlns:ds="http://schemas.openxmlformats.org/officeDocument/2006/customXml" ds:itemID="{FB0AE981-827B-472F-9A68-7A0C48858328}">
  <ds:schemaRefs/>
</ds:datastoreItem>
</file>

<file path=customXml/itemProps6.xml><?xml version="1.0" encoding="utf-8"?>
<ds:datastoreItem xmlns:ds="http://schemas.openxmlformats.org/officeDocument/2006/customXml" ds:itemID="{4238A590-FD32-4217-8B11-DE4508F6F866}">
  <ds:schemaRefs/>
</ds:datastoreItem>
</file>

<file path=customXml/itemProps7.xml><?xml version="1.0" encoding="utf-8"?>
<ds:datastoreItem xmlns:ds="http://schemas.openxmlformats.org/officeDocument/2006/customXml" ds:itemID="{23574D89-A554-4FF1-9E3B-46E405C2A5C3}">
  <ds:schemaRefs/>
</ds:datastoreItem>
</file>

<file path=customXml/itemProps8.xml><?xml version="1.0" encoding="utf-8"?>
<ds:datastoreItem xmlns:ds="http://schemas.openxmlformats.org/officeDocument/2006/customXml" ds:itemID="{63017F53-A46A-4553-93DE-6EF350B55C4D}">
  <ds:schemaRefs/>
</ds:datastoreItem>
</file>

<file path=customXml/itemProps9.xml><?xml version="1.0" encoding="utf-8"?>
<ds:datastoreItem xmlns:ds="http://schemas.openxmlformats.org/officeDocument/2006/customXml" ds:itemID="{F2A96881-A6A0-4E63-844D-ABFF9DFD0E53}">
  <ds:schemaRefs/>
</ds:datastoreItem>
</file>

<file path=customXml/itemProps10.xml><?xml version="1.0" encoding="utf-8"?>
<ds:datastoreItem xmlns:ds="http://schemas.openxmlformats.org/officeDocument/2006/customXml" ds:itemID="{CE4DAB11-585A-4F3E-A7A8-242FB366B898}">
  <ds:schemaRefs/>
</ds:datastoreItem>
</file>

<file path=customXml/itemProps11.xml><?xml version="1.0" encoding="utf-8"?>
<ds:datastoreItem xmlns:ds="http://schemas.openxmlformats.org/officeDocument/2006/customXml" ds:itemID="{EBCED77C-7ECA-469F-BCE3-17CBD75984B0}">
  <ds:schemaRefs/>
</ds:datastoreItem>
</file>

<file path=customXml/itemProps12.xml><?xml version="1.0" encoding="utf-8"?>
<ds:datastoreItem xmlns:ds="http://schemas.openxmlformats.org/officeDocument/2006/customXml" ds:itemID="{61557DEF-0082-485D-B6FC-B5FE610C9C98}">
  <ds:schemaRefs/>
</ds:datastoreItem>
</file>

<file path=customXml/itemProps13.xml><?xml version="1.0" encoding="utf-8"?>
<ds:datastoreItem xmlns:ds="http://schemas.openxmlformats.org/officeDocument/2006/customXml" ds:itemID="{95179FE2-5F4E-428A-8758-F6F75C385246}">
  <ds:schemaRefs/>
</ds:datastoreItem>
</file>

<file path=customXml/itemProps14.xml><?xml version="1.0" encoding="utf-8"?>
<ds:datastoreItem xmlns:ds="http://schemas.openxmlformats.org/officeDocument/2006/customXml" ds:itemID="{0AC2C212-68FE-45C6-9A84-5E5A884646B1}">
  <ds:schemaRefs/>
</ds:datastoreItem>
</file>

<file path=customXml/itemProps15.xml><?xml version="1.0" encoding="utf-8"?>
<ds:datastoreItem xmlns:ds="http://schemas.openxmlformats.org/officeDocument/2006/customXml" ds:itemID="{101C250B-5592-4E68-85FF-EC1E6709517D}">
  <ds:schemaRefs/>
</ds:datastoreItem>
</file>

<file path=customXml/itemProps16.xml><?xml version="1.0" encoding="utf-8"?>
<ds:datastoreItem xmlns:ds="http://schemas.openxmlformats.org/officeDocument/2006/customXml" ds:itemID="{A1028EE8-DD3C-487C-A83B-257F984DD00E}">
  <ds:schemaRefs/>
</ds:datastoreItem>
</file>

<file path=customXml/itemProps17.xml><?xml version="1.0" encoding="utf-8"?>
<ds:datastoreItem xmlns:ds="http://schemas.openxmlformats.org/officeDocument/2006/customXml" ds:itemID="{BA500F76-8764-45EB-8618-EA610914C3A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Tabela Dinâmica</vt:lpstr>
      <vt:lpstr>E-Mail BD</vt:lpstr>
      <vt:lpstr>PROCV GERENTES BD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Vitória Sgarbi | Capital Finanças</dc:creator>
  <cp:lastModifiedBy>Augusto Lobo | Capital Finanças</cp:lastModifiedBy>
  <dcterms:created xsi:type="dcterms:W3CDTF">2025-03-24T18:17:52Z</dcterms:created>
  <dcterms:modified xsi:type="dcterms:W3CDTF">2025-12-12T15:01:16Z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0x01010056397B8C43EA634398C86BE909DEC01F</vt:lpwstr>
  </property>
  <property fmtid="{D5CDD505-2E9C-101B-9397-08002B2CF9AE}" pid="3" name="MediaServiceImageTags">
    <vt:lpwstr/>
  </property>
</Properties>
</file>